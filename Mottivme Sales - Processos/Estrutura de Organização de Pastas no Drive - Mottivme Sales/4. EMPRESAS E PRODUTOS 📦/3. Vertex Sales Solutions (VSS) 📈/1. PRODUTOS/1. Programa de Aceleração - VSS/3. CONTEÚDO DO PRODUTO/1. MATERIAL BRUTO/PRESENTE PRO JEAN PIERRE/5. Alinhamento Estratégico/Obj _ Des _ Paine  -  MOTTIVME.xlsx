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tivos Estratégicos " sheetId="1" r:id="rId4"/>
    <sheet state="visible" name="Desdobramentos" sheetId="2" r:id="rId5"/>
    <sheet state="visible" name="Painel Estratégico " sheetId="3" r:id="rId6"/>
    <sheet state="hidden" name="Dúvidas e Respostas" sheetId="4" r:id="rId7"/>
  </sheets>
  <definedNames/>
  <calcPr/>
</workbook>
</file>

<file path=xl/sharedStrings.xml><?xml version="1.0" encoding="utf-8"?>
<sst xmlns="http://schemas.openxmlformats.org/spreadsheetml/2006/main" count="183" uniqueCount="76">
  <si>
    <t>PERSPECTIVA</t>
  </si>
  <si>
    <t>Nº</t>
  </si>
  <si>
    <t>OBJETIVO</t>
  </si>
  <si>
    <t>INDICADOR</t>
  </si>
  <si>
    <t>RESPONSÁVEL</t>
  </si>
  <si>
    <t>META 2022</t>
  </si>
  <si>
    <t>META 2023</t>
  </si>
  <si>
    <t>META 2024</t>
  </si>
  <si>
    <t>META 2025</t>
  </si>
  <si>
    <t>PERIODICIDADE</t>
  </si>
  <si>
    <t>FINANÇAS</t>
  </si>
  <si>
    <t>CLIENTES</t>
  </si>
  <si>
    <t>PROCESSOS INTERNOS</t>
  </si>
  <si>
    <t>APRENDIZADO E CRESCIMENTO</t>
  </si>
  <si>
    <t>CONDIÇÃO</t>
  </si>
  <si>
    <t>RESULTADO</t>
  </si>
  <si>
    <t>META</t>
  </si>
  <si>
    <t>SOMA</t>
  </si>
  <si>
    <t>REALIZADO</t>
  </si>
  <si>
    <t>MÊS</t>
  </si>
  <si>
    <t>MENSAL</t>
  </si>
  <si>
    <t>ACUMULADO</t>
  </si>
  <si>
    <t>UNI MEDIDA</t>
  </si>
  <si>
    <t>ORIENTAÇÃO</t>
  </si>
  <si>
    <t>%</t>
  </si>
  <si>
    <t>PESO</t>
  </si>
  <si>
    <t>% TOTAL</t>
  </si>
  <si>
    <t>R$</t>
  </si>
  <si>
    <t>MAIS</t>
  </si>
  <si>
    <t>MÉDIA</t>
  </si>
  <si>
    <t>Receitas x Despesas</t>
  </si>
  <si>
    <t>Mês Anterior x Mês Atual</t>
  </si>
  <si>
    <t>Contas a Receber x Contas a Pagar</t>
  </si>
  <si>
    <t>Necessidade de Caixa x Acumulado</t>
  </si>
  <si>
    <t>Positivo</t>
  </si>
  <si>
    <t>Parabéns! As suas receitas estão maiores do que as suas despesas. Meses com lucro são sempre interessantes para a sua empresa. Aproveite e dê uma olhada nas contas a pagar e a receber do próximo mês para saber se você vai continuar mandando bem.</t>
  </si>
  <si>
    <t>Boa! Suas finanças melhoraram do mês passado para esse. Que tal investigar os motivos e dedicar mais tempo para replicá-las?</t>
  </si>
  <si>
    <t>Legal, você tem mais recebimentos do que pagamentos para entrar em caixa. Só tome cuidado com o índice de inadimplência dos seus devedores para não transformar essa projeção em um resultado real ruim</t>
  </si>
  <si>
    <t>Sua necessidade de caixa para o mês que vem é menor do que você tem acumulado. Sua empresa está indo bem, mas fique de olho nos meses futuros para não ter surpresas!</t>
  </si>
  <si>
    <t>Negativo</t>
  </si>
  <si>
    <t>Suas despesas estão maiores que as suas receitas, isso significa que esse mês foi de prejuízo. Você já sabe os motivos? Vale a pena olhar suas despesas no DRE para ter certeza que o resultado ruim não se repetirá.</t>
  </si>
  <si>
    <t>Tome cuidado, seu resultado mensal piorou do mês passado para esse. Esse mês é sempre ruim ou aconteceu alguma coisa que fez seu resultado piorar?</t>
  </si>
  <si>
    <t>Cuidado! Suas contas a pagar para esse mês estão superiores ao que você tem direito a receber, se você não procurar reverter essa situação, provavelmente terá prejuízo</t>
  </si>
  <si>
    <t>Sua necessidade de caixa para o mês que vem é maior do que você tem acumulado. É bom você ficar atento e correr atrás de mais receitas, afinal de contas, a previsão é que você entre no vermelho se tudo continuar assim</t>
  </si>
  <si>
    <t>Pergunta</t>
  </si>
  <si>
    <t>Resposta</t>
  </si>
  <si>
    <t>1. O que significa SWOT?</t>
  </si>
  <si>
    <r>
      <rPr>
        <rFont val="Calibri"/>
        <color theme="1"/>
        <sz val="11.0"/>
      </rPr>
      <t>O termo </t>
    </r>
    <r>
      <rPr>
        <rFont val="Arial"/>
        <b/>
        <color rgb="FF333333"/>
        <sz val="11.0"/>
      </rPr>
      <t>SWOT</t>
    </r>
    <r>
      <rPr>
        <rFont val="Arial"/>
        <color rgb="FF333333"/>
        <sz val="11.0"/>
      </rPr>
      <t> é uma sigla oriunda do idioma </t>
    </r>
    <r>
      <rPr>
        <rFont val="Arial"/>
        <color rgb="FF000080"/>
        <sz val="11.0"/>
      </rPr>
      <t>inglês</t>
    </r>
    <r>
      <rPr>
        <rFont val="Arial"/>
        <color rgb="FF333333"/>
        <sz val="11.0"/>
      </rPr>
      <t>, e é um </t>
    </r>
    <r>
      <rPr>
        <rFont val="Arial"/>
        <color rgb="FF000080"/>
        <sz val="11.0"/>
      </rPr>
      <t>acrónimo</t>
    </r>
    <r>
      <rPr>
        <rFont val="Arial"/>
        <color rgb="FF333333"/>
        <sz val="11.0"/>
      </rPr>
      <t> de Forças (</t>
    </r>
    <r>
      <rPr>
        <rFont val="Arial"/>
        <b/>
        <color rgb="FF333333"/>
        <sz val="11.0"/>
      </rPr>
      <t>S</t>
    </r>
    <r>
      <rPr>
        <rFont val="Arial"/>
        <color rgb="FF333333"/>
        <sz val="11.0"/>
      </rPr>
      <t>trengths), Fraquezas (</t>
    </r>
    <r>
      <rPr>
        <rFont val="Arial"/>
        <b/>
        <color rgb="FF333333"/>
        <sz val="11.0"/>
      </rPr>
      <t>W</t>
    </r>
    <r>
      <rPr>
        <rFont val="Arial"/>
        <color rgb="FF333333"/>
        <sz val="11.0"/>
      </rPr>
      <t>eaknesses), Oportunidades (</t>
    </r>
    <r>
      <rPr>
        <rFont val="Arial"/>
        <b/>
        <color rgb="FF333333"/>
        <sz val="11.0"/>
      </rPr>
      <t>O</t>
    </r>
    <r>
      <rPr>
        <rFont val="Arial"/>
        <color rgb="FF333333"/>
        <sz val="11.0"/>
      </rPr>
      <t>pportunities) e Ameaças (</t>
    </r>
    <r>
      <rPr>
        <rFont val="Arial"/>
        <b/>
        <color rgb="FF333333"/>
        <sz val="11.0"/>
      </rPr>
      <t>T</t>
    </r>
    <r>
      <rPr>
        <rFont val="Arial"/>
        <color rgb="FF333333"/>
        <sz val="11.0"/>
      </rPr>
      <t>hreats).</t>
    </r>
  </si>
  <si>
    <t>2. O que é análise SWOT?</t>
  </si>
  <si>
    <r>
      <rPr>
        <rFont val="Arial"/>
        <color rgb="FF252525"/>
        <sz val="11.0"/>
      </rPr>
      <t>A </t>
    </r>
    <r>
      <rPr>
        <rFont val="Arial"/>
        <b/>
        <color rgb="FF333333"/>
        <sz val="11.0"/>
      </rPr>
      <t>Análise SWOT</t>
    </r>
    <r>
      <rPr>
        <rFont val="Arial"/>
        <color rgb="FF333333"/>
        <sz val="11.0"/>
      </rPr>
      <t> ou </t>
    </r>
    <r>
      <rPr>
        <rFont val="Arial"/>
        <b/>
        <color rgb="FF333333"/>
        <sz val="11.0"/>
      </rPr>
      <t>Análise FOFA ou FFOA (Forças, Fraquezas, Oportunidades e Ameaças)</t>
    </r>
    <r>
      <rPr>
        <rFont val="Arial"/>
        <color rgb="FF333333"/>
        <sz val="11.0"/>
      </rPr>
      <t> (em </t>
    </r>
    <r>
      <rPr>
        <rFont val="Arial"/>
        <color rgb="FF000080"/>
        <sz val="11.0"/>
      </rPr>
      <t>português</t>
    </r>
    <r>
      <rPr>
        <rFont val="Arial"/>
        <color rgb="FF333333"/>
        <sz val="11.0"/>
      </rPr>
      <t>) é uma ferramenta utilizada para fazer análise de cenário (ou análise de ambiente), sendo usada como base para </t>
    </r>
    <r>
      <rPr>
        <rFont val="Arial"/>
        <color rgb="FF000080"/>
        <sz val="11.0"/>
      </rPr>
      <t>gestão</t>
    </r>
    <r>
      <rPr>
        <rFont val="Arial"/>
        <color rgb="FF333333"/>
        <sz val="11.0"/>
      </rPr>
      <t> e </t>
    </r>
    <r>
      <rPr>
        <rFont val="Arial"/>
        <color rgb="FF000080"/>
        <sz val="11.0"/>
      </rPr>
      <t>planejamento estratégico</t>
    </r>
    <r>
      <rPr>
        <rFont val="Arial"/>
        <color rgb="FF333333"/>
        <sz val="11.0"/>
      </rPr>
      <t> de uma </t>
    </r>
    <r>
      <rPr>
        <rFont val="Arial"/>
        <color rgb="FF000080"/>
        <sz val="11.0"/>
      </rPr>
      <t>corporação</t>
    </r>
    <r>
      <rPr>
        <rFont val="Arial"/>
        <color rgb="FF333333"/>
        <sz val="11.0"/>
      </rPr>
      <t> ou </t>
    </r>
    <r>
      <rPr>
        <rFont val="Arial"/>
        <color rgb="FF000080"/>
        <sz val="11.0"/>
      </rPr>
      <t>empresa</t>
    </r>
    <r>
      <rPr>
        <rFont val="Arial"/>
        <color rgb="FF333333"/>
        <sz val="11.0"/>
      </rPr>
      <t>, mas podendo, devido a sua simplicidade, ser utilizada para qualquer tipo de análise de cenário, desde a criação de um </t>
    </r>
    <r>
      <rPr>
        <rFont val="Arial"/>
        <i/>
        <color rgb="FF000080"/>
        <sz val="11.0"/>
      </rPr>
      <t>blog</t>
    </r>
    <r>
      <rPr>
        <rFont val="Arial"/>
        <color rgb="FF333333"/>
        <sz val="11.0"/>
      </rPr>
      <t> à gestão de uma </t>
    </r>
    <r>
      <rPr>
        <rFont val="Arial"/>
        <color rgb="FF000080"/>
        <sz val="11.0"/>
      </rPr>
      <t>multinacional</t>
    </r>
    <r>
      <rPr>
        <rFont val="Arial"/>
        <color rgb="FF333333"/>
        <sz val="11.0"/>
      </rPr>
      <t>.</t>
    </r>
  </si>
  <si>
    <t>4. O que são fatores internos?</t>
  </si>
  <si>
    <t>Tratam-se das características específicas do seu negócio. Pontos fortes ou fracos da sua equipe, excelência ou improdutividade em processos internos, etc. Ou seja, forças e fraquezas relativas a outros players do mercado.</t>
  </si>
  <si>
    <t>6. O que são forças?</t>
  </si>
  <si>
    <r>
      <rPr>
        <rFont val="Arial"/>
        <b/>
        <i/>
        <color rgb="FF252525"/>
        <sz val="11.0"/>
      </rPr>
      <t>Forças</t>
    </r>
    <r>
      <rPr>
        <rFont val="Arial"/>
        <b val="0"/>
        <i val="0"/>
        <color rgb="FF333333"/>
        <sz val="11.0"/>
      </rPr>
      <t> - Vantagens internas da empresa em relação às empresas concorrentes.</t>
    </r>
  </si>
  <si>
    <t>7. O que são fraquezas?</t>
  </si>
  <si>
    <r>
      <rPr>
        <rFont val="Arial"/>
        <b/>
        <i/>
        <color rgb="FF252525"/>
        <sz val="11.0"/>
      </rPr>
      <t>Fraquezas</t>
    </r>
    <r>
      <rPr>
        <rFont val="Arial"/>
        <b val="0"/>
        <i val="0"/>
        <color rgb="FF333333"/>
        <sz val="11.0"/>
      </rPr>
      <t> - Desvantagens internas da empresa em relação às empresas concorrentes.</t>
    </r>
  </si>
  <si>
    <t>5. O que são fatores externos?</t>
  </si>
  <si>
    <t>Tratam-se das características e mudanças que o mercado como um todo pode apresentar que poderão beneficiar ou atrapalhar seu negócio. Oportunidades são as positivas e Ameaças são as negativas.</t>
  </si>
  <si>
    <t>6. O que são oportunidades?</t>
  </si>
  <si>
    <r>
      <rPr>
        <rFont val="Arial"/>
        <b/>
        <i/>
        <color rgb="FF252525"/>
        <sz val="11.0"/>
      </rPr>
      <t>Oportunidades</t>
    </r>
    <r>
      <rPr>
        <rFont val="Arial"/>
        <b val="0"/>
        <i val="0"/>
        <color rgb="FF333333"/>
        <sz val="11.0"/>
      </rPr>
      <t> - Aspectos positivos do mercado com potencial de fazer crescer a vantagem competitiva da empresa.</t>
    </r>
  </si>
  <si>
    <t>7. O que são ameaças?</t>
  </si>
  <si>
    <t>Ameaças - Aspectos positivos do mercado com potencial de comprometer a vantagem competitiva da empresa.</t>
  </si>
  <si>
    <t>8. O que são cruzamentos de dados?</t>
  </si>
  <si>
    <t>A combinação destes dois ambientes, interno e externo, e das suas variáveis, Forças e Fraquezas; Oportunidades e Ameaças, irá facilitar a análise e a procura para tomada de decisões na definição das estratégias de negócios da empresa.
Forças e Oportunidades - Tirar o máximo partido dos pontos fortes para aproveitar ao máximo as oportunidades detectadas.
Forças e Ameaças - Tirar o máximo partido dos pontos fortes para minimizar os efeitos das ameaças detectadas.
Fraquezas e Oportunidades - Desenvolver estratégias que minimizem os efeitos negativos dos pontos fracos e que em simultâneo aproveitem as oportunidades detectadas.
Fraquezas e Ameaças - As estratégias a adotar devem minimizar ou ultrapassar os pontos fracos e, tanto quanto possível, fazer face às ameaças.</t>
  </si>
  <si>
    <t>9. O que é matriz SWOT</t>
  </si>
  <si>
    <t>É uma matriz em que se identificam as suas maiores forças, fraquezas, oportunidades e ameaças. Permite distinguir o ambiente interno - (factores e realidades internas - forças e fraquezas) e o ambiente externo (factores e aspectos futuros - oportunidades e ameaças) da organização.</t>
  </si>
  <si>
    <t>8. Posso adicionar mais linhas e colunas na planilha?</t>
  </si>
  <si>
    <t xml:space="preserve">Nós recomendamos fortemente que você utilize a estrutura pronta apresentada, pois existem diversas fórmulas que podem ser afetadas pela adição de linhas e colunas. Além disso, para facilitar o preenchimento mantemos a planilha desbloqueada apenas nos locais para preenchimento. </t>
  </si>
  <si>
    <t>9. Posso remover linhas?</t>
  </si>
  <si>
    <t xml:space="preserve">Nós recomendamos fortemente que você utilize a estrutura pronta apresentada, pois existem diversas fórmulas que podem ser afetadas pela remoção de linhas e colunas. Além disso, para facilitar o preenchimento mantemos a planilha desbloqueada apenas nos locais para preenchimento. </t>
  </si>
  <si>
    <t>10. Essa planilha pode ser apresentada para instituições financeiras?</t>
  </si>
  <si>
    <t>Sim. Porém esses dados não garantem aprovações ou reprovações por parte dessas instituições. Sendo usados como dados complementares.</t>
  </si>
  <si>
    <t>11. Para que servem os alertas?</t>
  </si>
  <si>
    <t>Eles são avisos sobre como a sua projeção está. A partir deles, você pode refinar suas projeções e pensar em medidas mais agressivas para tornar seu projeto mais agressivo.</t>
  </si>
  <si>
    <t>12. Como desbloquear a planilha?</t>
  </si>
  <si>
    <t>Basta entrar no menu superior "Revisão" e escolher o item desproteger planilha no grupo Alterações. As planilhas não possuem senhas, apenas estão bloqueadas para melhorar a usabilidade delas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</si>
</sst>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\ * #,##0.00_-;\-&quot;R$&quot;\ * #,##0.00_-;_-&quot;R$&quot;\ * &quot;-&quot;??_-;_-@"/>
    <numFmt numFmtId="165" formatCode="&quot;R$&quot;\ #,##0.00;[Red]\-&quot;R$&quot;\ #,##0.00"/>
    <numFmt numFmtId="166" formatCode="0,000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0"/>
      <name val="Calibri"/>
    </font>
    <font>
      <sz val="11.0"/>
      <color rgb="FF7030A0"/>
      <name val="Calibri"/>
    </font>
    <font>
      <b/>
      <sz val="20.0"/>
      <color rgb="FF9CC2E5"/>
      <name val="Calibri"/>
    </font>
    <font/>
    <font>
      <b/>
      <sz val="11.0"/>
      <color theme="0"/>
      <name val="Calibri"/>
    </font>
    <font>
      <b/>
      <sz val="11.0"/>
      <color theme="1"/>
      <name val="Calibri"/>
    </font>
    <font>
      <b/>
      <sz val="24.0"/>
      <color rgb="FF9CC2E5"/>
      <name val="Calibri"/>
    </font>
    <font>
      <b/>
      <sz val="14.0"/>
      <color theme="0"/>
      <name val="Calibri"/>
    </font>
    <font>
      <sz val="11.0"/>
      <color rgb="FF3D3C40"/>
      <name val="Arial"/>
    </font>
    <font>
      <sz val="11.0"/>
      <color rgb="FF252525"/>
      <name val="Arial"/>
    </font>
    <font>
      <b/>
      <i/>
      <sz val="11.0"/>
      <color rgb="FF252525"/>
      <name val="Arial"/>
    </font>
    <font>
      <b/>
      <sz val="11.0"/>
      <color rgb="FF252525"/>
      <name val="Arial"/>
    </font>
    <font>
      <sz val="10.0"/>
      <color rgb="FF444444"/>
      <name val="Open Sans"/>
    </font>
  </fonts>
  <fills count="11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F44CA"/>
        <bgColor rgb="FF0F44CA"/>
      </patternFill>
    </fill>
    <fill>
      <patternFill patternType="solid">
        <fgColor theme="0"/>
        <bgColor theme="0"/>
      </patternFill>
    </fill>
    <fill>
      <patternFill patternType="solid">
        <fgColor rgb="FFEEEEEE"/>
        <bgColor rgb="FFEEEEEE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</fills>
  <borders count="17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 vertical="center"/>
    </xf>
    <xf borderId="1" fillId="2" fontId="2" numFmtId="0" xfId="0" applyBorder="1" applyFont="1"/>
    <xf borderId="1" fillId="2" fontId="3" numFmtId="0" xfId="0" applyBorder="1" applyFont="1"/>
    <xf borderId="2" fillId="2" fontId="4" numFmtId="0" xfId="0" applyAlignment="1" applyBorder="1" applyFont="1">
      <alignment horizontal="center" vertical="center"/>
    </xf>
    <xf borderId="3" fillId="0" fontId="5" numFmtId="0" xfId="0" applyBorder="1" applyFont="1"/>
    <xf borderId="2" fillId="2" fontId="6" numFmtId="0" xfId="0" applyAlignment="1" applyBorder="1" applyFont="1">
      <alignment horizontal="center" vertical="center"/>
    </xf>
    <xf borderId="4" fillId="3" fontId="7" numFmtId="0" xfId="0" applyAlignment="1" applyBorder="1" applyFill="1" applyFont="1">
      <alignment horizontal="center" vertical="center"/>
    </xf>
    <xf borderId="5" fillId="3" fontId="7" numFmtId="17" xfId="0" applyAlignment="1" applyBorder="1" applyFont="1" applyNumberFormat="1">
      <alignment horizontal="center" vertical="center"/>
    </xf>
    <xf borderId="5" fillId="3" fontId="7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6" fillId="4" fontId="6" numFmtId="0" xfId="0" applyAlignment="1" applyBorder="1" applyFill="1" applyFont="1">
      <alignment horizontal="center" textRotation="90" vertical="center"/>
    </xf>
    <xf borderId="5" fillId="5" fontId="1" numFmtId="0" xfId="0" applyAlignment="1" applyBorder="1" applyFill="1" applyFont="1">
      <alignment horizontal="center" vertical="center"/>
    </xf>
    <xf borderId="5" fillId="5" fontId="1" numFmtId="0" xfId="0" applyBorder="1" applyFont="1"/>
    <xf borderId="7" fillId="0" fontId="5" numFmtId="0" xfId="0" applyBorder="1" applyFont="1"/>
    <xf borderId="8" fillId="0" fontId="5" numFmtId="0" xfId="0" applyBorder="1" applyFont="1"/>
    <xf borderId="1" fillId="2" fontId="7" numFmtId="0" xfId="0" applyAlignment="1" applyBorder="1" applyFont="1">
      <alignment horizontal="center" vertical="center"/>
    </xf>
    <xf borderId="5" fillId="5" fontId="1" numFmtId="9" xfId="0" applyBorder="1" applyFont="1" applyNumberFormat="1"/>
    <xf borderId="1" fillId="2" fontId="1" numFmtId="0" xfId="0" applyAlignment="1" applyBorder="1" applyFont="1">
      <alignment vertical="center"/>
    </xf>
    <xf borderId="6" fillId="4" fontId="6" numFmtId="0" xfId="0" applyAlignment="1" applyBorder="1" applyFont="1">
      <alignment horizontal="center" shrinkToFit="0" textRotation="90" vertical="center" wrapText="1"/>
    </xf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shrinkToFit="0" vertical="center" wrapText="1"/>
    </xf>
    <xf borderId="2" fillId="2" fontId="8" numFmtId="0" xfId="0" applyAlignment="1" applyBorder="1" applyFont="1">
      <alignment horizontal="center" vertical="center"/>
    </xf>
    <xf borderId="9" fillId="2" fontId="1" numFmtId="0" xfId="0" applyBorder="1" applyFont="1"/>
    <xf borderId="1" fillId="2" fontId="1" numFmtId="0" xfId="0" applyAlignment="1" applyBorder="1" applyFont="1">
      <alignment shrinkToFit="0" vertical="center" wrapText="1"/>
    </xf>
    <xf borderId="5" fillId="6" fontId="7" numFmtId="0" xfId="0" applyAlignment="1" applyBorder="1" applyFill="1" applyFont="1">
      <alignment horizontal="center" vertical="center"/>
    </xf>
    <xf borderId="5" fillId="6" fontId="7" numFmtId="0" xfId="0" applyAlignment="1" applyBorder="1" applyFont="1">
      <alignment horizontal="center" shrinkToFit="0" vertical="center" wrapText="1"/>
    </xf>
    <xf borderId="5" fillId="6" fontId="7" numFmtId="17" xfId="0" applyAlignment="1" applyBorder="1" applyFont="1" applyNumberFormat="1">
      <alignment horizontal="center" vertical="center"/>
    </xf>
    <xf borderId="6" fillId="7" fontId="1" numFmtId="0" xfId="0" applyAlignment="1" applyBorder="1" applyFill="1" applyFont="1">
      <alignment horizontal="center" vertical="center"/>
    </xf>
    <xf borderId="5" fillId="7" fontId="1" numFmtId="0" xfId="0" applyAlignment="1" applyBorder="1" applyFont="1">
      <alignment horizontal="center" vertical="center"/>
    </xf>
    <xf borderId="5" fillId="7" fontId="1" numFmtId="0" xfId="0" applyAlignment="1" applyBorder="1" applyFont="1">
      <alignment horizontal="center" shrinkToFit="0" vertical="center" wrapText="1"/>
    </xf>
    <xf borderId="5" fillId="4" fontId="2" numFmtId="164" xfId="0" applyAlignment="1" applyBorder="1" applyFont="1" applyNumberFormat="1">
      <alignment horizontal="center" vertical="center"/>
    </xf>
    <xf borderId="5" fillId="5" fontId="1" numFmtId="164" xfId="0" applyAlignment="1" applyBorder="1" applyFont="1" applyNumberFormat="1">
      <alignment horizontal="center" vertical="center"/>
    </xf>
    <xf borderId="5" fillId="4" fontId="2" numFmtId="165" xfId="0" applyAlignment="1" applyBorder="1" applyFont="1" applyNumberFormat="1">
      <alignment horizontal="center" vertical="center"/>
    </xf>
    <xf borderId="5" fillId="5" fontId="1" numFmtId="165" xfId="0" applyAlignment="1" applyBorder="1" applyFont="1" applyNumberFormat="1">
      <alignment horizontal="center" vertical="center"/>
    </xf>
    <xf borderId="5" fillId="5" fontId="1" numFmtId="166" xfId="0" applyAlignment="1" applyBorder="1" applyFont="1" applyNumberFormat="1">
      <alignment horizontal="center" vertical="center"/>
    </xf>
    <xf borderId="5" fillId="4" fontId="2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vertical="center"/>
    </xf>
    <xf borderId="5" fillId="2" fontId="1" numFmtId="0" xfId="0" applyAlignment="1" applyBorder="1" applyFont="1">
      <alignment horizontal="center" shrinkToFit="0" vertical="center" wrapText="1"/>
    </xf>
    <xf borderId="1" fillId="2" fontId="1" numFmtId="166" xfId="0" applyAlignment="1" applyBorder="1" applyFont="1" applyNumberFormat="1">
      <alignment horizontal="center" vertical="center"/>
    </xf>
    <xf borderId="10" fillId="5" fontId="1" numFmtId="166" xfId="0" applyAlignment="1" applyBorder="1" applyFont="1" applyNumberFormat="1">
      <alignment horizontal="center" vertical="center"/>
    </xf>
    <xf borderId="5" fillId="4" fontId="2" numFmtId="166" xfId="0" applyAlignment="1" applyBorder="1" applyFont="1" applyNumberFormat="1">
      <alignment horizontal="center" vertical="center"/>
    </xf>
    <xf borderId="4" fillId="2" fontId="1" numFmtId="0" xfId="0" applyAlignment="1" applyBorder="1" applyFont="1">
      <alignment vertical="center"/>
    </xf>
    <xf borderId="1" fillId="2" fontId="2" numFmtId="164" xfId="0" applyAlignment="1" applyBorder="1" applyFont="1" applyNumberFormat="1">
      <alignment horizontal="center" vertical="center"/>
    </xf>
    <xf borderId="1" fillId="2" fontId="2" numFmtId="9" xfId="0" applyAlignment="1" applyBorder="1" applyFont="1" applyNumberFormat="1">
      <alignment horizontal="center" vertical="center"/>
    </xf>
    <xf borderId="2" fillId="2" fontId="9" numFmtId="0" xfId="0" applyAlignment="1" applyBorder="1" applyFont="1">
      <alignment horizontal="center" vertical="center"/>
    </xf>
    <xf borderId="11" fillId="6" fontId="1" numFmtId="0" xfId="0" applyAlignment="1" applyBorder="1" applyFont="1">
      <alignment horizontal="center"/>
    </xf>
    <xf borderId="12" fillId="0" fontId="5" numFmtId="0" xfId="0" applyBorder="1" applyFont="1"/>
    <xf borderId="4" fillId="8" fontId="1" numFmtId="17" xfId="0" applyAlignment="1" applyBorder="1" applyFill="1" applyFont="1" applyNumberFormat="1">
      <alignment horizontal="center" vertical="center"/>
    </xf>
    <xf borderId="11" fillId="6" fontId="7" numFmtId="0" xfId="0" applyAlignment="1" applyBorder="1" applyFont="1">
      <alignment horizontal="center" vertical="center"/>
    </xf>
    <xf borderId="13" fillId="0" fontId="5" numFmtId="0" xfId="0" applyBorder="1" applyFont="1"/>
    <xf borderId="1" fillId="2" fontId="1" numFmtId="164" xfId="0" applyAlignment="1" applyBorder="1" applyFont="1" applyNumberFormat="1">
      <alignment horizontal="center" vertical="center"/>
    </xf>
    <xf borderId="1" fillId="2" fontId="1" numFmtId="9" xfId="0" applyAlignment="1" applyBorder="1" applyFont="1" applyNumberFormat="1">
      <alignment horizontal="center" vertical="center"/>
    </xf>
    <xf borderId="14" fillId="9" fontId="7" numFmtId="0" xfId="0" applyAlignment="1" applyBorder="1" applyFill="1" applyFont="1">
      <alignment horizontal="center" vertical="center"/>
    </xf>
    <xf borderId="5" fillId="9" fontId="7" numFmtId="0" xfId="0" applyAlignment="1" applyBorder="1" applyFont="1">
      <alignment horizontal="center" vertical="center"/>
    </xf>
    <xf borderId="5" fillId="10" fontId="7" numFmtId="0" xfId="0" applyAlignment="1" applyBorder="1" applyFill="1" applyFont="1">
      <alignment horizontal="center" vertical="center"/>
    </xf>
    <xf borderId="5" fillId="10" fontId="7" numFmtId="164" xfId="0" applyAlignment="1" applyBorder="1" applyFont="1" applyNumberFormat="1">
      <alignment horizontal="center" vertical="center"/>
    </xf>
    <xf borderId="0" fillId="0" fontId="1" numFmtId="0" xfId="0" applyFont="1"/>
    <xf borderId="5" fillId="9" fontId="7" numFmtId="9" xfId="0" applyAlignment="1" applyBorder="1" applyFont="1" applyNumberFormat="1">
      <alignment horizontal="center" vertical="center"/>
    </xf>
    <xf borderId="0" fillId="0" fontId="1" numFmtId="164" xfId="0" applyFont="1" applyNumberFormat="1"/>
    <xf borderId="0" fillId="0" fontId="1" numFmtId="9" xfId="0" applyFont="1" applyNumberFormat="1"/>
    <xf borderId="1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1" numFmtId="164" xfId="0" applyAlignment="1" applyBorder="1" applyFont="1" applyNumberFormat="1">
      <alignment horizontal="center" vertical="center"/>
    </xf>
    <xf borderId="5" fillId="0" fontId="1" numFmtId="9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textRotation="90" vertical="center"/>
    </xf>
    <xf borderId="5" fillId="2" fontId="1" numFmtId="9" xfId="0" applyAlignment="1" applyBorder="1" applyFont="1" applyNumberFormat="1">
      <alignment horizontal="center" vertical="center"/>
    </xf>
    <xf borderId="5" fillId="8" fontId="1" numFmtId="0" xfId="0" applyAlignment="1" applyBorder="1" applyFont="1">
      <alignment horizontal="center" vertical="center"/>
    </xf>
    <xf borderId="14" fillId="8" fontId="1" numFmtId="164" xfId="0" applyAlignment="1" applyBorder="1" applyFont="1" applyNumberFormat="1">
      <alignment horizontal="center" vertical="center"/>
    </xf>
    <xf borderId="5" fillId="8" fontId="1" numFmtId="9" xfId="0" applyAlignment="1" applyBorder="1" applyFont="1" applyNumberFormat="1">
      <alignment horizontal="center" vertical="center"/>
    </xf>
    <xf borderId="14" fillId="8" fontId="1" numFmtId="0" xfId="0" applyAlignment="1" applyBorder="1" applyFont="1">
      <alignment horizontal="center" vertical="center"/>
    </xf>
    <xf borderId="1" fillId="2" fontId="1" numFmtId="164" xfId="0" applyBorder="1" applyFont="1" applyNumberFormat="1"/>
    <xf borderId="15" fillId="0" fontId="1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shrinkToFit="0" textRotation="90" vertical="center" wrapText="1"/>
    </xf>
    <xf borderId="16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1" numFmtId="0" xfId="0" applyAlignment="1" applyFont="1">
      <alignment shrinkToFit="0" wrapText="1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Relationship Id="rId3" Type="http://schemas.openxmlformats.org/officeDocument/2006/relationships/image" Target="../media/image1.png"/><Relationship Id="rId4" Type="http://schemas.openxmlformats.org/officeDocument/2006/relationships/image" Target="../media/image3.jpg"/><Relationship Id="rId5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20821650" cy="1476375"/>
    <xdr:sp>
      <xdr:nvSpPr>
        <xdr:cNvPr id="3" name="Shape 3"/>
        <xdr:cNvSpPr/>
      </xdr:nvSpPr>
      <xdr:spPr>
        <a:xfrm>
          <a:off x="0" y="3046575"/>
          <a:ext cx="10692000" cy="1466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>
              <a:latin typeface="Arial"/>
              <a:ea typeface="Arial"/>
              <a:cs typeface="Arial"/>
              <a:sym typeface="Arial"/>
            </a:rPr>
            <a:t>                                                                     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>
              <a:latin typeface="Arial"/>
              <a:ea typeface="Arial"/>
              <a:cs typeface="Arial"/>
              <a:sym typeface="Arial"/>
            </a:rPr>
            <a:t>                                                          </a:t>
          </a:r>
          <a:r>
            <a:rPr b="1" lang="en-US" sz="2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OBJETIVOS STRATÉGICOS</a:t>
          </a:r>
          <a:endParaRPr b="1" sz="14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57150</xdr:colOff>
      <xdr:row>0</xdr:row>
      <xdr:rowOff>9525</xdr:rowOff>
    </xdr:from>
    <xdr:ext cx="1295400" cy="542925"/>
    <xdr:sp>
      <xdr:nvSpPr>
        <xdr:cNvPr id="4" name="Shape 4"/>
        <xdr:cNvSpPr txBox="1"/>
      </xdr:nvSpPr>
      <xdr:spPr>
        <a:xfrm>
          <a:off x="4703063" y="3513300"/>
          <a:ext cx="1285875" cy="5334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  <xdr:oneCellAnchor>
    <xdr:from>
      <xdr:col>0</xdr:col>
      <xdr:colOff>1552575</xdr:colOff>
      <xdr:row>2</xdr:row>
      <xdr:rowOff>9525</xdr:rowOff>
    </xdr:from>
    <xdr:ext cx="12172950" cy="600075"/>
    <xdr:grpSp>
      <xdr:nvGrpSpPr>
        <xdr:cNvPr id="2" name="Shape 2"/>
        <xdr:cNvGrpSpPr/>
      </xdr:nvGrpSpPr>
      <xdr:grpSpPr>
        <a:xfrm>
          <a:off x="0" y="3479963"/>
          <a:ext cx="10692000" cy="600075"/>
          <a:chOff x="0" y="3479963"/>
          <a:chExt cx="10692000" cy="600075"/>
        </a:xfrm>
      </xdr:grpSpPr>
      <xdr:grpSp>
        <xdr:nvGrpSpPr>
          <xdr:cNvPr id="5" name="Shape 5"/>
          <xdr:cNvGrpSpPr/>
        </xdr:nvGrpSpPr>
        <xdr:grpSpPr>
          <a:xfrm>
            <a:off x="0" y="3479963"/>
            <a:ext cx="10692000" cy="600075"/>
            <a:chOff x="0" y="3479963"/>
            <a:chExt cx="10692000" cy="600075"/>
          </a:xfrm>
        </xdr:grpSpPr>
        <xdr:sp>
          <xdr:nvSpPr>
            <xdr:cNvPr id="6" name="Shape 6"/>
            <xdr:cNvSpPr/>
          </xdr:nvSpPr>
          <xdr:spPr>
            <a:xfrm>
              <a:off x="0" y="3479963"/>
              <a:ext cx="1069200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" name="Shape 7"/>
            <xdr:cNvGrpSpPr/>
          </xdr:nvGrpSpPr>
          <xdr:grpSpPr>
            <a:xfrm>
              <a:off x="0" y="3479963"/>
              <a:ext cx="10692000" cy="600075"/>
              <a:chOff x="0" y="3479963"/>
              <a:chExt cx="10692000" cy="600075"/>
            </a:xfrm>
          </xdr:grpSpPr>
          <xdr:sp>
            <xdr:nvSpPr>
              <xdr:cNvPr id="8" name="Shape 8"/>
              <xdr:cNvSpPr/>
            </xdr:nvSpPr>
            <xdr:spPr>
              <a:xfrm>
                <a:off x="0" y="3479963"/>
                <a:ext cx="10692000" cy="600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9" name="Shape 9"/>
              <xdr:cNvGrpSpPr/>
            </xdr:nvGrpSpPr>
            <xdr:grpSpPr>
              <a:xfrm>
                <a:off x="0" y="3479963"/>
                <a:ext cx="10692000" cy="600075"/>
                <a:chOff x="0" y="3479963"/>
                <a:chExt cx="10692000" cy="600075"/>
              </a:xfrm>
            </xdr:grpSpPr>
            <xdr:sp>
              <xdr:nvSpPr>
                <xdr:cNvPr id="10" name="Shape 10"/>
                <xdr:cNvSpPr/>
              </xdr:nvSpPr>
              <xdr:spPr>
                <a:xfrm>
                  <a:off x="0" y="3479963"/>
                  <a:ext cx="10692000" cy="600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1" name="Shape 11"/>
                <xdr:cNvGrpSpPr/>
              </xdr:nvGrpSpPr>
              <xdr:grpSpPr>
                <a:xfrm>
                  <a:off x="0" y="3479963"/>
                  <a:ext cx="10692000" cy="600075"/>
                  <a:chOff x="1615439" y="49532"/>
                  <a:chExt cx="12302193" cy="607558"/>
                </a:xfrm>
              </xdr:grpSpPr>
              <xdr:sp>
                <xdr:nvSpPr>
                  <xdr:cNvPr id="12" name="Shape 12"/>
                  <xdr:cNvSpPr/>
                </xdr:nvSpPr>
                <xdr:spPr>
                  <a:xfrm>
                    <a:off x="1615439" y="49532"/>
                    <a:ext cx="12302175" cy="6075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pic>
                <xdr:nvPicPr>
                  <xdr:cNvPr id="13" name="Shape 13"/>
                  <xdr:cNvPicPr preferRelativeResize="0"/>
                </xdr:nvPicPr>
                <xdr:blipFill rotWithShape="1">
                  <a:blip r:embed="rId1">
                    <a:alphaModFix/>
                  </a:blip>
                  <a:srcRect b="17430" l="20639" r="16971" t="19725"/>
                  <a:stretch/>
                </xdr:blipFill>
                <xdr:spPr>
                  <a:xfrm flipH="1">
                    <a:off x="1615439" y="128088"/>
                    <a:ext cx="525141" cy="52900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  <xdr:pic>
                <xdr:nvPicPr>
                  <xdr:cNvPr id="14" name="Shape 14"/>
                  <xdr:cNvPicPr preferRelativeResize="0"/>
                </xdr:nvPicPr>
                <xdr:blipFill rotWithShape="1">
                  <a:blip r:embed="rId2">
                    <a:alphaModFix/>
                  </a:blip>
                  <a:srcRect b="25354" l="21805" r="22052" t="28383"/>
                  <a:stretch/>
                </xdr:blipFill>
                <xdr:spPr>
                  <a:xfrm>
                    <a:off x="12609046" y="49532"/>
                    <a:ext cx="1308586" cy="60755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</xdr:grpSp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0</xdr:rowOff>
    </xdr:from>
    <xdr:ext cx="24765000" cy="1476375"/>
    <xdr:sp>
      <xdr:nvSpPr>
        <xdr:cNvPr id="15" name="Shape 15"/>
        <xdr:cNvSpPr/>
      </xdr:nvSpPr>
      <xdr:spPr>
        <a:xfrm>
          <a:off x="0" y="3046575"/>
          <a:ext cx="10692000" cy="1466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                                                                     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>
              <a:latin typeface="Arial"/>
              <a:ea typeface="Arial"/>
              <a:cs typeface="Arial"/>
              <a:sym typeface="Arial"/>
            </a:rPr>
            <a:t>                                                              </a:t>
          </a:r>
          <a:r>
            <a:rPr b="1" lang="en-US" sz="2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DESDOBRAMENTOS </a:t>
          </a:r>
          <a:endParaRPr b="1" sz="14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57150</xdr:colOff>
      <xdr:row>0</xdr:row>
      <xdr:rowOff>9525</xdr:rowOff>
    </xdr:from>
    <xdr:ext cx="1295400" cy="542925"/>
    <xdr:sp>
      <xdr:nvSpPr>
        <xdr:cNvPr id="16" name="Shape 16"/>
        <xdr:cNvSpPr txBox="1"/>
      </xdr:nvSpPr>
      <xdr:spPr>
        <a:xfrm>
          <a:off x="4703063" y="3513300"/>
          <a:ext cx="1285875" cy="5334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  <xdr:oneCellAnchor>
    <xdr:from>
      <xdr:col>0</xdr:col>
      <xdr:colOff>1609725</xdr:colOff>
      <xdr:row>2</xdr:row>
      <xdr:rowOff>66675</xdr:rowOff>
    </xdr:from>
    <xdr:ext cx="12182475" cy="600075"/>
    <xdr:grpSp>
      <xdr:nvGrpSpPr>
        <xdr:cNvPr id="2" name="Shape 2"/>
        <xdr:cNvGrpSpPr/>
      </xdr:nvGrpSpPr>
      <xdr:grpSpPr>
        <a:xfrm>
          <a:off x="0" y="3479963"/>
          <a:ext cx="10692000" cy="600075"/>
          <a:chOff x="0" y="3479963"/>
          <a:chExt cx="10692000" cy="600075"/>
        </a:xfrm>
      </xdr:grpSpPr>
      <xdr:grpSp>
        <xdr:nvGrpSpPr>
          <xdr:cNvPr id="17" name="Shape 17"/>
          <xdr:cNvGrpSpPr/>
        </xdr:nvGrpSpPr>
        <xdr:grpSpPr>
          <a:xfrm>
            <a:off x="0" y="3479963"/>
            <a:ext cx="10692000" cy="600075"/>
            <a:chOff x="0" y="3479963"/>
            <a:chExt cx="10692000" cy="600075"/>
          </a:xfrm>
        </xdr:grpSpPr>
        <xdr:sp>
          <xdr:nvSpPr>
            <xdr:cNvPr id="6" name="Shape 6"/>
            <xdr:cNvSpPr/>
          </xdr:nvSpPr>
          <xdr:spPr>
            <a:xfrm>
              <a:off x="0" y="3479963"/>
              <a:ext cx="1069200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8" name="Shape 18"/>
            <xdr:cNvGrpSpPr/>
          </xdr:nvGrpSpPr>
          <xdr:grpSpPr>
            <a:xfrm>
              <a:off x="0" y="3479963"/>
              <a:ext cx="10692000" cy="600075"/>
              <a:chOff x="0" y="3479963"/>
              <a:chExt cx="10692000" cy="600075"/>
            </a:xfrm>
          </xdr:grpSpPr>
          <xdr:sp>
            <xdr:nvSpPr>
              <xdr:cNvPr id="19" name="Shape 19"/>
              <xdr:cNvSpPr/>
            </xdr:nvSpPr>
            <xdr:spPr>
              <a:xfrm>
                <a:off x="0" y="3479963"/>
                <a:ext cx="10692000" cy="600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0" name="Shape 20"/>
              <xdr:cNvGrpSpPr/>
            </xdr:nvGrpSpPr>
            <xdr:grpSpPr>
              <a:xfrm>
                <a:off x="0" y="3479963"/>
                <a:ext cx="10692000" cy="600075"/>
                <a:chOff x="0" y="3479963"/>
                <a:chExt cx="10692000" cy="600075"/>
              </a:xfrm>
            </xdr:grpSpPr>
            <xdr:sp>
              <xdr:nvSpPr>
                <xdr:cNvPr id="21" name="Shape 21"/>
                <xdr:cNvSpPr/>
              </xdr:nvSpPr>
              <xdr:spPr>
                <a:xfrm>
                  <a:off x="0" y="3479963"/>
                  <a:ext cx="10692000" cy="600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2" name="Shape 22"/>
                <xdr:cNvGrpSpPr/>
              </xdr:nvGrpSpPr>
              <xdr:grpSpPr>
                <a:xfrm>
                  <a:off x="0" y="3479963"/>
                  <a:ext cx="10692000" cy="600075"/>
                  <a:chOff x="1615439" y="49532"/>
                  <a:chExt cx="12302193" cy="607558"/>
                </a:xfrm>
              </xdr:grpSpPr>
              <xdr:sp>
                <xdr:nvSpPr>
                  <xdr:cNvPr id="23" name="Shape 23"/>
                  <xdr:cNvSpPr/>
                </xdr:nvSpPr>
                <xdr:spPr>
                  <a:xfrm>
                    <a:off x="1615439" y="49532"/>
                    <a:ext cx="12302175" cy="6075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pic>
                <xdr:nvPicPr>
                  <xdr:cNvPr id="24" name="Shape 24"/>
                  <xdr:cNvPicPr preferRelativeResize="0"/>
                </xdr:nvPicPr>
                <xdr:blipFill rotWithShape="1">
                  <a:blip r:embed="rId1">
                    <a:alphaModFix/>
                  </a:blip>
                  <a:srcRect b="17430" l="20639" r="16971" t="19725"/>
                  <a:stretch/>
                </xdr:blipFill>
                <xdr:spPr>
                  <a:xfrm flipH="1">
                    <a:off x="1615439" y="128088"/>
                    <a:ext cx="525141" cy="52900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  <xdr:pic>
                <xdr:nvPicPr>
                  <xdr:cNvPr id="25" name="Shape 25"/>
                  <xdr:cNvPicPr preferRelativeResize="0"/>
                </xdr:nvPicPr>
                <xdr:blipFill rotWithShape="1">
                  <a:blip r:embed="rId2">
                    <a:alphaModFix/>
                  </a:blip>
                  <a:srcRect b="25354" l="21805" r="22052" t="28383"/>
                  <a:stretch/>
                </xdr:blipFill>
                <xdr:spPr>
                  <a:xfrm>
                    <a:off x="12609046" y="49532"/>
                    <a:ext cx="1308586" cy="60755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</xdr:grpSp>
          </xdr:grpSp>
        </xdr:grpSp>
      </xdr:grpSp>
    </xdr:grpSp>
    <xdr:clientData fLocksWithSheet="0"/>
  </xdr:oneCellAnchor>
  <xdr:oneCellAnchor>
    <xdr:from>
      <xdr:col>1</xdr:col>
      <xdr:colOff>38100</xdr:colOff>
      <xdr:row>1</xdr:row>
      <xdr:rowOff>19050</xdr:rowOff>
    </xdr:from>
    <xdr:ext cx="0" cy="5524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678400" cy="1466850"/>
    <xdr:sp>
      <xdr:nvSpPr>
        <xdr:cNvPr id="26" name="Shape 26"/>
        <xdr:cNvSpPr/>
      </xdr:nvSpPr>
      <xdr:spPr>
        <a:xfrm>
          <a:off x="0" y="3051338"/>
          <a:ext cx="10692000" cy="1457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2800"/>
            <a:buFont typeface="Arial"/>
            <a:buNone/>
          </a:pPr>
          <a:r>
            <a:rPr b="1" lang="en-US" sz="2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PAINEL DE CONTROLE</a:t>
          </a:r>
          <a:endParaRPr b="1" sz="28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885825</xdr:colOff>
      <xdr:row>2</xdr:row>
      <xdr:rowOff>85725</xdr:rowOff>
    </xdr:from>
    <xdr:ext cx="13706475" cy="685800"/>
    <xdr:grpSp>
      <xdr:nvGrpSpPr>
        <xdr:cNvPr id="2" name="Shape 2"/>
        <xdr:cNvGrpSpPr/>
      </xdr:nvGrpSpPr>
      <xdr:grpSpPr>
        <a:xfrm>
          <a:off x="0" y="3437100"/>
          <a:ext cx="10692000" cy="685800"/>
          <a:chOff x="0" y="3437100"/>
          <a:chExt cx="10692000" cy="685800"/>
        </a:xfrm>
      </xdr:grpSpPr>
      <xdr:grpSp>
        <xdr:nvGrpSpPr>
          <xdr:cNvPr id="27" name="Shape 27"/>
          <xdr:cNvGrpSpPr/>
        </xdr:nvGrpSpPr>
        <xdr:grpSpPr>
          <a:xfrm>
            <a:off x="0" y="3437100"/>
            <a:ext cx="10692000" cy="685800"/>
            <a:chOff x="0" y="3437100"/>
            <a:chExt cx="10692000" cy="685800"/>
          </a:xfrm>
        </xdr:grpSpPr>
        <xdr:sp>
          <xdr:nvSpPr>
            <xdr:cNvPr id="6" name="Shape 6"/>
            <xdr:cNvSpPr/>
          </xdr:nvSpPr>
          <xdr:spPr>
            <a:xfrm>
              <a:off x="0" y="3437100"/>
              <a:ext cx="10692000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8" name="Shape 28"/>
            <xdr:cNvGrpSpPr/>
          </xdr:nvGrpSpPr>
          <xdr:grpSpPr>
            <a:xfrm>
              <a:off x="0" y="3437100"/>
              <a:ext cx="10692000" cy="685800"/>
              <a:chOff x="0" y="3437100"/>
              <a:chExt cx="10692000" cy="685800"/>
            </a:xfrm>
          </xdr:grpSpPr>
          <xdr:sp>
            <xdr:nvSpPr>
              <xdr:cNvPr id="29" name="Shape 29"/>
              <xdr:cNvSpPr/>
            </xdr:nvSpPr>
            <xdr:spPr>
              <a:xfrm>
                <a:off x="0" y="3437100"/>
                <a:ext cx="10692000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0" name="Shape 30"/>
              <xdr:cNvGrpSpPr/>
            </xdr:nvGrpSpPr>
            <xdr:grpSpPr>
              <a:xfrm>
                <a:off x="0" y="3437100"/>
                <a:ext cx="10692000" cy="685800"/>
                <a:chOff x="0" y="3437100"/>
                <a:chExt cx="10692000" cy="685800"/>
              </a:xfrm>
            </xdr:grpSpPr>
            <xdr:sp>
              <xdr:nvSpPr>
                <xdr:cNvPr id="31" name="Shape 31"/>
                <xdr:cNvSpPr/>
              </xdr:nvSpPr>
              <xdr:spPr>
                <a:xfrm>
                  <a:off x="0" y="3437100"/>
                  <a:ext cx="10692000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2" name="Shape 32"/>
                <xdr:cNvGrpSpPr/>
              </xdr:nvGrpSpPr>
              <xdr:grpSpPr>
                <a:xfrm>
                  <a:off x="0" y="3437100"/>
                  <a:ext cx="10692000" cy="685800"/>
                  <a:chOff x="1615439" y="49532"/>
                  <a:chExt cx="12302193" cy="607558"/>
                </a:xfrm>
              </xdr:grpSpPr>
              <xdr:sp>
                <xdr:nvSpPr>
                  <xdr:cNvPr id="33" name="Shape 33"/>
                  <xdr:cNvSpPr/>
                </xdr:nvSpPr>
                <xdr:spPr>
                  <a:xfrm>
                    <a:off x="1615439" y="49532"/>
                    <a:ext cx="12302175" cy="6075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pic>
                <xdr:nvPicPr>
                  <xdr:cNvPr id="34" name="Shape 34"/>
                  <xdr:cNvPicPr preferRelativeResize="0"/>
                </xdr:nvPicPr>
                <xdr:blipFill rotWithShape="1">
                  <a:blip r:embed="rId1">
                    <a:alphaModFix/>
                  </a:blip>
                  <a:srcRect b="17430" l="20639" r="16971" t="19725"/>
                  <a:stretch/>
                </xdr:blipFill>
                <xdr:spPr>
                  <a:xfrm flipH="1">
                    <a:off x="1615439" y="128088"/>
                    <a:ext cx="525141" cy="52900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  <xdr:pic>
                <xdr:nvPicPr>
                  <xdr:cNvPr id="35" name="Shape 35"/>
                  <xdr:cNvPicPr preferRelativeResize="0"/>
                </xdr:nvPicPr>
                <xdr:blipFill rotWithShape="1">
                  <a:blip r:embed="rId2">
                    <a:alphaModFix/>
                  </a:blip>
                  <a:srcRect b="25354" l="21805" r="22052" t="28383"/>
                  <a:stretch/>
                </xdr:blipFill>
                <xdr:spPr>
                  <a:xfrm>
                    <a:off x="12609046" y="49532"/>
                    <a:ext cx="1308586" cy="60755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</xdr:grpSp>
          </xdr:grpSp>
        </xdr:grpSp>
      </xdr:grpSp>
    </xdr:grpSp>
    <xdr:clientData fLocksWithSheet="0"/>
  </xdr:oneCellAnchor>
  <xdr:oneCellAnchor>
    <xdr:from>
      <xdr:col>1</xdr:col>
      <xdr:colOff>38100</xdr:colOff>
      <xdr:row>1</xdr:row>
      <xdr:rowOff>19050</xdr:rowOff>
    </xdr:from>
    <xdr:ext cx="0" cy="5429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29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29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31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31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32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32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33.43"/>
    <col customWidth="1" min="2" max="2" width="13.0"/>
    <col customWidth="1" min="3" max="3" width="8.86"/>
    <col customWidth="1" min="4" max="4" width="98.43"/>
    <col customWidth="1" min="5" max="5" width="53.29"/>
    <col customWidth="1" min="6" max="6" width="20.14"/>
    <col customWidth="1" min="7" max="7" width="14.43"/>
    <col customWidth="1" hidden="1" min="8" max="18" width="11.86" outlineLevel="1"/>
    <col customWidth="1" hidden="1" min="19" max="19" width="0.43" outlineLevel="1"/>
    <col customWidth="1" min="20" max="20" width="11.86"/>
    <col customWidth="1" hidden="1" min="21" max="32" width="11.86" outlineLevel="1"/>
    <col customWidth="1" min="33" max="33" width="11.86"/>
    <col customWidth="1" hidden="1" min="34" max="45" width="11.86" outlineLevel="1"/>
    <col customWidth="1" min="46" max="46" width="11.86"/>
    <col customWidth="1" hidden="1" min="47" max="58" width="11.86" outlineLevel="1"/>
    <col customWidth="1" min="59" max="59" width="12.0"/>
    <col customWidth="1" hidden="1" min="60" max="71" width="12.0" outlineLevel="1"/>
    <col customWidth="1" min="72" max="72" width="14.86"/>
  </cols>
  <sheetData>
    <row r="1" ht="6.75" customHeight="1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ht="21.75" customHeight="1">
      <c r="A2" s="4"/>
      <c r="B2" s="5"/>
      <c r="C2" s="6"/>
      <c r="D2" s="6"/>
      <c r="E2" s="6"/>
      <c r="F2" s="6"/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ht="60.75" customHeight="1">
      <c r="A3" s="1"/>
      <c r="B3" s="7"/>
      <c r="C3" s="6"/>
      <c r="D3" s="6"/>
      <c r="E3" s="6"/>
      <c r="F3" s="6"/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ht="22.5" customHeight="1">
      <c r="A4" s="1"/>
      <c r="B4" s="2"/>
      <c r="C4" s="2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  <row r="5" ht="24.0" customHeight="1">
      <c r="A5" s="1"/>
      <c r="B5" s="8" t="s">
        <v>0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9">
        <v>43101.0</v>
      </c>
      <c r="I5" s="9">
        <v>43132.0</v>
      </c>
      <c r="J5" s="9">
        <v>43160.0</v>
      </c>
      <c r="K5" s="9">
        <v>43191.0</v>
      </c>
      <c r="L5" s="9">
        <v>43221.0</v>
      </c>
      <c r="M5" s="9">
        <v>43252.0</v>
      </c>
      <c r="N5" s="9">
        <v>43282.0</v>
      </c>
      <c r="O5" s="9">
        <v>43313.0</v>
      </c>
      <c r="P5" s="9">
        <v>43344.0</v>
      </c>
      <c r="Q5" s="9">
        <v>43374.0</v>
      </c>
      <c r="R5" s="9">
        <v>43405.0</v>
      </c>
      <c r="S5" s="9">
        <v>43435.0</v>
      </c>
      <c r="T5" s="10" t="s">
        <v>6</v>
      </c>
      <c r="U5" s="9">
        <v>43466.0</v>
      </c>
      <c r="V5" s="9">
        <v>43497.0</v>
      </c>
      <c r="W5" s="9">
        <v>43525.0</v>
      </c>
      <c r="X5" s="9">
        <v>43556.0</v>
      </c>
      <c r="Y5" s="9">
        <v>43586.0</v>
      </c>
      <c r="Z5" s="9">
        <v>43617.0</v>
      </c>
      <c r="AA5" s="9">
        <v>43647.0</v>
      </c>
      <c r="AB5" s="9">
        <v>43678.0</v>
      </c>
      <c r="AC5" s="9">
        <v>43709.0</v>
      </c>
      <c r="AD5" s="9">
        <v>43739.0</v>
      </c>
      <c r="AE5" s="9">
        <v>43770.0</v>
      </c>
      <c r="AF5" s="9">
        <v>43800.0</v>
      </c>
      <c r="AG5" s="10" t="s">
        <v>7</v>
      </c>
      <c r="AH5" s="9">
        <v>43831.0</v>
      </c>
      <c r="AI5" s="9">
        <v>43862.0</v>
      </c>
      <c r="AJ5" s="9">
        <v>43891.0</v>
      </c>
      <c r="AK5" s="9">
        <v>43922.0</v>
      </c>
      <c r="AL5" s="9">
        <v>43952.0</v>
      </c>
      <c r="AM5" s="9">
        <v>43983.0</v>
      </c>
      <c r="AN5" s="9">
        <v>44013.0</v>
      </c>
      <c r="AO5" s="9">
        <v>44044.0</v>
      </c>
      <c r="AP5" s="9">
        <v>44075.0</v>
      </c>
      <c r="AQ5" s="9">
        <v>44105.0</v>
      </c>
      <c r="AR5" s="9">
        <v>44136.0</v>
      </c>
      <c r="AS5" s="9">
        <v>44166.0</v>
      </c>
      <c r="AT5" s="10" t="s">
        <v>8</v>
      </c>
      <c r="AU5" s="9">
        <v>44197.0</v>
      </c>
      <c r="AV5" s="9">
        <v>44228.0</v>
      </c>
      <c r="AW5" s="9">
        <v>44256.0</v>
      </c>
      <c r="AX5" s="9">
        <v>44287.0</v>
      </c>
      <c r="AY5" s="9">
        <v>44317.0</v>
      </c>
      <c r="AZ5" s="9">
        <v>44348.0</v>
      </c>
      <c r="BA5" s="9">
        <v>44378.0</v>
      </c>
      <c r="BB5" s="9">
        <v>44409.0</v>
      </c>
      <c r="BC5" s="9">
        <v>44440.0</v>
      </c>
      <c r="BD5" s="9">
        <v>44470.0</v>
      </c>
      <c r="BE5" s="9">
        <v>44501.0</v>
      </c>
      <c r="BF5" s="9">
        <v>44531.0</v>
      </c>
      <c r="BG5" s="10" t="s">
        <v>8</v>
      </c>
      <c r="BH5" s="9">
        <v>44562.0</v>
      </c>
      <c r="BI5" s="9">
        <v>44593.0</v>
      </c>
      <c r="BJ5" s="9">
        <v>44621.0</v>
      </c>
      <c r="BK5" s="9">
        <v>44652.0</v>
      </c>
      <c r="BL5" s="9">
        <v>44682.0</v>
      </c>
      <c r="BM5" s="9">
        <v>44713.0</v>
      </c>
      <c r="BN5" s="9">
        <v>44743.0</v>
      </c>
      <c r="BO5" s="9">
        <v>44774.0</v>
      </c>
      <c r="BP5" s="9">
        <v>44805.0</v>
      </c>
      <c r="BQ5" s="9">
        <v>44835.0</v>
      </c>
      <c r="BR5" s="9">
        <v>44866.0</v>
      </c>
      <c r="BS5" s="9">
        <v>44896.0</v>
      </c>
      <c r="BT5" s="10" t="s">
        <v>9</v>
      </c>
    </row>
    <row r="6" ht="8.25" customHeight="1">
      <c r="A6" s="1"/>
      <c r="B6" s="11"/>
      <c r="C6" s="11"/>
      <c r="D6" s="11"/>
      <c r="E6" s="11"/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ht="27.0" customHeight="1">
      <c r="A7" s="1"/>
      <c r="B7" s="12" t="s">
        <v>10</v>
      </c>
      <c r="C7" s="13">
        <v>1.0</v>
      </c>
      <c r="D7" s="13"/>
      <c r="E7" s="13"/>
      <c r="F7" s="13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</row>
    <row r="8" ht="22.5" customHeight="1">
      <c r="A8" s="1"/>
      <c r="B8" s="15"/>
      <c r="C8" s="13">
        <v>2.0</v>
      </c>
      <c r="D8" s="13"/>
      <c r="E8" s="13"/>
      <c r="F8" s="1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</row>
    <row r="9" ht="18.75" customHeight="1">
      <c r="A9" s="1"/>
      <c r="B9" s="15"/>
      <c r="C9" s="13">
        <v>3.0</v>
      </c>
      <c r="D9" s="13"/>
      <c r="E9" s="13"/>
      <c r="F9" s="1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</row>
    <row r="10" ht="21.0" customHeight="1">
      <c r="A10" s="1"/>
      <c r="B10" s="15"/>
      <c r="C10" s="13">
        <v>4.0</v>
      </c>
      <c r="D10" s="13"/>
      <c r="E10" s="13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</row>
    <row r="11" ht="21.0" customHeight="1">
      <c r="A11" s="1"/>
      <c r="B11" s="16"/>
      <c r="C11" s="13">
        <v>5.0</v>
      </c>
      <c r="D11" s="13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ht="6.0" customHeight="1">
      <c r="A12" s="1"/>
      <c r="B12" s="17"/>
      <c r="C12" s="11"/>
      <c r="D12" s="11"/>
      <c r="E12" s="11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ht="25.5" customHeight="1">
      <c r="A13" s="1"/>
      <c r="B13" s="12" t="s">
        <v>11</v>
      </c>
      <c r="C13" s="13">
        <v>1.0</v>
      </c>
      <c r="D13" s="13"/>
      <c r="E13" s="13"/>
      <c r="F13" s="13"/>
      <c r="G13" s="18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</row>
    <row r="14" ht="25.5" customHeight="1">
      <c r="A14" s="19"/>
      <c r="B14" s="15"/>
      <c r="C14" s="13">
        <v>2.0</v>
      </c>
      <c r="D14" s="13"/>
      <c r="E14" s="13"/>
      <c r="F14" s="13"/>
      <c r="G14" s="18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</row>
    <row r="15" ht="29.25" customHeight="1">
      <c r="A15" s="19"/>
      <c r="B15" s="15"/>
      <c r="C15" s="13">
        <v>3.0</v>
      </c>
      <c r="D15" s="13"/>
      <c r="E15" s="13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</row>
    <row r="16" ht="29.25" customHeight="1">
      <c r="A16" s="1"/>
      <c r="B16" s="15"/>
      <c r="C16" s="13">
        <v>4.0</v>
      </c>
      <c r="D16" s="13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</row>
    <row r="17" ht="29.25" customHeight="1">
      <c r="A17" s="1"/>
      <c r="B17" s="16"/>
      <c r="C17" s="13">
        <v>5.0</v>
      </c>
      <c r="D17" s="13"/>
      <c r="E17" s="13"/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</row>
    <row r="18" ht="6.0" customHeight="1">
      <c r="A18" s="1"/>
      <c r="B18" s="17"/>
      <c r="C18" s="11"/>
      <c r="D18" s="11"/>
      <c r="E18" s="11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ht="29.25" customHeight="1">
      <c r="A19" s="1"/>
      <c r="B19" s="20" t="s">
        <v>12</v>
      </c>
      <c r="C19" s="13">
        <v>1.0</v>
      </c>
      <c r="D19" s="13"/>
      <c r="E19" s="13"/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</row>
    <row r="20" ht="29.25" customHeight="1">
      <c r="A20" s="1"/>
      <c r="B20" s="15"/>
      <c r="C20" s="13">
        <v>2.0</v>
      </c>
      <c r="D20" s="13"/>
      <c r="E20" s="13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</row>
    <row r="21" ht="29.25" customHeight="1">
      <c r="A21" s="1"/>
      <c r="B21" s="15"/>
      <c r="C21" s="13">
        <v>3.0</v>
      </c>
      <c r="D21" s="13"/>
      <c r="E21" s="13"/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</row>
    <row r="22" ht="29.25" customHeight="1">
      <c r="A22" s="1"/>
      <c r="B22" s="15"/>
      <c r="C22" s="13">
        <v>4.0</v>
      </c>
      <c r="D22" s="13"/>
      <c r="E22" s="13"/>
      <c r="F22" s="13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</row>
    <row r="23" ht="29.25" customHeight="1">
      <c r="A23" s="19"/>
      <c r="B23" s="16"/>
      <c r="C23" s="13">
        <v>5.0</v>
      </c>
      <c r="D23" s="13"/>
      <c r="E23" s="13"/>
      <c r="F23" s="13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</row>
    <row r="24" ht="6.0" customHeight="1">
      <c r="A24" s="19"/>
      <c r="B24" s="17"/>
      <c r="C24" s="11"/>
      <c r="D24" s="11"/>
      <c r="E24" s="11"/>
      <c r="F24" s="1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ht="29.25" customHeight="1">
      <c r="A25" s="1"/>
      <c r="B25" s="20" t="s">
        <v>13</v>
      </c>
      <c r="C25" s="13">
        <v>1.0</v>
      </c>
      <c r="D25" s="13"/>
      <c r="E25" s="13"/>
      <c r="F25" s="13"/>
      <c r="G25" s="18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</row>
    <row r="26" ht="29.25" customHeight="1">
      <c r="A26" s="1"/>
      <c r="B26" s="15"/>
      <c r="C26" s="13">
        <v>2.0</v>
      </c>
      <c r="D26" s="13"/>
      <c r="E26" s="13"/>
      <c r="F26" s="13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</row>
    <row r="27" ht="29.25" customHeight="1">
      <c r="A27" s="1"/>
      <c r="B27" s="15"/>
      <c r="C27" s="13">
        <v>3.0</v>
      </c>
      <c r="D27" s="13"/>
      <c r="E27" s="13"/>
      <c r="F27" s="13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</row>
    <row r="28" ht="29.25" customHeight="1">
      <c r="A28" s="1"/>
      <c r="B28" s="15"/>
      <c r="C28" s="13">
        <v>4.0</v>
      </c>
      <c r="D28" s="13"/>
      <c r="E28" s="13"/>
      <c r="F28" s="13"/>
      <c r="G28" s="18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</row>
    <row r="29" ht="29.25" customHeight="1">
      <c r="A29" s="1"/>
      <c r="B29" s="16"/>
      <c r="C29" s="13">
        <v>5.0</v>
      </c>
      <c r="D29" s="13"/>
      <c r="E29" s="13"/>
      <c r="F29" s="13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</row>
    <row r="30" ht="14.25" customHeight="1">
      <c r="A30" s="1"/>
      <c r="B30" s="11"/>
      <c r="C30" s="11"/>
      <c r="D30" s="11"/>
      <c r="E30" s="11"/>
      <c r="F30" s="1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ht="14.25" customHeight="1">
      <c r="A31" s="1"/>
      <c r="B31" s="11"/>
      <c r="C31" s="11"/>
      <c r="D31" s="11"/>
      <c r="E31" s="11"/>
      <c r="F31" s="1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ht="14.25" customHeight="1">
      <c r="A32" s="1"/>
      <c r="B32" s="11"/>
      <c r="C32" s="11"/>
      <c r="D32" s="11"/>
      <c r="E32" s="11"/>
      <c r="F32" s="1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ht="14.25" customHeight="1">
      <c r="A33" s="1"/>
      <c r="B33" s="11"/>
      <c r="C33" s="11"/>
      <c r="D33" s="11"/>
      <c r="E33" s="11"/>
      <c r="F33" s="1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ht="14.25" customHeight="1">
      <c r="A34" s="1"/>
      <c r="B34" s="11"/>
      <c r="C34" s="11"/>
      <c r="D34" s="11"/>
      <c r="E34" s="11"/>
      <c r="F34" s="1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</row>
    <row r="35" ht="14.25" customHeight="1">
      <c r="A35" s="1"/>
      <c r="B35" s="11"/>
      <c r="C35" s="11"/>
      <c r="D35" s="11"/>
      <c r="E35" s="11"/>
      <c r="F35" s="1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</row>
    <row r="36" ht="14.25" customHeight="1">
      <c r="A36" s="1"/>
      <c r="B36" s="11"/>
      <c r="C36" s="11"/>
      <c r="D36" s="11"/>
      <c r="E36" s="11"/>
      <c r="F36" s="1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</row>
    <row r="37" ht="14.25" customHeight="1">
      <c r="A37" s="1"/>
      <c r="B37" s="11"/>
      <c r="C37" s="11"/>
      <c r="D37" s="11"/>
      <c r="E37" s="11"/>
      <c r="F37" s="1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</row>
    <row r="38" ht="14.25" customHeight="1">
      <c r="A38" s="1"/>
      <c r="B38" s="11"/>
      <c r="C38" s="11"/>
      <c r="D38" s="11"/>
      <c r="E38" s="11"/>
      <c r="F38" s="1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</row>
    <row r="39" ht="14.25" customHeight="1">
      <c r="A39" s="1"/>
      <c r="B39" s="11"/>
      <c r="C39" s="11"/>
      <c r="D39" s="11"/>
      <c r="E39" s="11"/>
      <c r="F39" s="1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</row>
    <row r="40" ht="14.25" customHeight="1">
      <c r="A40" s="1"/>
      <c r="B40" s="11"/>
      <c r="C40" s="11"/>
      <c r="D40" s="11"/>
      <c r="E40" s="11"/>
      <c r="F40" s="1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ht="14.25" customHeight="1">
      <c r="A41" s="1"/>
      <c r="B41" s="11"/>
      <c r="C41" s="11"/>
      <c r="D41" s="11"/>
      <c r="E41" s="11"/>
      <c r="F41" s="1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ht="14.25" customHeight="1">
      <c r="A42" s="1"/>
      <c r="B42" s="11"/>
      <c r="C42" s="11"/>
      <c r="D42" s="11"/>
      <c r="E42" s="11"/>
      <c r="F42" s="1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ht="14.25" customHeight="1">
      <c r="A43" s="1"/>
      <c r="B43" s="11"/>
      <c r="C43" s="11"/>
      <c r="D43" s="11"/>
      <c r="E43" s="11"/>
      <c r="F43" s="1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ht="14.25" customHeight="1">
      <c r="A44" s="1"/>
      <c r="B44" s="11"/>
      <c r="C44" s="11"/>
      <c r="D44" s="11"/>
      <c r="E44" s="11"/>
      <c r="F44" s="1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ht="14.25" customHeight="1">
      <c r="A45" s="1"/>
      <c r="B45" s="11"/>
      <c r="C45" s="11"/>
      <c r="D45" s="11"/>
      <c r="E45" s="11"/>
      <c r="F45" s="1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ht="14.25" customHeight="1">
      <c r="A46" s="1"/>
      <c r="B46" s="11"/>
      <c r="C46" s="11"/>
      <c r="D46" s="11"/>
      <c r="E46" s="11"/>
      <c r="F46" s="1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ht="14.25" customHeight="1">
      <c r="A47" s="1"/>
      <c r="B47" s="11"/>
      <c r="C47" s="11"/>
      <c r="D47" s="11"/>
      <c r="E47" s="11"/>
      <c r="F47" s="1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ht="14.25" customHeight="1">
      <c r="A48" s="1"/>
      <c r="B48" s="11"/>
      <c r="C48" s="11"/>
      <c r="D48" s="11"/>
      <c r="E48" s="11"/>
      <c r="F48" s="1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ht="14.25" customHeight="1">
      <c r="A49" s="1"/>
      <c r="B49" s="11"/>
      <c r="C49" s="11"/>
      <c r="D49" s="11"/>
      <c r="E49" s="11"/>
      <c r="F49" s="1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ht="14.25" customHeight="1">
      <c r="A50" s="1"/>
      <c r="B50" s="11"/>
      <c r="C50" s="11"/>
      <c r="D50" s="11"/>
      <c r="E50" s="11"/>
      <c r="F50" s="1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ht="14.25" customHeight="1">
      <c r="A51" s="1"/>
      <c r="B51" s="11"/>
      <c r="C51" s="11"/>
      <c r="D51" s="11"/>
      <c r="E51" s="11"/>
      <c r="F51" s="1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ht="14.25" customHeight="1">
      <c r="A52" s="1"/>
      <c r="B52" s="11"/>
      <c r="C52" s="11"/>
      <c r="D52" s="11"/>
      <c r="E52" s="11"/>
      <c r="F52" s="1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ht="14.25" customHeight="1">
      <c r="A53" s="1"/>
      <c r="B53" s="11"/>
      <c r="C53" s="11"/>
      <c r="D53" s="11"/>
      <c r="E53" s="11"/>
      <c r="F53" s="1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ht="14.25" customHeight="1">
      <c r="A54" s="1"/>
      <c r="B54" s="11"/>
      <c r="C54" s="11"/>
      <c r="D54" s="11"/>
      <c r="E54" s="11"/>
      <c r="F54" s="1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ht="14.25" customHeight="1">
      <c r="A55" s="19"/>
      <c r="B55" s="11"/>
      <c r="C55" s="11"/>
      <c r="D55" s="11"/>
      <c r="E55" s="11"/>
      <c r="F55" s="1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ht="14.25" customHeight="1">
      <c r="A56" s="19"/>
      <c r="B56" s="11"/>
      <c r="C56" s="11"/>
      <c r="D56" s="11"/>
      <c r="E56" s="11"/>
      <c r="F56" s="1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ht="14.25" customHeight="1">
      <c r="A57" s="19"/>
      <c r="B57" s="11"/>
      <c r="C57" s="11"/>
      <c r="D57" s="11"/>
      <c r="E57" s="11"/>
      <c r="F57" s="1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ht="14.25" customHeight="1">
      <c r="A58" s="1"/>
      <c r="B58" s="11"/>
      <c r="C58" s="11"/>
      <c r="D58" s="11"/>
      <c r="E58" s="11"/>
      <c r="F58" s="1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ht="14.25" customHeight="1">
      <c r="A59" s="1"/>
      <c r="B59" s="11"/>
      <c r="C59" s="11"/>
      <c r="D59" s="11"/>
      <c r="E59" s="11"/>
      <c r="F59" s="1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ht="14.25" customHeight="1">
      <c r="A60" s="1"/>
      <c r="B60" s="11"/>
      <c r="C60" s="11"/>
      <c r="D60" s="11"/>
      <c r="E60" s="11"/>
      <c r="F60" s="1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ht="14.25" customHeight="1">
      <c r="A61" s="1"/>
      <c r="B61" s="11"/>
      <c r="C61" s="11"/>
      <c r="D61" s="11"/>
      <c r="E61" s="11"/>
      <c r="F61" s="1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ht="14.25" customHeight="1">
      <c r="A62" s="1"/>
      <c r="B62" s="11"/>
      <c r="C62" s="11"/>
      <c r="D62" s="11"/>
      <c r="E62" s="11"/>
      <c r="F62" s="1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ht="14.25" customHeight="1">
      <c r="A63" s="1"/>
      <c r="B63" s="11"/>
      <c r="C63" s="11"/>
      <c r="D63" s="11"/>
      <c r="E63" s="11"/>
      <c r="F63" s="1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ht="14.25" customHeight="1">
      <c r="A64" s="1"/>
      <c r="B64" s="11"/>
      <c r="C64" s="11"/>
      <c r="D64" s="11"/>
      <c r="E64" s="11"/>
      <c r="F64" s="1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ht="14.25" customHeight="1">
      <c r="A65" s="1"/>
      <c r="B65" s="11"/>
      <c r="C65" s="11"/>
      <c r="D65" s="11"/>
      <c r="E65" s="11"/>
      <c r="F65" s="1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ht="14.25" customHeight="1">
      <c r="A66" s="1"/>
      <c r="B66" s="11"/>
      <c r="C66" s="11"/>
      <c r="D66" s="11"/>
      <c r="E66" s="11"/>
      <c r="F66" s="1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ht="14.25" customHeight="1">
      <c r="A67" s="1"/>
      <c r="B67" s="11"/>
      <c r="C67" s="11"/>
      <c r="D67" s="11"/>
      <c r="E67" s="11"/>
      <c r="F67" s="1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ht="14.25" customHeight="1">
      <c r="A68" s="1"/>
      <c r="B68" s="11"/>
      <c r="C68" s="11"/>
      <c r="D68" s="11"/>
      <c r="E68" s="11"/>
      <c r="F68" s="1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ht="14.25" customHeight="1">
      <c r="A69" s="1"/>
      <c r="B69" s="11"/>
      <c r="C69" s="11"/>
      <c r="D69" s="11"/>
      <c r="E69" s="11"/>
      <c r="F69" s="1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ht="14.25" customHeight="1">
      <c r="A70" s="1"/>
      <c r="B70" s="11"/>
      <c r="C70" s="11"/>
      <c r="D70" s="11"/>
      <c r="E70" s="11"/>
      <c r="F70" s="1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ht="14.25" customHeight="1">
      <c r="A71" s="1"/>
      <c r="B71" s="11"/>
      <c r="C71" s="11"/>
      <c r="D71" s="11"/>
      <c r="E71" s="11"/>
      <c r="F71" s="1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ht="14.25" customHeight="1">
      <c r="A72" s="1"/>
      <c r="B72" s="11"/>
      <c r="C72" s="11"/>
      <c r="D72" s="11"/>
      <c r="E72" s="11"/>
      <c r="F72" s="1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ht="14.25" customHeight="1">
      <c r="A73" s="1"/>
      <c r="B73" s="11"/>
      <c r="C73" s="11"/>
      <c r="D73" s="11"/>
      <c r="E73" s="11"/>
      <c r="F73" s="1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ht="14.25" customHeight="1">
      <c r="A74" s="1"/>
      <c r="B74" s="11"/>
      <c r="C74" s="11"/>
      <c r="D74" s="11"/>
      <c r="E74" s="11"/>
      <c r="F74" s="1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ht="14.25" customHeight="1">
      <c r="A75" s="1"/>
      <c r="B75" s="11"/>
      <c r="C75" s="11"/>
      <c r="D75" s="11"/>
      <c r="E75" s="11"/>
      <c r="F75" s="1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ht="14.25" customHeight="1">
      <c r="A76" s="1"/>
      <c r="B76" s="11"/>
      <c r="C76" s="11"/>
      <c r="D76" s="11"/>
      <c r="E76" s="11"/>
      <c r="F76" s="1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ht="14.25" customHeight="1">
      <c r="A77" s="1"/>
      <c r="B77" s="11"/>
      <c r="C77" s="11"/>
      <c r="D77" s="11"/>
      <c r="E77" s="11"/>
      <c r="F77" s="1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ht="14.25" customHeight="1">
      <c r="A78" s="1"/>
      <c r="B78" s="11"/>
      <c r="C78" s="11"/>
      <c r="D78" s="11"/>
      <c r="E78" s="11"/>
      <c r="F78" s="1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ht="14.25" customHeight="1">
      <c r="A79" s="1"/>
      <c r="B79" s="11"/>
      <c r="C79" s="11"/>
      <c r="D79" s="11"/>
      <c r="E79" s="11"/>
      <c r="F79" s="1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ht="14.25" customHeight="1">
      <c r="A80" s="1"/>
      <c r="B80" s="11"/>
      <c r="C80" s="11"/>
      <c r="D80" s="11"/>
      <c r="E80" s="11"/>
      <c r="F80" s="1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ht="14.25" customHeight="1">
      <c r="A81" s="1"/>
      <c r="B81" s="11"/>
      <c r="C81" s="11"/>
      <c r="D81" s="11"/>
      <c r="E81" s="11"/>
      <c r="F81" s="1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ht="14.25" customHeight="1">
      <c r="A82" s="1"/>
      <c r="B82" s="11"/>
      <c r="C82" s="11"/>
      <c r="D82" s="11"/>
      <c r="E82" s="11"/>
      <c r="F82" s="1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ht="14.25" customHeight="1">
      <c r="A83" s="1"/>
      <c r="B83" s="11"/>
      <c r="C83" s="11"/>
      <c r="D83" s="11"/>
      <c r="E83" s="11"/>
      <c r="F83" s="1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ht="14.25" customHeight="1">
      <c r="A84" s="1"/>
      <c r="B84" s="11"/>
      <c r="C84" s="11"/>
      <c r="D84" s="11"/>
      <c r="E84" s="11"/>
      <c r="F84" s="1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ht="14.25" customHeight="1">
      <c r="A85" s="1"/>
      <c r="B85" s="11"/>
      <c r="C85" s="11"/>
      <c r="D85" s="11"/>
      <c r="E85" s="11"/>
      <c r="F85" s="1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ht="14.25" customHeight="1">
      <c r="A86" s="1"/>
      <c r="B86" s="11"/>
      <c r="C86" s="11"/>
      <c r="D86" s="11"/>
      <c r="E86" s="11"/>
      <c r="F86" s="1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ht="14.25" customHeight="1">
      <c r="A87" s="1"/>
      <c r="B87" s="11"/>
      <c r="C87" s="11"/>
      <c r="D87" s="11"/>
      <c r="E87" s="11"/>
      <c r="F87" s="1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ht="14.25" customHeight="1">
      <c r="A88" s="1"/>
      <c r="B88" s="11"/>
      <c r="C88" s="11"/>
      <c r="D88" s="11"/>
      <c r="E88" s="11"/>
      <c r="F88" s="1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ht="14.25" customHeight="1">
      <c r="A89" s="1"/>
      <c r="B89" s="11"/>
      <c r="C89" s="11"/>
      <c r="D89" s="11"/>
      <c r="E89" s="11"/>
      <c r="F89" s="1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ht="14.25" customHeight="1">
      <c r="A90" s="1"/>
      <c r="B90" s="11"/>
      <c r="C90" s="11"/>
      <c r="D90" s="11"/>
      <c r="E90" s="11"/>
      <c r="F90" s="1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ht="14.25" customHeight="1">
      <c r="A91" s="1"/>
      <c r="B91" s="11"/>
      <c r="C91" s="11"/>
      <c r="D91" s="11"/>
      <c r="E91" s="11"/>
      <c r="F91" s="1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ht="14.25" customHeight="1">
      <c r="A92" s="1"/>
      <c r="B92" s="11"/>
      <c r="C92" s="11"/>
      <c r="D92" s="11"/>
      <c r="E92" s="11"/>
      <c r="F92" s="1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ht="14.25" customHeight="1">
      <c r="A93" s="1"/>
      <c r="B93" s="11"/>
      <c r="C93" s="11"/>
      <c r="D93" s="11"/>
      <c r="E93" s="11"/>
      <c r="F93" s="1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ht="14.25" customHeight="1">
      <c r="A94" s="1"/>
      <c r="B94" s="11"/>
      <c r="C94" s="11"/>
      <c r="D94" s="11"/>
      <c r="E94" s="11"/>
      <c r="F94" s="1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ht="14.25" customHeight="1">
      <c r="A95" s="1"/>
      <c r="B95" s="11"/>
      <c r="C95" s="11"/>
      <c r="D95" s="11"/>
      <c r="E95" s="11"/>
      <c r="F95" s="1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ht="14.25" customHeight="1">
      <c r="A96" s="1"/>
      <c r="B96" s="11"/>
      <c r="C96" s="11"/>
      <c r="D96" s="11"/>
      <c r="E96" s="11"/>
      <c r="F96" s="1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ht="14.25" customHeight="1">
      <c r="A97" s="1"/>
      <c r="B97" s="11"/>
      <c r="C97" s="11"/>
      <c r="D97" s="11"/>
      <c r="E97" s="11"/>
      <c r="F97" s="1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ht="14.25" customHeight="1">
      <c r="A98" s="1"/>
      <c r="B98" s="11"/>
      <c r="C98" s="11"/>
      <c r="D98" s="11"/>
      <c r="E98" s="11"/>
      <c r="F98" s="1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ht="14.25" customHeight="1">
      <c r="A99" s="1"/>
      <c r="B99" s="11"/>
      <c r="C99" s="11"/>
      <c r="D99" s="11"/>
      <c r="E99" s="11"/>
      <c r="F99" s="1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ht="14.25" customHeight="1">
      <c r="A100" s="1"/>
      <c r="B100" s="11"/>
      <c r="C100" s="11"/>
      <c r="D100" s="11"/>
      <c r="E100" s="11"/>
      <c r="F100" s="1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ht="14.25" customHeight="1">
      <c r="A101" s="1"/>
      <c r="B101" s="11"/>
      <c r="C101" s="11"/>
      <c r="D101" s="11"/>
      <c r="E101" s="11"/>
      <c r="F101" s="1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ht="14.25" customHeight="1">
      <c r="A102" s="1"/>
      <c r="B102" s="11"/>
      <c r="C102" s="11"/>
      <c r="D102" s="11"/>
      <c r="E102" s="11"/>
      <c r="F102" s="1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ht="14.25" customHeight="1">
      <c r="A103" s="1"/>
      <c r="B103" s="11"/>
      <c r="C103" s="11"/>
      <c r="D103" s="11"/>
      <c r="E103" s="11"/>
      <c r="F103" s="1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ht="14.25" customHeight="1">
      <c r="A104" s="1"/>
      <c r="B104" s="11"/>
      <c r="C104" s="11"/>
      <c r="D104" s="11"/>
      <c r="E104" s="11"/>
      <c r="F104" s="1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ht="14.25" customHeight="1">
      <c r="A105" s="1"/>
      <c r="B105" s="11"/>
      <c r="C105" s="11"/>
      <c r="D105" s="11"/>
      <c r="E105" s="11"/>
      <c r="F105" s="1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ht="14.25" customHeight="1">
      <c r="A106" s="1"/>
      <c r="B106" s="11"/>
      <c r="C106" s="11"/>
      <c r="D106" s="11"/>
      <c r="E106" s="11"/>
      <c r="F106" s="1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ht="14.25" customHeight="1">
      <c r="A107" s="1"/>
      <c r="B107" s="11"/>
      <c r="C107" s="11"/>
      <c r="D107" s="11"/>
      <c r="E107" s="11"/>
      <c r="F107" s="1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ht="14.25" customHeight="1">
      <c r="A108" s="1"/>
      <c r="B108" s="11"/>
      <c r="C108" s="11"/>
      <c r="D108" s="11"/>
      <c r="E108" s="11"/>
      <c r="F108" s="1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ht="14.25" customHeight="1">
      <c r="A109" s="1"/>
      <c r="B109" s="11"/>
      <c r="C109" s="11"/>
      <c r="D109" s="11"/>
      <c r="E109" s="11"/>
      <c r="F109" s="1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ht="14.25" customHeight="1">
      <c r="A110" s="1"/>
      <c r="B110" s="11"/>
      <c r="C110" s="11"/>
      <c r="D110" s="11"/>
      <c r="E110" s="11"/>
      <c r="F110" s="1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ht="14.25" customHeight="1">
      <c r="A111" s="1"/>
      <c r="B111" s="11"/>
      <c r="C111" s="11"/>
      <c r="D111" s="11"/>
      <c r="E111" s="11"/>
      <c r="F111" s="1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ht="14.25" customHeight="1">
      <c r="A112" s="1"/>
      <c r="B112" s="11"/>
      <c r="C112" s="11"/>
      <c r="D112" s="11"/>
      <c r="E112" s="11"/>
      <c r="F112" s="1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ht="14.25" customHeight="1">
      <c r="A113" s="1"/>
      <c r="B113" s="11"/>
      <c r="C113" s="11"/>
      <c r="D113" s="11"/>
      <c r="E113" s="11"/>
      <c r="F113" s="1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ht="14.25" customHeight="1">
      <c r="A114" s="1"/>
      <c r="B114" s="11"/>
      <c r="C114" s="11"/>
      <c r="D114" s="11"/>
      <c r="E114" s="11"/>
      <c r="F114" s="1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ht="14.25" customHeight="1">
      <c r="A115" s="1"/>
      <c r="B115" s="11"/>
      <c r="C115" s="11"/>
      <c r="D115" s="11"/>
      <c r="E115" s="11"/>
      <c r="F115" s="1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ht="14.25" customHeight="1">
      <c r="A116" s="1"/>
      <c r="B116" s="11"/>
      <c r="C116" s="11"/>
      <c r="D116" s="11"/>
      <c r="E116" s="11"/>
      <c r="F116" s="1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ht="14.25" customHeight="1">
      <c r="A117" s="1"/>
      <c r="B117" s="11"/>
      <c r="C117" s="11"/>
      <c r="D117" s="11"/>
      <c r="E117" s="11"/>
      <c r="F117" s="1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ht="14.25" customHeight="1">
      <c r="A118" s="1"/>
      <c r="B118" s="11"/>
      <c r="C118" s="11"/>
      <c r="D118" s="11"/>
      <c r="E118" s="11"/>
      <c r="F118" s="1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ht="14.25" customHeight="1">
      <c r="A119" s="1"/>
      <c r="B119" s="11"/>
      <c r="C119" s="11"/>
      <c r="D119" s="11"/>
      <c r="E119" s="11"/>
      <c r="F119" s="1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ht="14.25" customHeight="1">
      <c r="A120" s="1"/>
      <c r="B120" s="11"/>
      <c r="C120" s="11"/>
      <c r="D120" s="11"/>
      <c r="E120" s="11"/>
      <c r="F120" s="1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ht="14.25" customHeight="1">
      <c r="A121" s="1"/>
      <c r="B121" s="11"/>
      <c r="C121" s="11"/>
      <c r="D121" s="11"/>
      <c r="E121" s="11"/>
      <c r="F121" s="1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ht="14.25" customHeight="1">
      <c r="A122" s="1"/>
      <c r="B122" s="11"/>
      <c r="C122" s="11"/>
      <c r="D122" s="11"/>
      <c r="E122" s="11"/>
      <c r="F122" s="1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ht="14.25" customHeight="1">
      <c r="A123" s="1"/>
      <c r="B123" s="11"/>
      <c r="C123" s="11"/>
      <c r="D123" s="11"/>
      <c r="E123" s="11"/>
      <c r="F123" s="1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ht="14.25" customHeight="1">
      <c r="A124" s="1"/>
      <c r="B124" s="11"/>
      <c r="C124" s="11"/>
      <c r="D124" s="11"/>
      <c r="E124" s="11"/>
      <c r="F124" s="1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ht="14.25" customHeight="1">
      <c r="A125" s="1"/>
      <c r="B125" s="11"/>
      <c r="C125" s="11"/>
      <c r="D125" s="11"/>
      <c r="E125" s="11"/>
      <c r="F125" s="1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ht="14.25" customHeight="1">
      <c r="A126" s="1"/>
      <c r="B126" s="11"/>
      <c r="C126" s="11"/>
      <c r="D126" s="11"/>
      <c r="E126" s="11"/>
      <c r="F126" s="1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ht="14.25" customHeight="1">
      <c r="A127" s="1"/>
      <c r="B127" s="11"/>
      <c r="C127" s="11"/>
      <c r="D127" s="11"/>
      <c r="E127" s="11"/>
      <c r="F127" s="1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ht="14.25" customHeight="1">
      <c r="A128" s="1"/>
      <c r="B128" s="11"/>
      <c r="C128" s="11"/>
      <c r="D128" s="11"/>
      <c r="E128" s="11"/>
      <c r="F128" s="1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ht="14.25" customHeight="1">
      <c r="A129" s="1"/>
      <c r="B129" s="11"/>
      <c r="C129" s="11"/>
      <c r="D129" s="11"/>
      <c r="E129" s="11"/>
      <c r="F129" s="1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ht="14.25" customHeight="1">
      <c r="A130" s="1"/>
      <c r="B130" s="11"/>
      <c r="C130" s="11"/>
      <c r="D130" s="11"/>
      <c r="E130" s="11"/>
      <c r="F130" s="1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ht="14.25" customHeight="1">
      <c r="A131" s="1"/>
      <c r="B131" s="11"/>
      <c r="C131" s="11"/>
      <c r="D131" s="11"/>
      <c r="E131" s="11"/>
      <c r="F131" s="1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ht="14.25" customHeight="1">
      <c r="A132" s="1"/>
      <c r="B132" s="11"/>
      <c r="C132" s="11"/>
      <c r="D132" s="11"/>
      <c r="E132" s="11"/>
      <c r="F132" s="1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ht="14.25" customHeight="1">
      <c r="A133" s="1"/>
      <c r="B133" s="11"/>
      <c r="C133" s="11"/>
      <c r="D133" s="11"/>
      <c r="E133" s="11"/>
      <c r="F133" s="1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ht="14.25" customHeight="1">
      <c r="A134" s="1"/>
      <c r="B134" s="11"/>
      <c r="C134" s="11"/>
      <c r="D134" s="11"/>
      <c r="E134" s="11"/>
      <c r="F134" s="1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ht="14.25" customHeight="1">
      <c r="A135" s="1"/>
      <c r="B135" s="11"/>
      <c r="C135" s="11"/>
      <c r="D135" s="11"/>
      <c r="E135" s="11"/>
      <c r="F135" s="1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ht="14.25" customHeight="1">
      <c r="A136" s="1"/>
      <c r="B136" s="11"/>
      <c r="C136" s="11"/>
      <c r="D136" s="11"/>
      <c r="E136" s="11"/>
      <c r="F136" s="1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ht="14.25" customHeight="1">
      <c r="A137" s="1"/>
      <c r="B137" s="11"/>
      <c r="C137" s="11"/>
      <c r="D137" s="11"/>
      <c r="E137" s="11"/>
      <c r="F137" s="1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ht="14.25" customHeight="1">
      <c r="A138" s="1"/>
      <c r="B138" s="11"/>
      <c r="C138" s="11"/>
      <c r="D138" s="11"/>
      <c r="E138" s="11"/>
      <c r="F138" s="1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ht="14.25" customHeight="1">
      <c r="A139" s="1"/>
      <c r="B139" s="11"/>
      <c r="C139" s="11"/>
      <c r="D139" s="11"/>
      <c r="E139" s="11"/>
      <c r="F139" s="1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ht="14.25" customHeight="1">
      <c r="A140" s="1"/>
      <c r="B140" s="11"/>
      <c r="C140" s="11"/>
      <c r="D140" s="11"/>
      <c r="E140" s="11"/>
      <c r="F140" s="1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ht="14.25" customHeight="1">
      <c r="A141" s="1"/>
      <c r="B141" s="11"/>
      <c r="C141" s="11"/>
      <c r="D141" s="11"/>
      <c r="E141" s="11"/>
      <c r="F141" s="1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ht="14.25" customHeight="1">
      <c r="A142" s="1"/>
      <c r="B142" s="11"/>
      <c r="C142" s="11"/>
      <c r="D142" s="11"/>
      <c r="E142" s="11"/>
      <c r="F142" s="1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ht="14.25" customHeight="1">
      <c r="A143" s="1"/>
      <c r="B143" s="11"/>
      <c r="C143" s="11"/>
      <c r="D143" s="11"/>
      <c r="E143" s="11"/>
      <c r="F143" s="1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ht="14.25" customHeight="1">
      <c r="A144" s="1"/>
      <c r="B144" s="11"/>
      <c r="C144" s="11"/>
      <c r="D144" s="11"/>
      <c r="E144" s="11"/>
      <c r="F144" s="1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ht="14.25" customHeight="1">
      <c r="A145" s="1"/>
      <c r="B145" s="11"/>
      <c r="C145" s="11"/>
      <c r="D145" s="11"/>
      <c r="E145" s="11"/>
      <c r="F145" s="1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ht="14.25" customHeight="1">
      <c r="A146" s="1"/>
      <c r="B146" s="11"/>
      <c r="C146" s="11"/>
      <c r="D146" s="11"/>
      <c r="E146" s="11"/>
      <c r="F146" s="1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ht="14.25" customHeight="1">
      <c r="A147" s="1"/>
      <c r="B147" s="11"/>
      <c r="C147" s="11"/>
      <c r="D147" s="11"/>
      <c r="E147" s="11"/>
      <c r="F147" s="1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  <row r="148" ht="14.25" customHeight="1">
      <c r="A148" s="1"/>
      <c r="B148" s="11"/>
      <c r="C148" s="11"/>
      <c r="D148" s="11"/>
      <c r="E148" s="11"/>
      <c r="F148" s="1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</row>
    <row r="149" ht="14.25" customHeight="1">
      <c r="A149" s="1"/>
      <c r="B149" s="11"/>
      <c r="C149" s="11"/>
      <c r="D149" s="11"/>
      <c r="E149" s="11"/>
      <c r="F149" s="1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</row>
    <row r="150" ht="14.25" customHeight="1">
      <c r="A150" s="1"/>
      <c r="B150" s="11"/>
      <c r="C150" s="11"/>
      <c r="D150" s="11"/>
      <c r="E150" s="11"/>
      <c r="F150" s="1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</row>
    <row r="151" ht="14.25" customHeight="1">
      <c r="A151" s="1"/>
      <c r="B151" s="11"/>
      <c r="C151" s="11"/>
      <c r="D151" s="11"/>
      <c r="E151" s="11"/>
      <c r="F151" s="1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</row>
    <row r="152" ht="14.25" customHeight="1">
      <c r="A152" s="1"/>
      <c r="B152" s="11"/>
      <c r="C152" s="11"/>
      <c r="D152" s="11"/>
      <c r="E152" s="11"/>
      <c r="F152" s="1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</row>
    <row r="153" ht="14.25" customHeight="1">
      <c r="A153" s="1"/>
      <c r="B153" s="11"/>
      <c r="C153" s="11"/>
      <c r="D153" s="11"/>
      <c r="E153" s="11"/>
      <c r="F153" s="1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</row>
    <row r="154" ht="14.25" customHeight="1">
      <c r="A154" s="1"/>
      <c r="B154" s="11"/>
      <c r="C154" s="11"/>
      <c r="D154" s="11"/>
      <c r="E154" s="11"/>
      <c r="F154" s="1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</row>
    <row r="155" ht="14.25" customHeight="1">
      <c r="A155" s="1"/>
      <c r="B155" s="11"/>
      <c r="C155" s="11"/>
      <c r="D155" s="11"/>
      <c r="E155" s="11"/>
      <c r="F155" s="1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</row>
    <row r="156" ht="14.25" customHeight="1">
      <c r="A156" s="1"/>
      <c r="B156" s="11"/>
      <c r="C156" s="11"/>
      <c r="D156" s="11"/>
      <c r="E156" s="11"/>
      <c r="F156" s="1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</row>
    <row r="157" ht="14.25" customHeight="1">
      <c r="A157" s="1"/>
      <c r="B157" s="11"/>
      <c r="C157" s="11"/>
      <c r="D157" s="11"/>
      <c r="E157" s="11"/>
      <c r="F157" s="1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</row>
    <row r="158" ht="14.25" customHeight="1">
      <c r="A158" s="1"/>
      <c r="B158" s="11"/>
      <c r="C158" s="11"/>
      <c r="D158" s="11"/>
      <c r="E158" s="11"/>
      <c r="F158" s="1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</row>
    <row r="159" ht="14.25" customHeight="1">
      <c r="A159" s="1"/>
      <c r="B159" s="11"/>
      <c r="C159" s="11"/>
      <c r="D159" s="11"/>
      <c r="E159" s="11"/>
      <c r="F159" s="1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</row>
    <row r="160" ht="14.25" customHeight="1">
      <c r="A160" s="1"/>
      <c r="B160" s="11"/>
      <c r="C160" s="11"/>
      <c r="D160" s="11"/>
      <c r="E160" s="11"/>
      <c r="F160" s="1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</row>
    <row r="161" ht="14.25" customHeight="1">
      <c r="A161" s="1"/>
      <c r="B161" s="11"/>
      <c r="C161" s="11"/>
      <c r="D161" s="11"/>
      <c r="E161" s="11"/>
      <c r="F161" s="1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</row>
    <row r="162" ht="14.25" customHeight="1">
      <c r="A162" s="1"/>
      <c r="B162" s="11"/>
      <c r="C162" s="11"/>
      <c r="D162" s="11"/>
      <c r="E162" s="11"/>
      <c r="F162" s="1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</row>
    <row r="163" ht="14.25" customHeight="1">
      <c r="A163" s="1"/>
      <c r="B163" s="11"/>
      <c r="C163" s="11"/>
      <c r="D163" s="11"/>
      <c r="E163" s="11"/>
      <c r="F163" s="1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</row>
    <row r="164" ht="14.25" customHeight="1">
      <c r="A164" s="1"/>
      <c r="B164" s="11"/>
      <c r="C164" s="11"/>
      <c r="D164" s="11"/>
      <c r="E164" s="11"/>
      <c r="F164" s="1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</row>
    <row r="165" ht="14.25" customHeight="1">
      <c r="A165" s="1"/>
      <c r="B165" s="11"/>
      <c r="C165" s="11"/>
      <c r="D165" s="11"/>
      <c r="E165" s="11"/>
      <c r="F165" s="1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</row>
    <row r="166" ht="14.25" customHeight="1">
      <c r="A166" s="1"/>
      <c r="B166" s="11"/>
      <c r="C166" s="11"/>
      <c r="D166" s="11"/>
      <c r="E166" s="11"/>
      <c r="F166" s="1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</row>
    <row r="167" ht="14.25" customHeight="1">
      <c r="A167" s="1"/>
      <c r="B167" s="11"/>
      <c r="C167" s="11"/>
      <c r="D167" s="11"/>
      <c r="E167" s="11"/>
      <c r="F167" s="1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</row>
    <row r="168" ht="14.25" customHeight="1">
      <c r="A168" s="1"/>
      <c r="B168" s="11"/>
      <c r="C168" s="11"/>
      <c r="D168" s="11"/>
      <c r="E168" s="11"/>
      <c r="F168" s="1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</row>
    <row r="169" ht="14.25" customHeight="1">
      <c r="A169" s="1"/>
      <c r="B169" s="11"/>
      <c r="C169" s="11"/>
      <c r="D169" s="11"/>
      <c r="E169" s="11"/>
      <c r="F169" s="1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</row>
    <row r="170" ht="14.25" customHeight="1">
      <c r="A170" s="1"/>
      <c r="B170" s="11"/>
      <c r="C170" s="11"/>
      <c r="D170" s="11"/>
      <c r="E170" s="11"/>
      <c r="F170" s="1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</row>
    <row r="171" ht="14.25" customHeight="1">
      <c r="A171" s="1"/>
      <c r="B171" s="11"/>
      <c r="C171" s="11"/>
      <c r="D171" s="11"/>
      <c r="E171" s="11"/>
      <c r="F171" s="1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</row>
    <row r="172" ht="14.25" customHeight="1">
      <c r="A172" s="1"/>
      <c r="B172" s="11"/>
      <c r="C172" s="11"/>
      <c r="D172" s="11"/>
      <c r="E172" s="11"/>
      <c r="F172" s="1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</row>
    <row r="173" ht="14.25" customHeight="1">
      <c r="A173" s="1"/>
      <c r="B173" s="11"/>
      <c r="C173" s="11"/>
      <c r="D173" s="11"/>
      <c r="E173" s="11"/>
      <c r="F173" s="1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</row>
    <row r="174" ht="14.25" customHeight="1">
      <c r="A174" s="1"/>
      <c r="B174" s="11"/>
      <c r="C174" s="11"/>
      <c r="D174" s="11"/>
      <c r="E174" s="11"/>
      <c r="F174" s="1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</row>
    <row r="175" ht="14.25" customHeight="1">
      <c r="A175" s="1"/>
      <c r="B175" s="11"/>
      <c r="C175" s="11"/>
      <c r="D175" s="11"/>
      <c r="E175" s="11"/>
      <c r="F175" s="1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</row>
    <row r="176" ht="14.25" customHeight="1">
      <c r="A176" s="1"/>
      <c r="B176" s="11"/>
      <c r="C176" s="11"/>
      <c r="D176" s="11"/>
      <c r="E176" s="11"/>
      <c r="F176" s="1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</row>
    <row r="177" ht="14.25" customHeight="1">
      <c r="A177" s="1"/>
      <c r="B177" s="11"/>
      <c r="C177" s="11"/>
      <c r="D177" s="11"/>
      <c r="E177" s="11"/>
      <c r="F177" s="1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</row>
    <row r="178" ht="14.25" customHeight="1">
      <c r="A178" s="1"/>
      <c r="B178" s="11"/>
      <c r="C178" s="11"/>
      <c r="D178" s="11"/>
      <c r="E178" s="11"/>
      <c r="F178" s="1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</row>
    <row r="179" ht="14.25" customHeight="1">
      <c r="A179" s="1"/>
      <c r="B179" s="11"/>
      <c r="C179" s="11"/>
      <c r="D179" s="11"/>
      <c r="E179" s="11"/>
      <c r="F179" s="1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</row>
    <row r="180" ht="14.25" customHeight="1">
      <c r="A180" s="1"/>
      <c r="B180" s="11"/>
      <c r="C180" s="11"/>
      <c r="D180" s="11"/>
      <c r="E180" s="11"/>
      <c r="F180" s="1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</row>
    <row r="181" ht="14.25" customHeight="1">
      <c r="A181" s="1"/>
      <c r="B181" s="11"/>
      <c r="C181" s="11"/>
      <c r="D181" s="11"/>
      <c r="E181" s="11"/>
      <c r="F181" s="1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</row>
    <row r="182" ht="14.25" customHeight="1">
      <c r="A182" s="1"/>
      <c r="B182" s="11"/>
      <c r="C182" s="11"/>
      <c r="D182" s="11"/>
      <c r="E182" s="11"/>
      <c r="F182" s="1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</row>
    <row r="183" ht="14.25" customHeight="1">
      <c r="A183" s="1"/>
      <c r="B183" s="11"/>
      <c r="C183" s="11"/>
      <c r="D183" s="11"/>
      <c r="E183" s="11"/>
      <c r="F183" s="1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</row>
    <row r="184" ht="14.25" customHeight="1">
      <c r="A184" s="1"/>
      <c r="B184" s="11"/>
      <c r="C184" s="11"/>
      <c r="D184" s="11"/>
      <c r="E184" s="11"/>
      <c r="F184" s="1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</row>
    <row r="185" ht="14.25" customHeight="1">
      <c r="A185" s="1"/>
      <c r="B185" s="11"/>
      <c r="C185" s="11"/>
      <c r="D185" s="11"/>
      <c r="E185" s="11"/>
      <c r="F185" s="1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</row>
    <row r="186" ht="14.25" customHeight="1">
      <c r="A186" s="1"/>
      <c r="B186" s="11"/>
      <c r="C186" s="11"/>
      <c r="D186" s="11"/>
      <c r="E186" s="11"/>
      <c r="F186" s="1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</row>
    <row r="187" ht="14.25" customHeight="1">
      <c r="A187" s="1"/>
      <c r="B187" s="11"/>
      <c r="C187" s="11"/>
      <c r="D187" s="11"/>
      <c r="E187" s="11"/>
      <c r="F187" s="1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</row>
    <row r="188" ht="14.25" customHeight="1">
      <c r="A188" s="1"/>
      <c r="B188" s="11"/>
      <c r="C188" s="11"/>
      <c r="D188" s="11"/>
      <c r="E188" s="11"/>
      <c r="F188" s="1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</row>
    <row r="189" ht="14.25" customHeight="1">
      <c r="A189" s="1"/>
      <c r="B189" s="11"/>
      <c r="C189" s="11"/>
      <c r="D189" s="11"/>
      <c r="E189" s="11"/>
      <c r="F189" s="1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</row>
    <row r="190" ht="14.25" customHeight="1">
      <c r="A190" s="1"/>
      <c r="B190" s="11"/>
      <c r="C190" s="11"/>
      <c r="D190" s="11"/>
      <c r="E190" s="11"/>
      <c r="F190" s="1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</row>
    <row r="191" ht="14.25" customHeight="1">
      <c r="A191" s="1"/>
      <c r="B191" s="11"/>
      <c r="C191" s="11"/>
      <c r="D191" s="11"/>
      <c r="E191" s="11"/>
      <c r="F191" s="1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</row>
    <row r="192" ht="14.25" customHeight="1">
      <c r="A192" s="1"/>
      <c r="B192" s="11"/>
      <c r="C192" s="11"/>
      <c r="D192" s="11"/>
      <c r="E192" s="11"/>
      <c r="F192" s="1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</row>
    <row r="193" ht="14.25" customHeight="1">
      <c r="A193" s="1"/>
      <c r="B193" s="11"/>
      <c r="C193" s="11"/>
      <c r="D193" s="11"/>
      <c r="E193" s="11"/>
      <c r="F193" s="1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</row>
    <row r="194" ht="14.25" customHeight="1">
      <c r="A194" s="1"/>
      <c r="B194" s="11"/>
      <c r="C194" s="11"/>
      <c r="D194" s="11"/>
      <c r="E194" s="11"/>
      <c r="F194" s="1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</row>
    <row r="195" ht="14.25" customHeight="1">
      <c r="A195" s="1"/>
      <c r="B195" s="11"/>
      <c r="C195" s="11"/>
      <c r="D195" s="11"/>
      <c r="E195" s="11"/>
      <c r="F195" s="1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</row>
    <row r="196" ht="14.25" customHeight="1">
      <c r="A196" s="1"/>
      <c r="B196" s="11"/>
      <c r="C196" s="11"/>
      <c r="D196" s="11"/>
      <c r="E196" s="11"/>
      <c r="F196" s="1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</row>
    <row r="197" ht="14.25" customHeight="1">
      <c r="A197" s="1"/>
      <c r="B197" s="11"/>
      <c r="C197" s="11"/>
      <c r="D197" s="11"/>
      <c r="E197" s="11"/>
      <c r="F197" s="1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</row>
    <row r="198" ht="14.25" customHeight="1">
      <c r="A198" s="1"/>
      <c r="B198" s="11"/>
      <c r="C198" s="11"/>
      <c r="D198" s="11"/>
      <c r="E198" s="11"/>
      <c r="F198" s="1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</row>
    <row r="199" ht="14.25" customHeight="1">
      <c r="A199" s="1"/>
      <c r="B199" s="11"/>
      <c r="C199" s="11"/>
      <c r="D199" s="11"/>
      <c r="E199" s="11"/>
      <c r="F199" s="1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</row>
    <row r="200" ht="14.25" customHeight="1">
      <c r="A200" s="1"/>
      <c r="B200" s="11"/>
      <c r="C200" s="11"/>
      <c r="D200" s="11"/>
      <c r="E200" s="11"/>
      <c r="F200" s="1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</row>
    <row r="201" ht="14.25" customHeight="1">
      <c r="A201" s="1"/>
      <c r="B201" s="11"/>
      <c r="C201" s="11"/>
      <c r="D201" s="11"/>
      <c r="E201" s="11"/>
      <c r="F201" s="1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</row>
    <row r="202" ht="14.25" customHeight="1">
      <c r="A202" s="1"/>
      <c r="B202" s="11"/>
      <c r="C202" s="11"/>
      <c r="D202" s="11"/>
      <c r="E202" s="11"/>
      <c r="F202" s="1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</row>
    <row r="203" ht="14.25" customHeight="1">
      <c r="A203" s="1"/>
      <c r="B203" s="11"/>
      <c r="C203" s="11"/>
      <c r="D203" s="11"/>
      <c r="E203" s="11"/>
      <c r="F203" s="1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</row>
    <row r="204" ht="14.25" customHeight="1">
      <c r="A204" s="1"/>
      <c r="B204" s="11"/>
      <c r="C204" s="11"/>
      <c r="D204" s="11"/>
      <c r="E204" s="11"/>
      <c r="F204" s="1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</row>
    <row r="205" ht="14.25" customHeight="1">
      <c r="A205" s="1"/>
      <c r="B205" s="11"/>
      <c r="C205" s="11"/>
      <c r="D205" s="11"/>
      <c r="E205" s="11"/>
      <c r="F205" s="1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</row>
    <row r="206" ht="14.25" customHeight="1">
      <c r="A206" s="1"/>
      <c r="B206" s="11"/>
      <c r="C206" s="11"/>
      <c r="D206" s="11"/>
      <c r="E206" s="11"/>
      <c r="F206" s="1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</row>
    <row r="207" ht="14.25" customHeight="1">
      <c r="A207" s="1"/>
      <c r="B207" s="11"/>
      <c r="C207" s="11"/>
      <c r="D207" s="11"/>
      <c r="E207" s="11"/>
      <c r="F207" s="1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</row>
    <row r="208" ht="14.25" customHeight="1">
      <c r="A208" s="1"/>
      <c r="B208" s="11"/>
      <c r="C208" s="11"/>
      <c r="D208" s="11"/>
      <c r="E208" s="11"/>
      <c r="F208" s="1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</row>
    <row r="209" ht="14.25" customHeight="1">
      <c r="A209" s="1"/>
      <c r="B209" s="11"/>
      <c r="C209" s="11"/>
      <c r="D209" s="11"/>
      <c r="E209" s="11"/>
      <c r="F209" s="1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</row>
    <row r="210" ht="14.25" customHeight="1">
      <c r="A210" s="1"/>
      <c r="B210" s="11"/>
      <c r="C210" s="11"/>
      <c r="D210" s="11"/>
      <c r="E210" s="11"/>
      <c r="F210" s="1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</row>
    <row r="211" ht="14.25" customHeight="1">
      <c r="A211" s="1"/>
      <c r="B211" s="11"/>
      <c r="C211" s="11"/>
      <c r="D211" s="11"/>
      <c r="E211" s="11"/>
      <c r="F211" s="1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</row>
    <row r="212" ht="14.25" customHeight="1">
      <c r="A212" s="1"/>
      <c r="B212" s="11"/>
      <c r="C212" s="11"/>
      <c r="D212" s="11"/>
      <c r="E212" s="11"/>
      <c r="F212" s="1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</row>
    <row r="213" ht="14.25" customHeight="1">
      <c r="A213" s="1"/>
      <c r="B213" s="11"/>
      <c r="C213" s="11"/>
      <c r="D213" s="11"/>
      <c r="E213" s="11"/>
      <c r="F213" s="1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</row>
    <row r="214" ht="14.25" customHeight="1">
      <c r="A214" s="1"/>
      <c r="B214" s="11"/>
      <c r="C214" s="11"/>
      <c r="D214" s="11"/>
      <c r="E214" s="11"/>
      <c r="F214" s="1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</row>
    <row r="215" ht="14.25" customHeight="1">
      <c r="A215" s="1"/>
      <c r="B215" s="11"/>
      <c r="C215" s="11"/>
      <c r="D215" s="11"/>
      <c r="E215" s="11"/>
      <c r="F215" s="1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</row>
    <row r="216" ht="14.25" customHeight="1">
      <c r="A216" s="1"/>
      <c r="B216" s="11"/>
      <c r="C216" s="11"/>
      <c r="D216" s="11"/>
      <c r="E216" s="11"/>
      <c r="F216" s="1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</row>
    <row r="217" ht="14.25" customHeight="1">
      <c r="A217" s="1"/>
      <c r="B217" s="11"/>
      <c r="C217" s="11"/>
      <c r="D217" s="11"/>
      <c r="E217" s="11"/>
      <c r="F217" s="1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</row>
    <row r="218" ht="14.25" customHeight="1">
      <c r="A218" s="1"/>
      <c r="B218" s="11"/>
      <c r="C218" s="11"/>
      <c r="D218" s="11"/>
      <c r="E218" s="11"/>
      <c r="F218" s="1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</row>
    <row r="219" ht="14.25" customHeight="1">
      <c r="A219" s="1"/>
      <c r="B219" s="11"/>
      <c r="C219" s="11"/>
      <c r="D219" s="11"/>
      <c r="E219" s="11"/>
      <c r="F219" s="1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</row>
    <row r="220" ht="14.25" customHeight="1">
      <c r="A220" s="1"/>
      <c r="B220" s="11"/>
      <c r="C220" s="11"/>
      <c r="D220" s="11"/>
      <c r="E220" s="11"/>
      <c r="F220" s="1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</row>
    <row r="221" ht="14.25" customHeight="1">
      <c r="A221" s="1"/>
      <c r="B221" s="11"/>
      <c r="C221" s="11"/>
      <c r="D221" s="11"/>
      <c r="E221" s="11"/>
      <c r="F221" s="1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</row>
    <row r="222" ht="14.25" customHeight="1">
      <c r="A222" s="1"/>
      <c r="B222" s="11"/>
      <c r="C222" s="11"/>
      <c r="D222" s="11"/>
      <c r="E222" s="11"/>
      <c r="F222" s="1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</row>
    <row r="223" ht="14.25" customHeight="1">
      <c r="A223" s="1"/>
      <c r="B223" s="11"/>
      <c r="C223" s="11"/>
      <c r="D223" s="11"/>
      <c r="E223" s="11"/>
      <c r="F223" s="1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</row>
    <row r="224" ht="14.25" customHeight="1">
      <c r="A224" s="1"/>
      <c r="B224" s="11"/>
      <c r="C224" s="11"/>
      <c r="D224" s="11"/>
      <c r="E224" s="11"/>
      <c r="F224" s="1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</row>
    <row r="225" ht="14.25" customHeight="1">
      <c r="A225" s="1"/>
      <c r="B225" s="11"/>
      <c r="C225" s="11"/>
      <c r="D225" s="11"/>
      <c r="E225" s="11"/>
      <c r="F225" s="1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</row>
    <row r="226" ht="14.25" customHeight="1">
      <c r="A226" s="1"/>
      <c r="B226" s="11"/>
      <c r="C226" s="11"/>
      <c r="D226" s="11"/>
      <c r="E226" s="11"/>
      <c r="F226" s="1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</row>
    <row r="227" ht="14.25" customHeight="1">
      <c r="A227" s="1"/>
      <c r="B227" s="11"/>
      <c r="C227" s="11"/>
      <c r="D227" s="11"/>
      <c r="E227" s="11"/>
      <c r="F227" s="1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</row>
    <row r="228" ht="14.25" customHeight="1">
      <c r="A228" s="1"/>
      <c r="B228" s="11"/>
      <c r="C228" s="11"/>
      <c r="D228" s="11"/>
      <c r="E228" s="11"/>
      <c r="F228" s="1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</row>
    <row r="229" ht="14.25" customHeight="1">
      <c r="A229" s="1"/>
      <c r="B229" s="11"/>
      <c r="C229" s="11"/>
      <c r="D229" s="11"/>
      <c r="E229" s="11"/>
      <c r="F229" s="1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G2"/>
    <mergeCell ref="B3:G3"/>
    <mergeCell ref="B7:B11"/>
    <mergeCell ref="B13:B17"/>
    <mergeCell ref="B19:B23"/>
    <mergeCell ref="B25:B29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13.0"/>
    <col customWidth="1" min="3" max="3" width="9.14"/>
    <col customWidth="1" min="4" max="4" width="64.86"/>
    <col customWidth="1" min="5" max="5" width="20.14"/>
    <col customWidth="1" min="6" max="6" width="10.86"/>
    <col customWidth="1" min="7" max="7" width="19.14"/>
    <col customWidth="1" min="8" max="8" width="15.57"/>
    <col customWidth="1" min="9" max="17" width="14.14"/>
    <col customWidth="1" min="18" max="20" width="14.0"/>
    <col customWidth="1" min="21" max="21" width="9.71"/>
    <col customWidth="1" min="22" max="26" width="8.71"/>
  </cols>
  <sheetData>
    <row r="1" ht="3.75" customHeight="1">
      <c r="A1" s="3"/>
      <c r="B1" s="3"/>
      <c r="C1" s="2"/>
      <c r="D1" s="21"/>
      <c r="E1" s="21"/>
      <c r="F1" s="21"/>
      <c r="G1" s="22"/>
      <c r="H1" s="2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 ht="19.5" customHeight="1">
      <c r="A2" s="3"/>
      <c r="B2" s="23"/>
      <c r="C2" s="6"/>
      <c r="D2" s="6"/>
      <c r="E2" s="6"/>
      <c r="F2" s="6"/>
      <c r="G2" s="6"/>
      <c r="H2" s="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</row>
    <row r="3" ht="18.75" customHeight="1">
      <c r="A3" s="3"/>
      <c r="B3" s="7"/>
      <c r="C3" s="6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3"/>
      <c r="X3" s="3"/>
      <c r="Y3" s="3"/>
      <c r="Z3" s="3"/>
    </row>
    <row r="4" ht="69.75" customHeight="1">
      <c r="A4" s="1"/>
      <c r="B4" s="24"/>
      <c r="C4" s="11"/>
      <c r="D4" s="19"/>
      <c r="E4" s="19"/>
      <c r="F4" s="19"/>
      <c r="G4" s="25"/>
      <c r="H4" s="19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"/>
      <c r="V4" s="1"/>
      <c r="W4" s="1"/>
      <c r="X4" s="1"/>
      <c r="Y4" s="1"/>
      <c r="Z4" s="1"/>
    </row>
    <row r="5" ht="13.5" customHeight="1">
      <c r="A5" s="1"/>
      <c r="B5" s="26" t="s">
        <v>0</v>
      </c>
      <c r="C5" s="26" t="s">
        <v>1</v>
      </c>
      <c r="D5" s="26" t="s">
        <v>2</v>
      </c>
      <c r="E5" s="26" t="s">
        <v>4</v>
      </c>
      <c r="F5" s="26">
        <v>2022.0</v>
      </c>
      <c r="G5" s="27" t="s">
        <v>14</v>
      </c>
      <c r="H5" s="26" t="s">
        <v>15</v>
      </c>
      <c r="I5" s="28">
        <v>44562.0</v>
      </c>
      <c r="J5" s="28">
        <v>44593.0</v>
      </c>
      <c r="K5" s="28">
        <v>44621.0</v>
      </c>
      <c r="L5" s="28">
        <v>44652.0</v>
      </c>
      <c r="M5" s="28">
        <v>44682.0</v>
      </c>
      <c r="N5" s="28">
        <v>44713.0</v>
      </c>
      <c r="O5" s="28">
        <v>44743.0</v>
      </c>
      <c r="P5" s="28">
        <v>44774.0</v>
      </c>
      <c r="Q5" s="28">
        <v>44805.0</v>
      </c>
      <c r="R5" s="28">
        <v>44835.0</v>
      </c>
      <c r="S5" s="28">
        <v>44866.0</v>
      </c>
      <c r="T5" s="28">
        <v>44896.0</v>
      </c>
      <c r="U5" s="1"/>
      <c r="V5" s="1"/>
      <c r="W5" s="1"/>
      <c r="X5" s="1"/>
      <c r="Y5" s="1"/>
      <c r="Z5" s="1"/>
    </row>
    <row r="6" ht="3.0" customHeight="1">
      <c r="A6" s="1"/>
      <c r="B6" s="1"/>
      <c r="C6" s="1"/>
      <c r="D6" s="19"/>
      <c r="E6" s="19"/>
      <c r="F6" s="19"/>
      <c r="G6" s="25"/>
      <c r="H6" s="19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"/>
      <c r="V6" s="1"/>
      <c r="W6" s="1"/>
      <c r="X6" s="1"/>
      <c r="Y6" s="1"/>
      <c r="Z6" s="1"/>
    </row>
    <row r="7" ht="14.25" customHeight="1">
      <c r="A7" s="1"/>
      <c r="B7" s="12" t="s">
        <v>10</v>
      </c>
      <c r="C7" s="29">
        <v>1.0</v>
      </c>
      <c r="D7" s="29" t="str">
        <f>IF('Objetivos Estratégicos '!E7="","",'Objetivos Estratégicos '!E7)</f>
        <v/>
      </c>
      <c r="E7" s="29" t="str">
        <f>IF('Objetivos Estratégicos '!F7="","",'Objetivos Estratégicos '!F7)</f>
        <v/>
      </c>
      <c r="F7" s="30" t="s">
        <v>16</v>
      </c>
      <c r="G7" s="31" t="s">
        <v>17</v>
      </c>
      <c r="H7" s="32">
        <f t="shared" ref="H7:H16" si="1">IF(G7="SOMA",SUM(I7:T7),IF(G7="MÉDIA",AVERAGE(I7:T7),IF(G7="ÚLTIMO RESULTADO",MAX(I7:T7),"")))</f>
        <v>0</v>
      </c>
      <c r="I7" s="33">
        <v>0.0</v>
      </c>
      <c r="J7" s="33">
        <v>0.0</v>
      </c>
      <c r="K7" s="33">
        <v>0.0</v>
      </c>
      <c r="L7" s="33">
        <v>0.0</v>
      </c>
      <c r="M7" s="33">
        <v>0.0</v>
      </c>
      <c r="N7" s="33">
        <v>0.0</v>
      </c>
      <c r="O7" s="33">
        <v>0.0</v>
      </c>
      <c r="P7" s="33">
        <v>0.0</v>
      </c>
      <c r="Q7" s="33">
        <v>0.0</v>
      </c>
      <c r="R7" s="33">
        <v>0.0</v>
      </c>
      <c r="S7" s="33">
        <v>0.0</v>
      </c>
      <c r="T7" s="33">
        <v>0.0</v>
      </c>
      <c r="U7" s="1"/>
      <c r="V7" s="1"/>
      <c r="W7" s="1"/>
      <c r="X7" s="1"/>
      <c r="Y7" s="1"/>
      <c r="Z7" s="1"/>
    </row>
    <row r="8" ht="14.25" customHeight="1">
      <c r="A8" s="1"/>
      <c r="B8" s="15"/>
      <c r="C8" s="16"/>
      <c r="D8" s="16"/>
      <c r="E8" s="16"/>
      <c r="F8" s="30" t="s">
        <v>18</v>
      </c>
      <c r="G8" s="31" t="s">
        <v>17</v>
      </c>
      <c r="H8" s="32">
        <f t="shared" si="1"/>
        <v>0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1"/>
      <c r="V8" s="1"/>
      <c r="W8" s="1"/>
      <c r="X8" s="1"/>
      <c r="Y8" s="1"/>
      <c r="Z8" s="1"/>
    </row>
    <row r="9" ht="14.25" customHeight="1">
      <c r="A9" s="1"/>
      <c r="B9" s="15"/>
      <c r="C9" s="29">
        <v>2.0</v>
      </c>
      <c r="D9" s="29" t="str">
        <f>IF('Objetivos Estratégicos '!E8="","",'Objetivos Estratégicos '!E8)</f>
        <v/>
      </c>
      <c r="E9" s="29" t="str">
        <f>IF('Objetivos Estratégicos '!F8="","",'Objetivos Estratégicos '!F8)</f>
        <v/>
      </c>
      <c r="F9" s="30" t="s">
        <v>16</v>
      </c>
      <c r="G9" s="31" t="s">
        <v>17</v>
      </c>
      <c r="H9" s="34">
        <f t="shared" si="1"/>
        <v>0</v>
      </c>
      <c r="I9" s="35"/>
      <c r="J9" s="13"/>
      <c r="K9" s="13"/>
      <c r="L9" s="36"/>
      <c r="M9" s="36"/>
      <c r="N9" s="36"/>
      <c r="O9" s="36"/>
      <c r="P9" s="36"/>
      <c r="Q9" s="36"/>
      <c r="R9" s="36"/>
      <c r="S9" s="36"/>
      <c r="T9" s="36"/>
      <c r="U9" s="1"/>
      <c r="V9" s="1"/>
      <c r="W9" s="1"/>
      <c r="X9" s="1"/>
      <c r="Y9" s="1"/>
      <c r="Z9" s="1"/>
    </row>
    <row r="10" ht="14.25" customHeight="1">
      <c r="A10" s="1"/>
      <c r="B10" s="15"/>
      <c r="C10" s="16"/>
      <c r="D10" s="16"/>
      <c r="E10" s="16"/>
      <c r="F10" s="30" t="s">
        <v>18</v>
      </c>
      <c r="G10" s="31" t="s">
        <v>17</v>
      </c>
      <c r="H10" s="37">
        <f t="shared" si="1"/>
        <v>0</v>
      </c>
      <c r="I10" s="13"/>
      <c r="J10" s="13"/>
      <c r="K10" s="13"/>
      <c r="L10" s="36"/>
      <c r="M10" s="36"/>
      <c r="N10" s="36"/>
      <c r="O10" s="36"/>
      <c r="P10" s="36"/>
      <c r="Q10" s="36"/>
      <c r="R10" s="36"/>
      <c r="S10" s="36"/>
      <c r="T10" s="36"/>
      <c r="U10" s="1"/>
      <c r="V10" s="1"/>
      <c r="W10" s="1"/>
      <c r="X10" s="1"/>
      <c r="Y10" s="1"/>
      <c r="Z10" s="1"/>
    </row>
    <row r="11" ht="14.25" customHeight="1">
      <c r="A11" s="1"/>
      <c r="B11" s="15"/>
      <c r="C11" s="29">
        <v>3.0</v>
      </c>
      <c r="D11" s="29" t="str">
        <f>IF('Objetivos Estratégicos '!E9="","",'Objetivos Estratégicos '!E9)</f>
        <v/>
      </c>
      <c r="E11" s="29" t="str">
        <f>IF('Objetivos Estratégicos '!F9="","",'Objetivos Estratégicos '!F9)</f>
        <v/>
      </c>
      <c r="F11" s="30" t="s">
        <v>16</v>
      </c>
      <c r="G11" s="31" t="s">
        <v>17</v>
      </c>
      <c r="H11" s="37">
        <f t="shared" si="1"/>
        <v>0</v>
      </c>
      <c r="I11" s="13"/>
      <c r="J11" s="13"/>
      <c r="K11" s="13"/>
      <c r="L11" s="36"/>
      <c r="M11" s="36"/>
      <c r="N11" s="36"/>
      <c r="O11" s="36"/>
      <c r="P11" s="36"/>
      <c r="Q11" s="36"/>
      <c r="R11" s="36"/>
      <c r="S11" s="36"/>
      <c r="T11" s="36"/>
      <c r="U11" s="1"/>
      <c r="V11" s="1"/>
      <c r="W11" s="1"/>
      <c r="X11" s="1"/>
      <c r="Y11" s="1"/>
      <c r="Z11" s="1"/>
    </row>
    <row r="12" ht="14.25" customHeight="1">
      <c r="A12" s="1"/>
      <c r="B12" s="15"/>
      <c r="C12" s="16"/>
      <c r="D12" s="16"/>
      <c r="E12" s="16"/>
      <c r="F12" s="30" t="s">
        <v>18</v>
      </c>
      <c r="G12" s="31" t="s">
        <v>17</v>
      </c>
      <c r="H12" s="37">
        <f t="shared" si="1"/>
        <v>0</v>
      </c>
      <c r="I12" s="13"/>
      <c r="J12" s="13"/>
      <c r="K12" s="13"/>
      <c r="L12" s="36"/>
      <c r="M12" s="36"/>
      <c r="N12" s="36"/>
      <c r="O12" s="36"/>
      <c r="P12" s="36"/>
      <c r="Q12" s="36"/>
      <c r="R12" s="36"/>
      <c r="S12" s="36"/>
      <c r="T12" s="36"/>
      <c r="U12" s="1"/>
      <c r="V12" s="1"/>
      <c r="W12" s="1"/>
      <c r="X12" s="1"/>
      <c r="Y12" s="1"/>
      <c r="Z12" s="1"/>
    </row>
    <row r="13" ht="14.25" customHeight="1">
      <c r="A13" s="1"/>
      <c r="B13" s="15"/>
      <c r="C13" s="29">
        <v>4.0</v>
      </c>
      <c r="D13" s="29" t="str">
        <f>IF('Objetivos Estratégicos '!E10="","",'Objetivos Estratégicos '!E10)</f>
        <v/>
      </c>
      <c r="E13" s="29" t="str">
        <f>IF('Objetivos Estratégicos '!F10="","",'Objetivos Estratégicos '!F10)</f>
        <v/>
      </c>
      <c r="F13" s="30" t="s">
        <v>16</v>
      </c>
      <c r="G13" s="31" t="s">
        <v>17</v>
      </c>
      <c r="H13" s="37">
        <f t="shared" si="1"/>
        <v>0</v>
      </c>
      <c r="I13" s="13"/>
      <c r="J13" s="13"/>
      <c r="K13" s="13"/>
      <c r="L13" s="36"/>
      <c r="M13" s="36"/>
      <c r="N13" s="36"/>
      <c r="O13" s="36"/>
      <c r="P13" s="36"/>
      <c r="Q13" s="36"/>
      <c r="R13" s="36"/>
      <c r="S13" s="36"/>
      <c r="T13" s="36"/>
      <c r="U13" s="1"/>
      <c r="V13" s="1"/>
      <c r="W13" s="1"/>
      <c r="X13" s="1"/>
      <c r="Y13" s="1"/>
      <c r="Z13" s="1"/>
    </row>
    <row r="14" ht="14.25" customHeight="1">
      <c r="A14" s="1"/>
      <c r="B14" s="15"/>
      <c r="C14" s="16"/>
      <c r="D14" s="16"/>
      <c r="E14" s="16"/>
      <c r="F14" s="30" t="s">
        <v>18</v>
      </c>
      <c r="G14" s="31" t="s">
        <v>17</v>
      </c>
      <c r="H14" s="37">
        <f t="shared" si="1"/>
        <v>0</v>
      </c>
      <c r="I14" s="13"/>
      <c r="J14" s="13"/>
      <c r="K14" s="13"/>
      <c r="L14" s="36"/>
      <c r="M14" s="36"/>
      <c r="N14" s="36"/>
      <c r="O14" s="36"/>
      <c r="P14" s="36"/>
      <c r="Q14" s="36"/>
      <c r="R14" s="36"/>
      <c r="S14" s="36"/>
      <c r="T14" s="36"/>
      <c r="U14" s="1"/>
      <c r="V14" s="1"/>
      <c r="W14" s="1"/>
      <c r="X14" s="1"/>
      <c r="Y14" s="1"/>
      <c r="Z14" s="1"/>
    </row>
    <row r="15" ht="14.25" customHeight="1">
      <c r="A15" s="1"/>
      <c r="B15" s="15"/>
      <c r="C15" s="29">
        <v>5.0</v>
      </c>
      <c r="D15" s="29" t="str">
        <f>IF('Objetivos Estratégicos '!E11="","",'Objetivos Estratégicos '!E11)</f>
        <v/>
      </c>
      <c r="E15" s="29" t="str">
        <f>IF('Objetivos Estratégicos '!F11="","",'Objetivos Estratégicos '!F11)</f>
        <v/>
      </c>
      <c r="F15" s="30" t="s">
        <v>16</v>
      </c>
      <c r="G15" s="31" t="s">
        <v>17</v>
      </c>
      <c r="H15" s="37">
        <f t="shared" si="1"/>
        <v>0</v>
      </c>
      <c r="I15" s="13"/>
      <c r="J15" s="13"/>
      <c r="K15" s="13"/>
      <c r="L15" s="36"/>
      <c r="M15" s="36"/>
      <c r="N15" s="36"/>
      <c r="O15" s="36"/>
      <c r="P15" s="36"/>
      <c r="Q15" s="36"/>
      <c r="R15" s="36"/>
      <c r="S15" s="36"/>
      <c r="T15" s="36"/>
      <c r="U15" s="1"/>
      <c r="V15" s="1"/>
      <c r="W15" s="1"/>
      <c r="X15" s="1"/>
      <c r="Y15" s="1"/>
      <c r="Z15" s="1"/>
    </row>
    <row r="16" ht="14.25" customHeight="1">
      <c r="A16" s="1"/>
      <c r="B16" s="16"/>
      <c r="C16" s="16"/>
      <c r="D16" s="16"/>
      <c r="E16" s="16"/>
      <c r="F16" s="30" t="s">
        <v>18</v>
      </c>
      <c r="G16" s="31" t="s">
        <v>17</v>
      </c>
      <c r="H16" s="37">
        <f t="shared" si="1"/>
        <v>0</v>
      </c>
      <c r="I16" s="13"/>
      <c r="J16" s="13"/>
      <c r="K16" s="13"/>
      <c r="L16" s="36"/>
      <c r="M16" s="36"/>
      <c r="N16" s="36"/>
      <c r="O16" s="36"/>
      <c r="P16" s="36"/>
      <c r="Q16" s="36"/>
      <c r="R16" s="36"/>
      <c r="S16" s="36"/>
      <c r="T16" s="36"/>
      <c r="U16" s="1"/>
      <c r="V16" s="1"/>
      <c r="W16" s="1"/>
      <c r="X16" s="1"/>
      <c r="Y16" s="1"/>
      <c r="Z16" s="1"/>
    </row>
    <row r="17" ht="5.25" customHeight="1">
      <c r="A17" s="1"/>
      <c r="B17" s="1"/>
      <c r="C17" s="11"/>
      <c r="D17" s="38"/>
      <c r="E17" s="39"/>
      <c r="F17" s="19"/>
      <c r="G17" s="40"/>
      <c r="H17" s="21"/>
      <c r="I17" s="11"/>
      <c r="J17" s="11"/>
      <c r="K17" s="11"/>
      <c r="L17" s="41"/>
      <c r="M17" s="41"/>
      <c r="N17" s="41"/>
      <c r="O17" s="41"/>
      <c r="P17" s="41"/>
      <c r="Q17" s="41"/>
      <c r="R17" s="41"/>
      <c r="S17" s="41"/>
      <c r="T17" s="41"/>
      <c r="U17" s="1"/>
      <c r="V17" s="1"/>
      <c r="W17" s="1"/>
      <c r="X17" s="1"/>
      <c r="Y17" s="1"/>
      <c r="Z17" s="1"/>
    </row>
    <row r="18" ht="14.25" customHeight="1">
      <c r="A18" s="1"/>
      <c r="B18" s="12" t="s">
        <v>11</v>
      </c>
      <c r="C18" s="29">
        <v>1.0</v>
      </c>
      <c r="D18" s="29" t="str">
        <f>IF('Objetivos Estratégicos '!E13="","",'Objetivos Estratégicos '!E13)</f>
        <v/>
      </c>
      <c r="E18" s="29" t="str">
        <f>IF('Objetivos Estratégicos '!F13="","",'Objetivos Estratégicos '!F13)</f>
        <v/>
      </c>
      <c r="F18" s="30" t="s">
        <v>16</v>
      </c>
      <c r="G18" s="31" t="s">
        <v>17</v>
      </c>
      <c r="H18" s="37">
        <f t="shared" ref="H18:H27" si="2">IF(G18="SOMA",SUM(I18:T18),IF(G18="MÉDIA",AVERAGE(I18:T18),IF(G18="ÚLTIMO RESULTADO",MAX(I18:T18),"")))</f>
        <v>0</v>
      </c>
      <c r="I18" s="13"/>
      <c r="J18" s="13"/>
      <c r="K18" s="13"/>
      <c r="L18" s="36"/>
      <c r="M18" s="36"/>
      <c r="N18" s="36"/>
      <c r="O18" s="36"/>
      <c r="P18" s="36"/>
      <c r="Q18" s="36"/>
      <c r="R18" s="36"/>
      <c r="S18" s="36"/>
      <c r="T18" s="36"/>
      <c r="U18" s="1"/>
      <c r="V18" s="1"/>
      <c r="W18" s="1"/>
      <c r="X18" s="1"/>
      <c r="Y18" s="1"/>
      <c r="Z18" s="1"/>
    </row>
    <row r="19" ht="14.25" customHeight="1">
      <c r="A19" s="1"/>
      <c r="B19" s="15"/>
      <c r="C19" s="16"/>
      <c r="D19" s="16"/>
      <c r="E19" s="16"/>
      <c r="F19" s="30" t="s">
        <v>18</v>
      </c>
      <c r="G19" s="31" t="s">
        <v>17</v>
      </c>
      <c r="H19" s="37">
        <f t="shared" si="2"/>
        <v>0</v>
      </c>
      <c r="I19" s="13"/>
      <c r="J19" s="13"/>
      <c r="K19" s="13"/>
      <c r="L19" s="36"/>
      <c r="M19" s="36"/>
      <c r="N19" s="36"/>
      <c r="O19" s="36"/>
      <c r="P19" s="36"/>
      <c r="Q19" s="36"/>
      <c r="R19" s="36"/>
      <c r="S19" s="36"/>
      <c r="T19" s="36"/>
      <c r="U19" s="1"/>
      <c r="V19" s="1"/>
      <c r="W19" s="1"/>
      <c r="X19" s="1"/>
      <c r="Y19" s="1"/>
      <c r="Z19" s="1"/>
    </row>
    <row r="20" ht="14.25" customHeight="1">
      <c r="A20" s="1"/>
      <c r="B20" s="15"/>
      <c r="C20" s="29">
        <v>2.0</v>
      </c>
      <c r="D20" s="29" t="str">
        <f>IF('Objetivos Estratégicos '!E14="","",'Objetivos Estratégicos '!E14)</f>
        <v/>
      </c>
      <c r="E20" s="29" t="str">
        <f>IF('Objetivos Estratégicos '!F14="","",'Objetivos Estratégicos '!F14)</f>
        <v/>
      </c>
      <c r="F20" s="30" t="s">
        <v>16</v>
      </c>
      <c r="G20" s="31" t="s">
        <v>17</v>
      </c>
      <c r="H20" s="37">
        <f t="shared" si="2"/>
        <v>0</v>
      </c>
      <c r="I20" s="13"/>
      <c r="J20" s="13"/>
      <c r="K20" s="13"/>
      <c r="L20" s="36"/>
      <c r="M20" s="36"/>
      <c r="N20" s="36"/>
      <c r="O20" s="36"/>
      <c r="P20" s="36"/>
      <c r="Q20" s="36"/>
      <c r="R20" s="36"/>
      <c r="S20" s="36"/>
      <c r="T20" s="36"/>
      <c r="U20" s="1"/>
      <c r="V20" s="1"/>
      <c r="W20" s="1"/>
      <c r="X20" s="1"/>
      <c r="Y20" s="1"/>
      <c r="Z20" s="1"/>
    </row>
    <row r="21" ht="14.25" customHeight="1">
      <c r="A21" s="1"/>
      <c r="B21" s="15"/>
      <c r="C21" s="16"/>
      <c r="D21" s="16"/>
      <c r="E21" s="16"/>
      <c r="F21" s="30" t="s">
        <v>18</v>
      </c>
      <c r="G21" s="31" t="s">
        <v>17</v>
      </c>
      <c r="H21" s="37">
        <f t="shared" si="2"/>
        <v>0</v>
      </c>
      <c r="I21" s="13"/>
      <c r="J21" s="13"/>
      <c r="K21" s="13"/>
      <c r="L21" s="36"/>
      <c r="M21" s="36"/>
      <c r="N21" s="36"/>
      <c r="O21" s="36"/>
      <c r="P21" s="36"/>
      <c r="Q21" s="36"/>
      <c r="R21" s="36"/>
      <c r="S21" s="36"/>
      <c r="T21" s="36"/>
      <c r="U21" s="1"/>
      <c r="V21" s="1"/>
      <c r="W21" s="1"/>
      <c r="X21" s="1"/>
      <c r="Y21" s="1"/>
      <c r="Z21" s="1"/>
    </row>
    <row r="22" ht="14.25" customHeight="1">
      <c r="A22" s="1"/>
      <c r="B22" s="15"/>
      <c r="C22" s="29">
        <v>3.0</v>
      </c>
      <c r="D22" s="29" t="str">
        <f>IF('Objetivos Estratégicos '!E15="","",'Objetivos Estratégicos '!E15)</f>
        <v/>
      </c>
      <c r="E22" s="29" t="str">
        <f>IF('Objetivos Estratégicos '!F15="","",'Objetivos Estratégicos '!F15)</f>
        <v/>
      </c>
      <c r="F22" s="30" t="s">
        <v>16</v>
      </c>
      <c r="G22" s="31" t="s">
        <v>17</v>
      </c>
      <c r="H22" s="37">
        <f t="shared" si="2"/>
        <v>0</v>
      </c>
      <c r="I22" s="13"/>
      <c r="J22" s="13"/>
      <c r="K22" s="13"/>
      <c r="L22" s="36"/>
      <c r="M22" s="36"/>
      <c r="N22" s="36"/>
      <c r="O22" s="36"/>
      <c r="P22" s="36"/>
      <c r="Q22" s="36"/>
      <c r="R22" s="36"/>
      <c r="S22" s="36"/>
      <c r="T22" s="36"/>
      <c r="U22" s="1"/>
      <c r="V22" s="1"/>
      <c r="W22" s="1"/>
      <c r="X22" s="1"/>
      <c r="Y22" s="1"/>
      <c r="Z22" s="1"/>
    </row>
    <row r="23" ht="14.25" customHeight="1">
      <c r="A23" s="1"/>
      <c r="B23" s="15"/>
      <c r="C23" s="16"/>
      <c r="D23" s="16"/>
      <c r="E23" s="16"/>
      <c r="F23" s="30" t="s">
        <v>18</v>
      </c>
      <c r="G23" s="31" t="s">
        <v>17</v>
      </c>
      <c r="H23" s="37">
        <f t="shared" si="2"/>
        <v>0</v>
      </c>
      <c r="I23" s="13"/>
      <c r="J23" s="13"/>
      <c r="K23" s="13"/>
      <c r="L23" s="36"/>
      <c r="M23" s="36"/>
      <c r="N23" s="36"/>
      <c r="O23" s="42"/>
      <c r="P23" s="36"/>
      <c r="Q23" s="36"/>
      <c r="R23" s="36"/>
      <c r="S23" s="36"/>
      <c r="T23" s="36"/>
      <c r="U23" s="1"/>
      <c r="V23" s="1"/>
      <c r="W23" s="1"/>
      <c r="X23" s="1"/>
      <c r="Y23" s="1"/>
      <c r="Z23" s="1"/>
    </row>
    <row r="24" ht="14.25" customHeight="1">
      <c r="A24" s="1"/>
      <c r="B24" s="15"/>
      <c r="C24" s="29">
        <v>4.0</v>
      </c>
      <c r="D24" s="29" t="str">
        <f>IF('Objetivos Estratégicos '!E16="","",'Objetivos Estratégicos '!E16)</f>
        <v/>
      </c>
      <c r="E24" s="29" t="str">
        <f>IF('Objetivos Estratégicos '!F16="","",'Objetivos Estratégicos '!F16)</f>
        <v/>
      </c>
      <c r="F24" s="30" t="s">
        <v>16</v>
      </c>
      <c r="G24" s="31" t="s">
        <v>17</v>
      </c>
      <c r="H24" s="37">
        <f t="shared" si="2"/>
        <v>0</v>
      </c>
      <c r="I24" s="13"/>
      <c r="J24" s="13"/>
      <c r="K24" s="13"/>
      <c r="L24" s="36"/>
      <c r="M24" s="36"/>
      <c r="N24" s="36"/>
      <c r="O24" s="36"/>
      <c r="P24" s="36"/>
      <c r="Q24" s="36"/>
      <c r="R24" s="36"/>
      <c r="S24" s="36"/>
      <c r="T24" s="36"/>
      <c r="U24" s="1"/>
      <c r="V24" s="1"/>
      <c r="W24" s="1"/>
      <c r="X24" s="1"/>
      <c r="Y24" s="1"/>
      <c r="Z24" s="1"/>
    </row>
    <row r="25" ht="14.25" customHeight="1">
      <c r="A25" s="1"/>
      <c r="B25" s="15"/>
      <c r="C25" s="16"/>
      <c r="D25" s="16"/>
      <c r="E25" s="16"/>
      <c r="F25" s="30" t="s">
        <v>18</v>
      </c>
      <c r="G25" s="31" t="s">
        <v>17</v>
      </c>
      <c r="H25" s="37">
        <f t="shared" si="2"/>
        <v>0</v>
      </c>
      <c r="I25" s="13"/>
      <c r="J25" s="13"/>
      <c r="K25" s="13"/>
      <c r="L25" s="36"/>
      <c r="M25" s="36"/>
      <c r="N25" s="36"/>
      <c r="O25" s="42"/>
      <c r="P25" s="36"/>
      <c r="Q25" s="36"/>
      <c r="R25" s="36"/>
      <c r="S25" s="36"/>
      <c r="T25" s="36"/>
      <c r="U25" s="1"/>
      <c r="V25" s="1"/>
      <c r="W25" s="1"/>
      <c r="X25" s="1"/>
      <c r="Y25" s="1"/>
      <c r="Z25" s="1"/>
    </row>
    <row r="26" ht="14.25" customHeight="1">
      <c r="A26" s="1"/>
      <c r="B26" s="15"/>
      <c r="C26" s="29">
        <v>5.0</v>
      </c>
      <c r="D26" s="29" t="str">
        <f>IF('Objetivos Estratégicos '!E17="","",'Objetivos Estratégicos '!E17)</f>
        <v/>
      </c>
      <c r="E26" s="29" t="str">
        <f>IF('Objetivos Estratégicos '!F17="","",'Objetivos Estratégicos '!F17)</f>
        <v/>
      </c>
      <c r="F26" s="30" t="s">
        <v>16</v>
      </c>
      <c r="G26" s="31" t="s">
        <v>17</v>
      </c>
      <c r="H26" s="37">
        <f t="shared" si="2"/>
        <v>0</v>
      </c>
      <c r="I26" s="13"/>
      <c r="J26" s="13"/>
      <c r="K26" s="13"/>
      <c r="L26" s="36"/>
      <c r="M26" s="36"/>
      <c r="N26" s="36"/>
      <c r="O26" s="36"/>
      <c r="P26" s="36"/>
      <c r="Q26" s="36"/>
      <c r="R26" s="36"/>
      <c r="S26" s="36"/>
      <c r="T26" s="36"/>
      <c r="U26" s="1"/>
      <c r="V26" s="1"/>
      <c r="W26" s="1"/>
      <c r="X26" s="1"/>
      <c r="Y26" s="1"/>
      <c r="Z26" s="1"/>
    </row>
    <row r="27" ht="14.25" customHeight="1">
      <c r="A27" s="1"/>
      <c r="B27" s="16"/>
      <c r="C27" s="16"/>
      <c r="D27" s="16"/>
      <c r="E27" s="16"/>
      <c r="F27" s="30" t="s">
        <v>18</v>
      </c>
      <c r="G27" s="31" t="s">
        <v>17</v>
      </c>
      <c r="H27" s="43">
        <f t="shared" si="2"/>
        <v>0</v>
      </c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1"/>
      <c r="V27" s="1"/>
      <c r="W27" s="1"/>
      <c r="X27" s="1"/>
      <c r="Y27" s="1"/>
      <c r="Z27" s="1"/>
    </row>
    <row r="28" ht="3.0" customHeight="1">
      <c r="A28" s="1"/>
      <c r="B28" s="1"/>
      <c r="C28" s="1"/>
      <c r="D28" s="19"/>
      <c r="E28" s="19"/>
      <c r="F28" s="19"/>
      <c r="G28" s="40"/>
      <c r="H28" s="2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1"/>
      <c r="V28" s="1"/>
      <c r="W28" s="1"/>
      <c r="X28" s="1"/>
      <c r="Y28" s="1"/>
      <c r="Z28" s="1"/>
    </row>
    <row r="29" ht="14.25" customHeight="1">
      <c r="A29" s="1"/>
      <c r="B29" s="20" t="s">
        <v>12</v>
      </c>
      <c r="C29" s="29">
        <v>1.0</v>
      </c>
      <c r="D29" s="29" t="str">
        <f>IF('Objetivos Estratégicos '!E19="","",'Objetivos Estratégicos '!E19)</f>
        <v/>
      </c>
      <c r="E29" s="29" t="str">
        <f>IF('Objetivos Estratégicos '!F19="","",'Objetivos Estratégicos '!F19)</f>
        <v/>
      </c>
      <c r="F29" s="30" t="s">
        <v>16</v>
      </c>
      <c r="G29" s="31" t="s">
        <v>17</v>
      </c>
      <c r="H29" s="43">
        <f t="shared" ref="H29:H38" si="3">IF(G29="SOMA",SUM(I29:T29),IF(G29="MÉDIA",AVERAGE(I29:T29),IF(G29="ÚLTIMO RESULTADO",MAX(I29:T29),"")))</f>
        <v>0</v>
      </c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1"/>
      <c r="V29" s="1"/>
      <c r="W29" s="1"/>
      <c r="X29" s="1"/>
      <c r="Y29" s="1"/>
      <c r="Z29" s="1"/>
    </row>
    <row r="30" ht="14.25" customHeight="1">
      <c r="A30" s="1"/>
      <c r="B30" s="15"/>
      <c r="C30" s="16"/>
      <c r="D30" s="16"/>
      <c r="E30" s="16"/>
      <c r="F30" s="30" t="s">
        <v>18</v>
      </c>
      <c r="G30" s="31" t="s">
        <v>17</v>
      </c>
      <c r="H30" s="43">
        <f t="shared" si="3"/>
        <v>0</v>
      </c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1"/>
      <c r="V30" s="1"/>
      <c r="W30" s="1"/>
      <c r="X30" s="1"/>
      <c r="Y30" s="1"/>
      <c r="Z30" s="1"/>
    </row>
    <row r="31" ht="14.25" customHeight="1">
      <c r="A31" s="1"/>
      <c r="B31" s="15"/>
      <c r="C31" s="29">
        <v>2.0</v>
      </c>
      <c r="D31" s="29" t="str">
        <f>IF('Objetivos Estratégicos '!E20="","",'Objetivos Estratégicos '!E20)</f>
        <v/>
      </c>
      <c r="E31" s="29" t="str">
        <f>IF('Objetivos Estratégicos '!F20="","",'Objetivos Estratégicos '!F20)</f>
        <v/>
      </c>
      <c r="F31" s="30" t="s">
        <v>16</v>
      </c>
      <c r="G31" s="31" t="s">
        <v>17</v>
      </c>
      <c r="H31" s="43">
        <f t="shared" si="3"/>
        <v>0</v>
      </c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1"/>
      <c r="V31" s="1"/>
      <c r="W31" s="1"/>
      <c r="X31" s="1"/>
      <c r="Y31" s="1"/>
      <c r="Z31" s="1"/>
    </row>
    <row r="32" ht="14.25" customHeight="1">
      <c r="A32" s="1"/>
      <c r="B32" s="15"/>
      <c r="C32" s="16"/>
      <c r="D32" s="16"/>
      <c r="E32" s="16"/>
      <c r="F32" s="30" t="s">
        <v>18</v>
      </c>
      <c r="G32" s="31" t="s">
        <v>17</v>
      </c>
      <c r="H32" s="43">
        <f t="shared" si="3"/>
        <v>0</v>
      </c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1"/>
      <c r="V32" s="1"/>
      <c r="W32" s="1"/>
      <c r="X32" s="1"/>
      <c r="Y32" s="1"/>
      <c r="Z32" s="1"/>
    </row>
    <row r="33" ht="14.25" customHeight="1">
      <c r="A33" s="1"/>
      <c r="B33" s="15"/>
      <c r="C33" s="29">
        <v>3.0</v>
      </c>
      <c r="D33" s="29" t="str">
        <f>IF('Objetivos Estratégicos '!E21="","",'Objetivos Estratégicos '!E21)</f>
        <v/>
      </c>
      <c r="E33" s="29" t="str">
        <f>IF('Objetivos Estratégicos '!F21="","",'Objetivos Estratégicos '!F21)</f>
        <v/>
      </c>
      <c r="F33" s="30" t="s">
        <v>16</v>
      </c>
      <c r="G33" s="31" t="s">
        <v>17</v>
      </c>
      <c r="H33" s="43">
        <f t="shared" si="3"/>
        <v>0</v>
      </c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1"/>
      <c r="V33" s="1"/>
      <c r="W33" s="1"/>
      <c r="X33" s="1"/>
      <c r="Y33" s="1"/>
      <c r="Z33" s="1"/>
    </row>
    <row r="34" ht="14.25" customHeight="1">
      <c r="A34" s="1"/>
      <c r="B34" s="15"/>
      <c r="C34" s="16"/>
      <c r="D34" s="16"/>
      <c r="E34" s="16"/>
      <c r="F34" s="30" t="s">
        <v>18</v>
      </c>
      <c r="G34" s="31" t="s">
        <v>17</v>
      </c>
      <c r="H34" s="43">
        <f t="shared" si="3"/>
        <v>0</v>
      </c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1"/>
      <c r="V34" s="1"/>
      <c r="W34" s="1"/>
      <c r="X34" s="1"/>
      <c r="Y34" s="1"/>
      <c r="Z34" s="1"/>
    </row>
    <row r="35" ht="14.25" customHeight="1">
      <c r="A35" s="1"/>
      <c r="B35" s="15"/>
      <c r="C35" s="29">
        <v>4.0</v>
      </c>
      <c r="D35" s="29" t="str">
        <f>IF('Objetivos Estratégicos '!E22="","",'Objetivos Estratégicos '!E22)</f>
        <v/>
      </c>
      <c r="E35" s="29" t="str">
        <f>IF('Objetivos Estratégicos '!F22="","",'Objetivos Estratégicos '!F22)</f>
        <v/>
      </c>
      <c r="F35" s="30" t="s">
        <v>16</v>
      </c>
      <c r="G35" s="31" t="s">
        <v>17</v>
      </c>
      <c r="H35" s="43">
        <f t="shared" si="3"/>
        <v>0</v>
      </c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1"/>
      <c r="V35" s="1"/>
      <c r="W35" s="1"/>
      <c r="X35" s="1"/>
      <c r="Y35" s="1"/>
      <c r="Z35" s="1"/>
    </row>
    <row r="36" ht="14.25" customHeight="1">
      <c r="A36" s="1"/>
      <c r="B36" s="15"/>
      <c r="C36" s="16"/>
      <c r="D36" s="16"/>
      <c r="E36" s="16"/>
      <c r="F36" s="30" t="s">
        <v>18</v>
      </c>
      <c r="G36" s="31" t="s">
        <v>17</v>
      </c>
      <c r="H36" s="43">
        <f t="shared" si="3"/>
        <v>0</v>
      </c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1"/>
      <c r="V36" s="1"/>
      <c r="W36" s="1"/>
      <c r="X36" s="1"/>
      <c r="Y36" s="1"/>
      <c r="Z36" s="1"/>
    </row>
    <row r="37" ht="14.25" customHeight="1">
      <c r="A37" s="1"/>
      <c r="B37" s="15"/>
      <c r="C37" s="29">
        <v>5.0</v>
      </c>
      <c r="D37" s="29" t="str">
        <f>IF('Objetivos Estratégicos '!E23="","",'Objetivos Estratégicos '!E23)</f>
        <v/>
      </c>
      <c r="E37" s="29" t="str">
        <f>IF('Objetivos Estratégicos '!F23="","",'Objetivos Estratégicos '!F23)</f>
        <v/>
      </c>
      <c r="F37" s="30" t="s">
        <v>16</v>
      </c>
      <c r="G37" s="31" t="s">
        <v>17</v>
      </c>
      <c r="H37" s="43">
        <f t="shared" si="3"/>
        <v>0</v>
      </c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1"/>
      <c r="V37" s="1"/>
      <c r="W37" s="1"/>
      <c r="X37" s="1"/>
      <c r="Y37" s="1"/>
      <c r="Z37" s="1"/>
    </row>
    <row r="38" ht="14.25" customHeight="1">
      <c r="A38" s="1"/>
      <c r="B38" s="16"/>
      <c r="C38" s="16"/>
      <c r="D38" s="16"/>
      <c r="E38" s="16"/>
      <c r="F38" s="30" t="s">
        <v>18</v>
      </c>
      <c r="G38" s="31" t="s">
        <v>17</v>
      </c>
      <c r="H38" s="43">
        <f t="shared" si="3"/>
        <v>0</v>
      </c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1"/>
      <c r="V38" s="1"/>
      <c r="W38" s="1"/>
      <c r="X38" s="1"/>
      <c r="Y38" s="1"/>
      <c r="Z38" s="1"/>
    </row>
    <row r="39" ht="5.25" customHeight="1">
      <c r="A39" s="1"/>
      <c r="B39" s="1"/>
      <c r="C39" s="11"/>
      <c r="D39" s="38"/>
      <c r="E39" s="44"/>
      <c r="F39" s="19"/>
      <c r="G39" s="40" t="s">
        <v>17</v>
      </c>
      <c r="H39" s="2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1"/>
      <c r="V39" s="1"/>
      <c r="W39" s="1"/>
      <c r="X39" s="1"/>
      <c r="Y39" s="1"/>
      <c r="Z39" s="1"/>
    </row>
    <row r="40" ht="14.25" customHeight="1">
      <c r="A40" s="1"/>
      <c r="B40" s="20" t="s">
        <v>13</v>
      </c>
      <c r="C40" s="29">
        <v>1.0</v>
      </c>
      <c r="D40" s="29" t="str">
        <f>IF('Objetivos Estratégicos '!E25="","",'Objetivos Estratégicos '!E25)</f>
        <v/>
      </c>
      <c r="E40" s="29" t="str">
        <f>IF('Objetivos Estratégicos '!F25="","",'Objetivos Estratégicos '!F25)</f>
        <v/>
      </c>
      <c r="F40" s="30" t="s">
        <v>16</v>
      </c>
      <c r="G40" s="31" t="s">
        <v>17</v>
      </c>
      <c r="H40" s="43">
        <f t="shared" ref="H40:H49" si="4">IF(G40="SOMA",SUM(I40:T40),IF(G40="MÉDIA",AVERAGE(I40:T40),IF(G40="ÚLTIMO RESULTADO",MAX(I40:T40),"")))</f>
        <v>0</v>
      </c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1"/>
      <c r="V40" s="1"/>
      <c r="W40" s="1"/>
      <c r="X40" s="1"/>
      <c r="Y40" s="1"/>
      <c r="Z40" s="1"/>
    </row>
    <row r="41" ht="14.25" customHeight="1">
      <c r="A41" s="1"/>
      <c r="B41" s="15"/>
      <c r="C41" s="16"/>
      <c r="D41" s="16"/>
      <c r="E41" s="16"/>
      <c r="F41" s="30" t="s">
        <v>18</v>
      </c>
      <c r="G41" s="31" t="s">
        <v>17</v>
      </c>
      <c r="H41" s="43">
        <f t="shared" si="4"/>
        <v>0</v>
      </c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1"/>
      <c r="V41" s="1"/>
      <c r="W41" s="1"/>
      <c r="X41" s="1"/>
      <c r="Y41" s="1"/>
      <c r="Z41" s="1"/>
    </row>
    <row r="42" ht="14.25" customHeight="1">
      <c r="A42" s="1"/>
      <c r="B42" s="15"/>
      <c r="C42" s="29">
        <v>2.0</v>
      </c>
      <c r="D42" s="29" t="str">
        <f>IF('Objetivos Estratégicos '!E26="","",'Objetivos Estratégicos '!E26)</f>
        <v/>
      </c>
      <c r="E42" s="29" t="str">
        <f>IF('Objetivos Estratégicos '!F26="","",'Objetivos Estratégicos '!F26)</f>
        <v/>
      </c>
      <c r="F42" s="30" t="s">
        <v>16</v>
      </c>
      <c r="G42" s="31" t="s">
        <v>17</v>
      </c>
      <c r="H42" s="43">
        <f t="shared" si="4"/>
        <v>0</v>
      </c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1"/>
      <c r="V42" s="1"/>
      <c r="W42" s="1"/>
      <c r="X42" s="1"/>
      <c r="Y42" s="1"/>
      <c r="Z42" s="1"/>
    </row>
    <row r="43" ht="14.25" customHeight="1">
      <c r="A43" s="1"/>
      <c r="B43" s="15"/>
      <c r="C43" s="16"/>
      <c r="D43" s="16"/>
      <c r="E43" s="16"/>
      <c r="F43" s="30" t="s">
        <v>18</v>
      </c>
      <c r="G43" s="31" t="s">
        <v>17</v>
      </c>
      <c r="H43" s="43">
        <f t="shared" si="4"/>
        <v>0</v>
      </c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1"/>
      <c r="V43" s="1"/>
      <c r="W43" s="1"/>
      <c r="X43" s="1"/>
      <c r="Y43" s="1"/>
      <c r="Z43" s="1"/>
    </row>
    <row r="44" ht="14.25" customHeight="1">
      <c r="A44" s="1"/>
      <c r="B44" s="15"/>
      <c r="C44" s="29">
        <v>3.0</v>
      </c>
      <c r="D44" s="29" t="str">
        <f>IF('Objetivos Estratégicos '!E27="","",'Objetivos Estratégicos '!E27)</f>
        <v/>
      </c>
      <c r="E44" s="29" t="str">
        <f>IF('Objetivos Estratégicos '!F27="","",'Objetivos Estratégicos '!F27)</f>
        <v/>
      </c>
      <c r="F44" s="30" t="s">
        <v>16</v>
      </c>
      <c r="G44" s="31" t="s">
        <v>17</v>
      </c>
      <c r="H44" s="43">
        <f t="shared" si="4"/>
        <v>0</v>
      </c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1"/>
      <c r="V44" s="1"/>
      <c r="W44" s="1"/>
      <c r="X44" s="1"/>
      <c r="Y44" s="1"/>
      <c r="Z44" s="1"/>
    </row>
    <row r="45" ht="14.25" customHeight="1">
      <c r="A45" s="1"/>
      <c r="B45" s="15"/>
      <c r="C45" s="16"/>
      <c r="D45" s="16"/>
      <c r="E45" s="16"/>
      <c r="F45" s="30" t="s">
        <v>18</v>
      </c>
      <c r="G45" s="31" t="s">
        <v>17</v>
      </c>
      <c r="H45" s="43">
        <f t="shared" si="4"/>
        <v>0</v>
      </c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1"/>
      <c r="V45" s="1"/>
      <c r="W45" s="1"/>
      <c r="X45" s="1"/>
      <c r="Y45" s="1"/>
      <c r="Z45" s="1"/>
    </row>
    <row r="46" ht="14.25" customHeight="1">
      <c r="A46" s="1"/>
      <c r="B46" s="15"/>
      <c r="C46" s="29">
        <v>4.0</v>
      </c>
      <c r="D46" s="29" t="str">
        <f>IF('Objetivos Estratégicos '!E28="","",'Objetivos Estratégicos '!E29)</f>
        <v/>
      </c>
      <c r="E46" s="29" t="str">
        <f>IF('Objetivos Estratégicos '!F28="","",'Objetivos Estratégicos '!F29)</f>
        <v/>
      </c>
      <c r="F46" s="30" t="s">
        <v>16</v>
      </c>
      <c r="G46" s="31" t="s">
        <v>17</v>
      </c>
      <c r="H46" s="43">
        <f t="shared" si="4"/>
        <v>0</v>
      </c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1"/>
      <c r="V46" s="1"/>
      <c r="W46" s="1"/>
      <c r="X46" s="1"/>
      <c r="Y46" s="1"/>
      <c r="Z46" s="1"/>
    </row>
    <row r="47" ht="14.25" customHeight="1">
      <c r="A47" s="1"/>
      <c r="B47" s="15"/>
      <c r="C47" s="16"/>
      <c r="D47" s="16"/>
      <c r="E47" s="16"/>
      <c r="F47" s="30" t="s">
        <v>18</v>
      </c>
      <c r="G47" s="31" t="s">
        <v>17</v>
      </c>
      <c r="H47" s="43">
        <f t="shared" si="4"/>
        <v>0</v>
      </c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1"/>
      <c r="V47" s="1"/>
      <c r="W47" s="1"/>
      <c r="X47" s="1"/>
      <c r="Y47" s="1"/>
      <c r="Z47" s="1"/>
    </row>
    <row r="48" ht="14.25" customHeight="1">
      <c r="A48" s="1"/>
      <c r="B48" s="15"/>
      <c r="C48" s="29">
        <v>5.0</v>
      </c>
      <c r="D48" s="29" t="str">
        <f>IF('Objetivos Estratégicos '!E29="","",'Objetivos Estratégicos '!E29)</f>
        <v/>
      </c>
      <c r="E48" s="29" t="str">
        <f>IF('Objetivos Estratégicos '!F29="","",'Objetivos Estratégicos '!F29)</f>
        <v/>
      </c>
      <c r="F48" s="30" t="s">
        <v>16</v>
      </c>
      <c r="G48" s="31" t="s">
        <v>17</v>
      </c>
      <c r="H48" s="43">
        <f t="shared" si="4"/>
        <v>0</v>
      </c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1"/>
      <c r="V48" s="1"/>
      <c r="W48" s="1"/>
      <c r="X48" s="1"/>
      <c r="Y48" s="1"/>
      <c r="Z48" s="1"/>
    </row>
    <row r="49" ht="12.0" customHeight="1">
      <c r="A49" s="1"/>
      <c r="B49" s="16"/>
      <c r="C49" s="16"/>
      <c r="D49" s="16"/>
      <c r="E49" s="16"/>
      <c r="F49" s="30" t="s">
        <v>18</v>
      </c>
      <c r="G49" s="31" t="s">
        <v>17</v>
      </c>
      <c r="H49" s="43">
        <f t="shared" si="4"/>
        <v>0</v>
      </c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1"/>
      <c r="D50" s="19"/>
      <c r="E50" s="19"/>
      <c r="F50" s="19"/>
      <c r="G50" s="25"/>
      <c r="H50" s="19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1"/>
      <c r="D51" s="19"/>
      <c r="E51" s="19"/>
      <c r="F51" s="19"/>
      <c r="G51" s="25"/>
      <c r="H51" s="19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"/>
      <c r="V51" s="1"/>
      <c r="W51" s="1"/>
      <c r="X51" s="1"/>
      <c r="Y51" s="1"/>
      <c r="Z51" s="1"/>
    </row>
    <row r="52" ht="14.25" hidden="1" customHeight="1">
      <c r="A52" s="1"/>
      <c r="B52" s="1"/>
      <c r="C52" s="11"/>
      <c r="D52" s="19"/>
      <c r="E52" s="19"/>
      <c r="F52" s="19"/>
      <c r="G52" s="25"/>
      <c r="H52" s="19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"/>
      <c r="V52" s="1"/>
      <c r="W52" s="1"/>
      <c r="X52" s="1"/>
      <c r="Y52" s="1"/>
      <c r="Z52" s="1"/>
    </row>
    <row r="53" ht="14.25" hidden="1" customHeight="1">
      <c r="A53" s="1"/>
      <c r="B53" s="1"/>
      <c r="C53" s="11"/>
      <c r="D53" s="19"/>
      <c r="E53" s="19"/>
      <c r="F53" s="19"/>
      <c r="G53" s="25"/>
      <c r="H53" s="19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"/>
      <c r="V53" s="1"/>
      <c r="W53" s="1"/>
      <c r="X53" s="1"/>
      <c r="Y53" s="1"/>
      <c r="Z53" s="1"/>
    </row>
    <row r="54" ht="14.25" hidden="1" customHeight="1">
      <c r="A54" s="1"/>
      <c r="B54" s="1"/>
      <c r="C54" s="11"/>
      <c r="D54" s="19"/>
      <c r="E54" s="19"/>
      <c r="F54" s="19"/>
      <c r="G54" s="25"/>
      <c r="H54" s="19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"/>
      <c r="V54" s="1"/>
      <c r="W54" s="1"/>
      <c r="X54" s="1"/>
      <c r="Y54" s="1"/>
      <c r="Z54" s="1"/>
    </row>
    <row r="55" ht="14.25" hidden="1" customHeight="1">
      <c r="A55" s="1"/>
      <c r="B55" s="1"/>
      <c r="C55" s="11"/>
      <c r="D55" s="19"/>
      <c r="E55" s="19"/>
      <c r="F55" s="19"/>
      <c r="G55" s="25"/>
      <c r="H55" s="19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"/>
      <c r="V55" s="1"/>
      <c r="W55" s="1"/>
      <c r="X55" s="1"/>
      <c r="Y55" s="1"/>
      <c r="Z55" s="1"/>
    </row>
    <row r="56" ht="14.25" hidden="1" customHeight="1">
      <c r="A56" s="1"/>
      <c r="B56" s="1"/>
      <c r="C56" s="11"/>
      <c r="D56" s="19"/>
      <c r="E56" s="19"/>
      <c r="F56" s="19"/>
      <c r="G56" s="25"/>
      <c r="H56" s="19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"/>
      <c r="V56" s="1"/>
      <c r="W56" s="1"/>
      <c r="X56" s="1"/>
      <c r="Y56" s="1"/>
      <c r="Z56" s="1"/>
    </row>
    <row r="57" ht="14.25" hidden="1" customHeight="1">
      <c r="A57" s="1"/>
      <c r="B57" s="1"/>
      <c r="C57" s="11"/>
      <c r="D57" s="19"/>
      <c r="E57" s="19"/>
      <c r="F57" s="19"/>
      <c r="G57" s="25"/>
      <c r="H57" s="19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"/>
      <c r="V57" s="1"/>
      <c r="W57" s="1"/>
      <c r="X57" s="1"/>
      <c r="Y57" s="1"/>
      <c r="Z57" s="1"/>
    </row>
    <row r="58" ht="14.25" hidden="1" customHeight="1">
      <c r="A58" s="1"/>
      <c r="B58" s="1"/>
      <c r="C58" s="11"/>
      <c r="D58" s="19"/>
      <c r="E58" s="19"/>
      <c r="F58" s="19"/>
      <c r="G58" s="25"/>
      <c r="H58" s="19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"/>
      <c r="V58" s="1"/>
      <c r="W58" s="1"/>
      <c r="X58" s="1"/>
      <c r="Y58" s="1"/>
      <c r="Z58" s="1"/>
    </row>
    <row r="59" ht="14.25" hidden="1" customHeight="1">
      <c r="A59" s="1"/>
      <c r="B59" s="1"/>
      <c r="C59" s="11"/>
      <c r="D59" s="19"/>
      <c r="E59" s="19"/>
      <c r="F59" s="19"/>
      <c r="G59" s="25"/>
      <c r="H59" s="19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"/>
      <c r="V59" s="1"/>
      <c r="W59" s="1"/>
      <c r="X59" s="1"/>
      <c r="Y59" s="1"/>
      <c r="Z59" s="1"/>
    </row>
    <row r="60" ht="14.25" hidden="1" customHeight="1">
      <c r="A60" s="1"/>
      <c r="B60" s="1"/>
      <c r="C60" s="11"/>
      <c r="D60" s="19"/>
      <c r="E60" s="19"/>
      <c r="F60" s="19"/>
      <c r="G60" s="25"/>
      <c r="H60" s="19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"/>
      <c r="V60" s="1"/>
      <c r="W60" s="1"/>
      <c r="X60" s="1"/>
      <c r="Y60" s="1"/>
      <c r="Z60" s="1"/>
    </row>
    <row r="61" ht="14.25" hidden="1" customHeight="1">
      <c r="A61" s="1"/>
      <c r="B61" s="1"/>
      <c r="C61" s="11"/>
      <c r="D61" s="19"/>
      <c r="E61" s="19"/>
      <c r="F61" s="19"/>
      <c r="G61" s="25"/>
      <c r="H61" s="19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"/>
      <c r="V61" s="1"/>
      <c r="W61" s="1"/>
      <c r="X61" s="1"/>
      <c r="Y61" s="1"/>
      <c r="Z61" s="1"/>
    </row>
    <row r="62" ht="14.25" hidden="1" customHeight="1">
      <c r="A62" s="1"/>
      <c r="B62" s="1"/>
      <c r="C62" s="11"/>
      <c r="D62" s="19"/>
      <c r="E62" s="19"/>
      <c r="F62" s="19"/>
      <c r="G62" s="25"/>
      <c r="H62" s="19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"/>
      <c r="V62" s="1"/>
      <c r="W62" s="1"/>
      <c r="X62" s="1"/>
      <c r="Y62" s="1"/>
      <c r="Z62" s="1"/>
    </row>
    <row r="63" ht="14.25" hidden="1" customHeight="1">
      <c r="A63" s="1"/>
      <c r="B63" s="1"/>
      <c r="C63" s="11"/>
      <c r="D63" s="19"/>
      <c r="E63" s="19"/>
      <c r="F63" s="19"/>
      <c r="G63" s="25"/>
      <c r="H63" s="19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"/>
      <c r="V63" s="1"/>
      <c r="W63" s="1"/>
      <c r="X63" s="1"/>
      <c r="Y63" s="1"/>
      <c r="Z63" s="1"/>
    </row>
    <row r="64" ht="14.25" hidden="1" customHeight="1">
      <c r="A64" s="1"/>
      <c r="B64" s="1"/>
      <c r="C64" s="11"/>
      <c r="D64" s="19"/>
      <c r="E64" s="19"/>
      <c r="F64" s="19"/>
      <c r="G64" s="25"/>
      <c r="H64" s="19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"/>
      <c r="V64" s="1"/>
      <c r="W64" s="1"/>
      <c r="X64" s="1"/>
      <c r="Y64" s="1"/>
      <c r="Z64" s="1"/>
    </row>
    <row r="65" ht="14.25" hidden="1" customHeight="1">
      <c r="A65" s="1"/>
      <c r="B65" s="1"/>
      <c r="C65" s="11"/>
      <c r="D65" s="19"/>
      <c r="E65" s="19"/>
      <c r="F65" s="19"/>
      <c r="G65" s="25"/>
      <c r="H65" s="19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"/>
      <c r="V65" s="1"/>
      <c r="W65" s="1"/>
      <c r="X65" s="1"/>
      <c r="Y65" s="1"/>
      <c r="Z65" s="1"/>
    </row>
    <row r="66" ht="14.25" hidden="1" customHeight="1">
      <c r="A66" s="1"/>
      <c r="B66" s="1"/>
      <c r="C66" s="11"/>
      <c r="D66" s="19"/>
      <c r="E66" s="19"/>
      <c r="F66" s="19"/>
      <c r="G66" s="25"/>
      <c r="H66" s="19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"/>
      <c r="V66" s="1"/>
      <c r="W66" s="1"/>
      <c r="X66" s="1"/>
      <c r="Y66" s="1"/>
      <c r="Z66" s="1"/>
    </row>
    <row r="67" ht="14.25" hidden="1" customHeight="1">
      <c r="A67" s="1"/>
      <c r="B67" s="1"/>
      <c r="C67" s="11"/>
      <c r="D67" s="19"/>
      <c r="E67" s="19"/>
      <c r="F67" s="19"/>
      <c r="G67" s="25"/>
      <c r="H67" s="19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"/>
      <c r="V67" s="1"/>
      <c r="W67" s="1"/>
      <c r="X67" s="1"/>
      <c r="Y67" s="1"/>
      <c r="Z67" s="1"/>
    </row>
    <row r="68" ht="14.25" hidden="1" customHeight="1">
      <c r="A68" s="1"/>
      <c r="B68" s="1"/>
      <c r="C68" s="11"/>
      <c r="D68" s="19"/>
      <c r="E68" s="19"/>
      <c r="F68" s="19"/>
      <c r="G68" s="25"/>
      <c r="H68" s="19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"/>
      <c r="V68" s="1"/>
      <c r="W68" s="1"/>
      <c r="X68" s="1"/>
      <c r="Y68" s="1"/>
      <c r="Z68" s="1"/>
    </row>
    <row r="69" ht="14.25" hidden="1" customHeight="1">
      <c r="A69" s="1"/>
      <c r="B69" s="1"/>
      <c r="C69" s="11"/>
      <c r="D69" s="19"/>
      <c r="E69" s="19"/>
      <c r="F69" s="19"/>
      <c r="G69" s="25"/>
      <c r="H69" s="19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"/>
      <c r="V69" s="1"/>
      <c r="W69" s="1"/>
      <c r="X69" s="1"/>
      <c r="Y69" s="1"/>
      <c r="Z69" s="1"/>
    </row>
    <row r="70" ht="14.25" hidden="1" customHeight="1">
      <c r="A70" s="1"/>
      <c r="B70" s="1"/>
      <c r="C70" s="11"/>
      <c r="D70" s="19"/>
      <c r="E70" s="19"/>
      <c r="F70" s="19"/>
      <c r="G70" s="25"/>
      <c r="H70" s="19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"/>
      <c r="V70" s="1"/>
      <c r="W70" s="1"/>
      <c r="X70" s="1"/>
      <c r="Y70" s="1"/>
      <c r="Z70" s="1"/>
    </row>
    <row r="71" ht="14.25" hidden="1" customHeight="1">
      <c r="A71" s="1"/>
      <c r="B71" s="1"/>
      <c r="C71" s="11"/>
      <c r="D71" s="19"/>
      <c r="E71" s="19"/>
      <c r="F71" s="19"/>
      <c r="G71" s="25"/>
      <c r="H71" s="19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"/>
      <c r="V71" s="1"/>
      <c r="W71" s="1"/>
      <c r="X71" s="1"/>
      <c r="Y71" s="1"/>
      <c r="Z71" s="1"/>
    </row>
    <row r="72" ht="14.25" hidden="1" customHeight="1">
      <c r="A72" s="1"/>
      <c r="B72" s="1"/>
      <c r="C72" s="11"/>
      <c r="D72" s="19"/>
      <c r="E72" s="19"/>
      <c r="F72" s="19"/>
      <c r="G72" s="25"/>
      <c r="H72" s="19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"/>
      <c r="V72" s="1"/>
      <c r="W72" s="1"/>
      <c r="X72" s="1"/>
      <c r="Y72" s="1"/>
      <c r="Z72" s="1"/>
    </row>
    <row r="73" ht="14.25" hidden="1" customHeight="1">
      <c r="A73" s="1"/>
      <c r="B73" s="1"/>
      <c r="C73" s="11"/>
      <c r="D73" s="19"/>
      <c r="E73" s="19"/>
      <c r="F73" s="19"/>
      <c r="G73" s="25"/>
      <c r="H73" s="19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"/>
      <c r="V73" s="1"/>
      <c r="W73" s="1"/>
      <c r="X73" s="1"/>
      <c r="Y73" s="1"/>
      <c r="Z73" s="1"/>
    </row>
    <row r="74" ht="14.25" hidden="1" customHeight="1">
      <c r="A74" s="1"/>
      <c r="B74" s="1"/>
      <c r="C74" s="11"/>
      <c r="D74" s="19"/>
      <c r="E74" s="19"/>
      <c r="F74" s="19"/>
      <c r="G74" s="25"/>
      <c r="H74" s="19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"/>
      <c r="V74" s="1"/>
      <c r="W74" s="1"/>
      <c r="X74" s="1"/>
      <c r="Y74" s="1"/>
      <c r="Z74" s="1"/>
    </row>
    <row r="75" ht="14.25" hidden="1" customHeight="1">
      <c r="A75" s="1"/>
      <c r="B75" s="1"/>
      <c r="C75" s="11"/>
      <c r="D75" s="19"/>
      <c r="E75" s="19"/>
      <c r="F75" s="19"/>
      <c r="G75" s="25"/>
      <c r="H75" s="19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"/>
      <c r="V75" s="1"/>
      <c r="W75" s="1"/>
      <c r="X75" s="1"/>
      <c r="Y75" s="1"/>
      <c r="Z75" s="1"/>
    </row>
    <row r="76" ht="14.25" hidden="1" customHeight="1">
      <c r="A76" s="1"/>
      <c r="B76" s="1"/>
      <c r="C76" s="11"/>
      <c r="D76" s="19"/>
      <c r="E76" s="19"/>
      <c r="F76" s="19"/>
      <c r="G76" s="25"/>
      <c r="H76" s="19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"/>
      <c r="V76" s="1"/>
      <c r="W76" s="1"/>
      <c r="X76" s="1"/>
      <c r="Y76" s="1"/>
      <c r="Z76" s="1"/>
    </row>
    <row r="77" ht="14.25" hidden="1" customHeight="1">
      <c r="A77" s="1"/>
      <c r="B77" s="1"/>
      <c r="C77" s="11"/>
      <c r="D77" s="19"/>
      <c r="E77" s="19"/>
      <c r="F77" s="19"/>
      <c r="G77" s="25"/>
      <c r="H77" s="19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"/>
      <c r="V77" s="1"/>
      <c r="W77" s="1"/>
      <c r="X77" s="1"/>
      <c r="Y77" s="1"/>
      <c r="Z77" s="1"/>
    </row>
    <row r="78" ht="14.25" hidden="1" customHeight="1">
      <c r="A78" s="1"/>
      <c r="B78" s="1"/>
      <c r="C78" s="11"/>
      <c r="D78" s="19"/>
      <c r="E78" s="19"/>
      <c r="F78" s="19"/>
      <c r="G78" s="25"/>
      <c r="H78" s="19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"/>
      <c r="V78" s="1"/>
      <c r="W78" s="1"/>
      <c r="X78" s="1"/>
      <c r="Y78" s="1"/>
      <c r="Z78" s="1"/>
    </row>
    <row r="79" ht="14.25" hidden="1" customHeight="1">
      <c r="A79" s="1"/>
      <c r="B79" s="1"/>
      <c r="C79" s="11"/>
      <c r="D79" s="19"/>
      <c r="E79" s="19"/>
      <c r="F79" s="19"/>
      <c r="G79" s="25"/>
      <c r="H79" s="19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"/>
      <c r="V79" s="1"/>
      <c r="W79" s="1"/>
      <c r="X79" s="1"/>
      <c r="Y79" s="1"/>
      <c r="Z79" s="1"/>
    </row>
    <row r="80" ht="14.25" hidden="1" customHeight="1">
      <c r="A80" s="1"/>
      <c r="B80" s="1"/>
      <c r="C80" s="11"/>
      <c r="D80" s="19"/>
      <c r="E80" s="19"/>
      <c r="F80" s="19"/>
      <c r="G80" s="25"/>
      <c r="H80" s="19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"/>
      <c r="V80" s="1"/>
      <c r="W80" s="1"/>
      <c r="X80" s="1"/>
      <c r="Y80" s="1"/>
      <c r="Z80" s="1"/>
    </row>
    <row r="81" ht="14.25" hidden="1" customHeight="1">
      <c r="A81" s="1"/>
      <c r="B81" s="1"/>
      <c r="C81" s="11"/>
      <c r="D81" s="19"/>
      <c r="E81" s="19"/>
      <c r="F81" s="19"/>
      <c r="G81" s="25"/>
      <c r="H81" s="19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"/>
      <c r="V81" s="1"/>
      <c r="W81" s="1"/>
      <c r="X81" s="1"/>
      <c r="Y81" s="1"/>
      <c r="Z81" s="1"/>
    </row>
    <row r="82" ht="14.25" hidden="1" customHeight="1">
      <c r="A82" s="1"/>
      <c r="B82" s="1"/>
      <c r="C82" s="11"/>
      <c r="D82" s="19"/>
      <c r="E82" s="19"/>
      <c r="F82" s="19"/>
      <c r="G82" s="25"/>
      <c r="H82" s="19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"/>
      <c r="V82" s="1"/>
      <c r="W82" s="1"/>
      <c r="X82" s="1"/>
      <c r="Y82" s="1"/>
      <c r="Z82" s="1"/>
    </row>
    <row r="83" ht="14.25" hidden="1" customHeight="1">
      <c r="A83" s="1"/>
      <c r="B83" s="1"/>
      <c r="C83" s="11"/>
      <c r="D83" s="19"/>
      <c r="E83" s="19"/>
      <c r="F83" s="19"/>
      <c r="G83" s="25"/>
      <c r="H83" s="19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"/>
      <c r="V83" s="1"/>
      <c r="W83" s="1"/>
      <c r="X83" s="1"/>
      <c r="Y83" s="1"/>
      <c r="Z83" s="1"/>
    </row>
    <row r="84" ht="14.25" hidden="1" customHeight="1">
      <c r="A84" s="1"/>
      <c r="B84" s="1"/>
      <c r="C84" s="11"/>
      <c r="D84" s="19"/>
      <c r="E84" s="19"/>
      <c r="F84" s="19"/>
      <c r="G84" s="25"/>
      <c r="H84" s="19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"/>
      <c r="V84" s="1"/>
      <c r="W84" s="1"/>
      <c r="X84" s="1"/>
      <c r="Y84" s="1"/>
      <c r="Z84" s="1"/>
    </row>
    <row r="85" ht="14.25" hidden="1" customHeight="1">
      <c r="A85" s="1"/>
      <c r="B85" s="1"/>
      <c r="C85" s="11"/>
      <c r="D85" s="19"/>
      <c r="E85" s="19"/>
      <c r="F85" s="19"/>
      <c r="G85" s="25"/>
      <c r="H85" s="19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"/>
      <c r="V85" s="1"/>
      <c r="W85" s="1"/>
      <c r="X85" s="1"/>
      <c r="Y85" s="1"/>
      <c r="Z85" s="1"/>
    </row>
    <row r="86" ht="14.25" hidden="1" customHeight="1">
      <c r="A86" s="1"/>
      <c r="B86" s="1"/>
      <c r="C86" s="11"/>
      <c r="D86" s="19"/>
      <c r="E86" s="19"/>
      <c r="F86" s="19"/>
      <c r="G86" s="25"/>
      <c r="H86" s="19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"/>
      <c r="V86" s="1"/>
      <c r="W86" s="1"/>
      <c r="X86" s="1"/>
      <c r="Y86" s="1"/>
      <c r="Z86" s="1"/>
    </row>
    <row r="87" ht="14.25" hidden="1" customHeight="1">
      <c r="A87" s="1"/>
      <c r="B87" s="1"/>
      <c r="C87" s="11"/>
      <c r="D87" s="19"/>
      <c r="E87" s="19"/>
      <c r="F87" s="19"/>
      <c r="G87" s="25"/>
      <c r="H87" s="19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"/>
      <c r="V87" s="1"/>
      <c r="W87" s="1"/>
      <c r="X87" s="1"/>
      <c r="Y87" s="1"/>
      <c r="Z87" s="1"/>
    </row>
    <row r="88" ht="14.25" hidden="1" customHeight="1">
      <c r="A88" s="1"/>
      <c r="B88" s="1"/>
      <c r="C88" s="11"/>
      <c r="D88" s="19"/>
      <c r="E88" s="19"/>
      <c r="F88" s="19"/>
      <c r="G88" s="25"/>
      <c r="H88" s="19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"/>
      <c r="V88" s="1"/>
      <c r="W88" s="1"/>
      <c r="X88" s="1"/>
      <c r="Y88" s="1"/>
      <c r="Z88" s="1"/>
    </row>
    <row r="89" ht="14.25" hidden="1" customHeight="1">
      <c r="A89" s="1"/>
      <c r="B89" s="1"/>
      <c r="C89" s="11"/>
      <c r="D89" s="19"/>
      <c r="E89" s="19"/>
      <c r="F89" s="19"/>
      <c r="G89" s="25"/>
      <c r="H89" s="19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"/>
      <c r="V89" s="1"/>
      <c r="W89" s="1"/>
      <c r="X89" s="1"/>
      <c r="Y89" s="1"/>
      <c r="Z89" s="1"/>
    </row>
    <row r="90" ht="14.25" hidden="1" customHeight="1">
      <c r="A90" s="1"/>
      <c r="B90" s="1"/>
      <c r="C90" s="11"/>
      <c r="D90" s="19"/>
      <c r="E90" s="19"/>
      <c r="F90" s="19"/>
      <c r="G90" s="25"/>
      <c r="H90" s="19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"/>
      <c r="V90" s="1"/>
      <c r="W90" s="1"/>
      <c r="X90" s="1"/>
      <c r="Y90" s="1"/>
      <c r="Z90" s="1"/>
    </row>
    <row r="91" ht="14.25" hidden="1" customHeight="1">
      <c r="A91" s="1"/>
      <c r="B91" s="1"/>
      <c r="C91" s="11"/>
      <c r="D91" s="19"/>
      <c r="E91" s="19"/>
      <c r="F91" s="19"/>
      <c r="G91" s="25"/>
      <c r="H91" s="19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"/>
      <c r="V91" s="1"/>
      <c r="W91" s="1"/>
      <c r="X91" s="1"/>
      <c r="Y91" s="1"/>
      <c r="Z91" s="1"/>
    </row>
    <row r="92" ht="14.25" hidden="1" customHeight="1">
      <c r="A92" s="1"/>
      <c r="B92" s="1"/>
      <c r="C92" s="11"/>
      <c r="D92" s="19"/>
      <c r="E92" s="19"/>
      <c r="F92" s="19"/>
      <c r="G92" s="25"/>
      <c r="H92" s="19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"/>
      <c r="V92" s="1"/>
      <c r="W92" s="1"/>
      <c r="X92" s="1"/>
      <c r="Y92" s="1"/>
      <c r="Z92" s="1"/>
    </row>
    <row r="93" ht="14.25" hidden="1" customHeight="1">
      <c r="A93" s="1"/>
      <c r="B93" s="1"/>
      <c r="C93" s="11"/>
      <c r="D93" s="19"/>
      <c r="E93" s="19"/>
      <c r="F93" s="19"/>
      <c r="G93" s="25"/>
      <c r="H93" s="19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"/>
      <c r="V93" s="1"/>
      <c r="W93" s="1"/>
      <c r="X93" s="1"/>
      <c r="Y93" s="1"/>
      <c r="Z93" s="1"/>
    </row>
    <row r="94" ht="14.25" hidden="1" customHeight="1">
      <c r="A94" s="1"/>
      <c r="B94" s="1"/>
      <c r="C94" s="11"/>
      <c r="D94" s="19"/>
      <c r="E94" s="19"/>
      <c r="F94" s="19"/>
      <c r="G94" s="25"/>
      <c r="H94" s="19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"/>
      <c r="V94" s="1"/>
      <c r="W94" s="1"/>
      <c r="X94" s="1"/>
      <c r="Y94" s="1"/>
      <c r="Z94" s="1"/>
    </row>
    <row r="95" ht="14.25" hidden="1" customHeight="1">
      <c r="A95" s="1"/>
      <c r="B95" s="1"/>
      <c r="C95" s="11"/>
      <c r="D95" s="19"/>
      <c r="E95" s="19"/>
      <c r="F95" s="19"/>
      <c r="G95" s="25"/>
      <c r="H95" s="19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"/>
      <c r="V95" s="1"/>
      <c r="W95" s="1"/>
      <c r="X95" s="1"/>
      <c r="Y95" s="1"/>
      <c r="Z95" s="1"/>
    </row>
    <row r="96" ht="14.25" hidden="1" customHeight="1">
      <c r="A96" s="1"/>
      <c r="B96" s="1"/>
      <c r="C96" s="11"/>
      <c r="D96" s="19"/>
      <c r="E96" s="19"/>
      <c r="F96" s="19"/>
      <c r="G96" s="25"/>
      <c r="H96" s="19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"/>
      <c r="V96" s="1"/>
      <c r="W96" s="1"/>
      <c r="X96" s="1"/>
      <c r="Y96" s="1"/>
      <c r="Z96" s="1"/>
    </row>
    <row r="97" ht="14.25" hidden="1" customHeight="1">
      <c r="A97" s="1"/>
      <c r="B97" s="1"/>
      <c r="C97" s="11"/>
      <c r="D97" s="19"/>
      <c r="E97" s="19"/>
      <c r="F97" s="19"/>
      <c r="G97" s="25"/>
      <c r="H97" s="19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"/>
      <c r="V97" s="1"/>
      <c r="W97" s="1"/>
      <c r="X97" s="1"/>
      <c r="Y97" s="1"/>
      <c r="Z97" s="1"/>
    </row>
    <row r="98" ht="14.25" hidden="1" customHeight="1">
      <c r="A98" s="1"/>
      <c r="B98" s="1"/>
      <c r="C98" s="11"/>
      <c r="D98" s="19"/>
      <c r="E98" s="19"/>
      <c r="F98" s="19"/>
      <c r="G98" s="25"/>
      <c r="H98" s="19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"/>
      <c r="V98" s="1"/>
      <c r="W98" s="1"/>
      <c r="X98" s="1"/>
      <c r="Y98" s="1"/>
      <c r="Z98" s="1"/>
    </row>
    <row r="99" ht="14.25" hidden="1" customHeight="1">
      <c r="A99" s="1"/>
      <c r="B99" s="1"/>
      <c r="C99" s="11"/>
      <c r="D99" s="19"/>
      <c r="E99" s="19"/>
      <c r="F99" s="19"/>
      <c r="G99" s="25"/>
      <c r="H99" s="19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"/>
      <c r="V99" s="1"/>
      <c r="W99" s="1"/>
      <c r="X99" s="1"/>
      <c r="Y99" s="1"/>
      <c r="Z99" s="1"/>
    </row>
    <row r="100" ht="14.25" hidden="1" customHeight="1">
      <c r="A100" s="1"/>
      <c r="B100" s="1"/>
      <c r="C100" s="11"/>
      <c r="D100" s="19"/>
      <c r="E100" s="19"/>
      <c r="F100" s="19"/>
      <c r="G100" s="25"/>
      <c r="H100" s="19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"/>
      <c r="V100" s="1"/>
      <c r="W100" s="1"/>
      <c r="X100" s="1"/>
      <c r="Y100" s="1"/>
      <c r="Z100" s="1"/>
    </row>
    <row r="101" ht="14.25" hidden="1" customHeight="1">
      <c r="A101" s="1"/>
      <c r="B101" s="1"/>
      <c r="C101" s="11"/>
      <c r="D101" s="19"/>
      <c r="E101" s="19"/>
      <c r="F101" s="19"/>
      <c r="G101" s="25"/>
      <c r="H101" s="19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"/>
      <c r="V101" s="1"/>
      <c r="W101" s="1"/>
      <c r="X101" s="1"/>
      <c r="Y101" s="1"/>
      <c r="Z101" s="1"/>
    </row>
    <row r="102" ht="14.25" hidden="1" customHeight="1">
      <c r="A102" s="1"/>
      <c r="B102" s="1"/>
      <c r="C102" s="11"/>
      <c r="D102" s="19"/>
      <c r="E102" s="19"/>
      <c r="F102" s="19"/>
      <c r="G102" s="25"/>
      <c r="H102" s="19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"/>
      <c r="V102" s="1"/>
      <c r="W102" s="1"/>
      <c r="X102" s="1"/>
      <c r="Y102" s="1"/>
      <c r="Z102" s="1"/>
    </row>
    <row r="103" ht="14.25" hidden="1" customHeight="1">
      <c r="A103" s="1"/>
      <c r="B103" s="1"/>
      <c r="C103" s="11"/>
      <c r="D103" s="19"/>
      <c r="E103" s="19"/>
      <c r="F103" s="19"/>
      <c r="G103" s="25"/>
      <c r="H103" s="19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"/>
      <c r="V103" s="1"/>
      <c r="W103" s="1"/>
      <c r="X103" s="1"/>
      <c r="Y103" s="1"/>
      <c r="Z103" s="1"/>
    </row>
    <row r="104" ht="14.25" hidden="1" customHeight="1">
      <c r="A104" s="1"/>
      <c r="B104" s="1"/>
      <c r="C104" s="11"/>
      <c r="D104" s="19"/>
      <c r="E104" s="19"/>
      <c r="F104" s="19"/>
      <c r="G104" s="25"/>
      <c r="H104" s="19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"/>
      <c r="V104" s="1"/>
      <c r="W104" s="1"/>
      <c r="X104" s="1"/>
      <c r="Y104" s="1"/>
      <c r="Z104" s="1"/>
    </row>
    <row r="105" ht="14.25" hidden="1" customHeight="1">
      <c r="A105" s="1"/>
      <c r="B105" s="1"/>
      <c r="C105" s="11"/>
      <c r="D105" s="19"/>
      <c r="E105" s="19"/>
      <c r="F105" s="19"/>
      <c r="G105" s="25"/>
      <c r="H105" s="19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"/>
      <c r="V105" s="1"/>
      <c r="W105" s="1"/>
      <c r="X105" s="1"/>
      <c r="Y105" s="1"/>
      <c r="Z105" s="1"/>
    </row>
    <row r="106" ht="14.25" hidden="1" customHeight="1">
      <c r="A106" s="1"/>
      <c r="B106" s="1"/>
      <c r="C106" s="11"/>
      <c r="D106" s="19"/>
      <c r="E106" s="19"/>
      <c r="F106" s="19"/>
      <c r="G106" s="25"/>
      <c r="H106" s="19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"/>
      <c r="V106" s="1"/>
      <c r="W106" s="1"/>
      <c r="X106" s="1"/>
      <c r="Y106" s="1"/>
      <c r="Z106" s="1"/>
    </row>
    <row r="107" ht="14.25" hidden="1" customHeight="1">
      <c r="A107" s="1"/>
      <c r="B107" s="1"/>
      <c r="C107" s="11"/>
      <c r="D107" s="19"/>
      <c r="E107" s="19"/>
      <c r="F107" s="19"/>
      <c r="G107" s="25"/>
      <c r="H107" s="19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"/>
      <c r="V107" s="1"/>
      <c r="W107" s="1"/>
      <c r="X107" s="1"/>
      <c r="Y107" s="1"/>
      <c r="Z107" s="1"/>
    </row>
    <row r="108" ht="14.25" hidden="1" customHeight="1">
      <c r="A108" s="1"/>
      <c r="B108" s="1"/>
      <c r="C108" s="11"/>
      <c r="D108" s="19"/>
      <c r="E108" s="19"/>
      <c r="F108" s="19"/>
      <c r="G108" s="25"/>
      <c r="H108" s="19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"/>
      <c r="V108" s="1"/>
      <c r="W108" s="1"/>
      <c r="X108" s="1"/>
      <c r="Y108" s="1"/>
      <c r="Z108" s="1"/>
    </row>
    <row r="109" ht="14.25" hidden="1" customHeight="1">
      <c r="A109" s="1"/>
      <c r="B109" s="1"/>
      <c r="C109" s="11"/>
      <c r="D109" s="19"/>
      <c r="E109" s="19"/>
      <c r="F109" s="19"/>
      <c r="G109" s="25"/>
      <c r="H109" s="19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"/>
      <c r="V109" s="1"/>
      <c r="W109" s="1"/>
      <c r="X109" s="1"/>
      <c r="Y109" s="1"/>
      <c r="Z109" s="1"/>
    </row>
    <row r="110" ht="14.25" hidden="1" customHeight="1">
      <c r="A110" s="1"/>
      <c r="B110" s="1"/>
      <c r="C110" s="11"/>
      <c r="D110" s="19"/>
      <c r="E110" s="19"/>
      <c r="F110" s="19"/>
      <c r="G110" s="25"/>
      <c r="H110" s="19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"/>
      <c r="V110" s="1"/>
      <c r="W110" s="1"/>
      <c r="X110" s="1"/>
      <c r="Y110" s="1"/>
      <c r="Z110" s="1"/>
    </row>
    <row r="111" ht="14.25" hidden="1" customHeight="1">
      <c r="A111" s="1"/>
      <c r="B111" s="1"/>
      <c r="C111" s="11"/>
      <c r="D111" s="19"/>
      <c r="E111" s="19"/>
      <c r="F111" s="19"/>
      <c r="G111" s="25"/>
      <c r="H111" s="19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"/>
      <c r="V111" s="1"/>
      <c r="W111" s="1"/>
      <c r="X111" s="1"/>
      <c r="Y111" s="1"/>
      <c r="Z111" s="1"/>
    </row>
    <row r="112" ht="14.25" hidden="1" customHeight="1">
      <c r="A112" s="1"/>
      <c r="B112" s="1"/>
      <c r="C112" s="11"/>
      <c r="D112" s="19"/>
      <c r="E112" s="19"/>
      <c r="F112" s="19"/>
      <c r="G112" s="25"/>
      <c r="H112" s="19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"/>
      <c r="V112" s="1"/>
      <c r="W112" s="1"/>
      <c r="X112" s="1"/>
      <c r="Y112" s="1"/>
      <c r="Z112" s="1"/>
    </row>
    <row r="113" ht="14.25" hidden="1" customHeight="1">
      <c r="A113" s="1"/>
      <c r="B113" s="1"/>
      <c r="C113" s="11"/>
      <c r="D113" s="19"/>
      <c r="E113" s="19"/>
      <c r="F113" s="19"/>
      <c r="G113" s="25"/>
      <c r="H113" s="19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"/>
      <c r="V113" s="1"/>
      <c r="W113" s="1"/>
      <c r="X113" s="1"/>
      <c r="Y113" s="1"/>
      <c r="Z113" s="1"/>
    </row>
    <row r="114" ht="14.25" hidden="1" customHeight="1">
      <c r="A114" s="1"/>
      <c r="B114" s="1"/>
      <c r="C114" s="11"/>
      <c r="D114" s="19"/>
      <c r="E114" s="19"/>
      <c r="F114" s="19"/>
      <c r="G114" s="25"/>
      <c r="H114" s="19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"/>
      <c r="V114" s="1"/>
      <c r="W114" s="1"/>
      <c r="X114" s="1"/>
      <c r="Y114" s="1"/>
      <c r="Z114" s="1"/>
    </row>
    <row r="115" ht="14.25" hidden="1" customHeight="1">
      <c r="A115" s="1"/>
      <c r="B115" s="1"/>
      <c r="C115" s="11"/>
      <c r="D115" s="19"/>
      <c r="E115" s="19"/>
      <c r="F115" s="19"/>
      <c r="G115" s="25"/>
      <c r="H115" s="19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"/>
      <c r="V115" s="1"/>
      <c r="W115" s="1"/>
      <c r="X115" s="1"/>
      <c r="Y115" s="1"/>
      <c r="Z115" s="1"/>
    </row>
    <row r="116" ht="14.25" hidden="1" customHeight="1">
      <c r="A116" s="1"/>
      <c r="B116" s="1"/>
      <c r="C116" s="11"/>
      <c r="D116" s="19"/>
      <c r="E116" s="19"/>
      <c r="F116" s="19"/>
      <c r="G116" s="25"/>
      <c r="H116" s="19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"/>
      <c r="V116" s="1"/>
      <c r="W116" s="1"/>
      <c r="X116" s="1"/>
      <c r="Y116" s="1"/>
      <c r="Z116" s="1"/>
    </row>
    <row r="117" ht="14.25" hidden="1" customHeight="1">
      <c r="A117" s="1"/>
      <c r="B117" s="1"/>
      <c r="C117" s="11"/>
      <c r="D117" s="19"/>
      <c r="E117" s="19"/>
      <c r="F117" s="19"/>
      <c r="G117" s="25"/>
      <c r="H117" s="19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"/>
      <c r="V117" s="1"/>
      <c r="W117" s="1"/>
      <c r="X117" s="1"/>
      <c r="Y117" s="1"/>
      <c r="Z117" s="1"/>
    </row>
    <row r="118" ht="14.25" hidden="1" customHeight="1">
      <c r="A118" s="1"/>
      <c r="B118" s="1"/>
      <c r="C118" s="11"/>
      <c r="D118" s="19"/>
      <c r="E118" s="19"/>
      <c r="F118" s="19"/>
      <c r="G118" s="25"/>
      <c r="H118" s="19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"/>
      <c r="V118" s="1"/>
      <c r="W118" s="1"/>
      <c r="X118" s="1"/>
      <c r="Y118" s="1"/>
      <c r="Z118" s="1"/>
    </row>
    <row r="119" ht="14.25" hidden="1" customHeight="1">
      <c r="A119" s="1"/>
      <c r="B119" s="1"/>
      <c r="C119" s="11"/>
      <c r="D119" s="19"/>
      <c r="E119" s="19"/>
      <c r="F119" s="19"/>
      <c r="G119" s="25"/>
      <c r="H119" s="19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"/>
      <c r="V119" s="1"/>
      <c r="W119" s="1"/>
      <c r="X119" s="1"/>
      <c r="Y119" s="1"/>
      <c r="Z119" s="1"/>
    </row>
    <row r="120" ht="14.25" hidden="1" customHeight="1">
      <c r="A120" s="1"/>
      <c r="B120" s="1"/>
      <c r="C120" s="11"/>
      <c r="D120" s="19"/>
      <c r="E120" s="19"/>
      <c r="F120" s="19"/>
      <c r="G120" s="25"/>
      <c r="H120" s="19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"/>
      <c r="V120" s="1"/>
      <c r="W120" s="1"/>
      <c r="X120" s="1"/>
      <c r="Y120" s="1"/>
      <c r="Z120" s="1"/>
    </row>
    <row r="121" ht="14.25" hidden="1" customHeight="1">
      <c r="A121" s="1"/>
      <c r="B121" s="1"/>
      <c r="C121" s="11"/>
      <c r="D121" s="19"/>
      <c r="E121" s="19"/>
      <c r="F121" s="19"/>
      <c r="G121" s="25"/>
      <c r="H121" s="19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"/>
      <c r="V121" s="1"/>
      <c r="W121" s="1"/>
      <c r="X121" s="1"/>
      <c r="Y121" s="1"/>
      <c r="Z121" s="1"/>
    </row>
    <row r="122" ht="14.25" hidden="1" customHeight="1">
      <c r="A122" s="1"/>
      <c r="B122" s="1"/>
      <c r="C122" s="11"/>
      <c r="D122" s="19"/>
      <c r="E122" s="19"/>
      <c r="F122" s="19"/>
      <c r="G122" s="25"/>
      <c r="H122" s="19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"/>
      <c r="V122" s="1"/>
      <c r="W122" s="1"/>
      <c r="X122" s="1"/>
      <c r="Y122" s="1"/>
      <c r="Z122" s="1"/>
    </row>
    <row r="123" ht="14.25" hidden="1" customHeight="1">
      <c r="A123" s="1"/>
      <c r="B123" s="1"/>
      <c r="C123" s="11"/>
      <c r="D123" s="19"/>
      <c r="E123" s="19"/>
      <c r="F123" s="19"/>
      <c r="G123" s="25"/>
      <c r="H123" s="19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"/>
      <c r="V123" s="1"/>
      <c r="W123" s="1"/>
      <c r="X123" s="1"/>
      <c r="Y123" s="1"/>
      <c r="Z123" s="1"/>
    </row>
    <row r="124" ht="14.25" hidden="1" customHeight="1">
      <c r="A124" s="1"/>
      <c r="B124" s="1"/>
      <c r="C124" s="11"/>
      <c r="D124" s="19"/>
      <c r="E124" s="19"/>
      <c r="F124" s="19"/>
      <c r="G124" s="25"/>
      <c r="H124" s="19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"/>
      <c r="V124" s="1"/>
      <c r="W124" s="1"/>
      <c r="X124" s="1"/>
      <c r="Y124" s="1"/>
      <c r="Z124" s="1"/>
    </row>
    <row r="125" ht="14.25" hidden="1" customHeight="1">
      <c r="A125" s="1"/>
      <c r="B125" s="1"/>
      <c r="C125" s="11"/>
      <c r="D125" s="19"/>
      <c r="E125" s="19"/>
      <c r="F125" s="19"/>
      <c r="G125" s="25"/>
      <c r="H125" s="19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"/>
      <c r="V125" s="1"/>
      <c r="W125" s="1"/>
      <c r="X125" s="1"/>
      <c r="Y125" s="1"/>
      <c r="Z125" s="1"/>
    </row>
    <row r="126" ht="14.25" hidden="1" customHeight="1">
      <c r="A126" s="1"/>
      <c r="B126" s="1"/>
      <c r="C126" s="11"/>
      <c r="D126" s="19"/>
      <c r="E126" s="19"/>
      <c r="F126" s="19"/>
      <c r="G126" s="25"/>
      <c r="H126" s="19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"/>
      <c r="V126" s="1"/>
      <c r="W126" s="1"/>
      <c r="X126" s="1"/>
      <c r="Y126" s="1"/>
      <c r="Z126" s="1"/>
    </row>
    <row r="127" ht="14.25" hidden="1" customHeight="1">
      <c r="A127" s="1"/>
      <c r="B127" s="1"/>
      <c r="C127" s="11"/>
      <c r="D127" s="19"/>
      <c r="E127" s="19"/>
      <c r="F127" s="19"/>
      <c r="G127" s="25"/>
      <c r="H127" s="19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"/>
      <c r="V127" s="1"/>
      <c r="W127" s="1"/>
      <c r="X127" s="1"/>
      <c r="Y127" s="1"/>
      <c r="Z127" s="1"/>
    </row>
    <row r="128" ht="14.25" hidden="1" customHeight="1">
      <c r="A128" s="1"/>
      <c r="B128" s="1"/>
      <c r="C128" s="11"/>
      <c r="D128" s="19"/>
      <c r="E128" s="19"/>
      <c r="F128" s="19"/>
      <c r="G128" s="25"/>
      <c r="H128" s="19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"/>
      <c r="V128" s="1"/>
      <c r="W128" s="1"/>
      <c r="X128" s="1"/>
      <c r="Y128" s="1"/>
      <c r="Z128" s="1"/>
    </row>
    <row r="129" ht="14.25" hidden="1" customHeight="1">
      <c r="A129" s="1"/>
      <c r="B129" s="1"/>
      <c r="C129" s="11"/>
      <c r="D129" s="19"/>
      <c r="E129" s="19"/>
      <c r="F129" s="19"/>
      <c r="G129" s="25"/>
      <c r="H129" s="19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"/>
      <c r="V129" s="1"/>
      <c r="W129" s="1"/>
      <c r="X129" s="1"/>
      <c r="Y129" s="1"/>
      <c r="Z129" s="1"/>
    </row>
    <row r="130" ht="14.25" hidden="1" customHeight="1">
      <c r="A130" s="1"/>
      <c r="B130" s="1"/>
      <c r="C130" s="11"/>
      <c r="D130" s="19"/>
      <c r="E130" s="19"/>
      <c r="F130" s="19"/>
      <c r="G130" s="25"/>
      <c r="H130" s="19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"/>
      <c r="V130" s="1"/>
      <c r="W130" s="1"/>
      <c r="X130" s="1"/>
      <c r="Y130" s="1"/>
      <c r="Z130" s="1"/>
    </row>
    <row r="131" ht="14.25" hidden="1" customHeight="1">
      <c r="A131" s="1"/>
      <c r="B131" s="1"/>
      <c r="C131" s="11"/>
      <c r="D131" s="19"/>
      <c r="E131" s="19"/>
      <c r="F131" s="19"/>
      <c r="G131" s="25"/>
      <c r="H131" s="19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"/>
      <c r="V131" s="1"/>
      <c r="W131" s="1"/>
      <c r="X131" s="1"/>
      <c r="Y131" s="1"/>
      <c r="Z131" s="1"/>
    </row>
    <row r="132" ht="14.25" hidden="1" customHeight="1">
      <c r="A132" s="1"/>
      <c r="B132" s="1"/>
      <c r="C132" s="11"/>
      <c r="D132" s="19"/>
      <c r="E132" s="19"/>
      <c r="F132" s="19"/>
      <c r="G132" s="25"/>
      <c r="H132" s="19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"/>
      <c r="V132" s="1"/>
      <c r="W132" s="1"/>
      <c r="X132" s="1"/>
      <c r="Y132" s="1"/>
      <c r="Z132" s="1"/>
    </row>
    <row r="133" ht="14.25" hidden="1" customHeight="1">
      <c r="A133" s="1"/>
      <c r="B133" s="1"/>
      <c r="C133" s="11"/>
      <c r="D133" s="19"/>
      <c r="E133" s="19"/>
      <c r="F133" s="19"/>
      <c r="G133" s="25"/>
      <c r="H133" s="19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"/>
      <c r="V133" s="1"/>
      <c r="W133" s="1"/>
      <c r="X133" s="1"/>
      <c r="Y133" s="1"/>
      <c r="Z133" s="1"/>
    </row>
    <row r="134" ht="14.25" hidden="1" customHeight="1">
      <c r="A134" s="1"/>
      <c r="B134" s="1"/>
      <c r="C134" s="11"/>
      <c r="D134" s="19"/>
      <c r="E134" s="19"/>
      <c r="F134" s="19"/>
      <c r="G134" s="25"/>
      <c r="H134" s="19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"/>
      <c r="V134" s="1"/>
      <c r="W134" s="1"/>
      <c r="X134" s="1"/>
      <c r="Y134" s="1"/>
      <c r="Z134" s="1"/>
    </row>
    <row r="135" ht="14.25" hidden="1" customHeight="1">
      <c r="A135" s="1"/>
      <c r="B135" s="1"/>
      <c r="C135" s="11"/>
      <c r="D135" s="19"/>
      <c r="E135" s="19"/>
      <c r="F135" s="19"/>
      <c r="G135" s="25"/>
      <c r="H135" s="19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"/>
      <c r="V135" s="1"/>
      <c r="W135" s="1"/>
      <c r="X135" s="1"/>
      <c r="Y135" s="1"/>
      <c r="Z135" s="1"/>
    </row>
    <row r="136" ht="14.25" hidden="1" customHeight="1">
      <c r="A136" s="1"/>
      <c r="B136" s="1"/>
      <c r="C136" s="11"/>
      <c r="D136" s="19"/>
      <c r="E136" s="19"/>
      <c r="F136" s="19"/>
      <c r="G136" s="25"/>
      <c r="H136" s="19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"/>
      <c r="V136" s="1"/>
      <c r="W136" s="1"/>
      <c r="X136" s="1"/>
      <c r="Y136" s="1"/>
      <c r="Z136" s="1"/>
    </row>
    <row r="137" ht="14.25" hidden="1" customHeight="1">
      <c r="A137" s="1"/>
      <c r="B137" s="1"/>
      <c r="C137" s="11"/>
      <c r="D137" s="19"/>
      <c r="E137" s="19"/>
      <c r="F137" s="19"/>
      <c r="G137" s="25"/>
      <c r="H137" s="19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"/>
      <c r="V137" s="1"/>
      <c r="W137" s="1"/>
      <c r="X137" s="1"/>
      <c r="Y137" s="1"/>
      <c r="Z137" s="1"/>
    </row>
    <row r="138" ht="14.25" hidden="1" customHeight="1">
      <c r="A138" s="1"/>
      <c r="B138" s="1"/>
      <c r="C138" s="11"/>
      <c r="D138" s="19"/>
      <c r="E138" s="19"/>
      <c r="F138" s="19"/>
      <c r="G138" s="25"/>
      <c r="H138" s="19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"/>
      <c r="V138" s="1"/>
      <c r="W138" s="1"/>
      <c r="X138" s="1"/>
      <c r="Y138" s="1"/>
      <c r="Z138" s="1"/>
    </row>
    <row r="139" ht="14.25" hidden="1" customHeight="1">
      <c r="A139" s="1"/>
      <c r="B139" s="1"/>
      <c r="C139" s="11"/>
      <c r="D139" s="19"/>
      <c r="E139" s="19"/>
      <c r="F139" s="19"/>
      <c r="G139" s="25"/>
      <c r="H139" s="19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"/>
      <c r="V139" s="1"/>
      <c r="W139" s="1"/>
      <c r="X139" s="1"/>
      <c r="Y139" s="1"/>
      <c r="Z139" s="1"/>
    </row>
    <row r="140" ht="14.25" hidden="1" customHeight="1">
      <c r="A140" s="1"/>
      <c r="B140" s="1"/>
      <c r="C140" s="11"/>
      <c r="D140" s="19"/>
      <c r="E140" s="19"/>
      <c r="F140" s="19"/>
      <c r="G140" s="25"/>
      <c r="H140" s="19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"/>
      <c r="V140" s="1"/>
      <c r="W140" s="1"/>
      <c r="X140" s="1"/>
      <c r="Y140" s="1"/>
      <c r="Z140" s="1"/>
    </row>
    <row r="141" ht="14.25" hidden="1" customHeight="1">
      <c r="A141" s="1"/>
      <c r="B141" s="1"/>
      <c r="C141" s="11"/>
      <c r="D141" s="19"/>
      <c r="E141" s="19"/>
      <c r="F141" s="19"/>
      <c r="G141" s="25"/>
      <c r="H141" s="19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"/>
      <c r="V141" s="1"/>
      <c r="W141" s="1"/>
      <c r="X141" s="1"/>
      <c r="Y141" s="1"/>
      <c r="Z141" s="1"/>
    </row>
    <row r="142" ht="14.25" hidden="1" customHeight="1">
      <c r="A142" s="1"/>
      <c r="B142" s="1"/>
      <c r="C142" s="11"/>
      <c r="D142" s="19"/>
      <c r="E142" s="19"/>
      <c r="F142" s="19"/>
      <c r="G142" s="25"/>
      <c r="H142" s="19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"/>
      <c r="V142" s="1"/>
      <c r="W142" s="1"/>
      <c r="X142" s="1"/>
      <c r="Y142" s="1"/>
      <c r="Z142" s="1"/>
    </row>
    <row r="143" ht="14.25" hidden="1" customHeight="1">
      <c r="A143" s="1"/>
      <c r="B143" s="1"/>
      <c r="C143" s="11"/>
      <c r="D143" s="19"/>
      <c r="E143" s="19"/>
      <c r="F143" s="19"/>
      <c r="G143" s="25"/>
      <c r="H143" s="19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"/>
      <c r="V143" s="1"/>
      <c r="W143" s="1"/>
      <c r="X143" s="1"/>
      <c r="Y143" s="1"/>
      <c r="Z143" s="1"/>
    </row>
    <row r="144" ht="14.25" hidden="1" customHeight="1">
      <c r="A144" s="1"/>
      <c r="B144" s="1"/>
      <c r="C144" s="11"/>
      <c r="D144" s="19"/>
      <c r="E144" s="19"/>
      <c r="F144" s="19"/>
      <c r="G144" s="25"/>
      <c r="H144" s="19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"/>
      <c r="V144" s="1"/>
      <c r="W144" s="1"/>
      <c r="X144" s="1"/>
      <c r="Y144" s="1"/>
      <c r="Z144" s="1"/>
    </row>
    <row r="145" ht="14.25" hidden="1" customHeight="1">
      <c r="A145" s="1"/>
      <c r="B145" s="1"/>
      <c r="C145" s="11"/>
      <c r="D145" s="19"/>
      <c r="E145" s="19"/>
      <c r="F145" s="19"/>
      <c r="G145" s="25"/>
      <c r="H145" s="19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"/>
      <c r="V145" s="1"/>
      <c r="W145" s="1"/>
      <c r="X145" s="1"/>
      <c r="Y145" s="1"/>
      <c r="Z145" s="1"/>
    </row>
    <row r="146" ht="14.25" hidden="1" customHeight="1">
      <c r="A146" s="1"/>
      <c r="B146" s="1"/>
      <c r="C146" s="11"/>
      <c r="D146" s="19"/>
      <c r="E146" s="19"/>
      <c r="F146" s="19"/>
      <c r="G146" s="25"/>
      <c r="H146" s="19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"/>
      <c r="V146" s="1"/>
      <c r="W146" s="1"/>
      <c r="X146" s="1"/>
      <c r="Y146" s="1"/>
      <c r="Z146" s="1"/>
    </row>
    <row r="147" ht="14.25" hidden="1" customHeight="1">
      <c r="A147" s="1"/>
      <c r="B147" s="1"/>
      <c r="C147" s="11"/>
      <c r="D147" s="19"/>
      <c r="E147" s="19"/>
      <c r="F147" s="19"/>
      <c r="G147" s="25"/>
      <c r="H147" s="19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"/>
      <c r="V147" s="1"/>
      <c r="W147" s="1"/>
      <c r="X147" s="1"/>
      <c r="Y147" s="1"/>
      <c r="Z147" s="1"/>
    </row>
    <row r="148" ht="14.25" hidden="1" customHeight="1">
      <c r="A148" s="1"/>
      <c r="B148" s="1"/>
      <c r="C148" s="11"/>
      <c r="D148" s="19"/>
      <c r="E148" s="19"/>
      <c r="F148" s="19"/>
      <c r="G148" s="25"/>
      <c r="H148" s="19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"/>
      <c r="V148" s="1"/>
      <c r="W148" s="1"/>
      <c r="X148" s="1"/>
      <c r="Y148" s="1"/>
      <c r="Z148" s="1"/>
    </row>
    <row r="149" ht="14.25" hidden="1" customHeight="1">
      <c r="A149" s="1"/>
      <c r="B149" s="1"/>
      <c r="C149" s="11"/>
      <c r="D149" s="19"/>
      <c r="E149" s="19"/>
      <c r="F149" s="19"/>
      <c r="G149" s="25"/>
      <c r="H149" s="19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"/>
      <c r="V149" s="1"/>
      <c r="W149" s="1"/>
      <c r="X149" s="1"/>
      <c r="Y149" s="1"/>
      <c r="Z149" s="1"/>
    </row>
    <row r="150" ht="14.25" hidden="1" customHeight="1">
      <c r="A150" s="1"/>
      <c r="B150" s="1"/>
      <c r="C150" s="11"/>
      <c r="D150" s="19"/>
      <c r="E150" s="19"/>
      <c r="F150" s="19"/>
      <c r="G150" s="25"/>
      <c r="H150" s="19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"/>
      <c r="V150" s="1"/>
      <c r="W150" s="1"/>
      <c r="X150" s="1"/>
      <c r="Y150" s="1"/>
      <c r="Z150" s="1"/>
    </row>
    <row r="151" ht="14.25" hidden="1" customHeight="1">
      <c r="A151" s="1"/>
      <c r="B151" s="1"/>
      <c r="C151" s="11"/>
      <c r="D151" s="19"/>
      <c r="E151" s="19"/>
      <c r="F151" s="19"/>
      <c r="G151" s="25"/>
      <c r="H151" s="19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"/>
      <c r="V151" s="1"/>
      <c r="W151" s="1"/>
      <c r="X151" s="1"/>
      <c r="Y151" s="1"/>
      <c r="Z151" s="1"/>
    </row>
    <row r="152" ht="14.25" hidden="1" customHeight="1">
      <c r="A152" s="1"/>
      <c r="B152" s="1"/>
      <c r="C152" s="11"/>
      <c r="D152" s="19"/>
      <c r="E152" s="19"/>
      <c r="F152" s="19"/>
      <c r="G152" s="25"/>
      <c r="H152" s="19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"/>
      <c r="V152" s="1"/>
      <c r="W152" s="1"/>
      <c r="X152" s="1"/>
      <c r="Y152" s="1"/>
      <c r="Z152" s="1"/>
    </row>
    <row r="153" ht="14.25" hidden="1" customHeight="1">
      <c r="A153" s="1"/>
      <c r="B153" s="1"/>
      <c r="C153" s="11"/>
      <c r="D153" s="19"/>
      <c r="E153" s="19"/>
      <c r="F153" s="19"/>
      <c r="G153" s="25"/>
      <c r="H153" s="19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"/>
      <c r="V153" s="1"/>
      <c r="W153" s="1"/>
      <c r="X153" s="1"/>
      <c r="Y153" s="1"/>
      <c r="Z153" s="1"/>
    </row>
    <row r="154" ht="14.25" hidden="1" customHeight="1">
      <c r="A154" s="1"/>
      <c r="B154" s="1"/>
      <c r="C154" s="11"/>
      <c r="D154" s="19"/>
      <c r="E154" s="19"/>
      <c r="F154" s="19"/>
      <c r="G154" s="25"/>
      <c r="H154" s="19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"/>
      <c r="V154" s="1"/>
      <c r="W154" s="1"/>
      <c r="X154" s="1"/>
      <c r="Y154" s="1"/>
      <c r="Z154" s="1"/>
    </row>
    <row r="155" ht="14.25" hidden="1" customHeight="1">
      <c r="A155" s="1"/>
      <c r="B155" s="1"/>
      <c r="C155" s="11"/>
      <c r="D155" s="19"/>
      <c r="E155" s="19"/>
      <c r="F155" s="19"/>
      <c r="G155" s="25"/>
      <c r="H155" s="19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"/>
      <c r="V155" s="1"/>
      <c r="W155" s="1"/>
      <c r="X155" s="1"/>
      <c r="Y155" s="1"/>
      <c r="Z155" s="1"/>
    </row>
    <row r="156" ht="14.25" hidden="1" customHeight="1">
      <c r="A156" s="1"/>
      <c r="B156" s="1"/>
      <c r="C156" s="11"/>
      <c r="D156" s="19"/>
      <c r="E156" s="19"/>
      <c r="F156" s="19"/>
      <c r="G156" s="25"/>
      <c r="H156" s="19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"/>
      <c r="V156" s="1"/>
      <c r="W156" s="1"/>
      <c r="X156" s="1"/>
      <c r="Y156" s="1"/>
      <c r="Z156" s="1"/>
    </row>
    <row r="157" ht="14.25" hidden="1" customHeight="1">
      <c r="A157" s="1"/>
      <c r="B157" s="1"/>
      <c r="C157" s="11"/>
      <c r="D157" s="19"/>
      <c r="E157" s="19"/>
      <c r="F157" s="19"/>
      <c r="G157" s="25"/>
      <c r="H157" s="19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"/>
      <c r="V157" s="1"/>
      <c r="W157" s="1"/>
      <c r="X157" s="1"/>
      <c r="Y157" s="1"/>
      <c r="Z157" s="1"/>
    </row>
    <row r="158" ht="14.25" hidden="1" customHeight="1">
      <c r="A158" s="1"/>
      <c r="B158" s="1"/>
      <c r="C158" s="11"/>
      <c r="D158" s="19"/>
      <c r="E158" s="19"/>
      <c r="F158" s="19"/>
      <c r="G158" s="25"/>
      <c r="H158" s="19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"/>
      <c r="V158" s="1"/>
      <c r="W158" s="1"/>
      <c r="X158" s="1"/>
      <c r="Y158" s="1"/>
      <c r="Z158" s="1"/>
    </row>
    <row r="159" ht="14.25" hidden="1" customHeight="1">
      <c r="A159" s="1"/>
      <c r="B159" s="1"/>
      <c r="C159" s="11"/>
      <c r="D159" s="19"/>
      <c r="E159" s="19"/>
      <c r="F159" s="19"/>
      <c r="G159" s="25"/>
      <c r="H159" s="19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"/>
      <c r="V159" s="1"/>
      <c r="W159" s="1"/>
      <c r="X159" s="1"/>
      <c r="Y159" s="1"/>
      <c r="Z159" s="1"/>
    </row>
    <row r="160" ht="14.25" hidden="1" customHeight="1">
      <c r="A160" s="1"/>
      <c r="B160" s="1"/>
      <c r="C160" s="11"/>
      <c r="D160" s="19"/>
      <c r="E160" s="19"/>
      <c r="F160" s="19"/>
      <c r="G160" s="25"/>
      <c r="H160" s="19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"/>
      <c r="V160" s="1"/>
      <c r="W160" s="1"/>
      <c r="X160" s="1"/>
      <c r="Y160" s="1"/>
      <c r="Z160" s="1"/>
    </row>
    <row r="161" ht="14.25" hidden="1" customHeight="1">
      <c r="A161" s="1"/>
      <c r="B161" s="1"/>
      <c r="C161" s="11"/>
      <c r="D161" s="19"/>
      <c r="E161" s="19"/>
      <c r="F161" s="19"/>
      <c r="G161" s="25"/>
      <c r="H161" s="19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"/>
      <c r="V161" s="1"/>
      <c r="W161" s="1"/>
      <c r="X161" s="1"/>
      <c r="Y161" s="1"/>
      <c r="Z161" s="1"/>
    </row>
    <row r="162" ht="14.25" hidden="1" customHeight="1">
      <c r="A162" s="1"/>
      <c r="B162" s="1"/>
      <c r="C162" s="11"/>
      <c r="D162" s="19"/>
      <c r="E162" s="19"/>
      <c r="F162" s="19"/>
      <c r="G162" s="25"/>
      <c r="H162" s="19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"/>
      <c r="V162" s="1"/>
      <c r="W162" s="1"/>
      <c r="X162" s="1"/>
      <c r="Y162" s="1"/>
      <c r="Z162" s="1"/>
    </row>
    <row r="163" ht="14.25" hidden="1" customHeight="1">
      <c r="A163" s="1"/>
      <c r="B163" s="1"/>
      <c r="C163" s="11"/>
      <c r="D163" s="19"/>
      <c r="E163" s="19"/>
      <c r="F163" s="19"/>
      <c r="G163" s="25"/>
      <c r="H163" s="19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"/>
      <c r="V163" s="1"/>
      <c r="W163" s="1"/>
      <c r="X163" s="1"/>
      <c r="Y163" s="1"/>
      <c r="Z163" s="1"/>
    </row>
    <row r="164" ht="14.25" hidden="1" customHeight="1">
      <c r="A164" s="1"/>
      <c r="B164" s="1"/>
      <c r="C164" s="11"/>
      <c r="D164" s="19"/>
      <c r="E164" s="19"/>
      <c r="F164" s="19"/>
      <c r="G164" s="25"/>
      <c r="H164" s="19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"/>
      <c r="V164" s="1"/>
      <c r="W164" s="1"/>
      <c r="X164" s="1"/>
      <c r="Y164" s="1"/>
      <c r="Z164" s="1"/>
    </row>
    <row r="165" ht="14.25" hidden="1" customHeight="1">
      <c r="A165" s="1"/>
      <c r="B165" s="1"/>
      <c r="C165" s="11"/>
      <c r="D165" s="19"/>
      <c r="E165" s="19"/>
      <c r="F165" s="19"/>
      <c r="G165" s="25"/>
      <c r="H165" s="19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"/>
      <c r="V165" s="1"/>
      <c r="W165" s="1"/>
      <c r="X165" s="1"/>
      <c r="Y165" s="1"/>
      <c r="Z165" s="1"/>
    </row>
    <row r="166" ht="14.25" hidden="1" customHeight="1">
      <c r="A166" s="1"/>
      <c r="B166" s="1"/>
      <c r="C166" s="11"/>
      <c r="D166" s="19"/>
      <c r="E166" s="19"/>
      <c r="F166" s="19"/>
      <c r="G166" s="25"/>
      <c r="H166" s="19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"/>
      <c r="V166" s="1"/>
      <c r="W166" s="1"/>
      <c r="X166" s="1"/>
      <c r="Y166" s="1"/>
      <c r="Z166" s="1"/>
    </row>
    <row r="167" ht="14.25" hidden="1" customHeight="1">
      <c r="A167" s="1"/>
      <c r="B167" s="1"/>
      <c r="C167" s="11"/>
      <c r="D167" s="19"/>
      <c r="E167" s="19"/>
      <c r="F167" s="19"/>
      <c r="G167" s="25"/>
      <c r="H167" s="19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"/>
      <c r="V167" s="1"/>
      <c r="W167" s="1"/>
      <c r="X167" s="1"/>
      <c r="Y167" s="1"/>
      <c r="Z167" s="1"/>
    </row>
    <row r="168" ht="14.25" hidden="1" customHeight="1">
      <c r="A168" s="1"/>
      <c r="B168" s="1"/>
      <c r="C168" s="11"/>
      <c r="D168" s="19"/>
      <c r="E168" s="19"/>
      <c r="F168" s="19"/>
      <c r="G168" s="25"/>
      <c r="H168" s="19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"/>
      <c r="V168" s="1"/>
      <c r="W168" s="1"/>
      <c r="X168" s="1"/>
      <c r="Y168" s="1"/>
      <c r="Z168" s="1"/>
    </row>
    <row r="169" ht="14.25" hidden="1" customHeight="1">
      <c r="A169" s="1"/>
      <c r="B169" s="1"/>
      <c r="C169" s="11"/>
      <c r="D169" s="19"/>
      <c r="E169" s="19"/>
      <c r="F169" s="19"/>
      <c r="G169" s="25"/>
      <c r="H169" s="19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"/>
      <c r="V169" s="1"/>
      <c r="W169" s="1"/>
      <c r="X169" s="1"/>
      <c r="Y169" s="1"/>
      <c r="Z169" s="1"/>
    </row>
    <row r="170" ht="14.25" hidden="1" customHeight="1">
      <c r="A170" s="1"/>
      <c r="B170" s="1"/>
      <c r="C170" s="11"/>
      <c r="D170" s="19"/>
      <c r="E170" s="19"/>
      <c r="F170" s="19"/>
      <c r="G170" s="25"/>
      <c r="H170" s="19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"/>
      <c r="V170" s="1"/>
      <c r="W170" s="1"/>
      <c r="X170" s="1"/>
      <c r="Y170" s="1"/>
      <c r="Z170" s="1"/>
    </row>
    <row r="171" ht="14.25" hidden="1" customHeight="1">
      <c r="A171" s="1"/>
      <c r="B171" s="1"/>
      <c r="C171" s="11"/>
      <c r="D171" s="19"/>
      <c r="E171" s="19"/>
      <c r="F171" s="19"/>
      <c r="G171" s="25"/>
      <c r="H171" s="19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"/>
      <c r="V171" s="1"/>
      <c r="W171" s="1"/>
      <c r="X171" s="1"/>
      <c r="Y171" s="1"/>
      <c r="Z171" s="1"/>
    </row>
    <row r="172" ht="14.25" hidden="1" customHeight="1">
      <c r="A172" s="1"/>
      <c r="B172" s="1"/>
      <c r="C172" s="11"/>
      <c r="D172" s="19"/>
      <c r="E172" s="19"/>
      <c r="F172" s="19"/>
      <c r="G172" s="25"/>
      <c r="H172" s="19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"/>
      <c r="V172" s="1"/>
      <c r="W172" s="1"/>
      <c r="X172" s="1"/>
      <c r="Y172" s="1"/>
      <c r="Z172" s="1"/>
    </row>
    <row r="173" ht="14.25" hidden="1" customHeight="1">
      <c r="A173" s="1"/>
      <c r="B173" s="1"/>
      <c r="C173" s="11"/>
      <c r="D173" s="19"/>
      <c r="E173" s="19"/>
      <c r="F173" s="19"/>
      <c r="G173" s="25"/>
      <c r="H173" s="19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"/>
      <c r="V173" s="1"/>
      <c r="W173" s="1"/>
      <c r="X173" s="1"/>
      <c r="Y173" s="1"/>
      <c r="Z173" s="1"/>
    </row>
    <row r="174" ht="14.25" hidden="1" customHeight="1">
      <c r="A174" s="1"/>
      <c r="B174" s="1"/>
      <c r="C174" s="11"/>
      <c r="D174" s="19"/>
      <c r="E174" s="19"/>
      <c r="F174" s="19"/>
      <c r="G174" s="25"/>
      <c r="H174" s="19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"/>
      <c r="V174" s="1"/>
      <c r="W174" s="1"/>
      <c r="X174" s="1"/>
      <c r="Y174" s="1"/>
      <c r="Z174" s="1"/>
    </row>
    <row r="175" ht="14.25" hidden="1" customHeight="1">
      <c r="A175" s="1"/>
      <c r="B175" s="1"/>
      <c r="C175" s="11"/>
      <c r="D175" s="19"/>
      <c r="E175" s="19"/>
      <c r="F175" s="19"/>
      <c r="G175" s="25"/>
      <c r="H175" s="19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"/>
      <c r="V175" s="1"/>
      <c r="W175" s="1"/>
      <c r="X175" s="1"/>
      <c r="Y175" s="1"/>
      <c r="Z175" s="1"/>
    </row>
    <row r="176" ht="14.25" hidden="1" customHeight="1">
      <c r="A176" s="1"/>
      <c r="B176" s="1"/>
      <c r="C176" s="11"/>
      <c r="D176" s="19"/>
      <c r="E176" s="19"/>
      <c r="F176" s="19"/>
      <c r="G176" s="25"/>
      <c r="H176" s="19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"/>
      <c r="V176" s="1"/>
      <c r="W176" s="1"/>
      <c r="X176" s="1"/>
      <c r="Y176" s="1"/>
      <c r="Z176" s="1"/>
    </row>
    <row r="177" ht="14.25" hidden="1" customHeight="1">
      <c r="A177" s="1"/>
      <c r="B177" s="1"/>
      <c r="C177" s="11"/>
      <c r="D177" s="19"/>
      <c r="E177" s="19"/>
      <c r="F177" s="19"/>
      <c r="G177" s="25"/>
      <c r="H177" s="19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"/>
      <c r="V177" s="1"/>
      <c r="W177" s="1"/>
      <c r="X177" s="1"/>
      <c r="Y177" s="1"/>
      <c r="Z177" s="1"/>
    </row>
    <row r="178" ht="14.25" hidden="1" customHeight="1">
      <c r="A178" s="1"/>
      <c r="B178" s="1"/>
      <c r="C178" s="11"/>
      <c r="D178" s="19"/>
      <c r="E178" s="19"/>
      <c r="F178" s="19"/>
      <c r="G178" s="25"/>
      <c r="H178" s="19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"/>
      <c r="V178" s="1"/>
      <c r="W178" s="1"/>
      <c r="X178" s="1"/>
      <c r="Y178" s="1"/>
      <c r="Z178" s="1"/>
    </row>
    <row r="179" ht="14.25" hidden="1" customHeight="1">
      <c r="A179" s="1"/>
      <c r="B179" s="1"/>
      <c r="C179" s="11"/>
      <c r="D179" s="19"/>
      <c r="E179" s="19"/>
      <c r="F179" s="19"/>
      <c r="G179" s="25"/>
      <c r="H179" s="19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"/>
      <c r="V179" s="1"/>
      <c r="W179" s="1"/>
      <c r="X179" s="1"/>
      <c r="Y179" s="1"/>
      <c r="Z179" s="1"/>
    </row>
    <row r="180" ht="14.25" hidden="1" customHeight="1">
      <c r="A180" s="1"/>
      <c r="B180" s="1"/>
      <c r="C180" s="11"/>
      <c r="D180" s="19"/>
      <c r="E180" s="19"/>
      <c r="F180" s="19"/>
      <c r="G180" s="25"/>
      <c r="H180" s="19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"/>
      <c r="V180" s="1"/>
      <c r="W180" s="1"/>
      <c r="X180" s="1"/>
      <c r="Y180" s="1"/>
      <c r="Z180" s="1"/>
    </row>
    <row r="181" ht="14.25" hidden="1" customHeight="1">
      <c r="A181" s="1"/>
      <c r="B181" s="1"/>
      <c r="C181" s="11"/>
      <c r="D181" s="19"/>
      <c r="E181" s="19"/>
      <c r="F181" s="19"/>
      <c r="G181" s="25"/>
      <c r="H181" s="19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"/>
      <c r="V181" s="1"/>
      <c r="W181" s="1"/>
      <c r="X181" s="1"/>
      <c r="Y181" s="1"/>
      <c r="Z181" s="1"/>
    </row>
    <row r="182" ht="14.25" hidden="1" customHeight="1">
      <c r="A182" s="1"/>
      <c r="B182" s="1"/>
      <c r="C182" s="11"/>
      <c r="D182" s="19"/>
      <c r="E182" s="19"/>
      <c r="F182" s="19"/>
      <c r="G182" s="25"/>
      <c r="H182" s="19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"/>
      <c r="V182" s="1"/>
      <c r="W182" s="1"/>
      <c r="X182" s="1"/>
      <c r="Y182" s="1"/>
      <c r="Z182" s="1"/>
    </row>
    <row r="183" ht="14.25" hidden="1" customHeight="1">
      <c r="A183" s="1"/>
      <c r="B183" s="1"/>
      <c r="C183" s="11"/>
      <c r="D183" s="19"/>
      <c r="E183" s="19"/>
      <c r="F183" s="19"/>
      <c r="G183" s="25"/>
      <c r="H183" s="19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"/>
      <c r="V183" s="1"/>
      <c r="W183" s="1"/>
      <c r="X183" s="1"/>
      <c r="Y183" s="1"/>
      <c r="Z183" s="1"/>
    </row>
    <row r="184" ht="14.25" hidden="1" customHeight="1">
      <c r="A184" s="1"/>
      <c r="B184" s="1"/>
      <c r="C184" s="11"/>
      <c r="D184" s="19"/>
      <c r="E184" s="19"/>
      <c r="F184" s="19"/>
      <c r="G184" s="25"/>
      <c r="H184" s="19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"/>
      <c r="V184" s="1"/>
      <c r="W184" s="1"/>
      <c r="X184" s="1"/>
      <c r="Y184" s="1"/>
      <c r="Z184" s="1"/>
    </row>
    <row r="185" ht="14.25" hidden="1" customHeight="1">
      <c r="A185" s="1"/>
      <c r="B185" s="1"/>
      <c r="C185" s="11"/>
      <c r="D185" s="19"/>
      <c r="E185" s="19"/>
      <c r="F185" s="19"/>
      <c r="G185" s="25"/>
      <c r="H185" s="19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"/>
      <c r="V185" s="1"/>
      <c r="W185" s="1"/>
      <c r="X185" s="1"/>
      <c r="Y185" s="1"/>
      <c r="Z185" s="1"/>
    </row>
    <row r="186" ht="14.25" hidden="1" customHeight="1">
      <c r="A186" s="1"/>
      <c r="B186" s="1"/>
      <c r="C186" s="11"/>
      <c r="D186" s="19"/>
      <c r="E186" s="19"/>
      <c r="F186" s="19"/>
      <c r="G186" s="25"/>
      <c r="H186" s="19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"/>
      <c r="V186" s="1"/>
      <c r="W186" s="1"/>
      <c r="X186" s="1"/>
      <c r="Y186" s="1"/>
      <c r="Z186" s="1"/>
    </row>
    <row r="187" ht="14.25" hidden="1" customHeight="1">
      <c r="A187" s="1"/>
      <c r="B187" s="1"/>
      <c r="C187" s="11"/>
      <c r="D187" s="19"/>
      <c r="E187" s="19"/>
      <c r="F187" s="19"/>
      <c r="G187" s="25"/>
      <c r="H187" s="19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"/>
      <c r="V187" s="1"/>
      <c r="W187" s="1"/>
      <c r="X187" s="1"/>
      <c r="Y187" s="1"/>
      <c r="Z187" s="1"/>
    </row>
    <row r="188" ht="14.25" hidden="1" customHeight="1">
      <c r="A188" s="1"/>
      <c r="B188" s="1"/>
      <c r="C188" s="11"/>
      <c r="D188" s="19"/>
      <c r="E188" s="19"/>
      <c r="F188" s="19"/>
      <c r="G188" s="25"/>
      <c r="H188" s="19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"/>
      <c r="V188" s="1"/>
      <c r="W188" s="1"/>
      <c r="X188" s="1"/>
      <c r="Y188" s="1"/>
      <c r="Z188" s="1"/>
    </row>
    <row r="189" ht="14.25" hidden="1" customHeight="1">
      <c r="A189" s="1"/>
      <c r="B189" s="1"/>
      <c r="C189" s="11"/>
      <c r="D189" s="19"/>
      <c r="E189" s="19"/>
      <c r="F189" s="19"/>
      <c r="G189" s="25"/>
      <c r="H189" s="19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"/>
      <c r="V189" s="1"/>
      <c r="W189" s="1"/>
      <c r="X189" s="1"/>
      <c r="Y189" s="1"/>
      <c r="Z189" s="1"/>
    </row>
    <row r="190" ht="14.25" hidden="1" customHeight="1">
      <c r="A190" s="1"/>
      <c r="B190" s="1"/>
      <c r="C190" s="11"/>
      <c r="D190" s="19"/>
      <c r="E190" s="19"/>
      <c r="F190" s="19"/>
      <c r="G190" s="25"/>
      <c r="H190" s="19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"/>
      <c r="V190" s="1"/>
      <c r="W190" s="1"/>
      <c r="X190" s="1"/>
      <c r="Y190" s="1"/>
      <c r="Z190" s="1"/>
    </row>
    <row r="191" ht="14.25" hidden="1" customHeight="1">
      <c r="A191" s="1"/>
      <c r="B191" s="1"/>
      <c r="C191" s="11"/>
      <c r="D191" s="19"/>
      <c r="E191" s="19"/>
      <c r="F191" s="19"/>
      <c r="G191" s="25"/>
      <c r="H191" s="19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"/>
      <c r="V191" s="1"/>
      <c r="W191" s="1"/>
      <c r="X191" s="1"/>
      <c r="Y191" s="1"/>
      <c r="Z191" s="1"/>
    </row>
    <row r="192" ht="14.25" hidden="1" customHeight="1">
      <c r="A192" s="1"/>
      <c r="B192" s="1"/>
      <c r="C192" s="11"/>
      <c r="D192" s="19"/>
      <c r="E192" s="19"/>
      <c r="F192" s="19"/>
      <c r="G192" s="25"/>
      <c r="H192" s="19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"/>
      <c r="V192" s="1"/>
      <c r="W192" s="1"/>
      <c r="X192" s="1"/>
      <c r="Y192" s="1"/>
      <c r="Z192" s="1"/>
    </row>
    <row r="193" ht="14.25" hidden="1" customHeight="1">
      <c r="A193" s="1"/>
      <c r="B193" s="1"/>
      <c r="C193" s="11"/>
      <c r="D193" s="19"/>
      <c r="E193" s="19"/>
      <c r="F193" s="19"/>
      <c r="G193" s="25"/>
      <c r="H193" s="19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"/>
      <c r="V193" s="1"/>
      <c r="W193" s="1"/>
      <c r="X193" s="1"/>
      <c r="Y193" s="1"/>
      <c r="Z193" s="1"/>
    </row>
    <row r="194" ht="14.25" hidden="1" customHeight="1">
      <c r="A194" s="1"/>
      <c r="B194" s="1"/>
      <c r="C194" s="11"/>
      <c r="D194" s="19"/>
      <c r="E194" s="19"/>
      <c r="F194" s="19"/>
      <c r="G194" s="25"/>
      <c r="H194" s="19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"/>
      <c r="V194" s="1"/>
      <c r="W194" s="1"/>
      <c r="X194" s="1"/>
      <c r="Y194" s="1"/>
      <c r="Z194" s="1"/>
    </row>
    <row r="195" ht="14.25" hidden="1" customHeight="1">
      <c r="A195" s="1"/>
      <c r="B195" s="1"/>
      <c r="C195" s="11"/>
      <c r="D195" s="19"/>
      <c r="E195" s="19"/>
      <c r="F195" s="19"/>
      <c r="G195" s="25"/>
      <c r="H195" s="19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"/>
      <c r="V195" s="1"/>
      <c r="W195" s="1"/>
      <c r="X195" s="1"/>
      <c r="Y195" s="1"/>
      <c r="Z195" s="1"/>
    </row>
    <row r="196" ht="14.25" hidden="1" customHeight="1">
      <c r="A196" s="1"/>
      <c r="B196" s="1"/>
      <c r="C196" s="11"/>
      <c r="D196" s="19"/>
      <c r="E196" s="19"/>
      <c r="F196" s="19"/>
      <c r="G196" s="25"/>
      <c r="H196" s="19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"/>
      <c r="V196" s="1"/>
      <c r="W196" s="1"/>
      <c r="X196" s="1"/>
      <c r="Y196" s="1"/>
      <c r="Z196" s="1"/>
    </row>
    <row r="197" ht="14.25" hidden="1" customHeight="1">
      <c r="A197" s="1"/>
      <c r="B197" s="1"/>
      <c r="C197" s="11"/>
      <c r="D197" s="19"/>
      <c r="E197" s="19"/>
      <c r="F197" s="19"/>
      <c r="G197" s="25"/>
      <c r="H197" s="19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"/>
      <c r="V197" s="1"/>
      <c r="W197" s="1"/>
      <c r="X197" s="1"/>
      <c r="Y197" s="1"/>
      <c r="Z197" s="1"/>
    </row>
    <row r="198" ht="14.25" hidden="1" customHeight="1">
      <c r="A198" s="1"/>
      <c r="B198" s="1"/>
      <c r="C198" s="11"/>
      <c r="D198" s="19"/>
      <c r="E198" s="19"/>
      <c r="F198" s="19"/>
      <c r="G198" s="25"/>
      <c r="H198" s="19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"/>
      <c r="V198" s="1"/>
      <c r="W198" s="1"/>
      <c r="X198" s="1"/>
      <c r="Y198" s="1"/>
      <c r="Z198" s="1"/>
    </row>
    <row r="199" ht="14.25" hidden="1" customHeight="1">
      <c r="A199" s="1"/>
      <c r="B199" s="1"/>
      <c r="C199" s="11"/>
      <c r="D199" s="19"/>
      <c r="E199" s="19"/>
      <c r="F199" s="19"/>
      <c r="G199" s="25"/>
      <c r="H199" s="19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"/>
      <c r="V199" s="1"/>
      <c r="W199" s="1"/>
      <c r="X199" s="1"/>
      <c r="Y199" s="1"/>
      <c r="Z199" s="1"/>
    </row>
    <row r="200" ht="14.25" hidden="1" customHeight="1">
      <c r="A200" s="1"/>
      <c r="B200" s="1"/>
      <c r="C200" s="11"/>
      <c r="D200" s="19"/>
      <c r="E200" s="19"/>
      <c r="F200" s="19"/>
      <c r="G200" s="25"/>
      <c r="H200" s="19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"/>
      <c r="V200" s="1"/>
      <c r="W200" s="1"/>
      <c r="X200" s="1"/>
      <c r="Y200" s="1"/>
      <c r="Z200" s="1"/>
    </row>
    <row r="201" ht="14.25" hidden="1" customHeight="1">
      <c r="A201" s="1"/>
      <c r="B201" s="1"/>
      <c r="C201" s="11"/>
      <c r="D201" s="19"/>
      <c r="E201" s="19"/>
      <c r="F201" s="19"/>
      <c r="G201" s="25"/>
      <c r="H201" s="19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"/>
      <c r="V201" s="1"/>
      <c r="W201" s="1"/>
      <c r="X201" s="1"/>
      <c r="Y201" s="1"/>
      <c r="Z201" s="1"/>
    </row>
    <row r="202" ht="14.25" hidden="1" customHeight="1">
      <c r="A202" s="1"/>
      <c r="B202" s="1"/>
      <c r="C202" s="11"/>
      <c r="D202" s="19"/>
      <c r="E202" s="19"/>
      <c r="F202" s="19"/>
      <c r="G202" s="25"/>
      <c r="H202" s="19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"/>
      <c r="V202" s="1"/>
      <c r="W202" s="1"/>
      <c r="X202" s="1"/>
      <c r="Y202" s="1"/>
      <c r="Z202" s="1"/>
    </row>
    <row r="203" ht="14.25" hidden="1" customHeight="1">
      <c r="A203" s="1"/>
      <c r="B203" s="1"/>
      <c r="C203" s="11"/>
      <c r="D203" s="19"/>
      <c r="E203" s="19"/>
      <c r="F203" s="19"/>
      <c r="G203" s="25"/>
      <c r="H203" s="19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"/>
      <c r="V203" s="1"/>
      <c r="W203" s="1"/>
      <c r="X203" s="1"/>
      <c r="Y203" s="1"/>
      <c r="Z203" s="1"/>
    </row>
    <row r="204" ht="14.25" hidden="1" customHeight="1">
      <c r="A204" s="1"/>
      <c r="B204" s="1"/>
      <c r="C204" s="11"/>
      <c r="D204" s="19"/>
      <c r="E204" s="19"/>
      <c r="F204" s="19"/>
      <c r="G204" s="25"/>
      <c r="H204" s="19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"/>
      <c r="V204" s="1"/>
      <c r="W204" s="1"/>
      <c r="X204" s="1"/>
      <c r="Y204" s="1"/>
      <c r="Z204" s="1"/>
    </row>
    <row r="205" ht="14.25" hidden="1" customHeight="1">
      <c r="A205" s="1"/>
      <c r="B205" s="1"/>
      <c r="C205" s="11"/>
      <c r="D205" s="19"/>
      <c r="E205" s="19"/>
      <c r="F205" s="19"/>
      <c r="G205" s="25"/>
      <c r="H205" s="19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"/>
      <c r="V205" s="1"/>
      <c r="W205" s="1"/>
      <c r="X205" s="1"/>
      <c r="Y205" s="1"/>
      <c r="Z205" s="1"/>
    </row>
    <row r="206" ht="14.25" hidden="1" customHeight="1">
      <c r="A206" s="1"/>
      <c r="B206" s="1"/>
      <c r="C206" s="11"/>
      <c r="D206" s="19"/>
      <c r="E206" s="19"/>
      <c r="F206" s="19"/>
      <c r="G206" s="25"/>
      <c r="H206" s="19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"/>
      <c r="V206" s="1"/>
      <c r="W206" s="1"/>
      <c r="X206" s="1"/>
      <c r="Y206" s="1"/>
      <c r="Z206" s="1"/>
    </row>
    <row r="207" ht="14.25" hidden="1" customHeight="1">
      <c r="A207" s="1"/>
      <c r="B207" s="1"/>
      <c r="C207" s="11"/>
      <c r="D207" s="19"/>
      <c r="E207" s="19"/>
      <c r="F207" s="19"/>
      <c r="G207" s="25"/>
      <c r="H207" s="19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"/>
      <c r="V207" s="1"/>
      <c r="W207" s="1"/>
      <c r="X207" s="1"/>
      <c r="Y207" s="1"/>
      <c r="Z207" s="1"/>
    </row>
    <row r="208" ht="14.25" hidden="1" customHeight="1">
      <c r="A208" s="1"/>
      <c r="B208" s="1"/>
      <c r="C208" s="11"/>
      <c r="D208" s="19"/>
      <c r="E208" s="19"/>
      <c r="F208" s="19"/>
      <c r="G208" s="25"/>
      <c r="H208" s="19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"/>
      <c r="V208" s="1"/>
      <c r="W208" s="1"/>
      <c r="X208" s="1"/>
      <c r="Y208" s="1"/>
      <c r="Z208" s="1"/>
    </row>
    <row r="209" ht="14.25" hidden="1" customHeight="1">
      <c r="A209" s="1"/>
      <c r="B209" s="1"/>
      <c r="C209" s="11"/>
      <c r="D209" s="19"/>
      <c r="E209" s="19"/>
      <c r="F209" s="19"/>
      <c r="G209" s="25"/>
      <c r="H209" s="19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"/>
      <c r="V209" s="1"/>
      <c r="W209" s="1"/>
      <c r="X209" s="1"/>
      <c r="Y209" s="1"/>
      <c r="Z209" s="1"/>
    </row>
    <row r="210" ht="14.25" hidden="1" customHeight="1">
      <c r="A210" s="1"/>
      <c r="B210" s="1"/>
      <c r="C210" s="11"/>
      <c r="D210" s="19"/>
      <c r="E210" s="19"/>
      <c r="F210" s="19"/>
      <c r="G210" s="25"/>
      <c r="H210" s="19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"/>
      <c r="V210" s="1"/>
      <c r="W210" s="1"/>
      <c r="X210" s="1"/>
      <c r="Y210" s="1"/>
      <c r="Z210" s="1"/>
    </row>
    <row r="211" ht="14.25" hidden="1" customHeight="1">
      <c r="A211" s="1"/>
      <c r="B211" s="1"/>
      <c r="C211" s="11"/>
      <c r="D211" s="19"/>
      <c r="E211" s="19"/>
      <c r="F211" s="19"/>
      <c r="G211" s="25"/>
      <c r="H211" s="19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"/>
      <c r="V211" s="1"/>
      <c r="W211" s="1"/>
      <c r="X211" s="1"/>
      <c r="Y211" s="1"/>
      <c r="Z211" s="1"/>
    </row>
    <row r="212" ht="14.25" hidden="1" customHeight="1">
      <c r="A212" s="1"/>
      <c r="B212" s="1"/>
      <c r="C212" s="11"/>
      <c r="D212" s="19"/>
      <c r="E212" s="19"/>
      <c r="F212" s="19"/>
      <c r="G212" s="25"/>
      <c r="H212" s="19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"/>
      <c r="V212" s="1"/>
      <c r="W212" s="1"/>
      <c r="X212" s="1"/>
      <c r="Y212" s="1"/>
      <c r="Z212" s="1"/>
    </row>
    <row r="213" ht="14.25" hidden="1" customHeight="1">
      <c r="A213" s="1"/>
      <c r="B213" s="1"/>
      <c r="C213" s="11"/>
      <c r="D213" s="19"/>
      <c r="E213" s="19"/>
      <c r="F213" s="19"/>
      <c r="G213" s="25"/>
      <c r="H213" s="19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"/>
      <c r="V213" s="1"/>
      <c r="W213" s="1"/>
      <c r="X213" s="1"/>
      <c r="Y213" s="1"/>
      <c r="Z213" s="1"/>
    </row>
    <row r="214" ht="14.25" hidden="1" customHeight="1">
      <c r="A214" s="1"/>
      <c r="B214" s="1"/>
      <c r="C214" s="11"/>
      <c r="D214" s="19"/>
      <c r="E214" s="19"/>
      <c r="F214" s="19"/>
      <c r="G214" s="25"/>
      <c r="H214" s="19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"/>
      <c r="V214" s="1"/>
      <c r="W214" s="1"/>
      <c r="X214" s="1"/>
      <c r="Y214" s="1"/>
      <c r="Z214" s="1"/>
    </row>
    <row r="215" ht="14.25" hidden="1" customHeight="1">
      <c r="A215" s="1"/>
      <c r="B215" s="1"/>
      <c r="C215" s="11"/>
      <c r="D215" s="19"/>
      <c r="E215" s="19"/>
      <c r="F215" s="19"/>
      <c r="G215" s="25"/>
      <c r="H215" s="19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"/>
      <c r="V215" s="1"/>
      <c r="W215" s="1"/>
      <c r="X215" s="1"/>
      <c r="Y215" s="1"/>
      <c r="Z215" s="1"/>
    </row>
    <row r="216" ht="14.25" hidden="1" customHeight="1">
      <c r="A216" s="1"/>
      <c r="B216" s="1"/>
      <c r="C216" s="11"/>
      <c r="D216" s="19"/>
      <c r="E216" s="19"/>
      <c r="F216" s="19"/>
      <c r="G216" s="25"/>
      <c r="H216" s="19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"/>
      <c r="V216" s="1"/>
      <c r="W216" s="1"/>
      <c r="X216" s="1"/>
      <c r="Y216" s="1"/>
      <c r="Z216" s="1"/>
    </row>
    <row r="217" ht="14.25" hidden="1" customHeight="1">
      <c r="A217" s="1"/>
      <c r="B217" s="1"/>
      <c r="C217" s="11"/>
      <c r="D217" s="19"/>
      <c r="E217" s="19"/>
      <c r="F217" s="19"/>
      <c r="G217" s="25"/>
      <c r="H217" s="19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"/>
      <c r="V217" s="1"/>
      <c r="W217" s="1"/>
      <c r="X217" s="1"/>
      <c r="Y217" s="1"/>
      <c r="Z217" s="1"/>
    </row>
    <row r="218" ht="14.25" hidden="1" customHeight="1">
      <c r="A218" s="1"/>
      <c r="B218" s="1"/>
      <c r="C218" s="11"/>
      <c r="D218" s="19"/>
      <c r="E218" s="19"/>
      <c r="F218" s="19"/>
      <c r="G218" s="25"/>
      <c r="H218" s="19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"/>
      <c r="V218" s="1"/>
      <c r="W218" s="1"/>
      <c r="X218" s="1"/>
      <c r="Y218" s="1"/>
      <c r="Z218" s="1"/>
    </row>
    <row r="219" ht="14.25" hidden="1" customHeight="1">
      <c r="A219" s="1"/>
      <c r="B219" s="1"/>
      <c r="C219" s="11"/>
      <c r="D219" s="19"/>
      <c r="E219" s="19"/>
      <c r="F219" s="19"/>
      <c r="G219" s="25"/>
      <c r="H219" s="19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"/>
      <c r="V219" s="1"/>
      <c r="W219" s="1"/>
      <c r="X219" s="1"/>
      <c r="Y219" s="1"/>
      <c r="Z219" s="1"/>
    </row>
    <row r="220" ht="14.25" hidden="1" customHeight="1">
      <c r="A220" s="1"/>
      <c r="B220" s="1"/>
      <c r="C220" s="11"/>
      <c r="D220" s="19"/>
      <c r="E220" s="19"/>
      <c r="F220" s="19"/>
      <c r="G220" s="25"/>
      <c r="H220" s="19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"/>
      <c r="V220" s="1"/>
      <c r="W220" s="1"/>
      <c r="X220" s="1"/>
      <c r="Y220" s="1"/>
      <c r="Z220" s="1"/>
    </row>
    <row r="221" ht="14.25" hidden="1" customHeight="1">
      <c r="A221" s="1"/>
      <c r="B221" s="1"/>
      <c r="C221" s="11"/>
      <c r="D221" s="19"/>
      <c r="E221" s="19"/>
      <c r="F221" s="19"/>
      <c r="G221" s="25"/>
      <c r="H221" s="19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"/>
      <c r="V221" s="1"/>
      <c r="W221" s="1"/>
      <c r="X221" s="1"/>
      <c r="Y221" s="1"/>
      <c r="Z221" s="1"/>
    </row>
    <row r="222" ht="14.25" hidden="1" customHeight="1">
      <c r="A222" s="1"/>
      <c r="B222" s="1"/>
      <c r="C222" s="11"/>
      <c r="D222" s="19"/>
      <c r="E222" s="19"/>
      <c r="F222" s="19"/>
      <c r="G222" s="25"/>
      <c r="H222" s="19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"/>
      <c r="V222" s="1"/>
      <c r="W222" s="1"/>
      <c r="X222" s="1"/>
      <c r="Y222" s="1"/>
      <c r="Z222" s="1"/>
    </row>
    <row r="223" ht="14.25" hidden="1" customHeight="1">
      <c r="A223" s="1"/>
      <c r="B223" s="1"/>
      <c r="C223" s="11"/>
      <c r="D223" s="19"/>
      <c r="E223" s="19"/>
      <c r="F223" s="19"/>
      <c r="G223" s="25"/>
      <c r="H223" s="19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"/>
      <c r="V223" s="1"/>
      <c r="W223" s="1"/>
      <c r="X223" s="1"/>
      <c r="Y223" s="1"/>
      <c r="Z223" s="1"/>
    </row>
    <row r="224" ht="14.25" hidden="1" customHeight="1">
      <c r="A224" s="1"/>
      <c r="B224" s="1"/>
      <c r="C224" s="11"/>
      <c r="D224" s="19"/>
      <c r="E224" s="19"/>
      <c r="F224" s="19"/>
      <c r="G224" s="25"/>
      <c r="H224" s="19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"/>
      <c r="V224" s="1"/>
      <c r="W224" s="1"/>
      <c r="X224" s="1"/>
      <c r="Y224" s="1"/>
      <c r="Z224" s="1"/>
    </row>
    <row r="225" ht="14.25" hidden="1" customHeight="1">
      <c r="A225" s="1"/>
      <c r="B225" s="1"/>
      <c r="C225" s="11"/>
      <c r="D225" s="19"/>
      <c r="E225" s="19"/>
      <c r="F225" s="19"/>
      <c r="G225" s="25"/>
      <c r="H225" s="19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"/>
      <c r="V225" s="1"/>
      <c r="W225" s="1"/>
      <c r="X225" s="1"/>
      <c r="Y225" s="1"/>
      <c r="Z225" s="1"/>
    </row>
    <row r="226" ht="14.25" hidden="1" customHeight="1">
      <c r="A226" s="1"/>
      <c r="B226" s="1"/>
      <c r="C226" s="11"/>
      <c r="D226" s="19"/>
      <c r="E226" s="19"/>
      <c r="F226" s="19"/>
      <c r="G226" s="25"/>
      <c r="H226" s="19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"/>
      <c r="V226" s="1"/>
      <c r="W226" s="1"/>
      <c r="X226" s="1"/>
      <c r="Y226" s="1"/>
      <c r="Z226" s="1"/>
    </row>
    <row r="227" ht="14.25" hidden="1" customHeight="1">
      <c r="A227" s="1"/>
      <c r="B227" s="1"/>
      <c r="C227" s="11"/>
      <c r="D227" s="19"/>
      <c r="E227" s="19"/>
      <c r="F227" s="19"/>
      <c r="G227" s="25"/>
      <c r="H227" s="19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"/>
      <c r="V227" s="1"/>
      <c r="W227" s="1"/>
      <c r="X227" s="1"/>
      <c r="Y227" s="1"/>
      <c r="Z227" s="1"/>
    </row>
    <row r="228" ht="14.25" hidden="1" customHeight="1">
      <c r="A228" s="1"/>
      <c r="B228" s="1"/>
      <c r="C228" s="11"/>
      <c r="D228" s="19"/>
      <c r="E228" s="19"/>
      <c r="F228" s="19"/>
      <c r="G228" s="25"/>
      <c r="H228" s="19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"/>
      <c r="V228" s="1"/>
      <c r="W228" s="1"/>
      <c r="X228" s="1"/>
      <c r="Y228" s="1"/>
      <c r="Z228" s="1"/>
    </row>
    <row r="229" ht="14.25" hidden="1" customHeight="1">
      <c r="A229" s="1"/>
      <c r="B229" s="1"/>
      <c r="C229" s="11"/>
      <c r="D229" s="19"/>
      <c r="E229" s="19"/>
      <c r="F229" s="19"/>
      <c r="G229" s="25"/>
      <c r="H229" s="19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"/>
      <c r="V229" s="1"/>
      <c r="W229" s="1"/>
      <c r="X229" s="1"/>
      <c r="Y229" s="1"/>
      <c r="Z229" s="1"/>
    </row>
    <row r="230" ht="14.25" hidden="1" customHeight="1">
      <c r="A230" s="1"/>
      <c r="B230" s="1"/>
      <c r="C230" s="11"/>
      <c r="D230" s="19"/>
      <c r="E230" s="19"/>
      <c r="F230" s="19"/>
      <c r="G230" s="25"/>
      <c r="H230" s="19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"/>
      <c r="V230" s="1"/>
      <c r="W230" s="1"/>
      <c r="X230" s="1"/>
      <c r="Y230" s="1"/>
      <c r="Z230" s="1"/>
    </row>
    <row r="231" ht="14.25" hidden="1" customHeight="1">
      <c r="A231" s="1"/>
      <c r="B231" s="1"/>
      <c r="C231" s="11"/>
      <c r="D231" s="19"/>
      <c r="E231" s="19"/>
      <c r="F231" s="19"/>
      <c r="G231" s="25"/>
      <c r="H231" s="19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"/>
      <c r="V231" s="1"/>
      <c r="W231" s="1"/>
      <c r="X231" s="1"/>
      <c r="Y231" s="1"/>
      <c r="Z231" s="1"/>
    </row>
    <row r="232" ht="14.25" hidden="1" customHeight="1">
      <c r="A232" s="1"/>
      <c r="B232" s="1"/>
      <c r="C232" s="11"/>
      <c r="D232" s="19"/>
      <c r="E232" s="19"/>
      <c r="F232" s="19"/>
      <c r="G232" s="25"/>
      <c r="H232" s="19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"/>
      <c r="V232" s="1"/>
      <c r="W232" s="1"/>
      <c r="X232" s="1"/>
      <c r="Y232" s="1"/>
      <c r="Z232" s="1"/>
    </row>
    <row r="233" ht="14.25" hidden="1" customHeight="1">
      <c r="A233" s="1"/>
      <c r="B233" s="1"/>
      <c r="C233" s="11"/>
      <c r="D233" s="19"/>
      <c r="E233" s="19"/>
      <c r="F233" s="19"/>
      <c r="G233" s="25"/>
      <c r="H233" s="19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"/>
      <c r="V233" s="1"/>
      <c r="W233" s="1"/>
      <c r="X233" s="1"/>
      <c r="Y233" s="1"/>
      <c r="Z233" s="1"/>
    </row>
    <row r="234" ht="14.25" hidden="1" customHeight="1">
      <c r="A234" s="1"/>
      <c r="B234" s="1"/>
      <c r="C234" s="11"/>
      <c r="D234" s="19"/>
      <c r="E234" s="19"/>
      <c r="F234" s="19"/>
      <c r="G234" s="25"/>
      <c r="H234" s="19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"/>
      <c r="V234" s="1"/>
      <c r="W234" s="1"/>
      <c r="X234" s="1"/>
      <c r="Y234" s="1"/>
      <c r="Z234" s="1"/>
    </row>
    <row r="235" ht="14.25" hidden="1" customHeight="1">
      <c r="A235" s="1"/>
      <c r="B235" s="1"/>
      <c r="C235" s="11"/>
      <c r="D235" s="19"/>
      <c r="E235" s="19"/>
      <c r="F235" s="19"/>
      <c r="G235" s="25"/>
      <c r="H235" s="19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"/>
      <c r="V235" s="1"/>
      <c r="W235" s="1"/>
      <c r="X235" s="1"/>
      <c r="Y235" s="1"/>
      <c r="Z235" s="1"/>
    </row>
    <row r="236" ht="14.25" hidden="1" customHeight="1">
      <c r="A236" s="1"/>
      <c r="B236" s="1"/>
      <c r="C236" s="11"/>
      <c r="D236" s="19"/>
      <c r="E236" s="19"/>
      <c r="F236" s="19"/>
      <c r="G236" s="25"/>
      <c r="H236" s="19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"/>
      <c r="V236" s="1"/>
      <c r="W236" s="1"/>
      <c r="X236" s="1"/>
      <c r="Y236" s="1"/>
      <c r="Z236" s="1"/>
    </row>
    <row r="237" ht="14.25" hidden="1" customHeight="1">
      <c r="A237" s="1"/>
      <c r="B237" s="1"/>
      <c r="C237" s="11"/>
      <c r="D237" s="19"/>
      <c r="E237" s="19"/>
      <c r="F237" s="19"/>
      <c r="G237" s="25"/>
      <c r="H237" s="19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"/>
      <c r="V237" s="1"/>
      <c r="W237" s="1"/>
      <c r="X237" s="1"/>
      <c r="Y237" s="1"/>
      <c r="Z237" s="1"/>
    </row>
    <row r="238" ht="14.25" hidden="1" customHeight="1">
      <c r="A238" s="1"/>
      <c r="B238" s="1"/>
      <c r="C238" s="11"/>
      <c r="D238" s="19"/>
      <c r="E238" s="19"/>
      <c r="F238" s="19"/>
      <c r="G238" s="25"/>
      <c r="H238" s="19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"/>
      <c r="V238" s="1"/>
      <c r="W238" s="1"/>
      <c r="X238" s="1"/>
      <c r="Y238" s="1"/>
      <c r="Z238" s="1"/>
    </row>
    <row r="239" ht="14.25" hidden="1" customHeight="1">
      <c r="A239" s="1"/>
      <c r="B239" s="1"/>
      <c r="C239" s="11"/>
      <c r="D239" s="19"/>
      <c r="E239" s="19"/>
      <c r="F239" s="19"/>
      <c r="G239" s="25"/>
      <c r="H239" s="19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"/>
      <c r="V239" s="1"/>
      <c r="W239" s="1"/>
      <c r="X239" s="1"/>
      <c r="Y239" s="1"/>
      <c r="Z239" s="1"/>
    </row>
    <row r="240" ht="14.25" hidden="1" customHeight="1">
      <c r="A240" s="1"/>
      <c r="B240" s="1"/>
      <c r="C240" s="11"/>
      <c r="D240" s="19"/>
      <c r="E240" s="19"/>
      <c r="F240" s="19"/>
      <c r="G240" s="25"/>
      <c r="H240" s="19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"/>
      <c r="V240" s="1"/>
      <c r="W240" s="1"/>
      <c r="X240" s="1"/>
      <c r="Y240" s="1"/>
      <c r="Z240" s="1"/>
    </row>
    <row r="241" ht="14.25" hidden="1" customHeight="1">
      <c r="A241" s="1"/>
      <c r="B241" s="1"/>
      <c r="C241" s="11"/>
      <c r="D241" s="19"/>
      <c r="E241" s="19"/>
      <c r="F241" s="19"/>
      <c r="G241" s="25"/>
      <c r="H241" s="19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"/>
      <c r="V241" s="1"/>
      <c r="W241" s="1"/>
      <c r="X241" s="1"/>
      <c r="Y241" s="1"/>
      <c r="Z241" s="1"/>
    </row>
    <row r="242" ht="14.25" hidden="1" customHeight="1">
      <c r="A242" s="1"/>
      <c r="B242" s="1"/>
      <c r="C242" s="11"/>
      <c r="D242" s="19"/>
      <c r="E242" s="19"/>
      <c r="F242" s="19"/>
      <c r="G242" s="25"/>
      <c r="H242" s="19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"/>
      <c r="V242" s="1"/>
      <c r="W242" s="1"/>
      <c r="X242" s="1"/>
      <c r="Y242" s="1"/>
      <c r="Z242" s="1"/>
    </row>
    <row r="243" ht="14.25" hidden="1" customHeight="1">
      <c r="A243" s="1"/>
      <c r="B243" s="1"/>
      <c r="C243" s="11"/>
      <c r="D243" s="19"/>
      <c r="E243" s="19"/>
      <c r="F243" s="19"/>
      <c r="G243" s="25"/>
      <c r="H243" s="19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"/>
      <c r="V243" s="1"/>
      <c r="W243" s="1"/>
      <c r="X243" s="1"/>
      <c r="Y243" s="1"/>
      <c r="Z243" s="1"/>
    </row>
    <row r="244" ht="14.25" hidden="1" customHeight="1">
      <c r="A244" s="1"/>
      <c r="B244" s="1"/>
      <c r="C244" s="11"/>
      <c r="D244" s="19"/>
      <c r="E244" s="19"/>
      <c r="F244" s="19"/>
      <c r="G244" s="25"/>
      <c r="H244" s="19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"/>
      <c r="V244" s="1"/>
      <c r="W244" s="1"/>
      <c r="X244" s="1"/>
      <c r="Y244" s="1"/>
      <c r="Z244" s="1"/>
    </row>
    <row r="245" ht="14.25" hidden="1" customHeight="1">
      <c r="A245" s="1"/>
      <c r="B245" s="1"/>
      <c r="C245" s="11"/>
      <c r="D245" s="19"/>
      <c r="E245" s="19"/>
      <c r="F245" s="19"/>
      <c r="G245" s="25"/>
      <c r="H245" s="19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"/>
      <c r="V245" s="1"/>
      <c r="W245" s="1"/>
      <c r="X245" s="1"/>
      <c r="Y245" s="1"/>
      <c r="Z245" s="1"/>
    </row>
    <row r="246" ht="14.25" hidden="1" customHeight="1">
      <c r="A246" s="1"/>
      <c r="B246" s="1"/>
      <c r="C246" s="11"/>
      <c r="D246" s="19"/>
      <c r="E246" s="19"/>
      <c r="F246" s="19"/>
      <c r="G246" s="25"/>
      <c r="H246" s="19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"/>
      <c r="V246" s="1"/>
      <c r="W246" s="1"/>
      <c r="X246" s="1"/>
      <c r="Y246" s="1"/>
      <c r="Z246" s="1"/>
    </row>
    <row r="247" ht="14.25" hidden="1" customHeight="1">
      <c r="A247" s="1"/>
      <c r="B247" s="1"/>
      <c r="C247" s="11"/>
      <c r="D247" s="19"/>
      <c r="E247" s="19"/>
      <c r="F247" s="19"/>
      <c r="G247" s="25"/>
      <c r="H247" s="19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"/>
      <c r="V247" s="1"/>
      <c r="W247" s="1"/>
      <c r="X247" s="1"/>
      <c r="Y247" s="1"/>
      <c r="Z247" s="1"/>
    </row>
    <row r="248" ht="14.25" hidden="1" customHeight="1">
      <c r="A248" s="1"/>
      <c r="B248" s="1"/>
      <c r="C248" s="11"/>
      <c r="D248" s="19"/>
      <c r="E248" s="19"/>
      <c r="F248" s="19"/>
      <c r="G248" s="25"/>
      <c r="H248" s="19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"/>
      <c r="V248" s="1"/>
      <c r="W248" s="1"/>
      <c r="X248" s="1"/>
      <c r="Y248" s="1"/>
      <c r="Z248" s="1"/>
    </row>
    <row r="249" ht="14.25" hidden="1" customHeight="1">
      <c r="A249" s="1"/>
      <c r="B249" s="1"/>
      <c r="C249" s="11"/>
      <c r="D249" s="19"/>
      <c r="E249" s="19"/>
      <c r="F249" s="19"/>
      <c r="G249" s="25"/>
      <c r="H249" s="19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"/>
      <c r="V249" s="1"/>
      <c r="W249" s="1"/>
      <c r="X249" s="1"/>
      <c r="Y249" s="1"/>
      <c r="Z249" s="1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C29:C30"/>
    <mergeCell ref="C31:C32"/>
    <mergeCell ref="C9:C10"/>
    <mergeCell ref="C13:C14"/>
    <mergeCell ref="C18:C19"/>
    <mergeCell ref="C20:C21"/>
    <mergeCell ref="C22:C23"/>
    <mergeCell ref="C24:C25"/>
    <mergeCell ref="C26:C27"/>
    <mergeCell ref="D31:D32"/>
    <mergeCell ref="E31:E32"/>
    <mergeCell ref="C33:C34"/>
    <mergeCell ref="D33:D34"/>
    <mergeCell ref="E33:E34"/>
    <mergeCell ref="D35:D36"/>
    <mergeCell ref="E35:E36"/>
    <mergeCell ref="C40:C41"/>
    <mergeCell ref="C42:C43"/>
    <mergeCell ref="D42:D43"/>
    <mergeCell ref="E42:E43"/>
    <mergeCell ref="C44:C45"/>
    <mergeCell ref="D44:D45"/>
    <mergeCell ref="C37:C38"/>
    <mergeCell ref="C46:C47"/>
    <mergeCell ref="D46:D47"/>
    <mergeCell ref="E46:E47"/>
    <mergeCell ref="C48:C49"/>
    <mergeCell ref="D48:D49"/>
    <mergeCell ref="C35:C36"/>
    <mergeCell ref="D37:D38"/>
    <mergeCell ref="E37:E38"/>
    <mergeCell ref="B40:B49"/>
    <mergeCell ref="D40:D41"/>
    <mergeCell ref="E40:E41"/>
    <mergeCell ref="E44:E45"/>
    <mergeCell ref="E48:E49"/>
    <mergeCell ref="D9:D10"/>
    <mergeCell ref="E9:E10"/>
    <mergeCell ref="C11:C12"/>
    <mergeCell ref="D11:D12"/>
    <mergeCell ref="D13:D14"/>
    <mergeCell ref="E13:E14"/>
    <mergeCell ref="B2:H2"/>
    <mergeCell ref="B3:H3"/>
    <mergeCell ref="B7:B16"/>
    <mergeCell ref="C7:C8"/>
    <mergeCell ref="D7:D8"/>
    <mergeCell ref="E7:E8"/>
    <mergeCell ref="E11:E12"/>
    <mergeCell ref="E15:E16"/>
    <mergeCell ref="C15:C16"/>
    <mergeCell ref="D15:D16"/>
    <mergeCell ref="D18:D19"/>
    <mergeCell ref="E18:E19"/>
    <mergeCell ref="D20:D21"/>
    <mergeCell ref="E20:E21"/>
    <mergeCell ref="E22:E23"/>
    <mergeCell ref="B18:B27"/>
    <mergeCell ref="B29:B38"/>
    <mergeCell ref="D22:D23"/>
    <mergeCell ref="D24:D25"/>
    <mergeCell ref="E24:E25"/>
    <mergeCell ref="D26:D27"/>
    <mergeCell ref="E26:E27"/>
    <mergeCell ref="D29:D30"/>
    <mergeCell ref="E29:E30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13.0"/>
    <col customWidth="1" min="3" max="3" width="9.14"/>
    <col customWidth="1" min="4" max="4" width="69.14"/>
    <col customWidth="1" min="5" max="5" width="12.14"/>
    <col customWidth="1" min="6" max="6" width="15.43"/>
    <col customWidth="1" min="7" max="8" width="12.71"/>
    <col customWidth="1" min="9" max="9" width="11.14"/>
    <col customWidth="1" min="10" max="11" width="14.0"/>
    <col customWidth="1" min="12" max="12" width="11.14"/>
    <col customWidth="1" min="13" max="13" width="1.29"/>
    <col customWidth="1" min="14" max="15" width="10.29"/>
    <col customWidth="1" min="16" max="23" width="8.71"/>
  </cols>
  <sheetData>
    <row r="1" ht="18.0" customHeight="1">
      <c r="A1" s="3"/>
      <c r="B1" s="3"/>
      <c r="C1" s="2"/>
      <c r="D1" s="2"/>
      <c r="E1" s="2"/>
      <c r="F1" s="2"/>
      <c r="G1" s="2"/>
      <c r="H1" s="45"/>
      <c r="I1" s="2"/>
      <c r="J1" s="2"/>
      <c r="K1" s="2"/>
      <c r="L1" s="2"/>
      <c r="M1" s="3"/>
      <c r="N1" s="46"/>
      <c r="O1" s="46"/>
      <c r="P1" s="3"/>
      <c r="Q1" s="3"/>
      <c r="R1" s="3"/>
      <c r="S1" s="3"/>
      <c r="T1" s="3"/>
      <c r="U1" s="3"/>
      <c r="V1" s="3"/>
      <c r="W1" s="3"/>
      <c r="X1" s="1"/>
      <c r="Y1" s="1"/>
      <c r="Z1" s="1"/>
    </row>
    <row r="2" ht="14.25" customHeight="1">
      <c r="A2" s="3"/>
      <c r="B2" s="47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3"/>
      <c r="Q2" s="3"/>
      <c r="R2" s="3"/>
      <c r="S2" s="3"/>
      <c r="T2" s="3"/>
      <c r="U2" s="3"/>
      <c r="V2" s="3"/>
      <c r="W2" s="3"/>
      <c r="X2" s="1"/>
      <c r="Y2" s="1"/>
      <c r="Z2" s="1"/>
    </row>
    <row r="3" ht="19.5" customHeight="1">
      <c r="A3" s="3"/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3"/>
      <c r="Q3" s="3"/>
      <c r="R3" s="3"/>
      <c r="S3" s="3"/>
      <c r="T3" s="3"/>
      <c r="U3" s="3"/>
      <c r="V3" s="3"/>
      <c r="W3" s="3"/>
      <c r="X3" s="1"/>
      <c r="Y3" s="1"/>
      <c r="Z3" s="1"/>
    </row>
    <row r="4" ht="96.0" customHeight="1">
      <c r="A4" s="3"/>
      <c r="B4" s="3"/>
      <c r="C4" s="2"/>
      <c r="D4" s="2"/>
      <c r="E4" s="2"/>
      <c r="F4" s="2"/>
      <c r="G4" s="2"/>
      <c r="H4" s="45"/>
      <c r="I4" s="2"/>
      <c r="J4" s="2"/>
      <c r="K4" s="2"/>
      <c r="L4" s="2"/>
      <c r="M4" s="3"/>
      <c r="N4" s="46"/>
      <c r="O4" s="46"/>
      <c r="P4" s="3"/>
      <c r="Q4" s="3"/>
      <c r="R4" s="3"/>
      <c r="S4" s="3"/>
      <c r="T4" s="3"/>
      <c r="U4" s="3"/>
      <c r="V4" s="3"/>
      <c r="W4" s="3"/>
      <c r="X4" s="1"/>
      <c r="Y4" s="1"/>
      <c r="Z4" s="1"/>
    </row>
    <row r="5" ht="14.25" customHeight="1">
      <c r="A5" s="3"/>
      <c r="B5" s="48" t="s">
        <v>19</v>
      </c>
      <c r="C5" s="49"/>
      <c r="D5" s="50">
        <v>44562.0</v>
      </c>
      <c r="E5" s="48"/>
      <c r="F5" s="49"/>
      <c r="G5" s="51" t="s">
        <v>20</v>
      </c>
      <c r="H5" s="52"/>
      <c r="I5" s="49"/>
      <c r="J5" s="51" t="s">
        <v>21</v>
      </c>
      <c r="K5" s="52"/>
      <c r="L5" s="49"/>
      <c r="M5" s="51"/>
      <c r="N5" s="52"/>
      <c r="O5" s="49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6.0" customHeight="1">
      <c r="A6" s="3"/>
      <c r="B6" s="1"/>
      <c r="C6" s="11"/>
      <c r="D6" s="11"/>
      <c r="E6" s="11"/>
      <c r="F6" s="11"/>
      <c r="G6" s="11"/>
      <c r="H6" s="53"/>
      <c r="I6" s="11"/>
      <c r="J6" s="11"/>
      <c r="K6" s="11"/>
      <c r="L6" s="11"/>
      <c r="M6" s="1"/>
      <c r="N6" s="54"/>
      <c r="O6" s="54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3"/>
      <c r="B7" s="26" t="s">
        <v>0</v>
      </c>
      <c r="C7" s="55" t="s">
        <v>1</v>
      </c>
      <c r="D7" s="56" t="s">
        <v>2</v>
      </c>
      <c r="E7" s="56" t="s">
        <v>22</v>
      </c>
      <c r="F7" s="56" t="s">
        <v>23</v>
      </c>
      <c r="G7" s="57" t="s">
        <v>16</v>
      </c>
      <c r="H7" s="58" t="s">
        <v>15</v>
      </c>
      <c r="I7" s="57" t="s">
        <v>24</v>
      </c>
      <c r="J7" s="57" t="s">
        <v>16</v>
      </c>
      <c r="K7" s="57" t="s">
        <v>15</v>
      </c>
      <c r="L7" s="26" t="s">
        <v>24</v>
      </c>
      <c r="M7" s="59"/>
      <c r="N7" s="60" t="s">
        <v>25</v>
      </c>
      <c r="O7" s="60" t="s">
        <v>26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7.5" customHeight="1">
      <c r="A8" s="3"/>
      <c r="B8" s="59"/>
      <c r="C8" s="59"/>
      <c r="D8" s="59"/>
      <c r="E8" s="59"/>
      <c r="F8" s="59"/>
      <c r="G8" s="59"/>
      <c r="H8" s="61"/>
      <c r="I8" s="59"/>
      <c r="J8" s="59"/>
      <c r="K8" s="59"/>
      <c r="L8" s="59"/>
      <c r="M8" s="59"/>
      <c r="N8" s="62"/>
      <c r="O8" s="62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9.25" customHeight="1">
      <c r="A9" s="3"/>
      <c r="B9" s="12" t="s">
        <v>10</v>
      </c>
      <c r="C9" s="63">
        <v>1.0</v>
      </c>
      <c r="D9" s="64" t="str">
        <f>IF('Objetivos Estratégicos '!E7="","",'Objetivos Estratégicos '!E7)</f>
        <v/>
      </c>
      <c r="E9" s="64" t="s">
        <v>27</v>
      </c>
      <c r="F9" s="64" t="s">
        <v>28</v>
      </c>
      <c r="G9" s="64">
        <f>SUMIF(Desdobramentos!$5:$5,$D$5,Desdobramentos!$7:$7)</f>
        <v>0</v>
      </c>
      <c r="H9" s="65">
        <f>SUMIF(Desdobramentos!$5:$5,$D$5,Desdobramentos!$8:$8)</f>
        <v>0</v>
      </c>
      <c r="I9" s="66" t="str">
        <f t="shared" ref="I9:I13" si="1">IF(F9="Menos",G9/H9,IFERROR(H9/G9,""))</f>
        <v/>
      </c>
      <c r="J9" s="64">
        <f>SUMIF(Desdobramentos!$5:$5,"&lt;="&amp;$D$5,Desdobramentos!$7:$7)</f>
        <v>0</v>
      </c>
      <c r="K9" s="64">
        <f>SUMIF(Desdobramentos!$5:$5,"&lt;="&amp;$D$5,Desdobramentos!$8:$8)</f>
        <v>0</v>
      </c>
      <c r="L9" s="66" t="str">
        <f t="shared" ref="L9:L13" si="2">IFERROR(K9/J9,"")</f>
        <v/>
      </c>
      <c r="M9" s="59"/>
      <c r="N9" s="66">
        <v>0.4</v>
      </c>
      <c r="O9" s="66" t="str">
        <f t="shared" ref="O9:O13" si="3">IFERROR(IF(F9="Mais",(K9*100%)/J9,(100%-(K9-J9)/J9))*N9,"")</f>
        <v/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9.25" customHeight="1">
      <c r="A10" s="3"/>
      <c r="B10" s="15"/>
      <c r="C10" s="63">
        <v>2.0</v>
      </c>
      <c r="D10" s="64" t="str">
        <f>IF('Objetivos Estratégicos '!E8="","",'Objetivos Estratégicos '!E8)</f>
        <v/>
      </c>
      <c r="E10" s="64" t="s">
        <v>27</v>
      </c>
      <c r="F10" s="64" t="s">
        <v>28</v>
      </c>
      <c r="G10" s="64">
        <f>SUMIF(Desdobramentos!$5:$5,$D$5,Desdobramentos!$9:$9)</f>
        <v>0</v>
      </c>
      <c r="H10" s="65">
        <f>SUMIF(Desdobramentos!$5:$5,$D$5,Desdobramentos!$10:$10)</f>
        <v>0</v>
      </c>
      <c r="I10" s="66" t="str">
        <f t="shared" si="1"/>
        <v/>
      </c>
      <c r="J10" s="64">
        <f>SUMIF(Desdobramentos!$5:$5,"&lt;="&amp;$D$5,Desdobramentos!$9:$9)</f>
        <v>0</v>
      </c>
      <c r="K10" s="64">
        <f>SUMIF(Desdobramentos!$5:$5,"&lt;="&amp;$D$5,Desdobramentos!$10:$10)</f>
        <v>0</v>
      </c>
      <c r="L10" s="66" t="str">
        <f t="shared" si="2"/>
        <v/>
      </c>
      <c r="M10" s="59"/>
      <c r="N10" s="66">
        <v>0.4</v>
      </c>
      <c r="O10" s="66" t="str">
        <f t="shared" si="3"/>
        <v/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9.25" customHeight="1">
      <c r="A11" s="3"/>
      <c r="B11" s="15"/>
      <c r="C11" s="63">
        <v>3.0</v>
      </c>
      <c r="D11" s="64" t="str">
        <f>IF('Objetivos Estratégicos '!E9="","",'Objetivos Estratégicos '!E9)</f>
        <v/>
      </c>
      <c r="E11" s="64" t="s">
        <v>27</v>
      </c>
      <c r="F11" s="64" t="s">
        <v>28</v>
      </c>
      <c r="G11" s="64">
        <f>SUMIF(Desdobramentos!$5:$5,$D$5,Desdobramentos!$11:$11)</f>
        <v>0</v>
      </c>
      <c r="H11" s="65">
        <f>SUMIF(Desdobramentos!$5:$5,$D$5,Desdobramentos!$12:$12)</f>
        <v>0</v>
      </c>
      <c r="I11" s="66" t="str">
        <f t="shared" si="1"/>
        <v/>
      </c>
      <c r="J11" s="64">
        <f>SUMIF(Desdobramentos!$5:$5,"&lt;="&amp;$D$5,Desdobramentos!$11:$11)</f>
        <v>0</v>
      </c>
      <c r="K11" s="64">
        <f>SUMIF(Desdobramentos!$5:$5,"&lt;="&amp;$D$5,Desdobramentos!$12:$12)</f>
        <v>0</v>
      </c>
      <c r="L11" s="66" t="str">
        <f t="shared" si="2"/>
        <v/>
      </c>
      <c r="M11" s="59"/>
      <c r="N11" s="66">
        <v>0.2</v>
      </c>
      <c r="O11" s="66" t="str">
        <f t="shared" si="3"/>
        <v/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9.25" customHeight="1">
      <c r="A12" s="3"/>
      <c r="B12" s="15"/>
      <c r="C12" s="63">
        <v>4.0</v>
      </c>
      <c r="D12" s="64" t="str">
        <f>IF('Objetivos Estratégicos '!E10="","",'Objetivos Estratégicos '!E10)</f>
        <v/>
      </c>
      <c r="E12" s="64" t="s">
        <v>27</v>
      </c>
      <c r="F12" s="64" t="s">
        <v>28</v>
      </c>
      <c r="G12" s="64">
        <f>SUMIF(Desdobramentos!$5:$5,$D$5,Desdobramentos!$13:$13)</f>
        <v>0</v>
      </c>
      <c r="H12" s="65">
        <f>SUMIF(Desdobramentos!$5:$5,$D$5,Desdobramentos!$14:$14)</f>
        <v>0</v>
      </c>
      <c r="I12" s="66" t="str">
        <f t="shared" si="1"/>
        <v/>
      </c>
      <c r="J12" s="64">
        <f>SUMIF(Desdobramentos!$5:$5,"&lt;="&amp;$D$5,Desdobramentos!$13:$13)</f>
        <v>0</v>
      </c>
      <c r="K12" s="64">
        <f>SUMIF(Desdobramentos!$5:$5,"&lt;="&amp;$D$5,Desdobramentos!$14:$14)</f>
        <v>0</v>
      </c>
      <c r="L12" s="66" t="str">
        <f t="shared" si="2"/>
        <v/>
      </c>
      <c r="M12" s="59"/>
      <c r="N12" s="66">
        <v>0.0</v>
      </c>
      <c r="O12" s="66" t="str">
        <f t="shared" si="3"/>
        <v/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9.25" customHeight="1">
      <c r="A13" s="3"/>
      <c r="B13" s="16"/>
      <c r="C13" s="63">
        <v>5.0</v>
      </c>
      <c r="D13" s="64" t="str">
        <f>IF('Objetivos Estratégicos '!E11="","",'Objetivos Estratégicos '!E11)</f>
        <v/>
      </c>
      <c r="E13" s="64" t="s">
        <v>27</v>
      </c>
      <c r="F13" s="64" t="s">
        <v>28</v>
      </c>
      <c r="G13" s="64">
        <f>SUMIF(Desdobramentos!$5:$5,$D$5,Desdobramentos!$15:$15)</f>
        <v>0</v>
      </c>
      <c r="H13" s="65">
        <f>SUMIF(Desdobramentos!$5:$5,$D$5,Desdobramentos!$16:$16)</f>
        <v>0</v>
      </c>
      <c r="I13" s="66" t="str">
        <f t="shared" si="1"/>
        <v/>
      </c>
      <c r="J13" s="64">
        <f>SUMIF(Desdobramentos!$5:$5,"&lt;="&amp;$D$5,Desdobramentos!$15:$15)</f>
        <v>0</v>
      </c>
      <c r="K13" s="64">
        <f>SUMIF(Desdobramentos!$5:$5,"&lt;="&amp;$D$5,Desdobramentos!$16:$16)</f>
        <v>0</v>
      </c>
      <c r="L13" s="66" t="str">
        <f t="shared" si="2"/>
        <v/>
      </c>
      <c r="M13" s="59"/>
      <c r="N13" s="66">
        <v>0.0</v>
      </c>
      <c r="O13" s="66" t="str">
        <f t="shared" si="3"/>
        <v/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3"/>
      <c r="B14" s="67"/>
      <c r="C14" s="11"/>
      <c r="D14" s="11"/>
      <c r="E14" s="11"/>
      <c r="F14" s="11"/>
      <c r="G14" s="11"/>
      <c r="H14" s="53"/>
      <c r="I14" s="54"/>
      <c r="J14" s="11"/>
      <c r="K14" s="11"/>
      <c r="L14" s="11"/>
      <c r="M14" s="1"/>
      <c r="N14" s="68">
        <f t="shared" ref="N14:O14" si="4">SUM(N9:N13)</f>
        <v>1</v>
      </c>
      <c r="O14" s="68">
        <f t="shared" si="4"/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6.0" customHeight="1">
      <c r="A15" s="3"/>
      <c r="B15" s="1"/>
      <c r="C15" s="1"/>
      <c r="D15" s="11"/>
      <c r="E15" s="11"/>
      <c r="F15" s="11"/>
      <c r="G15" s="11"/>
      <c r="H15" s="53"/>
      <c r="I15" s="11"/>
      <c r="J15" s="11"/>
      <c r="K15" s="11"/>
      <c r="L15" s="11"/>
      <c r="M15" s="1"/>
      <c r="N15" s="54"/>
      <c r="O15" s="5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9.25" customHeight="1">
      <c r="A16" s="3"/>
      <c r="B16" s="12" t="s">
        <v>11</v>
      </c>
      <c r="C16" s="69">
        <v>1.0</v>
      </c>
      <c r="D16" s="69" t="str">
        <f>IF('Objetivos Estratégicos '!E13="","",'Objetivos Estratégicos '!E13)</f>
        <v/>
      </c>
      <c r="E16" s="69"/>
      <c r="F16" s="69"/>
      <c r="G16" s="69">
        <f>SUMIF(Desdobramentos!$5:$5,$D$5,Desdobramentos!$17:$17)</f>
        <v>0</v>
      </c>
      <c r="H16" s="70">
        <f>SUMIF(Desdobramentos!$5:$5,$D$5,Desdobramentos!$18:$18)</f>
        <v>0</v>
      </c>
      <c r="I16" s="71" t="str">
        <f t="shared" ref="I16:I20" si="5">IF(F16="Menos",G16/H16,IFERROR(H16/G16,""))</f>
        <v/>
      </c>
      <c r="J16" s="64">
        <f>SUMIF(Desdobramentos!$5:$5,"&lt;="&amp;$D$5,Desdobramentos!$17:$17)</f>
        <v>0</v>
      </c>
      <c r="K16" s="72">
        <f>SUMIF(Desdobramentos!$5:$5,"&lt;="&amp;$D$5,Desdobramentos!$18:$18)</f>
        <v>0</v>
      </c>
      <c r="L16" s="71" t="str">
        <f t="shared" ref="L16:L20" si="6">IFERROR(K16/J16,"")</f>
        <v/>
      </c>
      <c r="M16" s="59"/>
      <c r="N16" s="71">
        <v>0.2</v>
      </c>
      <c r="O16" s="71" t="str">
        <f t="shared" ref="O16:O20" si="7">IFERROR(IF(F16="Mais",(K16*100%)/J16,(100%-(K16-J16)/J16))*N16,"")</f>
        <v/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9.25" customHeight="1">
      <c r="A17" s="3"/>
      <c r="B17" s="15"/>
      <c r="C17" s="69">
        <v>2.0</v>
      </c>
      <c r="D17" s="69" t="str">
        <f>IF('Objetivos Estratégicos '!E14="","",'Objetivos Estratégicos '!E14)</f>
        <v/>
      </c>
      <c r="E17" s="69"/>
      <c r="F17" s="69" t="s">
        <v>29</v>
      </c>
      <c r="G17" s="69">
        <f>SUMIF(Desdobramentos!$5:$5,$D$5,Desdobramentos!$19:$19)</f>
        <v>0</v>
      </c>
      <c r="H17" s="70">
        <f>SUMIF(Desdobramentos!$5:$5,$D$5,Desdobramentos!$20:$20)</f>
        <v>0</v>
      </c>
      <c r="I17" s="71" t="str">
        <f t="shared" si="5"/>
        <v/>
      </c>
      <c r="J17" s="64">
        <f>SUMIF(Desdobramentos!$5:$5,"&lt;="&amp;$D$5,Desdobramentos!$19:$19)</f>
        <v>0</v>
      </c>
      <c r="K17" s="72">
        <f>SUMIF(Desdobramentos!$5:$5,"&lt;="&amp;$D$5,Desdobramentos!$20:$20)</f>
        <v>0</v>
      </c>
      <c r="L17" s="71" t="str">
        <f t="shared" si="6"/>
        <v/>
      </c>
      <c r="M17" s="59"/>
      <c r="N17" s="71">
        <v>0.8</v>
      </c>
      <c r="O17" s="71" t="str">
        <f t="shared" si="7"/>
        <v/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9.25" customHeight="1">
      <c r="A18" s="3"/>
      <c r="B18" s="15"/>
      <c r="C18" s="69">
        <v>3.0</v>
      </c>
      <c r="D18" s="69" t="str">
        <f>IF('Objetivos Estratégicos '!E15="","",'Objetivos Estratégicos '!E15)</f>
        <v/>
      </c>
      <c r="E18" s="69"/>
      <c r="F18" s="69"/>
      <c r="G18" s="69">
        <f>SUMIF(Desdobramentos!$5:$5,$D$5,Desdobramentos!$21:$21)</f>
        <v>0</v>
      </c>
      <c r="H18" s="70">
        <f>SUMIF(Desdobramentos!$5:$5,$D$5,Desdobramentos!$22:$22)</f>
        <v>0</v>
      </c>
      <c r="I18" s="71" t="str">
        <f t="shared" si="5"/>
        <v/>
      </c>
      <c r="J18" s="64">
        <f>SUMIF(Desdobramentos!$5:$5,"&lt;="&amp;$D$5,Desdobramentos!$21:$21)</f>
        <v>0</v>
      </c>
      <c r="K18" s="72">
        <f>SUMIF(Desdobramentos!$5:$5,"&lt;="&amp;$D$5,Desdobramentos!$22:$22)</f>
        <v>0</v>
      </c>
      <c r="L18" s="71" t="str">
        <f t="shared" si="6"/>
        <v/>
      </c>
      <c r="M18" s="59"/>
      <c r="N18" s="71">
        <v>0.0</v>
      </c>
      <c r="O18" s="71" t="str">
        <f t="shared" si="7"/>
        <v/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9.25" customHeight="1">
      <c r="A19" s="3"/>
      <c r="B19" s="15"/>
      <c r="C19" s="69">
        <v>4.0</v>
      </c>
      <c r="D19" s="69" t="str">
        <f>IF('Objetivos Estratégicos '!E16="","",'Objetivos Estratégicos '!E16)</f>
        <v/>
      </c>
      <c r="E19" s="69"/>
      <c r="F19" s="69"/>
      <c r="G19" s="69">
        <f>SUMIF(Desdobramentos!$5:$5,$D$5,Desdobramentos!$23:$23)</f>
        <v>0</v>
      </c>
      <c r="H19" s="70">
        <f>SUMIF(Desdobramentos!$5:$5,$D$5,Desdobramentos!$24:$24)</f>
        <v>0</v>
      </c>
      <c r="I19" s="71" t="str">
        <f t="shared" si="5"/>
        <v/>
      </c>
      <c r="J19" s="64">
        <f>SUMIF(Desdobramentos!$5:$5,"&lt;="&amp;$D$5,Desdobramentos!$23:$23)</f>
        <v>0</v>
      </c>
      <c r="K19" s="72">
        <f>SUMIF(Desdobramentos!$5:$5,"&lt;="&amp;$D$5,Desdobramentos!$24:$24)</f>
        <v>0</v>
      </c>
      <c r="L19" s="71" t="str">
        <f t="shared" si="6"/>
        <v/>
      </c>
      <c r="M19" s="59"/>
      <c r="N19" s="71">
        <v>0.0</v>
      </c>
      <c r="O19" s="71" t="str">
        <f t="shared" si="7"/>
        <v/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9.25" customHeight="1">
      <c r="A20" s="3"/>
      <c r="B20" s="16"/>
      <c r="C20" s="69">
        <v>5.0</v>
      </c>
      <c r="D20" s="69" t="str">
        <f>IF('Objetivos Estratégicos '!E17="","",'Objetivos Estratégicos '!E17)</f>
        <v/>
      </c>
      <c r="E20" s="69"/>
      <c r="F20" s="69"/>
      <c r="G20" s="69">
        <f>SUMIF(Desdobramentos!$5:$5,$D$5,Desdobramentos!$25:$25)</f>
        <v>0</v>
      </c>
      <c r="H20" s="70">
        <f>SUMIF(Desdobramentos!$5:$5,$D$5,Desdobramentos!$26:$26)</f>
        <v>0</v>
      </c>
      <c r="I20" s="71" t="str">
        <f t="shared" si="5"/>
        <v/>
      </c>
      <c r="J20" s="64">
        <f>SUMIF(Desdobramentos!$5:$5,"&lt;="&amp;$D$5,Desdobramentos!$25:$25)</f>
        <v>0</v>
      </c>
      <c r="K20" s="72">
        <f>SUMIF(Desdobramentos!$5:$5,"&lt;="&amp;$D$5,Desdobramentos!$26:$26)</f>
        <v>0</v>
      </c>
      <c r="L20" s="71" t="str">
        <f t="shared" si="6"/>
        <v/>
      </c>
      <c r="M20" s="59"/>
      <c r="N20" s="71">
        <v>0.0</v>
      </c>
      <c r="O20" s="71" t="str">
        <f t="shared" si="7"/>
        <v/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3"/>
      <c r="B21" s="1"/>
      <c r="C21" s="1"/>
      <c r="D21" s="1"/>
      <c r="E21" s="1"/>
      <c r="F21" s="1"/>
      <c r="G21" s="1"/>
      <c r="H21" s="73"/>
      <c r="I21" s="1"/>
      <c r="J21" s="1"/>
      <c r="K21" s="1"/>
      <c r="L21" s="1"/>
      <c r="M21" s="1"/>
      <c r="N21" s="68">
        <f t="shared" ref="N21:O21" si="8">SUM(N16:N20)</f>
        <v>1</v>
      </c>
      <c r="O21" s="68">
        <f t="shared" si="8"/>
        <v>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6.0" customHeight="1">
      <c r="A22" s="3"/>
      <c r="B22" s="1"/>
      <c r="C22" s="11"/>
      <c r="D22" s="11"/>
      <c r="E22" s="11"/>
      <c r="F22" s="11"/>
      <c r="G22" s="11"/>
      <c r="H22" s="53"/>
      <c r="I22" s="11"/>
      <c r="J22" s="11"/>
      <c r="K22" s="11"/>
      <c r="L22" s="11"/>
      <c r="M22" s="1"/>
      <c r="N22" s="54"/>
      <c r="O22" s="5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9.25" customHeight="1">
      <c r="A23" s="3"/>
      <c r="B23" s="20" t="s">
        <v>12</v>
      </c>
      <c r="C23" s="64">
        <v>1.0</v>
      </c>
      <c r="D23" s="64" t="str">
        <f>IF('Objetivos Estratégicos '!E19="","",'Objetivos Estratégicos '!E19)</f>
        <v/>
      </c>
      <c r="E23" s="64"/>
      <c r="F23" s="64"/>
      <c r="G23" s="64">
        <f>SUMIF(Desdobramentos!$5:$5,$D$5,Desdobramentos!$28:$28)</f>
        <v>0</v>
      </c>
      <c r="H23" s="74">
        <f>SUMIF(Desdobramentos!$5:$5,$D$5,Desdobramentos!$29:$29)</f>
        <v>0</v>
      </c>
      <c r="I23" s="66" t="str">
        <f t="shared" ref="I23:I27" si="9">IF(F23="Menos",G23/H23,IFERROR(H23/G23,""))</f>
        <v/>
      </c>
      <c r="J23" s="64">
        <f>SUMIF(Desdobramentos!$5:$5,"&lt;="&amp;$D$5,Desdobramentos!$28:$28)</f>
        <v>0</v>
      </c>
      <c r="K23" s="63">
        <f>SUMIF(Desdobramentos!$5:$5,"&lt;="&amp;$D$5,Desdobramentos!$29:$29)</f>
        <v>0</v>
      </c>
      <c r="L23" s="66" t="str">
        <f t="shared" ref="L23:L27" si="10">IFERROR(K23/J23,"")</f>
        <v/>
      </c>
      <c r="M23" s="59"/>
      <c r="N23" s="66">
        <v>1.0</v>
      </c>
      <c r="O23" s="66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9.25" customHeight="1">
      <c r="A24" s="3"/>
      <c r="B24" s="15"/>
      <c r="C24" s="64">
        <v>2.0</v>
      </c>
      <c r="D24" s="64" t="str">
        <f>IF('Objetivos Estratégicos '!E20="","",'Objetivos Estratégicos '!E20)</f>
        <v/>
      </c>
      <c r="E24" s="64"/>
      <c r="F24" s="64"/>
      <c r="G24" s="64">
        <f>SUMIF(Desdobramentos!$5:$5,$D$5,Desdobramentos!$30:$30)</f>
        <v>0</v>
      </c>
      <c r="H24" s="74">
        <f>SUMIF(Desdobramentos!$5:$5,$D$5,Desdobramentos!$31:$31)</f>
        <v>0</v>
      </c>
      <c r="I24" s="66" t="str">
        <f t="shared" si="9"/>
        <v/>
      </c>
      <c r="J24" s="64">
        <f>SUMIF(Desdobramentos!$5:$5,"&lt;="&amp;$D$5,Desdobramentos!$30:$30)</f>
        <v>0</v>
      </c>
      <c r="K24" s="63">
        <f>SUMIF(Desdobramentos!$5:$5,"&lt;="&amp;$D$5,Desdobramentos!$31:$31)</f>
        <v>0</v>
      </c>
      <c r="L24" s="66" t="str">
        <f t="shared" si="10"/>
        <v/>
      </c>
      <c r="M24" s="59"/>
      <c r="N24" s="66">
        <v>0.0</v>
      </c>
      <c r="O24" s="66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9.25" customHeight="1">
      <c r="A25" s="3"/>
      <c r="B25" s="15"/>
      <c r="C25" s="64">
        <v>3.0</v>
      </c>
      <c r="D25" s="64" t="str">
        <f>IF('Objetivos Estratégicos '!E21="","",'Objetivos Estratégicos '!E21)</f>
        <v/>
      </c>
      <c r="E25" s="64"/>
      <c r="F25" s="64"/>
      <c r="G25" s="64">
        <f>SUMIF(Desdobramentos!$5:$5,$D$5,Desdobramentos!$32:$32)</f>
        <v>0</v>
      </c>
      <c r="H25" s="74">
        <f>SUMIF(Desdobramentos!$5:$5,$D$5,Desdobramentos!$33:$33)</f>
        <v>0</v>
      </c>
      <c r="I25" s="66" t="str">
        <f t="shared" si="9"/>
        <v/>
      </c>
      <c r="J25" s="64">
        <f>SUMIF(Desdobramentos!$5:$5,"&lt;="&amp;$D$5,Desdobramentos!$32:$32)</f>
        <v>0</v>
      </c>
      <c r="K25" s="63">
        <f>SUMIF(Desdobramentos!$5:$5,"&lt;="&amp;$D$5,Desdobramentos!$33:$33)</f>
        <v>0</v>
      </c>
      <c r="L25" s="66" t="str">
        <f t="shared" si="10"/>
        <v/>
      </c>
      <c r="M25" s="59"/>
      <c r="N25" s="66">
        <v>0.0</v>
      </c>
      <c r="O25" s="66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9.25" customHeight="1">
      <c r="A26" s="3"/>
      <c r="B26" s="15"/>
      <c r="C26" s="64">
        <v>4.0</v>
      </c>
      <c r="D26" s="64" t="str">
        <f>IF('Objetivos Estratégicos '!E22="","",'Objetivos Estratégicos '!E22)</f>
        <v/>
      </c>
      <c r="E26" s="64"/>
      <c r="F26" s="64"/>
      <c r="G26" s="64">
        <f>SUMIF(Desdobramentos!$5:$5,$D$5,Desdobramentos!$34:$34)</f>
        <v>0</v>
      </c>
      <c r="H26" s="74">
        <f>SUMIF(Desdobramentos!$5:$5,$D$5,Desdobramentos!$35:$35)</f>
        <v>0</v>
      </c>
      <c r="I26" s="66" t="str">
        <f t="shared" si="9"/>
        <v/>
      </c>
      <c r="J26" s="64">
        <f>SUMIF(Desdobramentos!$5:$5,"&lt;="&amp;$D$5,Desdobramentos!$34:$34)</f>
        <v>0</v>
      </c>
      <c r="K26" s="63">
        <f>SUMIF(Desdobramentos!$5:$5,"&lt;="&amp;$D$5,Desdobramentos!$35:$35)</f>
        <v>0</v>
      </c>
      <c r="L26" s="66" t="str">
        <f t="shared" si="10"/>
        <v/>
      </c>
      <c r="M26" s="59"/>
      <c r="N26" s="66">
        <v>0.0</v>
      </c>
      <c r="O26" s="66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9.25" customHeight="1">
      <c r="A27" s="3"/>
      <c r="B27" s="16"/>
      <c r="C27" s="64">
        <v>5.0</v>
      </c>
      <c r="D27" s="64" t="str">
        <f>IF('Objetivos Estratégicos '!E23="","",'Objetivos Estratégicos '!E23)</f>
        <v/>
      </c>
      <c r="E27" s="64"/>
      <c r="F27" s="64"/>
      <c r="G27" s="64">
        <f>SUMIF(Desdobramentos!$5:$5,$D$5,Desdobramentos!$36:$36)</f>
        <v>0</v>
      </c>
      <c r="H27" s="74">
        <f>SUMIF(Desdobramentos!$5:$5,$D$5,Desdobramentos!$37:$37)</f>
        <v>0</v>
      </c>
      <c r="I27" s="66" t="str">
        <f t="shared" si="9"/>
        <v/>
      </c>
      <c r="J27" s="64">
        <f>SUMIF(Desdobramentos!$5:$5,"&lt;="&amp;$D$5,Desdobramentos!$36:$36)</f>
        <v>0</v>
      </c>
      <c r="K27" s="63">
        <f>SUMIF(Desdobramentos!$5:$5,"&lt;="&amp;$D$5,Desdobramentos!$37:$37)</f>
        <v>0</v>
      </c>
      <c r="L27" s="66" t="str">
        <f t="shared" si="10"/>
        <v/>
      </c>
      <c r="M27" s="59"/>
      <c r="N27" s="66">
        <v>0.0</v>
      </c>
      <c r="O27" s="66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3"/>
      <c r="B28" s="75"/>
      <c r="C28" s="11"/>
      <c r="D28" s="11"/>
      <c r="E28" s="11"/>
      <c r="F28" s="11"/>
      <c r="G28" s="11"/>
      <c r="H28" s="53"/>
      <c r="I28" s="54"/>
      <c r="J28" s="11"/>
      <c r="K28" s="11"/>
      <c r="L28" s="11"/>
      <c r="M28" s="1"/>
      <c r="N28" s="68">
        <f t="shared" ref="N28:O28" si="11">SUM(N23:N27)</f>
        <v>1</v>
      </c>
      <c r="O28" s="68">
        <f t="shared" si="11"/>
        <v>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6.0" customHeight="1">
      <c r="A29" s="3"/>
      <c r="B29" s="1"/>
      <c r="C29" s="1"/>
      <c r="D29" s="11"/>
      <c r="E29" s="11"/>
      <c r="F29" s="11"/>
      <c r="G29" s="11"/>
      <c r="H29" s="53"/>
      <c r="I29" s="11"/>
      <c r="J29" s="11"/>
      <c r="K29" s="11"/>
      <c r="L29" s="11"/>
      <c r="M29" s="1"/>
      <c r="N29" s="54"/>
      <c r="O29" s="5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9.25" customHeight="1">
      <c r="A30" s="3"/>
      <c r="B30" s="20" t="s">
        <v>13</v>
      </c>
      <c r="C30" s="69">
        <v>1.0</v>
      </c>
      <c r="D30" s="69" t="str">
        <f>IF('Objetivos Estratégicos '!E25="","",'Objetivos Estratégicos '!E25)</f>
        <v/>
      </c>
      <c r="E30" s="69"/>
      <c r="F30" s="69"/>
      <c r="G30" s="69">
        <f>SUMIF(Desdobramentos!$5:$5,$D$5,Desdobramentos!$38:$38)</f>
        <v>0</v>
      </c>
      <c r="H30" s="70">
        <f>SUMIF(Desdobramentos!$5:$5,$D$5,Desdobramentos!$39:$39)</f>
        <v>0</v>
      </c>
      <c r="I30" s="71" t="str">
        <f t="shared" ref="I30:I34" si="12">IF(F30="Menos",G30/H30,IFERROR(H30/G30,""))</f>
        <v/>
      </c>
      <c r="J30" s="69">
        <f>SUMIF(Desdobramentos!$5:$5,"&lt;="&amp;$D$5,Desdobramentos!$38:$38)</f>
        <v>0</v>
      </c>
      <c r="K30" s="72">
        <f>SUMIF(Desdobramentos!$5:$5,"&lt;="&amp;$D$5,Desdobramentos!$39:$39)</f>
        <v>0</v>
      </c>
      <c r="L30" s="71" t="str">
        <f t="shared" ref="L30:L34" si="13">IFERROR(K30/J30,"")</f>
        <v/>
      </c>
      <c r="M30" s="59"/>
      <c r="N30" s="71">
        <v>0.4</v>
      </c>
      <c r="O30" s="7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9.25" customHeight="1">
      <c r="A31" s="3"/>
      <c r="B31" s="15"/>
      <c r="C31" s="69">
        <v>2.0</v>
      </c>
      <c r="D31" s="69" t="str">
        <f>IF('Objetivos Estratégicos '!E26="","",'Objetivos Estratégicos '!E26)</f>
        <v/>
      </c>
      <c r="E31" s="69"/>
      <c r="F31" s="69"/>
      <c r="G31" s="69">
        <f>SUMIF(Desdobramentos!$5:$5,$D$5,Desdobramentos!$40:$40)</f>
        <v>0</v>
      </c>
      <c r="H31" s="70">
        <f>SUMIF(Desdobramentos!$5:$5,$D$5,Desdobramentos!$41:$41)</f>
        <v>0</v>
      </c>
      <c r="I31" s="71" t="str">
        <f t="shared" si="12"/>
        <v/>
      </c>
      <c r="J31" s="69">
        <f>SUMIF(Desdobramentos!$5:$5,"&lt;="&amp;$D$5,Desdobramentos!$40:$40)</f>
        <v>0</v>
      </c>
      <c r="K31" s="72">
        <f>SUMIF(Desdobramentos!$5:$5,"&lt;="&amp;$D$5,Desdobramentos!$41:$41)</f>
        <v>0</v>
      </c>
      <c r="L31" s="71" t="str">
        <f t="shared" si="13"/>
        <v/>
      </c>
      <c r="M31" s="59"/>
      <c r="N31" s="71">
        <v>0.4</v>
      </c>
      <c r="O31" s="7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9.25" customHeight="1">
      <c r="A32" s="3"/>
      <c r="B32" s="15"/>
      <c r="C32" s="69">
        <v>3.0</v>
      </c>
      <c r="D32" s="69" t="str">
        <f>IF('Objetivos Estratégicos '!E27="","",'Objetivos Estratégicos '!E27)</f>
        <v/>
      </c>
      <c r="E32" s="69"/>
      <c r="F32" s="69"/>
      <c r="G32" s="69">
        <f>SUMIF(Desdobramentos!$5:$5,$D$5,Desdobramentos!$42:$42)</f>
        <v>0</v>
      </c>
      <c r="H32" s="70">
        <f>SUMIF(Desdobramentos!$5:$5,$D$5,Desdobramentos!$43:$43)</f>
        <v>0</v>
      </c>
      <c r="I32" s="71" t="str">
        <f t="shared" si="12"/>
        <v/>
      </c>
      <c r="J32" s="69">
        <f>SUMIF(Desdobramentos!$5:$5,"&lt;="&amp;$D$5,Desdobramentos!$42:$42)</f>
        <v>0</v>
      </c>
      <c r="K32" s="72">
        <f>SUMIF(Desdobramentos!$5:$5,"&lt;="&amp;$D$5,Desdobramentos!$43:$43)</f>
        <v>0</v>
      </c>
      <c r="L32" s="71" t="str">
        <f t="shared" si="13"/>
        <v/>
      </c>
      <c r="M32" s="59"/>
      <c r="N32" s="71">
        <v>0.0</v>
      </c>
      <c r="O32" s="7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9.25" customHeight="1">
      <c r="A33" s="3"/>
      <c r="B33" s="15"/>
      <c r="C33" s="69">
        <v>4.0</v>
      </c>
      <c r="D33" s="69" t="str">
        <f>IF('Objetivos Estratégicos '!E28="","",'Objetivos Estratégicos '!E28)</f>
        <v/>
      </c>
      <c r="E33" s="69"/>
      <c r="F33" s="69"/>
      <c r="G33" s="69">
        <f>SUMIF(Desdobramentos!$5:$5,$D$5,Desdobramentos!$44:$44)</f>
        <v>0</v>
      </c>
      <c r="H33" s="70">
        <f>SUMIF(Desdobramentos!$5:$5,$D$5,Desdobramentos!$45:$45)</f>
        <v>0</v>
      </c>
      <c r="I33" s="71" t="str">
        <f t="shared" si="12"/>
        <v/>
      </c>
      <c r="J33" s="69">
        <f>SUMIF(Desdobramentos!$5:$5,"&lt;="&amp;$D$5,Desdobramentos!$44:$44)</f>
        <v>0</v>
      </c>
      <c r="K33" s="72">
        <f>SUMIF(Desdobramentos!$5:$5,"&lt;="&amp;$D$5,Desdobramentos!$45:$45)</f>
        <v>0</v>
      </c>
      <c r="L33" s="71" t="str">
        <f t="shared" si="13"/>
        <v/>
      </c>
      <c r="M33" s="59"/>
      <c r="N33" s="71">
        <v>0.1</v>
      </c>
      <c r="O33" s="7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9.25" customHeight="1">
      <c r="A34" s="3"/>
      <c r="B34" s="16"/>
      <c r="C34" s="69">
        <v>5.0</v>
      </c>
      <c r="D34" s="69" t="str">
        <f>IF('Objetivos Estratégicos '!E29="","",'Objetivos Estratégicos '!E29)</f>
        <v/>
      </c>
      <c r="E34" s="69"/>
      <c r="F34" s="69"/>
      <c r="G34" s="69">
        <f>SUMIF(Desdobramentos!$5:$5,$D$5,Desdobramentos!$46:$46)</f>
        <v>0</v>
      </c>
      <c r="H34" s="70">
        <f>SUMIF(Desdobramentos!$5:$5,$D$5,Desdobramentos!$47:$47)</f>
        <v>0</v>
      </c>
      <c r="I34" s="71" t="str">
        <f t="shared" si="12"/>
        <v/>
      </c>
      <c r="J34" s="69">
        <f>SUMIF(Desdobramentos!$5:$5,"&lt;="&amp;$D$5,Desdobramentos!$46:$46)</f>
        <v>0</v>
      </c>
      <c r="K34" s="72">
        <f>SUMIF(Desdobramentos!$5:$5,"&lt;="&amp;$D$5,Desdobramentos!$47:$47)</f>
        <v>0</v>
      </c>
      <c r="L34" s="71" t="str">
        <f t="shared" si="13"/>
        <v/>
      </c>
      <c r="M34" s="59"/>
      <c r="N34" s="71">
        <v>0.1</v>
      </c>
      <c r="O34" s="7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3"/>
      <c r="B35" s="1"/>
      <c r="C35" s="11"/>
      <c r="D35" s="11"/>
      <c r="E35" s="11"/>
      <c r="F35" s="11"/>
      <c r="G35" s="11"/>
      <c r="H35" s="53"/>
      <c r="I35" s="11"/>
      <c r="J35" s="11"/>
      <c r="K35" s="11"/>
      <c r="L35" s="11"/>
      <c r="M35" s="1"/>
      <c r="N35" s="68">
        <f t="shared" ref="N35:O35" si="14">SUM(N30:N34)</f>
        <v>1</v>
      </c>
      <c r="O35" s="68">
        <f t="shared" si="14"/>
        <v>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3"/>
      <c r="B36" s="1"/>
      <c r="C36" s="11"/>
      <c r="D36" s="11"/>
      <c r="E36" s="11"/>
      <c r="F36" s="11"/>
      <c r="G36" s="11"/>
      <c r="H36" s="53"/>
      <c r="I36" s="11"/>
      <c r="J36" s="11"/>
      <c r="K36" s="11"/>
      <c r="L36" s="11"/>
      <c r="M36" s="1"/>
      <c r="N36" s="54"/>
      <c r="O36" s="54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3"/>
      <c r="B37" s="1"/>
      <c r="C37" s="11"/>
      <c r="D37" s="11"/>
      <c r="E37" s="11"/>
      <c r="F37" s="11"/>
      <c r="G37" s="11"/>
      <c r="H37" s="53"/>
      <c r="I37" s="11"/>
      <c r="J37" s="11"/>
      <c r="K37" s="11"/>
      <c r="L37" s="11"/>
      <c r="M37" s="1"/>
      <c r="N37" s="54"/>
      <c r="O37" s="5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3"/>
      <c r="B38" s="1"/>
      <c r="C38" s="11"/>
      <c r="D38" s="11"/>
      <c r="E38" s="11"/>
      <c r="F38" s="11"/>
      <c r="G38" s="11"/>
      <c r="H38" s="53"/>
      <c r="I38" s="11"/>
      <c r="J38" s="11"/>
      <c r="K38" s="11"/>
      <c r="L38" s="11"/>
      <c r="M38" s="1"/>
      <c r="N38" s="54"/>
      <c r="O38" s="54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3"/>
      <c r="B39" s="1"/>
      <c r="C39" s="11"/>
      <c r="D39" s="11"/>
      <c r="E39" s="11"/>
      <c r="F39" s="11"/>
      <c r="G39" s="11"/>
      <c r="H39" s="53"/>
      <c r="I39" s="11"/>
      <c r="J39" s="11"/>
      <c r="K39" s="11"/>
      <c r="L39" s="11"/>
      <c r="M39" s="1"/>
      <c r="N39" s="54"/>
      <c r="O39" s="54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3"/>
      <c r="B40" s="1"/>
      <c r="C40" s="11"/>
      <c r="D40" s="11"/>
      <c r="E40" s="11"/>
      <c r="F40" s="11"/>
      <c r="G40" s="11"/>
      <c r="H40" s="53"/>
      <c r="I40" s="11"/>
      <c r="J40" s="11"/>
      <c r="K40" s="11"/>
      <c r="L40" s="11"/>
      <c r="M40" s="1"/>
      <c r="N40" s="54"/>
      <c r="O40" s="54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3"/>
      <c r="B41" s="1"/>
      <c r="C41" s="11"/>
      <c r="D41" s="11"/>
      <c r="E41" s="11"/>
      <c r="F41" s="11"/>
      <c r="G41" s="11"/>
      <c r="H41" s="53"/>
      <c r="I41" s="11"/>
      <c r="J41" s="11"/>
      <c r="K41" s="11"/>
      <c r="L41" s="11"/>
      <c r="M41" s="1"/>
      <c r="N41" s="54"/>
      <c r="O41" s="54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3"/>
      <c r="B42" s="1"/>
      <c r="C42" s="11"/>
      <c r="D42" s="11"/>
      <c r="E42" s="11"/>
      <c r="F42" s="11"/>
      <c r="G42" s="11"/>
      <c r="H42" s="53"/>
      <c r="I42" s="11"/>
      <c r="J42" s="11"/>
      <c r="K42" s="11"/>
      <c r="L42" s="11"/>
      <c r="M42" s="1"/>
      <c r="N42" s="54"/>
      <c r="O42" s="5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3"/>
      <c r="B43" s="1"/>
      <c r="C43" s="11"/>
      <c r="D43" s="11"/>
      <c r="E43" s="11"/>
      <c r="F43" s="11"/>
      <c r="G43" s="11"/>
      <c r="H43" s="53"/>
      <c r="I43" s="11"/>
      <c r="J43" s="11"/>
      <c r="K43" s="11"/>
      <c r="L43" s="11"/>
      <c r="M43" s="1"/>
      <c r="N43" s="54"/>
      <c r="O43" s="5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3"/>
      <c r="B44" s="1"/>
      <c r="C44" s="11"/>
      <c r="D44" s="11"/>
      <c r="E44" s="11"/>
      <c r="F44" s="11"/>
      <c r="G44" s="11"/>
      <c r="H44" s="53"/>
      <c r="I44" s="11"/>
      <c r="J44" s="11"/>
      <c r="K44" s="11"/>
      <c r="L44" s="11"/>
      <c r="M44" s="1"/>
      <c r="N44" s="54"/>
      <c r="O44" s="54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3"/>
      <c r="B45" s="1"/>
      <c r="C45" s="11"/>
      <c r="D45" s="11"/>
      <c r="E45" s="11"/>
      <c r="F45" s="11"/>
      <c r="G45" s="11"/>
      <c r="H45" s="53"/>
      <c r="I45" s="11"/>
      <c r="J45" s="11"/>
      <c r="K45" s="11"/>
      <c r="L45" s="11"/>
      <c r="M45" s="1"/>
      <c r="N45" s="54"/>
      <c r="O45" s="54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3"/>
      <c r="B46" s="1"/>
      <c r="C46" s="11"/>
      <c r="D46" s="11"/>
      <c r="E46" s="11"/>
      <c r="F46" s="11"/>
      <c r="G46" s="11"/>
      <c r="H46" s="53"/>
      <c r="I46" s="11"/>
      <c r="J46" s="11"/>
      <c r="K46" s="11"/>
      <c r="L46" s="11"/>
      <c r="M46" s="1"/>
      <c r="N46" s="54"/>
      <c r="O46" s="54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3"/>
      <c r="B47" s="1"/>
      <c r="C47" s="11"/>
      <c r="D47" s="11"/>
      <c r="E47" s="11"/>
      <c r="F47" s="11"/>
      <c r="G47" s="11"/>
      <c r="H47" s="53"/>
      <c r="I47" s="11"/>
      <c r="J47" s="11"/>
      <c r="K47" s="11"/>
      <c r="L47" s="11"/>
      <c r="M47" s="1"/>
      <c r="N47" s="54"/>
      <c r="O47" s="5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3"/>
      <c r="B48" s="1"/>
      <c r="C48" s="11"/>
      <c r="D48" s="11"/>
      <c r="E48" s="11"/>
      <c r="F48" s="11"/>
      <c r="G48" s="11"/>
      <c r="H48" s="53"/>
      <c r="I48" s="11"/>
      <c r="J48" s="11"/>
      <c r="K48" s="11"/>
      <c r="L48" s="11"/>
      <c r="M48" s="1"/>
      <c r="N48" s="54"/>
      <c r="O48" s="54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3"/>
      <c r="B49" s="1"/>
      <c r="C49" s="11"/>
      <c r="D49" s="11"/>
      <c r="E49" s="11"/>
      <c r="F49" s="11"/>
      <c r="G49" s="11"/>
      <c r="H49" s="53"/>
      <c r="I49" s="11"/>
      <c r="J49" s="11"/>
      <c r="K49" s="11"/>
      <c r="L49" s="11"/>
      <c r="M49" s="1"/>
      <c r="N49" s="54"/>
      <c r="O49" s="54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3"/>
      <c r="B50" s="1"/>
      <c r="C50" s="11"/>
      <c r="D50" s="11"/>
      <c r="E50" s="11"/>
      <c r="F50" s="11"/>
      <c r="G50" s="11"/>
      <c r="H50" s="53"/>
      <c r="I50" s="11"/>
      <c r="J50" s="11"/>
      <c r="K50" s="11"/>
      <c r="L50" s="11"/>
      <c r="M50" s="1"/>
      <c r="N50" s="54"/>
      <c r="O50" s="54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3"/>
      <c r="B51" s="1"/>
      <c r="C51" s="11"/>
      <c r="D51" s="11"/>
      <c r="E51" s="11"/>
      <c r="F51" s="11"/>
      <c r="G51" s="11"/>
      <c r="H51" s="53"/>
      <c r="I51" s="11"/>
      <c r="J51" s="11"/>
      <c r="K51" s="11"/>
      <c r="L51" s="11"/>
      <c r="M51" s="1"/>
      <c r="N51" s="54"/>
      <c r="O51" s="54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3"/>
      <c r="B52" s="1"/>
      <c r="C52" s="11"/>
      <c r="D52" s="11"/>
      <c r="E52" s="11"/>
      <c r="F52" s="11"/>
      <c r="G52" s="11"/>
      <c r="H52" s="53"/>
      <c r="I52" s="11"/>
      <c r="J52" s="11"/>
      <c r="K52" s="11"/>
      <c r="L52" s="11"/>
      <c r="M52" s="1"/>
      <c r="N52" s="54"/>
      <c r="O52" s="54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3"/>
      <c r="B53" s="1"/>
      <c r="C53" s="11"/>
      <c r="D53" s="11"/>
      <c r="E53" s="11"/>
      <c r="F53" s="11"/>
      <c r="G53" s="11"/>
      <c r="H53" s="53"/>
      <c r="I53" s="11"/>
      <c r="J53" s="11"/>
      <c r="K53" s="11"/>
      <c r="L53" s="11"/>
      <c r="M53" s="1"/>
      <c r="N53" s="54"/>
      <c r="O53" s="54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3"/>
      <c r="B54" s="1"/>
      <c r="C54" s="11"/>
      <c r="D54" s="11"/>
      <c r="E54" s="11"/>
      <c r="F54" s="11"/>
      <c r="G54" s="11"/>
      <c r="H54" s="53"/>
      <c r="I54" s="11"/>
      <c r="J54" s="11"/>
      <c r="K54" s="11"/>
      <c r="L54" s="11"/>
      <c r="M54" s="1"/>
      <c r="N54" s="54"/>
      <c r="O54" s="54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3"/>
      <c r="B55" s="1"/>
      <c r="C55" s="11"/>
      <c r="D55" s="11"/>
      <c r="E55" s="11"/>
      <c r="F55" s="11"/>
      <c r="G55" s="11"/>
      <c r="H55" s="53"/>
      <c r="I55" s="11"/>
      <c r="J55" s="11"/>
      <c r="K55" s="11"/>
      <c r="L55" s="11"/>
      <c r="M55" s="1"/>
      <c r="N55" s="54"/>
      <c r="O55" s="54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3"/>
      <c r="B56" s="1"/>
      <c r="C56" s="11"/>
      <c r="D56" s="11"/>
      <c r="E56" s="11"/>
      <c r="F56" s="11"/>
      <c r="G56" s="11"/>
      <c r="H56" s="53"/>
      <c r="I56" s="11"/>
      <c r="J56" s="11"/>
      <c r="K56" s="11"/>
      <c r="L56" s="11"/>
      <c r="M56" s="1"/>
      <c r="N56" s="54"/>
      <c r="O56" s="54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3"/>
      <c r="B57" s="1"/>
      <c r="C57" s="11"/>
      <c r="D57" s="11"/>
      <c r="E57" s="11"/>
      <c r="F57" s="11"/>
      <c r="G57" s="11"/>
      <c r="H57" s="53"/>
      <c r="I57" s="11"/>
      <c r="J57" s="11"/>
      <c r="K57" s="11"/>
      <c r="L57" s="11"/>
      <c r="M57" s="1"/>
      <c r="N57" s="54"/>
      <c r="O57" s="54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3"/>
      <c r="B58" s="1"/>
      <c r="C58" s="11"/>
      <c r="D58" s="11"/>
      <c r="E58" s="11"/>
      <c r="F58" s="11"/>
      <c r="G58" s="11"/>
      <c r="H58" s="53"/>
      <c r="I58" s="11"/>
      <c r="J58" s="11"/>
      <c r="K58" s="11"/>
      <c r="L58" s="11"/>
      <c r="M58" s="1"/>
      <c r="N58" s="54"/>
      <c r="O58" s="54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3"/>
      <c r="B59" s="1"/>
      <c r="C59" s="11"/>
      <c r="D59" s="11"/>
      <c r="E59" s="11"/>
      <c r="F59" s="11"/>
      <c r="G59" s="11"/>
      <c r="H59" s="53"/>
      <c r="I59" s="11"/>
      <c r="J59" s="11"/>
      <c r="K59" s="11"/>
      <c r="L59" s="11"/>
      <c r="M59" s="1"/>
      <c r="N59" s="54"/>
      <c r="O59" s="54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3"/>
      <c r="B60" s="1"/>
      <c r="C60" s="11"/>
      <c r="D60" s="11"/>
      <c r="E60" s="11"/>
      <c r="F60" s="11"/>
      <c r="G60" s="11"/>
      <c r="H60" s="53"/>
      <c r="I60" s="11"/>
      <c r="J60" s="11"/>
      <c r="K60" s="11"/>
      <c r="L60" s="11"/>
      <c r="M60" s="1"/>
      <c r="N60" s="54"/>
      <c r="O60" s="54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3"/>
      <c r="B61" s="1"/>
      <c r="C61" s="11"/>
      <c r="D61" s="11"/>
      <c r="E61" s="11"/>
      <c r="F61" s="11"/>
      <c r="G61" s="11"/>
      <c r="H61" s="53"/>
      <c r="I61" s="11"/>
      <c r="J61" s="11"/>
      <c r="K61" s="11"/>
      <c r="L61" s="11"/>
      <c r="M61" s="1"/>
      <c r="N61" s="54"/>
      <c r="O61" s="54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3"/>
      <c r="B62" s="1"/>
      <c r="C62" s="11"/>
      <c r="D62" s="11"/>
      <c r="E62" s="11"/>
      <c r="F62" s="11"/>
      <c r="G62" s="11"/>
      <c r="H62" s="53"/>
      <c r="I62" s="11"/>
      <c r="J62" s="11"/>
      <c r="K62" s="11"/>
      <c r="L62" s="11"/>
      <c r="M62" s="1"/>
      <c r="N62" s="54"/>
      <c r="O62" s="54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3"/>
      <c r="B63" s="1"/>
      <c r="C63" s="11"/>
      <c r="D63" s="11"/>
      <c r="E63" s="11"/>
      <c r="F63" s="11"/>
      <c r="G63" s="11"/>
      <c r="H63" s="53"/>
      <c r="I63" s="11"/>
      <c r="J63" s="11"/>
      <c r="K63" s="11"/>
      <c r="L63" s="11"/>
      <c r="M63" s="1"/>
      <c r="N63" s="54"/>
      <c r="O63" s="54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3"/>
      <c r="B64" s="1"/>
      <c r="C64" s="11"/>
      <c r="D64" s="11"/>
      <c r="E64" s="11"/>
      <c r="F64" s="11"/>
      <c r="G64" s="11"/>
      <c r="H64" s="53"/>
      <c r="I64" s="11"/>
      <c r="J64" s="11"/>
      <c r="K64" s="11"/>
      <c r="L64" s="11"/>
      <c r="M64" s="1"/>
      <c r="N64" s="54"/>
      <c r="O64" s="54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3"/>
      <c r="B65" s="1"/>
      <c r="C65" s="11"/>
      <c r="D65" s="11"/>
      <c r="E65" s="11"/>
      <c r="F65" s="11"/>
      <c r="G65" s="11"/>
      <c r="H65" s="53"/>
      <c r="I65" s="11"/>
      <c r="J65" s="11"/>
      <c r="K65" s="11"/>
      <c r="L65" s="11"/>
      <c r="M65" s="1"/>
      <c r="N65" s="54"/>
      <c r="O65" s="54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3"/>
      <c r="B66" s="1"/>
      <c r="C66" s="11"/>
      <c r="D66" s="11"/>
      <c r="E66" s="11"/>
      <c r="F66" s="11"/>
      <c r="G66" s="11"/>
      <c r="H66" s="53"/>
      <c r="I66" s="11"/>
      <c r="J66" s="11"/>
      <c r="K66" s="11"/>
      <c r="L66" s="11"/>
      <c r="M66" s="1"/>
      <c r="N66" s="54"/>
      <c r="O66" s="54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3"/>
      <c r="B67" s="1"/>
      <c r="C67" s="11"/>
      <c r="D67" s="11"/>
      <c r="E67" s="11"/>
      <c r="F67" s="11"/>
      <c r="G67" s="11"/>
      <c r="H67" s="53"/>
      <c r="I67" s="11"/>
      <c r="J67" s="11"/>
      <c r="K67" s="11"/>
      <c r="L67" s="11"/>
      <c r="M67" s="1"/>
      <c r="N67" s="54"/>
      <c r="O67" s="54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3"/>
      <c r="B68" s="1"/>
      <c r="C68" s="11"/>
      <c r="D68" s="11"/>
      <c r="E68" s="11"/>
      <c r="F68" s="11"/>
      <c r="G68" s="11"/>
      <c r="H68" s="53"/>
      <c r="I68" s="11"/>
      <c r="J68" s="11"/>
      <c r="K68" s="11"/>
      <c r="L68" s="11"/>
      <c r="M68" s="1"/>
      <c r="N68" s="54"/>
      <c r="O68" s="54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3"/>
      <c r="B69" s="1"/>
      <c r="C69" s="11"/>
      <c r="D69" s="11"/>
      <c r="E69" s="11"/>
      <c r="F69" s="11"/>
      <c r="G69" s="11"/>
      <c r="H69" s="53"/>
      <c r="I69" s="11"/>
      <c r="J69" s="11"/>
      <c r="K69" s="11"/>
      <c r="L69" s="11"/>
      <c r="M69" s="1"/>
      <c r="N69" s="54"/>
      <c r="O69" s="54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3"/>
      <c r="B70" s="1"/>
      <c r="C70" s="11"/>
      <c r="D70" s="11"/>
      <c r="E70" s="11"/>
      <c r="F70" s="11"/>
      <c r="G70" s="11"/>
      <c r="H70" s="53"/>
      <c r="I70" s="11"/>
      <c r="J70" s="11"/>
      <c r="K70" s="11"/>
      <c r="L70" s="11"/>
      <c r="M70" s="1"/>
      <c r="N70" s="54"/>
      <c r="O70" s="54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3"/>
      <c r="B71" s="1"/>
      <c r="C71" s="11"/>
      <c r="D71" s="11"/>
      <c r="E71" s="11"/>
      <c r="F71" s="11"/>
      <c r="G71" s="11"/>
      <c r="H71" s="53"/>
      <c r="I71" s="11"/>
      <c r="J71" s="11"/>
      <c r="K71" s="11"/>
      <c r="L71" s="11"/>
      <c r="M71" s="1"/>
      <c r="N71" s="54"/>
      <c r="O71" s="54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3"/>
      <c r="B72" s="1"/>
      <c r="C72" s="11"/>
      <c r="D72" s="11"/>
      <c r="E72" s="11"/>
      <c r="F72" s="11"/>
      <c r="G72" s="11"/>
      <c r="H72" s="53"/>
      <c r="I72" s="11"/>
      <c r="J72" s="11"/>
      <c r="K72" s="11"/>
      <c r="L72" s="11"/>
      <c r="M72" s="1"/>
      <c r="N72" s="54"/>
      <c r="O72" s="54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3"/>
      <c r="B73" s="1"/>
      <c r="C73" s="11"/>
      <c r="D73" s="11"/>
      <c r="E73" s="11"/>
      <c r="F73" s="11"/>
      <c r="G73" s="11"/>
      <c r="H73" s="53"/>
      <c r="I73" s="11"/>
      <c r="J73" s="11"/>
      <c r="K73" s="11"/>
      <c r="L73" s="11"/>
      <c r="M73" s="1"/>
      <c r="N73" s="54"/>
      <c r="O73" s="54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3"/>
      <c r="B74" s="1"/>
      <c r="C74" s="11"/>
      <c r="D74" s="11"/>
      <c r="E74" s="11"/>
      <c r="F74" s="11"/>
      <c r="G74" s="11"/>
      <c r="H74" s="53"/>
      <c r="I74" s="11"/>
      <c r="J74" s="11"/>
      <c r="K74" s="11"/>
      <c r="L74" s="11"/>
      <c r="M74" s="1"/>
      <c r="N74" s="54"/>
      <c r="O74" s="54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3"/>
      <c r="B75" s="1"/>
      <c r="C75" s="11"/>
      <c r="D75" s="11"/>
      <c r="E75" s="11"/>
      <c r="F75" s="11"/>
      <c r="G75" s="11"/>
      <c r="H75" s="53"/>
      <c r="I75" s="11"/>
      <c r="J75" s="11"/>
      <c r="K75" s="11"/>
      <c r="L75" s="11"/>
      <c r="M75" s="1"/>
      <c r="N75" s="54"/>
      <c r="O75" s="54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3"/>
      <c r="B76" s="1"/>
      <c r="C76" s="11"/>
      <c r="D76" s="11"/>
      <c r="E76" s="11"/>
      <c r="F76" s="11"/>
      <c r="G76" s="11"/>
      <c r="H76" s="53"/>
      <c r="I76" s="11"/>
      <c r="J76" s="11"/>
      <c r="K76" s="11"/>
      <c r="L76" s="11"/>
      <c r="M76" s="1"/>
      <c r="N76" s="54"/>
      <c r="O76" s="54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3"/>
      <c r="B77" s="1"/>
      <c r="C77" s="11"/>
      <c r="D77" s="11"/>
      <c r="E77" s="11"/>
      <c r="F77" s="11"/>
      <c r="G77" s="11"/>
      <c r="H77" s="53"/>
      <c r="I77" s="11"/>
      <c r="J77" s="11"/>
      <c r="K77" s="11"/>
      <c r="L77" s="11"/>
      <c r="M77" s="1"/>
      <c r="N77" s="54"/>
      <c r="O77" s="54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3"/>
      <c r="B78" s="1"/>
      <c r="C78" s="11"/>
      <c r="D78" s="11"/>
      <c r="E78" s="11"/>
      <c r="F78" s="11"/>
      <c r="G78" s="11"/>
      <c r="H78" s="53"/>
      <c r="I78" s="11"/>
      <c r="J78" s="11"/>
      <c r="K78" s="11"/>
      <c r="L78" s="11"/>
      <c r="M78" s="1"/>
      <c r="N78" s="54"/>
      <c r="O78" s="54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3"/>
      <c r="B79" s="1"/>
      <c r="C79" s="11"/>
      <c r="D79" s="11"/>
      <c r="E79" s="11"/>
      <c r="F79" s="11"/>
      <c r="G79" s="11"/>
      <c r="H79" s="53"/>
      <c r="I79" s="11"/>
      <c r="J79" s="11"/>
      <c r="K79" s="11"/>
      <c r="L79" s="11"/>
      <c r="M79" s="1"/>
      <c r="N79" s="54"/>
      <c r="O79" s="54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3"/>
      <c r="B80" s="1"/>
      <c r="C80" s="11"/>
      <c r="D80" s="11"/>
      <c r="E80" s="11"/>
      <c r="F80" s="11"/>
      <c r="G80" s="11"/>
      <c r="H80" s="53"/>
      <c r="I80" s="11"/>
      <c r="J80" s="11"/>
      <c r="K80" s="11"/>
      <c r="L80" s="11"/>
      <c r="M80" s="1"/>
      <c r="N80" s="54"/>
      <c r="O80" s="54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3"/>
      <c r="B81" s="1"/>
      <c r="C81" s="11"/>
      <c r="D81" s="11"/>
      <c r="E81" s="11"/>
      <c r="F81" s="11"/>
      <c r="G81" s="11"/>
      <c r="H81" s="53"/>
      <c r="I81" s="11"/>
      <c r="J81" s="11"/>
      <c r="K81" s="11"/>
      <c r="L81" s="11"/>
      <c r="M81" s="1"/>
      <c r="N81" s="54"/>
      <c r="O81" s="54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3"/>
      <c r="B82" s="1"/>
      <c r="C82" s="11"/>
      <c r="D82" s="11"/>
      <c r="E82" s="11"/>
      <c r="F82" s="11"/>
      <c r="G82" s="11"/>
      <c r="H82" s="53"/>
      <c r="I82" s="11"/>
      <c r="J82" s="11"/>
      <c r="K82" s="11"/>
      <c r="L82" s="11"/>
      <c r="M82" s="1"/>
      <c r="N82" s="54"/>
      <c r="O82" s="54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3"/>
      <c r="B83" s="1"/>
      <c r="C83" s="11"/>
      <c r="D83" s="11"/>
      <c r="E83" s="11"/>
      <c r="F83" s="11"/>
      <c r="G83" s="11"/>
      <c r="H83" s="53"/>
      <c r="I83" s="11"/>
      <c r="J83" s="11"/>
      <c r="K83" s="11"/>
      <c r="L83" s="11"/>
      <c r="M83" s="1"/>
      <c r="N83" s="54"/>
      <c r="O83" s="54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3"/>
      <c r="B84" s="1"/>
      <c r="C84" s="11"/>
      <c r="D84" s="11"/>
      <c r="E84" s="11"/>
      <c r="F84" s="11"/>
      <c r="G84" s="11"/>
      <c r="H84" s="53"/>
      <c r="I84" s="11"/>
      <c r="J84" s="11"/>
      <c r="K84" s="11"/>
      <c r="L84" s="11"/>
      <c r="M84" s="1"/>
      <c r="N84" s="54"/>
      <c r="O84" s="54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3"/>
      <c r="B85" s="1"/>
      <c r="C85" s="11"/>
      <c r="D85" s="11"/>
      <c r="E85" s="11"/>
      <c r="F85" s="11"/>
      <c r="G85" s="11"/>
      <c r="H85" s="53"/>
      <c r="I85" s="11"/>
      <c r="J85" s="11"/>
      <c r="K85" s="11"/>
      <c r="L85" s="11"/>
      <c r="M85" s="1"/>
      <c r="N85" s="54"/>
      <c r="O85" s="54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3"/>
      <c r="B86" s="1"/>
      <c r="C86" s="11"/>
      <c r="D86" s="11"/>
      <c r="E86" s="11"/>
      <c r="F86" s="11"/>
      <c r="G86" s="11"/>
      <c r="H86" s="53"/>
      <c r="I86" s="11"/>
      <c r="J86" s="11"/>
      <c r="K86" s="11"/>
      <c r="L86" s="11"/>
      <c r="M86" s="1"/>
      <c r="N86" s="54"/>
      <c r="O86" s="54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3"/>
      <c r="B87" s="1"/>
      <c r="C87" s="11"/>
      <c r="D87" s="11"/>
      <c r="E87" s="11"/>
      <c r="F87" s="11"/>
      <c r="G87" s="11"/>
      <c r="H87" s="53"/>
      <c r="I87" s="11"/>
      <c r="J87" s="11"/>
      <c r="K87" s="11"/>
      <c r="L87" s="11"/>
      <c r="M87" s="1"/>
      <c r="N87" s="54"/>
      <c r="O87" s="54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3"/>
      <c r="B88" s="1"/>
      <c r="C88" s="11"/>
      <c r="D88" s="11"/>
      <c r="E88" s="11"/>
      <c r="F88" s="11"/>
      <c r="G88" s="11"/>
      <c r="H88" s="53"/>
      <c r="I88" s="11"/>
      <c r="J88" s="11"/>
      <c r="K88" s="11"/>
      <c r="L88" s="11"/>
      <c r="M88" s="1"/>
      <c r="N88" s="54"/>
      <c r="O88" s="54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3"/>
      <c r="B89" s="1"/>
      <c r="C89" s="11"/>
      <c r="D89" s="11"/>
      <c r="E89" s="11"/>
      <c r="F89" s="11"/>
      <c r="G89" s="11"/>
      <c r="H89" s="53"/>
      <c r="I89" s="11"/>
      <c r="J89" s="11"/>
      <c r="K89" s="11"/>
      <c r="L89" s="11"/>
      <c r="M89" s="1"/>
      <c r="N89" s="54"/>
      <c r="O89" s="54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3"/>
      <c r="B90" s="1"/>
      <c r="C90" s="11"/>
      <c r="D90" s="11"/>
      <c r="E90" s="11"/>
      <c r="F90" s="11"/>
      <c r="G90" s="11"/>
      <c r="H90" s="53"/>
      <c r="I90" s="11"/>
      <c r="J90" s="11"/>
      <c r="K90" s="11"/>
      <c r="L90" s="11"/>
      <c r="M90" s="1"/>
      <c r="N90" s="54"/>
      <c r="O90" s="54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3"/>
      <c r="B91" s="1"/>
      <c r="C91" s="11"/>
      <c r="D91" s="11"/>
      <c r="E91" s="11"/>
      <c r="F91" s="11"/>
      <c r="G91" s="11"/>
      <c r="H91" s="53"/>
      <c r="I91" s="11"/>
      <c r="J91" s="11"/>
      <c r="K91" s="11"/>
      <c r="L91" s="11"/>
      <c r="M91" s="1"/>
      <c r="N91" s="54"/>
      <c r="O91" s="54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3"/>
      <c r="B92" s="1"/>
      <c r="C92" s="11"/>
      <c r="D92" s="11"/>
      <c r="E92" s="11"/>
      <c r="F92" s="11"/>
      <c r="G92" s="11"/>
      <c r="H92" s="53"/>
      <c r="I92" s="11"/>
      <c r="J92" s="11"/>
      <c r="K92" s="11"/>
      <c r="L92" s="11"/>
      <c r="M92" s="1"/>
      <c r="N92" s="54"/>
      <c r="O92" s="54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3"/>
      <c r="B93" s="1"/>
      <c r="C93" s="11"/>
      <c r="D93" s="11"/>
      <c r="E93" s="11"/>
      <c r="F93" s="11"/>
      <c r="G93" s="11"/>
      <c r="H93" s="53"/>
      <c r="I93" s="11"/>
      <c r="J93" s="11"/>
      <c r="K93" s="11"/>
      <c r="L93" s="11"/>
      <c r="M93" s="1"/>
      <c r="N93" s="54"/>
      <c r="O93" s="54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3"/>
      <c r="B94" s="1"/>
      <c r="C94" s="11"/>
      <c r="D94" s="11"/>
      <c r="E94" s="11"/>
      <c r="F94" s="11"/>
      <c r="G94" s="11"/>
      <c r="H94" s="53"/>
      <c r="I94" s="11"/>
      <c r="J94" s="11"/>
      <c r="K94" s="11"/>
      <c r="L94" s="11"/>
      <c r="M94" s="1"/>
      <c r="N94" s="54"/>
      <c r="O94" s="54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3"/>
      <c r="B95" s="1"/>
      <c r="C95" s="11"/>
      <c r="D95" s="11"/>
      <c r="E95" s="11"/>
      <c r="F95" s="11"/>
      <c r="G95" s="11"/>
      <c r="H95" s="53"/>
      <c r="I95" s="11"/>
      <c r="J95" s="11"/>
      <c r="K95" s="11"/>
      <c r="L95" s="11"/>
      <c r="M95" s="1"/>
      <c r="N95" s="54"/>
      <c r="O95" s="54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3"/>
      <c r="B96" s="1"/>
      <c r="C96" s="11"/>
      <c r="D96" s="11"/>
      <c r="E96" s="11"/>
      <c r="F96" s="11"/>
      <c r="G96" s="11"/>
      <c r="H96" s="53"/>
      <c r="I96" s="11"/>
      <c r="J96" s="11"/>
      <c r="K96" s="11"/>
      <c r="L96" s="11"/>
      <c r="M96" s="1"/>
      <c r="N96" s="54"/>
      <c r="O96" s="54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3"/>
      <c r="B97" s="1"/>
      <c r="C97" s="11"/>
      <c r="D97" s="11"/>
      <c r="E97" s="11"/>
      <c r="F97" s="11"/>
      <c r="G97" s="11"/>
      <c r="H97" s="53"/>
      <c r="I97" s="11"/>
      <c r="J97" s="11"/>
      <c r="K97" s="11"/>
      <c r="L97" s="11"/>
      <c r="M97" s="1"/>
      <c r="N97" s="54"/>
      <c r="O97" s="54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3"/>
      <c r="B98" s="1"/>
      <c r="C98" s="11"/>
      <c r="D98" s="11"/>
      <c r="E98" s="11"/>
      <c r="F98" s="11"/>
      <c r="G98" s="11"/>
      <c r="H98" s="53"/>
      <c r="I98" s="11"/>
      <c r="J98" s="11"/>
      <c r="K98" s="11"/>
      <c r="L98" s="11"/>
      <c r="M98" s="1"/>
      <c r="N98" s="54"/>
      <c r="O98" s="54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3"/>
      <c r="B99" s="1"/>
      <c r="C99" s="11"/>
      <c r="D99" s="11"/>
      <c r="E99" s="11"/>
      <c r="F99" s="11"/>
      <c r="G99" s="11"/>
      <c r="H99" s="53"/>
      <c r="I99" s="11"/>
      <c r="J99" s="11"/>
      <c r="K99" s="11"/>
      <c r="L99" s="11"/>
      <c r="M99" s="1"/>
      <c r="N99" s="54"/>
      <c r="O99" s="54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3"/>
      <c r="B100" s="1"/>
      <c r="C100" s="11"/>
      <c r="D100" s="11"/>
      <c r="E100" s="11"/>
      <c r="F100" s="11"/>
      <c r="G100" s="11"/>
      <c r="H100" s="53"/>
      <c r="I100" s="11"/>
      <c r="J100" s="11"/>
      <c r="K100" s="11"/>
      <c r="L100" s="11"/>
      <c r="M100" s="1"/>
      <c r="N100" s="54"/>
      <c r="O100" s="54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3"/>
      <c r="B101" s="1"/>
      <c r="C101" s="11"/>
      <c r="D101" s="11"/>
      <c r="E101" s="11"/>
      <c r="F101" s="11"/>
      <c r="G101" s="11"/>
      <c r="H101" s="53"/>
      <c r="I101" s="11"/>
      <c r="J101" s="11"/>
      <c r="K101" s="11"/>
      <c r="L101" s="11"/>
      <c r="M101" s="1"/>
      <c r="N101" s="54"/>
      <c r="O101" s="54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3"/>
      <c r="B102" s="1"/>
      <c r="C102" s="11"/>
      <c r="D102" s="11"/>
      <c r="E102" s="11"/>
      <c r="F102" s="11"/>
      <c r="G102" s="11"/>
      <c r="H102" s="53"/>
      <c r="I102" s="11"/>
      <c r="J102" s="11"/>
      <c r="K102" s="11"/>
      <c r="L102" s="11"/>
      <c r="M102" s="1"/>
      <c r="N102" s="54"/>
      <c r="O102" s="54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3"/>
      <c r="B103" s="1"/>
      <c r="C103" s="11"/>
      <c r="D103" s="11"/>
      <c r="E103" s="11"/>
      <c r="F103" s="11"/>
      <c r="G103" s="11"/>
      <c r="H103" s="53"/>
      <c r="I103" s="11"/>
      <c r="J103" s="11"/>
      <c r="K103" s="11"/>
      <c r="L103" s="11"/>
      <c r="M103" s="1"/>
      <c r="N103" s="54"/>
      <c r="O103" s="54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3"/>
      <c r="B104" s="1"/>
      <c r="C104" s="11"/>
      <c r="D104" s="11"/>
      <c r="E104" s="11"/>
      <c r="F104" s="11"/>
      <c r="G104" s="11"/>
      <c r="H104" s="53"/>
      <c r="I104" s="11"/>
      <c r="J104" s="11"/>
      <c r="K104" s="11"/>
      <c r="L104" s="11"/>
      <c r="M104" s="1"/>
      <c r="N104" s="54"/>
      <c r="O104" s="54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3"/>
      <c r="B105" s="1"/>
      <c r="C105" s="11"/>
      <c r="D105" s="11"/>
      <c r="E105" s="11"/>
      <c r="F105" s="11"/>
      <c r="G105" s="11"/>
      <c r="H105" s="53"/>
      <c r="I105" s="11"/>
      <c r="J105" s="11"/>
      <c r="K105" s="11"/>
      <c r="L105" s="11"/>
      <c r="M105" s="1"/>
      <c r="N105" s="54"/>
      <c r="O105" s="54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3"/>
      <c r="B106" s="1"/>
      <c r="C106" s="11"/>
      <c r="D106" s="11"/>
      <c r="E106" s="11"/>
      <c r="F106" s="11"/>
      <c r="G106" s="11"/>
      <c r="H106" s="53"/>
      <c r="I106" s="11"/>
      <c r="J106" s="11"/>
      <c r="K106" s="11"/>
      <c r="L106" s="11"/>
      <c r="M106" s="1"/>
      <c r="N106" s="54"/>
      <c r="O106" s="54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3"/>
      <c r="B107" s="1"/>
      <c r="C107" s="11"/>
      <c r="D107" s="11"/>
      <c r="E107" s="11"/>
      <c r="F107" s="11"/>
      <c r="G107" s="11"/>
      <c r="H107" s="53"/>
      <c r="I107" s="11"/>
      <c r="J107" s="11"/>
      <c r="K107" s="11"/>
      <c r="L107" s="11"/>
      <c r="M107" s="1"/>
      <c r="N107" s="54"/>
      <c r="O107" s="54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3"/>
      <c r="B108" s="1"/>
      <c r="C108" s="11"/>
      <c r="D108" s="11"/>
      <c r="E108" s="11"/>
      <c r="F108" s="11"/>
      <c r="G108" s="11"/>
      <c r="H108" s="53"/>
      <c r="I108" s="11"/>
      <c r="J108" s="11"/>
      <c r="K108" s="11"/>
      <c r="L108" s="11"/>
      <c r="M108" s="1"/>
      <c r="N108" s="54"/>
      <c r="O108" s="54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3"/>
      <c r="B109" s="1"/>
      <c r="C109" s="11"/>
      <c r="D109" s="11"/>
      <c r="E109" s="11"/>
      <c r="F109" s="11"/>
      <c r="G109" s="11"/>
      <c r="H109" s="53"/>
      <c r="I109" s="11"/>
      <c r="J109" s="11"/>
      <c r="K109" s="11"/>
      <c r="L109" s="11"/>
      <c r="M109" s="1"/>
      <c r="N109" s="54"/>
      <c r="O109" s="54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3"/>
      <c r="B110" s="1"/>
      <c r="C110" s="11"/>
      <c r="D110" s="11"/>
      <c r="E110" s="11"/>
      <c r="F110" s="11"/>
      <c r="G110" s="11"/>
      <c r="H110" s="53"/>
      <c r="I110" s="11"/>
      <c r="J110" s="11"/>
      <c r="K110" s="11"/>
      <c r="L110" s="11"/>
      <c r="M110" s="1"/>
      <c r="N110" s="54"/>
      <c r="O110" s="54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3"/>
      <c r="B111" s="1"/>
      <c r="C111" s="11"/>
      <c r="D111" s="11"/>
      <c r="E111" s="11"/>
      <c r="F111" s="11"/>
      <c r="G111" s="11"/>
      <c r="H111" s="53"/>
      <c r="I111" s="11"/>
      <c r="J111" s="11"/>
      <c r="K111" s="11"/>
      <c r="L111" s="11"/>
      <c r="M111" s="1"/>
      <c r="N111" s="54"/>
      <c r="O111" s="54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3"/>
      <c r="B112" s="1"/>
      <c r="C112" s="11"/>
      <c r="D112" s="11"/>
      <c r="E112" s="11"/>
      <c r="F112" s="11"/>
      <c r="G112" s="11"/>
      <c r="H112" s="53"/>
      <c r="I112" s="11"/>
      <c r="J112" s="11"/>
      <c r="K112" s="11"/>
      <c r="L112" s="11"/>
      <c r="M112" s="1"/>
      <c r="N112" s="54"/>
      <c r="O112" s="54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3"/>
      <c r="B113" s="1"/>
      <c r="C113" s="11"/>
      <c r="D113" s="11"/>
      <c r="E113" s="11"/>
      <c r="F113" s="11"/>
      <c r="G113" s="11"/>
      <c r="H113" s="53"/>
      <c r="I113" s="11"/>
      <c r="J113" s="11"/>
      <c r="K113" s="11"/>
      <c r="L113" s="11"/>
      <c r="M113" s="1"/>
      <c r="N113" s="54"/>
      <c r="O113" s="54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3"/>
      <c r="B114" s="1"/>
      <c r="C114" s="11"/>
      <c r="D114" s="11"/>
      <c r="E114" s="11"/>
      <c r="F114" s="11"/>
      <c r="G114" s="11"/>
      <c r="H114" s="53"/>
      <c r="I114" s="11"/>
      <c r="J114" s="11"/>
      <c r="K114" s="11"/>
      <c r="L114" s="11"/>
      <c r="M114" s="1"/>
      <c r="N114" s="54"/>
      <c r="O114" s="54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3"/>
      <c r="B115" s="1"/>
      <c r="C115" s="11"/>
      <c r="D115" s="11"/>
      <c r="E115" s="11"/>
      <c r="F115" s="11"/>
      <c r="G115" s="11"/>
      <c r="H115" s="53"/>
      <c r="I115" s="11"/>
      <c r="J115" s="11"/>
      <c r="K115" s="11"/>
      <c r="L115" s="11"/>
      <c r="M115" s="1"/>
      <c r="N115" s="54"/>
      <c r="O115" s="54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3"/>
      <c r="B116" s="1"/>
      <c r="C116" s="11"/>
      <c r="D116" s="11"/>
      <c r="E116" s="11"/>
      <c r="F116" s="11"/>
      <c r="G116" s="11"/>
      <c r="H116" s="53"/>
      <c r="I116" s="11"/>
      <c r="J116" s="11"/>
      <c r="K116" s="11"/>
      <c r="L116" s="11"/>
      <c r="M116" s="1"/>
      <c r="N116" s="54"/>
      <c r="O116" s="54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3"/>
      <c r="B117" s="1"/>
      <c r="C117" s="11"/>
      <c r="D117" s="11"/>
      <c r="E117" s="11"/>
      <c r="F117" s="11"/>
      <c r="G117" s="11"/>
      <c r="H117" s="53"/>
      <c r="I117" s="11"/>
      <c r="J117" s="11"/>
      <c r="K117" s="11"/>
      <c r="L117" s="11"/>
      <c r="M117" s="1"/>
      <c r="N117" s="54"/>
      <c r="O117" s="54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3"/>
      <c r="B118" s="1"/>
      <c r="C118" s="11"/>
      <c r="D118" s="11"/>
      <c r="E118" s="11"/>
      <c r="F118" s="11"/>
      <c r="G118" s="11"/>
      <c r="H118" s="53"/>
      <c r="I118" s="11"/>
      <c r="J118" s="11"/>
      <c r="K118" s="11"/>
      <c r="L118" s="11"/>
      <c r="M118" s="1"/>
      <c r="N118" s="54"/>
      <c r="O118" s="54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3"/>
      <c r="B119" s="1"/>
      <c r="C119" s="11"/>
      <c r="D119" s="11"/>
      <c r="E119" s="11"/>
      <c r="F119" s="11"/>
      <c r="G119" s="11"/>
      <c r="H119" s="53"/>
      <c r="I119" s="11"/>
      <c r="J119" s="11"/>
      <c r="K119" s="11"/>
      <c r="L119" s="11"/>
      <c r="M119" s="1"/>
      <c r="N119" s="54"/>
      <c r="O119" s="54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3"/>
      <c r="B120" s="1"/>
      <c r="C120" s="11"/>
      <c r="D120" s="11"/>
      <c r="E120" s="11"/>
      <c r="F120" s="11"/>
      <c r="G120" s="11"/>
      <c r="H120" s="53"/>
      <c r="I120" s="11"/>
      <c r="J120" s="11"/>
      <c r="K120" s="11"/>
      <c r="L120" s="11"/>
      <c r="M120" s="1"/>
      <c r="N120" s="54"/>
      <c r="O120" s="54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3"/>
      <c r="B121" s="1"/>
      <c r="C121" s="11"/>
      <c r="D121" s="11"/>
      <c r="E121" s="11"/>
      <c r="F121" s="11"/>
      <c r="G121" s="11"/>
      <c r="H121" s="53"/>
      <c r="I121" s="11"/>
      <c r="J121" s="11"/>
      <c r="K121" s="11"/>
      <c r="L121" s="11"/>
      <c r="M121" s="1"/>
      <c r="N121" s="54"/>
      <c r="O121" s="54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3"/>
      <c r="B122" s="1"/>
      <c r="C122" s="11"/>
      <c r="D122" s="11"/>
      <c r="E122" s="11"/>
      <c r="F122" s="11"/>
      <c r="G122" s="11"/>
      <c r="H122" s="53"/>
      <c r="I122" s="11"/>
      <c r="J122" s="11"/>
      <c r="K122" s="11"/>
      <c r="L122" s="11"/>
      <c r="M122" s="1"/>
      <c r="N122" s="54"/>
      <c r="O122" s="54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3"/>
      <c r="B123" s="1"/>
      <c r="C123" s="11"/>
      <c r="D123" s="11"/>
      <c r="E123" s="11"/>
      <c r="F123" s="11"/>
      <c r="G123" s="11"/>
      <c r="H123" s="53"/>
      <c r="I123" s="11"/>
      <c r="J123" s="11"/>
      <c r="K123" s="11"/>
      <c r="L123" s="11"/>
      <c r="M123" s="1"/>
      <c r="N123" s="54"/>
      <c r="O123" s="54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3"/>
      <c r="B124" s="1"/>
      <c r="C124" s="11"/>
      <c r="D124" s="11"/>
      <c r="E124" s="11"/>
      <c r="F124" s="11"/>
      <c r="G124" s="11"/>
      <c r="H124" s="53"/>
      <c r="I124" s="11"/>
      <c r="J124" s="11"/>
      <c r="K124" s="11"/>
      <c r="L124" s="11"/>
      <c r="M124" s="1"/>
      <c r="N124" s="54"/>
      <c r="O124" s="54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3"/>
      <c r="B125" s="1"/>
      <c r="C125" s="11"/>
      <c r="D125" s="11"/>
      <c r="E125" s="11"/>
      <c r="F125" s="11"/>
      <c r="G125" s="11"/>
      <c r="H125" s="53"/>
      <c r="I125" s="11"/>
      <c r="J125" s="11"/>
      <c r="K125" s="11"/>
      <c r="L125" s="11"/>
      <c r="M125" s="1"/>
      <c r="N125" s="54"/>
      <c r="O125" s="54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3"/>
      <c r="B126" s="1"/>
      <c r="C126" s="11"/>
      <c r="D126" s="11"/>
      <c r="E126" s="11"/>
      <c r="F126" s="11"/>
      <c r="G126" s="11"/>
      <c r="H126" s="53"/>
      <c r="I126" s="11"/>
      <c r="J126" s="11"/>
      <c r="K126" s="11"/>
      <c r="L126" s="11"/>
      <c r="M126" s="1"/>
      <c r="N126" s="54"/>
      <c r="O126" s="54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3"/>
      <c r="B127" s="1"/>
      <c r="C127" s="11"/>
      <c r="D127" s="11"/>
      <c r="E127" s="11"/>
      <c r="F127" s="11"/>
      <c r="G127" s="11"/>
      <c r="H127" s="53"/>
      <c r="I127" s="11"/>
      <c r="J127" s="11"/>
      <c r="K127" s="11"/>
      <c r="L127" s="11"/>
      <c r="M127" s="1"/>
      <c r="N127" s="54"/>
      <c r="O127" s="54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3"/>
      <c r="B128" s="1"/>
      <c r="C128" s="11"/>
      <c r="D128" s="11"/>
      <c r="E128" s="11"/>
      <c r="F128" s="11"/>
      <c r="G128" s="11"/>
      <c r="H128" s="53"/>
      <c r="I128" s="11"/>
      <c r="J128" s="11"/>
      <c r="K128" s="11"/>
      <c r="L128" s="11"/>
      <c r="M128" s="1"/>
      <c r="N128" s="54"/>
      <c r="O128" s="5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3"/>
      <c r="B129" s="1"/>
      <c r="C129" s="11"/>
      <c r="D129" s="11"/>
      <c r="E129" s="11"/>
      <c r="F129" s="11"/>
      <c r="G129" s="11"/>
      <c r="H129" s="53"/>
      <c r="I129" s="11"/>
      <c r="J129" s="11"/>
      <c r="K129" s="11"/>
      <c r="L129" s="11"/>
      <c r="M129" s="1"/>
      <c r="N129" s="54"/>
      <c r="O129" s="54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3"/>
      <c r="B130" s="1"/>
      <c r="C130" s="11"/>
      <c r="D130" s="11"/>
      <c r="E130" s="11"/>
      <c r="F130" s="11"/>
      <c r="G130" s="11"/>
      <c r="H130" s="53"/>
      <c r="I130" s="11"/>
      <c r="J130" s="11"/>
      <c r="K130" s="11"/>
      <c r="L130" s="11"/>
      <c r="M130" s="1"/>
      <c r="N130" s="54"/>
      <c r="O130" s="54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3"/>
      <c r="B131" s="1"/>
      <c r="C131" s="11"/>
      <c r="D131" s="11"/>
      <c r="E131" s="11"/>
      <c r="F131" s="11"/>
      <c r="G131" s="11"/>
      <c r="H131" s="53"/>
      <c r="I131" s="11"/>
      <c r="J131" s="11"/>
      <c r="K131" s="11"/>
      <c r="L131" s="11"/>
      <c r="M131" s="1"/>
      <c r="N131" s="54"/>
      <c r="O131" s="54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3"/>
      <c r="B132" s="1"/>
      <c r="C132" s="11"/>
      <c r="D132" s="11"/>
      <c r="E132" s="11"/>
      <c r="F132" s="11"/>
      <c r="G132" s="11"/>
      <c r="H132" s="53"/>
      <c r="I132" s="11"/>
      <c r="J132" s="11"/>
      <c r="K132" s="11"/>
      <c r="L132" s="11"/>
      <c r="M132" s="1"/>
      <c r="N132" s="54"/>
      <c r="O132" s="54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3"/>
      <c r="B133" s="1"/>
      <c r="C133" s="11"/>
      <c r="D133" s="11"/>
      <c r="E133" s="11"/>
      <c r="F133" s="11"/>
      <c r="G133" s="11"/>
      <c r="H133" s="53"/>
      <c r="I133" s="11"/>
      <c r="J133" s="11"/>
      <c r="K133" s="11"/>
      <c r="L133" s="11"/>
      <c r="M133" s="1"/>
      <c r="N133" s="54"/>
      <c r="O133" s="54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3"/>
      <c r="B134" s="1"/>
      <c r="C134" s="11"/>
      <c r="D134" s="11"/>
      <c r="E134" s="11"/>
      <c r="F134" s="11"/>
      <c r="G134" s="11"/>
      <c r="H134" s="53"/>
      <c r="I134" s="11"/>
      <c r="J134" s="11"/>
      <c r="K134" s="11"/>
      <c r="L134" s="11"/>
      <c r="M134" s="1"/>
      <c r="N134" s="54"/>
      <c r="O134" s="54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3"/>
      <c r="B135" s="1"/>
      <c r="C135" s="11"/>
      <c r="D135" s="11"/>
      <c r="E135" s="11"/>
      <c r="F135" s="11"/>
      <c r="G135" s="11"/>
      <c r="H135" s="53"/>
      <c r="I135" s="11"/>
      <c r="J135" s="11"/>
      <c r="K135" s="11"/>
      <c r="L135" s="11"/>
      <c r="M135" s="1"/>
      <c r="N135" s="54"/>
      <c r="O135" s="54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3"/>
      <c r="B136" s="1"/>
      <c r="C136" s="11"/>
      <c r="D136" s="11"/>
      <c r="E136" s="11"/>
      <c r="F136" s="11"/>
      <c r="G136" s="11"/>
      <c r="H136" s="53"/>
      <c r="I136" s="11"/>
      <c r="J136" s="11"/>
      <c r="K136" s="11"/>
      <c r="L136" s="11"/>
      <c r="M136" s="1"/>
      <c r="N136" s="54"/>
      <c r="O136" s="54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3"/>
      <c r="B137" s="1"/>
      <c r="C137" s="11"/>
      <c r="D137" s="11"/>
      <c r="E137" s="11"/>
      <c r="F137" s="11"/>
      <c r="G137" s="11"/>
      <c r="H137" s="53"/>
      <c r="I137" s="11"/>
      <c r="J137" s="11"/>
      <c r="K137" s="11"/>
      <c r="L137" s="11"/>
      <c r="M137" s="1"/>
      <c r="N137" s="54"/>
      <c r="O137" s="54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3"/>
      <c r="B138" s="1"/>
      <c r="C138" s="11"/>
      <c r="D138" s="11"/>
      <c r="E138" s="11"/>
      <c r="F138" s="11"/>
      <c r="G138" s="11"/>
      <c r="H138" s="53"/>
      <c r="I138" s="11"/>
      <c r="J138" s="11"/>
      <c r="K138" s="11"/>
      <c r="L138" s="11"/>
      <c r="M138" s="1"/>
      <c r="N138" s="54"/>
      <c r="O138" s="54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3"/>
      <c r="B139" s="1"/>
      <c r="C139" s="11"/>
      <c r="D139" s="11"/>
      <c r="E139" s="11"/>
      <c r="F139" s="11"/>
      <c r="G139" s="11"/>
      <c r="H139" s="53"/>
      <c r="I139" s="11"/>
      <c r="J139" s="11"/>
      <c r="K139" s="11"/>
      <c r="L139" s="11"/>
      <c r="M139" s="1"/>
      <c r="N139" s="54"/>
      <c r="O139" s="54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3"/>
      <c r="B140" s="1"/>
      <c r="C140" s="11"/>
      <c r="D140" s="11"/>
      <c r="E140" s="11"/>
      <c r="F140" s="11"/>
      <c r="G140" s="11"/>
      <c r="H140" s="53"/>
      <c r="I140" s="11"/>
      <c r="J140" s="11"/>
      <c r="K140" s="11"/>
      <c r="L140" s="11"/>
      <c r="M140" s="1"/>
      <c r="N140" s="54"/>
      <c r="O140" s="54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3"/>
      <c r="B141" s="1"/>
      <c r="C141" s="11"/>
      <c r="D141" s="11"/>
      <c r="E141" s="11"/>
      <c r="F141" s="11"/>
      <c r="G141" s="11"/>
      <c r="H141" s="53"/>
      <c r="I141" s="11"/>
      <c r="J141" s="11"/>
      <c r="K141" s="11"/>
      <c r="L141" s="11"/>
      <c r="M141" s="1"/>
      <c r="N141" s="54"/>
      <c r="O141" s="54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3"/>
      <c r="B142" s="1"/>
      <c r="C142" s="11"/>
      <c r="D142" s="11"/>
      <c r="E142" s="11"/>
      <c r="F142" s="11"/>
      <c r="G142" s="11"/>
      <c r="H142" s="53"/>
      <c r="I142" s="11"/>
      <c r="J142" s="11"/>
      <c r="K142" s="11"/>
      <c r="L142" s="11"/>
      <c r="M142" s="1"/>
      <c r="N142" s="54"/>
      <c r="O142" s="54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3"/>
      <c r="B143" s="1"/>
      <c r="C143" s="11"/>
      <c r="D143" s="11"/>
      <c r="E143" s="11"/>
      <c r="F143" s="11"/>
      <c r="G143" s="11"/>
      <c r="H143" s="53"/>
      <c r="I143" s="11"/>
      <c r="J143" s="11"/>
      <c r="K143" s="11"/>
      <c r="L143" s="11"/>
      <c r="M143" s="1"/>
      <c r="N143" s="54"/>
      <c r="O143" s="54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3"/>
      <c r="B144" s="1"/>
      <c r="C144" s="11"/>
      <c r="D144" s="11"/>
      <c r="E144" s="11"/>
      <c r="F144" s="11"/>
      <c r="G144" s="11"/>
      <c r="H144" s="53"/>
      <c r="I144" s="11"/>
      <c r="J144" s="11"/>
      <c r="K144" s="11"/>
      <c r="L144" s="11"/>
      <c r="M144" s="1"/>
      <c r="N144" s="54"/>
      <c r="O144" s="54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3"/>
      <c r="B145" s="1"/>
      <c r="C145" s="11"/>
      <c r="D145" s="11"/>
      <c r="E145" s="11"/>
      <c r="F145" s="11"/>
      <c r="G145" s="11"/>
      <c r="H145" s="53"/>
      <c r="I145" s="11"/>
      <c r="J145" s="11"/>
      <c r="K145" s="11"/>
      <c r="L145" s="11"/>
      <c r="M145" s="1"/>
      <c r="N145" s="54"/>
      <c r="O145" s="54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3"/>
      <c r="B146" s="1"/>
      <c r="C146" s="11"/>
      <c r="D146" s="11"/>
      <c r="E146" s="11"/>
      <c r="F146" s="11"/>
      <c r="G146" s="11"/>
      <c r="H146" s="53"/>
      <c r="I146" s="11"/>
      <c r="J146" s="11"/>
      <c r="K146" s="11"/>
      <c r="L146" s="11"/>
      <c r="M146" s="1"/>
      <c r="N146" s="54"/>
      <c r="O146" s="54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3"/>
      <c r="B147" s="1"/>
      <c r="C147" s="11"/>
      <c r="D147" s="11"/>
      <c r="E147" s="11"/>
      <c r="F147" s="11"/>
      <c r="G147" s="11"/>
      <c r="H147" s="53"/>
      <c r="I147" s="11"/>
      <c r="J147" s="11"/>
      <c r="K147" s="11"/>
      <c r="L147" s="11"/>
      <c r="M147" s="1"/>
      <c r="N147" s="54"/>
      <c r="O147" s="54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3"/>
      <c r="B148" s="1"/>
      <c r="C148" s="11"/>
      <c r="D148" s="11"/>
      <c r="E148" s="11"/>
      <c r="F148" s="11"/>
      <c r="G148" s="11"/>
      <c r="H148" s="53"/>
      <c r="I148" s="11"/>
      <c r="J148" s="11"/>
      <c r="K148" s="11"/>
      <c r="L148" s="11"/>
      <c r="M148" s="1"/>
      <c r="N148" s="54"/>
      <c r="O148" s="54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3"/>
      <c r="B149" s="1"/>
      <c r="C149" s="11"/>
      <c r="D149" s="11"/>
      <c r="E149" s="11"/>
      <c r="F149" s="11"/>
      <c r="G149" s="11"/>
      <c r="H149" s="53"/>
      <c r="I149" s="11"/>
      <c r="J149" s="11"/>
      <c r="K149" s="11"/>
      <c r="L149" s="11"/>
      <c r="M149" s="1"/>
      <c r="N149" s="54"/>
      <c r="O149" s="54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3"/>
      <c r="B150" s="1"/>
      <c r="C150" s="11"/>
      <c r="D150" s="11"/>
      <c r="E150" s="11"/>
      <c r="F150" s="11"/>
      <c r="G150" s="11"/>
      <c r="H150" s="53"/>
      <c r="I150" s="11"/>
      <c r="J150" s="11"/>
      <c r="K150" s="11"/>
      <c r="L150" s="11"/>
      <c r="M150" s="1"/>
      <c r="N150" s="54"/>
      <c r="O150" s="54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3"/>
      <c r="B151" s="1"/>
      <c r="C151" s="11"/>
      <c r="D151" s="11"/>
      <c r="E151" s="11"/>
      <c r="F151" s="11"/>
      <c r="G151" s="11"/>
      <c r="H151" s="53"/>
      <c r="I151" s="11"/>
      <c r="J151" s="11"/>
      <c r="K151" s="11"/>
      <c r="L151" s="11"/>
      <c r="M151" s="1"/>
      <c r="N151" s="54"/>
      <c r="O151" s="54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3"/>
      <c r="B152" s="1"/>
      <c r="C152" s="11"/>
      <c r="D152" s="11"/>
      <c r="E152" s="11"/>
      <c r="F152" s="11"/>
      <c r="G152" s="11"/>
      <c r="H152" s="53"/>
      <c r="I152" s="11"/>
      <c r="J152" s="11"/>
      <c r="K152" s="11"/>
      <c r="L152" s="11"/>
      <c r="M152" s="1"/>
      <c r="N152" s="54"/>
      <c r="O152" s="54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3"/>
      <c r="B153" s="1"/>
      <c r="C153" s="11"/>
      <c r="D153" s="11"/>
      <c r="E153" s="11"/>
      <c r="F153" s="11"/>
      <c r="G153" s="11"/>
      <c r="H153" s="53"/>
      <c r="I153" s="11"/>
      <c r="J153" s="11"/>
      <c r="K153" s="11"/>
      <c r="L153" s="11"/>
      <c r="M153" s="1"/>
      <c r="N153" s="54"/>
      <c r="O153" s="54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3"/>
      <c r="B154" s="1"/>
      <c r="C154" s="11"/>
      <c r="D154" s="11"/>
      <c r="E154" s="11"/>
      <c r="F154" s="11"/>
      <c r="G154" s="11"/>
      <c r="H154" s="53"/>
      <c r="I154" s="11"/>
      <c r="J154" s="11"/>
      <c r="K154" s="11"/>
      <c r="L154" s="11"/>
      <c r="M154" s="1"/>
      <c r="N154" s="54"/>
      <c r="O154" s="54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3"/>
      <c r="B155" s="1"/>
      <c r="C155" s="11"/>
      <c r="D155" s="11"/>
      <c r="E155" s="11"/>
      <c r="F155" s="11"/>
      <c r="G155" s="11"/>
      <c r="H155" s="53"/>
      <c r="I155" s="11"/>
      <c r="J155" s="11"/>
      <c r="K155" s="11"/>
      <c r="L155" s="11"/>
      <c r="M155" s="1"/>
      <c r="N155" s="54"/>
      <c r="O155" s="54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3"/>
      <c r="B156" s="1"/>
      <c r="C156" s="11"/>
      <c r="D156" s="11"/>
      <c r="E156" s="11"/>
      <c r="F156" s="11"/>
      <c r="G156" s="11"/>
      <c r="H156" s="53"/>
      <c r="I156" s="11"/>
      <c r="J156" s="11"/>
      <c r="K156" s="11"/>
      <c r="L156" s="11"/>
      <c r="M156" s="1"/>
      <c r="N156" s="54"/>
      <c r="O156" s="54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3"/>
      <c r="B157" s="1"/>
      <c r="C157" s="11"/>
      <c r="D157" s="11"/>
      <c r="E157" s="11"/>
      <c r="F157" s="11"/>
      <c r="G157" s="11"/>
      <c r="H157" s="53"/>
      <c r="I157" s="11"/>
      <c r="J157" s="11"/>
      <c r="K157" s="11"/>
      <c r="L157" s="11"/>
      <c r="M157" s="1"/>
      <c r="N157" s="54"/>
      <c r="O157" s="54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3"/>
      <c r="B158" s="1"/>
      <c r="C158" s="11"/>
      <c r="D158" s="11"/>
      <c r="E158" s="11"/>
      <c r="F158" s="11"/>
      <c r="G158" s="11"/>
      <c r="H158" s="53"/>
      <c r="I158" s="11"/>
      <c r="J158" s="11"/>
      <c r="K158" s="11"/>
      <c r="L158" s="11"/>
      <c r="M158" s="1"/>
      <c r="N158" s="54"/>
      <c r="O158" s="54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3"/>
      <c r="B159" s="1"/>
      <c r="C159" s="11"/>
      <c r="D159" s="11"/>
      <c r="E159" s="11"/>
      <c r="F159" s="11"/>
      <c r="G159" s="11"/>
      <c r="H159" s="53"/>
      <c r="I159" s="11"/>
      <c r="J159" s="11"/>
      <c r="K159" s="11"/>
      <c r="L159" s="11"/>
      <c r="M159" s="1"/>
      <c r="N159" s="54"/>
      <c r="O159" s="54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3"/>
      <c r="B160" s="1"/>
      <c r="C160" s="11"/>
      <c r="D160" s="11"/>
      <c r="E160" s="11"/>
      <c r="F160" s="11"/>
      <c r="G160" s="11"/>
      <c r="H160" s="53"/>
      <c r="I160" s="11"/>
      <c r="J160" s="11"/>
      <c r="K160" s="11"/>
      <c r="L160" s="11"/>
      <c r="M160" s="1"/>
      <c r="N160" s="54"/>
      <c r="O160" s="54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3"/>
      <c r="B161" s="1"/>
      <c r="C161" s="11"/>
      <c r="D161" s="11"/>
      <c r="E161" s="11"/>
      <c r="F161" s="11"/>
      <c r="G161" s="11"/>
      <c r="H161" s="53"/>
      <c r="I161" s="11"/>
      <c r="J161" s="11"/>
      <c r="K161" s="11"/>
      <c r="L161" s="11"/>
      <c r="M161" s="1"/>
      <c r="N161" s="54"/>
      <c r="O161" s="54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3"/>
      <c r="B162" s="1"/>
      <c r="C162" s="11"/>
      <c r="D162" s="11"/>
      <c r="E162" s="11"/>
      <c r="F162" s="11"/>
      <c r="G162" s="11"/>
      <c r="H162" s="53"/>
      <c r="I162" s="11"/>
      <c r="J162" s="11"/>
      <c r="K162" s="11"/>
      <c r="L162" s="11"/>
      <c r="M162" s="1"/>
      <c r="N162" s="54"/>
      <c r="O162" s="54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3"/>
      <c r="B163" s="1"/>
      <c r="C163" s="11"/>
      <c r="D163" s="11"/>
      <c r="E163" s="11"/>
      <c r="F163" s="11"/>
      <c r="G163" s="11"/>
      <c r="H163" s="53"/>
      <c r="I163" s="11"/>
      <c r="J163" s="11"/>
      <c r="K163" s="11"/>
      <c r="L163" s="11"/>
      <c r="M163" s="1"/>
      <c r="N163" s="54"/>
      <c r="O163" s="54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3"/>
      <c r="B164" s="1"/>
      <c r="C164" s="11"/>
      <c r="D164" s="11"/>
      <c r="E164" s="11"/>
      <c r="F164" s="11"/>
      <c r="G164" s="11"/>
      <c r="H164" s="53"/>
      <c r="I164" s="11"/>
      <c r="J164" s="11"/>
      <c r="K164" s="11"/>
      <c r="L164" s="11"/>
      <c r="M164" s="1"/>
      <c r="N164" s="54"/>
      <c r="O164" s="54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3"/>
      <c r="B165" s="1"/>
      <c r="C165" s="11"/>
      <c r="D165" s="11"/>
      <c r="E165" s="11"/>
      <c r="F165" s="11"/>
      <c r="G165" s="11"/>
      <c r="H165" s="53"/>
      <c r="I165" s="11"/>
      <c r="J165" s="11"/>
      <c r="K165" s="11"/>
      <c r="L165" s="11"/>
      <c r="M165" s="1"/>
      <c r="N165" s="54"/>
      <c r="O165" s="54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3"/>
      <c r="B166" s="1"/>
      <c r="C166" s="11"/>
      <c r="D166" s="11"/>
      <c r="E166" s="11"/>
      <c r="F166" s="11"/>
      <c r="G166" s="11"/>
      <c r="H166" s="53"/>
      <c r="I166" s="11"/>
      <c r="J166" s="11"/>
      <c r="K166" s="11"/>
      <c r="L166" s="11"/>
      <c r="M166" s="1"/>
      <c r="N166" s="54"/>
      <c r="O166" s="54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3"/>
      <c r="B167" s="1"/>
      <c r="C167" s="11"/>
      <c r="D167" s="11"/>
      <c r="E167" s="11"/>
      <c r="F167" s="11"/>
      <c r="G167" s="11"/>
      <c r="H167" s="53"/>
      <c r="I167" s="11"/>
      <c r="J167" s="11"/>
      <c r="K167" s="11"/>
      <c r="L167" s="11"/>
      <c r="M167" s="1"/>
      <c r="N167" s="54"/>
      <c r="O167" s="54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3"/>
      <c r="B168" s="1"/>
      <c r="C168" s="11"/>
      <c r="D168" s="11"/>
      <c r="E168" s="11"/>
      <c r="F168" s="11"/>
      <c r="G168" s="11"/>
      <c r="H168" s="53"/>
      <c r="I168" s="11"/>
      <c r="J168" s="11"/>
      <c r="K168" s="11"/>
      <c r="L168" s="11"/>
      <c r="M168" s="1"/>
      <c r="N168" s="54"/>
      <c r="O168" s="54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3"/>
      <c r="B169" s="1"/>
      <c r="C169" s="11"/>
      <c r="D169" s="11"/>
      <c r="E169" s="11"/>
      <c r="F169" s="11"/>
      <c r="G169" s="11"/>
      <c r="H169" s="53"/>
      <c r="I169" s="11"/>
      <c r="J169" s="11"/>
      <c r="K169" s="11"/>
      <c r="L169" s="11"/>
      <c r="M169" s="1"/>
      <c r="N169" s="54"/>
      <c r="O169" s="54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3"/>
      <c r="B170" s="1"/>
      <c r="C170" s="11"/>
      <c r="D170" s="11"/>
      <c r="E170" s="11"/>
      <c r="F170" s="11"/>
      <c r="G170" s="11"/>
      <c r="H170" s="53"/>
      <c r="I170" s="11"/>
      <c r="J170" s="11"/>
      <c r="K170" s="11"/>
      <c r="L170" s="11"/>
      <c r="M170" s="1"/>
      <c r="N170" s="54"/>
      <c r="O170" s="54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3"/>
      <c r="B171" s="1"/>
      <c r="C171" s="11"/>
      <c r="D171" s="11"/>
      <c r="E171" s="11"/>
      <c r="F171" s="11"/>
      <c r="G171" s="11"/>
      <c r="H171" s="53"/>
      <c r="I171" s="11"/>
      <c r="J171" s="11"/>
      <c r="K171" s="11"/>
      <c r="L171" s="11"/>
      <c r="M171" s="1"/>
      <c r="N171" s="54"/>
      <c r="O171" s="54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3"/>
      <c r="B172" s="1"/>
      <c r="C172" s="11"/>
      <c r="D172" s="11"/>
      <c r="E172" s="11"/>
      <c r="F172" s="11"/>
      <c r="G172" s="11"/>
      <c r="H172" s="53"/>
      <c r="I172" s="11"/>
      <c r="J172" s="11"/>
      <c r="K172" s="11"/>
      <c r="L172" s="11"/>
      <c r="M172" s="1"/>
      <c r="N172" s="54"/>
      <c r="O172" s="54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3"/>
      <c r="B173" s="1"/>
      <c r="C173" s="11"/>
      <c r="D173" s="11"/>
      <c r="E173" s="11"/>
      <c r="F173" s="11"/>
      <c r="G173" s="11"/>
      <c r="H173" s="53"/>
      <c r="I173" s="11"/>
      <c r="J173" s="11"/>
      <c r="K173" s="11"/>
      <c r="L173" s="11"/>
      <c r="M173" s="1"/>
      <c r="N173" s="54"/>
      <c r="O173" s="54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3"/>
      <c r="B174" s="1"/>
      <c r="C174" s="11"/>
      <c r="D174" s="11"/>
      <c r="E174" s="11"/>
      <c r="F174" s="11"/>
      <c r="G174" s="11"/>
      <c r="H174" s="53"/>
      <c r="I174" s="11"/>
      <c r="J174" s="11"/>
      <c r="K174" s="11"/>
      <c r="L174" s="11"/>
      <c r="M174" s="1"/>
      <c r="N174" s="54"/>
      <c r="O174" s="54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3"/>
      <c r="B175" s="1"/>
      <c r="C175" s="11"/>
      <c r="D175" s="11"/>
      <c r="E175" s="11"/>
      <c r="F175" s="11"/>
      <c r="G175" s="11"/>
      <c r="H175" s="53"/>
      <c r="I175" s="11"/>
      <c r="J175" s="11"/>
      <c r="K175" s="11"/>
      <c r="L175" s="11"/>
      <c r="M175" s="1"/>
      <c r="N175" s="54"/>
      <c r="O175" s="54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3"/>
      <c r="B176" s="1"/>
      <c r="C176" s="11"/>
      <c r="D176" s="11"/>
      <c r="E176" s="11"/>
      <c r="F176" s="11"/>
      <c r="G176" s="11"/>
      <c r="H176" s="53"/>
      <c r="I176" s="11"/>
      <c r="J176" s="11"/>
      <c r="K176" s="11"/>
      <c r="L176" s="11"/>
      <c r="M176" s="1"/>
      <c r="N176" s="54"/>
      <c r="O176" s="54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3"/>
      <c r="B177" s="1"/>
      <c r="C177" s="11"/>
      <c r="D177" s="11"/>
      <c r="E177" s="11"/>
      <c r="F177" s="11"/>
      <c r="G177" s="11"/>
      <c r="H177" s="53"/>
      <c r="I177" s="11"/>
      <c r="J177" s="11"/>
      <c r="K177" s="11"/>
      <c r="L177" s="11"/>
      <c r="M177" s="1"/>
      <c r="N177" s="54"/>
      <c r="O177" s="54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3"/>
      <c r="B178" s="1"/>
      <c r="C178" s="11"/>
      <c r="D178" s="11"/>
      <c r="E178" s="11"/>
      <c r="F178" s="11"/>
      <c r="G178" s="11"/>
      <c r="H178" s="53"/>
      <c r="I178" s="11"/>
      <c r="J178" s="11"/>
      <c r="K178" s="11"/>
      <c r="L178" s="11"/>
      <c r="M178" s="1"/>
      <c r="N178" s="54"/>
      <c r="O178" s="54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3"/>
      <c r="B179" s="1"/>
      <c r="C179" s="11"/>
      <c r="D179" s="11"/>
      <c r="E179" s="11"/>
      <c r="F179" s="11"/>
      <c r="G179" s="11"/>
      <c r="H179" s="53"/>
      <c r="I179" s="11"/>
      <c r="J179" s="11"/>
      <c r="K179" s="11"/>
      <c r="L179" s="11"/>
      <c r="M179" s="1"/>
      <c r="N179" s="54"/>
      <c r="O179" s="54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3"/>
      <c r="B180" s="1"/>
      <c r="C180" s="11"/>
      <c r="D180" s="11"/>
      <c r="E180" s="11"/>
      <c r="F180" s="11"/>
      <c r="G180" s="11"/>
      <c r="H180" s="53"/>
      <c r="I180" s="11"/>
      <c r="J180" s="11"/>
      <c r="K180" s="11"/>
      <c r="L180" s="11"/>
      <c r="M180" s="1"/>
      <c r="N180" s="54"/>
      <c r="O180" s="54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3"/>
      <c r="B181" s="1"/>
      <c r="C181" s="11"/>
      <c r="D181" s="11"/>
      <c r="E181" s="11"/>
      <c r="F181" s="11"/>
      <c r="G181" s="11"/>
      <c r="H181" s="53"/>
      <c r="I181" s="11"/>
      <c r="J181" s="11"/>
      <c r="K181" s="11"/>
      <c r="L181" s="11"/>
      <c r="M181" s="1"/>
      <c r="N181" s="54"/>
      <c r="O181" s="54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3"/>
      <c r="B182" s="1"/>
      <c r="C182" s="11"/>
      <c r="D182" s="11"/>
      <c r="E182" s="11"/>
      <c r="F182" s="11"/>
      <c r="G182" s="11"/>
      <c r="H182" s="53"/>
      <c r="I182" s="11"/>
      <c r="J182" s="11"/>
      <c r="K182" s="11"/>
      <c r="L182" s="11"/>
      <c r="M182" s="1"/>
      <c r="N182" s="54"/>
      <c r="O182" s="54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3"/>
      <c r="B183" s="1"/>
      <c r="C183" s="11"/>
      <c r="D183" s="11"/>
      <c r="E183" s="11"/>
      <c r="F183" s="11"/>
      <c r="G183" s="11"/>
      <c r="H183" s="53"/>
      <c r="I183" s="11"/>
      <c r="J183" s="11"/>
      <c r="K183" s="11"/>
      <c r="L183" s="11"/>
      <c r="M183" s="1"/>
      <c r="N183" s="54"/>
      <c r="O183" s="54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3"/>
      <c r="B184" s="1"/>
      <c r="C184" s="11"/>
      <c r="D184" s="11"/>
      <c r="E184" s="11"/>
      <c r="F184" s="11"/>
      <c r="G184" s="11"/>
      <c r="H184" s="53"/>
      <c r="I184" s="11"/>
      <c r="J184" s="11"/>
      <c r="K184" s="11"/>
      <c r="L184" s="11"/>
      <c r="M184" s="1"/>
      <c r="N184" s="54"/>
      <c r="O184" s="54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3"/>
      <c r="B185" s="1"/>
      <c r="C185" s="11"/>
      <c r="D185" s="11"/>
      <c r="E185" s="11"/>
      <c r="F185" s="11"/>
      <c r="G185" s="11"/>
      <c r="H185" s="53"/>
      <c r="I185" s="11"/>
      <c r="J185" s="11"/>
      <c r="K185" s="11"/>
      <c r="L185" s="11"/>
      <c r="M185" s="1"/>
      <c r="N185" s="54"/>
      <c r="O185" s="54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3"/>
      <c r="B186" s="1"/>
      <c r="C186" s="11"/>
      <c r="D186" s="11"/>
      <c r="E186" s="11"/>
      <c r="F186" s="11"/>
      <c r="G186" s="11"/>
      <c r="H186" s="53"/>
      <c r="I186" s="11"/>
      <c r="J186" s="11"/>
      <c r="K186" s="11"/>
      <c r="L186" s="11"/>
      <c r="M186" s="1"/>
      <c r="N186" s="54"/>
      <c r="O186" s="54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3"/>
      <c r="B187" s="1"/>
      <c r="C187" s="11"/>
      <c r="D187" s="11"/>
      <c r="E187" s="11"/>
      <c r="F187" s="11"/>
      <c r="G187" s="11"/>
      <c r="H187" s="53"/>
      <c r="I187" s="11"/>
      <c r="J187" s="11"/>
      <c r="K187" s="11"/>
      <c r="L187" s="11"/>
      <c r="M187" s="1"/>
      <c r="N187" s="54"/>
      <c r="O187" s="54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3"/>
      <c r="B188" s="1"/>
      <c r="C188" s="11"/>
      <c r="D188" s="11"/>
      <c r="E188" s="11"/>
      <c r="F188" s="11"/>
      <c r="G188" s="11"/>
      <c r="H188" s="53"/>
      <c r="I188" s="11"/>
      <c r="J188" s="11"/>
      <c r="K188" s="11"/>
      <c r="L188" s="11"/>
      <c r="M188" s="1"/>
      <c r="N188" s="54"/>
      <c r="O188" s="54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3"/>
      <c r="B189" s="1"/>
      <c r="C189" s="11"/>
      <c r="D189" s="11"/>
      <c r="E189" s="11"/>
      <c r="F189" s="11"/>
      <c r="G189" s="11"/>
      <c r="H189" s="53"/>
      <c r="I189" s="11"/>
      <c r="J189" s="11"/>
      <c r="K189" s="11"/>
      <c r="L189" s="11"/>
      <c r="M189" s="1"/>
      <c r="N189" s="54"/>
      <c r="O189" s="54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3"/>
      <c r="B190" s="1"/>
      <c r="C190" s="11"/>
      <c r="D190" s="11"/>
      <c r="E190" s="11"/>
      <c r="F190" s="11"/>
      <c r="G190" s="11"/>
      <c r="H190" s="53"/>
      <c r="I190" s="11"/>
      <c r="J190" s="11"/>
      <c r="K190" s="11"/>
      <c r="L190" s="11"/>
      <c r="M190" s="1"/>
      <c r="N190" s="54"/>
      <c r="O190" s="54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3"/>
      <c r="B191" s="1"/>
      <c r="C191" s="11"/>
      <c r="D191" s="11"/>
      <c r="E191" s="11"/>
      <c r="F191" s="11"/>
      <c r="G191" s="11"/>
      <c r="H191" s="53"/>
      <c r="I191" s="11"/>
      <c r="J191" s="11"/>
      <c r="K191" s="11"/>
      <c r="L191" s="11"/>
      <c r="M191" s="1"/>
      <c r="N191" s="54"/>
      <c r="O191" s="54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3"/>
      <c r="B192" s="1"/>
      <c r="C192" s="11"/>
      <c r="D192" s="11"/>
      <c r="E192" s="11"/>
      <c r="F192" s="11"/>
      <c r="G192" s="11"/>
      <c r="H192" s="53"/>
      <c r="I192" s="11"/>
      <c r="J192" s="11"/>
      <c r="K192" s="11"/>
      <c r="L192" s="11"/>
      <c r="M192" s="1"/>
      <c r="N192" s="54"/>
      <c r="O192" s="54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3"/>
      <c r="B193" s="1"/>
      <c r="C193" s="11"/>
      <c r="D193" s="11"/>
      <c r="E193" s="11"/>
      <c r="F193" s="11"/>
      <c r="G193" s="11"/>
      <c r="H193" s="53"/>
      <c r="I193" s="11"/>
      <c r="J193" s="11"/>
      <c r="K193" s="11"/>
      <c r="L193" s="11"/>
      <c r="M193" s="1"/>
      <c r="N193" s="54"/>
      <c r="O193" s="54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3"/>
      <c r="B194" s="1"/>
      <c r="C194" s="11"/>
      <c r="D194" s="11"/>
      <c r="E194" s="11"/>
      <c r="F194" s="11"/>
      <c r="G194" s="11"/>
      <c r="H194" s="53"/>
      <c r="I194" s="11"/>
      <c r="J194" s="11"/>
      <c r="K194" s="11"/>
      <c r="L194" s="11"/>
      <c r="M194" s="1"/>
      <c r="N194" s="54"/>
      <c r="O194" s="54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3"/>
      <c r="B195" s="1"/>
      <c r="C195" s="11"/>
      <c r="D195" s="11"/>
      <c r="E195" s="11"/>
      <c r="F195" s="11"/>
      <c r="G195" s="11"/>
      <c r="H195" s="53"/>
      <c r="I195" s="11"/>
      <c r="J195" s="11"/>
      <c r="K195" s="11"/>
      <c r="L195" s="11"/>
      <c r="M195" s="1"/>
      <c r="N195" s="54"/>
      <c r="O195" s="54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3"/>
      <c r="B196" s="1"/>
      <c r="C196" s="11"/>
      <c r="D196" s="11"/>
      <c r="E196" s="11"/>
      <c r="F196" s="11"/>
      <c r="G196" s="11"/>
      <c r="H196" s="53"/>
      <c r="I196" s="11"/>
      <c r="J196" s="11"/>
      <c r="K196" s="11"/>
      <c r="L196" s="11"/>
      <c r="M196" s="1"/>
      <c r="N196" s="54"/>
      <c r="O196" s="54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3"/>
      <c r="B197" s="1"/>
      <c r="C197" s="11"/>
      <c r="D197" s="11"/>
      <c r="E197" s="11"/>
      <c r="F197" s="11"/>
      <c r="G197" s="11"/>
      <c r="H197" s="53"/>
      <c r="I197" s="11"/>
      <c r="J197" s="11"/>
      <c r="K197" s="11"/>
      <c r="L197" s="11"/>
      <c r="M197" s="1"/>
      <c r="N197" s="54"/>
      <c r="O197" s="54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3"/>
      <c r="B198" s="1"/>
      <c r="C198" s="11"/>
      <c r="D198" s="11"/>
      <c r="E198" s="11"/>
      <c r="F198" s="11"/>
      <c r="G198" s="11"/>
      <c r="H198" s="53"/>
      <c r="I198" s="11"/>
      <c r="J198" s="11"/>
      <c r="K198" s="11"/>
      <c r="L198" s="11"/>
      <c r="M198" s="1"/>
      <c r="N198" s="54"/>
      <c r="O198" s="54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3"/>
      <c r="B199" s="1"/>
      <c r="C199" s="11"/>
      <c r="D199" s="11"/>
      <c r="E199" s="11"/>
      <c r="F199" s="11"/>
      <c r="G199" s="11"/>
      <c r="H199" s="53"/>
      <c r="I199" s="11"/>
      <c r="J199" s="11"/>
      <c r="K199" s="11"/>
      <c r="L199" s="11"/>
      <c r="M199" s="1"/>
      <c r="N199" s="54"/>
      <c r="O199" s="54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3"/>
      <c r="B200" s="1"/>
      <c r="C200" s="11"/>
      <c r="D200" s="11"/>
      <c r="E200" s="11"/>
      <c r="F200" s="11"/>
      <c r="G200" s="11"/>
      <c r="H200" s="53"/>
      <c r="I200" s="11"/>
      <c r="J200" s="11"/>
      <c r="K200" s="11"/>
      <c r="L200" s="11"/>
      <c r="M200" s="1"/>
      <c r="N200" s="54"/>
      <c r="O200" s="54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3"/>
      <c r="B201" s="1"/>
      <c r="C201" s="11"/>
      <c r="D201" s="11"/>
      <c r="E201" s="11"/>
      <c r="F201" s="11"/>
      <c r="G201" s="11"/>
      <c r="H201" s="53"/>
      <c r="I201" s="11"/>
      <c r="J201" s="11"/>
      <c r="K201" s="11"/>
      <c r="L201" s="11"/>
      <c r="M201" s="1"/>
      <c r="N201" s="54"/>
      <c r="O201" s="54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3"/>
      <c r="B202" s="1"/>
      <c r="C202" s="11"/>
      <c r="D202" s="11"/>
      <c r="E202" s="11"/>
      <c r="F202" s="11"/>
      <c r="G202" s="11"/>
      <c r="H202" s="53"/>
      <c r="I202" s="11"/>
      <c r="J202" s="11"/>
      <c r="K202" s="11"/>
      <c r="L202" s="11"/>
      <c r="M202" s="1"/>
      <c r="N202" s="54"/>
      <c r="O202" s="54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3"/>
      <c r="B203" s="1"/>
      <c r="C203" s="11"/>
      <c r="D203" s="11"/>
      <c r="E203" s="11"/>
      <c r="F203" s="11"/>
      <c r="G203" s="11"/>
      <c r="H203" s="53"/>
      <c r="I203" s="11"/>
      <c r="J203" s="11"/>
      <c r="K203" s="11"/>
      <c r="L203" s="11"/>
      <c r="M203" s="1"/>
      <c r="N203" s="54"/>
      <c r="O203" s="54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3"/>
      <c r="B204" s="1"/>
      <c r="C204" s="11"/>
      <c r="D204" s="11"/>
      <c r="E204" s="11"/>
      <c r="F204" s="11"/>
      <c r="G204" s="11"/>
      <c r="H204" s="53"/>
      <c r="I204" s="11"/>
      <c r="J204" s="11"/>
      <c r="K204" s="11"/>
      <c r="L204" s="11"/>
      <c r="M204" s="1"/>
      <c r="N204" s="54"/>
      <c r="O204" s="54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3"/>
      <c r="B205" s="1"/>
      <c r="C205" s="11"/>
      <c r="D205" s="11"/>
      <c r="E205" s="11"/>
      <c r="F205" s="11"/>
      <c r="G205" s="11"/>
      <c r="H205" s="53"/>
      <c r="I205" s="11"/>
      <c r="J205" s="11"/>
      <c r="K205" s="11"/>
      <c r="L205" s="11"/>
      <c r="M205" s="1"/>
      <c r="N205" s="54"/>
      <c r="O205" s="54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3"/>
      <c r="B206" s="1"/>
      <c r="C206" s="11"/>
      <c r="D206" s="11"/>
      <c r="E206" s="11"/>
      <c r="F206" s="11"/>
      <c r="G206" s="11"/>
      <c r="H206" s="53"/>
      <c r="I206" s="11"/>
      <c r="J206" s="11"/>
      <c r="K206" s="11"/>
      <c r="L206" s="11"/>
      <c r="M206" s="1"/>
      <c r="N206" s="54"/>
      <c r="O206" s="54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3"/>
      <c r="B207" s="1"/>
      <c r="C207" s="11"/>
      <c r="D207" s="11"/>
      <c r="E207" s="11"/>
      <c r="F207" s="11"/>
      <c r="G207" s="11"/>
      <c r="H207" s="53"/>
      <c r="I207" s="11"/>
      <c r="J207" s="11"/>
      <c r="K207" s="11"/>
      <c r="L207" s="11"/>
      <c r="M207" s="1"/>
      <c r="N207" s="54"/>
      <c r="O207" s="54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3"/>
      <c r="B208" s="1"/>
      <c r="C208" s="11"/>
      <c r="D208" s="11"/>
      <c r="E208" s="11"/>
      <c r="F208" s="11"/>
      <c r="G208" s="11"/>
      <c r="H208" s="53"/>
      <c r="I208" s="11"/>
      <c r="J208" s="11"/>
      <c r="K208" s="11"/>
      <c r="L208" s="11"/>
      <c r="M208" s="1"/>
      <c r="N208" s="54"/>
      <c r="O208" s="54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3"/>
      <c r="B209" s="1"/>
      <c r="C209" s="11"/>
      <c r="D209" s="11"/>
      <c r="E209" s="11"/>
      <c r="F209" s="11"/>
      <c r="G209" s="11"/>
      <c r="H209" s="53"/>
      <c r="I209" s="11"/>
      <c r="J209" s="11"/>
      <c r="K209" s="11"/>
      <c r="L209" s="11"/>
      <c r="M209" s="1"/>
      <c r="N209" s="54"/>
      <c r="O209" s="54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3"/>
      <c r="B210" s="1"/>
      <c r="C210" s="11"/>
      <c r="D210" s="11"/>
      <c r="E210" s="11"/>
      <c r="F210" s="11"/>
      <c r="G210" s="11"/>
      <c r="H210" s="53"/>
      <c r="I210" s="11"/>
      <c r="J210" s="11"/>
      <c r="K210" s="11"/>
      <c r="L210" s="11"/>
      <c r="M210" s="1"/>
      <c r="N210" s="54"/>
      <c r="O210" s="54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3"/>
      <c r="B211" s="1"/>
      <c r="C211" s="11"/>
      <c r="D211" s="11"/>
      <c r="E211" s="11"/>
      <c r="F211" s="11"/>
      <c r="G211" s="11"/>
      <c r="H211" s="53"/>
      <c r="I211" s="11"/>
      <c r="J211" s="11"/>
      <c r="K211" s="11"/>
      <c r="L211" s="11"/>
      <c r="M211" s="1"/>
      <c r="N211" s="54"/>
      <c r="O211" s="54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3"/>
      <c r="B212" s="1"/>
      <c r="C212" s="11"/>
      <c r="D212" s="11"/>
      <c r="E212" s="11"/>
      <c r="F212" s="11"/>
      <c r="G212" s="11"/>
      <c r="H212" s="53"/>
      <c r="I212" s="11"/>
      <c r="J212" s="11"/>
      <c r="K212" s="11"/>
      <c r="L212" s="11"/>
      <c r="M212" s="1"/>
      <c r="N212" s="54"/>
      <c r="O212" s="54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3"/>
      <c r="B213" s="1"/>
      <c r="C213" s="11"/>
      <c r="D213" s="11"/>
      <c r="E213" s="11"/>
      <c r="F213" s="11"/>
      <c r="G213" s="11"/>
      <c r="H213" s="53"/>
      <c r="I213" s="11"/>
      <c r="J213" s="11"/>
      <c r="K213" s="11"/>
      <c r="L213" s="11"/>
      <c r="M213" s="1"/>
      <c r="N213" s="54"/>
      <c r="O213" s="54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3"/>
      <c r="B214" s="1"/>
      <c r="C214" s="11"/>
      <c r="D214" s="11"/>
      <c r="E214" s="11"/>
      <c r="F214" s="11"/>
      <c r="G214" s="11"/>
      <c r="H214" s="53"/>
      <c r="I214" s="11"/>
      <c r="J214" s="11"/>
      <c r="K214" s="11"/>
      <c r="L214" s="11"/>
      <c r="M214" s="1"/>
      <c r="N214" s="54"/>
      <c r="O214" s="54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3"/>
      <c r="B215" s="1"/>
      <c r="C215" s="11"/>
      <c r="D215" s="11"/>
      <c r="E215" s="11"/>
      <c r="F215" s="11"/>
      <c r="G215" s="11"/>
      <c r="H215" s="53"/>
      <c r="I215" s="11"/>
      <c r="J215" s="11"/>
      <c r="K215" s="11"/>
      <c r="L215" s="11"/>
      <c r="M215" s="1"/>
      <c r="N215" s="54"/>
      <c r="O215" s="54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3"/>
      <c r="B216" s="1"/>
      <c r="C216" s="11"/>
      <c r="D216" s="11"/>
      <c r="E216" s="11"/>
      <c r="F216" s="11"/>
      <c r="G216" s="11"/>
      <c r="H216" s="53"/>
      <c r="I216" s="11"/>
      <c r="J216" s="11"/>
      <c r="K216" s="11"/>
      <c r="L216" s="11"/>
      <c r="M216" s="1"/>
      <c r="N216" s="54"/>
      <c r="O216" s="54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3"/>
      <c r="B217" s="1"/>
      <c r="C217" s="11"/>
      <c r="D217" s="11"/>
      <c r="E217" s="11"/>
      <c r="F217" s="11"/>
      <c r="G217" s="11"/>
      <c r="H217" s="53"/>
      <c r="I217" s="11"/>
      <c r="J217" s="11"/>
      <c r="K217" s="11"/>
      <c r="L217" s="11"/>
      <c r="M217" s="1"/>
      <c r="N217" s="54"/>
      <c r="O217" s="54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3"/>
      <c r="B218" s="1"/>
      <c r="C218" s="11"/>
      <c r="D218" s="11"/>
      <c r="E218" s="11"/>
      <c r="F218" s="11"/>
      <c r="G218" s="11"/>
      <c r="H218" s="53"/>
      <c r="I218" s="11"/>
      <c r="J218" s="11"/>
      <c r="K218" s="11"/>
      <c r="L218" s="11"/>
      <c r="M218" s="1"/>
      <c r="N218" s="54"/>
      <c r="O218" s="54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3"/>
      <c r="B219" s="1"/>
      <c r="C219" s="11"/>
      <c r="D219" s="11"/>
      <c r="E219" s="11"/>
      <c r="F219" s="11"/>
      <c r="G219" s="11"/>
      <c r="H219" s="53"/>
      <c r="I219" s="11"/>
      <c r="J219" s="11"/>
      <c r="K219" s="11"/>
      <c r="L219" s="11"/>
      <c r="M219" s="1"/>
      <c r="N219" s="54"/>
      <c r="O219" s="54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3"/>
      <c r="B220" s="1"/>
      <c r="C220" s="11"/>
      <c r="D220" s="11"/>
      <c r="E220" s="11"/>
      <c r="F220" s="11"/>
      <c r="G220" s="11"/>
      <c r="H220" s="53"/>
      <c r="I220" s="11"/>
      <c r="J220" s="11"/>
      <c r="K220" s="11"/>
      <c r="L220" s="11"/>
      <c r="M220" s="1"/>
      <c r="N220" s="54"/>
      <c r="O220" s="54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3"/>
      <c r="B221" s="1"/>
      <c r="C221" s="11"/>
      <c r="D221" s="11"/>
      <c r="E221" s="11"/>
      <c r="F221" s="11"/>
      <c r="G221" s="11"/>
      <c r="H221" s="53"/>
      <c r="I221" s="11"/>
      <c r="J221" s="11"/>
      <c r="K221" s="11"/>
      <c r="L221" s="11"/>
      <c r="M221" s="1"/>
      <c r="N221" s="54"/>
      <c r="O221" s="54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3"/>
      <c r="B222" s="1"/>
      <c r="C222" s="11"/>
      <c r="D222" s="11"/>
      <c r="E222" s="11"/>
      <c r="F222" s="11"/>
      <c r="G222" s="11"/>
      <c r="H222" s="53"/>
      <c r="I222" s="11"/>
      <c r="J222" s="11"/>
      <c r="K222" s="11"/>
      <c r="L222" s="11"/>
      <c r="M222" s="1"/>
      <c r="N222" s="54"/>
      <c r="O222" s="54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3"/>
      <c r="B223" s="1"/>
      <c r="C223" s="11"/>
      <c r="D223" s="11"/>
      <c r="E223" s="11"/>
      <c r="F223" s="11"/>
      <c r="G223" s="11"/>
      <c r="H223" s="53"/>
      <c r="I223" s="11"/>
      <c r="J223" s="11"/>
      <c r="K223" s="11"/>
      <c r="L223" s="11"/>
      <c r="M223" s="1"/>
      <c r="N223" s="54"/>
      <c r="O223" s="54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3"/>
      <c r="B224" s="1"/>
      <c r="C224" s="11"/>
      <c r="D224" s="11"/>
      <c r="E224" s="11"/>
      <c r="F224" s="11"/>
      <c r="G224" s="11"/>
      <c r="H224" s="53"/>
      <c r="I224" s="11"/>
      <c r="J224" s="11"/>
      <c r="K224" s="11"/>
      <c r="L224" s="11"/>
      <c r="M224" s="1"/>
      <c r="N224" s="54"/>
      <c r="O224" s="54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3"/>
      <c r="B225" s="1"/>
      <c r="C225" s="11"/>
      <c r="D225" s="11"/>
      <c r="E225" s="11"/>
      <c r="F225" s="11"/>
      <c r="G225" s="11"/>
      <c r="H225" s="53"/>
      <c r="I225" s="11"/>
      <c r="J225" s="11"/>
      <c r="K225" s="11"/>
      <c r="L225" s="11"/>
      <c r="M225" s="1"/>
      <c r="N225" s="54"/>
      <c r="O225" s="54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3"/>
      <c r="B226" s="1"/>
      <c r="C226" s="11"/>
      <c r="D226" s="11"/>
      <c r="E226" s="11"/>
      <c r="F226" s="11"/>
      <c r="G226" s="11"/>
      <c r="H226" s="53"/>
      <c r="I226" s="11"/>
      <c r="J226" s="11"/>
      <c r="K226" s="11"/>
      <c r="L226" s="11"/>
      <c r="M226" s="1"/>
      <c r="N226" s="54"/>
      <c r="O226" s="54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3"/>
      <c r="B227" s="1"/>
      <c r="C227" s="11"/>
      <c r="D227" s="11"/>
      <c r="E227" s="11"/>
      <c r="F227" s="11"/>
      <c r="G227" s="11"/>
      <c r="H227" s="53"/>
      <c r="I227" s="11"/>
      <c r="J227" s="11"/>
      <c r="K227" s="11"/>
      <c r="L227" s="11"/>
      <c r="M227" s="1"/>
      <c r="N227" s="54"/>
      <c r="O227" s="54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3"/>
      <c r="B228" s="1"/>
      <c r="C228" s="11"/>
      <c r="D228" s="11"/>
      <c r="E228" s="11"/>
      <c r="F228" s="11"/>
      <c r="G228" s="11"/>
      <c r="H228" s="53"/>
      <c r="I228" s="11"/>
      <c r="J228" s="11"/>
      <c r="K228" s="11"/>
      <c r="L228" s="11"/>
      <c r="M228" s="1"/>
      <c r="N228" s="54"/>
      <c r="O228" s="54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3"/>
      <c r="B229" s="1"/>
      <c r="C229" s="11"/>
      <c r="D229" s="11"/>
      <c r="E229" s="11"/>
      <c r="F229" s="11"/>
      <c r="G229" s="11"/>
      <c r="H229" s="53"/>
      <c r="I229" s="11"/>
      <c r="J229" s="11"/>
      <c r="K229" s="11"/>
      <c r="L229" s="11"/>
      <c r="M229" s="1"/>
      <c r="N229" s="54"/>
      <c r="O229" s="54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3"/>
      <c r="B230" s="1"/>
      <c r="C230" s="11"/>
      <c r="D230" s="11"/>
      <c r="E230" s="11"/>
      <c r="F230" s="11"/>
      <c r="G230" s="11"/>
      <c r="H230" s="53"/>
      <c r="I230" s="11"/>
      <c r="J230" s="11"/>
      <c r="K230" s="11"/>
      <c r="L230" s="11"/>
      <c r="M230" s="1"/>
      <c r="N230" s="54"/>
      <c r="O230" s="54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3"/>
      <c r="B231" s="1"/>
      <c r="C231" s="11"/>
      <c r="D231" s="11"/>
      <c r="E231" s="11"/>
      <c r="F231" s="11"/>
      <c r="G231" s="11"/>
      <c r="H231" s="53"/>
      <c r="I231" s="11"/>
      <c r="J231" s="11"/>
      <c r="K231" s="11"/>
      <c r="L231" s="11"/>
      <c r="M231" s="1"/>
      <c r="N231" s="54"/>
      <c r="O231" s="54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3"/>
      <c r="B232" s="1"/>
      <c r="C232" s="11"/>
      <c r="D232" s="11"/>
      <c r="E232" s="11"/>
      <c r="F232" s="11"/>
      <c r="G232" s="11"/>
      <c r="H232" s="53"/>
      <c r="I232" s="11"/>
      <c r="J232" s="11"/>
      <c r="K232" s="11"/>
      <c r="L232" s="11"/>
      <c r="M232" s="1"/>
      <c r="N232" s="54"/>
      <c r="O232" s="54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3"/>
      <c r="B233" s="1"/>
      <c r="C233" s="11"/>
      <c r="D233" s="11"/>
      <c r="E233" s="11"/>
      <c r="F233" s="11"/>
      <c r="G233" s="11"/>
      <c r="H233" s="53"/>
      <c r="I233" s="11"/>
      <c r="J233" s="11"/>
      <c r="K233" s="11"/>
      <c r="L233" s="11"/>
      <c r="M233" s="1"/>
      <c r="N233" s="54"/>
      <c r="O233" s="54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3"/>
      <c r="B234" s="1"/>
      <c r="C234" s="11"/>
      <c r="D234" s="11"/>
      <c r="E234" s="11"/>
      <c r="F234" s="11"/>
      <c r="G234" s="11"/>
      <c r="H234" s="53"/>
      <c r="I234" s="11"/>
      <c r="J234" s="11"/>
      <c r="K234" s="11"/>
      <c r="L234" s="11"/>
      <c r="M234" s="1"/>
      <c r="N234" s="54"/>
      <c r="O234" s="54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3"/>
      <c r="B235" s="1"/>
      <c r="C235" s="11"/>
      <c r="D235" s="11"/>
      <c r="E235" s="11"/>
      <c r="F235" s="11"/>
      <c r="G235" s="11"/>
      <c r="H235" s="53"/>
      <c r="I235" s="11"/>
      <c r="J235" s="11"/>
      <c r="K235" s="11"/>
      <c r="L235" s="11"/>
      <c r="M235" s="1"/>
      <c r="N235" s="54"/>
      <c r="O235" s="54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9:B13"/>
    <mergeCell ref="B16:B20"/>
    <mergeCell ref="B23:B27"/>
    <mergeCell ref="B30:B34"/>
    <mergeCell ref="B2:O2"/>
    <mergeCell ref="B3:O3"/>
    <mergeCell ref="B5:C5"/>
    <mergeCell ref="E5:F5"/>
    <mergeCell ref="G5:I5"/>
    <mergeCell ref="J5:L5"/>
    <mergeCell ref="M5:O5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52.29"/>
    <col customWidth="1" min="4" max="4" width="39.43"/>
    <col customWidth="1" min="5" max="6" width="44.29"/>
    <col customWidth="1" min="7" max="26" width="11.43"/>
  </cols>
  <sheetData>
    <row r="1" ht="14.25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14.25" customHeight="1">
      <c r="A2" s="59"/>
      <c r="B2" s="59"/>
      <c r="C2" s="76" t="s">
        <v>30</v>
      </c>
      <c r="D2" s="76" t="s">
        <v>31</v>
      </c>
      <c r="E2" s="76" t="s">
        <v>32</v>
      </c>
      <c r="F2" s="76" t="s">
        <v>33</v>
      </c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96.75" customHeight="1">
      <c r="A3" s="59" t="str">
        <f t="shared" ref="A3:A4" si="1">#REF!</f>
        <v>#REF!</v>
      </c>
      <c r="B3" s="59" t="s">
        <v>34</v>
      </c>
      <c r="C3" s="77" t="s">
        <v>35</v>
      </c>
      <c r="D3" s="77" t="s">
        <v>36</v>
      </c>
      <c r="E3" s="77" t="s">
        <v>37</v>
      </c>
      <c r="F3" s="77" t="s">
        <v>38</v>
      </c>
      <c r="G3" s="77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96.75" customHeight="1">
      <c r="A4" s="59" t="str">
        <f t="shared" si="1"/>
        <v>#REF!</v>
      </c>
      <c r="B4" s="59" t="s">
        <v>39</v>
      </c>
      <c r="C4" s="77" t="s">
        <v>40</v>
      </c>
      <c r="D4" s="77" t="s">
        <v>41</v>
      </c>
      <c r="E4" s="77" t="s">
        <v>42</v>
      </c>
      <c r="F4" s="77" t="s">
        <v>43</v>
      </c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14.25" customHeight="1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14.25" customHeight="1">
      <c r="A6" s="59"/>
      <c r="B6" s="59"/>
      <c r="C6" s="76" t="s">
        <v>44</v>
      </c>
      <c r="D6" s="76" t="s">
        <v>45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15.0" customHeight="1">
      <c r="A7" s="59"/>
      <c r="B7" s="59"/>
      <c r="C7" s="78" t="s">
        <v>46</v>
      </c>
      <c r="D7" s="59" t="s">
        <v>47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15.0" customHeight="1">
      <c r="A8" s="59"/>
      <c r="B8" s="59"/>
      <c r="C8" s="78" t="s">
        <v>48</v>
      </c>
      <c r="D8" s="79" t="s">
        <v>49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15.0" customHeight="1">
      <c r="A9" s="59"/>
      <c r="B9" s="59"/>
      <c r="C9" s="59" t="s">
        <v>50</v>
      </c>
      <c r="D9" s="78" t="s">
        <v>51</v>
      </c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15.0" customHeight="1">
      <c r="A10" s="59"/>
      <c r="B10" s="59"/>
      <c r="C10" s="59" t="s">
        <v>52</v>
      </c>
      <c r="D10" s="80" t="s">
        <v>53</v>
      </c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15.0" customHeight="1">
      <c r="A11" s="59"/>
      <c r="B11" s="59"/>
      <c r="C11" s="59" t="s">
        <v>54</v>
      </c>
      <c r="D11" s="80" t="s">
        <v>55</v>
      </c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ht="15.0" customHeight="1">
      <c r="A12" s="59"/>
      <c r="B12" s="59"/>
      <c r="C12" s="59" t="s">
        <v>56</v>
      </c>
      <c r="D12" s="81" t="s">
        <v>57</v>
      </c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ht="15.0" customHeight="1">
      <c r="A13" s="59"/>
      <c r="B13" s="59"/>
      <c r="C13" s="59" t="s">
        <v>58</v>
      </c>
      <c r="D13" s="80" t="s">
        <v>59</v>
      </c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ht="15.0" customHeight="1">
      <c r="A14" s="59"/>
      <c r="B14" s="59"/>
      <c r="C14" s="59" t="s">
        <v>60</v>
      </c>
      <c r="D14" s="79" t="s">
        <v>61</v>
      </c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ht="15.0" customHeight="1">
      <c r="A15" s="59"/>
      <c r="B15" s="59"/>
      <c r="C15" s="59" t="s">
        <v>62</v>
      </c>
      <c r="D15" s="82" t="s">
        <v>63</v>
      </c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15.0" customHeight="1">
      <c r="A16" s="59"/>
      <c r="B16" s="59"/>
      <c r="C16" s="59" t="s">
        <v>64</v>
      </c>
      <c r="D16" s="83" t="s">
        <v>65</v>
      </c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15.0" customHeight="1">
      <c r="A17" s="59"/>
      <c r="B17" s="59"/>
      <c r="C17" s="59" t="s">
        <v>66</v>
      </c>
      <c r="D17" s="59" t="s">
        <v>67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15.0" customHeight="1">
      <c r="A18" s="59"/>
      <c r="B18" s="59"/>
      <c r="C18" s="59" t="s">
        <v>68</v>
      </c>
      <c r="D18" s="59" t="s">
        <v>69</v>
      </c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ht="15.0" customHeight="1">
      <c r="A19" s="59"/>
      <c r="B19" s="59"/>
      <c r="C19" s="59" t="s">
        <v>70</v>
      </c>
      <c r="D19" s="59" t="s">
        <v>71</v>
      </c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ht="15.0" customHeight="1">
      <c r="A20" s="59"/>
      <c r="B20" s="59"/>
      <c r="C20" s="59" t="s">
        <v>72</v>
      </c>
      <c r="D20" s="59" t="s">
        <v>73</v>
      </c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15.0" customHeight="1">
      <c r="A21" s="59"/>
      <c r="B21" s="59"/>
      <c r="C21" s="59" t="s">
        <v>74</v>
      </c>
      <c r="D21" s="59" t="s">
        <v>75</v>
      </c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5.0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15.0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14.25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14.25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14.25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14.2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ht="14.25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14.2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14.2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14.2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4.2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14.2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14.2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14.2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4.2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14.2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14.2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14.2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14.2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14.2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14.2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14.2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14.2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14.2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14.2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14.2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14.2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14.2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14.2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14.2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14.2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14.2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14.2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14.2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14.2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14.2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14.2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14.2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14.2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14.2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14.2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14.2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14.2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14.2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14.2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14.2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14.2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14.2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14.2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14.2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14.2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14.2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14.2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14.2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14.2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14.2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14.2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14.2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14.2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14.2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14.2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14.2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14.2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14.2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14.2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14.2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14.2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14.2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14.2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14.2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14.2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14.2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14.2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14.2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14.2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14.2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14.2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14.2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14.2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14.2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14.2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14.2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14.2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14.2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14.2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14.2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14.2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14.2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14.2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14.2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14.2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14.2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14.2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14.2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14.2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14.2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14.2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14.2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14.2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14.2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14.2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14.2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14.2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14.2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14.2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14.2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14.2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14.2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14.2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14.2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14.2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14.2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14.2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14.2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14.2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14.2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14.2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14.2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14.2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14.2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14.2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14.2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14.2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14.2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14.2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14.2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14.2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14.2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14.2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14.2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14.2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14.2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14.2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14.2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14.2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14.2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14.2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14.2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14.2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14.2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14.2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14.2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14.2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14.2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14.2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14.2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14.2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14.2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14.2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14.2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14.2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14.2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14.2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14.2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14.2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14.2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14.2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14.2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14.2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14.2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14.2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14.2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14.2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14.2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14.2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14.2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14.2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14.2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14.2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14.2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14.2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14.2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14.2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14.2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14.2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14.2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14.2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14.2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14.2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14.2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14.2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14.2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14.2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14.2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14.2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14.2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14.2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14.2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14.2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14.2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14.2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14.2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14.2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14.2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14.2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14.2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14.2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14.2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14.2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14.2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