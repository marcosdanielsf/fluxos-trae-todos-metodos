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ção de metas" sheetId="1" r:id="rId4"/>
    <sheet state="visible" name="OTE - Salários inside" sheetId="2" r:id="rId5"/>
    <sheet state="visible" name="Variavel SDR" sheetId="3" r:id="rId6"/>
    <sheet state="visible" name="Variável Closer" sheetId="4" r:id="rId7"/>
  </sheets>
  <definedNames/>
  <calcPr/>
</workbook>
</file>

<file path=xl/sharedStrings.xml><?xml version="1.0" encoding="utf-8"?>
<sst xmlns="http://schemas.openxmlformats.org/spreadsheetml/2006/main" count="109" uniqueCount="73">
  <si>
    <t>`</t>
  </si>
  <si>
    <t>Meta por Sales Rep</t>
  </si>
  <si>
    <t>Mês</t>
  </si>
  <si>
    <t>TOTAL</t>
  </si>
  <si>
    <t>MRR</t>
  </si>
  <si>
    <t>Closer 1</t>
  </si>
  <si>
    <t>Tícket Médio</t>
  </si>
  <si>
    <t>Closer 2</t>
  </si>
  <si>
    <t>Qtd contratos</t>
  </si>
  <si>
    <t>Closer 3</t>
  </si>
  <si>
    <t>New MRR mês</t>
  </si>
  <si>
    <t>Meta MRR (R$)</t>
  </si>
  <si>
    <t>Taxa fechamento</t>
  </si>
  <si>
    <t>Total ARR (R$)</t>
  </si>
  <si>
    <t xml:space="preserve">Total de novos clientes </t>
  </si>
  <si>
    <t>SQL POR CLOSER</t>
  </si>
  <si>
    <t>Total de reuniões realizadas por Closer</t>
  </si>
  <si>
    <t>SQL TOTAL</t>
  </si>
  <si>
    <t>Total de reuniões realizadas</t>
  </si>
  <si>
    <t>Taxa de no show</t>
  </si>
  <si>
    <t>Taxa de leads que irão comparecer a reunião agendada</t>
  </si>
  <si>
    <t>Meta SDR</t>
  </si>
  <si>
    <t>Taxa de MQL</t>
  </si>
  <si>
    <t xml:space="preserve">Taxa de leads que converteram em reuniões agendadas </t>
  </si>
  <si>
    <t>Meta MKT</t>
  </si>
  <si>
    <t>Taxa de SAL</t>
  </si>
  <si>
    <t>CLOSER</t>
  </si>
  <si>
    <t>SDR</t>
  </si>
  <si>
    <t>Cargo</t>
  </si>
  <si>
    <t>Fixo</t>
  </si>
  <si>
    <t>Variável</t>
  </si>
  <si>
    <t>OTE</t>
  </si>
  <si>
    <t xml:space="preserve">Júnior </t>
  </si>
  <si>
    <t xml:space="preserve">Pleno </t>
  </si>
  <si>
    <t>Sênior</t>
  </si>
  <si>
    <t>Coordenadores</t>
  </si>
  <si>
    <t>Enablements</t>
  </si>
  <si>
    <t>Valores</t>
  </si>
  <si>
    <t>Simulação</t>
  </si>
  <si>
    <t>META</t>
  </si>
  <si>
    <t>Valor da reunião qualificada</t>
  </si>
  <si>
    <t>Qualificadas (qtd.)</t>
  </si>
  <si>
    <t>Valor da reunião conv. p/ ganho</t>
  </si>
  <si>
    <t>Ganhos</t>
  </si>
  <si>
    <t>Não ganhos</t>
  </si>
  <si>
    <t xml:space="preserve">Premissas </t>
  </si>
  <si>
    <t>Variável atingida</t>
  </si>
  <si>
    <t>Taxa de conversão ganho</t>
  </si>
  <si>
    <t>Remuneração final</t>
  </si>
  <si>
    <t>Acelerador atingimento meta</t>
  </si>
  <si>
    <t>Meta MRR</t>
  </si>
  <si>
    <t>MRR atingido</t>
  </si>
  <si>
    <t>% atingido</t>
  </si>
  <si>
    <t>Comissão</t>
  </si>
  <si>
    <t>Aceleradores</t>
  </si>
  <si>
    <t>&lt; 50%</t>
  </si>
  <si>
    <t>De 50% a 100%</t>
  </si>
  <si>
    <t>Proporcional</t>
  </si>
  <si>
    <t>100% a 110%</t>
  </si>
  <si>
    <t>110,01 a 120%</t>
  </si>
  <si>
    <t>120,01 a 130%</t>
  </si>
  <si>
    <t>130,01 a 140%</t>
  </si>
  <si>
    <t>140,01 a 150%</t>
  </si>
  <si>
    <t>150,01 a 160%</t>
  </si>
  <si>
    <t>160,01 a 170%</t>
  </si>
  <si>
    <t>170,01 a 180%</t>
  </si>
  <si>
    <t>&gt; 180%</t>
  </si>
  <si>
    <t>% da meta atingida</t>
  </si>
  <si>
    <t>Valor vendido sem bônus</t>
  </si>
  <si>
    <t>% do bônus</t>
  </si>
  <si>
    <t>Comissão com bônus final</t>
  </si>
  <si>
    <t>De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</si>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</sst>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[$R$ -416]#,##0.00"/>
    <numFmt numFmtId="166" formatCode="[$$]#,##0.00"/>
    <numFmt numFmtId="167" formatCode="&quot;R$&quot;\ #,##0.00;[Red]\-&quot;R$&quot;\ #,##0.00"/>
    <numFmt numFmtId="168" formatCode="_-&quot;R$&quot;\ * #,##0.00_-;\-&quot;R$&quot;\ * #,##0.00_-;_-&quot;R$&quot;\ * &quot;-&quot;??_-;_-@"/>
    <numFmt numFmtId="169" formatCode="[$R$]#,##0.00"/>
    <numFmt numFmtId="170" formatCode="0.000"/>
  </numFmts>
  <fonts count="28">
    <font>
      <sz val="11.0"/>
      <color rgb="FF000000"/>
      <name val="Calibri"/>
      <scheme val="minor"/>
    </font>
    <font>
      <sz val="11.0"/>
      <color theme="1"/>
      <name val="Calibri"/>
    </font>
    <font>
      <sz val="9.0"/>
      <color theme="1"/>
      <name val="Calibri"/>
    </font>
    <font>
      <sz val="11.0"/>
      <color rgb="FF000000"/>
      <name val="Calibri"/>
    </font>
    <font>
      <b/>
      <sz val="10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color theme="1"/>
      <name val="Calibri"/>
    </font>
    <font>
      <b/>
      <color rgb="FF000000"/>
      <name val="Calibri"/>
    </font>
    <font>
      <b/>
      <sz val="10.0"/>
      <color theme="1"/>
      <name val="Calibri"/>
    </font>
    <font>
      <color rgb="FF000000"/>
      <name val="Calibri"/>
    </font>
    <font>
      <sz val="11.0"/>
      <color rgb="FFFFFFFF"/>
      <name val="Calibri"/>
    </font>
    <font>
      <sz val="9.0"/>
      <color rgb="FFFFFFFF"/>
      <name val="Calibri"/>
    </font>
    <font/>
    <font>
      <b/>
      <sz val="11.0"/>
      <color theme="1"/>
      <name val="Calibri"/>
    </font>
    <font>
      <sz val="11.0"/>
      <color theme="1"/>
      <name val="Arial"/>
    </font>
    <font>
      <sz val="9.0"/>
      <color theme="1"/>
      <name val="Arial"/>
    </font>
    <font>
      <b/>
      <sz val="9.0"/>
      <color theme="1"/>
      <name val="Calibri"/>
    </font>
    <font>
      <b/>
      <sz val="11.0"/>
      <color rgb="FFFFFFFF"/>
      <name val="Arial"/>
    </font>
    <font>
      <b/>
      <sz val="11.0"/>
      <color rgb="FF434343"/>
      <name val="Arial"/>
    </font>
    <font>
      <sz val="11.0"/>
      <color rgb="FF000000"/>
      <name val="Arial"/>
    </font>
    <font>
      <sz val="11.0"/>
      <color rgb="FFFFFFFF"/>
      <name val="Arial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9.0"/>
      <color rgb="FFFFFFFF"/>
      <name val="Calibri"/>
    </font>
    <font>
      <sz val="9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F44CA"/>
        <bgColor rgb="FF0F44CA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3D85C6"/>
        <bgColor rgb="FF3D85C6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left" vertical="center"/>
    </xf>
    <xf borderId="1" fillId="2" fontId="5" numFmtId="0" xfId="0" applyAlignment="1" applyBorder="1" applyFont="1">
      <alignment horizontal="left"/>
    </xf>
    <xf borderId="1" fillId="3" fontId="6" numFmtId="0" xfId="0" applyAlignment="1" applyBorder="1" applyFill="1" applyFont="1">
      <alignment horizontal="left" vertical="center"/>
    </xf>
    <xf borderId="1" fillId="2" fontId="7" numFmtId="0" xfId="0" applyAlignment="1" applyBorder="1" applyFont="1">
      <alignment horizontal="center"/>
    </xf>
    <xf borderId="0" fillId="4" fontId="1" numFmtId="0" xfId="0" applyFill="1" applyFont="1"/>
    <xf borderId="0" fillId="5" fontId="1" numFmtId="0" xfId="0" applyFill="1" applyFont="1"/>
    <xf borderId="1" fillId="0" fontId="6" numFmtId="0" xfId="0" applyAlignment="1" applyBorder="1" applyFont="1">
      <alignment horizontal="left" vertical="center"/>
    </xf>
    <xf borderId="1" fillId="0" fontId="8" numFmtId="164" xfId="0" applyAlignment="1" applyBorder="1" applyFont="1" applyNumberFormat="1">
      <alignment horizontal="left" vertical="center"/>
    </xf>
    <xf borderId="1" fillId="3" fontId="1" numFmtId="0" xfId="0" applyAlignment="1" applyBorder="1" applyFont="1">
      <alignment horizontal="left" vertical="center"/>
    </xf>
    <xf borderId="1" fillId="5" fontId="6" numFmtId="0" xfId="0" applyAlignment="1" applyBorder="1" applyFont="1">
      <alignment horizontal="left" vertical="center"/>
    </xf>
    <xf borderId="1" fillId="0" fontId="6" numFmtId="164" xfId="0" applyAlignment="1" applyBorder="1" applyFont="1" applyNumberFormat="1">
      <alignment horizontal="left" vertical="center"/>
    </xf>
    <xf borderId="0" fillId="4" fontId="1" numFmtId="164" xfId="0" applyAlignment="1" applyFont="1" applyNumberFormat="1">
      <alignment vertical="bottom"/>
    </xf>
    <xf borderId="0" fillId="0" fontId="1" numFmtId="164" xfId="0" applyFont="1" applyNumberFormat="1"/>
    <xf borderId="1" fillId="0" fontId="5" numFmtId="0" xfId="0" applyAlignment="1" applyBorder="1" applyFont="1">
      <alignment horizontal="left" vertical="center"/>
    </xf>
    <xf borderId="0" fillId="0" fontId="1" numFmtId="0" xfId="0" applyFont="1"/>
    <xf borderId="0" fillId="0" fontId="9" numFmtId="0" xfId="0" applyFont="1"/>
    <xf borderId="1" fillId="2" fontId="7" numFmtId="0" xfId="0" applyAlignment="1" applyBorder="1" applyFont="1">
      <alignment horizontal="left"/>
    </xf>
    <xf borderId="1" fillId="2" fontId="4" numFmtId="164" xfId="0" applyAlignment="1" applyBorder="1" applyFont="1" applyNumberFormat="1">
      <alignment horizontal="left" vertical="center"/>
    </xf>
    <xf borderId="1" fillId="2" fontId="7" numFmtId="0" xfId="0" applyAlignment="1" applyBorder="1" applyFont="1">
      <alignment horizontal="left" vertical="center"/>
    </xf>
    <xf borderId="1" fillId="2" fontId="7" numFmtId="164" xfId="0" applyAlignment="1" applyBorder="1" applyFont="1" applyNumberFormat="1">
      <alignment horizontal="center" vertical="center"/>
    </xf>
    <xf borderId="0" fillId="4" fontId="10" numFmtId="165" xfId="0" applyFont="1" applyNumberFormat="1"/>
    <xf borderId="1" fillId="4" fontId="11" numFmtId="0" xfId="0" applyBorder="1" applyFont="1"/>
    <xf borderId="1" fillId="0" fontId="11" numFmtId="0" xfId="0" applyAlignment="1" applyBorder="1" applyFont="1">
      <alignment horizontal="left" vertical="center"/>
    </xf>
    <xf borderId="0" fillId="4" fontId="12" numFmtId="165" xfId="0" applyAlignment="1" applyFont="1" applyNumberFormat="1">
      <alignment horizontal="center"/>
    </xf>
    <xf borderId="0" fillId="0" fontId="1" numFmtId="165" xfId="0" applyFont="1" applyNumberFormat="1"/>
    <xf borderId="1" fillId="4" fontId="11" numFmtId="9" xfId="0" applyBorder="1" applyFont="1" applyNumberFormat="1"/>
    <xf borderId="2" fillId="3" fontId="1" numFmtId="0" xfId="0" applyAlignment="1" applyBorder="1" applyFont="1">
      <alignment horizontal="left" vertical="center"/>
    </xf>
    <xf borderId="3" fillId="4" fontId="11" numFmtId="0" xfId="0" applyAlignment="1" applyBorder="1" applyFont="1">
      <alignment horizontal="left" vertical="center"/>
    </xf>
    <xf borderId="3" fillId="4" fontId="5" numFmtId="166" xfId="0" applyAlignment="1" applyBorder="1" applyFont="1" applyNumberFormat="1">
      <alignment horizontal="center" vertical="center"/>
    </xf>
    <xf borderId="3" fillId="4" fontId="5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left" vertical="center"/>
    </xf>
    <xf borderId="4" fillId="4" fontId="11" numFmtId="164" xfId="0" applyAlignment="1" applyBorder="1" applyFont="1" applyNumberFormat="1">
      <alignment horizontal="left" vertical="center"/>
    </xf>
    <xf borderId="1" fillId="2" fontId="7" numFmtId="0" xfId="0" applyBorder="1" applyFont="1"/>
    <xf borderId="1" fillId="2" fontId="4" numFmtId="0" xfId="0" applyBorder="1" applyFont="1"/>
    <xf borderId="2" fillId="3" fontId="13" numFmtId="0" xfId="0" applyAlignment="1" applyBorder="1" applyFont="1">
      <alignment horizontal="left" vertical="center"/>
    </xf>
    <xf borderId="3" fillId="2" fontId="13" numFmtId="167" xfId="0" applyAlignment="1" applyBorder="1" applyFont="1" applyNumberFormat="1">
      <alignment horizontal="left" vertical="center"/>
    </xf>
    <xf borderId="3" fillId="2" fontId="14" numFmtId="167" xfId="0" applyAlignment="1" applyBorder="1" applyFont="1" applyNumberFormat="1">
      <alignment horizontal="center" vertical="center"/>
    </xf>
    <xf borderId="3" fillId="2" fontId="14" numFmtId="167" xfId="0" applyAlignment="1" applyBorder="1" applyFont="1" applyNumberFormat="1">
      <alignment horizontal="left" vertical="center"/>
    </xf>
    <xf borderId="4" fillId="2" fontId="14" numFmtId="0" xfId="0" applyAlignment="1" applyBorder="1" applyFont="1">
      <alignment horizontal="left" vertical="center"/>
    </xf>
    <xf borderId="1" fillId="4" fontId="1" numFmtId="0" xfId="0" applyBorder="1" applyFont="1"/>
    <xf borderId="1" fillId="4" fontId="1" numFmtId="9" xfId="0" applyBorder="1" applyFont="1" applyNumberFormat="1"/>
    <xf borderId="3" fillId="4" fontId="1" numFmtId="0" xfId="0" applyBorder="1" applyFont="1"/>
    <xf borderId="3" fillId="4" fontId="2" numFmtId="0" xfId="0" applyBorder="1" applyFont="1"/>
    <xf borderId="3" fillId="4" fontId="2" numFmtId="0" xfId="0" applyAlignment="1" applyBorder="1" applyFont="1">
      <alignment horizontal="left" vertical="center"/>
    </xf>
    <xf borderId="4" fillId="4" fontId="2" numFmtId="0" xfId="0" applyAlignment="1" applyBorder="1" applyFont="1">
      <alignment horizontal="left" vertical="center"/>
    </xf>
    <xf borderId="1" fillId="2" fontId="13" numFmtId="0" xfId="0" applyBorder="1" applyFont="1"/>
    <xf borderId="5" fillId="2" fontId="13" numFmtId="0" xfId="0" applyBorder="1" applyFont="1"/>
    <xf borderId="5" fillId="2" fontId="14" numFmtId="0" xfId="0" applyBorder="1" applyFont="1"/>
    <xf borderId="5" fillId="2" fontId="14" numFmtId="0" xfId="0" applyAlignment="1" applyBorder="1" applyFont="1">
      <alignment horizontal="left" vertical="center"/>
    </xf>
    <xf borderId="6" fillId="2" fontId="14" numFmtId="0" xfId="0" applyAlignment="1" applyBorder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7" fillId="4" fontId="1" numFmtId="0" xfId="0" applyAlignment="1" applyBorder="1" applyFont="1">
      <alignment horizontal="left" vertical="center"/>
    </xf>
    <xf borderId="8" fillId="0" fontId="15" numFmtId="0" xfId="0" applyBorder="1" applyFont="1"/>
    <xf borderId="9" fillId="0" fontId="15" numFmtId="0" xfId="0" applyBorder="1" applyFont="1"/>
    <xf borderId="1" fillId="3" fontId="13" numFmtId="0" xfId="0" applyAlignment="1" applyBorder="1" applyFont="1">
      <alignment horizontal="left" vertical="center"/>
    </xf>
    <xf borderId="2" fillId="2" fontId="13" numFmtId="0" xfId="0" applyAlignment="1" applyBorder="1" applyFont="1">
      <alignment horizontal="left" vertical="center"/>
    </xf>
    <xf borderId="3" fillId="0" fontId="15" numFmtId="0" xfId="0" applyBorder="1" applyFont="1"/>
    <xf borderId="4" fillId="0" fontId="15" numFmtId="0" xfId="0" applyBorder="1" applyFont="1"/>
    <xf borderId="0" fillId="0" fontId="3" numFmtId="3" xfId="0" applyFont="1" applyNumberFormat="1"/>
    <xf borderId="0" fillId="0" fontId="3" numFmtId="4" xfId="0" applyAlignment="1" applyFont="1" applyNumberFormat="1">
      <alignment horizontal="right"/>
    </xf>
    <xf borderId="0" fillId="0" fontId="3" numFmtId="168" xfId="0" applyFont="1" applyNumberFormat="1"/>
    <xf borderId="0" fillId="0" fontId="2" numFmtId="0" xfId="0" applyAlignment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1" numFmtId="168" xfId="0" applyAlignment="1" applyFont="1" applyNumberFormat="1">
      <alignment horizontal="left" vertical="center"/>
    </xf>
    <xf borderId="0" fillId="0" fontId="1" numFmtId="168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3" numFmtId="0" xfId="0" applyFont="1"/>
    <xf borderId="0" fillId="0" fontId="2" numFmtId="10" xfId="0" applyAlignment="1" applyFont="1" applyNumberFormat="1">
      <alignment horizontal="center" vertical="center"/>
    </xf>
    <xf borderId="10" fillId="6" fontId="16" numFmtId="0" xfId="0" applyBorder="1" applyFill="1" applyFont="1"/>
    <xf borderId="10" fillId="5" fontId="16" numFmtId="0" xfId="0" applyBorder="1" applyFont="1"/>
    <xf borderId="0" fillId="0" fontId="17" numFmtId="0" xfId="0" applyFont="1"/>
    <xf borderId="0" fillId="0" fontId="18" numFmtId="0" xfId="0" applyFont="1"/>
    <xf borderId="10" fillId="6" fontId="17" numFmtId="0" xfId="0" applyBorder="1" applyFont="1"/>
    <xf borderId="10" fillId="5" fontId="17" numFmtId="0" xfId="0" applyBorder="1" applyFont="1"/>
    <xf borderId="8" fillId="0" fontId="17" numFmtId="0" xfId="0" applyBorder="1" applyFont="1"/>
    <xf borderId="8" fillId="0" fontId="18" numFmtId="0" xfId="0" applyBorder="1" applyFont="1"/>
    <xf borderId="2" fillId="7" fontId="16" numFmtId="0" xfId="0" applyAlignment="1" applyBorder="1" applyFill="1" applyFont="1">
      <alignment horizontal="center" vertical="center"/>
    </xf>
    <xf borderId="1" fillId="7" fontId="19" numFmtId="0" xfId="0" applyAlignment="1" applyBorder="1" applyFont="1">
      <alignment horizontal="center" vertical="center"/>
    </xf>
    <xf borderId="2" fillId="7" fontId="19" numFmtId="0" xfId="0" applyAlignment="1" applyBorder="1" applyFont="1">
      <alignment horizontal="center" vertical="center"/>
    </xf>
    <xf borderId="1" fillId="8" fontId="16" numFmtId="0" xfId="0" applyAlignment="1" applyBorder="1" applyFill="1" applyFont="1">
      <alignment horizontal="center" vertical="center"/>
    </xf>
    <xf borderId="1" fillId="8" fontId="19" numFmtId="0" xfId="0" applyAlignment="1" applyBorder="1" applyFont="1">
      <alignment horizontal="center" vertical="center"/>
    </xf>
    <xf borderId="11" fillId="0" fontId="1" numFmtId="9" xfId="0" applyAlignment="1" applyBorder="1" applyFont="1" applyNumberFormat="1">
      <alignment horizontal="center"/>
    </xf>
    <xf borderId="12" fillId="0" fontId="1" numFmtId="10" xfId="0" applyAlignment="1" applyBorder="1" applyFont="1" applyNumberFormat="1">
      <alignment horizontal="center"/>
    </xf>
    <xf borderId="12" fillId="0" fontId="1" numFmtId="169" xfId="0" applyAlignment="1" applyBorder="1" applyFont="1" applyNumberFormat="1">
      <alignment horizontal="center"/>
    </xf>
    <xf borderId="12" fillId="0" fontId="2" numFmtId="9" xfId="0" applyAlignment="1" applyBorder="1" applyFont="1" applyNumberFormat="1">
      <alignment horizontal="center"/>
    </xf>
    <xf borderId="11" fillId="0" fontId="2" numFmtId="169" xfId="0" applyAlignment="1" applyBorder="1" applyFont="1" applyNumberFormat="1">
      <alignment horizontal="center"/>
    </xf>
    <xf borderId="12" fillId="0" fontId="2" numFmtId="169" xfId="0" applyAlignment="1" applyBorder="1" applyFont="1" applyNumberFormat="1">
      <alignment horizontal="center"/>
    </xf>
    <xf borderId="13" fillId="0" fontId="1" numFmtId="9" xfId="0" applyAlignment="1" applyBorder="1" applyFont="1" applyNumberFormat="1">
      <alignment horizontal="center"/>
    </xf>
    <xf borderId="14" fillId="0" fontId="1" numFmtId="10" xfId="0" applyAlignment="1" applyBorder="1" applyFont="1" applyNumberFormat="1">
      <alignment horizontal="center"/>
    </xf>
    <xf borderId="14" fillId="0" fontId="1" numFmtId="169" xfId="0" applyAlignment="1" applyBorder="1" applyFont="1" applyNumberFormat="1">
      <alignment horizontal="center"/>
    </xf>
    <xf borderId="14" fillId="0" fontId="2" numFmtId="0" xfId="0" applyAlignment="1" applyBorder="1" applyFont="1">
      <alignment horizontal="center"/>
    </xf>
    <xf borderId="15" fillId="0" fontId="2" numFmtId="169" xfId="0" applyAlignment="1" applyBorder="1" applyFont="1" applyNumberFormat="1">
      <alignment horizontal="center"/>
    </xf>
    <xf borderId="16" fillId="0" fontId="2" numFmtId="169" xfId="0" applyAlignment="1" applyBorder="1" applyFont="1" applyNumberFormat="1">
      <alignment horizontal="center"/>
    </xf>
    <xf borderId="14" fillId="0" fontId="1" numFmtId="9" xfId="0" applyAlignment="1" applyBorder="1" applyFont="1" applyNumberFormat="1">
      <alignment horizontal="center"/>
    </xf>
    <xf borderId="14" fillId="0" fontId="2" numFmtId="9" xfId="0" applyAlignment="1" applyBorder="1" applyFont="1" applyNumberFormat="1">
      <alignment horizontal="center"/>
    </xf>
    <xf borderId="17" fillId="0" fontId="1" numFmtId="9" xfId="0" applyAlignment="1" applyBorder="1" applyFont="1" applyNumberFormat="1">
      <alignment horizontal="center"/>
    </xf>
    <xf borderId="9" fillId="0" fontId="1" numFmtId="9" xfId="0" applyAlignment="1" applyBorder="1" applyFont="1" applyNumberFormat="1">
      <alignment horizontal="center"/>
    </xf>
    <xf borderId="9" fillId="0" fontId="1" numFmtId="169" xfId="0" applyAlignment="1" applyBorder="1" applyFont="1" applyNumberFormat="1">
      <alignment horizontal="center"/>
    </xf>
    <xf borderId="9" fillId="0" fontId="2" numFmtId="9" xfId="0" applyAlignment="1" applyBorder="1" applyFont="1" applyNumberFormat="1">
      <alignment horizontal="center"/>
    </xf>
    <xf borderId="18" fillId="0" fontId="2" numFmtId="169" xfId="0" applyAlignment="1" applyBorder="1" applyFont="1" applyNumberFormat="1">
      <alignment horizontal="center"/>
    </xf>
    <xf borderId="10" fillId="9" fontId="17" numFmtId="0" xfId="0" applyBorder="1" applyFill="1" applyFont="1"/>
    <xf borderId="19" fillId="9" fontId="20" numFmtId="0" xfId="0" applyAlignment="1" applyBorder="1" applyFont="1">
      <alignment horizontal="center"/>
    </xf>
    <xf borderId="20" fillId="0" fontId="15" numFmtId="0" xfId="0" applyBorder="1" applyFont="1"/>
    <xf borderId="21" fillId="0" fontId="17" numFmtId="0" xfId="0" applyBorder="1" applyFont="1"/>
    <xf borderId="0" fillId="0" fontId="21" numFmtId="0" xfId="0" applyAlignment="1" applyFont="1">
      <alignment horizontal="center"/>
    </xf>
    <xf borderId="10" fillId="9" fontId="20" numFmtId="0" xfId="0" applyAlignment="1" applyBorder="1" applyFont="1">
      <alignment horizontal="center"/>
    </xf>
    <xf borderId="10" fillId="5" fontId="17" numFmtId="0" xfId="0" applyAlignment="1" applyBorder="1" applyFont="1">
      <alignment horizontal="center"/>
    </xf>
    <xf borderId="10" fillId="5" fontId="22" numFmtId="165" xfId="0" applyAlignment="1" applyBorder="1" applyFont="1" applyNumberFormat="1">
      <alignment horizontal="center"/>
    </xf>
    <xf borderId="10" fillId="5" fontId="17" numFmtId="165" xfId="0" applyAlignment="1" applyBorder="1" applyFont="1" applyNumberFormat="1">
      <alignment horizontal="center"/>
    </xf>
    <xf borderId="10" fillId="9" fontId="23" numFmtId="165" xfId="0" applyAlignment="1" applyBorder="1" applyFont="1" applyNumberFormat="1">
      <alignment horizontal="center"/>
    </xf>
    <xf borderId="0" fillId="0" fontId="21" numFmtId="0" xfId="0" applyFont="1"/>
    <xf borderId="21" fillId="0" fontId="17" numFmtId="2" xfId="0" applyBorder="1" applyFont="1" applyNumberFormat="1"/>
    <xf borderId="22" fillId="0" fontId="17" numFmtId="0" xfId="0" applyBorder="1" applyFont="1"/>
    <xf borderId="21" fillId="10" fontId="17" numFmtId="0" xfId="0" applyBorder="1" applyFill="1" applyFont="1"/>
    <xf borderId="21" fillId="5" fontId="17" numFmtId="0" xfId="0" applyBorder="1" applyFont="1"/>
    <xf borderId="0" fillId="0" fontId="1" numFmtId="0" xfId="0" applyAlignment="1" applyFont="1">
      <alignment horizontal="center" vertical="center"/>
    </xf>
    <xf borderId="10" fillId="5" fontId="3" numFmtId="0" xfId="0" applyAlignment="1" applyBorder="1" applyFont="1">
      <alignment horizontal="left" vertical="center"/>
    </xf>
    <xf borderId="10" fillId="9" fontId="24" numFmtId="0" xfId="0" applyAlignment="1" applyBorder="1" applyFont="1">
      <alignment horizontal="left" vertical="center"/>
    </xf>
    <xf borderId="10" fillId="9" fontId="1" numFmtId="0" xfId="0" applyAlignment="1" applyBorder="1" applyFont="1">
      <alignment horizontal="left"/>
    </xf>
    <xf borderId="10" fillId="9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0" fillId="5" fontId="3" numFmtId="0" xfId="0" applyAlignment="1" applyBorder="1" applyFont="1">
      <alignment horizontal="center" vertical="center"/>
    </xf>
    <xf borderId="10" fillId="9" fontId="1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10" fillId="9" fontId="24" numFmtId="0" xfId="0" applyBorder="1" applyFont="1"/>
    <xf borderId="10" fillId="9" fontId="1" numFmtId="0" xfId="0" applyBorder="1" applyFont="1"/>
    <xf borderId="0" fillId="0" fontId="13" numFmtId="0" xfId="0" applyAlignment="1" applyFont="1">
      <alignment horizontal="center" vertical="center"/>
    </xf>
    <xf borderId="0" fillId="0" fontId="1" numFmtId="9" xfId="0" applyFont="1" applyNumberFormat="1"/>
    <xf borderId="10" fillId="9" fontId="13" numFmtId="0" xfId="0" applyBorder="1" applyFont="1"/>
    <xf borderId="10" fillId="9" fontId="13" numFmtId="4" xfId="0" applyBorder="1" applyFont="1" applyNumberFormat="1"/>
    <xf borderId="0" fillId="0" fontId="1" numFmtId="164" xfId="0" applyAlignment="1" applyFont="1" applyNumberFormat="1">
      <alignment horizontal="center" vertical="center"/>
    </xf>
    <xf borderId="10" fillId="9" fontId="13" numFmtId="167" xfId="0" applyAlignment="1" applyBorder="1" applyFont="1" applyNumberFormat="1">
      <alignment horizontal="left" vertical="center"/>
    </xf>
    <xf borderId="10" fillId="9" fontId="13" numFmtId="167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10" fillId="5" fontId="3" numFmtId="167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left" vertical="center"/>
    </xf>
    <xf borderId="10" fillId="9" fontId="13" numFmtId="0" xfId="0" applyAlignment="1" applyBorder="1" applyFont="1">
      <alignment horizontal="left" vertical="center"/>
    </xf>
    <xf borderId="10" fillId="9" fontId="13" numFmtId="164" xfId="0" applyAlignment="1" applyBorder="1" applyFont="1" applyNumberFormat="1">
      <alignment horizontal="center" vertical="center"/>
    </xf>
    <xf borderId="10" fillId="9" fontId="24" numFmtId="164" xfId="0" applyAlignment="1" applyBorder="1" applyFont="1" applyNumberFormat="1">
      <alignment horizontal="center" vertical="center"/>
    </xf>
    <xf borderId="10" fillId="5" fontId="1" numFmtId="0" xfId="0" applyAlignment="1" applyBorder="1" applyFon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10" fillId="5" fontId="1" numFmtId="9" xfId="0" applyAlignment="1" applyBorder="1" applyFont="1" applyNumberFormat="1">
      <alignment horizontal="center" vertical="center"/>
    </xf>
    <xf borderId="0" fillId="0" fontId="25" numFmtId="0" xfId="0" applyFont="1"/>
    <xf borderId="0" fillId="0" fontId="24" numFmtId="0" xfId="0" applyAlignment="1" applyFont="1">
      <alignment horizontal="center" vertical="center"/>
    </xf>
    <xf borderId="0" fillId="0" fontId="3" numFmtId="9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0" fillId="9" fontId="4" numFmtId="0" xfId="0" applyAlignment="1" applyBorder="1" applyFont="1">
      <alignment horizontal="left" vertical="center"/>
    </xf>
    <xf borderId="10" fillId="9" fontId="5" numFmtId="0" xfId="0" applyAlignment="1" applyBorder="1" applyFont="1">
      <alignment horizontal="left"/>
    </xf>
    <xf borderId="10" fillId="5" fontId="6" numFmtId="0" xfId="0" applyAlignment="1" applyBorder="1" applyFont="1">
      <alignment horizontal="left" vertical="center"/>
    </xf>
    <xf borderId="10" fillId="9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6" numFmtId="164" xfId="0" applyAlignment="1" applyFont="1" applyNumberFormat="1">
      <alignment horizontal="left" vertical="center"/>
    </xf>
    <xf borderId="0" fillId="0" fontId="6" numFmtId="10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10" fillId="9" fontId="4" numFmtId="0" xfId="0" applyAlignment="1" applyBorder="1" applyFont="1">
      <alignment horizontal="left"/>
    </xf>
    <xf borderId="10" fillId="9" fontId="4" numFmtId="9" xfId="0" applyAlignment="1" applyBorder="1" applyFont="1" applyNumberFormat="1">
      <alignment horizontal="center" vertical="center"/>
    </xf>
    <xf borderId="10" fillId="9" fontId="4" numFmtId="164" xfId="0" applyAlignment="1" applyBorder="1" applyFont="1" applyNumberFormat="1">
      <alignment horizontal="center" vertical="center"/>
    </xf>
    <xf borderId="10" fillId="9" fontId="7" numFmtId="0" xfId="0" applyAlignment="1" applyBorder="1" applyFont="1">
      <alignment horizontal="left" vertical="center"/>
    </xf>
    <xf borderId="10" fillId="9" fontId="7" numFmtId="164" xfId="0" applyAlignment="1" applyBorder="1" applyFont="1" applyNumberFormat="1">
      <alignment horizontal="center" vertical="center"/>
    </xf>
    <xf borderId="10" fillId="9" fontId="7" numFmtId="10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19" fillId="11" fontId="4" numFmtId="0" xfId="0" applyAlignment="1" applyBorder="1" applyFill="1" applyFont="1">
      <alignment horizontal="center"/>
    </xf>
    <xf borderId="10" fillId="11" fontId="4" numFmtId="0" xfId="0" applyAlignment="1" applyBorder="1" applyFont="1">
      <alignment horizontal="left" vertical="center"/>
    </xf>
    <xf borderId="10" fillId="11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4" numFmtId="164" xfId="0" applyAlignment="1" applyFont="1" applyNumberFormat="1">
      <alignment horizontal="left" vertical="center"/>
    </xf>
    <xf borderId="0" fillId="0" fontId="6" numFmtId="0" xfId="0" applyFont="1"/>
    <xf borderId="0" fillId="0" fontId="6" numFmtId="9" xfId="0" applyAlignment="1" applyFont="1" applyNumberFormat="1">
      <alignment horizontal="right"/>
    </xf>
    <xf borderId="0" fillId="0" fontId="6" numFmtId="170" xfId="0" applyAlignment="1" applyFont="1" applyNumberFormat="1">
      <alignment horizontal="right"/>
    </xf>
    <xf borderId="0" fillId="0" fontId="2" numFmtId="0" xfId="0" applyFont="1"/>
    <xf borderId="0" fillId="0" fontId="6" numFmtId="164" xfId="0" applyFont="1" applyNumberFormat="1"/>
    <xf borderId="10" fillId="5" fontId="2" numFmtId="0" xfId="0" applyAlignment="1" applyBorder="1" applyFon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10" fillId="5" fontId="2" numFmtId="9" xfId="0" applyAlignment="1" applyBorder="1" applyFont="1" applyNumberFormat="1">
      <alignment horizontal="center" vertical="center"/>
    </xf>
    <xf borderId="2" fillId="7" fontId="24" numFmtId="0" xfId="0" applyAlignment="1" applyBorder="1" applyFont="1">
      <alignment horizontal="center" vertical="center"/>
    </xf>
    <xf borderId="1" fillId="7" fontId="24" numFmtId="0" xfId="0" applyAlignment="1" applyBorder="1" applyFont="1">
      <alignment horizontal="center" vertical="center"/>
    </xf>
    <xf borderId="1" fillId="7" fontId="26" numFmtId="0" xfId="0" applyAlignment="1" applyBorder="1" applyFont="1">
      <alignment horizontal="center" vertical="center"/>
    </xf>
    <xf borderId="2" fillId="7" fontId="26" numFmtId="0" xfId="0" applyAlignment="1" applyBorder="1" applyFont="1">
      <alignment horizontal="center" vertical="center"/>
    </xf>
    <xf borderId="1" fillId="8" fontId="24" numFmtId="0" xfId="0" applyAlignment="1" applyBorder="1" applyFont="1">
      <alignment horizontal="center" vertical="center"/>
    </xf>
    <xf borderId="1" fillId="8" fontId="26" numFmtId="0" xfId="0" applyAlignment="1" applyBorder="1" applyFont="1">
      <alignment horizontal="center" vertical="center"/>
    </xf>
    <xf borderId="11" fillId="0" fontId="3" numFmtId="9" xfId="0" applyAlignment="1" applyBorder="1" applyFont="1" applyNumberFormat="1">
      <alignment horizontal="center"/>
    </xf>
    <xf borderId="12" fillId="0" fontId="3" numFmtId="10" xfId="0" applyAlignment="1" applyBorder="1" applyFont="1" applyNumberFormat="1">
      <alignment horizontal="center"/>
    </xf>
    <xf borderId="12" fillId="0" fontId="3" numFmtId="169" xfId="0" applyAlignment="1" applyBorder="1" applyFont="1" applyNumberFormat="1">
      <alignment horizontal="center"/>
    </xf>
    <xf borderId="12" fillId="0" fontId="27" numFmtId="9" xfId="0" applyAlignment="1" applyBorder="1" applyFont="1" applyNumberFormat="1">
      <alignment horizontal="center"/>
    </xf>
    <xf borderId="11" fillId="0" fontId="27" numFmtId="169" xfId="0" applyAlignment="1" applyBorder="1" applyFont="1" applyNumberFormat="1">
      <alignment horizontal="center"/>
    </xf>
    <xf borderId="12" fillId="0" fontId="27" numFmtId="169" xfId="0" applyAlignment="1" applyBorder="1" applyFont="1" applyNumberFormat="1">
      <alignment horizontal="center"/>
    </xf>
    <xf borderId="13" fillId="0" fontId="3" numFmtId="9" xfId="0" applyAlignment="1" applyBorder="1" applyFont="1" applyNumberFormat="1">
      <alignment horizontal="center"/>
    </xf>
    <xf borderId="14" fillId="0" fontId="3" numFmtId="10" xfId="0" applyAlignment="1" applyBorder="1" applyFont="1" applyNumberFormat="1">
      <alignment horizontal="center"/>
    </xf>
    <xf borderId="14" fillId="0" fontId="3" numFmtId="169" xfId="0" applyAlignment="1" applyBorder="1" applyFont="1" applyNumberFormat="1">
      <alignment horizontal="center"/>
    </xf>
    <xf borderId="14" fillId="0" fontId="27" numFmtId="0" xfId="0" applyAlignment="1" applyBorder="1" applyFont="1">
      <alignment horizontal="center"/>
    </xf>
    <xf borderId="15" fillId="0" fontId="27" numFmtId="169" xfId="0" applyAlignment="1" applyBorder="1" applyFont="1" applyNumberFormat="1">
      <alignment horizontal="center"/>
    </xf>
    <xf borderId="16" fillId="0" fontId="27" numFmtId="169" xfId="0" applyAlignment="1" applyBorder="1" applyFont="1" applyNumberFormat="1">
      <alignment horizontal="center"/>
    </xf>
    <xf borderId="14" fillId="0" fontId="3" numFmtId="9" xfId="0" applyAlignment="1" applyBorder="1" applyFont="1" applyNumberFormat="1">
      <alignment horizontal="center"/>
    </xf>
    <xf borderId="14" fillId="0" fontId="27" numFmtId="9" xfId="0" applyAlignment="1" applyBorder="1" applyFont="1" applyNumberFormat="1">
      <alignment horizontal="center"/>
    </xf>
    <xf borderId="17" fillId="0" fontId="3" numFmtId="9" xfId="0" applyAlignment="1" applyBorder="1" applyFont="1" applyNumberFormat="1">
      <alignment horizontal="center"/>
    </xf>
    <xf borderId="9" fillId="0" fontId="3" numFmtId="9" xfId="0" applyAlignment="1" applyBorder="1" applyFont="1" applyNumberFormat="1">
      <alignment horizontal="center"/>
    </xf>
    <xf borderId="9" fillId="0" fontId="3" numFmtId="169" xfId="0" applyAlignment="1" applyBorder="1" applyFont="1" applyNumberFormat="1">
      <alignment horizontal="center"/>
    </xf>
    <xf borderId="9" fillId="0" fontId="27" numFmtId="9" xfId="0" applyAlignment="1" applyBorder="1" applyFont="1" applyNumberFormat="1">
      <alignment horizontal="center"/>
    </xf>
    <xf borderId="18" fillId="0" fontId="27" numFmtId="16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5.71"/>
    <col customWidth="1" min="3" max="3" width="14.0"/>
    <col customWidth="1" min="4" max="4" width="1.14"/>
    <col customWidth="1" min="5" max="5" width="13.57"/>
    <col customWidth="1" min="6" max="6" width="12.86"/>
    <col customWidth="1" min="7" max="7" width="10.29"/>
    <col customWidth="1" min="8" max="8" width="9.86"/>
    <col customWidth="1" min="9" max="16" width="10.86"/>
    <col customWidth="1" min="17" max="17" width="12.57"/>
    <col customWidth="1" min="18" max="18" width="13.43"/>
    <col customWidth="1" min="19" max="20" width="8.71"/>
  </cols>
  <sheetData>
    <row r="1" ht="14.25" customHeight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1"/>
      <c r="S1" s="1"/>
      <c r="T1" s="1"/>
    </row>
    <row r="2" ht="14.25" customHeight="1">
      <c r="A2" s="4"/>
      <c r="B2" s="5" t="s">
        <v>1</v>
      </c>
      <c r="C2" s="6"/>
      <c r="D2" s="7"/>
      <c r="E2" s="5" t="s">
        <v>2</v>
      </c>
      <c r="F2" s="8">
        <v>1.0</v>
      </c>
      <c r="G2" s="8">
        <v>2.0</v>
      </c>
      <c r="H2" s="8">
        <v>3.0</v>
      </c>
      <c r="I2" s="8">
        <v>4.0</v>
      </c>
      <c r="J2" s="8">
        <v>5.0</v>
      </c>
      <c r="K2" s="8">
        <v>6.0</v>
      </c>
      <c r="L2" s="8">
        <v>7.0</v>
      </c>
      <c r="M2" s="8">
        <v>8.0</v>
      </c>
      <c r="N2" s="8">
        <v>9.0</v>
      </c>
      <c r="O2" s="8">
        <v>10.0</v>
      </c>
      <c r="P2" s="8">
        <v>11.0</v>
      </c>
      <c r="Q2" s="8">
        <v>12.0</v>
      </c>
      <c r="R2" s="9" t="s">
        <v>3</v>
      </c>
      <c r="S2" s="10"/>
      <c r="T2" s="10"/>
    </row>
    <row r="3" ht="14.25" customHeight="1">
      <c r="A3" s="1"/>
      <c r="B3" s="11" t="s">
        <v>4</v>
      </c>
      <c r="C3" s="12">
        <v>800.0</v>
      </c>
      <c r="D3" s="13"/>
      <c r="E3" s="14" t="s">
        <v>5</v>
      </c>
      <c r="F3" s="15">
        <f>C5* $C$3</f>
        <v>1280</v>
      </c>
      <c r="G3" s="15">
        <f t="shared" ref="G3:Q3" si="1">$F$3*G2</f>
        <v>2560</v>
      </c>
      <c r="H3" s="15">
        <f t="shared" si="1"/>
        <v>3840</v>
      </c>
      <c r="I3" s="15">
        <f t="shared" si="1"/>
        <v>5120</v>
      </c>
      <c r="J3" s="15">
        <f t="shared" si="1"/>
        <v>6400</v>
      </c>
      <c r="K3" s="15">
        <f t="shared" si="1"/>
        <v>7680</v>
      </c>
      <c r="L3" s="15">
        <f t="shared" si="1"/>
        <v>8960</v>
      </c>
      <c r="M3" s="15">
        <f t="shared" si="1"/>
        <v>10240</v>
      </c>
      <c r="N3" s="15">
        <f t="shared" si="1"/>
        <v>11520</v>
      </c>
      <c r="O3" s="15">
        <f t="shared" si="1"/>
        <v>12800</v>
      </c>
      <c r="P3" s="15">
        <f t="shared" si="1"/>
        <v>14080</v>
      </c>
      <c r="Q3" s="15">
        <f t="shared" si="1"/>
        <v>15360</v>
      </c>
      <c r="R3" s="16"/>
      <c r="S3" s="17"/>
      <c r="T3" s="17"/>
    </row>
    <row r="4" ht="14.25" customHeight="1">
      <c r="A4" s="1"/>
      <c r="B4" s="11" t="s">
        <v>6</v>
      </c>
      <c r="C4" s="12">
        <v>600.0</v>
      </c>
      <c r="D4" s="13"/>
      <c r="E4" s="18" t="s">
        <v>7</v>
      </c>
      <c r="F4" s="15">
        <f>C5* $C$3</f>
        <v>1280</v>
      </c>
      <c r="G4" s="15">
        <f t="shared" ref="G4:Q4" si="2">$F$4*G2</f>
        <v>2560</v>
      </c>
      <c r="H4" s="15">
        <f t="shared" si="2"/>
        <v>3840</v>
      </c>
      <c r="I4" s="15">
        <f t="shared" si="2"/>
        <v>5120</v>
      </c>
      <c r="J4" s="15">
        <f t="shared" si="2"/>
        <v>6400</v>
      </c>
      <c r="K4" s="15">
        <f t="shared" si="2"/>
        <v>7680</v>
      </c>
      <c r="L4" s="15">
        <f t="shared" si="2"/>
        <v>8960</v>
      </c>
      <c r="M4" s="15">
        <f t="shared" si="2"/>
        <v>10240</v>
      </c>
      <c r="N4" s="15">
        <f t="shared" si="2"/>
        <v>11520</v>
      </c>
      <c r="O4" s="15">
        <f t="shared" si="2"/>
        <v>12800</v>
      </c>
      <c r="P4" s="15">
        <f t="shared" si="2"/>
        <v>14080</v>
      </c>
      <c r="Q4" s="15">
        <f t="shared" si="2"/>
        <v>15360</v>
      </c>
      <c r="R4" s="9"/>
      <c r="S4" s="19"/>
      <c r="T4" s="19"/>
    </row>
    <row r="5" ht="14.25" customHeight="1">
      <c r="A5" s="1"/>
      <c r="B5" s="18" t="s">
        <v>8</v>
      </c>
      <c r="C5" s="20">
        <f>C7/3</f>
        <v>1.6</v>
      </c>
      <c r="D5" s="13"/>
      <c r="E5" s="18" t="s">
        <v>9</v>
      </c>
      <c r="F5" s="15">
        <f>C5* $C$3</f>
        <v>1280</v>
      </c>
      <c r="G5" s="15">
        <f t="shared" ref="G5:Q5" si="3">$F$5*G2</f>
        <v>2560</v>
      </c>
      <c r="H5" s="15">
        <f t="shared" si="3"/>
        <v>3840</v>
      </c>
      <c r="I5" s="15">
        <f t="shared" si="3"/>
        <v>5120</v>
      </c>
      <c r="J5" s="15">
        <f t="shared" si="3"/>
        <v>6400</v>
      </c>
      <c r="K5" s="15">
        <f t="shared" si="3"/>
        <v>7680</v>
      </c>
      <c r="L5" s="15">
        <f t="shared" si="3"/>
        <v>8960</v>
      </c>
      <c r="M5" s="15">
        <f t="shared" si="3"/>
        <v>10240</v>
      </c>
      <c r="N5" s="15">
        <f t="shared" si="3"/>
        <v>11520</v>
      </c>
      <c r="O5" s="15">
        <f t="shared" si="3"/>
        <v>12800</v>
      </c>
      <c r="P5" s="15">
        <f t="shared" si="3"/>
        <v>14080</v>
      </c>
      <c r="Q5" s="15">
        <f t="shared" si="3"/>
        <v>15360</v>
      </c>
      <c r="R5" s="9"/>
      <c r="S5" s="19"/>
      <c r="T5" s="19"/>
    </row>
    <row r="6" ht="14.25" customHeight="1">
      <c r="A6" s="1"/>
      <c r="B6" s="21" t="s">
        <v>10</v>
      </c>
      <c r="C6" s="22">
        <v>4.0</v>
      </c>
      <c r="D6" s="13"/>
      <c r="E6" s="23" t="s">
        <v>11</v>
      </c>
      <c r="F6" s="24">
        <f t="shared" ref="F6:Q6" si="4">SUM(F3:F5)</f>
        <v>3840</v>
      </c>
      <c r="G6" s="24">
        <f t="shared" si="4"/>
        <v>7680</v>
      </c>
      <c r="H6" s="24">
        <f t="shared" si="4"/>
        <v>11520</v>
      </c>
      <c r="I6" s="24">
        <f t="shared" si="4"/>
        <v>15360</v>
      </c>
      <c r="J6" s="24">
        <f t="shared" si="4"/>
        <v>19200</v>
      </c>
      <c r="K6" s="24">
        <f t="shared" si="4"/>
        <v>23040</v>
      </c>
      <c r="L6" s="24">
        <f t="shared" si="4"/>
        <v>26880</v>
      </c>
      <c r="M6" s="24">
        <f t="shared" si="4"/>
        <v>30720</v>
      </c>
      <c r="N6" s="24">
        <f t="shared" si="4"/>
        <v>34560</v>
      </c>
      <c r="O6" s="24">
        <f t="shared" si="4"/>
        <v>38400</v>
      </c>
      <c r="P6" s="24">
        <f t="shared" si="4"/>
        <v>42240</v>
      </c>
      <c r="Q6" s="24">
        <f t="shared" si="4"/>
        <v>46080</v>
      </c>
      <c r="R6" s="25">
        <f t="shared" ref="R6:R7" si="5">SUM(F6:Q6)</f>
        <v>299520</v>
      </c>
      <c r="S6" s="19"/>
      <c r="T6" s="19"/>
    </row>
    <row r="7" ht="14.25" customHeight="1">
      <c r="A7" s="1"/>
      <c r="B7" s="26"/>
      <c r="C7" s="26">
        <f>C8*C10</f>
        <v>4.8</v>
      </c>
      <c r="D7" s="13"/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5">
        <f t="shared" si="5"/>
        <v>0</v>
      </c>
      <c r="S7" s="29"/>
      <c r="T7" s="29"/>
    </row>
    <row r="8" ht="14.25" customHeight="1">
      <c r="A8" s="1"/>
      <c r="B8" s="26" t="s">
        <v>12</v>
      </c>
      <c r="C8" s="30">
        <v>0.1</v>
      </c>
      <c r="D8" s="31"/>
      <c r="E8" s="32" t="s">
        <v>13</v>
      </c>
      <c r="F8" s="33">
        <f>F6*6</f>
        <v>23040</v>
      </c>
      <c r="G8" s="33"/>
      <c r="H8" s="34"/>
      <c r="I8" s="34"/>
      <c r="J8" s="34"/>
      <c r="K8" s="34"/>
      <c r="L8" s="34"/>
      <c r="M8" s="34"/>
      <c r="N8" s="34"/>
      <c r="O8" s="34"/>
      <c r="P8" s="35"/>
      <c r="Q8" s="36"/>
      <c r="R8" s="25">
        <f>SUM(R3:R7)</f>
        <v>299520</v>
      </c>
      <c r="S8" s="19" t="s">
        <v>14</v>
      </c>
      <c r="T8" s="19">
        <f>E7* 3* 12</f>
        <v>0</v>
      </c>
    </row>
    <row r="9" ht="14.25" customHeight="1">
      <c r="A9" s="1"/>
      <c r="B9" s="37" t="s">
        <v>15</v>
      </c>
      <c r="C9" s="38">
        <f>C10/3</f>
        <v>16</v>
      </c>
      <c r="D9" s="39"/>
      <c r="E9" s="40" t="s">
        <v>16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2"/>
      <c r="Q9" s="43"/>
      <c r="R9" s="1"/>
      <c r="S9" s="1"/>
      <c r="T9" s="1"/>
    </row>
    <row r="10" ht="14.25" customHeight="1">
      <c r="A10" s="1"/>
      <c r="B10" s="37" t="s">
        <v>17</v>
      </c>
      <c r="C10" s="38">
        <f>C12*C11</f>
        <v>48</v>
      </c>
      <c r="D10" s="39"/>
      <c r="E10" s="40" t="s">
        <v>18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2"/>
      <c r="Q10" s="43"/>
      <c r="R10" s="1"/>
      <c r="S10" s="1"/>
      <c r="T10" s="1"/>
    </row>
    <row r="11" ht="14.25" customHeight="1">
      <c r="A11" s="1"/>
      <c r="B11" s="44" t="s">
        <v>19</v>
      </c>
      <c r="C11" s="45">
        <v>0.5</v>
      </c>
      <c r="D11" s="31"/>
      <c r="E11" s="46" t="s">
        <v>20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8"/>
      <c r="Q11" s="49"/>
      <c r="R11" s="1"/>
      <c r="S11" s="1"/>
      <c r="T11" s="1"/>
    </row>
    <row r="12" ht="14.25" customHeight="1">
      <c r="A12" s="1"/>
      <c r="B12" s="50" t="s">
        <v>21</v>
      </c>
      <c r="C12" s="50">
        <f>C13*C14</f>
        <v>96</v>
      </c>
      <c r="D12" s="39"/>
      <c r="E12" s="51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3"/>
      <c r="Q12" s="54"/>
      <c r="R12" s="55"/>
      <c r="S12" s="55"/>
      <c r="T12" s="55"/>
    </row>
    <row r="13" ht="14.25" customHeight="1">
      <c r="A13" s="1"/>
      <c r="B13" s="44" t="s">
        <v>22</v>
      </c>
      <c r="C13" s="45">
        <v>0.3</v>
      </c>
      <c r="D13" s="13"/>
      <c r="E13" s="56" t="s">
        <v>23</v>
      </c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8"/>
      <c r="R13" s="1"/>
      <c r="S13" s="1"/>
      <c r="T13" s="1"/>
    </row>
    <row r="14" ht="14.25" customHeight="1">
      <c r="A14" s="1"/>
      <c r="B14" s="50" t="s">
        <v>24</v>
      </c>
      <c r="C14" s="50">
        <f>C16*C15</f>
        <v>320</v>
      </c>
      <c r="D14" s="59"/>
      <c r="E14" s="60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2"/>
      <c r="R14" s="1"/>
      <c r="S14" s="1"/>
      <c r="T14" s="1"/>
    </row>
    <row r="15" ht="14.25" customHeight="1">
      <c r="A15" s="1"/>
      <c r="B15" s="44" t="s">
        <v>25</v>
      </c>
      <c r="C15" s="45">
        <v>0.8</v>
      </c>
      <c r="D15" s="13"/>
      <c r="E15" s="56" t="s">
        <v>25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8"/>
      <c r="R15" s="1"/>
      <c r="S15" s="1"/>
      <c r="T15" s="1"/>
    </row>
    <row r="16" ht="14.25" customHeight="1">
      <c r="A16" s="1"/>
      <c r="B16" s="50" t="s">
        <v>24</v>
      </c>
      <c r="C16" s="50">
        <v>400.0</v>
      </c>
      <c r="D16" s="59"/>
      <c r="E16" s="60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2"/>
      <c r="R16" s="1"/>
      <c r="S16" s="1"/>
      <c r="T16" s="1"/>
    </row>
    <row r="17" ht="14.25" customHeight="1">
      <c r="A17" s="1"/>
      <c r="B17" s="63"/>
      <c r="C17" s="64"/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3"/>
      <c r="R17" s="1"/>
      <c r="S17" s="1"/>
      <c r="T17" s="1"/>
    </row>
    <row r="18" ht="14.25" customHeight="1">
      <c r="A18" s="1"/>
      <c r="C18" s="64"/>
      <c r="D18" s="1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3"/>
      <c r="R18" s="1"/>
      <c r="S18" s="1"/>
      <c r="T18" s="1"/>
    </row>
    <row r="19" ht="14.25" customHeight="1">
      <c r="A19" s="1"/>
      <c r="C19" s="64"/>
      <c r="D19" s="1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3"/>
      <c r="R19" s="1"/>
      <c r="S19" s="1"/>
      <c r="T19" s="1"/>
    </row>
    <row r="20" ht="14.25" customHeight="1">
      <c r="A20" s="1"/>
      <c r="B20" s="65"/>
      <c r="D20" s="1"/>
      <c r="E20" s="1"/>
      <c r="F20" s="2"/>
      <c r="G20" s="2"/>
      <c r="H20" s="66"/>
      <c r="I20" s="2"/>
      <c r="J20" s="2"/>
      <c r="K20" s="2"/>
      <c r="L20" s="2"/>
      <c r="M20" s="2"/>
      <c r="N20" s="2"/>
      <c r="O20" s="2"/>
      <c r="P20" s="3"/>
      <c r="Q20" s="3"/>
      <c r="R20" s="1"/>
      <c r="S20" s="1"/>
      <c r="T20" s="1"/>
    </row>
    <row r="21" ht="14.25" customHeight="1">
      <c r="A21" s="1"/>
      <c r="B21" s="65"/>
      <c r="C21" s="67"/>
      <c r="D21" s="1"/>
      <c r="E21" s="68"/>
      <c r="F21" s="69"/>
      <c r="G21" s="70"/>
      <c r="H21" s="71"/>
      <c r="I21" s="2"/>
      <c r="J21" s="2"/>
      <c r="K21" s="2"/>
      <c r="L21" s="2"/>
      <c r="M21" s="2"/>
      <c r="N21" s="2"/>
      <c r="O21" s="2"/>
      <c r="P21" s="3"/>
      <c r="Q21" s="3"/>
      <c r="R21" s="1"/>
      <c r="S21" s="1"/>
      <c r="T21" s="1"/>
    </row>
    <row r="22" ht="14.25" customHeight="1">
      <c r="A22" s="1"/>
      <c r="B22" s="72"/>
      <c r="C22" s="64"/>
      <c r="D22" s="1"/>
      <c r="E22" s="1"/>
      <c r="F22" s="2"/>
      <c r="G22" s="2"/>
      <c r="H22" s="73"/>
      <c r="I22" s="2"/>
      <c r="J22" s="2"/>
      <c r="K22" s="2"/>
      <c r="L22" s="2"/>
      <c r="M22" s="2"/>
      <c r="N22" s="2"/>
      <c r="O22" s="2"/>
      <c r="P22" s="3"/>
      <c r="Q22" s="3"/>
      <c r="R22" s="1"/>
      <c r="S22" s="1"/>
      <c r="T22" s="1"/>
    </row>
    <row r="23" ht="14.25" customHeight="1">
      <c r="A23" s="1"/>
      <c r="B23" s="72"/>
      <c r="C23" s="64"/>
      <c r="D23" s="1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1"/>
      <c r="S23" s="1"/>
      <c r="T23" s="1"/>
    </row>
    <row r="24" ht="14.25" customHeight="1">
      <c r="A24" s="1"/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3"/>
      <c r="R24" s="1"/>
      <c r="S24" s="1"/>
      <c r="T24" s="1"/>
    </row>
    <row r="25" ht="14.25" customHeight="1">
      <c r="A25" s="1"/>
      <c r="B25" s="1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  <c r="Q25" s="3"/>
      <c r="R25" s="1"/>
      <c r="S25" s="1"/>
      <c r="T25" s="1"/>
    </row>
    <row r="26" ht="14.25" customHeight="1">
      <c r="A26" s="1"/>
      <c r="B26" s="1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1"/>
      <c r="S26" s="1"/>
      <c r="T26" s="1"/>
    </row>
    <row r="27" ht="14.25" customHeight="1">
      <c r="A27" s="1"/>
      <c r="B27" s="1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3"/>
      <c r="R27" s="1"/>
      <c r="S27" s="1"/>
      <c r="T27" s="1"/>
    </row>
    <row r="28" ht="14.25" customHeight="1">
      <c r="A28" s="1"/>
      <c r="B28" s="74"/>
      <c r="C28" s="74"/>
      <c r="D28" s="75"/>
      <c r="E28" s="76"/>
      <c r="F28" s="77"/>
      <c r="G28" s="77"/>
      <c r="H28" s="77"/>
      <c r="I28" s="77"/>
      <c r="J28" s="2"/>
      <c r="K28" s="2"/>
      <c r="L28" s="2"/>
      <c r="M28" s="2"/>
      <c r="N28" s="2"/>
      <c r="O28" s="2"/>
      <c r="P28" s="3"/>
      <c r="Q28" s="3"/>
      <c r="R28" s="1"/>
      <c r="S28" s="1"/>
      <c r="T28" s="1"/>
    </row>
    <row r="29" ht="14.25" customHeight="1">
      <c r="A29" s="1"/>
      <c r="B29" s="74"/>
      <c r="C29" s="78"/>
      <c r="D29" s="79"/>
      <c r="E29" s="76"/>
      <c r="F29" s="77"/>
      <c r="G29" s="77"/>
      <c r="H29" s="77"/>
      <c r="I29" s="77"/>
      <c r="J29" s="2"/>
      <c r="K29" s="2"/>
      <c r="L29" s="2"/>
      <c r="M29" s="2"/>
      <c r="N29" s="2"/>
      <c r="O29" s="2"/>
      <c r="P29" s="3"/>
      <c r="Q29" s="3"/>
      <c r="R29" s="1"/>
      <c r="S29" s="1"/>
      <c r="T29" s="1"/>
    </row>
    <row r="30" ht="14.25" customHeight="1">
      <c r="A30" s="1"/>
      <c r="B30" s="76"/>
      <c r="C30" s="76"/>
      <c r="D30" s="76"/>
      <c r="E30" s="76"/>
      <c r="F30" s="77"/>
      <c r="G30" s="77"/>
      <c r="H30" s="77"/>
      <c r="I30" s="77"/>
      <c r="J30" s="2"/>
      <c r="K30" s="2"/>
      <c r="L30" s="2"/>
      <c r="M30" s="2"/>
      <c r="N30" s="2"/>
      <c r="O30" s="2"/>
      <c r="P30" s="3"/>
      <c r="Q30" s="3"/>
      <c r="R30" s="1"/>
      <c r="S30" s="1"/>
      <c r="T30" s="1"/>
    </row>
    <row r="31" ht="14.25" customHeight="1">
      <c r="A31" s="1"/>
      <c r="B31" s="76"/>
      <c r="C31" s="76"/>
      <c r="D31" s="76"/>
      <c r="E31" s="76"/>
      <c r="F31" s="77"/>
      <c r="G31" s="77"/>
      <c r="H31" s="77"/>
      <c r="I31" s="77"/>
      <c r="J31" s="2"/>
      <c r="K31" s="2"/>
      <c r="L31" s="2"/>
      <c r="M31" s="2"/>
      <c r="N31" s="2"/>
      <c r="O31" s="2"/>
      <c r="P31" s="3"/>
      <c r="Q31" s="3"/>
      <c r="R31" s="1"/>
      <c r="S31" s="1"/>
      <c r="T31" s="1"/>
    </row>
    <row r="32" ht="14.25" customHeight="1">
      <c r="A32" s="1"/>
      <c r="B32" s="80"/>
      <c r="C32" s="80"/>
      <c r="D32" s="80"/>
      <c r="E32" s="80"/>
      <c r="F32" s="81"/>
      <c r="G32" s="81"/>
      <c r="H32" s="81"/>
      <c r="I32" s="77"/>
      <c r="J32" s="2"/>
      <c r="K32" s="2"/>
      <c r="L32" s="2"/>
      <c r="M32" s="2"/>
      <c r="N32" s="2"/>
      <c r="O32" s="2"/>
      <c r="P32" s="3"/>
      <c r="Q32" s="3"/>
      <c r="R32" s="1"/>
      <c r="S32" s="1"/>
      <c r="T32" s="1"/>
    </row>
    <row r="33" ht="14.25" customHeight="1">
      <c r="A33" s="1"/>
      <c r="B33" s="82"/>
      <c r="C33" s="62"/>
      <c r="D33" s="82"/>
      <c r="E33" s="62"/>
      <c r="F33" s="83"/>
      <c r="G33" s="84"/>
      <c r="H33" s="62"/>
      <c r="I33" s="77"/>
      <c r="J33" s="2"/>
      <c r="K33" s="2"/>
      <c r="L33" s="2"/>
      <c r="M33" s="2"/>
      <c r="N33" s="2"/>
      <c r="O33" s="2"/>
      <c r="P33" s="3"/>
      <c r="Q33" s="3"/>
      <c r="R33" s="1"/>
      <c r="S33" s="1"/>
      <c r="T33" s="1"/>
    </row>
    <row r="34" ht="14.25" customHeight="1">
      <c r="A34" s="1"/>
      <c r="B34" s="85"/>
      <c r="C34" s="85"/>
      <c r="D34" s="85"/>
      <c r="E34" s="85"/>
      <c r="F34" s="86"/>
      <c r="G34" s="86"/>
      <c r="H34" s="86"/>
      <c r="I34" s="77"/>
      <c r="J34" s="2"/>
      <c r="K34" s="2"/>
      <c r="L34" s="2"/>
      <c r="M34" s="2"/>
      <c r="N34" s="2"/>
      <c r="O34" s="2"/>
      <c r="P34" s="3"/>
      <c r="Q34" s="3"/>
      <c r="R34" s="1"/>
      <c r="S34" s="1"/>
      <c r="T34" s="1"/>
    </row>
    <row r="35" ht="14.25" customHeight="1">
      <c r="A35" s="1"/>
      <c r="B35" s="87"/>
      <c r="C35" s="88"/>
      <c r="D35" s="89"/>
      <c r="E35" s="89"/>
      <c r="F35" s="90"/>
      <c r="G35" s="91"/>
      <c r="H35" s="92"/>
      <c r="I35" s="77"/>
      <c r="J35" s="2"/>
      <c r="K35" s="2"/>
      <c r="L35" s="2"/>
      <c r="M35" s="2"/>
      <c r="N35" s="2"/>
      <c r="O35" s="2"/>
      <c r="P35" s="3"/>
      <c r="Q35" s="3"/>
      <c r="R35" s="1"/>
      <c r="S35" s="1"/>
      <c r="T35" s="1"/>
    </row>
    <row r="36" ht="14.25" customHeight="1">
      <c r="A36" s="1"/>
      <c r="B36" s="93"/>
      <c r="C36" s="94"/>
      <c r="D36" s="95"/>
      <c r="E36" s="95"/>
      <c r="F36" s="96"/>
      <c r="G36" s="97"/>
      <c r="H36" s="98"/>
      <c r="I36" s="77"/>
      <c r="J36" s="2"/>
      <c r="K36" s="2"/>
      <c r="L36" s="2"/>
      <c r="M36" s="2"/>
      <c r="N36" s="2"/>
      <c r="O36" s="2"/>
      <c r="P36" s="3"/>
      <c r="Q36" s="3"/>
      <c r="R36" s="1"/>
      <c r="S36" s="1"/>
      <c r="T36" s="1"/>
    </row>
    <row r="37" ht="14.25" customHeight="1">
      <c r="A37" s="1"/>
      <c r="B37" s="93"/>
      <c r="C37" s="99"/>
      <c r="D37" s="95"/>
      <c r="E37" s="95"/>
      <c r="F37" s="100"/>
      <c r="G37" s="97"/>
      <c r="H37" s="97"/>
      <c r="I37" s="77"/>
      <c r="J37" s="2"/>
      <c r="K37" s="2"/>
      <c r="L37" s="2"/>
      <c r="M37" s="2"/>
      <c r="N37" s="2"/>
      <c r="O37" s="2"/>
      <c r="P37" s="3"/>
      <c r="Q37" s="3"/>
      <c r="R37" s="1"/>
      <c r="S37" s="1"/>
      <c r="T37" s="1"/>
    </row>
    <row r="38" ht="14.25" customHeight="1">
      <c r="A38" s="1"/>
      <c r="B38" s="93"/>
      <c r="C38" s="99"/>
      <c r="D38" s="95"/>
      <c r="E38" s="95"/>
      <c r="F38" s="100"/>
      <c r="G38" s="97"/>
      <c r="H38" s="97"/>
      <c r="I38" s="77"/>
      <c r="J38" s="2"/>
      <c r="K38" s="2"/>
      <c r="L38" s="2"/>
      <c r="M38" s="2"/>
      <c r="N38" s="2"/>
      <c r="O38" s="2"/>
      <c r="P38" s="3"/>
      <c r="Q38" s="3"/>
      <c r="R38" s="1"/>
      <c r="S38" s="1"/>
      <c r="T38" s="1"/>
    </row>
    <row r="39" ht="14.25" customHeight="1">
      <c r="A39" s="1"/>
      <c r="B39" s="93"/>
      <c r="C39" s="99"/>
      <c r="D39" s="95"/>
      <c r="E39" s="95"/>
      <c r="F39" s="100"/>
      <c r="G39" s="97"/>
      <c r="H39" s="97"/>
      <c r="I39" s="77"/>
      <c r="J39" s="2"/>
      <c r="K39" s="2"/>
      <c r="L39" s="2"/>
      <c r="M39" s="2"/>
      <c r="N39" s="2"/>
      <c r="O39" s="2"/>
      <c r="P39" s="3"/>
      <c r="Q39" s="3"/>
      <c r="R39" s="1"/>
      <c r="S39" s="1"/>
      <c r="T39" s="1"/>
    </row>
    <row r="40" ht="14.25" customHeight="1">
      <c r="A40" s="1"/>
      <c r="B40" s="93"/>
      <c r="C40" s="99"/>
      <c r="D40" s="95"/>
      <c r="E40" s="95"/>
      <c r="F40" s="100"/>
      <c r="G40" s="97"/>
      <c r="H40" s="97"/>
      <c r="I40" s="77"/>
      <c r="J40" s="2"/>
      <c r="K40" s="2"/>
      <c r="L40" s="2"/>
      <c r="M40" s="2"/>
      <c r="N40" s="2"/>
      <c r="O40" s="2"/>
      <c r="P40" s="3"/>
      <c r="Q40" s="3"/>
      <c r="R40" s="1"/>
      <c r="S40" s="1"/>
      <c r="T40" s="1"/>
    </row>
    <row r="41" ht="14.25" customHeight="1">
      <c r="A41" s="1"/>
      <c r="B41" s="93"/>
      <c r="C41" s="99"/>
      <c r="D41" s="95"/>
      <c r="E41" s="95"/>
      <c r="F41" s="100"/>
      <c r="G41" s="97"/>
      <c r="H41" s="97"/>
      <c r="I41" s="77"/>
      <c r="J41" s="2"/>
      <c r="K41" s="2"/>
      <c r="L41" s="2"/>
      <c r="M41" s="2"/>
      <c r="N41" s="2"/>
      <c r="O41" s="2"/>
      <c r="P41" s="3"/>
      <c r="Q41" s="3"/>
      <c r="R41" s="1"/>
      <c r="S41" s="1"/>
      <c r="T41" s="1"/>
    </row>
    <row r="42" ht="14.25" customHeight="1">
      <c r="A42" s="1"/>
      <c r="B42" s="93"/>
      <c r="C42" s="99"/>
      <c r="D42" s="95"/>
      <c r="E42" s="95"/>
      <c r="F42" s="100"/>
      <c r="G42" s="97"/>
      <c r="H42" s="97"/>
      <c r="I42" s="77"/>
      <c r="J42" s="2"/>
      <c r="K42" s="2"/>
      <c r="L42" s="2"/>
      <c r="M42" s="2"/>
      <c r="N42" s="2"/>
      <c r="O42" s="2"/>
      <c r="P42" s="3"/>
      <c r="Q42" s="3"/>
      <c r="R42" s="1"/>
      <c r="S42" s="1"/>
      <c r="T42" s="1"/>
    </row>
    <row r="43" ht="14.25" customHeight="1">
      <c r="A43" s="1"/>
      <c r="B43" s="101"/>
      <c r="C43" s="102"/>
      <c r="D43" s="103"/>
      <c r="E43" s="103"/>
      <c r="F43" s="104"/>
      <c r="G43" s="105"/>
      <c r="H43" s="105"/>
      <c r="I43" s="77"/>
      <c r="J43" s="2"/>
      <c r="K43" s="2"/>
      <c r="L43" s="2"/>
      <c r="M43" s="2"/>
      <c r="N43" s="2"/>
      <c r="O43" s="2"/>
      <c r="P43" s="3"/>
      <c r="Q43" s="3"/>
      <c r="R43" s="1"/>
      <c r="S43" s="1"/>
      <c r="T43" s="1"/>
    </row>
    <row r="44" ht="14.25" customHeight="1">
      <c r="A44" s="1"/>
      <c r="B44" s="76"/>
      <c r="C44" s="76"/>
      <c r="D44" s="76"/>
      <c r="E44" s="76"/>
      <c r="F44" s="77"/>
      <c r="G44" s="77"/>
      <c r="H44" s="77"/>
      <c r="I44" s="77"/>
      <c r="J44" s="2"/>
      <c r="K44" s="2"/>
      <c r="L44" s="2"/>
      <c r="M44" s="2"/>
      <c r="N44" s="2"/>
      <c r="O44" s="2"/>
      <c r="P44" s="3"/>
      <c r="Q44" s="3"/>
      <c r="R44" s="1"/>
      <c r="S44" s="1"/>
      <c r="T44" s="1"/>
    </row>
    <row r="45" ht="14.25" customHeight="1">
      <c r="A45" s="1"/>
      <c r="B45" s="76"/>
      <c r="C45" s="76"/>
      <c r="D45" s="76"/>
      <c r="E45" s="76"/>
      <c r="F45" s="77"/>
      <c r="G45" s="77"/>
      <c r="H45" s="77"/>
      <c r="I45" s="77"/>
      <c r="J45" s="2"/>
      <c r="K45" s="2"/>
      <c r="L45" s="2"/>
      <c r="M45" s="2"/>
      <c r="N45" s="2"/>
      <c r="O45" s="2"/>
      <c r="P45" s="3"/>
      <c r="Q45" s="3"/>
      <c r="R45" s="1"/>
      <c r="S45" s="1"/>
      <c r="T45" s="1"/>
    </row>
    <row r="46" ht="14.25" customHeight="1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1"/>
      <c r="S46" s="1"/>
      <c r="T46" s="1"/>
    </row>
    <row r="47" ht="14.25" customHeight="1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1"/>
      <c r="S47" s="1"/>
      <c r="T47" s="1"/>
    </row>
    <row r="48" ht="14.25" customHeight="1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1"/>
      <c r="S48" s="1"/>
      <c r="T48" s="1"/>
    </row>
    <row r="49" ht="14.2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1"/>
      <c r="S49" s="1"/>
      <c r="T49" s="1"/>
    </row>
    <row r="50" ht="14.25" customHeight="1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1"/>
      <c r="S50" s="1"/>
      <c r="T50" s="1"/>
    </row>
    <row r="51" ht="14.2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1"/>
      <c r="S51" s="1"/>
      <c r="T51" s="1"/>
    </row>
    <row r="52" ht="14.2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1"/>
      <c r="S52" s="1"/>
      <c r="T52" s="1"/>
    </row>
    <row r="53" ht="14.2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1"/>
      <c r="S53" s="1"/>
      <c r="T53" s="1"/>
    </row>
    <row r="54" ht="14.2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1"/>
      <c r="S54" s="1"/>
      <c r="T54" s="1"/>
    </row>
    <row r="55" ht="14.2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1"/>
      <c r="S55" s="1"/>
      <c r="T55" s="1"/>
    </row>
    <row r="56" ht="14.2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1"/>
      <c r="S56" s="1"/>
      <c r="T56" s="1"/>
    </row>
    <row r="57" ht="14.2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1"/>
      <c r="S57" s="1"/>
      <c r="T57" s="1"/>
    </row>
    <row r="58" ht="14.2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1"/>
      <c r="S58" s="1"/>
      <c r="T58" s="1"/>
    </row>
    <row r="59" ht="14.2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1"/>
      <c r="S59" s="1"/>
      <c r="T59" s="1"/>
    </row>
    <row r="60" ht="14.2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1"/>
      <c r="S60" s="1"/>
      <c r="T60" s="1"/>
    </row>
    <row r="61" ht="14.2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1"/>
      <c r="S61" s="1"/>
      <c r="T61" s="1"/>
    </row>
    <row r="62" ht="14.2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  <c r="Q62" s="3"/>
      <c r="R62" s="1"/>
      <c r="S62" s="1"/>
      <c r="T62" s="1"/>
    </row>
    <row r="63" ht="14.2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3"/>
      <c r="R63" s="1"/>
      <c r="S63" s="1"/>
      <c r="T63" s="1"/>
    </row>
    <row r="64" ht="14.2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3"/>
      <c r="R64" s="1"/>
      <c r="S64" s="1"/>
      <c r="T64" s="1"/>
    </row>
    <row r="65" ht="14.2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1"/>
      <c r="S65" s="1"/>
      <c r="T65" s="1"/>
    </row>
    <row r="66" ht="14.2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3"/>
      <c r="R66" s="1"/>
      <c r="S66" s="1"/>
      <c r="T66" s="1"/>
    </row>
    <row r="67" ht="14.2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  <c r="Q67" s="3"/>
      <c r="R67" s="1"/>
      <c r="S67" s="1"/>
      <c r="T67" s="1"/>
    </row>
    <row r="68" ht="14.2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  <c r="Q68" s="3"/>
      <c r="R68" s="1"/>
      <c r="S68" s="1"/>
      <c r="T68" s="1"/>
    </row>
    <row r="69" ht="14.2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1"/>
      <c r="S69" s="1"/>
      <c r="T69" s="1"/>
    </row>
    <row r="70" ht="14.2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1"/>
      <c r="S70" s="1"/>
      <c r="T70" s="1"/>
    </row>
    <row r="71" ht="14.2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  <c r="Q71" s="3"/>
      <c r="R71" s="1"/>
      <c r="S71" s="1"/>
      <c r="T71" s="1"/>
    </row>
    <row r="72" ht="14.2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  <c r="Q72" s="3"/>
      <c r="R72" s="1"/>
      <c r="S72" s="1"/>
      <c r="T72" s="1"/>
    </row>
    <row r="73" ht="14.2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  <c r="Q73" s="3"/>
      <c r="R73" s="1"/>
      <c r="S73" s="1"/>
      <c r="T73" s="1"/>
    </row>
    <row r="74" ht="14.2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3"/>
      <c r="R74" s="1"/>
      <c r="S74" s="1"/>
      <c r="T74" s="1"/>
    </row>
    <row r="75" ht="14.2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  <c r="R75" s="1"/>
      <c r="S75" s="1"/>
      <c r="T75" s="1"/>
    </row>
    <row r="76" ht="14.2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  <c r="R76" s="1"/>
      <c r="S76" s="1"/>
      <c r="T76" s="1"/>
    </row>
    <row r="77" ht="14.2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  <c r="R77" s="1"/>
      <c r="S77" s="1"/>
      <c r="T77" s="1"/>
    </row>
    <row r="78" ht="14.2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1"/>
      <c r="S78" s="1"/>
      <c r="T78" s="1"/>
    </row>
    <row r="79" ht="14.2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3"/>
      <c r="R79" s="1"/>
      <c r="S79" s="1"/>
      <c r="T79" s="1"/>
    </row>
    <row r="80" ht="14.2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Q80" s="3"/>
      <c r="R80" s="1"/>
      <c r="S80" s="1"/>
      <c r="T80" s="1"/>
    </row>
    <row r="81" ht="14.2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3"/>
      <c r="R81" s="1"/>
      <c r="S81" s="1"/>
      <c r="T81" s="1"/>
    </row>
    <row r="82" ht="14.2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Q82" s="3"/>
      <c r="R82" s="1"/>
      <c r="S82" s="1"/>
      <c r="T82" s="1"/>
    </row>
    <row r="83" ht="14.2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Q83" s="3"/>
      <c r="R83" s="1"/>
      <c r="S83" s="1"/>
      <c r="T83" s="1"/>
    </row>
    <row r="84" ht="14.2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Q84" s="3"/>
      <c r="R84" s="1"/>
      <c r="S84" s="1"/>
      <c r="T84" s="1"/>
    </row>
    <row r="85" ht="14.2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Q85" s="3"/>
      <c r="R85" s="1"/>
      <c r="S85" s="1"/>
      <c r="T85" s="1"/>
    </row>
    <row r="86" ht="14.2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3"/>
      <c r="R86" s="1"/>
      <c r="S86" s="1"/>
      <c r="T86" s="1"/>
    </row>
    <row r="87" ht="14.2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Q87" s="3"/>
      <c r="R87" s="1"/>
      <c r="S87" s="1"/>
      <c r="T87" s="1"/>
    </row>
    <row r="88" ht="14.2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Q88" s="3"/>
      <c r="R88" s="1"/>
      <c r="S88" s="1"/>
      <c r="T88" s="1"/>
    </row>
    <row r="89" ht="14.2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Q89" s="3"/>
      <c r="R89" s="1"/>
      <c r="S89" s="1"/>
      <c r="T89" s="1"/>
    </row>
    <row r="90" ht="14.2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3"/>
      <c r="R90" s="1"/>
      <c r="S90" s="1"/>
      <c r="T90" s="1"/>
    </row>
    <row r="91" ht="14.2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Q91" s="3"/>
      <c r="R91" s="1"/>
      <c r="S91" s="1"/>
      <c r="T91" s="1"/>
    </row>
    <row r="92" ht="14.2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3"/>
      <c r="R92" s="1"/>
      <c r="S92" s="1"/>
      <c r="T92" s="1"/>
    </row>
    <row r="93" ht="14.2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3"/>
      <c r="R93" s="1"/>
      <c r="S93" s="1"/>
      <c r="T93" s="1"/>
    </row>
    <row r="94" ht="14.2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Q94" s="3"/>
      <c r="R94" s="1"/>
      <c r="S94" s="1"/>
      <c r="T94" s="1"/>
    </row>
    <row r="95" ht="14.2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Q95" s="3"/>
      <c r="R95" s="1"/>
      <c r="S95" s="1"/>
      <c r="T95" s="1"/>
    </row>
    <row r="96" ht="14.2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3"/>
      <c r="R96" s="1"/>
      <c r="S96" s="1"/>
      <c r="T96" s="1"/>
    </row>
    <row r="97" ht="14.2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Q97" s="3"/>
      <c r="R97" s="1"/>
      <c r="S97" s="1"/>
      <c r="T97" s="1"/>
    </row>
    <row r="98" ht="14.2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1"/>
      <c r="S98" s="1"/>
      <c r="T98" s="1"/>
    </row>
    <row r="99" ht="14.2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Q99" s="3"/>
      <c r="R99" s="1"/>
      <c r="S99" s="1"/>
      <c r="T99" s="1"/>
    </row>
    <row r="100" ht="14.2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1"/>
      <c r="S100" s="1"/>
      <c r="T100" s="1"/>
    </row>
    <row r="101" ht="14.2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1"/>
      <c r="S101" s="1"/>
      <c r="T101" s="1"/>
    </row>
    <row r="102" ht="14.2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1"/>
      <c r="S102" s="1"/>
      <c r="T102" s="1"/>
    </row>
    <row r="103" ht="14.2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1"/>
      <c r="S103" s="1"/>
      <c r="T103" s="1"/>
    </row>
    <row r="104" ht="14.2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1"/>
      <c r="S104" s="1"/>
      <c r="T104" s="1"/>
    </row>
    <row r="105" ht="14.2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1"/>
      <c r="S105" s="1"/>
      <c r="T105" s="1"/>
    </row>
    <row r="106" ht="14.2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1"/>
      <c r="S106" s="1"/>
      <c r="T106" s="1"/>
    </row>
    <row r="107" ht="14.2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1"/>
      <c r="S107" s="1"/>
      <c r="T107" s="1"/>
    </row>
    <row r="108" ht="14.2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1"/>
      <c r="S108" s="1"/>
      <c r="T108" s="1"/>
    </row>
    <row r="109" ht="14.2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1"/>
      <c r="S109" s="1"/>
      <c r="T109" s="1"/>
    </row>
    <row r="110" ht="14.2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1"/>
      <c r="S110" s="1"/>
      <c r="T110" s="1"/>
    </row>
    <row r="111" ht="14.2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1"/>
      <c r="S111" s="1"/>
      <c r="T111" s="1"/>
    </row>
    <row r="112" ht="14.2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1"/>
      <c r="S112" s="1"/>
      <c r="T112" s="1"/>
    </row>
    <row r="113" ht="14.2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1"/>
      <c r="S113" s="1"/>
      <c r="T113" s="1"/>
    </row>
    <row r="114" ht="14.2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1"/>
      <c r="S114" s="1"/>
      <c r="T114" s="1"/>
    </row>
    <row r="115" ht="14.2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1"/>
      <c r="S115" s="1"/>
      <c r="T115" s="1"/>
    </row>
    <row r="116" ht="14.2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1"/>
      <c r="S116" s="1"/>
      <c r="T116" s="1"/>
    </row>
    <row r="117" ht="14.2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1"/>
      <c r="S117" s="1"/>
      <c r="T117" s="1"/>
    </row>
    <row r="118" ht="14.2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1"/>
      <c r="S118" s="1"/>
      <c r="T118" s="1"/>
    </row>
    <row r="119" ht="14.2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1"/>
      <c r="S119" s="1"/>
      <c r="T119" s="1"/>
    </row>
    <row r="120" ht="14.2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1"/>
      <c r="S120" s="1"/>
      <c r="T120" s="1"/>
    </row>
    <row r="121" ht="14.2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1"/>
      <c r="S121" s="1"/>
      <c r="T121" s="1"/>
    </row>
    <row r="122" ht="14.2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1"/>
      <c r="S122" s="1"/>
      <c r="T122" s="1"/>
    </row>
    <row r="123" ht="14.2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1"/>
      <c r="S123" s="1"/>
      <c r="T123" s="1"/>
    </row>
    <row r="124" ht="14.2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1"/>
      <c r="S124" s="1"/>
      <c r="T124" s="1"/>
    </row>
    <row r="125" ht="14.2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1"/>
      <c r="S125" s="1"/>
      <c r="T125" s="1"/>
    </row>
    <row r="126" ht="14.2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1"/>
      <c r="S126" s="1"/>
      <c r="T126" s="1"/>
    </row>
    <row r="127" ht="14.2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1"/>
      <c r="S127" s="1"/>
      <c r="T127" s="1"/>
    </row>
    <row r="128" ht="14.2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1"/>
      <c r="S128" s="1"/>
      <c r="T128" s="1"/>
    </row>
    <row r="129" ht="14.2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1"/>
      <c r="S129" s="1"/>
      <c r="T129" s="1"/>
    </row>
    <row r="130" ht="14.2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1"/>
      <c r="S130" s="1"/>
      <c r="T130" s="1"/>
    </row>
    <row r="131" ht="14.2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1"/>
      <c r="S131" s="1"/>
      <c r="T131" s="1"/>
    </row>
    <row r="132" ht="14.2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1"/>
      <c r="S132" s="1"/>
      <c r="T132" s="1"/>
    </row>
    <row r="133" ht="14.2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1"/>
      <c r="S133" s="1"/>
      <c r="T133" s="1"/>
    </row>
    <row r="134" ht="14.2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1"/>
      <c r="S134" s="1"/>
      <c r="T134" s="1"/>
    </row>
    <row r="135" ht="14.2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1"/>
      <c r="S135" s="1"/>
      <c r="T135" s="1"/>
    </row>
    <row r="136" ht="14.2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1"/>
      <c r="S136" s="1"/>
      <c r="T136" s="1"/>
    </row>
    <row r="137" ht="14.2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1"/>
      <c r="S137" s="1"/>
      <c r="T137" s="1"/>
    </row>
    <row r="138" ht="14.2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1"/>
      <c r="S138" s="1"/>
      <c r="T138" s="1"/>
    </row>
    <row r="139" ht="14.2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1"/>
      <c r="S139" s="1"/>
      <c r="T139" s="1"/>
    </row>
    <row r="140" ht="14.2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1"/>
      <c r="S140" s="1"/>
      <c r="T140" s="1"/>
    </row>
    <row r="141" ht="14.2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1"/>
      <c r="S141" s="1"/>
      <c r="T141" s="1"/>
    </row>
    <row r="142" ht="14.2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1"/>
      <c r="S142" s="1"/>
      <c r="T142" s="1"/>
    </row>
    <row r="143" ht="14.2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1"/>
      <c r="S143" s="1"/>
      <c r="T143" s="1"/>
    </row>
    <row r="144" ht="14.2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1"/>
      <c r="S144" s="1"/>
      <c r="T144" s="1"/>
    </row>
    <row r="145" ht="14.2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1"/>
      <c r="S145" s="1"/>
      <c r="T145" s="1"/>
    </row>
    <row r="146" ht="14.2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1"/>
      <c r="S146" s="1"/>
      <c r="T146" s="1"/>
    </row>
    <row r="147" ht="14.2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1"/>
      <c r="S147" s="1"/>
      <c r="T147" s="1"/>
    </row>
    <row r="148" ht="14.2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1"/>
      <c r="S148" s="1"/>
      <c r="T148" s="1"/>
    </row>
    <row r="149" ht="14.2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1"/>
      <c r="S149" s="1"/>
      <c r="T149" s="1"/>
    </row>
    <row r="150" ht="14.2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1"/>
      <c r="S150" s="1"/>
      <c r="T150" s="1"/>
    </row>
    <row r="151" ht="14.2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1"/>
      <c r="S151" s="1"/>
      <c r="T151" s="1"/>
    </row>
    <row r="152" ht="14.2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1"/>
      <c r="S152" s="1"/>
      <c r="T152" s="1"/>
    </row>
    <row r="153" ht="14.2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1"/>
      <c r="S153" s="1"/>
      <c r="T153" s="1"/>
    </row>
    <row r="154" ht="14.2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1"/>
      <c r="S154" s="1"/>
      <c r="T154" s="1"/>
    </row>
    <row r="155" ht="14.2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1"/>
      <c r="S155" s="1"/>
      <c r="T155" s="1"/>
    </row>
    <row r="156" ht="14.2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1"/>
      <c r="S156" s="1"/>
      <c r="T156" s="1"/>
    </row>
    <row r="157" ht="14.2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1"/>
      <c r="S157" s="1"/>
      <c r="T157" s="1"/>
    </row>
    <row r="158" ht="14.2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1"/>
      <c r="S158" s="1"/>
      <c r="T158" s="1"/>
    </row>
    <row r="159" ht="14.2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1"/>
      <c r="S159" s="1"/>
      <c r="T159" s="1"/>
    </row>
    <row r="160" ht="14.2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1"/>
      <c r="S160" s="1"/>
      <c r="T160" s="1"/>
    </row>
    <row r="161" ht="14.2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1"/>
      <c r="S161" s="1"/>
      <c r="T161" s="1"/>
    </row>
    <row r="162" ht="14.2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1"/>
      <c r="S162" s="1"/>
      <c r="T162" s="1"/>
    </row>
    <row r="163" ht="14.2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1"/>
      <c r="S163" s="1"/>
      <c r="T163" s="1"/>
    </row>
    <row r="164" ht="14.2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1"/>
      <c r="S164" s="1"/>
      <c r="T164" s="1"/>
    </row>
    <row r="165" ht="14.2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1"/>
      <c r="S165" s="1"/>
      <c r="T165" s="1"/>
    </row>
    <row r="166" ht="14.2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1"/>
      <c r="S166" s="1"/>
      <c r="T166" s="1"/>
    </row>
    <row r="167" ht="14.2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1"/>
      <c r="S167" s="1"/>
      <c r="T167" s="1"/>
    </row>
    <row r="168" ht="14.2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1"/>
      <c r="S168" s="1"/>
      <c r="T168" s="1"/>
    </row>
    <row r="169" ht="14.2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1"/>
      <c r="S169" s="1"/>
      <c r="T169" s="1"/>
    </row>
    <row r="170" ht="14.2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1"/>
      <c r="S170" s="1"/>
      <c r="T170" s="1"/>
    </row>
    <row r="171" ht="14.2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1"/>
      <c r="S171" s="1"/>
      <c r="T171" s="1"/>
    </row>
    <row r="172" ht="14.2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1"/>
      <c r="S172" s="1"/>
      <c r="T172" s="1"/>
    </row>
    <row r="173" ht="14.2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1"/>
      <c r="S173" s="1"/>
      <c r="T173" s="1"/>
    </row>
    <row r="174" ht="14.2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1"/>
      <c r="S174" s="1"/>
      <c r="T174" s="1"/>
    </row>
    <row r="175" ht="14.2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1"/>
      <c r="S175" s="1"/>
      <c r="T175" s="1"/>
    </row>
    <row r="176" ht="14.2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1"/>
      <c r="S176" s="1"/>
      <c r="T176" s="1"/>
    </row>
    <row r="177" ht="14.2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1"/>
      <c r="S177" s="1"/>
      <c r="T177" s="1"/>
    </row>
    <row r="178" ht="14.2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1"/>
      <c r="S178" s="1"/>
      <c r="T178" s="1"/>
    </row>
    <row r="179" ht="14.2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1"/>
      <c r="S179" s="1"/>
      <c r="T179" s="1"/>
    </row>
    <row r="180" ht="14.2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1"/>
      <c r="S180" s="1"/>
      <c r="T180" s="1"/>
    </row>
    <row r="181" ht="14.2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1"/>
      <c r="S181" s="1"/>
      <c r="T181" s="1"/>
    </row>
    <row r="182" ht="14.2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1"/>
      <c r="S182" s="1"/>
      <c r="T182" s="1"/>
    </row>
    <row r="183" ht="14.2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1"/>
      <c r="S183" s="1"/>
      <c r="T183" s="1"/>
    </row>
    <row r="184" ht="14.2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1"/>
      <c r="S184" s="1"/>
      <c r="T184" s="1"/>
    </row>
    <row r="185" ht="14.2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1"/>
      <c r="S185" s="1"/>
      <c r="T185" s="1"/>
    </row>
    <row r="186" ht="14.2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1"/>
      <c r="S186" s="1"/>
      <c r="T186" s="1"/>
    </row>
    <row r="187" ht="14.2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1"/>
      <c r="S187" s="1"/>
      <c r="T187" s="1"/>
    </row>
    <row r="188" ht="14.2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1"/>
      <c r="S188" s="1"/>
      <c r="T188" s="1"/>
    </row>
    <row r="189" ht="14.2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1"/>
      <c r="S189" s="1"/>
      <c r="T189" s="1"/>
    </row>
    <row r="190" ht="14.2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1"/>
      <c r="S190" s="1"/>
      <c r="T190" s="1"/>
    </row>
    <row r="191" ht="14.2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1"/>
      <c r="S191" s="1"/>
      <c r="T191" s="1"/>
    </row>
    <row r="192" ht="14.2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1"/>
      <c r="S192" s="1"/>
      <c r="T192" s="1"/>
    </row>
    <row r="193" ht="14.2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1"/>
      <c r="S193" s="1"/>
      <c r="T193" s="1"/>
    </row>
    <row r="194" ht="14.2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1"/>
      <c r="S194" s="1"/>
      <c r="T194" s="1"/>
    </row>
    <row r="195" ht="14.2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1"/>
      <c r="S195" s="1"/>
      <c r="T195" s="1"/>
    </row>
    <row r="196" ht="14.2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1"/>
      <c r="S196" s="1"/>
      <c r="T196" s="1"/>
    </row>
    <row r="197" ht="14.2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1"/>
      <c r="S197" s="1"/>
      <c r="T197" s="1"/>
    </row>
    <row r="198" ht="14.2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1"/>
      <c r="S198" s="1"/>
      <c r="T198" s="1"/>
    </row>
    <row r="199" ht="14.2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1"/>
      <c r="S199" s="1"/>
      <c r="T199" s="1"/>
    </row>
    <row r="200" ht="14.2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1"/>
      <c r="S200" s="1"/>
      <c r="T200" s="1"/>
    </row>
    <row r="201" ht="14.2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1"/>
      <c r="S201" s="1"/>
      <c r="T201" s="1"/>
    </row>
    <row r="202" ht="14.2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1"/>
      <c r="S202" s="1"/>
      <c r="T202" s="1"/>
    </row>
    <row r="203" ht="14.2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1"/>
      <c r="S203" s="1"/>
      <c r="T203" s="1"/>
    </row>
    <row r="204" ht="14.2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1"/>
      <c r="S204" s="1"/>
      <c r="T204" s="1"/>
    </row>
    <row r="205" ht="14.2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1"/>
      <c r="S205" s="1"/>
      <c r="T205" s="1"/>
    </row>
    <row r="206" ht="14.2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1"/>
      <c r="S206" s="1"/>
      <c r="T206" s="1"/>
    </row>
    <row r="207" ht="14.2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1"/>
      <c r="S207" s="1"/>
      <c r="T207" s="1"/>
    </row>
    <row r="208" ht="14.2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1"/>
      <c r="S208" s="1"/>
      <c r="T208" s="1"/>
    </row>
    <row r="209" ht="14.2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1"/>
      <c r="S209" s="1"/>
      <c r="T209" s="1"/>
    </row>
    <row r="210" ht="14.2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1"/>
      <c r="S210" s="1"/>
      <c r="T210" s="1"/>
    </row>
    <row r="211" ht="14.2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1"/>
      <c r="S211" s="1"/>
      <c r="T211" s="1"/>
    </row>
    <row r="212" ht="14.2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1"/>
      <c r="S212" s="1"/>
      <c r="T212" s="1"/>
    </row>
    <row r="213" ht="14.2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1"/>
      <c r="S213" s="1"/>
      <c r="T213" s="1"/>
    </row>
    <row r="214" ht="14.2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1"/>
      <c r="S214" s="1"/>
      <c r="T214" s="1"/>
    </row>
    <row r="215" ht="14.2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1"/>
      <c r="S215" s="1"/>
      <c r="T215" s="1"/>
    </row>
    <row r="216" ht="14.2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1"/>
      <c r="S216" s="1"/>
      <c r="T216" s="1"/>
    </row>
    <row r="217" ht="14.2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1"/>
      <c r="S217" s="1"/>
      <c r="T217" s="1"/>
    </row>
    <row r="218" ht="14.2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1"/>
      <c r="S218" s="1"/>
      <c r="T218" s="1"/>
    </row>
    <row r="219" ht="14.2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1"/>
      <c r="S219" s="1"/>
      <c r="T219" s="1"/>
    </row>
    <row r="220" ht="14.2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1"/>
      <c r="S220" s="1"/>
      <c r="T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13:Q13"/>
    <mergeCell ref="E14:Q14"/>
    <mergeCell ref="E15:Q15"/>
    <mergeCell ref="E16:Q16"/>
    <mergeCell ref="B33:C33"/>
    <mergeCell ref="D33:E33"/>
    <mergeCell ref="G33:H33"/>
  </mergeCells>
  <printOptions/>
  <pageMargins bottom="0.787401575" footer="0.0" header="0.0" left="0.511811024" right="0.511811024" top="0.787401575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14.43"/>
  </cols>
  <sheetData>
    <row r="1">
      <c r="A1" s="106"/>
      <c r="B1" s="107" t="s">
        <v>26</v>
      </c>
      <c r="C1" s="108"/>
      <c r="D1" s="108"/>
      <c r="E1" s="107" t="s">
        <v>27</v>
      </c>
      <c r="F1" s="108"/>
      <c r="G1" s="108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>
      <c r="A2" s="110" t="s">
        <v>28</v>
      </c>
      <c r="B2" s="110" t="s">
        <v>29</v>
      </c>
      <c r="C2" s="110" t="s">
        <v>30</v>
      </c>
      <c r="D2" s="111" t="s">
        <v>31</v>
      </c>
      <c r="E2" s="110" t="s">
        <v>29</v>
      </c>
      <c r="F2" s="110" t="s">
        <v>30</v>
      </c>
      <c r="G2" s="111" t="s">
        <v>31</v>
      </c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112" t="s">
        <v>32</v>
      </c>
      <c r="B3" s="113">
        <v>2100.0</v>
      </c>
      <c r="C3" s="114">
        <v>2500.0</v>
      </c>
      <c r="D3" s="115">
        <f t="shared" ref="D3:D5" si="1">SUM(B3:C3)</f>
        <v>4600</v>
      </c>
      <c r="E3" s="114">
        <v>1400.0</v>
      </c>
      <c r="F3" s="114">
        <v>880.0</v>
      </c>
      <c r="G3" s="115">
        <f t="shared" ref="G3:G5" si="2">SUM(E3:F3)</f>
        <v>2280</v>
      </c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112" t="s">
        <v>33</v>
      </c>
      <c r="B4" s="114">
        <v>2700.0</v>
      </c>
      <c r="C4" s="114">
        <v>4000.0</v>
      </c>
      <c r="D4" s="115">
        <f t="shared" si="1"/>
        <v>6700</v>
      </c>
      <c r="E4" s="114">
        <v>1800.0</v>
      </c>
      <c r="F4" s="114">
        <v>1000.0</v>
      </c>
      <c r="G4" s="115">
        <f t="shared" si="2"/>
        <v>2800</v>
      </c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>
      <c r="A5" s="112" t="s">
        <v>34</v>
      </c>
      <c r="B5" s="114">
        <v>3200.0</v>
      </c>
      <c r="C5" s="114">
        <v>3500.0</v>
      </c>
      <c r="D5" s="115">
        <f t="shared" si="1"/>
        <v>6700</v>
      </c>
      <c r="E5" s="114">
        <v>2500.0</v>
      </c>
      <c r="F5" s="114">
        <v>1500.0</v>
      </c>
      <c r="G5" s="115">
        <f t="shared" si="2"/>
        <v>4000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>
      <c r="A6" s="79"/>
      <c r="B6" s="79"/>
      <c r="C6" s="79"/>
      <c r="D6" s="79"/>
      <c r="E6" s="79"/>
      <c r="F6" s="79"/>
      <c r="G6" s="7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106"/>
      <c r="B7" s="107" t="s">
        <v>35</v>
      </c>
      <c r="C7" s="108"/>
      <c r="D7" s="108"/>
      <c r="E7" s="107" t="s">
        <v>36</v>
      </c>
      <c r="F7" s="108"/>
      <c r="G7" s="108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116" t="s">
        <v>28</v>
      </c>
      <c r="B8" s="110" t="s">
        <v>29</v>
      </c>
      <c r="C8" s="110" t="s">
        <v>30</v>
      </c>
      <c r="D8" s="111" t="s">
        <v>31</v>
      </c>
      <c r="E8" s="110" t="s">
        <v>29</v>
      </c>
      <c r="F8" s="110" t="s">
        <v>30</v>
      </c>
      <c r="G8" s="111" t="s">
        <v>31</v>
      </c>
      <c r="H8" s="109"/>
      <c r="I8" s="117"/>
      <c r="J8" s="117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>
      <c r="A9" s="112" t="s">
        <v>32</v>
      </c>
      <c r="B9" s="113">
        <v>4500.0</v>
      </c>
      <c r="C9" s="114">
        <v>3000.0</v>
      </c>
      <c r="D9" s="115">
        <f t="shared" ref="D9:D11" si="3">SUM(B9:C9)</f>
        <v>7500</v>
      </c>
      <c r="E9" s="79"/>
      <c r="F9" s="79"/>
      <c r="G9" s="106"/>
      <c r="H9" s="109"/>
      <c r="I9" s="117"/>
      <c r="J9" s="117"/>
      <c r="K9" s="117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>
      <c r="A10" s="112" t="s">
        <v>33</v>
      </c>
      <c r="B10" s="114">
        <v>5500.0</v>
      </c>
      <c r="C10" s="114">
        <v>3000.0</v>
      </c>
      <c r="D10" s="115">
        <f t="shared" si="3"/>
        <v>8500</v>
      </c>
      <c r="E10" s="114">
        <v>5500.0</v>
      </c>
      <c r="F10" s="114">
        <v>3000.0</v>
      </c>
      <c r="G10" s="115">
        <f>SUM(E10:F10)</f>
        <v>8500</v>
      </c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>
      <c r="A11" s="112" t="s">
        <v>34</v>
      </c>
      <c r="B11" s="114">
        <v>6500.0</v>
      </c>
      <c r="C11" s="114">
        <v>3000.0</v>
      </c>
      <c r="D11" s="115">
        <f t="shared" si="3"/>
        <v>9500</v>
      </c>
      <c r="E11" s="79"/>
      <c r="F11" s="79"/>
      <c r="G11" s="106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>
      <c r="A12" s="109"/>
      <c r="B12" s="109"/>
      <c r="C12" s="109"/>
      <c r="D12" s="109"/>
      <c r="E12" s="109"/>
      <c r="F12" s="109"/>
      <c r="G12" s="118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>
      <c r="A13" s="109"/>
      <c r="B13" s="109"/>
      <c r="C13" s="109"/>
      <c r="D13" s="109"/>
      <c r="E13" s="109"/>
      <c r="F13" s="109"/>
      <c r="G13" s="118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>
      <c r="A14" s="109"/>
      <c r="B14" s="109"/>
      <c r="C14" s="109"/>
      <c r="D14" s="109"/>
      <c r="E14" s="109"/>
      <c r="F14" s="109"/>
      <c r="G14" s="118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119"/>
      <c r="B15" s="109"/>
      <c r="C15" s="109"/>
      <c r="D15" s="109"/>
      <c r="E15" s="109"/>
      <c r="F15" s="109"/>
      <c r="G15" s="118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>
      <c r="A16" s="109"/>
      <c r="B16" s="109"/>
      <c r="C16" s="109"/>
      <c r="D16" s="109"/>
      <c r="E16" s="109"/>
      <c r="F16" s="109"/>
      <c r="G16" s="118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>
      <c r="A17" s="109"/>
      <c r="B17" s="120"/>
      <c r="C17" s="109"/>
      <c r="D17" s="109"/>
      <c r="E17" s="109"/>
      <c r="F17" s="109"/>
      <c r="G17" s="118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>
      <c r="A18" s="109"/>
      <c r="B18" s="120"/>
      <c r="C18" s="109"/>
      <c r="D18" s="109"/>
      <c r="E18" s="109"/>
      <c r="F18" s="109"/>
      <c r="G18" s="118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>
      <c r="A19" s="109"/>
      <c r="B19" s="120"/>
      <c r="C19" s="109"/>
      <c r="D19" s="109"/>
      <c r="E19" s="109"/>
      <c r="F19" s="109"/>
      <c r="G19" s="118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>
      <c r="A20" s="109"/>
      <c r="B20" s="109"/>
      <c r="C20" s="109"/>
      <c r="D20" s="109"/>
      <c r="E20" s="109"/>
      <c r="F20" s="109"/>
      <c r="G20" s="118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5.75" customHeight="1">
      <c r="A21" s="109"/>
      <c r="B21" s="109"/>
      <c r="C21" s="109"/>
      <c r="D21" s="109"/>
      <c r="E21" s="109"/>
      <c r="F21" s="109"/>
      <c r="G21" s="118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5.75" customHeight="1">
      <c r="A22" s="109"/>
      <c r="B22" s="109"/>
      <c r="C22" s="109"/>
      <c r="D22" s="109"/>
      <c r="E22" s="109"/>
      <c r="F22" s="109"/>
      <c r="G22" s="118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5.75" customHeight="1">
      <c r="A23" s="109"/>
      <c r="B23" s="109"/>
      <c r="C23" s="109"/>
      <c r="D23" s="109"/>
      <c r="E23" s="109"/>
      <c r="F23" s="109"/>
      <c r="G23" s="118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5.75" customHeight="1">
      <c r="A24" s="109"/>
      <c r="B24" s="109"/>
      <c r="C24" s="109"/>
      <c r="D24" s="109"/>
      <c r="E24" s="109"/>
      <c r="F24" s="109"/>
      <c r="G24" s="118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109"/>
      <c r="B25" s="109"/>
      <c r="C25" s="109"/>
      <c r="D25" s="109"/>
      <c r="E25" s="109"/>
      <c r="F25" s="109"/>
      <c r="G25" s="118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5.75" customHeight="1">
      <c r="A26" s="109"/>
      <c r="B26" s="109"/>
      <c r="C26" s="109"/>
      <c r="D26" s="109"/>
      <c r="E26" s="109"/>
      <c r="F26" s="109"/>
      <c r="G26" s="118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5.75" customHeight="1">
      <c r="A27" s="109"/>
      <c r="B27" s="109"/>
      <c r="C27" s="109"/>
      <c r="D27" s="109"/>
      <c r="E27" s="109"/>
      <c r="F27" s="109"/>
      <c r="G27" s="118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5.75" customHeight="1">
      <c r="A28" s="109"/>
      <c r="B28" s="109"/>
      <c r="C28" s="109"/>
      <c r="D28" s="109"/>
      <c r="E28" s="109"/>
      <c r="F28" s="109"/>
      <c r="G28" s="118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5.75" customHeight="1">
      <c r="A29" s="109"/>
      <c r="B29" s="109"/>
      <c r="C29" s="109"/>
      <c r="D29" s="109"/>
      <c r="E29" s="109"/>
      <c r="F29" s="109"/>
      <c r="G29" s="118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5.75" customHeight="1">
      <c r="A30" s="109"/>
      <c r="B30" s="109"/>
      <c r="C30" s="109"/>
      <c r="D30" s="109"/>
      <c r="E30" s="109"/>
      <c r="F30" s="109"/>
      <c r="G30" s="118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5.75" customHeight="1">
      <c r="A31" s="109"/>
      <c r="B31" s="109"/>
      <c r="C31" s="109"/>
      <c r="D31" s="109"/>
      <c r="E31" s="109"/>
      <c r="F31" s="109"/>
      <c r="G31" s="118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5.75" customHeight="1">
      <c r="A32" s="109"/>
      <c r="B32" s="109"/>
      <c r="C32" s="109"/>
      <c r="D32" s="109"/>
      <c r="E32" s="109"/>
      <c r="F32" s="109"/>
      <c r="G32" s="118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5.75" customHeight="1">
      <c r="A33" s="109"/>
      <c r="B33" s="109"/>
      <c r="C33" s="109"/>
      <c r="D33" s="109"/>
      <c r="E33" s="109"/>
      <c r="F33" s="109"/>
      <c r="G33" s="118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5.75" customHeight="1">
      <c r="A34" s="109"/>
      <c r="B34" s="109"/>
      <c r="C34" s="109"/>
      <c r="D34" s="109"/>
      <c r="E34" s="109"/>
      <c r="F34" s="109"/>
      <c r="G34" s="118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109"/>
      <c r="B35" s="109"/>
      <c r="C35" s="109"/>
      <c r="D35" s="109"/>
      <c r="E35" s="109"/>
      <c r="F35" s="109"/>
      <c r="G35" s="118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109"/>
      <c r="B36" s="109"/>
      <c r="C36" s="109"/>
      <c r="D36" s="109"/>
      <c r="E36" s="109"/>
      <c r="F36" s="109"/>
      <c r="G36" s="118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109"/>
      <c r="B37" s="109"/>
      <c r="C37" s="109"/>
      <c r="D37" s="109"/>
      <c r="E37" s="109"/>
      <c r="F37" s="109"/>
      <c r="G37" s="118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109"/>
      <c r="B38" s="109"/>
      <c r="C38" s="109"/>
      <c r="D38" s="109"/>
      <c r="E38" s="109"/>
      <c r="F38" s="109"/>
      <c r="G38" s="118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109"/>
      <c r="B39" s="109"/>
      <c r="C39" s="109"/>
      <c r="D39" s="109"/>
      <c r="E39" s="109"/>
      <c r="F39" s="109"/>
      <c r="G39" s="118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109"/>
      <c r="B40" s="109"/>
      <c r="C40" s="109"/>
      <c r="D40" s="109"/>
      <c r="E40" s="109"/>
      <c r="F40" s="109"/>
      <c r="G40" s="118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109"/>
      <c r="B41" s="109"/>
      <c r="C41" s="109"/>
      <c r="D41" s="109"/>
      <c r="E41" s="109"/>
      <c r="F41" s="109"/>
      <c r="G41" s="118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109"/>
      <c r="B42" s="109"/>
      <c r="C42" s="109"/>
      <c r="D42" s="109"/>
      <c r="E42" s="109"/>
      <c r="F42" s="109"/>
      <c r="G42" s="118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109"/>
      <c r="B43" s="109"/>
      <c r="C43" s="109"/>
      <c r="D43" s="109"/>
      <c r="E43" s="109"/>
      <c r="F43" s="109"/>
      <c r="G43" s="118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109"/>
      <c r="B44" s="109"/>
      <c r="C44" s="109"/>
      <c r="D44" s="109"/>
      <c r="E44" s="109"/>
      <c r="F44" s="109"/>
      <c r="G44" s="118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109"/>
      <c r="B45" s="109"/>
      <c r="C45" s="109"/>
      <c r="D45" s="109"/>
      <c r="E45" s="109"/>
      <c r="F45" s="109"/>
      <c r="G45" s="118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109"/>
      <c r="B46" s="109"/>
      <c r="C46" s="109"/>
      <c r="D46" s="109"/>
      <c r="E46" s="109"/>
      <c r="F46" s="109"/>
      <c r="G46" s="118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109"/>
      <c r="B47" s="109"/>
      <c r="C47" s="109"/>
      <c r="D47" s="109"/>
      <c r="E47" s="109"/>
      <c r="F47" s="109"/>
      <c r="G47" s="118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109"/>
      <c r="B48" s="109"/>
      <c r="C48" s="109"/>
      <c r="D48" s="109"/>
      <c r="E48" s="109"/>
      <c r="F48" s="109"/>
      <c r="G48" s="118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109"/>
      <c r="B49" s="109"/>
      <c r="C49" s="109"/>
      <c r="D49" s="109"/>
      <c r="E49" s="109"/>
      <c r="F49" s="109"/>
      <c r="G49" s="118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109"/>
      <c r="B50" s="109"/>
      <c r="C50" s="109"/>
      <c r="D50" s="109"/>
      <c r="E50" s="109"/>
      <c r="F50" s="109"/>
      <c r="G50" s="118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109"/>
      <c r="B51" s="109"/>
      <c r="C51" s="109"/>
      <c r="D51" s="109"/>
      <c r="E51" s="109"/>
      <c r="F51" s="109"/>
      <c r="G51" s="118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109"/>
      <c r="B52" s="109"/>
      <c r="C52" s="109"/>
      <c r="D52" s="109"/>
      <c r="E52" s="109"/>
      <c r="F52" s="109"/>
      <c r="G52" s="118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109"/>
      <c r="B53" s="109"/>
      <c r="C53" s="109"/>
      <c r="D53" s="109"/>
      <c r="E53" s="109"/>
      <c r="F53" s="109"/>
      <c r="G53" s="118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109"/>
      <c r="B54" s="109"/>
      <c r="C54" s="109"/>
      <c r="D54" s="109"/>
      <c r="E54" s="109"/>
      <c r="F54" s="109"/>
      <c r="G54" s="118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109"/>
      <c r="B55" s="109"/>
      <c r="C55" s="109"/>
      <c r="D55" s="109"/>
      <c r="E55" s="109"/>
      <c r="F55" s="109"/>
      <c r="G55" s="118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109"/>
      <c r="B56" s="109"/>
      <c r="C56" s="109"/>
      <c r="D56" s="109"/>
      <c r="E56" s="109"/>
      <c r="F56" s="109"/>
      <c r="G56" s="118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109"/>
      <c r="B57" s="109"/>
      <c r="C57" s="109"/>
      <c r="D57" s="109"/>
      <c r="E57" s="109"/>
      <c r="F57" s="109"/>
      <c r="G57" s="118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109"/>
      <c r="B58" s="109"/>
      <c r="C58" s="109"/>
      <c r="D58" s="109"/>
      <c r="E58" s="109"/>
      <c r="F58" s="109"/>
      <c r="G58" s="118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109"/>
      <c r="B59" s="109"/>
      <c r="C59" s="109"/>
      <c r="D59" s="109"/>
      <c r="E59" s="109"/>
      <c r="F59" s="109"/>
      <c r="G59" s="118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109"/>
      <c r="B60" s="109"/>
      <c r="C60" s="109"/>
      <c r="D60" s="109"/>
      <c r="E60" s="109"/>
      <c r="F60" s="109"/>
      <c r="G60" s="118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109"/>
      <c r="B61" s="109"/>
      <c r="C61" s="109"/>
      <c r="D61" s="109"/>
      <c r="E61" s="109"/>
      <c r="F61" s="109"/>
      <c r="G61" s="118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109"/>
      <c r="B62" s="109"/>
      <c r="C62" s="109"/>
      <c r="D62" s="109"/>
      <c r="E62" s="109"/>
      <c r="F62" s="109"/>
      <c r="G62" s="118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109"/>
      <c r="B63" s="109"/>
      <c r="C63" s="109"/>
      <c r="D63" s="109"/>
      <c r="E63" s="109"/>
      <c r="F63" s="109"/>
      <c r="G63" s="118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109"/>
      <c r="B64" s="109"/>
      <c r="C64" s="109"/>
      <c r="D64" s="109"/>
      <c r="E64" s="109"/>
      <c r="F64" s="109"/>
      <c r="G64" s="118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109"/>
      <c r="B65" s="109"/>
      <c r="C65" s="109"/>
      <c r="D65" s="109"/>
      <c r="E65" s="109"/>
      <c r="F65" s="109"/>
      <c r="G65" s="118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5.75" customHeight="1">
      <c r="A66" s="109"/>
      <c r="B66" s="109"/>
      <c r="C66" s="109"/>
      <c r="D66" s="109"/>
      <c r="E66" s="109"/>
      <c r="F66" s="109"/>
      <c r="G66" s="118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109"/>
      <c r="B67" s="109"/>
      <c r="C67" s="109"/>
      <c r="D67" s="109"/>
      <c r="E67" s="109"/>
      <c r="F67" s="109"/>
      <c r="G67" s="118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109"/>
      <c r="B68" s="109"/>
      <c r="C68" s="109"/>
      <c r="D68" s="109"/>
      <c r="E68" s="109"/>
      <c r="F68" s="109"/>
      <c r="G68" s="118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109"/>
      <c r="B69" s="109"/>
      <c r="C69" s="109"/>
      <c r="D69" s="109"/>
      <c r="E69" s="109"/>
      <c r="F69" s="109"/>
      <c r="G69" s="118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109"/>
      <c r="B70" s="109"/>
      <c r="C70" s="109"/>
      <c r="D70" s="109"/>
      <c r="E70" s="109"/>
      <c r="F70" s="109"/>
      <c r="G70" s="118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109"/>
      <c r="B71" s="109"/>
      <c r="C71" s="109"/>
      <c r="D71" s="109"/>
      <c r="E71" s="109"/>
      <c r="F71" s="109"/>
      <c r="G71" s="118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109"/>
      <c r="B72" s="109"/>
      <c r="C72" s="109"/>
      <c r="D72" s="109"/>
      <c r="E72" s="109"/>
      <c r="F72" s="109"/>
      <c r="G72" s="118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109"/>
      <c r="B73" s="109"/>
      <c r="C73" s="109"/>
      <c r="D73" s="109"/>
      <c r="E73" s="109"/>
      <c r="F73" s="109"/>
      <c r="G73" s="118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109"/>
      <c r="B74" s="109"/>
      <c r="C74" s="109"/>
      <c r="D74" s="109"/>
      <c r="E74" s="109"/>
      <c r="F74" s="109"/>
      <c r="G74" s="118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109"/>
      <c r="B75" s="109"/>
      <c r="C75" s="109"/>
      <c r="D75" s="109"/>
      <c r="E75" s="109"/>
      <c r="F75" s="109"/>
      <c r="G75" s="118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109"/>
      <c r="B76" s="109"/>
      <c r="C76" s="109"/>
      <c r="D76" s="109"/>
      <c r="E76" s="109"/>
      <c r="F76" s="109"/>
      <c r="G76" s="118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109"/>
      <c r="B77" s="109"/>
      <c r="C77" s="109"/>
      <c r="D77" s="109"/>
      <c r="E77" s="109"/>
      <c r="F77" s="109"/>
      <c r="G77" s="118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109"/>
      <c r="B78" s="109"/>
      <c r="C78" s="109"/>
      <c r="D78" s="109"/>
      <c r="E78" s="109"/>
      <c r="F78" s="109"/>
      <c r="G78" s="118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109"/>
      <c r="B79" s="109"/>
      <c r="C79" s="109"/>
      <c r="D79" s="109"/>
      <c r="E79" s="109"/>
      <c r="F79" s="109"/>
      <c r="G79" s="118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109"/>
      <c r="B80" s="109"/>
      <c r="C80" s="109"/>
      <c r="D80" s="109"/>
      <c r="E80" s="109"/>
      <c r="F80" s="109"/>
      <c r="G80" s="118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109"/>
      <c r="B81" s="109"/>
      <c r="C81" s="109"/>
      <c r="D81" s="109"/>
      <c r="E81" s="109"/>
      <c r="F81" s="109"/>
      <c r="G81" s="118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109"/>
      <c r="B82" s="109"/>
      <c r="C82" s="109"/>
      <c r="D82" s="109"/>
      <c r="E82" s="109"/>
      <c r="F82" s="109"/>
      <c r="G82" s="118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109"/>
      <c r="B83" s="109"/>
      <c r="C83" s="109"/>
      <c r="D83" s="109"/>
      <c r="E83" s="109"/>
      <c r="F83" s="109"/>
      <c r="G83" s="118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09"/>
      <c r="B84" s="109"/>
      <c r="C84" s="109"/>
      <c r="D84" s="109"/>
      <c r="E84" s="109"/>
      <c r="F84" s="109"/>
      <c r="G84" s="118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109"/>
      <c r="B85" s="109"/>
      <c r="C85" s="109"/>
      <c r="D85" s="109"/>
      <c r="E85" s="109"/>
      <c r="F85" s="109"/>
      <c r="G85" s="118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109"/>
      <c r="B86" s="109"/>
      <c r="C86" s="109"/>
      <c r="D86" s="109"/>
      <c r="E86" s="109"/>
      <c r="F86" s="109"/>
      <c r="G86" s="118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109"/>
      <c r="B87" s="109"/>
      <c r="C87" s="109"/>
      <c r="D87" s="109"/>
      <c r="E87" s="109"/>
      <c r="F87" s="109"/>
      <c r="G87" s="118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109"/>
      <c r="B88" s="109"/>
      <c r="C88" s="109"/>
      <c r="D88" s="109"/>
      <c r="E88" s="109"/>
      <c r="F88" s="109"/>
      <c r="G88" s="118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109"/>
      <c r="B89" s="109"/>
      <c r="C89" s="109"/>
      <c r="D89" s="109"/>
      <c r="E89" s="109"/>
      <c r="F89" s="109"/>
      <c r="G89" s="118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109"/>
      <c r="B90" s="109"/>
      <c r="C90" s="109"/>
      <c r="D90" s="109"/>
      <c r="E90" s="109"/>
      <c r="F90" s="109"/>
      <c r="G90" s="118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109"/>
      <c r="B91" s="109"/>
      <c r="C91" s="109"/>
      <c r="D91" s="109"/>
      <c r="E91" s="109"/>
      <c r="F91" s="109"/>
      <c r="G91" s="118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109"/>
      <c r="B92" s="109"/>
      <c r="C92" s="109"/>
      <c r="D92" s="109"/>
      <c r="E92" s="109"/>
      <c r="F92" s="109"/>
      <c r="G92" s="118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109"/>
      <c r="B93" s="109"/>
      <c r="C93" s="109"/>
      <c r="D93" s="109"/>
      <c r="E93" s="109"/>
      <c r="F93" s="109"/>
      <c r="G93" s="118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109"/>
      <c r="B94" s="109"/>
      <c r="C94" s="109"/>
      <c r="D94" s="109"/>
      <c r="E94" s="109"/>
      <c r="F94" s="109"/>
      <c r="G94" s="118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109"/>
      <c r="B95" s="109"/>
      <c r="C95" s="109"/>
      <c r="D95" s="109"/>
      <c r="E95" s="109"/>
      <c r="F95" s="109"/>
      <c r="G95" s="118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109"/>
      <c r="B96" s="109"/>
      <c r="C96" s="109"/>
      <c r="D96" s="109"/>
      <c r="E96" s="109"/>
      <c r="F96" s="109"/>
      <c r="G96" s="118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109"/>
      <c r="B97" s="109"/>
      <c r="C97" s="109"/>
      <c r="D97" s="109"/>
      <c r="E97" s="109"/>
      <c r="F97" s="109"/>
      <c r="G97" s="118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109"/>
      <c r="B98" s="109"/>
      <c r="C98" s="109"/>
      <c r="D98" s="109"/>
      <c r="E98" s="109"/>
      <c r="F98" s="109"/>
      <c r="G98" s="118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109"/>
      <c r="B99" s="109"/>
      <c r="C99" s="109"/>
      <c r="D99" s="109"/>
      <c r="E99" s="109"/>
      <c r="F99" s="109"/>
      <c r="G99" s="118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109"/>
      <c r="B100" s="109"/>
      <c r="C100" s="109"/>
      <c r="D100" s="109"/>
      <c r="E100" s="109"/>
      <c r="F100" s="109"/>
      <c r="G100" s="118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109"/>
      <c r="B101" s="109"/>
      <c r="C101" s="109"/>
      <c r="D101" s="109"/>
      <c r="E101" s="109"/>
      <c r="F101" s="109"/>
      <c r="G101" s="118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109"/>
      <c r="B102" s="109"/>
      <c r="C102" s="109"/>
      <c r="D102" s="109"/>
      <c r="E102" s="109"/>
      <c r="F102" s="109"/>
      <c r="G102" s="118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109"/>
      <c r="B103" s="109"/>
      <c r="C103" s="109"/>
      <c r="D103" s="109"/>
      <c r="E103" s="109"/>
      <c r="F103" s="109"/>
      <c r="G103" s="118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109"/>
      <c r="B104" s="109"/>
      <c r="C104" s="109"/>
      <c r="D104" s="109"/>
      <c r="E104" s="109"/>
      <c r="F104" s="109"/>
      <c r="G104" s="118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109"/>
      <c r="B105" s="109"/>
      <c r="C105" s="109"/>
      <c r="D105" s="109"/>
      <c r="E105" s="109"/>
      <c r="F105" s="109"/>
      <c r="G105" s="118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109"/>
      <c r="B106" s="109"/>
      <c r="C106" s="109"/>
      <c r="D106" s="109"/>
      <c r="E106" s="109"/>
      <c r="F106" s="109"/>
      <c r="G106" s="118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109"/>
      <c r="B107" s="109"/>
      <c r="C107" s="109"/>
      <c r="D107" s="109"/>
      <c r="E107" s="109"/>
      <c r="F107" s="109"/>
      <c r="G107" s="118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109"/>
      <c r="B108" s="109"/>
      <c r="C108" s="109"/>
      <c r="D108" s="109"/>
      <c r="E108" s="109"/>
      <c r="F108" s="109"/>
      <c r="G108" s="118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109"/>
      <c r="B109" s="109"/>
      <c r="C109" s="109"/>
      <c r="D109" s="109"/>
      <c r="E109" s="109"/>
      <c r="F109" s="109"/>
      <c r="G109" s="118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109"/>
      <c r="B110" s="109"/>
      <c r="C110" s="109"/>
      <c r="D110" s="109"/>
      <c r="E110" s="109"/>
      <c r="F110" s="109"/>
      <c r="G110" s="118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109"/>
      <c r="B111" s="109"/>
      <c r="C111" s="109"/>
      <c r="D111" s="109"/>
      <c r="E111" s="109"/>
      <c r="F111" s="109"/>
      <c r="G111" s="118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109"/>
      <c r="B112" s="109"/>
      <c r="C112" s="109"/>
      <c r="D112" s="109"/>
      <c r="E112" s="109"/>
      <c r="F112" s="109"/>
      <c r="G112" s="118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09"/>
      <c r="B113" s="109"/>
      <c r="C113" s="109"/>
      <c r="D113" s="109"/>
      <c r="E113" s="109"/>
      <c r="F113" s="109"/>
      <c r="G113" s="118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109"/>
      <c r="B114" s="109"/>
      <c r="C114" s="109"/>
      <c r="D114" s="109"/>
      <c r="E114" s="109"/>
      <c r="F114" s="109"/>
      <c r="G114" s="118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109"/>
      <c r="B115" s="109"/>
      <c r="C115" s="109"/>
      <c r="D115" s="109"/>
      <c r="E115" s="109"/>
      <c r="F115" s="109"/>
      <c r="G115" s="118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109"/>
      <c r="B116" s="109"/>
      <c r="C116" s="109"/>
      <c r="D116" s="109"/>
      <c r="E116" s="109"/>
      <c r="F116" s="109"/>
      <c r="G116" s="118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109"/>
      <c r="B117" s="109"/>
      <c r="C117" s="109"/>
      <c r="D117" s="109"/>
      <c r="E117" s="109"/>
      <c r="F117" s="109"/>
      <c r="G117" s="118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109"/>
      <c r="B118" s="109"/>
      <c r="C118" s="109"/>
      <c r="D118" s="109"/>
      <c r="E118" s="109"/>
      <c r="F118" s="109"/>
      <c r="G118" s="118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109"/>
      <c r="B119" s="109"/>
      <c r="C119" s="109"/>
      <c r="D119" s="109"/>
      <c r="E119" s="109"/>
      <c r="F119" s="109"/>
      <c r="G119" s="118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109"/>
      <c r="B120" s="109"/>
      <c r="C120" s="109"/>
      <c r="D120" s="109"/>
      <c r="E120" s="109"/>
      <c r="F120" s="109"/>
      <c r="G120" s="118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109"/>
      <c r="B121" s="109"/>
      <c r="C121" s="109"/>
      <c r="D121" s="109"/>
      <c r="E121" s="109"/>
      <c r="F121" s="109"/>
      <c r="G121" s="118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109"/>
      <c r="B122" s="109"/>
      <c r="C122" s="109"/>
      <c r="D122" s="109"/>
      <c r="E122" s="109"/>
      <c r="F122" s="109"/>
      <c r="G122" s="118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109"/>
      <c r="B123" s="109"/>
      <c r="C123" s="109"/>
      <c r="D123" s="109"/>
      <c r="E123" s="109"/>
      <c r="F123" s="109"/>
      <c r="G123" s="118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109"/>
      <c r="B124" s="109"/>
      <c r="C124" s="109"/>
      <c r="D124" s="109"/>
      <c r="E124" s="109"/>
      <c r="F124" s="109"/>
      <c r="G124" s="118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109"/>
      <c r="B125" s="109"/>
      <c r="C125" s="109"/>
      <c r="D125" s="109"/>
      <c r="E125" s="109"/>
      <c r="F125" s="109"/>
      <c r="G125" s="118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109"/>
      <c r="B126" s="109"/>
      <c r="C126" s="109"/>
      <c r="D126" s="109"/>
      <c r="E126" s="109"/>
      <c r="F126" s="109"/>
      <c r="G126" s="118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09"/>
      <c r="B127" s="109"/>
      <c r="C127" s="109"/>
      <c r="D127" s="109"/>
      <c r="E127" s="109"/>
      <c r="F127" s="109"/>
      <c r="G127" s="118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109"/>
      <c r="B128" s="109"/>
      <c r="C128" s="109"/>
      <c r="D128" s="109"/>
      <c r="E128" s="109"/>
      <c r="F128" s="109"/>
      <c r="G128" s="118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109"/>
      <c r="B129" s="109"/>
      <c r="C129" s="109"/>
      <c r="D129" s="109"/>
      <c r="E129" s="109"/>
      <c r="F129" s="109"/>
      <c r="G129" s="118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09"/>
      <c r="B130" s="109"/>
      <c r="C130" s="109"/>
      <c r="D130" s="109"/>
      <c r="E130" s="109"/>
      <c r="F130" s="109"/>
      <c r="G130" s="118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109"/>
      <c r="B131" s="109"/>
      <c r="C131" s="109"/>
      <c r="D131" s="109"/>
      <c r="E131" s="109"/>
      <c r="F131" s="109"/>
      <c r="G131" s="118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109"/>
      <c r="B132" s="109"/>
      <c r="C132" s="109"/>
      <c r="D132" s="109"/>
      <c r="E132" s="109"/>
      <c r="F132" s="109"/>
      <c r="G132" s="118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109"/>
      <c r="B133" s="109"/>
      <c r="C133" s="109"/>
      <c r="D133" s="109"/>
      <c r="E133" s="109"/>
      <c r="F133" s="109"/>
      <c r="G133" s="118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109"/>
      <c r="B134" s="109"/>
      <c r="C134" s="109"/>
      <c r="D134" s="109"/>
      <c r="E134" s="109"/>
      <c r="F134" s="109"/>
      <c r="G134" s="118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109"/>
      <c r="B135" s="109"/>
      <c r="C135" s="109"/>
      <c r="D135" s="109"/>
      <c r="E135" s="109"/>
      <c r="F135" s="109"/>
      <c r="G135" s="118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109"/>
      <c r="B136" s="109"/>
      <c r="C136" s="109"/>
      <c r="D136" s="109"/>
      <c r="E136" s="109"/>
      <c r="F136" s="109"/>
      <c r="G136" s="118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109"/>
      <c r="B137" s="109"/>
      <c r="C137" s="109"/>
      <c r="D137" s="109"/>
      <c r="E137" s="109"/>
      <c r="F137" s="109"/>
      <c r="G137" s="118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109"/>
      <c r="B138" s="109"/>
      <c r="C138" s="109"/>
      <c r="D138" s="109"/>
      <c r="E138" s="109"/>
      <c r="F138" s="109"/>
      <c r="G138" s="118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109"/>
      <c r="B139" s="109"/>
      <c r="C139" s="109"/>
      <c r="D139" s="109"/>
      <c r="E139" s="109"/>
      <c r="F139" s="109"/>
      <c r="G139" s="118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109"/>
      <c r="B140" s="109"/>
      <c r="C140" s="109"/>
      <c r="D140" s="109"/>
      <c r="E140" s="109"/>
      <c r="F140" s="109"/>
      <c r="G140" s="118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109"/>
      <c r="B141" s="109"/>
      <c r="C141" s="109"/>
      <c r="D141" s="109"/>
      <c r="E141" s="109"/>
      <c r="F141" s="109"/>
      <c r="G141" s="118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109"/>
      <c r="B142" s="109"/>
      <c r="C142" s="109"/>
      <c r="D142" s="109"/>
      <c r="E142" s="109"/>
      <c r="F142" s="109"/>
      <c r="G142" s="118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109"/>
      <c r="B143" s="109"/>
      <c r="C143" s="109"/>
      <c r="D143" s="109"/>
      <c r="E143" s="109"/>
      <c r="F143" s="109"/>
      <c r="G143" s="118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09"/>
      <c r="B144" s="109"/>
      <c r="C144" s="109"/>
      <c r="D144" s="109"/>
      <c r="E144" s="109"/>
      <c r="F144" s="109"/>
      <c r="G144" s="118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109"/>
      <c r="B145" s="109"/>
      <c r="C145" s="109"/>
      <c r="D145" s="109"/>
      <c r="E145" s="109"/>
      <c r="F145" s="109"/>
      <c r="G145" s="118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109"/>
      <c r="B146" s="109"/>
      <c r="C146" s="109"/>
      <c r="D146" s="109"/>
      <c r="E146" s="109"/>
      <c r="F146" s="109"/>
      <c r="G146" s="118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09"/>
      <c r="B147" s="109"/>
      <c r="C147" s="109"/>
      <c r="D147" s="109"/>
      <c r="E147" s="109"/>
      <c r="F147" s="109"/>
      <c r="G147" s="118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09"/>
      <c r="B148" s="109"/>
      <c r="C148" s="109"/>
      <c r="D148" s="109"/>
      <c r="E148" s="109"/>
      <c r="F148" s="109"/>
      <c r="G148" s="118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109"/>
      <c r="B149" s="109"/>
      <c r="C149" s="109"/>
      <c r="D149" s="109"/>
      <c r="E149" s="109"/>
      <c r="F149" s="109"/>
      <c r="G149" s="118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109"/>
      <c r="B150" s="109"/>
      <c r="C150" s="109"/>
      <c r="D150" s="109"/>
      <c r="E150" s="109"/>
      <c r="F150" s="109"/>
      <c r="G150" s="118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109"/>
      <c r="B151" s="109"/>
      <c r="C151" s="109"/>
      <c r="D151" s="109"/>
      <c r="E151" s="109"/>
      <c r="F151" s="109"/>
      <c r="G151" s="118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109"/>
      <c r="B152" s="109"/>
      <c r="C152" s="109"/>
      <c r="D152" s="109"/>
      <c r="E152" s="109"/>
      <c r="F152" s="109"/>
      <c r="G152" s="118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109"/>
      <c r="B153" s="109"/>
      <c r="C153" s="109"/>
      <c r="D153" s="109"/>
      <c r="E153" s="109"/>
      <c r="F153" s="109"/>
      <c r="G153" s="118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109"/>
      <c r="B154" s="109"/>
      <c r="C154" s="109"/>
      <c r="D154" s="109"/>
      <c r="E154" s="109"/>
      <c r="F154" s="109"/>
      <c r="G154" s="118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109"/>
      <c r="B155" s="109"/>
      <c r="C155" s="109"/>
      <c r="D155" s="109"/>
      <c r="E155" s="109"/>
      <c r="F155" s="109"/>
      <c r="G155" s="118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109"/>
      <c r="B156" s="109"/>
      <c r="C156" s="109"/>
      <c r="D156" s="109"/>
      <c r="E156" s="109"/>
      <c r="F156" s="109"/>
      <c r="G156" s="118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109"/>
      <c r="B157" s="109"/>
      <c r="C157" s="109"/>
      <c r="D157" s="109"/>
      <c r="E157" s="109"/>
      <c r="F157" s="109"/>
      <c r="G157" s="118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18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18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18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18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18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18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18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18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18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18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18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18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18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18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18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18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18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18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18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18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18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18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18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18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18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18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18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18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18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18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18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18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18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18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18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18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18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18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18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18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18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18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18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18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18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18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18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18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18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18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18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18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18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18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18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18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18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18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18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18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18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18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18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B7:D7"/>
    <mergeCell ref="E7:G7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7.43"/>
    <col customWidth="1" min="3" max="3" width="6.0"/>
    <col customWidth="1" min="4" max="4" width="4.0"/>
    <col customWidth="1" min="5" max="5" width="17.29"/>
    <col customWidth="1" min="6" max="15" width="8.86"/>
    <col customWidth="1" min="16" max="16" width="10.71"/>
    <col customWidth="1" min="17" max="25" width="8.71"/>
  </cols>
  <sheetData>
    <row r="1" ht="14.25" customHeight="1">
      <c r="A1" s="1"/>
      <c r="B1" s="1"/>
      <c r="C1" s="1"/>
      <c r="D1" s="1"/>
      <c r="E1" s="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s="122"/>
      <c r="B2" s="123" t="s">
        <v>37</v>
      </c>
      <c r="C2" s="124"/>
      <c r="D2" s="122"/>
      <c r="E2" s="123" t="s">
        <v>38</v>
      </c>
      <c r="F2" s="125"/>
      <c r="G2" s="125"/>
      <c r="H2" s="125"/>
      <c r="I2" s="125"/>
      <c r="J2" s="125"/>
      <c r="K2" s="125"/>
      <c r="L2" s="125" t="s">
        <v>39</v>
      </c>
      <c r="M2" s="126"/>
      <c r="N2" s="126"/>
      <c r="O2" s="126"/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ht="14.25" customHeight="1">
      <c r="A3" s="1"/>
      <c r="B3" s="4" t="s">
        <v>40</v>
      </c>
      <c r="C3" s="4">
        <v>15.0</v>
      </c>
      <c r="D3" s="1"/>
      <c r="E3" s="122" t="s">
        <v>41</v>
      </c>
      <c r="F3" s="127">
        <v>5.0</v>
      </c>
      <c r="G3" s="127">
        <v>10.0</v>
      </c>
      <c r="H3" s="127">
        <v>15.0</v>
      </c>
      <c r="I3" s="127">
        <v>20.0</v>
      </c>
      <c r="J3" s="127">
        <v>25.0</v>
      </c>
      <c r="K3" s="127">
        <v>30.0</v>
      </c>
      <c r="L3" s="128">
        <v>50.0</v>
      </c>
      <c r="M3" s="129"/>
      <c r="N3" s="129"/>
      <c r="O3" s="129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/>
      <c r="B4" s="4" t="s">
        <v>42</v>
      </c>
      <c r="C4" s="1">
        <v>30.0</v>
      </c>
      <c r="D4" s="1"/>
      <c r="E4" s="1" t="s">
        <v>43</v>
      </c>
      <c r="F4" s="121">
        <f t="shared" ref="F4:L4" si="1">($C$8*F3)</f>
        <v>1.5</v>
      </c>
      <c r="G4" s="121">
        <f t="shared" si="1"/>
        <v>3</v>
      </c>
      <c r="H4" s="121">
        <f t="shared" si="1"/>
        <v>4.5</v>
      </c>
      <c r="I4" s="121">
        <f t="shared" si="1"/>
        <v>6</v>
      </c>
      <c r="J4" s="121">
        <f t="shared" si="1"/>
        <v>7.5</v>
      </c>
      <c r="K4" s="121">
        <f t="shared" si="1"/>
        <v>9</v>
      </c>
      <c r="L4" s="128">
        <f t="shared" si="1"/>
        <v>15</v>
      </c>
      <c r="M4" s="121"/>
      <c r="N4" s="121"/>
      <c r="O4" s="12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1"/>
      <c r="B5" s="1"/>
      <c r="C5" s="1"/>
      <c r="D5" s="1"/>
      <c r="E5" s="1" t="s">
        <v>44</v>
      </c>
      <c r="F5" s="121">
        <f t="shared" ref="F5:L5" si="2">(1-$C$8)*F3</f>
        <v>3.5</v>
      </c>
      <c r="G5" s="121">
        <f t="shared" si="2"/>
        <v>7</v>
      </c>
      <c r="H5" s="121">
        <f t="shared" si="2"/>
        <v>10.5</v>
      </c>
      <c r="I5" s="121">
        <f t="shared" si="2"/>
        <v>14</v>
      </c>
      <c r="J5" s="121">
        <f t="shared" si="2"/>
        <v>17.5</v>
      </c>
      <c r="K5" s="121">
        <f t="shared" si="2"/>
        <v>21</v>
      </c>
      <c r="L5" s="128">
        <f t="shared" si="2"/>
        <v>35</v>
      </c>
      <c r="M5" s="121"/>
      <c r="N5" s="121"/>
      <c r="O5" s="12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>
      <c r="A6" s="1"/>
      <c r="B6" s="130"/>
      <c r="C6" s="130"/>
      <c r="D6" s="1"/>
      <c r="E6" s="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A7" s="1"/>
      <c r="B7" s="131" t="s">
        <v>45</v>
      </c>
      <c r="C7" s="132"/>
      <c r="D7" s="1"/>
      <c r="E7" s="123" t="s">
        <v>46</v>
      </c>
      <c r="F7" s="128"/>
      <c r="G7" s="128"/>
      <c r="H7" s="128"/>
      <c r="I7" s="128"/>
      <c r="J7" s="128"/>
      <c r="K7" s="128"/>
      <c r="L7" s="128"/>
      <c r="M7" s="133"/>
      <c r="N7" s="133"/>
      <c r="O7" s="133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customHeight="1">
      <c r="A8" s="1"/>
      <c r="B8" s="19" t="s">
        <v>47</v>
      </c>
      <c r="C8" s="134">
        <v>0.3</v>
      </c>
      <c r="D8" s="1"/>
      <c r="E8" s="135" t="s">
        <v>43</v>
      </c>
      <c r="F8" s="136">
        <f t="shared" ref="F8:L8" si="3">F4*$C$10</f>
        <v>45</v>
      </c>
      <c r="G8" s="136">
        <f t="shared" si="3"/>
        <v>90</v>
      </c>
      <c r="H8" s="136">
        <f t="shared" si="3"/>
        <v>135</v>
      </c>
      <c r="I8" s="136">
        <f t="shared" si="3"/>
        <v>180</v>
      </c>
      <c r="J8" s="136">
        <f t="shared" si="3"/>
        <v>225</v>
      </c>
      <c r="K8" s="136">
        <f t="shared" si="3"/>
        <v>270</v>
      </c>
      <c r="L8" s="136">
        <f t="shared" si="3"/>
        <v>450</v>
      </c>
      <c r="M8" s="137"/>
      <c r="N8" s="137"/>
      <c r="O8" s="137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 customHeight="1">
      <c r="A9" s="1"/>
      <c r="B9" s="20" t="s">
        <v>40</v>
      </c>
      <c r="C9" s="20">
        <v>15.0</v>
      </c>
      <c r="D9" s="1"/>
      <c r="E9" s="138" t="s">
        <v>44</v>
      </c>
      <c r="F9" s="139">
        <f t="shared" ref="F9:L9" si="4">F5*$C$9</f>
        <v>52.5</v>
      </c>
      <c r="G9" s="139">
        <f t="shared" si="4"/>
        <v>105</v>
      </c>
      <c r="H9" s="139">
        <f t="shared" si="4"/>
        <v>157.5</v>
      </c>
      <c r="I9" s="139">
        <f t="shared" si="4"/>
        <v>210</v>
      </c>
      <c r="J9" s="139">
        <f t="shared" si="4"/>
        <v>262.5</v>
      </c>
      <c r="K9" s="139">
        <f t="shared" si="4"/>
        <v>315</v>
      </c>
      <c r="L9" s="139">
        <f t="shared" si="4"/>
        <v>525</v>
      </c>
      <c r="M9" s="140"/>
      <c r="N9" s="140"/>
      <c r="O9" s="141"/>
      <c r="P9" s="142"/>
      <c r="Q9" s="1"/>
      <c r="R9" s="1"/>
      <c r="S9" s="1"/>
      <c r="T9" s="1"/>
      <c r="U9" s="1"/>
      <c r="V9" s="1"/>
      <c r="W9" s="1"/>
      <c r="X9" s="1"/>
      <c r="Y9" s="1"/>
    </row>
    <row r="10" ht="14.25" customHeight="1">
      <c r="A10" s="1"/>
      <c r="B10" s="20" t="s">
        <v>42</v>
      </c>
      <c r="C10" s="19">
        <v>30.0</v>
      </c>
      <c r="D10" s="1"/>
      <c r="E10" s="143" t="s">
        <v>48</v>
      </c>
      <c r="F10" s="144">
        <f t="shared" ref="F10:K10" si="5">F9+F8</f>
        <v>97.5</v>
      </c>
      <c r="G10" s="144">
        <f t="shared" si="5"/>
        <v>195</v>
      </c>
      <c r="H10" s="144">
        <f t="shared" si="5"/>
        <v>292.5</v>
      </c>
      <c r="I10" s="144">
        <f t="shared" si="5"/>
        <v>390</v>
      </c>
      <c r="J10" s="144">
        <f t="shared" si="5"/>
        <v>487.5</v>
      </c>
      <c r="K10" s="144">
        <f t="shared" si="5"/>
        <v>585</v>
      </c>
      <c r="L10" s="145">
        <f>(L9+L8)*C12</f>
        <v>1950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customHeight="1">
      <c r="A11" s="1"/>
      <c r="B11" s="19"/>
      <c r="C11" s="19"/>
      <c r="D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 customHeight="1">
      <c r="A12" s="1"/>
      <c r="B12" s="19" t="s">
        <v>49</v>
      </c>
      <c r="C12" s="19">
        <v>2.0</v>
      </c>
      <c r="D12" s="1"/>
      <c r="E12" s="1"/>
      <c r="F12" s="121"/>
      <c r="G12" s="121"/>
      <c r="H12" s="121"/>
      <c r="I12" s="121"/>
      <c r="J12" s="121"/>
      <c r="K12" s="121"/>
      <c r="L12" s="121"/>
      <c r="M12" s="121"/>
      <c r="N12" s="121"/>
      <c r="O12" s="146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A13" s="1"/>
      <c r="B13" s="20" t="s">
        <v>40</v>
      </c>
      <c r="C13" s="20">
        <v>30.0</v>
      </c>
      <c r="D13" s="1"/>
      <c r="E13" s="1"/>
      <c r="F13" s="147"/>
      <c r="G13" s="147"/>
      <c r="H13" s="147"/>
      <c r="I13" s="147"/>
      <c r="J13" s="147"/>
      <c r="K13" s="147"/>
      <c r="L13" s="147"/>
      <c r="M13" s="147"/>
      <c r="N13" s="147"/>
      <c r="O13" s="148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A14" s="1"/>
      <c r="B14" s="20" t="s">
        <v>42</v>
      </c>
      <c r="C14" s="19">
        <v>60.0</v>
      </c>
      <c r="D14" s="1"/>
      <c r="E14" s="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A15" s="1"/>
      <c r="B15" s="1"/>
      <c r="C15" s="1"/>
      <c r="D15" s="1"/>
      <c r="E15" s="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A16" s="1"/>
      <c r="B16" s="1"/>
      <c r="C16" s="1"/>
      <c r="D16" s="1"/>
      <c r="E16" s="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A17" s="1"/>
      <c r="B17" s="1"/>
      <c r="C17" s="1"/>
      <c r="D17" s="1"/>
      <c r="E17" s="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"/>
      <c r="B18" s="1"/>
      <c r="C18" s="1"/>
      <c r="D18" s="1"/>
      <c r="E18" s="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A19" s="1"/>
      <c r="B19" s="1"/>
      <c r="C19" s="1"/>
      <c r="D19" s="1"/>
      <c r="E19" s="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A20" s="1"/>
      <c r="B20" s="1"/>
      <c r="C20" s="1"/>
      <c r="D20" s="1"/>
      <c r="E20" s="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A21" s="1"/>
      <c r="C21" s="1"/>
      <c r="D21" s="1"/>
      <c r="E21" s="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A22" s="1"/>
      <c r="B22" s="1"/>
      <c r="C22" s="1"/>
      <c r="D22" s="1"/>
      <c r="E22" s="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A23" s="1"/>
      <c r="B23" s="1"/>
      <c r="C23" s="1"/>
      <c r="D23" s="1"/>
      <c r="E23" s="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A24" s="1"/>
      <c r="B24" s="1"/>
      <c r="C24" s="1"/>
      <c r="D24" s="1"/>
      <c r="E24" s="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A25" s="1"/>
      <c r="B25" s="1"/>
      <c r="C25" s="1"/>
      <c r="D25" s="1"/>
      <c r="E25" s="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A26" s="1"/>
      <c r="B26" s="1"/>
      <c r="C26" s="1"/>
      <c r="D26" s="1"/>
      <c r="E26" s="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A27" s="1"/>
      <c r="B27" s="149"/>
      <c r="C27" s="149"/>
      <c r="D27" s="149"/>
      <c r="E27" s="76"/>
      <c r="F27" s="76"/>
      <c r="G27" s="76"/>
      <c r="H27" s="76"/>
      <c r="I27" s="76"/>
      <c r="J27" s="121"/>
      <c r="K27" s="121"/>
      <c r="L27" s="121"/>
      <c r="M27" s="121"/>
      <c r="N27" s="121"/>
      <c r="O27" s="12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A28" s="1"/>
      <c r="B28" s="149"/>
      <c r="C28" s="76"/>
      <c r="D28" s="76"/>
      <c r="E28" s="76"/>
      <c r="F28" s="76"/>
      <c r="G28" s="76"/>
      <c r="H28" s="76"/>
      <c r="I28" s="76"/>
      <c r="J28" s="121"/>
      <c r="K28" s="121"/>
      <c r="L28" s="121"/>
      <c r="M28" s="121"/>
      <c r="N28" s="121"/>
      <c r="O28" s="12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A29" s="1"/>
      <c r="B29" s="76"/>
      <c r="C29" s="76"/>
      <c r="D29" s="76"/>
      <c r="E29" s="76"/>
      <c r="F29" s="76"/>
      <c r="G29" s="76"/>
      <c r="H29" s="76"/>
      <c r="I29" s="76"/>
      <c r="J29" s="121"/>
      <c r="K29" s="121"/>
      <c r="L29" s="121"/>
      <c r="M29" s="121"/>
      <c r="N29" s="121"/>
      <c r="O29" s="12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A30" s="1"/>
      <c r="B30" s="76"/>
      <c r="C30" s="76"/>
      <c r="D30" s="76"/>
      <c r="E30" s="76"/>
      <c r="F30" s="76"/>
      <c r="G30" s="76"/>
      <c r="H30" s="76"/>
      <c r="I30" s="76"/>
      <c r="J30" s="121"/>
      <c r="K30" s="121"/>
      <c r="L30" s="121"/>
      <c r="M30" s="121"/>
      <c r="N30" s="121"/>
      <c r="O30" s="12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A31" s="1"/>
      <c r="B31" s="76"/>
      <c r="C31" s="76"/>
      <c r="D31" s="76"/>
      <c r="E31" s="76"/>
      <c r="F31" s="76"/>
      <c r="G31" s="76"/>
      <c r="H31" s="76"/>
      <c r="I31" s="76"/>
      <c r="J31" s="121"/>
      <c r="K31" s="121"/>
      <c r="L31" s="121"/>
      <c r="M31" s="121"/>
      <c r="N31" s="121"/>
      <c r="O31" s="12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A32" s="1"/>
      <c r="B32" s="150"/>
      <c r="D32" s="150"/>
      <c r="F32" s="150"/>
      <c r="G32" s="150"/>
      <c r="I32" s="76"/>
      <c r="J32" s="121"/>
      <c r="K32" s="121"/>
      <c r="L32" s="121"/>
      <c r="M32" s="121"/>
      <c r="N32" s="121"/>
      <c r="O32" s="12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"/>
      <c r="B33" s="150"/>
      <c r="C33" s="150"/>
      <c r="D33" s="150"/>
      <c r="E33" s="150"/>
      <c r="F33" s="150"/>
      <c r="G33" s="150"/>
      <c r="H33" s="150"/>
      <c r="I33" s="76"/>
      <c r="J33" s="121"/>
      <c r="K33" s="121"/>
      <c r="L33" s="121"/>
      <c r="M33" s="121"/>
      <c r="N33" s="121"/>
      <c r="O33" s="12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"/>
      <c r="B34" s="151"/>
      <c r="C34" s="152"/>
      <c r="D34" s="153"/>
      <c r="E34" s="153"/>
      <c r="F34" s="151"/>
      <c r="G34" s="153"/>
      <c r="H34" s="153"/>
      <c r="I34" s="76"/>
      <c r="J34" s="121"/>
      <c r="K34" s="121"/>
      <c r="L34" s="121"/>
      <c r="M34" s="121"/>
      <c r="N34" s="121"/>
      <c r="O34" s="12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>
      <c r="A35" s="1"/>
      <c r="B35" s="151"/>
      <c r="C35" s="152"/>
      <c r="D35" s="153"/>
      <c r="E35" s="153"/>
      <c r="F35" s="154"/>
      <c r="G35" s="153"/>
      <c r="H35" s="153"/>
      <c r="I35" s="76"/>
      <c r="J35" s="121"/>
      <c r="K35" s="121"/>
      <c r="L35" s="121"/>
      <c r="M35" s="121"/>
      <c r="N35" s="121"/>
      <c r="O35" s="12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>
      <c r="A36" s="1"/>
      <c r="B36" s="151"/>
      <c r="C36" s="151"/>
      <c r="D36" s="153"/>
      <c r="E36" s="153"/>
      <c r="F36" s="151"/>
      <c r="G36" s="153"/>
      <c r="H36" s="153"/>
      <c r="I36" s="76"/>
      <c r="J36" s="121"/>
      <c r="K36" s="121"/>
      <c r="L36" s="121"/>
      <c r="M36" s="121"/>
      <c r="N36" s="121"/>
      <c r="O36" s="12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>
      <c r="A37" s="1"/>
      <c r="B37" s="151"/>
      <c r="C37" s="151"/>
      <c r="D37" s="153"/>
      <c r="E37" s="153"/>
      <c r="F37" s="151"/>
      <c r="G37" s="153"/>
      <c r="H37" s="153"/>
      <c r="I37" s="76"/>
      <c r="J37" s="121"/>
      <c r="K37" s="121"/>
      <c r="L37" s="121"/>
      <c r="M37" s="121"/>
      <c r="N37" s="121"/>
      <c r="O37" s="12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>
      <c r="A38" s="1"/>
      <c r="B38" s="151"/>
      <c r="C38" s="151"/>
      <c r="D38" s="153"/>
      <c r="E38" s="153"/>
      <c r="F38" s="151"/>
      <c r="G38" s="153"/>
      <c r="H38" s="153"/>
      <c r="I38" s="76"/>
      <c r="J38" s="121"/>
      <c r="K38" s="121"/>
      <c r="L38" s="121"/>
      <c r="M38" s="121"/>
      <c r="N38" s="121"/>
      <c r="O38" s="12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>
      <c r="A39" s="1"/>
      <c r="B39" s="151"/>
      <c r="C39" s="151"/>
      <c r="D39" s="153"/>
      <c r="E39" s="153"/>
      <c r="F39" s="151"/>
      <c r="G39" s="153"/>
      <c r="H39" s="153"/>
      <c r="I39" s="76"/>
      <c r="J39" s="121"/>
      <c r="K39" s="121"/>
      <c r="L39" s="121"/>
      <c r="M39" s="121"/>
      <c r="N39" s="121"/>
      <c r="O39" s="12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>
      <c r="A40" s="1"/>
      <c r="B40" s="151"/>
      <c r="C40" s="151"/>
      <c r="D40" s="153"/>
      <c r="E40" s="153"/>
      <c r="F40" s="151"/>
      <c r="G40" s="153"/>
      <c r="H40" s="153"/>
      <c r="I40" s="76"/>
      <c r="J40" s="121"/>
      <c r="K40" s="121"/>
      <c r="L40" s="121"/>
      <c r="M40" s="121"/>
      <c r="N40" s="121"/>
      <c r="O40" s="12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"/>
      <c r="B41" s="151"/>
      <c r="C41" s="151"/>
      <c r="D41" s="153"/>
      <c r="E41" s="153"/>
      <c r="F41" s="151"/>
      <c r="G41" s="153"/>
      <c r="H41" s="153"/>
      <c r="I41" s="76"/>
      <c r="J41" s="121"/>
      <c r="K41" s="121"/>
      <c r="L41" s="121"/>
      <c r="M41" s="121"/>
      <c r="N41" s="121"/>
      <c r="O41" s="12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"/>
      <c r="B42" s="151"/>
      <c r="C42" s="151"/>
      <c r="D42" s="153"/>
      <c r="E42" s="153"/>
      <c r="F42" s="151"/>
      <c r="G42" s="153"/>
      <c r="H42" s="153"/>
      <c r="I42" s="76"/>
      <c r="J42" s="121"/>
      <c r="K42" s="121"/>
      <c r="L42" s="121"/>
      <c r="M42" s="121"/>
      <c r="N42" s="121"/>
      <c r="O42" s="12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76"/>
      <c r="C43" s="76"/>
      <c r="D43" s="76"/>
      <c r="E43" s="76"/>
      <c r="F43" s="76"/>
      <c r="G43" s="76"/>
      <c r="H43" s="76"/>
      <c r="I43" s="76"/>
      <c r="J43" s="121"/>
      <c r="K43" s="121"/>
      <c r="L43" s="121"/>
      <c r="M43" s="121"/>
      <c r="N43" s="121"/>
      <c r="O43" s="12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/>
      <c r="B44" s="76"/>
      <c r="C44" s="76"/>
      <c r="D44" s="76"/>
      <c r="E44" s="76"/>
      <c r="F44" s="76"/>
      <c r="G44" s="76"/>
      <c r="H44" s="76"/>
      <c r="I44" s="76"/>
      <c r="J44" s="121"/>
      <c r="K44" s="121"/>
      <c r="L44" s="121"/>
      <c r="M44" s="121"/>
      <c r="N44" s="121"/>
      <c r="O44" s="12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"/>
      <c r="B45" s="1"/>
      <c r="C45" s="1"/>
      <c r="D45" s="1"/>
      <c r="E45" s="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"/>
      <c r="B46" s="1"/>
      <c r="C46" s="1"/>
      <c r="D46" s="1"/>
      <c r="E46" s="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"/>
      <c r="B47" s="1"/>
      <c r="C47" s="1"/>
      <c r="D47" s="1"/>
      <c r="E47" s="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"/>
      <c r="B48" s="1"/>
      <c r="C48" s="1"/>
      <c r="D48" s="1"/>
      <c r="E48" s="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"/>
      <c r="B49" s="1"/>
      <c r="C49" s="1"/>
      <c r="D49" s="1"/>
      <c r="E49" s="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"/>
      <c r="B50" s="1"/>
      <c r="C50" s="1"/>
      <c r="D50" s="1"/>
      <c r="E50" s="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"/>
      <c r="B51" s="1"/>
      <c r="C51" s="1"/>
      <c r="D51" s="1"/>
      <c r="E51" s="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"/>
      <c r="B52" s="1"/>
      <c r="C52" s="1"/>
      <c r="D52" s="1"/>
      <c r="E52" s="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"/>
      <c r="B53" s="1"/>
      <c r="C53" s="1"/>
      <c r="D53" s="1"/>
      <c r="E53" s="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"/>
      <c r="B54" s="1"/>
      <c r="C54" s="1"/>
      <c r="D54" s="1"/>
      <c r="E54" s="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"/>
      <c r="B55" s="1"/>
      <c r="C55" s="1"/>
      <c r="D55" s="1"/>
      <c r="E55" s="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"/>
      <c r="B56" s="1"/>
      <c r="C56" s="1"/>
      <c r="D56" s="1"/>
      <c r="E56" s="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/>
      <c r="B57" s="1"/>
      <c r="C57" s="1"/>
      <c r="D57" s="1"/>
      <c r="E57" s="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"/>
      <c r="B58" s="1"/>
      <c r="C58" s="1"/>
      <c r="D58" s="1"/>
      <c r="E58" s="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"/>
      <c r="B59" s="1"/>
      <c r="C59" s="1"/>
      <c r="D59" s="1"/>
      <c r="E59" s="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"/>
      <c r="B60" s="1"/>
      <c r="C60" s="1"/>
      <c r="D60" s="1"/>
      <c r="E60" s="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"/>
      <c r="B61" s="1"/>
      <c r="C61" s="1"/>
      <c r="D61" s="1"/>
      <c r="E61" s="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"/>
      <c r="B62" s="1"/>
      <c r="C62" s="1"/>
      <c r="D62" s="1"/>
      <c r="E62" s="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"/>
      <c r="B63" s="1"/>
      <c r="C63" s="1"/>
      <c r="D63" s="1"/>
      <c r="E63" s="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"/>
      <c r="B64" s="1"/>
      <c r="C64" s="1"/>
      <c r="D64" s="1"/>
      <c r="E64" s="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"/>
      <c r="B65" s="1"/>
      <c r="C65" s="1"/>
      <c r="D65" s="1"/>
      <c r="E65" s="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"/>
      <c r="B66" s="1"/>
      <c r="C66" s="1"/>
      <c r="D66" s="1"/>
      <c r="E66" s="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"/>
      <c r="B67" s="1"/>
      <c r="C67" s="1"/>
      <c r="D67" s="1"/>
      <c r="E67" s="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"/>
      <c r="B68" s="1"/>
      <c r="C68" s="1"/>
      <c r="D68" s="1"/>
      <c r="E68" s="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"/>
      <c r="B69" s="1"/>
      <c r="C69" s="1"/>
      <c r="D69" s="1"/>
      <c r="E69" s="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"/>
      <c r="C70" s="1"/>
      <c r="D70" s="1"/>
      <c r="E70" s="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"/>
      <c r="C71" s="1"/>
      <c r="D71" s="1"/>
      <c r="E71" s="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"/>
      <c r="C72" s="1"/>
      <c r="D72" s="1"/>
      <c r="E72" s="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"/>
      <c r="C73" s="1"/>
      <c r="D73" s="1"/>
      <c r="E73" s="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"/>
      <c r="C74" s="1"/>
      <c r="D74" s="1"/>
      <c r="E74" s="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"/>
      <c r="C75" s="1"/>
      <c r="D75" s="1"/>
      <c r="E75" s="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"/>
      <c r="C76" s="1"/>
      <c r="D76" s="1"/>
      <c r="E76" s="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"/>
      <c r="C77" s="1"/>
      <c r="D77" s="1"/>
      <c r="E77" s="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"/>
      <c r="C78" s="1"/>
      <c r="D78" s="1"/>
      <c r="E78" s="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"/>
      <c r="C79" s="1"/>
      <c r="D79" s="1"/>
      <c r="E79" s="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"/>
      <c r="C80" s="1"/>
      <c r="D80" s="1"/>
      <c r="E80" s="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"/>
      <c r="C81" s="1"/>
      <c r="D81" s="1"/>
      <c r="E81" s="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"/>
      <c r="C82" s="1"/>
      <c r="D82" s="1"/>
      <c r="E82" s="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"/>
      <c r="C83" s="1"/>
      <c r="D83" s="1"/>
      <c r="E83" s="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"/>
      <c r="C84" s="1"/>
      <c r="D84" s="1"/>
      <c r="E84" s="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"/>
      <c r="C85" s="1"/>
      <c r="D85" s="1"/>
      <c r="E85" s="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"/>
      <c r="C86" s="1"/>
      <c r="D86" s="1"/>
      <c r="E86" s="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"/>
      <c r="C87" s="1"/>
      <c r="D87" s="1"/>
      <c r="E87" s="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"/>
      <c r="C88" s="1"/>
      <c r="D88" s="1"/>
      <c r="E88" s="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"/>
      <c r="C89" s="1"/>
      <c r="D89" s="1"/>
      <c r="E89" s="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"/>
      <c r="C90" s="1"/>
      <c r="D90" s="1"/>
      <c r="E90" s="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"/>
      <c r="C91" s="1"/>
      <c r="D91" s="1"/>
      <c r="E91" s="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"/>
      <c r="C92" s="1"/>
      <c r="D92" s="1"/>
      <c r="E92" s="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"/>
      <c r="C93" s="1"/>
      <c r="D93" s="1"/>
      <c r="E93" s="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"/>
      <c r="C94" s="1"/>
      <c r="D94" s="1"/>
      <c r="E94" s="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"/>
      <c r="C95" s="1"/>
      <c r="D95" s="1"/>
      <c r="E95" s="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"/>
      <c r="B96" s="1"/>
      <c r="C96" s="1"/>
      <c r="D96" s="1"/>
      <c r="E96" s="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"/>
      <c r="B97" s="1"/>
      <c r="C97" s="1"/>
      <c r="D97" s="1"/>
      <c r="E97" s="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"/>
      <c r="B98" s="1"/>
      <c r="C98" s="1"/>
      <c r="D98" s="1"/>
      <c r="E98" s="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"/>
      <c r="B99" s="1"/>
      <c r="C99" s="1"/>
      <c r="D99" s="1"/>
      <c r="E99" s="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"/>
      <c r="B100" s="1"/>
      <c r="C100" s="1"/>
      <c r="D100" s="1"/>
      <c r="E100" s="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"/>
      <c r="B101" s="1"/>
      <c r="C101" s="1"/>
      <c r="D101" s="1"/>
      <c r="E101" s="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"/>
      <c r="B102" s="1"/>
      <c r="C102" s="1"/>
      <c r="D102" s="1"/>
      <c r="E102" s="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"/>
      <c r="B103" s="1"/>
      <c r="C103" s="1"/>
      <c r="D103" s="1"/>
      <c r="E103" s="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"/>
      <c r="B104" s="1"/>
      <c r="C104" s="1"/>
      <c r="D104" s="1"/>
      <c r="E104" s="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"/>
      <c r="B105" s="1"/>
      <c r="C105" s="1"/>
      <c r="D105" s="1"/>
      <c r="E105" s="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"/>
      <c r="B106" s="1"/>
      <c r="C106" s="1"/>
      <c r="D106" s="1"/>
      <c r="E106" s="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"/>
      <c r="B107" s="1"/>
      <c r="C107" s="1"/>
      <c r="D107" s="1"/>
      <c r="E107" s="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"/>
      <c r="B108" s="1"/>
      <c r="C108" s="1"/>
      <c r="D108" s="1"/>
      <c r="E108" s="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"/>
      <c r="B109" s="1"/>
      <c r="C109" s="1"/>
      <c r="D109" s="1"/>
      <c r="E109" s="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"/>
      <c r="B110" s="1"/>
      <c r="C110" s="1"/>
      <c r="D110" s="1"/>
      <c r="E110" s="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"/>
      <c r="B111" s="1"/>
      <c r="C111" s="1"/>
      <c r="D111" s="1"/>
      <c r="E111" s="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"/>
      <c r="B112" s="1"/>
      <c r="C112" s="1"/>
      <c r="D112" s="1"/>
      <c r="E112" s="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"/>
      <c r="B113" s="1"/>
      <c r="C113" s="1"/>
      <c r="D113" s="1"/>
      <c r="E113" s="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"/>
      <c r="B114" s="1"/>
      <c r="C114" s="1"/>
      <c r="D114" s="1"/>
      <c r="E114" s="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"/>
      <c r="B115" s="1"/>
      <c r="C115" s="1"/>
      <c r="D115" s="1"/>
      <c r="E115" s="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"/>
      <c r="B116" s="1"/>
      <c r="C116" s="1"/>
      <c r="D116" s="1"/>
      <c r="E116" s="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"/>
      <c r="B117" s="1"/>
      <c r="C117" s="1"/>
      <c r="D117" s="1"/>
      <c r="E117" s="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"/>
      <c r="B118" s="1"/>
      <c r="C118" s="1"/>
      <c r="D118" s="1"/>
      <c r="E118" s="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"/>
      <c r="B119" s="1"/>
      <c r="C119" s="1"/>
      <c r="D119" s="1"/>
      <c r="E119" s="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"/>
      <c r="B120" s="1"/>
      <c r="C120" s="1"/>
      <c r="D120" s="1"/>
      <c r="E120" s="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"/>
      <c r="B121" s="1"/>
      <c r="C121" s="1"/>
      <c r="D121" s="1"/>
      <c r="E121" s="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"/>
      <c r="B122" s="1"/>
      <c r="C122" s="1"/>
      <c r="D122" s="1"/>
      <c r="E122" s="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"/>
      <c r="B123" s="1"/>
      <c r="C123" s="1"/>
      <c r="D123" s="1"/>
      <c r="E123" s="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"/>
      <c r="B124" s="1"/>
      <c r="C124" s="1"/>
      <c r="D124" s="1"/>
      <c r="E124" s="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"/>
      <c r="B125" s="1"/>
      <c r="C125" s="1"/>
      <c r="D125" s="1"/>
      <c r="E125" s="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"/>
      <c r="B126" s="1"/>
      <c r="C126" s="1"/>
      <c r="D126" s="1"/>
      <c r="E126" s="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"/>
      <c r="B127" s="1"/>
      <c r="C127" s="1"/>
      <c r="D127" s="1"/>
      <c r="E127" s="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"/>
      <c r="B128" s="1"/>
      <c r="C128" s="1"/>
      <c r="D128" s="1"/>
      <c r="E128" s="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"/>
      <c r="B129" s="1"/>
      <c r="C129" s="1"/>
      <c r="D129" s="1"/>
      <c r="E129" s="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"/>
      <c r="B130" s="1"/>
      <c r="C130" s="1"/>
      <c r="D130" s="1"/>
      <c r="E130" s="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"/>
      <c r="B131" s="1"/>
      <c r="C131" s="1"/>
      <c r="D131" s="1"/>
      <c r="E131" s="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"/>
      <c r="B132" s="1"/>
      <c r="C132" s="1"/>
      <c r="D132" s="1"/>
      <c r="E132" s="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"/>
      <c r="B133" s="1"/>
      <c r="C133" s="1"/>
      <c r="D133" s="1"/>
      <c r="E133" s="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"/>
      <c r="B134" s="1"/>
      <c r="C134" s="1"/>
      <c r="D134" s="1"/>
      <c r="E134" s="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"/>
      <c r="B135" s="1"/>
      <c r="C135" s="1"/>
      <c r="D135" s="1"/>
      <c r="E135" s="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"/>
      <c r="B136" s="1"/>
      <c r="C136" s="1"/>
      <c r="D136" s="1"/>
      <c r="E136" s="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"/>
      <c r="B137" s="1"/>
      <c r="C137" s="1"/>
      <c r="D137" s="1"/>
      <c r="E137" s="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"/>
      <c r="B138" s="1"/>
      <c r="C138" s="1"/>
      <c r="D138" s="1"/>
      <c r="E138" s="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"/>
      <c r="B139" s="1"/>
      <c r="C139" s="1"/>
      <c r="D139" s="1"/>
      <c r="E139" s="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"/>
      <c r="B140" s="1"/>
      <c r="C140" s="1"/>
      <c r="D140" s="1"/>
      <c r="E140" s="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"/>
      <c r="B141" s="1"/>
      <c r="C141" s="1"/>
      <c r="D141" s="1"/>
      <c r="E141" s="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"/>
      <c r="B142" s="1"/>
      <c r="C142" s="1"/>
      <c r="D142" s="1"/>
      <c r="E142" s="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"/>
      <c r="B143" s="1"/>
      <c r="C143" s="1"/>
      <c r="D143" s="1"/>
      <c r="E143" s="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"/>
      <c r="B144" s="1"/>
      <c r="C144" s="1"/>
      <c r="D144" s="1"/>
      <c r="E144" s="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"/>
      <c r="B145" s="1"/>
      <c r="C145" s="1"/>
      <c r="D145" s="1"/>
      <c r="E145" s="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"/>
      <c r="B146" s="1"/>
      <c r="C146" s="1"/>
      <c r="D146" s="1"/>
      <c r="E146" s="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"/>
      <c r="B147" s="1"/>
      <c r="C147" s="1"/>
      <c r="D147" s="1"/>
      <c r="E147" s="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"/>
      <c r="B148" s="1"/>
      <c r="C148" s="1"/>
      <c r="D148" s="1"/>
      <c r="E148" s="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"/>
      <c r="B149" s="1"/>
      <c r="C149" s="1"/>
      <c r="D149" s="1"/>
      <c r="E149" s="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"/>
      <c r="B150" s="1"/>
      <c r="C150" s="1"/>
      <c r="D150" s="1"/>
      <c r="E150" s="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"/>
      <c r="B151" s="1"/>
      <c r="C151" s="1"/>
      <c r="D151" s="1"/>
      <c r="E151" s="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"/>
      <c r="B152" s="1"/>
      <c r="C152" s="1"/>
      <c r="D152" s="1"/>
      <c r="E152" s="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"/>
      <c r="B153" s="1"/>
      <c r="C153" s="1"/>
      <c r="D153" s="1"/>
      <c r="E153" s="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"/>
      <c r="B154" s="1"/>
      <c r="C154" s="1"/>
      <c r="D154" s="1"/>
      <c r="E154" s="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"/>
      <c r="B155" s="1"/>
      <c r="C155" s="1"/>
      <c r="D155" s="1"/>
      <c r="E155" s="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"/>
      <c r="B156" s="1"/>
      <c r="C156" s="1"/>
      <c r="D156" s="1"/>
      <c r="E156" s="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"/>
      <c r="B157" s="1"/>
      <c r="C157" s="1"/>
      <c r="D157" s="1"/>
      <c r="E157" s="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"/>
      <c r="B158" s="1"/>
      <c r="C158" s="1"/>
      <c r="D158" s="1"/>
      <c r="E158" s="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"/>
      <c r="B159" s="1"/>
      <c r="C159" s="1"/>
      <c r="D159" s="1"/>
      <c r="E159" s="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"/>
      <c r="B160" s="1"/>
      <c r="C160" s="1"/>
      <c r="D160" s="1"/>
      <c r="E160" s="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"/>
      <c r="B161" s="1"/>
      <c r="C161" s="1"/>
      <c r="D161" s="1"/>
      <c r="E161" s="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"/>
      <c r="B162" s="1"/>
      <c r="C162" s="1"/>
      <c r="D162" s="1"/>
      <c r="E162" s="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"/>
      <c r="B163" s="1"/>
      <c r="C163" s="1"/>
      <c r="D163" s="1"/>
      <c r="E163" s="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"/>
      <c r="B164" s="1"/>
      <c r="C164" s="1"/>
      <c r="D164" s="1"/>
      <c r="E164" s="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"/>
      <c r="B165" s="1"/>
      <c r="C165" s="1"/>
      <c r="D165" s="1"/>
      <c r="E165" s="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"/>
      <c r="B166" s="1"/>
      <c r="C166" s="1"/>
      <c r="D166" s="1"/>
      <c r="E166" s="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"/>
      <c r="B167" s="1"/>
      <c r="C167" s="1"/>
      <c r="D167" s="1"/>
      <c r="E167" s="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"/>
      <c r="B168" s="1"/>
      <c r="C168" s="1"/>
      <c r="D168" s="1"/>
      <c r="E168" s="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"/>
      <c r="B169" s="1"/>
      <c r="C169" s="1"/>
      <c r="D169" s="1"/>
      <c r="E169" s="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"/>
      <c r="B170" s="1"/>
      <c r="C170" s="1"/>
      <c r="D170" s="1"/>
      <c r="E170" s="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"/>
      <c r="B171" s="1"/>
      <c r="C171" s="1"/>
      <c r="D171" s="1"/>
      <c r="E171" s="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"/>
      <c r="B172" s="1"/>
      <c r="C172" s="1"/>
      <c r="D172" s="1"/>
      <c r="E172" s="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"/>
      <c r="B173" s="1"/>
      <c r="C173" s="1"/>
      <c r="D173" s="1"/>
      <c r="E173" s="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"/>
      <c r="B174" s="1"/>
      <c r="C174" s="1"/>
      <c r="D174" s="1"/>
      <c r="E174" s="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"/>
      <c r="B175" s="1"/>
      <c r="C175" s="1"/>
      <c r="D175" s="1"/>
      <c r="E175" s="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"/>
      <c r="B176" s="1"/>
      <c r="C176" s="1"/>
      <c r="D176" s="1"/>
      <c r="E176" s="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"/>
      <c r="B177" s="1"/>
      <c r="C177" s="1"/>
      <c r="D177" s="1"/>
      <c r="E177" s="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"/>
      <c r="B178" s="1"/>
      <c r="C178" s="1"/>
      <c r="D178" s="1"/>
      <c r="E178" s="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"/>
      <c r="B179" s="1"/>
      <c r="C179" s="1"/>
      <c r="D179" s="1"/>
      <c r="E179" s="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"/>
      <c r="B180" s="1"/>
      <c r="C180" s="1"/>
      <c r="D180" s="1"/>
      <c r="E180" s="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"/>
      <c r="B181" s="1"/>
      <c r="C181" s="1"/>
      <c r="D181" s="1"/>
      <c r="E181" s="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"/>
      <c r="B182" s="1"/>
      <c r="C182" s="1"/>
      <c r="D182" s="1"/>
      <c r="E182" s="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"/>
      <c r="B183" s="1"/>
      <c r="C183" s="1"/>
      <c r="D183" s="1"/>
      <c r="E183" s="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"/>
      <c r="B184" s="1"/>
      <c r="C184" s="1"/>
      <c r="D184" s="1"/>
      <c r="E184" s="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"/>
      <c r="B185" s="1"/>
      <c r="C185" s="1"/>
      <c r="D185" s="1"/>
      <c r="E185" s="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"/>
      <c r="B186" s="1"/>
      <c r="C186" s="1"/>
      <c r="D186" s="1"/>
      <c r="E186" s="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"/>
      <c r="B187" s="1"/>
      <c r="C187" s="1"/>
      <c r="D187" s="1"/>
      <c r="E187" s="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"/>
      <c r="B188" s="1"/>
      <c r="C188" s="1"/>
      <c r="D188" s="1"/>
      <c r="E188" s="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"/>
      <c r="B189" s="1"/>
      <c r="C189" s="1"/>
      <c r="D189" s="1"/>
      <c r="E189" s="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"/>
      <c r="B190" s="1"/>
      <c r="C190" s="1"/>
      <c r="D190" s="1"/>
      <c r="E190" s="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"/>
      <c r="B191" s="1"/>
      <c r="C191" s="1"/>
      <c r="D191" s="1"/>
      <c r="E191" s="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"/>
      <c r="B192" s="1"/>
      <c r="C192" s="1"/>
      <c r="D192" s="1"/>
      <c r="E192" s="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"/>
      <c r="B193" s="1"/>
      <c r="C193" s="1"/>
      <c r="D193" s="1"/>
      <c r="E193" s="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"/>
      <c r="B194" s="1"/>
      <c r="C194" s="1"/>
      <c r="D194" s="1"/>
      <c r="E194" s="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"/>
      <c r="B195" s="1"/>
      <c r="C195" s="1"/>
      <c r="D195" s="1"/>
      <c r="E195" s="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"/>
      <c r="B196" s="1"/>
      <c r="C196" s="1"/>
      <c r="D196" s="1"/>
      <c r="E196" s="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"/>
      <c r="B197" s="1"/>
      <c r="C197" s="1"/>
      <c r="D197" s="1"/>
      <c r="E197" s="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/>
      <c r="B198" s="1"/>
      <c r="C198" s="1"/>
      <c r="D198" s="1"/>
      <c r="E198" s="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"/>
      <c r="B199" s="1"/>
      <c r="C199" s="1"/>
      <c r="D199" s="1"/>
      <c r="E199" s="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"/>
      <c r="B200" s="1"/>
      <c r="C200" s="1"/>
      <c r="D200" s="1"/>
      <c r="E200" s="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"/>
      <c r="B201" s="1"/>
      <c r="C201" s="1"/>
      <c r="D201" s="1"/>
      <c r="E201" s="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"/>
      <c r="B202" s="1"/>
      <c r="C202" s="1"/>
      <c r="D202" s="1"/>
      <c r="E202" s="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"/>
      <c r="B203" s="1"/>
      <c r="C203" s="1"/>
      <c r="D203" s="1"/>
      <c r="E203" s="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"/>
      <c r="B204" s="1"/>
      <c r="C204" s="1"/>
      <c r="D204" s="1"/>
      <c r="E204" s="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"/>
      <c r="B205" s="1"/>
      <c r="C205" s="1"/>
      <c r="D205" s="1"/>
      <c r="E205" s="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"/>
      <c r="B206" s="1"/>
      <c r="C206" s="1"/>
      <c r="D206" s="1"/>
      <c r="E206" s="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"/>
      <c r="B207" s="1"/>
      <c r="C207" s="1"/>
      <c r="D207" s="1"/>
      <c r="E207" s="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"/>
      <c r="B208" s="1"/>
      <c r="C208" s="1"/>
      <c r="D208" s="1"/>
      <c r="E208" s="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"/>
      <c r="B209" s="1"/>
      <c r="C209" s="1"/>
      <c r="D209" s="1"/>
      <c r="E209" s="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"/>
      <c r="B210" s="1"/>
      <c r="C210" s="1"/>
      <c r="D210" s="1"/>
      <c r="E210" s="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"/>
      <c r="B211" s="1"/>
      <c r="C211" s="1"/>
      <c r="D211" s="1"/>
      <c r="E211" s="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"/>
      <c r="B212" s="1"/>
      <c r="C212" s="1"/>
      <c r="D212" s="1"/>
      <c r="E212" s="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"/>
      <c r="B213" s="1"/>
      <c r="C213" s="1"/>
      <c r="D213" s="1"/>
      <c r="E213" s="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"/>
      <c r="B214" s="1"/>
      <c r="C214" s="1"/>
      <c r="D214" s="1"/>
      <c r="E214" s="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"/>
      <c r="B215" s="1"/>
      <c r="C215" s="1"/>
      <c r="D215" s="1"/>
      <c r="E215" s="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"/>
      <c r="B216" s="1"/>
      <c r="C216" s="1"/>
      <c r="D216" s="1"/>
      <c r="E216" s="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"/>
      <c r="B217" s="1"/>
      <c r="C217" s="1"/>
      <c r="D217" s="1"/>
      <c r="E217" s="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"/>
      <c r="B218" s="1"/>
      <c r="C218" s="1"/>
      <c r="D218" s="1"/>
      <c r="E218" s="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"/>
      <c r="B219" s="1"/>
      <c r="C219" s="1"/>
      <c r="D219" s="1"/>
      <c r="E219" s="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"/>
      <c r="B220" s="1"/>
      <c r="C220" s="1"/>
      <c r="D220" s="1"/>
      <c r="E220" s="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2:C32"/>
    <mergeCell ref="D32:E32"/>
    <mergeCell ref="G32:H32"/>
  </mergeCells>
  <printOptions/>
  <pageMargins bottom="0.787401575" footer="0.0" header="0.0" left="0.511811024" right="0.511811024" top="0.787401575"/>
  <pageSetup paperSize="9" scale="9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5.71"/>
    <col customWidth="1" min="3" max="4" width="9.43"/>
    <col customWidth="1" min="5" max="5" width="3.29"/>
    <col customWidth="1" min="6" max="6" width="14.86"/>
    <col customWidth="1" min="7" max="7" width="9.43"/>
    <col customWidth="1" min="8" max="8" width="19.14"/>
    <col customWidth="1" min="9" max="17" width="9.43"/>
    <col customWidth="1" min="18" max="18" width="10.57"/>
    <col customWidth="1" min="19" max="26" width="8.71"/>
  </cols>
  <sheetData>
    <row r="1" ht="14.2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1"/>
      <c r="T1" s="1"/>
      <c r="U1" s="1"/>
      <c r="V1" s="1"/>
      <c r="W1" s="1"/>
      <c r="X1" s="1"/>
      <c r="Y1" s="1"/>
      <c r="Z1" s="1"/>
    </row>
    <row r="2" ht="14.25" customHeight="1">
      <c r="A2" s="122"/>
      <c r="B2" s="155" t="s">
        <v>1</v>
      </c>
      <c r="C2" s="156"/>
      <c r="D2" s="156"/>
      <c r="E2" s="157"/>
      <c r="F2" s="155" t="s">
        <v>2</v>
      </c>
      <c r="G2" s="158" t="s">
        <v>50</v>
      </c>
      <c r="H2" s="158" t="s">
        <v>51</v>
      </c>
      <c r="I2" s="158" t="s">
        <v>52</v>
      </c>
      <c r="J2" s="158" t="s">
        <v>53</v>
      </c>
      <c r="K2" s="159"/>
      <c r="L2" s="159"/>
      <c r="M2" s="159"/>
      <c r="N2" s="159"/>
      <c r="O2" s="159"/>
      <c r="P2" s="159"/>
      <c r="Q2" s="159"/>
      <c r="R2" s="159"/>
      <c r="S2" s="122"/>
      <c r="T2" s="122"/>
      <c r="U2" s="122"/>
      <c r="V2" s="122"/>
      <c r="W2" s="122"/>
      <c r="X2" s="122"/>
      <c r="Y2" s="122"/>
      <c r="Z2" s="122"/>
    </row>
    <row r="3" ht="14.25" customHeight="1">
      <c r="A3" s="1"/>
      <c r="B3" s="160" t="s">
        <v>4</v>
      </c>
      <c r="C3" s="161">
        <v>3768.0</v>
      </c>
      <c r="D3" s="161"/>
      <c r="E3" s="1"/>
      <c r="F3" s="157" t="s">
        <v>5</v>
      </c>
      <c r="G3" s="162">
        <v>3000.0</v>
      </c>
      <c r="H3" s="162">
        <v>3300.0</v>
      </c>
      <c r="I3" s="163">
        <f t="shared" ref="I3:I5" si="1">H3/G3</f>
        <v>1.1</v>
      </c>
      <c r="J3" s="162">
        <f>D6*C10</f>
        <v>904.32</v>
      </c>
      <c r="K3" s="162"/>
      <c r="L3" s="162"/>
      <c r="M3" s="162"/>
      <c r="N3" s="162"/>
      <c r="O3" s="162"/>
      <c r="P3" s="162"/>
      <c r="Q3" s="162"/>
      <c r="R3" s="162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60" t="s">
        <v>6</v>
      </c>
      <c r="C4" s="161">
        <v>497.0</v>
      </c>
      <c r="D4" s="161"/>
      <c r="E4" s="1"/>
      <c r="F4" s="164" t="s">
        <v>7</v>
      </c>
      <c r="G4" s="162">
        <v>3000.0</v>
      </c>
      <c r="H4" s="162">
        <v>2100.0</v>
      </c>
      <c r="I4" s="163">
        <f t="shared" si="1"/>
        <v>0.7</v>
      </c>
      <c r="J4" s="162">
        <f>H4*I4</f>
        <v>1470</v>
      </c>
      <c r="K4" s="162"/>
      <c r="L4" s="162"/>
      <c r="M4" s="162"/>
      <c r="N4" s="162"/>
      <c r="O4" s="162"/>
      <c r="P4" s="162"/>
      <c r="Q4" s="162"/>
      <c r="R4" s="162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64" t="s">
        <v>8</v>
      </c>
      <c r="C5" s="165">
        <v>20.0</v>
      </c>
      <c r="D5" s="165"/>
      <c r="E5" s="1"/>
      <c r="F5" s="164" t="s">
        <v>9</v>
      </c>
      <c r="G5" s="162">
        <v>3000.0</v>
      </c>
      <c r="H5" s="162">
        <v>1400.0</v>
      </c>
      <c r="I5" s="163">
        <f t="shared" si="1"/>
        <v>0.4666666667</v>
      </c>
      <c r="J5" s="162">
        <v>0.0</v>
      </c>
      <c r="K5" s="162"/>
      <c r="L5" s="162"/>
      <c r="M5" s="162"/>
      <c r="N5" s="162"/>
      <c r="O5" s="162"/>
      <c r="P5" s="162"/>
      <c r="Q5" s="162"/>
      <c r="R5" s="162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66" t="s">
        <v>53</v>
      </c>
      <c r="C6" s="167">
        <v>0.2</v>
      </c>
      <c r="D6" s="168">
        <f>C3*C6</f>
        <v>753.6</v>
      </c>
      <c r="E6" s="1"/>
      <c r="F6" s="169" t="s">
        <v>11</v>
      </c>
      <c r="G6" s="170">
        <f t="shared" ref="G6:H6" si="2">SUM(G3:G5)</f>
        <v>9000</v>
      </c>
      <c r="H6" s="170">
        <f t="shared" si="2"/>
        <v>6800</v>
      </c>
      <c r="I6" s="171">
        <f>AVERAGE(I3:I5)</f>
        <v>0.7555555556</v>
      </c>
      <c r="J6" s="170">
        <f>SUM(J3:J5)</f>
        <v>2374.32</v>
      </c>
      <c r="K6" s="172"/>
      <c r="L6" s="172"/>
      <c r="M6" s="172"/>
      <c r="N6" s="172"/>
      <c r="O6" s="172"/>
      <c r="P6" s="172"/>
      <c r="Q6" s="172"/>
      <c r="R6" s="172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73" t="s">
        <v>54</v>
      </c>
      <c r="C7" s="108"/>
      <c r="D7" s="108"/>
      <c r="E7" s="1"/>
      <c r="F7" s="174"/>
      <c r="G7" s="175"/>
      <c r="H7" s="175"/>
      <c r="I7" s="175"/>
      <c r="J7" s="175"/>
      <c r="K7" s="176"/>
      <c r="L7" s="176"/>
      <c r="M7" s="176"/>
      <c r="N7" s="176"/>
      <c r="O7" s="176"/>
      <c r="P7" s="176"/>
      <c r="Q7" s="164"/>
      <c r="R7" s="177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78" t="s">
        <v>55</v>
      </c>
      <c r="C8" s="179">
        <v>0.0</v>
      </c>
      <c r="D8" s="180">
        <v>0.0</v>
      </c>
      <c r="E8" s="1"/>
      <c r="F8" s="157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3"/>
      <c r="R8" s="3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78" t="s">
        <v>56</v>
      </c>
      <c r="C9" s="178" t="s">
        <v>57</v>
      </c>
      <c r="D9" s="182">
        <v>2100.0</v>
      </c>
      <c r="E9" s="1"/>
      <c r="F9" s="164"/>
      <c r="G9" s="181"/>
      <c r="I9" s="181"/>
      <c r="J9" s="181"/>
      <c r="K9" s="181"/>
      <c r="L9" s="181"/>
      <c r="M9" s="181"/>
      <c r="N9" s="181"/>
      <c r="O9" s="181"/>
      <c r="P9" s="181"/>
      <c r="Q9" s="3"/>
      <c r="R9" s="3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78" t="s">
        <v>58</v>
      </c>
      <c r="C10" s="179">
        <v>1.2</v>
      </c>
      <c r="D10" s="182">
        <f t="shared" ref="D10:D18" si="3">$D$6*C10</f>
        <v>904.32</v>
      </c>
      <c r="E10" s="1"/>
      <c r="F10" s="164"/>
      <c r="G10" s="181"/>
      <c r="I10" s="2"/>
      <c r="J10" s="2"/>
      <c r="K10" s="2"/>
      <c r="L10" s="2"/>
      <c r="M10" s="2"/>
      <c r="N10" s="2"/>
      <c r="O10" s="2"/>
      <c r="P10" s="183"/>
      <c r="Q10" s="3"/>
      <c r="R10" s="3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78" t="s">
        <v>59</v>
      </c>
      <c r="C11" s="179">
        <v>1.4</v>
      </c>
      <c r="D11" s="182">
        <f t="shared" si="3"/>
        <v>1055.04</v>
      </c>
      <c r="E11" s="1"/>
      <c r="I11" s="184"/>
      <c r="J11" s="184"/>
      <c r="K11" s="184"/>
      <c r="L11" s="184"/>
      <c r="M11" s="184"/>
      <c r="N11" s="2"/>
      <c r="O11" s="184"/>
      <c r="P11" s="185"/>
      <c r="Q11" s="3"/>
      <c r="R11" s="3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78" t="s">
        <v>60</v>
      </c>
      <c r="C12" s="179">
        <v>1.6</v>
      </c>
      <c r="D12" s="182">
        <f t="shared" si="3"/>
        <v>1205.76</v>
      </c>
      <c r="E12" s="1"/>
      <c r="I12" s="2"/>
      <c r="J12" s="2"/>
      <c r="K12" s="2"/>
      <c r="L12" s="2"/>
      <c r="M12" s="2"/>
      <c r="N12" s="2"/>
      <c r="O12" s="2"/>
      <c r="P12" s="2"/>
      <c r="Q12" s="3"/>
      <c r="R12" s="3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78" t="s">
        <v>61</v>
      </c>
      <c r="C13" s="179">
        <v>1.8</v>
      </c>
      <c r="D13" s="182">
        <f t="shared" si="3"/>
        <v>1356.48</v>
      </c>
      <c r="E13" s="1"/>
      <c r="I13" s="2"/>
      <c r="J13" s="2"/>
      <c r="K13" s="2"/>
      <c r="L13" s="2"/>
      <c r="M13" s="2"/>
      <c r="N13" s="2"/>
      <c r="O13" s="2"/>
      <c r="P13" s="2"/>
      <c r="Q13" s="3"/>
      <c r="R13" s="3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78" t="s">
        <v>62</v>
      </c>
      <c r="C14" s="179">
        <v>2.0</v>
      </c>
      <c r="D14" s="182">
        <f t="shared" si="3"/>
        <v>1507.2</v>
      </c>
      <c r="E14" s="1"/>
      <c r="I14" s="2"/>
      <c r="J14" s="2"/>
      <c r="K14" s="2"/>
      <c r="L14" s="2"/>
      <c r="M14" s="2"/>
      <c r="N14" s="2"/>
      <c r="O14" s="2"/>
      <c r="P14" s="2"/>
      <c r="Q14" s="3"/>
      <c r="R14" s="3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78" t="s">
        <v>63</v>
      </c>
      <c r="C15" s="179">
        <v>2.2</v>
      </c>
      <c r="D15" s="182">
        <f t="shared" si="3"/>
        <v>1657.92</v>
      </c>
      <c r="E15" s="1"/>
      <c r="I15" s="2"/>
      <c r="J15" s="2"/>
      <c r="K15" s="2"/>
      <c r="L15" s="2"/>
      <c r="M15" s="2"/>
      <c r="N15" s="2"/>
      <c r="O15" s="2"/>
      <c r="P15" s="2"/>
      <c r="Q15" s="3"/>
      <c r="R15" s="3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78" t="s">
        <v>64</v>
      </c>
      <c r="C16" s="179">
        <v>2.4</v>
      </c>
      <c r="D16" s="182">
        <f t="shared" si="3"/>
        <v>1808.64</v>
      </c>
      <c r="E16" s="1"/>
      <c r="I16" s="2"/>
      <c r="J16" s="2"/>
      <c r="K16" s="2"/>
      <c r="L16" s="2"/>
      <c r="M16" s="2"/>
      <c r="N16" s="2"/>
      <c r="O16" s="2"/>
      <c r="P16" s="2"/>
      <c r="Q16" s="3"/>
      <c r="R16" s="3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78" t="s">
        <v>65</v>
      </c>
      <c r="C17" s="179">
        <v>2.5</v>
      </c>
      <c r="D17" s="182">
        <f t="shared" si="3"/>
        <v>1884</v>
      </c>
      <c r="E17" s="1"/>
      <c r="I17" s="2"/>
      <c r="J17" s="2"/>
      <c r="K17" s="2"/>
      <c r="L17" s="2"/>
      <c r="M17" s="2"/>
      <c r="N17" s="2"/>
      <c r="O17" s="2"/>
      <c r="P17" s="2"/>
      <c r="Q17" s="3"/>
      <c r="R17" s="3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78" t="s">
        <v>66</v>
      </c>
      <c r="C18" s="179">
        <v>2.5</v>
      </c>
      <c r="D18" s="182">
        <f t="shared" si="3"/>
        <v>1884</v>
      </c>
      <c r="E18" s="1"/>
      <c r="I18" s="2"/>
      <c r="J18" s="2"/>
      <c r="K18" s="2"/>
      <c r="L18" s="2"/>
      <c r="M18" s="2"/>
      <c r="N18" s="2"/>
      <c r="O18" s="2"/>
      <c r="P18" s="2"/>
      <c r="Q18" s="3"/>
      <c r="R18" s="3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E19" s="1"/>
      <c r="I19" s="2"/>
      <c r="J19" s="2"/>
      <c r="K19" s="2"/>
      <c r="L19" s="2"/>
      <c r="M19" s="2"/>
      <c r="N19" s="2"/>
      <c r="O19" s="2"/>
      <c r="P19" s="2"/>
      <c r="Q19" s="3"/>
      <c r="R19" s="3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E20" s="1"/>
      <c r="I20" s="2"/>
      <c r="J20" s="2"/>
      <c r="K20" s="2"/>
      <c r="L20" s="2"/>
      <c r="M20" s="2"/>
      <c r="N20" s="2"/>
      <c r="O20" s="2"/>
      <c r="P20" s="2"/>
      <c r="Q20" s="3"/>
      <c r="R20" s="3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I21" s="2"/>
      <c r="J21" s="2"/>
      <c r="K21" s="2"/>
      <c r="L21" s="2"/>
      <c r="M21" s="2"/>
      <c r="N21" s="2"/>
      <c r="O21" s="2"/>
      <c r="P21" s="2"/>
      <c r="Q21" s="3"/>
      <c r="R21" s="3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I22" s="2"/>
      <c r="J22" s="2"/>
      <c r="K22" s="2"/>
      <c r="L22" s="2"/>
      <c r="M22" s="2"/>
      <c r="N22" s="2"/>
      <c r="O22" s="2"/>
      <c r="P22" s="2"/>
      <c r="Q22" s="3"/>
      <c r="R22" s="3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I23" s="2"/>
      <c r="J23" s="2"/>
      <c r="K23" s="2"/>
      <c r="L23" s="2"/>
      <c r="M23" s="2"/>
      <c r="N23" s="2"/>
      <c r="O23" s="2"/>
      <c r="P23" s="2"/>
      <c r="Q23" s="3"/>
      <c r="R23" s="3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I24" s="2"/>
      <c r="J24" s="2"/>
      <c r="K24" s="2"/>
      <c r="L24" s="2"/>
      <c r="M24" s="2"/>
      <c r="N24" s="2"/>
      <c r="O24" s="2"/>
      <c r="P24" s="2"/>
      <c r="Q24" s="3"/>
      <c r="R24" s="3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49"/>
      <c r="C25" s="149"/>
      <c r="D25" s="149"/>
      <c r="E25" s="149"/>
      <c r="I25" s="77"/>
      <c r="J25" s="77"/>
      <c r="K25" s="2"/>
      <c r="L25" s="2"/>
      <c r="M25" s="2"/>
      <c r="N25" s="2"/>
      <c r="O25" s="2"/>
      <c r="P25" s="2"/>
      <c r="Q25" s="3"/>
      <c r="R25" s="3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49"/>
      <c r="C26" s="76"/>
      <c r="D26" s="76"/>
      <c r="E26" s="76"/>
      <c r="F26" s="76"/>
      <c r="G26" s="77"/>
      <c r="H26" s="77"/>
      <c r="I26" s="77"/>
      <c r="J26" s="77"/>
      <c r="K26" s="2"/>
      <c r="L26" s="2"/>
      <c r="M26" s="2"/>
      <c r="N26" s="2"/>
      <c r="O26" s="2"/>
      <c r="P26" s="2"/>
      <c r="Q26" s="3"/>
      <c r="R26" s="3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76"/>
      <c r="C27" s="76"/>
      <c r="D27" s="76"/>
      <c r="E27" s="76"/>
      <c r="F27" s="76"/>
      <c r="G27" s="77"/>
      <c r="H27" s="77"/>
      <c r="I27" s="77"/>
      <c r="J27" s="77"/>
      <c r="K27" s="2"/>
      <c r="L27" s="2"/>
      <c r="M27" s="2"/>
      <c r="N27" s="2"/>
      <c r="O27" s="2"/>
      <c r="P27" s="2"/>
      <c r="Q27" s="3"/>
      <c r="R27" s="3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76"/>
      <c r="C28" s="76"/>
      <c r="D28" s="76"/>
      <c r="E28" s="76"/>
      <c r="F28" s="76"/>
      <c r="G28" s="77"/>
      <c r="H28" s="77"/>
      <c r="I28" s="77"/>
      <c r="J28" s="77"/>
      <c r="K28" s="2"/>
      <c r="L28" s="2"/>
      <c r="M28" s="2"/>
      <c r="N28" s="2"/>
      <c r="O28" s="2"/>
      <c r="P28" s="2"/>
      <c r="Q28" s="3"/>
      <c r="R28" s="3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80"/>
      <c r="C29" s="80"/>
      <c r="D29" s="80"/>
      <c r="E29" s="80"/>
      <c r="F29" s="80"/>
      <c r="G29" s="81"/>
      <c r="H29" s="81"/>
      <c r="I29" s="81"/>
      <c r="J29" s="77"/>
      <c r="K29" s="2"/>
      <c r="L29" s="2"/>
      <c r="M29" s="2"/>
      <c r="N29" s="2"/>
      <c r="O29" s="2"/>
      <c r="P29" s="2"/>
      <c r="Q29" s="3"/>
      <c r="R29" s="3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86" t="s">
        <v>67</v>
      </c>
      <c r="C30" s="62"/>
      <c r="D30" s="187"/>
      <c r="E30" s="186" t="s">
        <v>68</v>
      </c>
      <c r="F30" s="62"/>
      <c r="G30" s="188" t="s">
        <v>69</v>
      </c>
      <c r="H30" s="189" t="s">
        <v>70</v>
      </c>
      <c r="I30" s="62"/>
      <c r="J30" s="77"/>
      <c r="K30" s="2"/>
      <c r="L30" s="2"/>
      <c r="M30" s="2"/>
      <c r="N30" s="2"/>
      <c r="O30" s="2"/>
      <c r="P30" s="2"/>
      <c r="Q30" s="3"/>
      <c r="R30" s="3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90" t="s">
        <v>71</v>
      </c>
      <c r="C31" s="190" t="s">
        <v>72</v>
      </c>
      <c r="D31" s="190"/>
      <c r="E31" s="190" t="s">
        <v>71</v>
      </c>
      <c r="F31" s="190" t="s">
        <v>72</v>
      </c>
      <c r="G31" s="191"/>
      <c r="H31" s="191" t="s">
        <v>71</v>
      </c>
      <c r="I31" s="191" t="s">
        <v>72</v>
      </c>
      <c r="J31" s="77"/>
      <c r="K31" s="2"/>
      <c r="L31" s="2"/>
      <c r="M31" s="2"/>
      <c r="N31" s="2"/>
      <c r="O31" s="2"/>
      <c r="P31" s="2"/>
      <c r="Q31" s="3"/>
      <c r="R31" s="3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92">
        <v>0.0</v>
      </c>
      <c r="C32" s="193">
        <v>0.4999</v>
      </c>
      <c r="D32" s="193"/>
      <c r="E32" s="194">
        <v>0.0</v>
      </c>
      <c r="F32" s="194">
        <v>0.0</v>
      </c>
      <c r="G32" s="195">
        <v>0.0</v>
      </c>
      <c r="H32" s="196">
        <v>0.0</v>
      </c>
      <c r="I32" s="197">
        <v>0.0</v>
      </c>
      <c r="J32" s="77"/>
      <c r="K32" s="2"/>
      <c r="L32" s="2"/>
      <c r="M32" s="2"/>
      <c r="N32" s="2"/>
      <c r="O32" s="2"/>
      <c r="P32" s="2"/>
      <c r="Q32" s="3"/>
      <c r="R32" s="3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98">
        <v>0.5</v>
      </c>
      <c r="C33" s="199">
        <v>0.9999</v>
      </c>
      <c r="D33" s="199"/>
      <c r="E33" s="200">
        <v>330.0</v>
      </c>
      <c r="F33" s="200">
        <v>1320.0</v>
      </c>
      <c r="G33" s="201" t="s">
        <v>57</v>
      </c>
      <c r="H33" s="202">
        <f t="shared" ref="H33:I33" si="4">E33</f>
        <v>330</v>
      </c>
      <c r="I33" s="203">
        <f t="shared" si="4"/>
        <v>1320</v>
      </c>
      <c r="J33" s="77"/>
      <c r="K33" s="2"/>
      <c r="L33" s="2"/>
      <c r="M33" s="2"/>
      <c r="N33" s="2"/>
      <c r="O33" s="2"/>
      <c r="P33" s="2"/>
      <c r="Q33" s="3"/>
      <c r="R33" s="3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98">
        <v>1.0</v>
      </c>
      <c r="C34" s="204">
        <v>1.1</v>
      </c>
      <c r="D34" s="204"/>
      <c r="E34" s="200">
        <f t="shared" ref="E34:F34" si="5">B34*$F$33</f>
        <v>1320</v>
      </c>
      <c r="F34" s="200">
        <f t="shared" si="5"/>
        <v>1452</v>
      </c>
      <c r="G34" s="205">
        <v>1.1</v>
      </c>
      <c r="H34" s="202">
        <f t="shared" ref="H34:I34" si="6">$G34*E34*1.2</f>
        <v>1742.4</v>
      </c>
      <c r="I34" s="202">
        <f t="shared" si="6"/>
        <v>1916.64</v>
      </c>
      <c r="J34" s="77"/>
      <c r="K34" s="2"/>
      <c r="L34" s="2"/>
      <c r="M34" s="2"/>
      <c r="N34" s="2"/>
      <c r="O34" s="2"/>
      <c r="P34" s="2"/>
      <c r="Q34" s="3"/>
      <c r="R34" s="3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98">
        <v>1.1</v>
      </c>
      <c r="C35" s="204">
        <v>1.2</v>
      </c>
      <c r="D35" s="204"/>
      <c r="E35" s="200">
        <f t="shared" ref="E35:F35" si="7">B35*$F$33</f>
        <v>1452</v>
      </c>
      <c r="F35" s="200">
        <f t="shared" si="7"/>
        <v>1584</v>
      </c>
      <c r="G35" s="205">
        <v>1.2</v>
      </c>
      <c r="H35" s="202">
        <f t="shared" ref="H35:I35" si="8">$G35*E35*1.2</f>
        <v>2090.88</v>
      </c>
      <c r="I35" s="202">
        <f t="shared" si="8"/>
        <v>2280.96</v>
      </c>
      <c r="J35" s="77"/>
      <c r="K35" s="2"/>
      <c r="L35" s="2"/>
      <c r="M35" s="2"/>
      <c r="N35" s="2"/>
      <c r="O35" s="2"/>
      <c r="P35" s="2"/>
      <c r="Q35" s="3"/>
      <c r="R35" s="3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98">
        <v>1.2</v>
      </c>
      <c r="C36" s="204">
        <v>1.3</v>
      </c>
      <c r="D36" s="204"/>
      <c r="E36" s="200">
        <f t="shared" ref="E36:F36" si="9">B36*$F$33</f>
        <v>1584</v>
      </c>
      <c r="F36" s="200">
        <f t="shared" si="9"/>
        <v>1716</v>
      </c>
      <c r="G36" s="205">
        <v>1.3</v>
      </c>
      <c r="H36" s="202">
        <f t="shared" ref="H36:I36" si="10">$G36*E36*1.2</f>
        <v>2471.04</v>
      </c>
      <c r="I36" s="202">
        <f t="shared" si="10"/>
        <v>2676.96</v>
      </c>
      <c r="J36" s="77"/>
      <c r="K36" s="2"/>
      <c r="L36" s="2"/>
      <c r="M36" s="2"/>
      <c r="N36" s="2"/>
      <c r="O36" s="2"/>
      <c r="P36" s="2"/>
      <c r="Q36" s="3"/>
      <c r="R36" s="3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98">
        <v>1.3</v>
      </c>
      <c r="C37" s="204">
        <v>1.4</v>
      </c>
      <c r="D37" s="204"/>
      <c r="E37" s="200">
        <f t="shared" ref="E37:F37" si="11">B37*$F$33</f>
        <v>1716</v>
      </c>
      <c r="F37" s="200">
        <f t="shared" si="11"/>
        <v>1848</v>
      </c>
      <c r="G37" s="205">
        <v>1.4</v>
      </c>
      <c r="H37" s="202">
        <f t="shared" ref="H37:I37" si="12">$G37*E37*1.2</f>
        <v>2882.88</v>
      </c>
      <c r="I37" s="202">
        <f t="shared" si="12"/>
        <v>3104.64</v>
      </c>
      <c r="J37" s="77"/>
      <c r="K37" s="2"/>
      <c r="L37" s="2"/>
      <c r="M37" s="2"/>
      <c r="N37" s="2"/>
      <c r="O37" s="2"/>
      <c r="P37" s="2"/>
      <c r="Q37" s="3"/>
      <c r="R37" s="3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98">
        <v>1.4</v>
      </c>
      <c r="C38" s="204">
        <v>1.5</v>
      </c>
      <c r="D38" s="204"/>
      <c r="E38" s="200">
        <f t="shared" ref="E38:F38" si="13">B38*$F$33</f>
        <v>1848</v>
      </c>
      <c r="F38" s="200">
        <f t="shared" si="13"/>
        <v>1980</v>
      </c>
      <c r="G38" s="205">
        <v>1.4</v>
      </c>
      <c r="H38" s="202">
        <f t="shared" ref="H38:I38" si="14">$G38*E38*1.2</f>
        <v>3104.64</v>
      </c>
      <c r="I38" s="202">
        <f t="shared" si="14"/>
        <v>3326.4</v>
      </c>
      <c r="J38" s="77"/>
      <c r="K38" s="2"/>
      <c r="L38" s="2"/>
      <c r="M38" s="2"/>
      <c r="N38" s="2"/>
      <c r="O38" s="2"/>
      <c r="P38" s="2"/>
      <c r="Q38" s="3"/>
      <c r="R38" s="3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98">
        <v>1.5</v>
      </c>
      <c r="C39" s="204">
        <v>1.6</v>
      </c>
      <c r="D39" s="204"/>
      <c r="E39" s="200">
        <f t="shared" ref="E39:F39" si="15">B39*$F$33</f>
        <v>1980</v>
      </c>
      <c r="F39" s="200">
        <f t="shared" si="15"/>
        <v>2112</v>
      </c>
      <c r="G39" s="205">
        <v>1.4</v>
      </c>
      <c r="H39" s="202">
        <f t="shared" ref="H39:I39" si="16">$G39*E39*1.2</f>
        <v>3326.4</v>
      </c>
      <c r="I39" s="202">
        <f t="shared" si="16"/>
        <v>3548.16</v>
      </c>
      <c r="J39" s="77"/>
      <c r="K39" s="2"/>
      <c r="L39" s="2"/>
      <c r="M39" s="2"/>
      <c r="N39" s="2"/>
      <c r="O39" s="2"/>
      <c r="P39" s="2"/>
      <c r="Q39" s="3"/>
      <c r="R39" s="3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06">
        <v>1.6</v>
      </c>
      <c r="C40" s="207">
        <v>1.7</v>
      </c>
      <c r="D40" s="207"/>
      <c r="E40" s="208">
        <f t="shared" ref="E40:F40" si="17">B40*$F$33</f>
        <v>2112</v>
      </c>
      <c r="F40" s="208">
        <f t="shared" si="17"/>
        <v>2244</v>
      </c>
      <c r="G40" s="209">
        <v>1.4</v>
      </c>
      <c r="H40" s="210">
        <f t="shared" ref="H40:I40" si="18">$G40*E40*1.2</f>
        <v>3548.16</v>
      </c>
      <c r="I40" s="210">
        <f t="shared" si="18"/>
        <v>3769.92</v>
      </c>
      <c r="J40" s="77"/>
      <c r="K40" s="2"/>
      <c r="L40" s="2"/>
      <c r="M40" s="2"/>
      <c r="N40" s="2"/>
      <c r="O40" s="2"/>
      <c r="P40" s="2"/>
      <c r="Q40" s="3"/>
      <c r="R40" s="3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76"/>
      <c r="C41" s="76"/>
      <c r="D41" s="76"/>
      <c r="E41" s="76"/>
      <c r="F41" s="76"/>
      <c r="G41" s="77"/>
      <c r="H41" s="77"/>
      <c r="I41" s="77"/>
      <c r="J41" s="77"/>
      <c r="K41" s="2"/>
      <c r="L41" s="2"/>
      <c r="M41" s="2"/>
      <c r="N41" s="2"/>
      <c r="O41" s="2"/>
      <c r="P41" s="2"/>
      <c r="Q41" s="3"/>
      <c r="R41" s="3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76"/>
      <c r="C42" s="76"/>
      <c r="D42" s="76"/>
      <c r="E42" s="76"/>
      <c r="F42" s="76"/>
      <c r="G42" s="77"/>
      <c r="H42" s="77"/>
      <c r="I42" s="77"/>
      <c r="J42" s="77"/>
      <c r="K42" s="2"/>
      <c r="L42" s="2"/>
      <c r="M42" s="2"/>
      <c r="N42" s="2"/>
      <c r="O42" s="2"/>
      <c r="P42" s="2"/>
      <c r="Q42" s="3"/>
      <c r="R42" s="3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  <c r="R43" s="3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  <c r="R44" s="3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3"/>
      <c r="R45" s="3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3"/>
      <c r="R46" s="3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3"/>
      <c r="R47" s="3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3"/>
      <c r="R48" s="3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3"/>
      <c r="R49" s="3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3"/>
      <c r="R50" s="3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3"/>
      <c r="R51" s="3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  <c r="R52" s="3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3"/>
      <c r="R53" s="3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3"/>
      <c r="R54" s="3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3"/>
      <c r="R55" s="3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3"/>
      <c r="R56" s="3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3"/>
      <c r="R57" s="3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3"/>
      <c r="R58" s="3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  <c r="R59" s="3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3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3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3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3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3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3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3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3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3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3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3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3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3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3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3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3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3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3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3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3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3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3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3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3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3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3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3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3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3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3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3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3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3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3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3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3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3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3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3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3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3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3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3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3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3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3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3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3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3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3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3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3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3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3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3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3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3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3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3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3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3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3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3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3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3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3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3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3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3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3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3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3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3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3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3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3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3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3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3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3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3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3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3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3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3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3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3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3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3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3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3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3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3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3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3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3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3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3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3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3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3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3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3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3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3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3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3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3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3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3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3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3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3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3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3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3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3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3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3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3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3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3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3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3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3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3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3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3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3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3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3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3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3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3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3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3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3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3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3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3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3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3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3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3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3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3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3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3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3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3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3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3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3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3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3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3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3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3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3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3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3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3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3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3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3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3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3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3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3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3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3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3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3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3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3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3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3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3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3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3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3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7:D7"/>
    <mergeCell ref="B30:C30"/>
    <mergeCell ref="E30:F30"/>
    <mergeCell ref="H30:I30"/>
  </mergeCells>
  <printOptions/>
  <pageMargins bottom="0.787401575" footer="0.0" header="0.0" left="0.511811024" right="0.511811024" top="0.787401575"/>
  <pageSetup orientation="landscape"/>
  <drawing r:id="rId1"/>
</worksheet>
</file>