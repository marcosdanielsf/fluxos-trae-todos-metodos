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4"/>
    <sheet state="visible" name="Análise de Maturidade" sheetId="2" r:id="rId5"/>
    <sheet state="visible" name="Gabarito" sheetId="3" r:id="rId6"/>
  </sheets>
  <definedNames/>
  <calcPr/>
</workbook>
</file>

<file path=xl/sharedStrings.xml><?xml version="1.0" encoding="utf-8"?>
<sst xmlns="http://schemas.openxmlformats.org/spreadsheetml/2006/main" count="199" uniqueCount="92">
  <si>
    <t>INSTRUÇÕES DE PREENCHIMENTO</t>
  </si>
  <si>
    <t>DA ANÁLISE DE MATURIDADE</t>
  </si>
  <si>
    <t>Uso pelo Planilhas Google</t>
  </si>
  <si>
    <r>
      <rPr>
        <rFont val="Arial"/>
        <color theme="1"/>
        <sz val="18.0"/>
      </rPr>
      <t>1°</t>
    </r>
    <r>
      <rPr>
        <rFont val="Arial"/>
        <color theme="1"/>
        <sz val="18.0"/>
      </rPr>
      <t xml:space="preserve"> </t>
    </r>
  </si>
  <si>
    <r>
      <rPr>
        <rFont val="Arial"/>
        <color theme="1"/>
        <sz val="14.0"/>
      </rPr>
      <t>Clique em</t>
    </r>
    <r>
      <rPr>
        <rFont val="Arial"/>
        <i/>
        <color theme="1"/>
        <sz val="14.0"/>
      </rPr>
      <t xml:space="preserve"> Arquivo</t>
    </r>
    <r>
      <rPr>
        <rFont val="Arial"/>
        <color theme="1"/>
        <sz val="14.0"/>
      </rPr>
      <t xml:space="preserve"> na barra do menu inicial, selecionar </t>
    </r>
    <r>
      <rPr>
        <rFont val="Arial"/>
        <i/>
        <color theme="1"/>
        <sz val="14.0"/>
      </rPr>
      <t>Fazer uma cópia.</t>
    </r>
  </si>
  <si>
    <t>2°</t>
  </si>
  <si>
    <r>
      <rPr>
        <rFont val="Arial"/>
        <color theme="1"/>
        <sz val="14.0"/>
      </rPr>
      <t>Na aba Análise de Maturidade, preencha apenas os quadrados com um "</t>
    </r>
    <r>
      <rPr>
        <rFont val="Arial"/>
        <b/>
        <color theme="1"/>
        <sz val="14.0"/>
      </rPr>
      <t>X</t>
    </r>
    <r>
      <rPr>
        <rFont val="Arial"/>
        <color theme="1"/>
        <sz val="14.0"/>
      </rPr>
      <t>"</t>
    </r>
  </si>
  <si>
    <t>Selecione apenas uma opção em cada questão.</t>
  </si>
  <si>
    <t>3°</t>
  </si>
  <si>
    <t>Ao final do preenchimento das 12 questões o resultado estará no gráfico ao final da página.</t>
  </si>
  <si>
    <t>Uso pela Planilha Excel</t>
  </si>
  <si>
    <r>
      <rPr>
        <rFont val="Arial"/>
        <color theme="1"/>
        <sz val="14.0"/>
      </rPr>
      <t>1°</t>
    </r>
    <r>
      <rPr>
        <rFont val="Arial"/>
        <color theme="1"/>
        <sz val="14.0"/>
      </rPr>
      <t xml:space="preserve"> </t>
    </r>
  </si>
  <si>
    <t>Faça o Download do arquivo em excel (.xlsx)</t>
  </si>
  <si>
    <r>
      <rPr>
        <rFont val="Arial"/>
        <color theme="1"/>
        <sz val="14.0"/>
      </rPr>
      <t xml:space="preserve">Para fazer o download do arquivo, basta clicar em </t>
    </r>
    <r>
      <rPr>
        <rFont val="Arial"/>
        <i/>
        <color theme="1"/>
        <sz val="14.0"/>
      </rPr>
      <t>Arquivo</t>
    </r>
    <r>
      <rPr>
        <rFont val="Arial"/>
        <color theme="1"/>
        <sz val="14.0"/>
      </rPr>
      <t xml:space="preserve"> na barra do menu inicial, selecionar </t>
    </r>
    <r>
      <rPr>
        <rFont val="Arial"/>
        <i/>
        <color theme="1"/>
        <sz val="14.0"/>
      </rPr>
      <t>Fazer o download</t>
    </r>
    <r>
      <rPr>
        <rFont val="Arial"/>
        <color theme="1"/>
        <sz val="14.0"/>
      </rPr>
      <t xml:space="preserve"> e escolher o formato </t>
    </r>
    <r>
      <rPr>
        <rFont val="Arial"/>
        <i/>
        <color theme="1"/>
        <sz val="14.0"/>
      </rPr>
      <t>Microsoft Excel (.xlsx).</t>
    </r>
  </si>
  <si>
    <r>
      <rPr>
        <rFont val="Arial"/>
        <color theme="1"/>
        <sz val="14.0"/>
      </rPr>
      <t>Na aba Análise de Maturidade, preencha apenas os quadrados com um "</t>
    </r>
    <r>
      <rPr>
        <rFont val="Arial"/>
        <b/>
        <color theme="1"/>
        <sz val="14.0"/>
      </rPr>
      <t>X</t>
    </r>
    <r>
      <rPr>
        <rFont val="Arial"/>
        <color theme="1"/>
        <sz val="14.0"/>
      </rPr>
      <t>"</t>
    </r>
  </si>
  <si>
    <t>ANÁLISE DO NÍVEL DE MATURIDADE</t>
  </si>
  <si>
    <t>DO(A) COLABORADOR(A)</t>
  </si>
  <si>
    <t>Para responder as próximas perguntas tenha em mente uma pessoa em expecífico, lembrando de como esse(a) colaborador(a) corresponde à cada questão colocada.</t>
  </si>
  <si>
    <t>Para cada questão abaixo, marque com X apenas uma opção.</t>
  </si>
  <si>
    <t>1.Ao passar uma tarefa simples para um(a) colaborador(a):</t>
  </si>
  <si>
    <t>x</t>
  </si>
  <si>
    <t>A</t>
  </si>
  <si>
    <t>É necessário o acompanhamento de uma pessoa mais experiente e que conhece as melhores formas de executar a tarefa.</t>
  </si>
  <si>
    <t>B</t>
  </si>
  <si>
    <t>Esse(a) colaborador(a) desempenha a tarefa facilmente, sem necessidade de acompanhamento.</t>
  </si>
  <si>
    <t>C</t>
  </si>
  <si>
    <t>O(a) colaborador(a) em questão sabe desempenhar a tarefa, mas é necessário incentivá-lo(a) e conferir o resultado.</t>
  </si>
  <si>
    <t>D</t>
  </si>
  <si>
    <t>O(a) colaborador(a) apresenta muita vontade de realizar, mas ainda é pouco habilidoso(a) e tem muitas dúvidas.</t>
  </si>
  <si>
    <t>2.Sobre o domínio das atividades e atribuições que o(a) colaborador(a) possui:</t>
  </si>
  <si>
    <t>90% das atribuições do(a) colaborador(a), são realizadas com qualidade e prazo esperados, sem necessidade de acompanhamento.</t>
  </si>
  <si>
    <t>70% das atribuições do(a) colaborador(a), são realizadas com qualidade e prazo esperados com algum acompanhamento.</t>
  </si>
  <si>
    <t>Somente 20% ou menos das atividades realizadas pelo(a) colaborador(a), são entregues com qualidade e prazo esperados, sendo necessário acompanhamento constante.</t>
  </si>
  <si>
    <t>O(a) colaborador(a) tem domínio sobre 50% das suas atribuições entregando com qualidade e prazo esperados, sendo necessária alguma orientação para sua conclusão.</t>
  </si>
  <si>
    <t>3.Ao receber uma nova atribuição, o(a) colaborador(a):</t>
  </si>
  <si>
    <t>Fica inseguro(a), necessita de muitas orientações, direcionamento e acompanhamento.</t>
  </si>
  <si>
    <t>Recebe com grande energia e já quer iniciar imediatamente, mas precisa ser orientado(a) e direcionado(a).</t>
  </si>
  <si>
    <t>Recebe de forma natural, mas precisa ser incentivado e apoiado em diversos momentos.</t>
  </si>
  <si>
    <t>Recebe de forma natural, entende o que é necessário para sua realização e entrega o que foi solicitado.</t>
  </si>
  <si>
    <t>4.Para uma atividade em questão, o(a) colaborador(a):</t>
  </si>
  <si>
    <t>Necessita de treinamento iniciando pelo básico, e seu tempo para conclusão é mais longo que o desejado.</t>
  </si>
  <si>
    <t>Tem os conhecimentos e habilidades e falta energia para realizar de forma autônoma.</t>
  </si>
  <si>
    <t>Já tem alguma habilidade, mas ainda precisa de ajustes.</t>
  </si>
  <si>
    <t>É capaz de treinar outras pessoas pelo alto nível de experiência, conhecimento e comprometimento.</t>
  </si>
  <si>
    <t>5.Na ausência de uma pessoa mais experiente que coordene e acompanhe o trabalho:</t>
  </si>
  <si>
    <t>O(a) colaborador(a) fica perdido e deixa de fazer suas atividades ou deixa atrasá-las.</t>
  </si>
  <si>
    <t>O(a) colaborador(a) toma a frente e assume as responsabilidades, gerindo as suas tarefas e de outros de forma mais natural, por uma liderança informal.</t>
  </si>
  <si>
    <t>As tarefas são realizadas por esse(a) colaborador(a), no entanto não há sugestões de melhorias e acontecimentos atípicos ficam sem tratativa.</t>
  </si>
  <si>
    <t>Metade das atribuições do(a) colaborador(a) são realizadas de forma habitual, mas pode perder em qualidade e prazo.</t>
  </si>
  <si>
    <t>6.Relacionado à novas idéias e melhorias para a empresa:</t>
  </si>
  <si>
    <t>É necessário incentivar constantemente, fornecendo feedbacks de forma contínua, sendo que a decisão sempre deve ser tomada pelo(a) líder.</t>
  </si>
  <si>
    <t>O(a) colaborador(a) assume a responsabilidade na maior parte do que é feito, exigindo pouco ou nenhuma supervisão.</t>
  </si>
  <si>
    <t>Raramente consegue trazer uma nova idéia ou uma melhoria, entende pouco sobre os processos e caminhos para realizar as suas tarefas dentro da empresa.</t>
  </si>
  <si>
    <t>É capaz de elaborar novas idéias e algumas melhorias, e expõe quando solicitado, com alguma insegurança.</t>
  </si>
  <si>
    <t>7.Refletindo sobre o posicionamento do(a) colaborador(a):</t>
  </si>
  <si>
    <t>Tem uma boa noção das suas responsabilidades, se posiciona quando necessário, mas tem dificuldade em assumir novas ou maiores responsabilidades.</t>
  </si>
  <si>
    <t>Conhece seus papéis na empresa com algumas incertezas, não mostra total comprometimento, e percebe as consequências de suas ações depois de tê-las realizado.</t>
  </si>
  <si>
    <t>Ainda não conhece os seus papéis, se vê constantemente fazendo atividades que não são de sua alçada e busca constantemente orientação de alguém mais experiente.</t>
  </si>
  <si>
    <t>Sabe seu papel na empresa, conhece e se comporta de acordo com suas responsabilidades mostrando-se um(a) profissional madura e as consequências de suas ações.</t>
  </si>
  <si>
    <t>8.Acerca da complexidade e quantidade de tarefas diferentes desse(a) colaborador(a):</t>
  </si>
  <si>
    <t>Realiza tarefas de alta complexidade que exigem pessoas de confiança, pode acumular algumas atividades e pode parecer sobrecarregado(a).</t>
  </si>
  <si>
    <t>Algumas de suas tarefas são de média ou alta complexidade, podem ser realizadas por outras pessoas da empresa com algum treinamento e podem se mostrar com 20% de tempo livre.</t>
  </si>
  <si>
    <t>Possui uma baixa quantidade de atribuições, sendo que a maioria das suas atividades são de baixa dificuldade.</t>
  </si>
  <si>
    <t>É responsável por um volume médio de tarefas, com dificuldades baixas e médias.</t>
  </si>
  <si>
    <t>9.Quanto ao propósito da empresa, o(a) colaborador(a):</t>
  </si>
  <si>
    <t>Tem conhecimento sobre o propósito, entende e consegue explicar, mas não se encontra completamente engajado(a).</t>
  </si>
  <si>
    <t>Ao ser questionado(a) sobre o propósito da empresa, tem muitas dúvidas, apresenta grandes incertezas e não demonstra conhecimento sobre pontos básicos.</t>
  </si>
  <si>
    <t>Demonstra por suas ações e atitudes que está engajado com o propósito, realizando ações em prol do propósito e da empresa, também consegue identificar pessoas que estejam fora de propósito.</t>
  </si>
  <si>
    <t>Demonstra ter algum conhecimento sobre o propósito, mas não consegue afirmar nem demonstrar com ações.</t>
  </si>
  <si>
    <t>10.No que diz respeito à quantidade e qualidade da informação fornecida para realizar uma tarefa:</t>
  </si>
  <si>
    <t>Poucas informações bastam para realizar uma tarefa com qualidade e prazo desejados.</t>
  </si>
  <si>
    <t>Com uma quantidade razoável de informações e pouco detalhamento é possível notar uma tarefa com qualidade ou prazo próximos ao desejável.</t>
  </si>
  <si>
    <t>É necessário fornecer uma quantidade grande de informações, com alto detalhamento e passo a passo para sua realização.</t>
  </si>
  <si>
    <t>Uma quantidade de informações média e detalhamento razoável gera-se um resultado aceitável.</t>
  </si>
  <si>
    <t>11.Ao tratar de uma situação incomum, o(a) colaborador(a):</t>
  </si>
  <si>
    <t>Sabe o que é necessário para tratar, mas pede a opnião de um(a) superior(a) para ter mais segurança.</t>
  </si>
  <si>
    <t>Tem alguma idéia do que é necessário para proceder, mas transfere a responsabilidade para uma pessoa mais experiente.</t>
  </si>
  <si>
    <t>Não sabe como tratar do assunto e pode não saber quem seria uma pessoa com tal capacidade.</t>
  </si>
  <si>
    <t>Conhece a forma correta de cuidar da situação e se sente seguro(a) em assumir a responsabilidade pela tratativa.</t>
  </si>
  <si>
    <t>12.Ao se deparar algo errado, o(a) colaborador(a):</t>
  </si>
  <si>
    <t>Corrige imediatamente se estiver ao seu alcançe ou busca solução com um responsável.</t>
  </si>
  <si>
    <t>Identifica que há um erro e indica a descoberta à um responsável.</t>
  </si>
  <si>
    <t>Pode notar o erro em alguns casos e toma uma ação apenas se julgar como importante, indicando sempre à algum(a) supervisor(a) ou responsável.</t>
  </si>
  <si>
    <t>Dificilmente identifica o erro e passa de forma despercebida.</t>
  </si>
  <si>
    <t>Pergunta</t>
  </si>
  <si>
    <t>Resposta</t>
  </si>
  <si>
    <t>Peso</t>
  </si>
  <si>
    <t>Pontos</t>
  </si>
  <si>
    <t>Fase 1 - Bebê</t>
  </si>
  <si>
    <t>Fase 2 - Criança</t>
  </si>
  <si>
    <t>Fase 3 - Adolescente</t>
  </si>
  <si>
    <t>Fase 4 - Adulto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</si>
</sst>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4.0"/>
      <color rgb="FF0F44CA"/>
      <name val="Arial"/>
    </font>
    <font>
      <sz val="18.0"/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horizontal="right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wrapText="1"/>
    </xf>
    <xf borderId="0" fillId="0" fontId="6" numFmtId="0" xfId="0" applyAlignment="1" applyFont="1">
      <alignment horizontal="left" shrinkToFit="0" wrapText="1"/>
    </xf>
    <xf borderId="0" fillId="0" fontId="6" numFmtId="0" xfId="0" applyFont="1"/>
    <xf borderId="0" fillId="0" fontId="7" numFmtId="0" xfId="0" applyAlignment="1" applyFont="1">
      <alignment horizontal="left" vertical="top"/>
    </xf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 vertical="top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left" vertical="top"/>
    </xf>
    <xf borderId="1" fillId="2" fontId="8" numFmtId="0" xfId="0" applyAlignment="1" applyBorder="1" applyFill="1" applyFont="1">
      <alignment horizontal="center"/>
    </xf>
    <xf borderId="2" fillId="2" fontId="8" numFmtId="0" xfId="0" applyAlignment="1" applyBorder="1" applyFont="1">
      <alignment horizontal="center"/>
    </xf>
    <xf borderId="3" fillId="2" fontId="6" numFmtId="0" xfId="0" applyBorder="1" applyFont="1"/>
    <xf borderId="1" fillId="2" fontId="8" numFmtId="0" xfId="0" applyBorder="1" applyFont="1"/>
    <xf borderId="2" fillId="2" fontId="8" numFmtId="0" xfId="0" applyBorder="1" applyFont="1"/>
    <xf borderId="4" fillId="2" fontId="8" numFmtId="0" xfId="0" applyAlignment="1" applyBorder="1" applyFont="1">
      <alignment horizontal="center"/>
    </xf>
    <xf borderId="5" fillId="2" fontId="8" numFmtId="0" xfId="0" applyAlignment="1" applyBorder="1" applyFont="1">
      <alignment horizontal="center"/>
    </xf>
    <xf borderId="4" fillId="2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Maturidade do(a) colaborador(a)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Gabarito!$H$1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Gabarito!$G$2:$G$5</c:f>
            </c:strRef>
          </c:cat>
          <c:val>
            <c:numRef>
              <c:f>Gabarito!$H$2:$H$5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Arial"/>
              </a:defRPr>
            </a:pPr>
            <a:r>
              <a:rPr b="0" i="0">
                <a:solidFill>
                  <a:srgbClr val="757575"/>
                </a:solidFill>
                <a:latin typeface="Arial"/>
              </a:rPr>
              <a:t>Maturidade do(a) colaborador(a)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Gabarito!$H$1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Gabarito!$G$2:$G$5</c:f>
            </c:strRef>
          </c:cat>
          <c:val>
            <c:numRef>
              <c:f>Gabarito!$H$2:$H$5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0</xdr:rowOff>
    </xdr:from>
    <xdr:ext cx="19526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189</xdr:row>
      <xdr:rowOff>161925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5705475</xdr:colOff>
      <xdr:row>193</xdr:row>
      <xdr:rowOff>9525</xdr:rowOff>
    </xdr:from>
    <xdr:ext cx="2066925" cy="952500"/>
    <xdr:sp>
      <xdr:nvSpPr>
        <xdr:cNvPr id="3" name="Shape 3"/>
        <xdr:cNvSpPr/>
      </xdr:nvSpPr>
      <xdr:spPr>
        <a:xfrm>
          <a:off x="4317300" y="3308513"/>
          <a:ext cx="2057400" cy="942975"/>
        </a:xfrm>
        <a:prstGeom prst="roundRect">
          <a:avLst>
            <a:gd fmla="val 16667" name="adj"/>
          </a:avLst>
        </a:prstGeom>
        <a:solidFill>
          <a:srgbClr val="0F44CA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lang="en-US" sz="1400">
              <a:solidFill>
                <a:srgbClr val="FFFFFF"/>
              </a:solidFill>
            </a:rPr>
            <a:t>INICIAR NOVA ANÁLISE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5705475</xdr:colOff>
      <xdr:row>198</xdr:row>
      <xdr:rowOff>85725</xdr:rowOff>
    </xdr:from>
    <xdr:ext cx="2066925" cy="952500"/>
    <xdr:sp>
      <xdr:nvSpPr>
        <xdr:cNvPr id="4" name="Shape 4"/>
        <xdr:cNvSpPr/>
      </xdr:nvSpPr>
      <xdr:spPr>
        <a:xfrm>
          <a:off x="4317300" y="3308513"/>
          <a:ext cx="2057400" cy="942975"/>
        </a:xfrm>
        <a:prstGeom prst="roundRect">
          <a:avLst>
            <a:gd fmla="val 16667" name="adj"/>
          </a:avLst>
        </a:prstGeom>
        <a:solidFill>
          <a:srgbClr val="0F44CA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1" lang="en-US" sz="1400">
              <a:solidFill>
                <a:srgbClr val="FFFFFF"/>
              </a:solidFill>
            </a:rPr>
            <a:t>INSTRUÇÕES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</xdr:row>
      <xdr:rowOff>38100</xdr:rowOff>
    </xdr:from>
    <xdr:ext cx="1933575" cy="571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9</xdr:row>
      <xdr:rowOff>104775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95250</xdr:colOff>
      <xdr:row>0</xdr:row>
      <xdr:rowOff>104775</xdr:rowOff>
    </xdr:from>
    <xdr:ext cx="1962150" cy="7620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9.5"/>
    <col customWidth="1" min="3" max="3" width="118.0"/>
    <col customWidth="1" min="4" max="4" width="3.88"/>
    <col customWidth="1" hidden="1" min="5" max="6" width="14.5"/>
  </cols>
  <sheetData>
    <row r="1" ht="15.75" customHeight="1"/>
    <row r="2" ht="54.0" customHeight="1">
      <c r="C2" s="1" t="s">
        <v>0</v>
      </c>
    </row>
    <row r="3" ht="29.25" customHeight="1">
      <c r="C3" s="1" t="s">
        <v>1</v>
      </c>
    </row>
    <row r="4" ht="15.75" customHeight="1"/>
    <row r="5" ht="15.75" customHeight="1">
      <c r="B5" s="2"/>
      <c r="C5" s="3"/>
    </row>
    <row r="6" ht="15.75" customHeight="1">
      <c r="B6" s="2"/>
      <c r="C6" s="3" t="s">
        <v>2</v>
      </c>
    </row>
    <row r="8" ht="18.75" customHeight="1">
      <c r="B8" s="2" t="s">
        <v>3</v>
      </c>
      <c r="C8" s="4" t="s">
        <v>4</v>
      </c>
    </row>
    <row r="9" ht="15.75" customHeight="1"/>
    <row r="10" ht="15.75" customHeight="1">
      <c r="B10" s="4" t="s">
        <v>5</v>
      </c>
      <c r="C10" s="4" t="s">
        <v>6</v>
      </c>
    </row>
    <row r="11" ht="15.75" customHeight="1">
      <c r="C11" s="4" t="s">
        <v>7</v>
      </c>
    </row>
    <row r="12" ht="15.75" customHeight="1"/>
    <row r="13" ht="15.75" customHeight="1">
      <c r="B13" s="4" t="s">
        <v>8</v>
      </c>
      <c r="C13" s="4" t="s">
        <v>9</v>
      </c>
    </row>
    <row r="14" ht="15.75" customHeight="1">
      <c r="C14" s="4"/>
    </row>
    <row r="15" ht="15.75" customHeight="1"/>
    <row r="16" ht="15.75" customHeight="1">
      <c r="C16" s="3" t="s">
        <v>10</v>
      </c>
    </row>
    <row r="17" ht="15.75" customHeight="1">
      <c r="B17" s="4"/>
      <c r="C17" s="4"/>
    </row>
    <row r="18" ht="15.75" customHeight="1">
      <c r="B18" s="4" t="s">
        <v>11</v>
      </c>
      <c r="C18" s="4" t="s">
        <v>12</v>
      </c>
    </row>
    <row r="19" ht="15.75" customHeight="1">
      <c r="C19" s="5" t="s">
        <v>13</v>
      </c>
    </row>
    <row r="20" ht="15.75" customHeight="1"/>
    <row r="21" ht="15.75" customHeight="1">
      <c r="B21" s="4" t="s">
        <v>5</v>
      </c>
      <c r="C21" s="4" t="s">
        <v>14</v>
      </c>
    </row>
    <row r="22" ht="15.75" customHeight="1">
      <c r="C22" s="4" t="s">
        <v>7</v>
      </c>
    </row>
    <row r="23" ht="15.75" customHeight="1">
      <c r="C23" s="4"/>
    </row>
    <row r="24" ht="15.75" customHeight="1">
      <c r="B24" s="4" t="s">
        <v>8</v>
      </c>
      <c r="C24" s="4" t="s">
        <v>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4.5"/>
    <col customWidth="1" min="3" max="3" width="5.88"/>
    <col customWidth="1" min="4" max="4" width="120.38"/>
    <col customWidth="1" min="5" max="5" width="6.5"/>
    <col customWidth="1" min="6" max="6" width="14.5"/>
  </cols>
  <sheetData>
    <row r="1" ht="15.75" customHeight="1"/>
    <row r="2" ht="15.75" customHeight="1"/>
    <row r="3" ht="42.0" customHeight="1">
      <c r="D3" s="6" t="s">
        <v>15</v>
      </c>
    </row>
    <row r="4" ht="33.0" customHeight="1">
      <c r="D4" s="6" t="s">
        <v>16</v>
      </c>
    </row>
    <row r="5" ht="15.75" customHeight="1"/>
    <row r="6" ht="15.75" customHeight="1"/>
    <row r="7" ht="15.75" customHeight="1">
      <c r="B7" s="7" t="s">
        <v>17</v>
      </c>
      <c r="E7" s="8"/>
    </row>
    <row r="8" ht="15.75" customHeight="1">
      <c r="B8" s="9" t="s">
        <v>18</v>
      </c>
      <c r="E8" s="10"/>
    </row>
    <row r="9" ht="15.75" customHeight="1">
      <c r="B9" s="11"/>
      <c r="C9" s="11"/>
      <c r="D9" s="11"/>
      <c r="E9" s="11"/>
    </row>
    <row r="10" ht="15.75" customHeight="1">
      <c r="B10" s="12" t="s">
        <v>19</v>
      </c>
      <c r="E10" s="12"/>
    </row>
    <row r="11" ht="15.75" customHeight="1">
      <c r="B11" s="12"/>
      <c r="C11" s="12"/>
      <c r="D11" s="12"/>
      <c r="E11" s="12"/>
    </row>
    <row r="12" ht="15.75" customHeight="1">
      <c r="B12" s="13" t="s">
        <v>20</v>
      </c>
      <c r="C12" s="14" t="s">
        <v>21</v>
      </c>
      <c r="D12" s="8" t="s">
        <v>22</v>
      </c>
      <c r="E12" s="8"/>
    </row>
    <row r="13" ht="15.75" customHeight="1">
      <c r="B13" s="15"/>
      <c r="C13" s="14"/>
      <c r="E13" s="8"/>
    </row>
    <row r="14" ht="3.75" customHeight="1">
      <c r="B14" s="15"/>
      <c r="C14" s="14"/>
      <c r="D14" s="8"/>
      <c r="E14" s="8"/>
    </row>
    <row r="15" ht="15.75" customHeight="1">
      <c r="B15" s="13"/>
      <c r="C15" s="14" t="s">
        <v>23</v>
      </c>
      <c r="D15" s="8" t="s">
        <v>24</v>
      </c>
      <c r="E15" s="8"/>
    </row>
    <row r="16" ht="15.75" customHeight="1">
      <c r="B16" s="15"/>
      <c r="C16" s="14"/>
      <c r="E16" s="8"/>
    </row>
    <row r="17" ht="3.75" customHeight="1">
      <c r="B17" s="15"/>
      <c r="C17" s="14"/>
      <c r="D17" s="8"/>
      <c r="E17" s="8"/>
    </row>
    <row r="18" ht="15.75" customHeight="1">
      <c r="B18" s="13"/>
      <c r="C18" s="14" t="s">
        <v>25</v>
      </c>
      <c r="D18" s="8" t="s">
        <v>26</v>
      </c>
      <c r="E18" s="8"/>
    </row>
    <row r="19" ht="15.75" customHeight="1">
      <c r="B19" s="15"/>
      <c r="C19" s="14"/>
      <c r="E19" s="8"/>
    </row>
    <row r="20" ht="3.75" customHeight="1">
      <c r="B20" s="15"/>
      <c r="C20" s="14"/>
      <c r="D20" s="8"/>
      <c r="E20" s="8"/>
    </row>
    <row r="21" ht="15.75" customHeight="1">
      <c r="B21" s="13"/>
      <c r="C21" s="14" t="s">
        <v>27</v>
      </c>
      <c r="D21" s="8" t="s">
        <v>28</v>
      </c>
      <c r="E21" s="8"/>
    </row>
    <row r="22" ht="15.75" customHeight="1">
      <c r="B22" s="15"/>
      <c r="C22" s="14"/>
      <c r="E22" s="8"/>
    </row>
    <row r="23" ht="3.75" customHeight="1">
      <c r="B23" s="16"/>
      <c r="C23" s="16"/>
      <c r="D23" s="16"/>
      <c r="E23" s="16"/>
    </row>
    <row r="24" ht="15.75" customHeight="1">
      <c r="B24" s="16"/>
      <c r="C24" s="16"/>
      <c r="D24" s="16"/>
      <c r="E24" s="16"/>
    </row>
    <row r="25" ht="15.75" customHeight="1">
      <c r="B25" s="12" t="s">
        <v>29</v>
      </c>
      <c r="E25" s="12"/>
    </row>
    <row r="26" ht="15.75" customHeight="1">
      <c r="B26" s="12"/>
      <c r="C26" s="12"/>
      <c r="D26" s="12"/>
      <c r="E26" s="12"/>
    </row>
    <row r="27" ht="15.75" customHeight="1">
      <c r="B27" s="13"/>
      <c r="C27" s="14" t="s">
        <v>21</v>
      </c>
      <c r="D27" s="8" t="s">
        <v>30</v>
      </c>
      <c r="E27" s="8"/>
    </row>
    <row r="28" ht="15.75" customHeight="1">
      <c r="B28" s="15"/>
      <c r="C28" s="14"/>
      <c r="E28" s="8"/>
    </row>
    <row r="29" ht="3.75" customHeight="1">
      <c r="B29" s="15"/>
      <c r="C29" s="14"/>
      <c r="D29" s="8"/>
      <c r="E29" s="8"/>
    </row>
    <row r="30" ht="15.75" customHeight="1">
      <c r="B30" s="13"/>
      <c r="C30" s="14" t="s">
        <v>23</v>
      </c>
      <c r="D30" s="8" t="s">
        <v>31</v>
      </c>
      <c r="E30" s="8"/>
    </row>
    <row r="31" ht="15.75" customHeight="1">
      <c r="B31" s="15"/>
      <c r="C31" s="14"/>
      <c r="E31" s="8"/>
    </row>
    <row r="32" ht="3.75" customHeight="1">
      <c r="B32" s="15"/>
      <c r="C32" s="14"/>
      <c r="D32" s="8"/>
      <c r="E32" s="8"/>
    </row>
    <row r="33" ht="12.75" customHeight="1">
      <c r="B33" s="13"/>
      <c r="C33" s="14" t="s">
        <v>25</v>
      </c>
      <c r="D33" s="8" t="s">
        <v>32</v>
      </c>
      <c r="E33" s="8"/>
    </row>
    <row r="34" ht="15.75" customHeight="1">
      <c r="B34" s="15"/>
      <c r="C34" s="14"/>
      <c r="E34" s="8"/>
    </row>
    <row r="35" ht="3.75" customHeight="1">
      <c r="B35" s="15"/>
      <c r="C35" s="14"/>
      <c r="D35" s="8"/>
      <c r="E35" s="8"/>
    </row>
    <row r="36" ht="12.75" customHeight="1">
      <c r="B36" s="13"/>
      <c r="C36" s="14" t="s">
        <v>27</v>
      </c>
      <c r="D36" s="8" t="s">
        <v>33</v>
      </c>
      <c r="E36" s="8"/>
    </row>
    <row r="37" ht="15.75" customHeight="1">
      <c r="B37" s="15"/>
      <c r="C37" s="14"/>
      <c r="E37" s="8"/>
    </row>
    <row r="38" ht="3.75" customHeight="1">
      <c r="B38" s="16"/>
      <c r="C38" s="16"/>
      <c r="D38" s="16"/>
      <c r="E38" s="16"/>
    </row>
    <row r="39" ht="15.75" customHeight="1">
      <c r="B39" s="16"/>
      <c r="C39" s="16"/>
      <c r="D39" s="16"/>
      <c r="E39" s="16"/>
    </row>
    <row r="40" ht="15.75" customHeight="1">
      <c r="B40" s="12" t="s">
        <v>34</v>
      </c>
      <c r="E40" s="12"/>
    </row>
    <row r="41" ht="15.75" customHeight="1">
      <c r="B41" s="12"/>
      <c r="C41" s="12"/>
      <c r="D41" s="12"/>
      <c r="E41" s="12"/>
    </row>
    <row r="42" ht="15.75" customHeight="1">
      <c r="B42" s="13"/>
      <c r="C42" s="14" t="s">
        <v>21</v>
      </c>
      <c r="D42" s="8" t="s">
        <v>35</v>
      </c>
      <c r="E42" s="8"/>
    </row>
    <row r="43" ht="15.75" customHeight="1">
      <c r="B43" s="15"/>
      <c r="C43" s="14"/>
      <c r="E43" s="8"/>
    </row>
    <row r="44" ht="3.75" customHeight="1">
      <c r="B44" s="15"/>
      <c r="C44" s="14"/>
      <c r="D44" s="8"/>
      <c r="E44" s="8"/>
    </row>
    <row r="45" ht="15.75" customHeight="1">
      <c r="B45" s="13"/>
      <c r="C45" s="14" t="s">
        <v>23</v>
      </c>
      <c r="D45" s="8" t="s">
        <v>36</v>
      </c>
      <c r="E45" s="8"/>
    </row>
    <row r="46" ht="15.75" customHeight="1">
      <c r="B46" s="15"/>
      <c r="C46" s="14"/>
      <c r="E46" s="8"/>
    </row>
    <row r="47" ht="3.75" customHeight="1">
      <c r="B47" s="15"/>
      <c r="C47" s="14"/>
      <c r="D47" s="8"/>
      <c r="E47" s="8"/>
    </row>
    <row r="48" ht="15.75" customHeight="1">
      <c r="B48" s="13"/>
      <c r="C48" s="14" t="s">
        <v>25</v>
      </c>
      <c r="D48" s="8" t="s">
        <v>37</v>
      </c>
      <c r="E48" s="8"/>
    </row>
    <row r="49" ht="15.75" customHeight="1">
      <c r="B49" s="15"/>
      <c r="C49" s="14"/>
      <c r="E49" s="8"/>
    </row>
    <row r="50" ht="3.75" customHeight="1">
      <c r="B50" s="15"/>
      <c r="C50" s="14"/>
      <c r="D50" s="8"/>
      <c r="E50" s="8"/>
    </row>
    <row r="51" ht="15.75" customHeight="1">
      <c r="B51" s="13" t="s">
        <v>20</v>
      </c>
      <c r="C51" s="14" t="s">
        <v>27</v>
      </c>
      <c r="D51" s="8" t="s">
        <v>38</v>
      </c>
      <c r="E51" s="8"/>
    </row>
    <row r="52" ht="15.75" customHeight="1">
      <c r="B52" s="15"/>
      <c r="C52" s="14"/>
      <c r="E52" s="8"/>
    </row>
    <row r="53" ht="3.75" customHeight="1">
      <c r="B53" s="16"/>
      <c r="C53" s="16"/>
      <c r="D53" s="16"/>
      <c r="E53" s="16"/>
    </row>
    <row r="54" ht="15.75" customHeight="1">
      <c r="B54" s="16"/>
      <c r="C54" s="16"/>
      <c r="D54" s="16"/>
      <c r="E54" s="16"/>
    </row>
    <row r="55" ht="15.75" customHeight="1">
      <c r="B55" s="12" t="s">
        <v>39</v>
      </c>
      <c r="E55" s="12"/>
    </row>
    <row r="56" ht="15.75" customHeight="1">
      <c r="B56" s="12"/>
      <c r="C56" s="12"/>
      <c r="D56" s="12"/>
      <c r="E56" s="12"/>
    </row>
    <row r="57" ht="15.75" customHeight="1">
      <c r="B57" s="13" t="s">
        <v>20</v>
      </c>
      <c r="C57" s="14" t="s">
        <v>21</v>
      </c>
      <c r="D57" s="8" t="s">
        <v>40</v>
      </c>
      <c r="E57" s="8"/>
    </row>
    <row r="58" ht="15.75" customHeight="1">
      <c r="B58" s="15"/>
      <c r="C58" s="14"/>
      <c r="E58" s="8"/>
    </row>
    <row r="59" ht="3.75" customHeight="1">
      <c r="B59" s="15"/>
      <c r="C59" s="14"/>
      <c r="D59" s="8"/>
      <c r="E59" s="8"/>
    </row>
    <row r="60" ht="15.75" customHeight="1">
      <c r="B60" s="13"/>
      <c r="C60" s="14" t="s">
        <v>23</v>
      </c>
      <c r="D60" s="8" t="s">
        <v>41</v>
      </c>
      <c r="E60" s="8"/>
    </row>
    <row r="61" ht="15.75" customHeight="1">
      <c r="B61" s="15"/>
      <c r="C61" s="14"/>
      <c r="E61" s="8"/>
    </row>
    <row r="62" ht="3.75" customHeight="1">
      <c r="B62" s="15"/>
      <c r="C62" s="14"/>
      <c r="D62" s="8"/>
      <c r="E62" s="8"/>
    </row>
    <row r="63" ht="15.75" customHeight="1">
      <c r="B63" s="13"/>
      <c r="C63" s="14" t="s">
        <v>25</v>
      </c>
      <c r="D63" s="8" t="s">
        <v>42</v>
      </c>
      <c r="E63" s="8"/>
    </row>
    <row r="64" ht="15.75" customHeight="1">
      <c r="B64" s="15"/>
      <c r="C64" s="14"/>
      <c r="E64" s="8"/>
    </row>
    <row r="65" ht="3.75" customHeight="1">
      <c r="B65" s="15"/>
      <c r="C65" s="14"/>
      <c r="D65" s="8"/>
      <c r="E65" s="8"/>
    </row>
    <row r="66" ht="15.75" customHeight="1">
      <c r="B66" s="13" t="s">
        <v>20</v>
      </c>
      <c r="C66" s="14" t="s">
        <v>27</v>
      </c>
      <c r="D66" s="8" t="s">
        <v>43</v>
      </c>
      <c r="E66" s="8"/>
    </row>
    <row r="67" ht="15.75" customHeight="1">
      <c r="B67" s="15"/>
      <c r="C67" s="14"/>
      <c r="E67" s="8"/>
    </row>
    <row r="68" ht="3.75" customHeight="1">
      <c r="B68" s="16"/>
      <c r="C68" s="16"/>
      <c r="D68" s="16"/>
      <c r="E68" s="16"/>
    </row>
    <row r="69" ht="15.75" customHeight="1">
      <c r="B69" s="16"/>
      <c r="C69" s="16"/>
      <c r="D69" s="16"/>
      <c r="E69" s="16"/>
    </row>
    <row r="70" ht="15.75" customHeight="1">
      <c r="B70" s="12" t="s">
        <v>44</v>
      </c>
      <c r="E70" s="12"/>
    </row>
    <row r="71" ht="15.75" customHeight="1">
      <c r="B71" s="12"/>
      <c r="C71" s="12"/>
      <c r="D71" s="12"/>
      <c r="E71" s="12"/>
    </row>
    <row r="72" ht="15.75" customHeight="1">
      <c r="B72" s="13"/>
      <c r="C72" s="14" t="s">
        <v>21</v>
      </c>
      <c r="D72" s="8" t="s">
        <v>45</v>
      </c>
      <c r="E72" s="8"/>
    </row>
    <row r="73" ht="15.75" customHeight="1">
      <c r="B73" s="15"/>
      <c r="C73" s="14"/>
      <c r="E73" s="8"/>
    </row>
    <row r="74" ht="3.75" customHeight="1">
      <c r="B74" s="15"/>
      <c r="C74" s="14"/>
      <c r="D74" s="8"/>
      <c r="E74" s="8"/>
    </row>
    <row r="75" ht="12.75" customHeight="1">
      <c r="B75" s="13"/>
      <c r="C75" s="14" t="s">
        <v>23</v>
      </c>
      <c r="D75" s="8" t="s">
        <v>46</v>
      </c>
      <c r="E75" s="8"/>
    </row>
    <row r="76" ht="15.75" customHeight="1">
      <c r="B76" s="15"/>
      <c r="C76" s="14"/>
      <c r="E76" s="8"/>
    </row>
    <row r="77" ht="3.75" customHeight="1">
      <c r="B77" s="15"/>
      <c r="C77" s="14"/>
      <c r="D77" s="8"/>
      <c r="E77" s="8"/>
    </row>
    <row r="78" ht="15.75" customHeight="1">
      <c r="B78" s="13"/>
      <c r="C78" s="14" t="s">
        <v>25</v>
      </c>
      <c r="D78" s="8" t="s">
        <v>47</v>
      </c>
      <c r="E78" s="8"/>
    </row>
    <row r="79" ht="15.75" customHeight="1">
      <c r="B79" s="15"/>
      <c r="C79" s="14"/>
      <c r="E79" s="8"/>
    </row>
    <row r="80" ht="3.75" customHeight="1">
      <c r="B80" s="15"/>
      <c r="C80" s="14"/>
      <c r="D80" s="8"/>
      <c r="E80" s="8"/>
    </row>
    <row r="81" ht="15.75" customHeight="1">
      <c r="B81" s="13"/>
      <c r="C81" s="14" t="s">
        <v>27</v>
      </c>
      <c r="D81" s="8" t="s">
        <v>48</v>
      </c>
      <c r="E81" s="8"/>
    </row>
    <row r="82" ht="15.75" customHeight="1">
      <c r="B82" s="15"/>
      <c r="C82" s="14"/>
      <c r="E82" s="8"/>
    </row>
    <row r="83" ht="3.75" customHeight="1">
      <c r="B83" s="16"/>
      <c r="C83" s="16"/>
      <c r="D83" s="16"/>
      <c r="E83" s="16"/>
    </row>
    <row r="84" ht="15.75" customHeight="1">
      <c r="B84" s="16"/>
      <c r="C84" s="16"/>
      <c r="D84" s="16"/>
      <c r="E84" s="16"/>
    </row>
    <row r="85" ht="15.75" customHeight="1">
      <c r="B85" s="12" t="s">
        <v>49</v>
      </c>
      <c r="E85" s="12"/>
    </row>
    <row r="86" ht="15.75" customHeight="1">
      <c r="B86" s="12"/>
      <c r="C86" s="12"/>
      <c r="D86" s="12"/>
      <c r="E86" s="12"/>
    </row>
    <row r="87" ht="15.75" customHeight="1">
      <c r="B87" s="13"/>
      <c r="C87" s="14" t="s">
        <v>21</v>
      </c>
      <c r="D87" s="8" t="s">
        <v>50</v>
      </c>
      <c r="E87" s="8"/>
    </row>
    <row r="88" ht="15.75" customHeight="1">
      <c r="B88" s="15"/>
      <c r="C88" s="14"/>
      <c r="E88" s="8"/>
    </row>
    <row r="89" ht="3.75" customHeight="1">
      <c r="B89" s="15"/>
      <c r="C89" s="14"/>
      <c r="D89" s="8"/>
      <c r="E89" s="8"/>
    </row>
    <row r="90" ht="15.75" customHeight="1">
      <c r="B90" s="13"/>
      <c r="C90" s="14" t="s">
        <v>23</v>
      </c>
      <c r="D90" s="8" t="s">
        <v>51</v>
      </c>
      <c r="E90" s="8"/>
    </row>
    <row r="91" ht="15.75" customHeight="1">
      <c r="B91" s="15"/>
      <c r="C91" s="14"/>
      <c r="E91" s="8"/>
    </row>
    <row r="92" ht="3.75" customHeight="1">
      <c r="B92" s="15"/>
      <c r="C92" s="14"/>
      <c r="D92" s="8"/>
      <c r="E92" s="8"/>
    </row>
    <row r="93" ht="12.75" customHeight="1">
      <c r="B93" s="13" t="s">
        <v>20</v>
      </c>
      <c r="C93" s="14" t="s">
        <v>25</v>
      </c>
      <c r="D93" s="8" t="s">
        <v>52</v>
      </c>
      <c r="E93" s="8"/>
    </row>
    <row r="94" ht="15.75" customHeight="1">
      <c r="B94" s="15"/>
      <c r="C94" s="14"/>
      <c r="E94" s="8"/>
    </row>
    <row r="95" ht="3.75" customHeight="1">
      <c r="B95" s="15"/>
      <c r="C95" s="14"/>
      <c r="D95" s="8"/>
      <c r="E95" s="8"/>
    </row>
    <row r="96" ht="15.75" customHeight="1">
      <c r="B96" s="13"/>
      <c r="C96" s="14" t="s">
        <v>27</v>
      </c>
      <c r="D96" s="8" t="s">
        <v>53</v>
      </c>
      <c r="E96" s="8"/>
    </row>
    <row r="97" ht="15.75" customHeight="1">
      <c r="B97" s="15"/>
      <c r="C97" s="14"/>
      <c r="E97" s="8"/>
    </row>
    <row r="98" ht="3.75" customHeight="1">
      <c r="B98" s="16"/>
      <c r="C98" s="16"/>
      <c r="D98" s="16"/>
      <c r="E98" s="16"/>
    </row>
    <row r="99" ht="15.75" customHeight="1">
      <c r="B99" s="16"/>
      <c r="C99" s="16"/>
      <c r="D99" s="16"/>
      <c r="E99" s="16"/>
    </row>
    <row r="100" ht="15.75" customHeight="1">
      <c r="B100" s="12" t="s">
        <v>54</v>
      </c>
      <c r="E100" s="12"/>
    </row>
    <row r="101" ht="15.75" customHeight="1">
      <c r="B101" s="12"/>
      <c r="C101" s="12"/>
      <c r="D101" s="12"/>
      <c r="E101" s="12"/>
    </row>
    <row r="102" ht="12.75" customHeight="1">
      <c r="B102" s="13" t="s">
        <v>20</v>
      </c>
      <c r="C102" s="14" t="s">
        <v>21</v>
      </c>
      <c r="D102" s="8" t="s">
        <v>55</v>
      </c>
      <c r="E102" s="8"/>
    </row>
    <row r="103" ht="15.75" customHeight="1">
      <c r="B103" s="15"/>
      <c r="C103" s="14"/>
      <c r="E103" s="8"/>
    </row>
    <row r="104" ht="3.75" customHeight="1">
      <c r="B104" s="15"/>
      <c r="C104" s="14"/>
      <c r="D104" s="8"/>
      <c r="E104" s="8"/>
    </row>
    <row r="105" ht="12.75" customHeight="1">
      <c r="B105" s="13"/>
      <c r="C105" s="14" t="s">
        <v>23</v>
      </c>
      <c r="D105" s="8" t="s">
        <v>56</v>
      </c>
      <c r="E105" s="8"/>
    </row>
    <row r="106" ht="15.75" customHeight="1">
      <c r="B106" s="15"/>
      <c r="C106" s="14"/>
      <c r="E106" s="8"/>
    </row>
    <row r="107" ht="3.75" customHeight="1">
      <c r="B107" s="15"/>
      <c r="C107" s="14"/>
      <c r="D107" s="8"/>
      <c r="E107" s="8"/>
    </row>
    <row r="108" ht="12.75" customHeight="1">
      <c r="B108" s="13"/>
      <c r="C108" s="14" t="s">
        <v>25</v>
      </c>
      <c r="D108" s="8" t="s">
        <v>57</v>
      </c>
      <c r="E108" s="8"/>
    </row>
    <row r="109" ht="15.75" customHeight="1">
      <c r="B109" s="15"/>
      <c r="C109" s="14"/>
      <c r="E109" s="8"/>
    </row>
    <row r="110" ht="3.75" customHeight="1">
      <c r="B110" s="15"/>
      <c r="C110" s="14"/>
      <c r="D110" s="8"/>
      <c r="E110" s="8"/>
    </row>
    <row r="111" ht="12.75" customHeight="1">
      <c r="B111" s="13"/>
      <c r="C111" s="14" t="s">
        <v>27</v>
      </c>
      <c r="D111" s="8" t="s">
        <v>58</v>
      </c>
      <c r="E111" s="8"/>
    </row>
    <row r="112" ht="15.75" customHeight="1">
      <c r="B112" s="15"/>
      <c r="C112" s="14"/>
      <c r="E112" s="8"/>
    </row>
    <row r="113" ht="3.75" customHeight="1">
      <c r="B113" s="16"/>
      <c r="C113" s="16"/>
      <c r="D113" s="16"/>
      <c r="E113" s="16"/>
    </row>
    <row r="114" ht="15.75" customHeight="1">
      <c r="B114" s="16"/>
      <c r="C114" s="16"/>
      <c r="D114" s="16"/>
      <c r="E114" s="16"/>
    </row>
    <row r="115" ht="15.75" customHeight="1">
      <c r="B115" s="12" t="s">
        <v>59</v>
      </c>
      <c r="E115" s="12"/>
    </row>
    <row r="116" ht="15.75" customHeight="1">
      <c r="B116" s="12"/>
      <c r="C116" s="12"/>
      <c r="D116" s="12"/>
      <c r="E116" s="12"/>
    </row>
    <row r="117" ht="15.75" customHeight="1">
      <c r="B117" s="13"/>
      <c r="C117" s="14" t="s">
        <v>21</v>
      </c>
      <c r="D117" s="8" t="s">
        <v>60</v>
      </c>
      <c r="E117" s="8"/>
    </row>
    <row r="118" ht="15.75" customHeight="1">
      <c r="B118" s="15"/>
      <c r="C118" s="14"/>
      <c r="E118" s="8"/>
    </row>
    <row r="119" ht="3.75" customHeight="1">
      <c r="B119" s="15"/>
      <c r="C119" s="14"/>
      <c r="D119" s="8"/>
      <c r="E119" s="8"/>
    </row>
    <row r="120" ht="12.75" customHeight="1">
      <c r="B120" s="13"/>
      <c r="C120" s="14" t="s">
        <v>23</v>
      </c>
      <c r="D120" s="8" t="s">
        <v>61</v>
      </c>
      <c r="E120" s="8"/>
    </row>
    <row r="121" ht="15.75" customHeight="1">
      <c r="B121" s="15"/>
      <c r="C121" s="14"/>
      <c r="E121" s="8"/>
    </row>
    <row r="122" ht="3.75" customHeight="1">
      <c r="B122" s="15"/>
      <c r="C122" s="14"/>
      <c r="D122" s="8"/>
      <c r="E122" s="8"/>
    </row>
    <row r="123" ht="15.75" customHeight="1">
      <c r="B123" s="13"/>
      <c r="C123" s="14" t="s">
        <v>25</v>
      </c>
      <c r="D123" s="8" t="s">
        <v>62</v>
      </c>
      <c r="E123" s="8"/>
    </row>
    <row r="124" ht="15.75" customHeight="1">
      <c r="B124" s="15"/>
      <c r="C124" s="14"/>
      <c r="E124" s="8"/>
    </row>
    <row r="125" ht="3.75" customHeight="1">
      <c r="B125" s="15"/>
      <c r="C125" s="14"/>
      <c r="D125" s="8"/>
      <c r="E125" s="8"/>
    </row>
    <row r="126" ht="15.75" customHeight="1">
      <c r="B126" s="13" t="s">
        <v>20</v>
      </c>
      <c r="C126" s="14" t="s">
        <v>27</v>
      </c>
      <c r="D126" s="8" t="s">
        <v>63</v>
      </c>
      <c r="E126" s="8"/>
    </row>
    <row r="127" ht="15.75" customHeight="1">
      <c r="B127" s="15"/>
      <c r="C127" s="14"/>
      <c r="E127" s="8"/>
    </row>
    <row r="128" ht="3.75" customHeight="1">
      <c r="B128" s="16"/>
      <c r="C128" s="16"/>
      <c r="D128" s="16"/>
      <c r="E128" s="16"/>
    </row>
    <row r="129" ht="15.75" customHeight="1">
      <c r="B129" s="16"/>
      <c r="C129" s="16"/>
      <c r="D129" s="16"/>
      <c r="E129" s="16"/>
    </row>
    <row r="130" ht="15.75" customHeight="1">
      <c r="B130" s="12" t="s">
        <v>64</v>
      </c>
      <c r="E130" s="12"/>
    </row>
    <row r="131" ht="15.75" customHeight="1">
      <c r="B131" s="12"/>
      <c r="C131" s="12"/>
      <c r="D131" s="12"/>
      <c r="E131" s="12"/>
    </row>
    <row r="132" ht="15.75" customHeight="1">
      <c r="B132" s="13"/>
      <c r="C132" s="14" t="s">
        <v>21</v>
      </c>
      <c r="D132" s="8" t="s">
        <v>65</v>
      </c>
      <c r="E132" s="8"/>
    </row>
    <row r="133" ht="15.75" customHeight="1">
      <c r="B133" s="15"/>
      <c r="C133" s="14"/>
      <c r="E133" s="8"/>
    </row>
    <row r="134" ht="3.75" customHeight="1">
      <c r="B134" s="15"/>
      <c r="C134" s="14"/>
      <c r="D134" s="8"/>
      <c r="E134" s="8"/>
    </row>
    <row r="135" ht="12.75" customHeight="1">
      <c r="B135" s="13"/>
      <c r="C135" s="14" t="s">
        <v>23</v>
      </c>
      <c r="D135" s="8" t="s">
        <v>66</v>
      </c>
      <c r="E135" s="8"/>
    </row>
    <row r="136" ht="15.75" customHeight="1">
      <c r="B136" s="15"/>
      <c r="C136" s="14"/>
      <c r="E136" s="8"/>
    </row>
    <row r="137" ht="3.75" customHeight="1">
      <c r="B137" s="15"/>
      <c r="C137" s="14"/>
      <c r="D137" s="8"/>
      <c r="E137" s="8"/>
    </row>
    <row r="138" ht="12.75" customHeight="1">
      <c r="B138" s="13"/>
      <c r="C138" s="14" t="s">
        <v>25</v>
      </c>
      <c r="D138" s="8" t="s">
        <v>67</v>
      </c>
      <c r="E138" s="8"/>
    </row>
    <row r="139" ht="15.75" customHeight="1">
      <c r="B139" s="15"/>
      <c r="C139" s="14"/>
      <c r="E139" s="8"/>
    </row>
    <row r="140" ht="3.75" customHeight="1">
      <c r="B140" s="15"/>
      <c r="C140" s="14"/>
      <c r="D140" s="8"/>
      <c r="E140" s="8"/>
    </row>
    <row r="141" ht="15.75" customHeight="1">
      <c r="B141" s="13" t="s">
        <v>20</v>
      </c>
      <c r="C141" s="14" t="s">
        <v>27</v>
      </c>
      <c r="D141" s="8" t="s">
        <v>68</v>
      </c>
      <c r="E141" s="8"/>
    </row>
    <row r="142" ht="15.75" customHeight="1">
      <c r="B142" s="15"/>
      <c r="C142" s="14"/>
      <c r="E142" s="8"/>
    </row>
    <row r="143" ht="3.75" customHeight="1">
      <c r="B143" s="16"/>
      <c r="C143" s="16"/>
      <c r="D143" s="16"/>
      <c r="E143" s="16"/>
    </row>
    <row r="144" ht="15.75" customHeight="1">
      <c r="B144" s="16"/>
      <c r="C144" s="16"/>
      <c r="D144" s="16"/>
      <c r="E144" s="16"/>
    </row>
    <row r="145" ht="15.75" customHeight="1">
      <c r="B145" s="12" t="s">
        <v>69</v>
      </c>
      <c r="E145" s="12"/>
    </row>
    <row r="146" ht="15.75" customHeight="1">
      <c r="B146" s="12"/>
      <c r="C146" s="12"/>
      <c r="D146" s="12"/>
      <c r="E146" s="12"/>
    </row>
    <row r="147" ht="15.75" customHeight="1">
      <c r="B147" s="13"/>
      <c r="C147" s="14" t="s">
        <v>21</v>
      </c>
      <c r="D147" s="8" t="s">
        <v>70</v>
      </c>
      <c r="E147" s="8"/>
    </row>
    <row r="148" ht="15.75" customHeight="1">
      <c r="B148" s="15"/>
      <c r="C148" s="14"/>
      <c r="E148" s="8"/>
    </row>
    <row r="149" ht="3.75" customHeight="1">
      <c r="B149" s="15"/>
      <c r="C149" s="14"/>
      <c r="D149" s="8"/>
      <c r="E149" s="8"/>
    </row>
    <row r="150" ht="12.75" customHeight="1">
      <c r="B150" s="13"/>
      <c r="C150" s="14" t="s">
        <v>23</v>
      </c>
      <c r="D150" s="8" t="s">
        <v>71</v>
      </c>
      <c r="E150" s="8"/>
    </row>
    <row r="151" ht="15.75" customHeight="1">
      <c r="B151" s="15"/>
      <c r="C151" s="14"/>
      <c r="E151" s="8"/>
    </row>
    <row r="152" ht="3.75" customHeight="1">
      <c r="B152" s="15"/>
      <c r="C152" s="14"/>
      <c r="D152" s="8"/>
      <c r="E152" s="8"/>
    </row>
    <row r="153" ht="15.75" customHeight="1">
      <c r="B153" s="13"/>
      <c r="C153" s="14" t="s">
        <v>25</v>
      </c>
      <c r="D153" s="8" t="s">
        <v>72</v>
      </c>
      <c r="E153" s="8"/>
    </row>
    <row r="154" ht="15.75" customHeight="1">
      <c r="B154" s="15"/>
      <c r="C154" s="14"/>
      <c r="E154" s="8"/>
    </row>
    <row r="155" ht="3.75" customHeight="1">
      <c r="B155" s="15"/>
      <c r="C155" s="14"/>
      <c r="D155" s="8"/>
      <c r="E155" s="8"/>
    </row>
    <row r="156" ht="15.75" customHeight="1">
      <c r="B156" s="13" t="s">
        <v>20</v>
      </c>
      <c r="C156" s="14" t="s">
        <v>27</v>
      </c>
      <c r="D156" s="8" t="s">
        <v>73</v>
      </c>
      <c r="E156" s="8"/>
    </row>
    <row r="157" ht="15.75" customHeight="1">
      <c r="B157" s="15"/>
      <c r="C157" s="14"/>
      <c r="E157" s="8"/>
    </row>
    <row r="158" ht="3.75" customHeight="1">
      <c r="B158" s="16"/>
      <c r="C158" s="16"/>
      <c r="D158" s="16"/>
      <c r="E158" s="16"/>
    </row>
    <row r="159" ht="15.75" customHeight="1">
      <c r="B159" s="16"/>
      <c r="C159" s="16"/>
      <c r="D159" s="16"/>
      <c r="E159" s="16"/>
    </row>
    <row r="160" ht="15.75" customHeight="1">
      <c r="B160" s="12" t="s">
        <v>74</v>
      </c>
      <c r="E160" s="12"/>
    </row>
    <row r="161" ht="15.75" customHeight="1">
      <c r="B161" s="12"/>
      <c r="C161" s="12"/>
      <c r="D161" s="12"/>
      <c r="E161" s="12"/>
    </row>
    <row r="162" ht="15.75" customHeight="1">
      <c r="B162" s="13"/>
      <c r="C162" s="14" t="s">
        <v>21</v>
      </c>
      <c r="D162" s="8" t="s">
        <v>75</v>
      </c>
      <c r="E162" s="8"/>
    </row>
    <row r="163" ht="15.75" customHeight="1">
      <c r="B163" s="15"/>
      <c r="C163" s="14"/>
      <c r="E163" s="8"/>
    </row>
    <row r="164" ht="3.75" customHeight="1">
      <c r="B164" s="15"/>
      <c r="C164" s="14"/>
      <c r="D164" s="8"/>
      <c r="E164" s="8"/>
    </row>
    <row r="165" ht="15.75" customHeight="1">
      <c r="B165" s="13"/>
      <c r="C165" s="14" t="s">
        <v>23</v>
      </c>
      <c r="D165" s="8" t="s">
        <v>76</v>
      </c>
      <c r="E165" s="8"/>
    </row>
    <row r="166" ht="15.75" customHeight="1">
      <c r="B166" s="15"/>
      <c r="C166" s="14"/>
      <c r="E166" s="8"/>
    </row>
    <row r="167" ht="3.75" customHeight="1">
      <c r="B167" s="15"/>
      <c r="C167" s="14"/>
      <c r="D167" s="8"/>
      <c r="E167" s="8"/>
    </row>
    <row r="168" ht="15.75" customHeight="1">
      <c r="B168" s="13"/>
      <c r="C168" s="14" t="s">
        <v>25</v>
      </c>
      <c r="D168" s="8" t="s">
        <v>77</v>
      </c>
      <c r="E168" s="8"/>
    </row>
    <row r="169" ht="15.75" customHeight="1">
      <c r="B169" s="15"/>
      <c r="C169" s="14"/>
      <c r="E169" s="8"/>
    </row>
    <row r="170" ht="3.75" customHeight="1">
      <c r="B170" s="15"/>
      <c r="C170" s="14"/>
      <c r="D170" s="8"/>
      <c r="E170" s="8"/>
    </row>
    <row r="171" ht="15.75" customHeight="1">
      <c r="B171" s="13"/>
      <c r="C171" s="14" t="s">
        <v>27</v>
      </c>
      <c r="D171" s="8" t="s">
        <v>78</v>
      </c>
      <c r="E171" s="8"/>
    </row>
    <row r="172" ht="15.75" customHeight="1">
      <c r="B172" s="15"/>
      <c r="C172" s="14"/>
      <c r="E172" s="8"/>
    </row>
    <row r="173" ht="3.75" customHeight="1">
      <c r="B173" s="16"/>
      <c r="C173" s="16"/>
      <c r="D173" s="16"/>
      <c r="E173" s="16"/>
    </row>
    <row r="174" ht="15.75" customHeight="1">
      <c r="B174" s="16"/>
      <c r="C174" s="16"/>
      <c r="D174" s="16"/>
      <c r="E174" s="16"/>
    </row>
    <row r="175" ht="15.75" customHeight="1">
      <c r="B175" s="12" t="s">
        <v>79</v>
      </c>
      <c r="E175" s="12"/>
    </row>
    <row r="176" ht="15.75" customHeight="1">
      <c r="B176" s="12"/>
      <c r="C176" s="12"/>
      <c r="D176" s="12"/>
      <c r="E176" s="12"/>
    </row>
    <row r="177" ht="15.75" customHeight="1">
      <c r="B177" s="13"/>
      <c r="C177" s="14" t="s">
        <v>21</v>
      </c>
      <c r="D177" s="8" t="s">
        <v>80</v>
      </c>
      <c r="E177" s="8"/>
    </row>
    <row r="178" ht="15.75" customHeight="1">
      <c r="B178" s="15"/>
      <c r="C178" s="14"/>
      <c r="E178" s="8"/>
    </row>
    <row r="179" ht="3.75" customHeight="1">
      <c r="B179" s="15"/>
      <c r="C179" s="14"/>
      <c r="D179" s="8"/>
      <c r="E179" s="8"/>
    </row>
    <row r="180" ht="15.75" customHeight="1">
      <c r="B180" s="13"/>
      <c r="C180" s="14" t="s">
        <v>23</v>
      </c>
      <c r="D180" s="8" t="s">
        <v>81</v>
      </c>
      <c r="E180" s="8"/>
    </row>
    <row r="181" ht="15.75" customHeight="1">
      <c r="B181" s="15"/>
      <c r="C181" s="14"/>
      <c r="E181" s="8"/>
    </row>
    <row r="182" ht="3.75" customHeight="1">
      <c r="B182" s="15"/>
      <c r="C182" s="14"/>
      <c r="D182" s="8"/>
      <c r="E182" s="8"/>
    </row>
    <row r="183" ht="12.75" customHeight="1">
      <c r="B183" s="13"/>
      <c r="C183" s="14" t="s">
        <v>25</v>
      </c>
      <c r="D183" s="8" t="s">
        <v>82</v>
      </c>
      <c r="E183" s="8"/>
    </row>
    <row r="184" ht="15.75" customHeight="1">
      <c r="B184" s="15"/>
      <c r="C184" s="14"/>
      <c r="E184" s="8"/>
    </row>
    <row r="185" ht="3.75" customHeight="1">
      <c r="B185" s="15"/>
      <c r="C185" s="14"/>
      <c r="D185" s="8"/>
      <c r="E185" s="8"/>
    </row>
    <row r="186" ht="15.75" customHeight="1">
      <c r="B186" s="13"/>
      <c r="C186" s="14" t="s">
        <v>27</v>
      </c>
      <c r="D186" s="8" t="s">
        <v>83</v>
      </c>
      <c r="E186" s="8"/>
    </row>
    <row r="187" ht="15.75" customHeight="1">
      <c r="B187" s="15"/>
      <c r="C187" s="14"/>
      <c r="E187" s="8"/>
    </row>
    <row r="188" ht="3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D171:D172"/>
    <mergeCell ref="B175:D175"/>
    <mergeCell ref="D177:D178"/>
    <mergeCell ref="D180:D181"/>
    <mergeCell ref="D183:D184"/>
    <mergeCell ref="D186:D187"/>
    <mergeCell ref="D150:D151"/>
    <mergeCell ref="D153:D154"/>
    <mergeCell ref="D156:D157"/>
    <mergeCell ref="B160:D160"/>
    <mergeCell ref="D162:D163"/>
    <mergeCell ref="D165:D166"/>
    <mergeCell ref="D168:D169"/>
    <mergeCell ref="B7:D7"/>
    <mergeCell ref="B8:D8"/>
    <mergeCell ref="B10:D10"/>
    <mergeCell ref="D12:D13"/>
    <mergeCell ref="D15:D16"/>
    <mergeCell ref="D18:D19"/>
    <mergeCell ref="B25:D25"/>
    <mergeCell ref="D21:D22"/>
    <mergeCell ref="D27:D28"/>
    <mergeCell ref="D30:D31"/>
    <mergeCell ref="D33:D34"/>
    <mergeCell ref="D36:D37"/>
    <mergeCell ref="B40:D40"/>
    <mergeCell ref="D42:D43"/>
    <mergeCell ref="D45:D46"/>
    <mergeCell ref="D48:D49"/>
    <mergeCell ref="D51:D52"/>
    <mergeCell ref="B55:D55"/>
    <mergeCell ref="D57:D58"/>
    <mergeCell ref="D60:D61"/>
    <mergeCell ref="D63:D64"/>
    <mergeCell ref="D66:D67"/>
    <mergeCell ref="B70:D70"/>
    <mergeCell ref="D72:D73"/>
    <mergeCell ref="D75:D76"/>
    <mergeCell ref="D78:D79"/>
    <mergeCell ref="D81:D82"/>
    <mergeCell ref="B85:D85"/>
    <mergeCell ref="D87:D88"/>
    <mergeCell ref="D90:D91"/>
    <mergeCell ref="D93:D94"/>
    <mergeCell ref="D96:D97"/>
    <mergeCell ref="B100:D100"/>
    <mergeCell ref="D102:D103"/>
    <mergeCell ref="D105:D106"/>
    <mergeCell ref="D108:D109"/>
    <mergeCell ref="D111:D112"/>
    <mergeCell ref="B115:D115"/>
    <mergeCell ref="D117:D118"/>
    <mergeCell ref="D120:D121"/>
    <mergeCell ref="D123:D124"/>
    <mergeCell ref="B130:D130"/>
    <mergeCell ref="D126:D127"/>
    <mergeCell ref="D132:D133"/>
    <mergeCell ref="D135:D136"/>
    <mergeCell ref="D138:D139"/>
    <mergeCell ref="D141:D142"/>
    <mergeCell ref="B145:D145"/>
    <mergeCell ref="D147:D148"/>
  </mergeCells>
  <printOptions/>
  <pageMargins bottom="0.787401575" footer="0.0" header="0.0" left="1.086811024" right="0.511811024" top="0.787401575"/>
  <pageSetup paperSize="9" scale="9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5"/>
  </cols>
  <sheetData>
    <row r="1" ht="15.75" customHeight="1">
      <c r="A1" s="17" t="s">
        <v>84</v>
      </c>
      <c r="B1" s="18" t="s">
        <v>85</v>
      </c>
      <c r="C1" s="18" t="s">
        <v>85</v>
      </c>
      <c r="D1" s="18" t="s">
        <v>86</v>
      </c>
      <c r="E1" s="18" t="s">
        <v>87</v>
      </c>
      <c r="F1" s="19"/>
      <c r="G1" s="20"/>
      <c r="H1" s="21" t="s">
        <v>87</v>
      </c>
      <c r="I1" s="21" t="s">
        <v>86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5.75" customHeight="1">
      <c r="A2" s="22">
        <v>1.0</v>
      </c>
      <c r="B2" s="23" t="s">
        <v>21</v>
      </c>
      <c r="C2" s="23" t="str">
        <f>IF('Análise de Maturidade'!B12="x","X","")</f>
        <v>X</v>
      </c>
      <c r="D2" s="23">
        <v>1.0</v>
      </c>
      <c r="E2" s="23">
        <v>1.0</v>
      </c>
      <c r="F2" s="19"/>
      <c r="G2" s="24" t="s">
        <v>88</v>
      </c>
      <c r="H2" s="23">
        <f t="shared" ref="H2:H5" si="1">SUMIFS($E$2:$E$49,$C$2:$C$49,"X",$D$2:$D$49,I2)</f>
        <v>2</v>
      </c>
      <c r="I2" s="23">
        <v>1.0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22">
        <v>1.0</v>
      </c>
      <c r="B3" s="23" t="s">
        <v>23</v>
      </c>
      <c r="C3" s="23" t="str">
        <f>IF('Análise de Maturidade'!B15="x","X","")</f>
        <v/>
      </c>
      <c r="D3" s="23">
        <v>4.0</v>
      </c>
      <c r="E3" s="23">
        <v>1.0</v>
      </c>
      <c r="F3" s="19"/>
      <c r="G3" s="24" t="s">
        <v>89</v>
      </c>
      <c r="H3" s="23">
        <f t="shared" si="1"/>
        <v>3</v>
      </c>
      <c r="I3" s="23">
        <v>2.0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22">
        <v>1.0</v>
      </c>
      <c r="B4" s="23" t="s">
        <v>25</v>
      </c>
      <c r="C4" s="23" t="str">
        <f>IF('Análise de Maturidade'!B18="x","X","")</f>
        <v/>
      </c>
      <c r="D4" s="23">
        <v>3.0</v>
      </c>
      <c r="E4" s="23">
        <v>1.0</v>
      </c>
      <c r="F4" s="19"/>
      <c r="G4" s="24" t="s">
        <v>90</v>
      </c>
      <c r="H4" s="23">
        <f t="shared" si="1"/>
        <v>1</v>
      </c>
      <c r="I4" s="23">
        <v>3.0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22">
        <v>1.0</v>
      </c>
      <c r="B5" s="23" t="s">
        <v>27</v>
      </c>
      <c r="C5" s="23" t="str">
        <f>IF('Análise de Maturidade'!B21="x","X","")</f>
        <v/>
      </c>
      <c r="D5" s="23">
        <v>2.0</v>
      </c>
      <c r="E5" s="23">
        <v>1.0</v>
      </c>
      <c r="F5" s="19"/>
      <c r="G5" s="24" t="s">
        <v>91</v>
      </c>
      <c r="H5" s="23">
        <f t="shared" si="1"/>
        <v>1</v>
      </c>
      <c r="I5" s="23">
        <v>4.0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22">
        <v>2.0</v>
      </c>
      <c r="B6" s="23" t="s">
        <v>21</v>
      </c>
      <c r="C6" s="23" t="str">
        <f>IF('Análise de Maturidade'!B27="x","X","")</f>
        <v/>
      </c>
      <c r="D6" s="23">
        <v>4.0</v>
      </c>
      <c r="E6" s="23">
        <v>1.0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22">
        <v>2.0</v>
      </c>
      <c r="B7" s="23" t="s">
        <v>23</v>
      </c>
      <c r="C7" s="23" t="str">
        <f>IF('Análise de Maturidade'!B30="x","X","")</f>
        <v/>
      </c>
      <c r="D7" s="23">
        <v>3.0</v>
      </c>
      <c r="E7" s="23">
        <v>1.0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22">
        <v>2.0</v>
      </c>
      <c r="B8" s="23" t="s">
        <v>25</v>
      </c>
      <c r="C8" s="23" t="str">
        <f>IF('Análise de Maturidade'!B33="x","X","")</f>
        <v/>
      </c>
      <c r="D8" s="23">
        <v>1.0</v>
      </c>
      <c r="E8" s="23">
        <v>1.0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22">
        <v>2.0</v>
      </c>
      <c r="B9" s="23" t="s">
        <v>27</v>
      </c>
      <c r="C9" s="23" t="str">
        <f>IF('Análise de Maturidade'!B36="x","X","")</f>
        <v/>
      </c>
      <c r="D9" s="23">
        <v>2.0</v>
      </c>
      <c r="E9" s="23">
        <v>1.0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22">
        <v>3.0</v>
      </c>
      <c r="B10" s="23" t="s">
        <v>21</v>
      </c>
      <c r="C10" s="23" t="str">
        <f>IF('Análise de Maturidade'!B42="x","X","")</f>
        <v/>
      </c>
      <c r="D10" s="23">
        <v>1.0</v>
      </c>
      <c r="E10" s="23">
        <v>1.0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22">
        <v>3.0</v>
      </c>
      <c r="B11" s="23" t="s">
        <v>23</v>
      </c>
      <c r="C11" s="23" t="str">
        <f>IF('Análise de Maturidade'!B45="x","X","")</f>
        <v/>
      </c>
      <c r="D11" s="23">
        <v>2.0</v>
      </c>
      <c r="E11" s="23">
        <v>1.0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22">
        <v>3.0</v>
      </c>
      <c r="B12" s="23" t="s">
        <v>25</v>
      </c>
      <c r="C12" s="23" t="str">
        <f>IF('Análise de Maturidade'!B48="x","X","")</f>
        <v/>
      </c>
      <c r="D12" s="23">
        <v>3.0</v>
      </c>
      <c r="E12" s="23">
        <v>1.0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22">
        <v>3.0</v>
      </c>
      <c r="B13" s="23" t="s">
        <v>27</v>
      </c>
      <c r="C13" s="23" t="str">
        <f>IF('Análise de Maturidade'!B51="x","X","")</f>
        <v>X</v>
      </c>
      <c r="D13" s="23">
        <v>4.0</v>
      </c>
      <c r="E13" s="23">
        <v>1.0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22">
        <v>4.0</v>
      </c>
      <c r="B14" s="23" t="s">
        <v>21</v>
      </c>
      <c r="C14" s="23" t="str">
        <f>IF('Análise de Maturidade'!B57="x","X","")</f>
        <v>X</v>
      </c>
      <c r="D14" s="23">
        <v>1.0</v>
      </c>
      <c r="E14" s="23">
        <v>1.0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22">
        <v>4.0</v>
      </c>
      <c r="B15" s="23" t="s">
        <v>23</v>
      </c>
      <c r="C15" s="23" t="str">
        <f>IF('Análise de Maturidade'!B60="x","X","")</f>
        <v/>
      </c>
      <c r="D15" s="23">
        <v>3.0</v>
      </c>
      <c r="E15" s="23">
        <v>1.0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22">
        <v>4.0</v>
      </c>
      <c r="B16" s="23" t="s">
        <v>25</v>
      </c>
      <c r="C16" s="23" t="str">
        <f>IF('Análise de Maturidade'!B63="x","X","")</f>
        <v/>
      </c>
      <c r="D16" s="23">
        <v>2.0</v>
      </c>
      <c r="E16" s="23">
        <v>1.0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22">
        <v>4.0</v>
      </c>
      <c r="B17" s="23" t="s">
        <v>27</v>
      </c>
      <c r="C17" s="23" t="str">
        <f>IF('Análise de Maturidade'!B67="x","X","")</f>
        <v/>
      </c>
      <c r="D17" s="23">
        <v>4.0</v>
      </c>
      <c r="E17" s="23">
        <v>1.0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22">
        <v>5.0</v>
      </c>
      <c r="B18" s="23" t="s">
        <v>21</v>
      </c>
      <c r="C18" s="23" t="str">
        <f>IF('Análise de Maturidade'!B72="x","X","")</f>
        <v/>
      </c>
      <c r="D18" s="23">
        <v>1.0</v>
      </c>
      <c r="E18" s="23">
        <v>1.0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22">
        <v>5.0</v>
      </c>
      <c r="B19" s="23" t="s">
        <v>23</v>
      </c>
      <c r="C19" s="23" t="str">
        <f>IF('Análise de Maturidade'!B75="x","X","")</f>
        <v/>
      </c>
      <c r="D19" s="23">
        <v>4.0</v>
      </c>
      <c r="E19" s="23">
        <v>1.0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22">
        <v>5.0</v>
      </c>
      <c r="B20" s="23" t="s">
        <v>25</v>
      </c>
      <c r="C20" s="23" t="str">
        <f>IF('Análise de Maturidade'!B78="x","X","")</f>
        <v/>
      </c>
      <c r="D20" s="23">
        <v>3.0</v>
      </c>
      <c r="E20" s="23">
        <v>1.0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2">
        <v>5.0</v>
      </c>
      <c r="B21" s="23" t="s">
        <v>27</v>
      </c>
      <c r="C21" s="23" t="str">
        <f>IF('Análise de Maturidade'!B81="x","X","")</f>
        <v/>
      </c>
      <c r="D21" s="23">
        <v>2.0</v>
      </c>
      <c r="E21" s="23">
        <v>1.0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2">
        <v>6.0</v>
      </c>
      <c r="B22" s="23" t="s">
        <v>21</v>
      </c>
      <c r="C22" s="23" t="str">
        <f>IF('Análise de Maturidade'!B87="x","X","")</f>
        <v/>
      </c>
      <c r="D22" s="23">
        <v>1.0</v>
      </c>
      <c r="E22" s="23">
        <v>1.0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2">
        <v>6.0</v>
      </c>
      <c r="B23" s="23" t="s">
        <v>23</v>
      </c>
      <c r="C23" s="23" t="str">
        <f>IF('Análise de Maturidade'!B90="x","X","")</f>
        <v/>
      </c>
      <c r="D23" s="23">
        <v>4.0</v>
      </c>
      <c r="E23" s="23">
        <v>1.0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2">
        <v>6.0</v>
      </c>
      <c r="B24" s="23" t="s">
        <v>25</v>
      </c>
      <c r="C24" s="23" t="str">
        <f>IF('Análise de Maturidade'!B93="x","X","")</f>
        <v>X</v>
      </c>
      <c r="D24" s="23">
        <v>2.0</v>
      </c>
      <c r="E24" s="23">
        <v>1.0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22">
        <v>6.0</v>
      </c>
      <c r="B25" s="23" t="s">
        <v>27</v>
      </c>
      <c r="C25" s="23" t="str">
        <f>IF('Análise de Maturidade'!B96="x","X","")</f>
        <v/>
      </c>
      <c r="D25" s="23">
        <v>3.0</v>
      </c>
      <c r="E25" s="23">
        <v>1.0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22">
        <v>7.0</v>
      </c>
      <c r="B26" s="23" t="s">
        <v>21</v>
      </c>
      <c r="C26" s="23" t="str">
        <f>IF('Análise de Maturidade'!B102="x","X","")</f>
        <v>X</v>
      </c>
      <c r="D26" s="23">
        <v>3.0</v>
      </c>
      <c r="E26" s="23">
        <v>1.0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22">
        <v>7.0</v>
      </c>
      <c r="B27" s="23" t="s">
        <v>23</v>
      </c>
      <c r="C27" s="23" t="str">
        <f>IF('Análise de Maturidade'!B105="x","X","")</f>
        <v/>
      </c>
      <c r="D27" s="23">
        <v>2.0</v>
      </c>
      <c r="E27" s="23">
        <v>1.0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22">
        <v>7.0</v>
      </c>
      <c r="B28" s="23" t="s">
        <v>25</v>
      </c>
      <c r="C28" s="23" t="str">
        <f>IF('Análise de Maturidade'!B108="x","X","")</f>
        <v/>
      </c>
      <c r="D28" s="23">
        <v>1.0</v>
      </c>
      <c r="E28" s="23">
        <v>1.0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22">
        <v>7.0</v>
      </c>
      <c r="B29" s="23" t="s">
        <v>27</v>
      </c>
      <c r="C29" s="23" t="str">
        <f>IF('Análise de Maturidade'!B111="x","X","")</f>
        <v/>
      </c>
      <c r="D29" s="23">
        <v>4.0</v>
      </c>
      <c r="E29" s="23">
        <v>1.0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22">
        <v>8.0</v>
      </c>
      <c r="B30" s="23" t="s">
        <v>21</v>
      </c>
      <c r="C30" s="23" t="str">
        <f>IF('Análise de Maturidade'!B117="x","X","")</f>
        <v/>
      </c>
      <c r="D30" s="23">
        <v>4.0</v>
      </c>
      <c r="E30" s="23">
        <v>1.0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22">
        <v>8.0</v>
      </c>
      <c r="B31" s="23" t="s">
        <v>23</v>
      </c>
      <c r="C31" s="23" t="str">
        <f>IF('Análise de Maturidade'!B120="x","X","")</f>
        <v/>
      </c>
      <c r="D31" s="23">
        <v>3.0</v>
      </c>
      <c r="E31" s="23">
        <v>1.0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22">
        <v>8.0</v>
      </c>
      <c r="B32" s="23" t="s">
        <v>25</v>
      </c>
      <c r="C32" s="23" t="str">
        <f>IF('Análise de Maturidade'!B123="x","X","")</f>
        <v/>
      </c>
      <c r="D32" s="23">
        <v>1.0</v>
      </c>
      <c r="E32" s="23">
        <v>1.0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22">
        <v>8.0</v>
      </c>
      <c r="B33" s="23" t="s">
        <v>27</v>
      </c>
      <c r="C33" s="23" t="str">
        <f>IF('Análise de Maturidade'!B127="x","X","")</f>
        <v/>
      </c>
      <c r="D33" s="23">
        <v>2.0</v>
      </c>
      <c r="E33" s="23">
        <v>1.0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22">
        <v>9.0</v>
      </c>
      <c r="B34" s="23" t="s">
        <v>21</v>
      </c>
      <c r="C34" s="23" t="str">
        <f>IF('Análise de Maturidade'!B132="x","X","")</f>
        <v/>
      </c>
      <c r="D34" s="23">
        <v>3.0</v>
      </c>
      <c r="E34" s="23">
        <v>1.0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22">
        <v>9.0</v>
      </c>
      <c r="B35" s="23" t="s">
        <v>23</v>
      </c>
      <c r="C35" s="23" t="str">
        <f>IF('Análise de Maturidade'!B135="x","X","")</f>
        <v/>
      </c>
      <c r="D35" s="23">
        <v>1.0</v>
      </c>
      <c r="E35" s="23">
        <v>1.0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22">
        <v>9.0</v>
      </c>
      <c r="B36" s="23" t="s">
        <v>25</v>
      </c>
      <c r="C36" s="23" t="str">
        <f>IF('Análise de Maturidade'!B138="x","X","")</f>
        <v/>
      </c>
      <c r="D36" s="23">
        <v>4.0</v>
      </c>
      <c r="E36" s="23">
        <v>1.0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22">
        <v>9.0</v>
      </c>
      <c r="B37" s="23" t="s">
        <v>27</v>
      </c>
      <c r="C37" s="23" t="str">
        <f>IF('Análise de Maturidade'!B141="x","X","")</f>
        <v>X</v>
      </c>
      <c r="D37" s="23">
        <v>2.0</v>
      </c>
      <c r="E37" s="23">
        <v>1.0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22">
        <v>10.0</v>
      </c>
      <c r="B38" s="23" t="s">
        <v>21</v>
      </c>
      <c r="C38" s="23" t="str">
        <f>IF('Análise de Maturidade'!B147="x","X","")</f>
        <v/>
      </c>
      <c r="D38" s="23">
        <v>4.0</v>
      </c>
      <c r="E38" s="23">
        <v>1.0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22">
        <v>10.0</v>
      </c>
      <c r="B39" s="23" t="s">
        <v>23</v>
      </c>
      <c r="C39" s="23" t="str">
        <f>IF('Análise de Maturidade'!B150="x","X","")</f>
        <v/>
      </c>
      <c r="D39" s="23">
        <v>3.0</v>
      </c>
      <c r="E39" s="23">
        <v>1.0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22">
        <v>10.0</v>
      </c>
      <c r="B40" s="23" t="s">
        <v>25</v>
      </c>
      <c r="C40" s="23" t="str">
        <f>IF('Análise de Maturidade'!B153="x","X","")</f>
        <v/>
      </c>
      <c r="D40" s="23">
        <v>1.0</v>
      </c>
      <c r="E40" s="23">
        <v>1.0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22">
        <v>10.0</v>
      </c>
      <c r="B41" s="23" t="s">
        <v>27</v>
      </c>
      <c r="C41" s="23" t="str">
        <f>IF('Análise de Maturidade'!B156="x","X","")</f>
        <v>X</v>
      </c>
      <c r="D41" s="23">
        <v>2.0</v>
      </c>
      <c r="E41" s="23">
        <v>1.0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22">
        <v>11.0</v>
      </c>
      <c r="B42" s="23" t="s">
        <v>21</v>
      </c>
      <c r="C42" s="23" t="str">
        <f>IF('Análise de Maturidade'!B162="x","X","")</f>
        <v/>
      </c>
      <c r="D42" s="23">
        <v>3.0</v>
      </c>
      <c r="E42" s="23">
        <v>1.0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22">
        <v>11.0</v>
      </c>
      <c r="B43" s="23" t="s">
        <v>23</v>
      </c>
      <c r="C43" s="23" t="str">
        <f>IF('Análise de Maturidade'!B165="x","X","")</f>
        <v/>
      </c>
      <c r="D43" s="23">
        <v>2.0</v>
      </c>
      <c r="E43" s="23">
        <v>1.0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22">
        <v>11.0</v>
      </c>
      <c r="B44" s="23" t="s">
        <v>25</v>
      </c>
      <c r="C44" s="23" t="str">
        <f>IF('Análise de Maturidade'!B168="x","X","")</f>
        <v/>
      </c>
      <c r="D44" s="23">
        <v>1.0</v>
      </c>
      <c r="E44" s="23">
        <v>1.0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22">
        <v>11.0</v>
      </c>
      <c r="B45" s="23" t="s">
        <v>27</v>
      </c>
      <c r="C45" s="23" t="str">
        <f>IF('Análise de Maturidade'!B171="x","X","")</f>
        <v/>
      </c>
      <c r="D45" s="23">
        <v>4.0</v>
      </c>
      <c r="E45" s="23">
        <v>1.0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22">
        <v>12.0</v>
      </c>
      <c r="B46" s="23" t="s">
        <v>21</v>
      </c>
      <c r="C46" s="23" t="str">
        <f>IF('Análise de Maturidade'!B177="x","X","")</f>
        <v/>
      </c>
      <c r="D46" s="23">
        <v>4.0</v>
      </c>
      <c r="E46" s="23">
        <v>1.0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22">
        <v>12.0</v>
      </c>
      <c r="B47" s="23" t="s">
        <v>23</v>
      </c>
      <c r="C47" s="23" t="str">
        <f>IF('Análise de Maturidade'!B180="x","X","")</f>
        <v/>
      </c>
      <c r="D47" s="23">
        <v>3.0</v>
      </c>
      <c r="E47" s="23">
        <v>1.0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22">
        <v>12.0</v>
      </c>
      <c r="B48" s="23" t="s">
        <v>25</v>
      </c>
      <c r="C48" s="23" t="str">
        <f>IF('Análise de Maturidade'!B183="x","X","")</f>
        <v/>
      </c>
      <c r="D48" s="23">
        <v>2.0</v>
      </c>
      <c r="E48" s="23">
        <v>1.0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22">
        <v>12.0</v>
      </c>
      <c r="B49" s="23" t="s">
        <v>27</v>
      </c>
      <c r="C49" s="23" t="str">
        <f>IF('Análise de Maturidade'!B186="x","X","")</f>
        <v/>
      </c>
      <c r="D49" s="23">
        <v>1.0</v>
      </c>
      <c r="E49" s="23">
        <v>1.0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