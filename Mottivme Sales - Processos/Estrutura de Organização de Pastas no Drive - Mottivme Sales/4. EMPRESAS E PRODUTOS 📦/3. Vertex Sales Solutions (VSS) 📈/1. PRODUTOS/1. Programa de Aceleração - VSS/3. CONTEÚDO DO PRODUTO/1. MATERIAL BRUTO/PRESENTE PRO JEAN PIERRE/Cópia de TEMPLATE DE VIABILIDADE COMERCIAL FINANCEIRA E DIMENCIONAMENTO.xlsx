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bilidad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Tickemedio da operação estimado
</t>
      </text>
    </comment>
    <comment authorId="0" ref="C7">
      <text>
        <t xml:space="preserve">A condição de aquisição praticada é a qual cliente adquirente paga as 6 parcelas da entrada  Porém, há exceções devido ao limite do cartão de crédito. Então, em média, por venda, conseguimos receber 4  parcelas da entrada.</t>
      </text>
    </comment>
    <comment authorId="0" ref="C11">
      <text>
        <t xml:space="preserve">A ser ajustável. Quanto maior o desconto oferecido, maior é o percentual de frações feitas na Condição à vista. </t>
      </text>
    </comment>
    <comment authorId="0" ref="B21">
      <text>
        <t xml:space="preserve">Líquido = Vendas - Cancelamentos de 7 dias CDC</t>
      </text>
    </comment>
    <comment authorId="0" ref="B36">
      <text>
        <t xml:space="preserve">Apenas com bonificação por venda
valor considerando custos da CLT</t>
      </text>
    </comment>
  </commentList>
</comments>
</file>

<file path=xl/sharedStrings.xml><?xml version="1.0" encoding="utf-8"?>
<sst xmlns="http://schemas.openxmlformats.org/spreadsheetml/2006/main" count="110" uniqueCount="100">
  <si>
    <r>
      <rPr>
        <rFont val="Calibri"/>
        <b/>
        <color theme="1"/>
      </rPr>
      <t>Nota Importante</t>
    </r>
    <r>
      <rPr>
        <rFont val="Calibri"/>
        <color theme="1"/>
      </rPr>
      <t xml:space="preserve">: Para simplificação e facilitar a conta, nesta planilha, o pagamento de comissionamento foi em regime de competência e não caixa.  Logo, há uma previsão de geração de caixa superior, já que esse comissionamento, na prática, é pago de acordo com o parcelamento da entrada do cliente adquirente.
</t>
    </r>
    <r>
      <rPr>
        <rFont val="Calibri"/>
        <b/>
        <color theme="1"/>
      </rPr>
      <t xml:space="preserve">Nota 2: </t>
    </r>
    <r>
      <rPr>
        <rFont val="Calibri"/>
        <color theme="1"/>
      </rPr>
      <t>Essa é uma previsão de vendas realista-pessimista, os valores podem alterar para cima ou para baixo dependendo das condições de mercado como: inflacionamento dos custos de investimento em mídia.</t>
    </r>
  </si>
  <si>
    <t xml:space="preserve">PREMISSAS </t>
  </si>
  <si>
    <t xml:space="preserve">Ticket Médio Venda R$) </t>
  </si>
  <si>
    <t>Valor da Entrada (x12 cartão de crédito)</t>
  </si>
  <si>
    <t>Valor Parcela (x55 boleto)</t>
  </si>
  <si>
    <t>Ingressos/Venda</t>
  </si>
  <si>
    <t>Parcelas em Média Retidas no Cartão</t>
  </si>
  <si>
    <t>Recebimento Entrada - Cartão de Crédito</t>
  </si>
  <si>
    <t>Parcelas Boleto</t>
  </si>
  <si>
    <t xml:space="preserve">Valor Médio da Entrada Retida no Cartão </t>
  </si>
  <si>
    <t>Mês 1</t>
  </si>
  <si>
    <t>Mês 2</t>
  </si>
  <si>
    <t>Mês 3</t>
  </si>
  <si>
    <t>Mês 4</t>
  </si>
  <si>
    <t>Mês 5</t>
  </si>
  <si>
    <t xml:space="preserve">Mês 6 </t>
  </si>
  <si>
    <t>Mês 7-12</t>
  </si>
  <si>
    <t>Taxa Cartão de Crédito (pagar.me)</t>
  </si>
  <si>
    <t>Antecipação Recebíveis Cartão de Crédito (Tx.mês)</t>
  </si>
  <si>
    <t>Percentual a Condição à vista</t>
  </si>
  <si>
    <t xml:space="preserve">Desconto à vista Cliente </t>
  </si>
  <si>
    <t>Legenda</t>
  </si>
  <si>
    <t>% de Revenda, indicação e Sales Farming</t>
  </si>
  <si>
    <t>Input</t>
  </si>
  <si>
    <t>Taxa Cancelamento/Inadimplência Pós entrada</t>
  </si>
  <si>
    <t>Output</t>
  </si>
  <si>
    <t>Comissionamento Base Full Sales Service</t>
  </si>
  <si>
    <t>Ajuda de custo closers PJ (ftb)</t>
  </si>
  <si>
    <t xml:space="preserve">Salário SDR CLT (+ Encargos e bonus) </t>
  </si>
  <si>
    <t>Total</t>
  </si>
  <si>
    <t>Mês -1</t>
  </si>
  <si>
    <t>Geração de Caixa (R$)</t>
  </si>
  <si>
    <t>Numero de Vendas Líquidas</t>
  </si>
  <si>
    <t>Faturamento Total Líquido Gerado</t>
  </si>
  <si>
    <t>Ingressos</t>
  </si>
  <si>
    <t>Vendas Comecial Mídia Paga</t>
  </si>
  <si>
    <t>Vendas por Sistema Indicação, Sales Farming, Revenda</t>
  </si>
  <si>
    <t>Vendas Orgânicas / Embaixadoers</t>
  </si>
  <si>
    <t>Investimento Mensal em Anúncios (Mídia paga)</t>
  </si>
  <si>
    <t>Custo de aquisição Cliente - Mídia (CAC)</t>
  </si>
  <si>
    <t>-</t>
  </si>
  <si>
    <t>%Comissionamento Equipe (Closers)</t>
  </si>
  <si>
    <t>Comissionamento Global Equipe</t>
  </si>
  <si>
    <t>Gestão e implantação - Full Sales Service</t>
  </si>
  <si>
    <t>Comissão Gestão Full Sales Service</t>
  </si>
  <si>
    <t>Fee mensal Full Sales Service (rh, suporte, BI)</t>
  </si>
  <si>
    <t>Fee entrada</t>
  </si>
  <si>
    <t xml:space="preserve">Custo Fixo Equipe Vendas </t>
  </si>
  <si>
    <t>N* SDRS (CLT sem comiss).</t>
  </si>
  <si>
    <t xml:space="preserve">- </t>
  </si>
  <si>
    <t>Custo Mensal</t>
  </si>
  <si>
    <t xml:space="preserve">N* Closers (PJ) (FTB). </t>
  </si>
  <si>
    <t>Coordenador de Pré-vendas (fixo)</t>
  </si>
  <si>
    <t>Gerente de Vendas (fixo)</t>
  </si>
  <si>
    <t>Custo Total equipe de vendas</t>
  </si>
  <si>
    <t>Custo Software CRM Subsidiado FSS</t>
  </si>
  <si>
    <t xml:space="preserve">Custo ZOOM </t>
  </si>
  <si>
    <t>Custos Totais de Comercialização</t>
  </si>
  <si>
    <t>Custos Totais de Vendas e Marketing</t>
  </si>
  <si>
    <t xml:space="preserve">Custos Equipe Fixa Mkt, ADM, outros (arbitrado) </t>
  </si>
  <si>
    <t>Custos de Comercialização % /Vendas Totais</t>
  </si>
  <si>
    <t>Métricas de Marketing</t>
  </si>
  <si>
    <t>Campo</t>
  </si>
  <si>
    <t>Valor</t>
  </si>
  <si>
    <t>Obs</t>
  </si>
  <si>
    <t>Investimento em Tráfego Mensal</t>
  </si>
  <si>
    <t>Funis Aquisição %</t>
  </si>
  <si>
    <t>Funis Apliacação %</t>
  </si>
  <si>
    <t>Funis de aquisição</t>
  </si>
  <si>
    <t>Tráfego total Funil</t>
  </si>
  <si>
    <t>Custo por Lead Aquisição</t>
  </si>
  <si>
    <t>15 a 25 em média</t>
  </si>
  <si>
    <t>Leads por mes</t>
  </si>
  <si>
    <t>Taxa de Agendamento</t>
  </si>
  <si>
    <t>10 a 18% em média</t>
  </si>
  <si>
    <t>Taxa de Comparecimento</t>
  </si>
  <si>
    <t>Custo por Agendamento Comparecido</t>
  </si>
  <si>
    <t>media entre 120 a 300</t>
  </si>
  <si>
    <t>Taxa de Conversão FAQ</t>
  </si>
  <si>
    <t>10% a 15% em média</t>
  </si>
  <si>
    <t>Númerde Vendas FAQ</t>
  </si>
  <si>
    <t>CAC FAQ</t>
  </si>
  <si>
    <t>Funis de Aplicação</t>
  </si>
  <si>
    <t>Custo por Lead Aplicação</t>
  </si>
  <si>
    <t>60 a 100 em média</t>
  </si>
  <si>
    <t>20 a 30 % em média</t>
  </si>
  <si>
    <t>75% a 80% possível</t>
  </si>
  <si>
    <t xml:space="preserve">Taxa de Conversão </t>
  </si>
  <si>
    <t>18% a 30% em média</t>
  </si>
  <si>
    <t>CAC FAP</t>
  </si>
  <si>
    <t>Métricas Consolidadas</t>
  </si>
  <si>
    <t>Dosagem Leads/SDR /mês</t>
  </si>
  <si>
    <t>(450) 500 a 750 leads</t>
  </si>
  <si>
    <t>Leads Totais mês</t>
  </si>
  <si>
    <t>Ticket Médio</t>
  </si>
  <si>
    <t xml:space="preserve">ticket médio </t>
  </si>
  <si>
    <t>CAC Médio</t>
  </si>
  <si>
    <t>Faturamento Total</t>
  </si>
  <si>
    <t>CAC (%) sob valor vendido</t>
  </si>
  <si>
    <t>ROAS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</si>
</sst>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_ ;\-#,##0\ "/>
    <numFmt numFmtId="165" formatCode="&quot;Mês &quot;0"/>
    <numFmt numFmtId="166" formatCode="0.0%"/>
    <numFmt numFmtId="167" formatCode="[$R$ -416]#,##0.00"/>
  </numFmts>
  <fonts count="13">
    <font>
      <sz val="11.0"/>
      <color theme="1"/>
      <name val="Calibri"/>
      <scheme val="minor"/>
    </font>
    <font>
      <color theme="1"/>
      <name val="Calibri"/>
    </font>
    <font>
      <sz val="18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Calibri"/>
    </font>
    <font>
      <sz val="11.0"/>
      <color theme="1"/>
      <name val="Calibri"/>
    </font>
    <font>
      <sz val="12.0"/>
      <color rgb="FF000000"/>
      <name val="Calibri"/>
    </font>
    <font>
      <sz val="11.0"/>
      <color rgb="FFFFFFFF"/>
      <name val="Calibri"/>
    </font>
    <font>
      <sz val="11.0"/>
      <color rgb="FFFF0000"/>
      <name val="Calibri"/>
    </font>
    <font>
      <sz val="9.0"/>
      <color theme="0"/>
      <name val="Calibri"/>
    </font>
    <font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1E4E79"/>
        <bgColor rgb="FF1E4E79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4" fontId="4" numFmtId="0" xfId="0" applyBorder="1" applyFill="1" applyFont="1"/>
    <xf borderId="3" fillId="5" fontId="4" numFmtId="164" xfId="0" applyBorder="1" applyFill="1" applyFont="1" applyNumberFormat="1"/>
    <xf borderId="3" fillId="5" fontId="4" numFmtId="2" xfId="0" applyBorder="1" applyFont="1" applyNumberFormat="1"/>
    <xf borderId="1" fillId="3" fontId="5" numFmtId="0" xfId="0" applyAlignment="1" applyBorder="1" applyFont="1">
      <alignment horizontal="center"/>
    </xf>
    <xf borderId="1" fillId="6" fontId="6" numFmtId="165" xfId="0" applyAlignment="1" applyBorder="1" applyFill="1" applyFont="1" applyNumberFormat="1">
      <alignment horizontal="center"/>
    </xf>
    <xf borderId="3" fillId="7" fontId="7" numFmtId="3" xfId="0" applyAlignment="1" applyBorder="1" applyFill="1" applyFont="1" applyNumberFormat="1">
      <alignment horizontal="center"/>
    </xf>
    <xf borderId="3" fillId="5" fontId="7" numFmtId="164" xfId="0" applyBorder="1" applyFont="1" applyNumberFormat="1"/>
    <xf borderId="0" fillId="8" fontId="1" numFmtId="0" xfId="0" applyFill="1" applyFont="1"/>
    <xf borderId="3" fillId="5" fontId="4" numFmtId="166" xfId="0" applyBorder="1" applyFont="1" applyNumberFormat="1"/>
    <xf borderId="0" fillId="8" fontId="1" numFmtId="167" xfId="0" applyFont="1" applyNumberFormat="1"/>
    <xf borderId="0" fillId="8" fontId="1" numFmtId="2" xfId="0" applyFont="1" applyNumberFormat="1"/>
    <xf borderId="3" fillId="5" fontId="4" numFmtId="9" xfId="0" applyBorder="1" applyFont="1" applyNumberFormat="1"/>
    <xf borderId="1" fillId="3" fontId="8" numFmtId="0" xfId="0" applyAlignment="1" applyBorder="1" applyFont="1">
      <alignment horizontal="center"/>
    </xf>
    <xf borderId="0" fillId="0" fontId="1" numFmtId="0" xfId="0" applyFont="1"/>
    <xf borderId="3" fillId="5" fontId="4" numFmtId="10" xfId="0" applyBorder="1" applyFont="1" applyNumberFormat="1"/>
    <xf borderId="0" fillId="0" fontId="7" numFmtId="0" xfId="0" applyFont="1"/>
    <xf borderId="3" fillId="8" fontId="7" numFmtId="3" xfId="0" applyAlignment="1" applyBorder="1" applyFont="1" applyNumberFormat="1">
      <alignment horizontal="center"/>
    </xf>
    <xf borderId="0" fillId="0" fontId="7" numFmtId="9" xfId="0" applyFont="1" applyNumberFormat="1"/>
    <xf borderId="0" fillId="0" fontId="6" numFmtId="0" xfId="0" applyFont="1"/>
    <xf borderId="3" fillId="6" fontId="6" numFmtId="0" xfId="0" applyBorder="1" applyFont="1"/>
    <xf borderId="3" fillId="6" fontId="6" numFmtId="0" xfId="0" applyAlignment="1" applyBorder="1" applyFont="1">
      <alignment horizontal="center"/>
    </xf>
    <xf borderId="3" fillId="6" fontId="9" numFmtId="165" xfId="0" applyAlignment="1" applyBorder="1" applyFont="1" applyNumberFormat="1">
      <alignment horizontal="center"/>
    </xf>
    <xf borderId="3" fillId="6" fontId="6" numFmtId="165" xfId="0" applyAlignment="1" applyBorder="1" applyFont="1" applyNumberFormat="1">
      <alignment horizontal="center"/>
    </xf>
    <xf borderId="3" fillId="6" fontId="9" numFmtId="3" xfId="0" applyBorder="1" applyFont="1" applyNumberFormat="1"/>
    <xf borderId="3" fillId="6" fontId="6" numFmtId="3" xfId="0" applyAlignment="1" applyBorder="1" applyFont="1" applyNumberFormat="1">
      <alignment horizontal="center"/>
    </xf>
    <xf borderId="3" fillId="8" fontId="4" numFmtId="3" xfId="0" applyAlignment="1" applyBorder="1" applyFont="1" applyNumberFormat="1">
      <alignment horizontal="left"/>
    </xf>
    <xf borderId="3" fillId="7" fontId="4" numFmtId="3" xfId="0" applyAlignment="1" applyBorder="1" applyFont="1" applyNumberFormat="1">
      <alignment horizontal="left"/>
    </xf>
    <xf borderId="0" fillId="0" fontId="4" numFmtId="0" xfId="0" applyFont="1"/>
    <xf borderId="3" fillId="8" fontId="4" numFmtId="3" xfId="0" applyAlignment="1" applyBorder="1" applyFont="1" applyNumberFormat="1">
      <alignment horizontal="center"/>
    </xf>
    <xf borderId="3" fillId="5" fontId="7" numFmtId="3" xfId="0" applyAlignment="1" applyBorder="1" applyFont="1" applyNumberFormat="1">
      <alignment horizontal="center"/>
    </xf>
    <xf borderId="3" fillId="8" fontId="10" numFmtId="3" xfId="0" applyAlignment="1" applyBorder="1" applyFont="1" applyNumberFormat="1">
      <alignment horizontal="center"/>
    </xf>
    <xf borderId="3" fillId="5" fontId="10" numFmtId="3" xfId="0" applyAlignment="1" applyBorder="1" applyFont="1" applyNumberFormat="1">
      <alignment horizontal="center"/>
    </xf>
    <xf borderId="3" fillId="8" fontId="4" numFmtId="164" xfId="0" applyAlignment="1" applyBorder="1" applyFont="1" applyNumberFormat="1">
      <alignment horizontal="center"/>
    </xf>
    <xf borderId="3" fillId="5" fontId="7" numFmtId="9" xfId="0" applyAlignment="1" applyBorder="1" applyFont="1" applyNumberFormat="1">
      <alignment horizontal="center"/>
    </xf>
    <xf borderId="0" fillId="6" fontId="9" numFmtId="3" xfId="0" applyAlignment="1" applyFont="1" applyNumberFormat="1">
      <alignment horizontal="left"/>
    </xf>
    <xf borderId="3" fillId="9" fontId="4" numFmtId="3" xfId="0" applyAlignment="1" applyBorder="1" applyFill="1" applyFont="1" applyNumberFormat="1">
      <alignment horizontal="center"/>
    </xf>
    <xf borderId="3" fillId="9" fontId="7" numFmtId="3" xfId="0" applyAlignment="1" applyBorder="1" applyFont="1" applyNumberFormat="1">
      <alignment horizontal="center"/>
    </xf>
    <xf borderId="3" fillId="9" fontId="10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shrinkToFit="0" vertical="center" wrapText="1"/>
    </xf>
    <xf borderId="0" fillId="0" fontId="12" numFmtId="3" xfId="0" applyAlignment="1" applyFont="1" applyNumberFormat="1">
      <alignment horizontal="center"/>
    </xf>
    <xf borderId="3" fillId="5" fontId="10" numFmtId="164" xfId="0" applyAlignment="1" applyBorder="1" applyFont="1" applyNumberFormat="1">
      <alignment horizontal="center"/>
    </xf>
    <xf borderId="0" fillId="9" fontId="1" numFmtId="0" xfId="0" applyFont="1"/>
    <xf borderId="0" fillId="8" fontId="4" numFmtId="3" xfId="0" applyAlignment="1" applyFont="1" applyNumberFormat="1">
      <alignment horizontal="left"/>
    </xf>
    <xf borderId="0" fillId="0" fontId="7" numFmtId="166" xfId="0" applyFont="1" applyNumberFormat="1"/>
    <xf borderId="0" fillId="0" fontId="12" numFmtId="3" xfId="0" applyAlignment="1" applyFont="1" applyNumberFormat="1">
      <alignment shrinkToFit="0" textRotation="90" vertical="center" wrapText="1"/>
    </xf>
    <xf borderId="0" fillId="0" fontId="12" numFmtId="166" xfId="0" applyAlignment="1" applyFont="1" applyNumberFormat="1">
      <alignment horizontal="center"/>
    </xf>
    <xf borderId="0" fillId="0" fontId="12" numFmtId="3" xfId="0" applyFont="1" applyNumberFormat="1"/>
    <xf borderId="3" fillId="8" fontId="7" numFmtId="3" xfId="0" applyAlignment="1" applyBorder="1" applyFont="1" applyNumberFormat="1">
      <alignment horizontal="left"/>
    </xf>
    <xf borderId="3" fillId="8" fontId="7" numFmtId="10" xfId="0" applyAlignment="1" applyBorder="1" applyFont="1" applyNumberFormat="1">
      <alignment horizontal="center"/>
    </xf>
    <xf borderId="3" fillId="5" fontId="10" numFmtId="10" xfId="0" applyAlignment="1" applyBorder="1" applyFont="1" applyNumberFormat="1">
      <alignment horizontal="center"/>
    </xf>
    <xf borderId="0" fillId="6" fontId="4" numFmtId="3" xfId="0" applyAlignment="1" applyFont="1" applyNumberFormat="1">
      <alignment horizontal="left"/>
    </xf>
    <xf borderId="0" fillId="0" fontId="12" numFmtId="0" xfId="0" applyFont="1"/>
    <xf borderId="3" fillId="7" fontId="5" numFmtId="3" xfId="0" applyAlignment="1" applyBorder="1" applyFont="1" applyNumberFormat="1">
      <alignment horizontal="left"/>
    </xf>
    <xf borderId="3" fillId="5" fontId="4" numFmtId="3" xfId="0" applyAlignment="1" applyBorder="1" applyFont="1" applyNumberFormat="1">
      <alignment horizontal="left"/>
    </xf>
    <xf borderId="3" fillId="5" fontId="4" numFmtId="9" xfId="0" applyAlignment="1" applyBorder="1" applyFont="1" applyNumberFormat="1">
      <alignment horizontal="left"/>
    </xf>
    <xf borderId="3" fillId="5" fontId="4" numFmtId="10" xfId="0" applyAlignment="1" applyBorder="1" applyFont="1" applyNumberFormat="1">
      <alignment horizontal="left"/>
    </xf>
    <xf borderId="3" fillId="8" fontId="4" numFmtId="10" xfId="0" applyAlignment="1" applyBorder="1" applyFont="1" applyNumberFormat="1">
      <alignment horizontal="left"/>
    </xf>
    <xf borderId="3" fillId="8" fontId="4" numFmtId="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57"/>
    <col customWidth="1" min="3" max="3" width="20.0"/>
    <col customWidth="1" min="4" max="4" width="19.29"/>
    <col customWidth="1" min="5" max="5" width="15.86"/>
    <col customWidth="1" min="6" max="6" width="25.29"/>
    <col customWidth="1" min="7" max="7" width="18.57"/>
    <col customWidth="1" min="8" max="8" width="22.71"/>
    <col customWidth="1" min="9" max="10" width="15.86"/>
    <col customWidth="1" min="11" max="16" width="16.0"/>
    <col customWidth="1" min="17" max="17" width="8.71"/>
    <col customWidth="1" min="18" max="18" width="13.29"/>
  </cols>
  <sheetData>
    <row r="1">
      <c r="E1" s="1" t="s">
        <v>0</v>
      </c>
    </row>
    <row r="2" ht="22.5" customHeight="1">
      <c r="B2" s="2" t="s">
        <v>1</v>
      </c>
      <c r="C2" s="3"/>
    </row>
    <row r="3">
      <c r="B3" s="4" t="s">
        <v>2</v>
      </c>
      <c r="C3" s="5">
        <v>33000.0</v>
      </c>
    </row>
    <row r="4">
      <c r="B4" s="4" t="s">
        <v>3</v>
      </c>
      <c r="C4" s="5">
        <f>C3/12</f>
        <v>2750</v>
      </c>
    </row>
    <row r="5">
      <c r="B5" s="4" t="s">
        <v>4</v>
      </c>
      <c r="C5" s="6">
        <f>(C3-C4)/11</f>
        <v>2750</v>
      </c>
      <c r="E5" s="7" t="s">
        <v>5</v>
      </c>
      <c r="F5" s="3"/>
      <c r="G5" s="3"/>
      <c r="H5" s="3"/>
      <c r="I5" s="3"/>
      <c r="J5" s="3"/>
      <c r="K5" s="3"/>
    </row>
    <row r="6">
      <c r="B6" s="4" t="s">
        <v>6</v>
      </c>
      <c r="C6" s="5">
        <v>4.0</v>
      </c>
      <c r="E6" s="8" t="s">
        <v>7</v>
      </c>
      <c r="F6" s="3"/>
      <c r="G6" s="3"/>
      <c r="H6" s="3"/>
      <c r="I6" s="3"/>
      <c r="J6" s="3"/>
      <c r="K6" s="9" t="s">
        <v>8</v>
      </c>
    </row>
    <row r="7">
      <c r="B7" s="4" t="s">
        <v>9</v>
      </c>
      <c r="C7" s="10">
        <f>C4</f>
        <v>2750</v>
      </c>
      <c r="E7" s="11" t="s">
        <v>10</v>
      </c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</row>
    <row r="8">
      <c r="B8" s="4" t="s">
        <v>17</v>
      </c>
      <c r="C8" s="12">
        <v>0.025</v>
      </c>
      <c r="E8" s="13">
        <f>C3/12*(1-C10)+(C3*(1-C11)*C10)</f>
        <v>6693.5</v>
      </c>
      <c r="F8" s="14">
        <f>$C$3/12*(1-C10)</f>
        <v>2337.5</v>
      </c>
      <c r="G8" s="14">
        <f t="shared" ref="G8:K8" si="1">$C$3/12*(1-$C$10)</f>
        <v>2337.5</v>
      </c>
      <c r="H8" s="14">
        <f t="shared" si="1"/>
        <v>2337.5</v>
      </c>
      <c r="I8" s="14">
        <f t="shared" si="1"/>
        <v>2337.5</v>
      </c>
      <c r="J8" s="14">
        <f t="shared" si="1"/>
        <v>2337.5</v>
      </c>
      <c r="K8" s="14">
        <f t="shared" si="1"/>
        <v>2337.5</v>
      </c>
    </row>
    <row r="9">
      <c r="B9" s="4" t="s">
        <v>18</v>
      </c>
      <c r="C9" s="15">
        <v>0.02</v>
      </c>
    </row>
    <row r="10">
      <c r="B10" s="4" t="s">
        <v>19</v>
      </c>
      <c r="C10" s="15">
        <v>0.15</v>
      </c>
    </row>
    <row r="11">
      <c r="B11" s="4" t="s">
        <v>20</v>
      </c>
      <c r="C11" s="15">
        <v>0.12</v>
      </c>
      <c r="E11" s="16" t="s">
        <v>21</v>
      </c>
      <c r="F11" s="3"/>
      <c r="G11" s="17">
        <v>40.0</v>
      </c>
      <c r="H11" s="17">
        <v>240.0</v>
      </c>
    </row>
    <row r="12">
      <c r="B12" s="4" t="s">
        <v>22</v>
      </c>
      <c r="C12" s="15">
        <v>0.2</v>
      </c>
      <c r="E12" s="18"/>
      <c r="F12" s="17" t="s">
        <v>23</v>
      </c>
      <c r="G12" s="17">
        <v>4000.0</v>
      </c>
      <c r="H12" s="17">
        <v>40.0</v>
      </c>
    </row>
    <row r="13" ht="15.75" customHeight="1">
      <c r="A13" s="19"/>
      <c r="B13" s="4" t="s">
        <v>24</v>
      </c>
      <c r="C13" s="15">
        <v>0.1</v>
      </c>
      <c r="D13" s="19"/>
      <c r="E13" s="20"/>
      <c r="F13" s="19" t="s">
        <v>25</v>
      </c>
      <c r="G13" s="19">
        <v>2000.0</v>
      </c>
      <c r="H13" s="19">
        <v>40.0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ht="15.75" customHeight="1">
      <c r="A14" s="19"/>
      <c r="B14" s="4" t="s">
        <v>26</v>
      </c>
      <c r="C14" s="18">
        <v>0.085</v>
      </c>
      <c r="D14" s="19"/>
      <c r="E14" s="19"/>
      <c r="F14" s="19"/>
      <c r="G14" s="19"/>
      <c r="H14" s="17">
        <v>40.0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ht="15.75" customHeight="1">
      <c r="A15" s="19"/>
      <c r="B15" s="4" t="s">
        <v>27</v>
      </c>
      <c r="C15" s="5">
        <v>1500.0</v>
      </c>
      <c r="D15" s="19"/>
      <c r="E15" s="19"/>
      <c r="F15" s="19"/>
      <c r="G15" s="19"/>
      <c r="H15" s="19">
        <f>SUM(H11:H14)</f>
        <v>360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ht="15.75" customHeight="1">
      <c r="A16" s="19"/>
      <c r="B16" s="4" t="s">
        <v>28</v>
      </c>
      <c r="C16" s="5">
        <v>2645.0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ht="15.75" customHeight="1">
      <c r="A17" s="19"/>
      <c r="B17" s="19"/>
      <c r="C17" s="2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ht="15.75" customHeight="1">
      <c r="A18" s="22"/>
      <c r="B18" s="23"/>
      <c r="C18" s="24" t="s">
        <v>29</v>
      </c>
      <c r="D18" s="25" t="s">
        <v>30</v>
      </c>
      <c r="E18" s="26">
        <v>1.0</v>
      </c>
      <c r="F18" s="26">
        <f t="shared" ref="F18:P18" si="2">E18+1</f>
        <v>2</v>
      </c>
      <c r="G18" s="26">
        <f t="shared" si="2"/>
        <v>3</v>
      </c>
      <c r="H18" s="26">
        <f t="shared" si="2"/>
        <v>4</v>
      </c>
      <c r="I18" s="26">
        <f t="shared" si="2"/>
        <v>5</v>
      </c>
      <c r="J18" s="26">
        <f t="shared" si="2"/>
        <v>6</v>
      </c>
      <c r="K18" s="26">
        <f t="shared" si="2"/>
        <v>7</v>
      </c>
      <c r="L18" s="26">
        <f t="shared" si="2"/>
        <v>8</v>
      </c>
      <c r="M18" s="26">
        <f t="shared" si="2"/>
        <v>9</v>
      </c>
      <c r="N18" s="26">
        <f t="shared" si="2"/>
        <v>10</v>
      </c>
      <c r="O18" s="26">
        <f t="shared" si="2"/>
        <v>11</v>
      </c>
      <c r="P18" s="26">
        <f t="shared" si="2"/>
        <v>12</v>
      </c>
      <c r="Q18" s="22"/>
      <c r="R18" s="22"/>
    </row>
    <row r="19" ht="15.75" customHeight="1">
      <c r="A19" s="22"/>
      <c r="B19" s="27" t="s">
        <v>31</v>
      </c>
      <c r="C19" s="28">
        <f>SUM(C22:C24)</f>
        <v>12601765.16</v>
      </c>
      <c r="D19" s="28">
        <f>SUM(D22:D33)</f>
        <v>-60000</v>
      </c>
      <c r="E19" s="28">
        <f>E22+E29+E32+E33+E26+E41+E31</f>
        <v>70067.47985</v>
      </c>
      <c r="F19" s="28">
        <f t="shared" ref="F19:P19" si="3">F22+F29+F32+F33+F26+F41</f>
        <v>143378.1689</v>
      </c>
      <c r="G19" s="28">
        <f t="shared" si="3"/>
        <v>277504.8349</v>
      </c>
      <c r="H19" s="28">
        <f t="shared" si="3"/>
        <v>365217.3017</v>
      </c>
      <c r="I19" s="28">
        <f t="shared" si="3"/>
        <v>542929.9052</v>
      </c>
      <c r="J19" s="28">
        <f t="shared" si="3"/>
        <v>672277.9805</v>
      </c>
      <c r="K19" s="28">
        <f t="shared" si="3"/>
        <v>892985.0174</v>
      </c>
      <c r="L19" s="28">
        <f t="shared" si="3"/>
        <v>1072548.151</v>
      </c>
      <c r="M19" s="28">
        <f t="shared" si="3"/>
        <v>1260690.735</v>
      </c>
      <c r="N19" s="28">
        <f t="shared" si="3"/>
        <v>1543274.705</v>
      </c>
      <c r="O19" s="28">
        <f t="shared" si="3"/>
        <v>1781935.397</v>
      </c>
      <c r="P19" s="28">
        <f t="shared" si="3"/>
        <v>1968483.168</v>
      </c>
      <c r="Q19" s="22"/>
      <c r="R19" s="22"/>
    </row>
    <row r="20" ht="15.75" customHeight="1">
      <c r="A20" s="19"/>
      <c r="B20" s="29" t="s">
        <v>32</v>
      </c>
      <c r="C20" s="20">
        <f t="shared" ref="C20:C26" si="5">SUM(D20:P20)</f>
        <v>787.6679083</v>
      </c>
      <c r="D20" s="20">
        <v>0.0</v>
      </c>
      <c r="E20" s="20">
        <f t="shared" ref="E20:P20" si="4">E23+E25+E24</f>
        <v>20.7495</v>
      </c>
      <c r="F20" s="20">
        <f t="shared" si="4"/>
        <v>24.18690833</v>
      </c>
      <c r="G20" s="20">
        <f t="shared" si="4"/>
        <v>39.499</v>
      </c>
      <c r="H20" s="20">
        <f t="shared" si="4"/>
        <v>39.499</v>
      </c>
      <c r="I20" s="20">
        <f t="shared" si="4"/>
        <v>58.2485</v>
      </c>
      <c r="J20" s="20">
        <f t="shared" si="4"/>
        <v>58.2485</v>
      </c>
      <c r="K20" s="20">
        <f t="shared" si="4"/>
        <v>77.998</v>
      </c>
      <c r="L20" s="20">
        <f t="shared" si="4"/>
        <v>78.998</v>
      </c>
      <c r="M20" s="20">
        <f t="shared" si="4"/>
        <v>80.998</v>
      </c>
      <c r="N20" s="20">
        <f t="shared" si="4"/>
        <v>101.7475</v>
      </c>
      <c r="O20" s="20">
        <f t="shared" si="4"/>
        <v>103.7475</v>
      </c>
      <c r="P20" s="20">
        <f t="shared" si="4"/>
        <v>103.7475</v>
      </c>
      <c r="Q20" s="19"/>
      <c r="R20" s="19"/>
    </row>
    <row r="21" ht="15.75" customHeight="1">
      <c r="A21" s="19"/>
      <c r="B21" s="29" t="s">
        <v>33</v>
      </c>
      <c r="C21" s="20">
        <f t="shared" si="5"/>
        <v>25993040.98</v>
      </c>
      <c r="D21" s="20">
        <v>0.0</v>
      </c>
      <c r="E21" s="20">
        <f t="shared" ref="E21:P21" si="6">$C$3*E20</f>
        <v>684733.5</v>
      </c>
      <c r="F21" s="20">
        <f t="shared" si="6"/>
        <v>798167.975</v>
      </c>
      <c r="G21" s="20">
        <f t="shared" si="6"/>
        <v>1303467</v>
      </c>
      <c r="H21" s="20">
        <f t="shared" si="6"/>
        <v>1303467</v>
      </c>
      <c r="I21" s="20">
        <f t="shared" si="6"/>
        <v>1922200.5</v>
      </c>
      <c r="J21" s="20">
        <f t="shared" si="6"/>
        <v>1922200.5</v>
      </c>
      <c r="K21" s="20">
        <f t="shared" si="6"/>
        <v>2573934</v>
      </c>
      <c r="L21" s="20">
        <f t="shared" si="6"/>
        <v>2606934</v>
      </c>
      <c r="M21" s="20">
        <f t="shared" si="6"/>
        <v>2672934</v>
      </c>
      <c r="N21" s="20">
        <f t="shared" si="6"/>
        <v>3357667.5</v>
      </c>
      <c r="O21" s="20">
        <f t="shared" si="6"/>
        <v>3423667.5</v>
      </c>
      <c r="P21" s="20">
        <f t="shared" si="6"/>
        <v>3423667.5</v>
      </c>
      <c r="Q21" s="19"/>
      <c r="R21" s="19"/>
    </row>
    <row r="22" ht="15.75" customHeight="1">
      <c r="A22" s="19"/>
      <c r="B22" s="30" t="s">
        <v>34</v>
      </c>
      <c r="C22" s="9">
        <f t="shared" si="5"/>
        <v>12601030.49</v>
      </c>
      <c r="D22" s="9">
        <v>0.0</v>
      </c>
      <c r="E22" s="9">
        <f>$E$8*E20</f>
        <v>138886.7783</v>
      </c>
      <c r="F22" s="9">
        <f>$E$8*F20+(E20*F8)</f>
        <v>210397.0272</v>
      </c>
      <c r="G22" s="9">
        <f>$E$8*G20+(F20*F8)+(E20*G8)</f>
        <v>369425.411</v>
      </c>
      <c r="H22" s="9">
        <f>$E$8*H20+(G20*F8)+(F20*G8)+(E20*H8)</f>
        <v>461754.3235</v>
      </c>
      <c r="I22" s="9">
        <f>$E$8*I20+(H20*I8)+(G20*F8)+(F20*G8)+(E20*H8)</f>
        <v>679583.0142</v>
      </c>
      <c r="J22" s="9">
        <f>$E$8*J20+(I20*J8)+(H20*I8)+(G20*F8)+(F20*G8)+(E20*H8)</f>
        <v>815738.883</v>
      </c>
      <c r="K22" s="9">
        <f>$E$8*K20+(J20*H8)+(I20*J8)+(H20*I8)+(G20*F8)+(F20*G8)+(E20*H8)</f>
        <v>1084088.03</v>
      </c>
      <c r="L22" s="9">
        <f>$E$8*L20+(K20*H8)+(J20*J8)+(I20*I8)+(H20*F8)+(G20*G8)+(F20*H8)+(E20*K8)</f>
        <v>1273101.855</v>
      </c>
      <c r="M22" s="9">
        <f>$E$8*M20+(L20*H8)+(K20*J8)+(J20*I8)+(I20*F8)+(H20*G8)+(G20*H8)+(F20*K8)+E20*K8</f>
        <v>1471146.68</v>
      </c>
      <c r="N22" s="9">
        <f>$E$8*N20+(M20*H8)+(L20*J8)+(K20*I8)+(J20*F8)+(I20*G8)+(H20*H8)+(G20*K8)+F20*K8+E20*K8</f>
        <v>1799366.283</v>
      </c>
      <c r="O22" s="9">
        <f>$E$8*O20+(N20*H8)+(M20*J8)+(L20*I8)+(K20*F8)+(J20*G8)+(I20*H8)+(H20*K8)+G20*K8+F20*K8+E20*K8</f>
        <v>2050588.064</v>
      </c>
      <c r="P22" s="9">
        <f>$E$8*P20+(O20*H8)+(N20*J8)+(M20*I8)+(L20*F8)+(K20*G8)+(J20*H8)+(I20*K8)+H20*K8+G20*K8+F20*K8+E20+K8</f>
        <v>2246954.139</v>
      </c>
      <c r="Q22" s="19"/>
      <c r="R22" s="19"/>
    </row>
    <row r="23" ht="15.75" customHeight="1">
      <c r="A23" s="31"/>
      <c r="B23" s="29" t="s">
        <v>35</v>
      </c>
      <c r="C23" s="32">
        <f t="shared" si="5"/>
        <v>619.0459917</v>
      </c>
      <c r="D23" s="32"/>
      <c r="E23" s="32">
        <f t="shared" ref="E23:P23" si="7">-(E26/E27)</f>
        <v>18.7495</v>
      </c>
      <c r="F23" s="32">
        <f t="shared" si="7"/>
        <v>22.18690833</v>
      </c>
      <c r="G23" s="32">
        <f t="shared" si="7"/>
        <v>31.24916667</v>
      </c>
      <c r="H23" s="32">
        <f t="shared" si="7"/>
        <v>31.24916667</v>
      </c>
      <c r="I23" s="32">
        <f t="shared" si="7"/>
        <v>46.87375</v>
      </c>
      <c r="J23" s="32">
        <f t="shared" si="7"/>
        <v>46.87375</v>
      </c>
      <c r="K23" s="32">
        <f t="shared" si="7"/>
        <v>62.49833333</v>
      </c>
      <c r="L23" s="32">
        <f t="shared" si="7"/>
        <v>62.49833333</v>
      </c>
      <c r="M23" s="32">
        <f t="shared" si="7"/>
        <v>62.49833333</v>
      </c>
      <c r="N23" s="32">
        <f t="shared" si="7"/>
        <v>78.12291667</v>
      </c>
      <c r="O23" s="32">
        <f t="shared" si="7"/>
        <v>78.12291667</v>
      </c>
      <c r="P23" s="32">
        <f t="shared" si="7"/>
        <v>78.12291667</v>
      </c>
      <c r="Q23" s="31"/>
      <c r="R23" s="31"/>
    </row>
    <row r="24" ht="15.75" customHeight="1">
      <c r="A24" s="19"/>
      <c r="B24" s="29" t="s">
        <v>36</v>
      </c>
      <c r="C24" s="32">
        <f t="shared" si="5"/>
        <v>115.6219167</v>
      </c>
      <c r="D24" s="20">
        <v>0.0</v>
      </c>
      <c r="E24" s="20">
        <v>0.0</v>
      </c>
      <c r="F24" s="20">
        <v>0.0</v>
      </c>
      <c r="G24" s="20">
        <f t="shared" ref="G24:P24" si="8">-(G26/G27)*($C$12)</f>
        <v>6.249833333</v>
      </c>
      <c r="H24" s="20">
        <f t="shared" si="8"/>
        <v>6.249833333</v>
      </c>
      <c r="I24" s="20">
        <f t="shared" si="8"/>
        <v>9.37475</v>
      </c>
      <c r="J24" s="20">
        <f t="shared" si="8"/>
        <v>9.37475</v>
      </c>
      <c r="K24" s="20">
        <f t="shared" si="8"/>
        <v>12.49966667</v>
      </c>
      <c r="L24" s="20">
        <f t="shared" si="8"/>
        <v>12.49966667</v>
      </c>
      <c r="M24" s="20">
        <f t="shared" si="8"/>
        <v>12.49966667</v>
      </c>
      <c r="N24" s="20">
        <f t="shared" si="8"/>
        <v>15.62458333</v>
      </c>
      <c r="O24" s="20">
        <f t="shared" si="8"/>
        <v>15.62458333</v>
      </c>
      <c r="P24" s="20">
        <f t="shared" si="8"/>
        <v>15.62458333</v>
      </c>
      <c r="Q24" s="19"/>
      <c r="R24" s="19"/>
    </row>
    <row r="25" ht="15.75" customHeight="1">
      <c r="A25" s="19"/>
      <c r="B25" s="29" t="s">
        <v>37</v>
      </c>
      <c r="C25" s="32">
        <f t="shared" si="5"/>
        <v>53</v>
      </c>
      <c r="D25" s="20">
        <v>0.0</v>
      </c>
      <c r="E25" s="33">
        <v>2.0</v>
      </c>
      <c r="F25" s="33">
        <v>2.0</v>
      </c>
      <c r="G25" s="33">
        <v>2.0</v>
      </c>
      <c r="H25" s="33">
        <v>2.0</v>
      </c>
      <c r="I25" s="33">
        <v>2.0</v>
      </c>
      <c r="J25" s="33">
        <v>2.0</v>
      </c>
      <c r="K25" s="33">
        <v>3.0</v>
      </c>
      <c r="L25" s="33">
        <v>4.0</v>
      </c>
      <c r="M25" s="33">
        <v>6.0</v>
      </c>
      <c r="N25" s="33">
        <v>8.0</v>
      </c>
      <c r="O25" s="33">
        <v>10.0</v>
      </c>
      <c r="P25" s="33">
        <v>10.0</v>
      </c>
      <c r="Q25" s="19"/>
      <c r="R25" s="19"/>
    </row>
    <row r="26" ht="15.75" customHeight="1">
      <c r="A26" s="19"/>
      <c r="B26" s="29" t="s">
        <v>38</v>
      </c>
      <c r="C26" s="34">
        <f t="shared" si="5"/>
        <v>-990500</v>
      </c>
      <c r="D26" s="20">
        <v>0.0</v>
      </c>
      <c r="E26" s="35">
        <v>-30000.0</v>
      </c>
      <c r="F26" s="35">
        <v>-35500.0</v>
      </c>
      <c r="G26" s="35">
        <v>-50000.0</v>
      </c>
      <c r="H26" s="35">
        <v>-50000.0</v>
      </c>
      <c r="I26" s="35">
        <v>-75000.0</v>
      </c>
      <c r="J26" s="35">
        <v>-75000.0</v>
      </c>
      <c r="K26" s="35">
        <v>-100000.0</v>
      </c>
      <c r="L26" s="35">
        <v>-100000.0</v>
      </c>
      <c r="M26" s="35">
        <v>-100000.0</v>
      </c>
      <c r="N26" s="35">
        <v>-125000.0</v>
      </c>
      <c r="O26" s="35">
        <v>-125000.0</v>
      </c>
      <c r="P26" s="35">
        <v>-125000.0</v>
      </c>
      <c r="Q26" s="19"/>
      <c r="R26" s="19"/>
    </row>
    <row r="27" ht="15.75" customHeight="1">
      <c r="A27" s="19"/>
      <c r="B27" s="29" t="s">
        <v>39</v>
      </c>
      <c r="C27" s="32" t="s">
        <v>40</v>
      </c>
      <c r="D27" s="20">
        <v>0.0</v>
      </c>
      <c r="E27" s="36">
        <f t="shared" ref="E27:P27" si="9">$C$85</f>
        <v>1600.042668</v>
      </c>
      <c r="F27" s="36">
        <f t="shared" si="9"/>
        <v>1600.042668</v>
      </c>
      <c r="G27" s="36">
        <f t="shared" si="9"/>
        <v>1600.042668</v>
      </c>
      <c r="H27" s="36">
        <f t="shared" si="9"/>
        <v>1600.042668</v>
      </c>
      <c r="I27" s="36">
        <f t="shared" si="9"/>
        <v>1600.042668</v>
      </c>
      <c r="J27" s="36">
        <f t="shared" si="9"/>
        <v>1600.042668</v>
      </c>
      <c r="K27" s="36">
        <f t="shared" si="9"/>
        <v>1600.042668</v>
      </c>
      <c r="L27" s="36">
        <f t="shared" si="9"/>
        <v>1600.042668</v>
      </c>
      <c r="M27" s="36">
        <f t="shared" si="9"/>
        <v>1600.042668</v>
      </c>
      <c r="N27" s="36">
        <f t="shared" si="9"/>
        <v>1600.042668</v>
      </c>
      <c r="O27" s="36">
        <f t="shared" si="9"/>
        <v>1600.042668</v>
      </c>
      <c r="P27" s="36">
        <f t="shared" si="9"/>
        <v>1600.042668</v>
      </c>
      <c r="Q27" s="19"/>
      <c r="R27" s="19"/>
    </row>
    <row r="28" ht="15.75" customHeight="1">
      <c r="A28" s="19"/>
      <c r="B28" s="29" t="s">
        <v>41</v>
      </c>
      <c r="C28" s="32" t="s">
        <v>40</v>
      </c>
      <c r="D28" s="20">
        <v>0.0</v>
      </c>
      <c r="E28" s="37">
        <v>0.05</v>
      </c>
      <c r="F28" s="37">
        <v>0.05</v>
      </c>
      <c r="G28" s="37">
        <v>0.05</v>
      </c>
      <c r="H28" s="37">
        <v>0.05</v>
      </c>
      <c r="I28" s="37">
        <v>0.05</v>
      </c>
      <c r="J28" s="37">
        <v>0.05</v>
      </c>
      <c r="K28" s="37">
        <v>0.05</v>
      </c>
      <c r="L28" s="37">
        <v>0.05</v>
      </c>
      <c r="M28" s="37">
        <v>0.05</v>
      </c>
      <c r="N28" s="37">
        <v>0.05</v>
      </c>
      <c r="O28" s="37">
        <v>0.05</v>
      </c>
      <c r="P28" s="37">
        <v>0.05</v>
      </c>
      <c r="Q28" s="19"/>
      <c r="R28" s="19"/>
    </row>
    <row r="29" ht="15.75" customHeight="1">
      <c r="A29" s="19"/>
      <c r="B29" s="29" t="s">
        <v>42</v>
      </c>
      <c r="C29" s="34">
        <f>SUM(D29:P29)</f>
        <v>-630051.5244</v>
      </c>
      <c r="D29" s="34">
        <f>-(D21*D28*($C$6/6)*(1-$C$9*2)*(1-$C$10)+(D21*D28*$C$10))</f>
        <v>0</v>
      </c>
      <c r="E29" s="34">
        <f t="shared" ref="E29:P29" si="10">-(E22*E28)</f>
        <v>-6944.338913</v>
      </c>
      <c r="F29" s="34">
        <f t="shared" si="10"/>
        <v>-10519.85136</v>
      </c>
      <c r="G29" s="34">
        <f t="shared" si="10"/>
        <v>-18471.27055</v>
      </c>
      <c r="H29" s="34">
        <f t="shared" si="10"/>
        <v>-23087.71617</v>
      </c>
      <c r="I29" s="34">
        <f t="shared" si="10"/>
        <v>-33979.15071</v>
      </c>
      <c r="J29" s="34">
        <f t="shared" si="10"/>
        <v>-40786.94415</v>
      </c>
      <c r="K29" s="34">
        <f t="shared" si="10"/>
        <v>-54204.4015</v>
      </c>
      <c r="L29" s="34">
        <f t="shared" si="10"/>
        <v>-63655.09275</v>
      </c>
      <c r="M29" s="34">
        <f t="shared" si="10"/>
        <v>-73557.334</v>
      </c>
      <c r="N29" s="34">
        <f t="shared" si="10"/>
        <v>-89968.31416</v>
      </c>
      <c r="O29" s="34">
        <f t="shared" si="10"/>
        <v>-102529.4032</v>
      </c>
      <c r="P29" s="34">
        <f t="shared" si="10"/>
        <v>-112347.7069</v>
      </c>
      <c r="Q29" s="19"/>
      <c r="R29" s="19"/>
    </row>
    <row r="30" ht="15.75" customHeight="1">
      <c r="A30" s="19"/>
      <c r="B30" s="38" t="s">
        <v>43</v>
      </c>
      <c r="C30" s="39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19"/>
      <c r="R30" s="19"/>
    </row>
    <row r="31" ht="15.75" customHeight="1">
      <c r="A31" s="19"/>
      <c r="B31" s="29" t="s">
        <v>44</v>
      </c>
      <c r="C31" s="34">
        <f t="shared" ref="C31:C32" si="12">SUM(D31:P31)</f>
        <v>-1071087.592</v>
      </c>
      <c r="D31" s="34">
        <v>0.0</v>
      </c>
      <c r="E31" s="34">
        <f t="shared" ref="E31:P31" si="11">-(E22*$C$14)</f>
        <v>-11805.37615</v>
      </c>
      <c r="F31" s="34">
        <f t="shared" si="11"/>
        <v>-17883.74731</v>
      </c>
      <c r="G31" s="34">
        <f t="shared" si="11"/>
        <v>-31401.15993</v>
      </c>
      <c r="H31" s="34">
        <f t="shared" si="11"/>
        <v>-39249.1175</v>
      </c>
      <c r="I31" s="34">
        <f t="shared" si="11"/>
        <v>-57764.55621</v>
      </c>
      <c r="J31" s="34">
        <f t="shared" si="11"/>
        <v>-69337.80505</v>
      </c>
      <c r="K31" s="34">
        <f t="shared" si="11"/>
        <v>-92147.48255</v>
      </c>
      <c r="L31" s="34">
        <f t="shared" si="11"/>
        <v>-108213.6577</v>
      </c>
      <c r="M31" s="34">
        <f t="shared" si="11"/>
        <v>-125047.4678</v>
      </c>
      <c r="N31" s="34">
        <f t="shared" si="11"/>
        <v>-152946.1341</v>
      </c>
      <c r="O31" s="34">
        <f t="shared" si="11"/>
        <v>-174299.9855</v>
      </c>
      <c r="P31" s="34">
        <f t="shared" si="11"/>
        <v>-190991.1018</v>
      </c>
      <c r="Q31" s="19"/>
      <c r="R31" s="19"/>
    </row>
    <row r="32" ht="15.75" customHeight="1">
      <c r="A32" s="19"/>
      <c r="B32" s="29" t="s">
        <v>45</v>
      </c>
      <c r="C32" s="34">
        <f t="shared" si="12"/>
        <v>-180000</v>
      </c>
      <c r="D32" s="34">
        <v>0.0</v>
      </c>
      <c r="E32" s="35">
        <v>-15000.0</v>
      </c>
      <c r="F32" s="35">
        <v>-15000.0</v>
      </c>
      <c r="G32" s="35">
        <v>-15000.0</v>
      </c>
      <c r="H32" s="35">
        <v>-15000.0</v>
      </c>
      <c r="I32" s="35">
        <v>-15000.0</v>
      </c>
      <c r="J32" s="35">
        <v>-15000.0</v>
      </c>
      <c r="K32" s="35">
        <v>-15000.0</v>
      </c>
      <c r="L32" s="35">
        <v>-15000.0</v>
      </c>
      <c r="M32" s="35">
        <v>-15000.0</v>
      </c>
      <c r="N32" s="35">
        <v>-15000.0</v>
      </c>
      <c r="O32" s="35">
        <v>-15000.0</v>
      </c>
      <c r="P32" s="35">
        <v>-15000.0</v>
      </c>
      <c r="Q32" s="19"/>
      <c r="R32" s="19"/>
    </row>
    <row r="33" ht="15.75" customHeight="1">
      <c r="A33" s="19"/>
      <c r="B33" s="29" t="s">
        <v>46</v>
      </c>
      <c r="C33" s="34">
        <v>-60000.0</v>
      </c>
      <c r="D33" s="34">
        <v>-60000.0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</row>
    <row r="34" ht="15.75" customHeight="1">
      <c r="A34" s="19"/>
      <c r="B34" s="19"/>
      <c r="C34" s="19"/>
      <c r="D34" s="19"/>
      <c r="E34" s="19"/>
      <c r="F34" s="19"/>
      <c r="G34" s="42"/>
      <c r="H34" s="42"/>
      <c r="I34" s="43"/>
      <c r="J34" s="43"/>
    </row>
    <row r="35" ht="14.25" customHeight="1">
      <c r="A35" s="19"/>
      <c r="B35" s="38" t="s">
        <v>47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ht="15.75" customHeight="1">
      <c r="A36" s="19"/>
      <c r="B36" s="29" t="s">
        <v>48</v>
      </c>
      <c r="C36" s="20" t="s">
        <v>49</v>
      </c>
      <c r="D36" s="20">
        <f>E36</f>
        <v>1.916666667</v>
      </c>
      <c r="E36" s="20">
        <f t="shared" ref="E36:P36" si="13">-($C$83/$C$82*E26/$C$54)</f>
        <v>1.916666667</v>
      </c>
      <c r="F36" s="20">
        <f t="shared" si="13"/>
        <v>2.268055556</v>
      </c>
      <c r="G36" s="20">
        <f t="shared" si="13"/>
        <v>3.194444444</v>
      </c>
      <c r="H36" s="20">
        <f t="shared" si="13"/>
        <v>3.194444444</v>
      </c>
      <c r="I36" s="20">
        <f t="shared" si="13"/>
        <v>4.791666667</v>
      </c>
      <c r="J36" s="20">
        <f t="shared" si="13"/>
        <v>4.791666667</v>
      </c>
      <c r="K36" s="20">
        <f t="shared" si="13"/>
        <v>6.388888889</v>
      </c>
      <c r="L36" s="20">
        <f t="shared" si="13"/>
        <v>6.388888889</v>
      </c>
      <c r="M36" s="20">
        <f t="shared" si="13"/>
        <v>6.388888889</v>
      </c>
      <c r="N36" s="20">
        <f t="shared" si="13"/>
        <v>7.986111111</v>
      </c>
      <c r="O36" s="20">
        <f t="shared" si="13"/>
        <v>7.986111111</v>
      </c>
      <c r="P36" s="20">
        <f t="shared" si="13"/>
        <v>7.986111111</v>
      </c>
    </row>
    <row r="37" ht="15.75" customHeight="1">
      <c r="A37" s="19"/>
      <c r="B37" s="29" t="s">
        <v>50</v>
      </c>
      <c r="C37" s="34">
        <f>SUM(D37:P37)</f>
        <v>-172450.3264</v>
      </c>
      <c r="D37" s="34">
        <f t="shared" ref="D37:P37" si="14">-(D36*$C$16)</f>
        <v>-5069.583333</v>
      </c>
      <c r="E37" s="34">
        <f t="shared" si="14"/>
        <v>-5069.583333</v>
      </c>
      <c r="F37" s="34">
        <f t="shared" si="14"/>
        <v>-5999.006944</v>
      </c>
      <c r="G37" s="34">
        <f t="shared" si="14"/>
        <v>-8449.305556</v>
      </c>
      <c r="H37" s="34">
        <f t="shared" si="14"/>
        <v>-8449.305556</v>
      </c>
      <c r="I37" s="34">
        <f t="shared" si="14"/>
        <v>-12673.95833</v>
      </c>
      <c r="J37" s="34">
        <f t="shared" si="14"/>
        <v>-12673.95833</v>
      </c>
      <c r="K37" s="34">
        <f t="shared" si="14"/>
        <v>-16898.61111</v>
      </c>
      <c r="L37" s="34">
        <f t="shared" si="14"/>
        <v>-16898.61111</v>
      </c>
      <c r="M37" s="34">
        <f t="shared" si="14"/>
        <v>-16898.61111</v>
      </c>
      <c r="N37" s="34">
        <f t="shared" si="14"/>
        <v>-21123.26389</v>
      </c>
      <c r="O37" s="34">
        <f t="shared" si="14"/>
        <v>-21123.26389</v>
      </c>
      <c r="P37" s="34">
        <f t="shared" si="14"/>
        <v>-21123.26389</v>
      </c>
    </row>
    <row r="38" ht="15.75" customHeight="1">
      <c r="A38" s="19"/>
      <c r="B38" s="29" t="s">
        <v>51</v>
      </c>
      <c r="C38" s="20" t="s">
        <v>49</v>
      </c>
      <c r="D38" s="20">
        <f t="shared" ref="D38:P38" si="15">D36</f>
        <v>1.916666667</v>
      </c>
      <c r="E38" s="20">
        <f t="shared" si="15"/>
        <v>1.916666667</v>
      </c>
      <c r="F38" s="20">
        <f t="shared" si="15"/>
        <v>2.268055556</v>
      </c>
      <c r="G38" s="20">
        <f t="shared" si="15"/>
        <v>3.194444444</v>
      </c>
      <c r="H38" s="20">
        <f t="shared" si="15"/>
        <v>3.194444444</v>
      </c>
      <c r="I38" s="20">
        <f t="shared" si="15"/>
        <v>4.791666667</v>
      </c>
      <c r="J38" s="20">
        <f t="shared" si="15"/>
        <v>4.791666667</v>
      </c>
      <c r="K38" s="20">
        <f t="shared" si="15"/>
        <v>6.388888889</v>
      </c>
      <c r="L38" s="20">
        <f t="shared" si="15"/>
        <v>6.388888889</v>
      </c>
      <c r="M38" s="20">
        <f t="shared" si="15"/>
        <v>6.388888889</v>
      </c>
      <c r="N38" s="20">
        <f t="shared" si="15"/>
        <v>7.986111111</v>
      </c>
      <c r="O38" s="20">
        <f t="shared" si="15"/>
        <v>7.986111111</v>
      </c>
      <c r="P38" s="20">
        <f t="shared" si="15"/>
        <v>7.986111111</v>
      </c>
    </row>
    <row r="39" ht="15.75" customHeight="1">
      <c r="A39" s="19"/>
      <c r="B39" s="29" t="s">
        <v>52</v>
      </c>
      <c r="C39" s="34">
        <f t="shared" ref="C39:C43" si="16">SUM(D39:P39)</f>
        <v>-16000</v>
      </c>
      <c r="D39" s="44">
        <v>-4000.0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-2000.0</v>
      </c>
      <c r="L39" s="44">
        <v>-2000.0</v>
      </c>
      <c r="M39" s="44">
        <v>-2000.0</v>
      </c>
      <c r="N39" s="44">
        <v>-2000.0</v>
      </c>
      <c r="O39" s="44">
        <v>-2000.0</v>
      </c>
      <c r="P39" s="44">
        <v>-2000.0</v>
      </c>
    </row>
    <row r="40" ht="15.75" customHeight="1">
      <c r="A40" s="19"/>
      <c r="B40" s="29" t="s">
        <v>53</v>
      </c>
      <c r="C40" s="34">
        <f t="shared" si="16"/>
        <v>-30000</v>
      </c>
      <c r="D40" s="44">
        <v>-12000.0</v>
      </c>
      <c r="E40" s="44">
        <v>0.0</v>
      </c>
      <c r="F40" s="44">
        <v>0.0</v>
      </c>
      <c r="G40" s="44">
        <v>0.0</v>
      </c>
      <c r="H40" s="44">
        <v>0.0</v>
      </c>
      <c r="I40" s="44">
        <v>0.0</v>
      </c>
      <c r="J40" s="44">
        <v>0.0</v>
      </c>
      <c r="K40" s="44">
        <v>-3000.0</v>
      </c>
      <c r="L40" s="44">
        <v>-3000.0</v>
      </c>
      <c r="M40" s="44">
        <v>-3000.0</v>
      </c>
      <c r="N40" s="44">
        <v>-3000.0</v>
      </c>
      <c r="O40" s="44">
        <v>-3000.0</v>
      </c>
      <c r="P40" s="44">
        <v>-3000.0</v>
      </c>
      <c r="R40" s="45"/>
    </row>
    <row r="41" ht="15.75" customHeight="1">
      <c r="A41" s="19"/>
      <c r="B41" s="29" t="s">
        <v>54</v>
      </c>
      <c r="C41" s="34">
        <f t="shared" si="16"/>
        <v>-218450.3264</v>
      </c>
      <c r="D41" s="34">
        <f t="shared" ref="D41:P41" si="17">D37+D39+D40</f>
        <v>-21069.58333</v>
      </c>
      <c r="E41" s="34">
        <f t="shared" si="17"/>
        <v>-5069.583333</v>
      </c>
      <c r="F41" s="34">
        <f t="shared" si="17"/>
        <v>-5999.006944</v>
      </c>
      <c r="G41" s="34">
        <f t="shared" si="17"/>
        <v>-8449.305556</v>
      </c>
      <c r="H41" s="34">
        <f t="shared" si="17"/>
        <v>-8449.305556</v>
      </c>
      <c r="I41" s="34">
        <f t="shared" si="17"/>
        <v>-12673.95833</v>
      </c>
      <c r="J41" s="34">
        <f t="shared" si="17"/>
        <v>-12673.95833</v>
      </c>
      <c r="K41" s="34">
        <f t="shared" si="17"/>
        <v>-21898.61111</v>
      </c>
      <c r="L41" s="34">
        <f t="shared" si="17"/>
        <v>-21898.61111</v>
      </c>
      <c r="M41" s="34">
        <f t="shared" si="17"/>
        <v>-21898.61111</v>
      </c>
      <c r="N41" s="34">
        <f t="shared" si="17"/>
        <v>-26123.26389</v>
      </c>
      <c r="O41" s="34">
        <f t="shared" si="17"/>
        <v>-26123.26389</v>
      </c>
      <c r="P41" s="34">
        <f t="shared" si="17"/>
        <v>-26123.26389</v>
      </c>
      <c r="R41" s="45"/>
    </row>
    <row r="42" ht="15.75" customHeight="1">
      <c r="A42" s="19"/>
      <c r="B42" s="29" t="s">
        <v>55</v>
      </c>
      <c r="C42" s="34">
        <f t="shared" si="16"/>
        <v>-6500</v>
      </c>
      <c r="D42" s="34">
        <v>-500.0</v>
      </c>
      <c r="E42" s="34">
        <v>-500.0</v>
      </c>
      <c r="F42" s="34">
        <v>-500.0</v>
      </c>
      <c r="G42" s="34">
        <v>-500.0</v>
      </c>
      <c r="H42" s="34">
        <v>-500.0</v>
      </c>
      <c r="I42" s="34">
        <v>-500.0</v>
      </c>
      <c r="J42" s="34">
        <v>-500.0</v>
      </c>
      <c r="K42" s="34">
        <v>-500.0</v>
      </c>
      <c r="L42" s="34">
        <v>-500.0</v>
      </c>
      <c r="M42" s="34">
        <v>-500.0</v>
      </c>
      <c r="N42" s="34">
        <v>-500.0</v>
      </c>
      <c r="O42" s="34">
        <v>-500.0</v>
      </c>
      <c r="P42" s="34">
        <v>-500.0</v>
      </c>
      <c r="R42" s="45"/>
    </row>
    <row r="43" ht="15.75" customHeight="1">
      <c r="A43" s="19"/>
      <c r="B43" s="46" t="s">
        <v>56</v>
      </c>
      <c r="C43" s="34">
        <f t="shared" si="16"/>
        <v>-4889.895833</v>
      </c>
      <c r="D43" s="34">
        <f t="shared" ref="D43:P43" si="18">-(D36*75)</f>
        <v>-143.75</v>
      </c>
      <c r="E43" s="34">
        <f t="shared" si="18"/>
        <v>-143.75</v>
      </c>
      <c r="F43" s="34">
        <f t="shared" si="18"/>
        <v>-170.1041667</v>
      </c>
      <c r="G43" s="34">
        <f t="shared" si="18"/>
        <v>-239.5833333</v>
      </c>
      <c r="H43" s="34">
        <f t="shared" si="18"/>
        <v>-239.5833333</v>
      </c>
      <c r="I43" s="34">
        <f t="shared" si="18"/>
        <v>-359.375</v>
      </c>
      <c r="J43" s="34">
        <f t="shared" si="18"/>
        <v>-359.375</v>
      </c>
      <c r="K43" s="34">
        <f t="shared" si="18"/>
        <v>-479.1666667</v>
      </c>
      <c r="L43" s="34">
        <f t="shared" si="18"/>
        <v>-479.1666667</v>
      </c>
      <c r="M43" s="34">
        <f t="shared" si="18"/>
        <v>-479.1666667</v>
      </c>
      <c r="N43" s="34">
        <f t="shared" si="18"/>
        <v>-598.9583333</v>
      </c>
      <c r="O43" s="34">
        <f t="shared" si="18"/>
        <v>-598.9583333</v>
      </c>
      <c r="P43" s="34">
        <f t="shared" si="18"/>
        <v>-598.9583333</v>
      </c>
      <c r="R43" s="45"/>
    </row>
    <row r="44" ht="15.75" customHeight="1">
      <c r="A44" s="19"/>
      <c r="B44" s="19"/>
      <c r="C44" s="47"/>
      <c r="D44" s="19"/>
      <c r="E44" s="19"/>
      <c r="F44" s="19"/>
      <c r="G44" s="48"/>
      <c r="H44" s="49"/>
      <c r="I44" s="50"/>
      <c r="J44" s="50"/>
      <c r="R44" s="45"/>
    </row>
    <row r="45" ht="15.75" customHeight="1">
      <c r="A45" s="19"/>
      <c r="B45" s="38" t="s">
        <v>57</v>
      </c>
      <c r="C45" s="47"/>
      <c r="D45" s="19"/>
      <c r="E45" s="19"/>
      <c r="F45" s="19"/>
      <c r="G45" s="48"/>
      <c r="H45" s="49"/>
      <c r="I45" s="50"/>
      <c r="J45" s="50"/>
      <c r="R45" s="45"/>
    </row>
    <row r="46" ht="15.75" customHeight="1">
      <c r="A46" s="19"/>
      <c r="B46" s="51" t="s">
        <v>58</v>
      </c>
      <c r="C46" s="34">
        <f>SUM(E46:P46)</f>
        <v>-3069019.859</v>
      </c>
      <c r="D46" s="20">
        <f t="shared" ref="D46:D47" si="20">D45*$C$16</f>
        <v>0</v>
      </c>
      <c r="E46" s="34">
        <f t="shared" ref="E46:P46" si="19">E26+E29+E31+E32+E41</f>
        <v>-68819.2984</v>
      </c>
      <c r="F46" s="34">
        <f t="shared" si="19"/>
        <v>-84902.60561</v>
      </c>
      <c r="G46" s="34">
        <f t="shared" si="19"/>
        <v>-123321.736</v>
      </c>
      <c r="H46" s="34">
        <f t="shared" si="19"/>
        <v>-135786.1392</v>
      </c>
      <c r="I46" s="34">
        <f t="shared" si="19"/>
        <v>-194417.6653</v>
      </c>
      <c r="J46" s="34">
        <f t="shared" si="19"/>
        <v>-212798.7075</v>
      </c>
      <c r="K46" s="34">
        <f t="shared" si="19"/>
        <v>-283250.4952</v>
      </c>
      <c r="L46" s="34">
        <f t="shared" si="19"/>
        <v>-308767.3615</v>
      </c>
      <c r="M46" s="34">
        <f t="shared" si="19"/>
        <v>-335503.4129</v>
      </c>
      <c r="N46" s="34">
        <f t="shared" si="19"/>
        <v>-409037.7121</v>
      </c>
      <c r="O46" s="34">
        <f t="shared" si="19"/>
        <v>-442952.6526</v>
      </c>
      <c r="P46" s="34">
        <f t="shared" si="19"/>
        <v>-469462.0727</v>
      </c>
      <c r="R46" s="45"/>
    </row>
    <row r="47" ht="15.75" customHeight="1">
      <c r="B47" s="51" t="s">
        <v>59</v>
      </c>
      <c r="C47" s="52">
        <f t="shared" ref="C47:C48" si="21">SUM(E47:P47)/12</f>
        <v>0.03416666667</v>
      </c>
      <c r="D47" s="20">
        <f t="shared" si="20"/>
        <v>0</v>
      </c>
      <c r="E47" s="53">
        <v>0.05</v>
      </c>
      <c r="F47" s="53">
        <v>0.05</v>
      </c>
      <c r="G47" s="53">
        <v>0.04</v>
      </c>
      <c r="H47" s="53">
        <v>0.03</v>
      </c>
      <c r="I47" s="53">
        <v>0.03</v>
      </c>
      <c r="J47" s="53">
        <v>0.03</v>
      </c>
      <c r="K47" s="53">
        <v>0.03</v>
      </c>
      <c r="L47" s="53">
        <v>0.03</v>
      </c>
      <c r="M47" s="53">
        <v>0.03</v>
      </c>
      <c r="N47" s="53">
        <v>0.03</v>
      </c>
      <c r="O47" s="53">
        <v>0.03</v>
      </c>
      <c r="P47" s="53">
        <v>0.03</v>
      </c>
      <c r="R47" s="45"/>
    </row>
    <row r="48" ht="15.75" customHeight="1">
      <c r="A48" s="19"/>
      <c r="B48" s="51" t="s">
        <v>60</v>
      </c>
      <c r="C48" s="52">
        <f t="shared" si="21"/>
        <v>0.1474866011</v>
      </c>
      <c r="D48" s="20" t="s">
        <v>49</v>
      </c>
      <c r="E48" s="52">
        <f t="shared" ref="E48:P48" si="22">-(E46/E21)+E47</f>
        <v>0.1505052307</v>
      </c>
      <c r="F48" s="52">
        <f t="shared" si="22"/>
        <v>0.1563718519</v>
      </c>
      <c r="G48" s="52">
        <f t="shared" si="22"/>
        <v>0.1346105548</v>
      </c>
      <c r="H48" s="52">
        <f t="shared" si="22"/>
        <v>0.1341730548</v>
      </c>
      <c r="I48" s="52">
        <f t="shared" si="22"/>
        <v>0.131143281</v>
      </c>
      <c r="J48" s="52">
        <f t="shared" si="22"/>
        <v>0.140705781</v>
      </c>
      <c r="K48" s="52">
        <f t="shared" si="22"/>
        <v>0.1400457491</v>
      </c>
      <c r="L48" s="52">
        <f t="shared" si="22"/>
        <v>0.148440805</v>
      </c>
      <c r="M48" s="52">
        <f t="shared" si="22"/>
        <v>0.1555187793</v>
      </c>
      <c r="N48" s="52">
        <f t="shared" si="22"/>
        <v>0.1518219827</v>
      </c>
      <c r="O48" s="52">
        <f t="shared" si="22"/>
        <v>0.1593795769</v>
      </c>
      <c r="P48" s="52">
        <f t="shared" si="22"/>
        <v>0.167122566</v>
      </c>
    </row>
    <row r="49" ht="15.75" customHeight="1">
      <c r="A49" s="19"/>
      <c r="B49" s="19"/>
      <c r="C49" s="47"/>
      <c r="D49" s="19"/>
      <c r="E49" s="19"/>
      <c r="F49" s="19"/>
      <c r="G49" s="48"/>
      <c r="H49" s="49"/>
      <c r="I49" s="50"/>
      <c r="J49" s="50"/>
    </row>
    <row r="50" ht="15.75" customHeight="1">
      <c r="A50" s="19"/>
      <c r="B50" s="19"/>
      <c r="C50" s="47"/>
      <c r="D50" s="19"/>
      <c r="E50" s="19"/>
      <c r="F50" s="19"/>
      <c r="G50" s="48"/>
      <c r="H50" s="49"/>
      <c r="I50" s="50"/>
      <c r="J50" s="50"/>
    </row>
    <row r="51" ht="15.75" customHeight="1">
      <c r="A51" s="19"/>
      <c r="B51" s="19"/>
      <c r="C51" s="47"/>
      <c r="D51" s="19"/>
      <c r="E51" s="19"/>
      <c r="F51" s="19"/>
      <c r="G51" s="48"/>
      <c r="H51" s="49"/>
      <c r="I51" s="50"/>
      <c r="J51" s="50"/>
    </row>
    <row r="52" ht="15.75" customHeight="1">
      <c r="B52" s="38" t="s">
        <v>61</v>
      </c>
      <c r="C52" s="54"/>
      <c r="D52" s="54"/>
      <c r="E52" s="19"/>
      <c r="F52" s="55"/>
      <c r="G52" s="55"/>
      <c r="H52" s="55"/>
      <c r="I52" s="55"/>
      <c r="J52" s="55"/>
    </row>
    <row r="53" ht="15.75" customHeight="1">
      <c r="B53" s="56" t="s">
        <v>62</v>
      </c>
      <c r="C53" s="56" t="s">
        <v>63</v>
      </c>
      <c r="D53" s="56" t="s">
        <v>64</v>
      </c>
      <c r="E53" s="19"/>
      <c r="F53" s="55"/>
      <c r="G53" s="55"/>
      <c r="H53" s="55"/>
      <c r="I53" s="55"/>
      <c r="J53" s="55"/>
    </row>
    <row r="54" ht="15.75" customHeight="1">
      <c r="B54" s="29" t="s">
        <v>65</v>
      </c>
      <c r="C54" s="57">
        <v>30000.0</v>
      </c>
      <c r="D54" s="29"/>
      <c r="E54" s="19"/>
      <c r="F54" s="55"/>
      <c r="G54" s="55"/>
      <c r="H54" s="55"/>
      <c r="I54" s="55"/>
      <c r="J54" s="55"/>
    </row>
    <row r="55" ht="15.75" customHeight="1">
      <c r="B55" s="29" t="s">
        <v>66</v>
      </c>
      <c r="C55" s="58">
        <v>0.5</v>
      </c>
      <c r="D55" s="29"/>
      <c r="E55" s="19"/>
      <c r="F55" s="55"/>
      <c r="G55" s="55"/>
      <c r="H55" s="55"/>
      <c r="I55" s="55"/>
      <c r="J55" s="55"/>
    </row>
    <row r="56" ht="15.75" customHeight="1">
      <c r="B56" s="29" t="s">
        <v>67</v>
      </c>
      <c r="C56" s="58">
        <v>0.5</v>
      </c>
      <c r="D56" s="29"/>
      <c r="E56" s="19"/>
      <c r="F56" s="55"/>
      <c r="G56" s="55"/>
      <c r="H56" s="55"/>
      <c r="I56" s="55"/>
      <c r="J56" s="55"/>
    </row>
    <row r="57" ht="15.75" customHeight="1">
      <c r="B57" s="19"/>
      <c r="C57" s="19"/>
      <c r="D57" s="19"/>
      <c r="E57" s="19"/>
      <c r="F57" s="55"/>
      <c r="G57" s="55"/>
      <c r="H57" s="55"/>
      <c r="I57" s="55"/>
      <c r="J57" s="55"/>
    </row>
    <row r="58" ht="15.75" customHeight="1">
      <c r="B58" s="56" t="s">
        <v>68</v>
      </c>
      <c r="C58" s="56"/>
      <c r="D58" s="56"/>
      <c r="E58" s="19"/>
      <c r="F58" s="55"/>
      <c r="G58" s="55"/>
      <c r="H58" s="55"/>
      <c r="I58" s="55"/>
      <c r="J58" s="55"/>
    </row>
    <row r="59" ht="15.75" customHeight="1">
      <c r="B59" s="29" t="s">
        <v>69</v>
      </c>
      <c r="C59" s="29">
        <f>C54*C55</f>
        <v>15000</v>
      </c>
      <c r="D59" s="29"/>
      <c r="E59" s="19"/>
      <c r="F59" s="55"/>
      <c r="G59" s="55"/>
      <c r="H59" s="55"/>
      <c r="I59" s="55"/>
      <c r="J59" s="55"/>
    </row>
    <row r="60" ht="15.75" customHeight="1">
      <c r="B60" s="29" t="s">
        <v>70</v>
      </c>
      <c r="C60" s="57">
        <v>12.0</v>
      </c>
      <c r="D60" s="29" t="s">
        <v>71</v>
      </c>
      <c r="E60" s="19"/>
      <c r="F60" s="55"/>
      <c r="G60" s="55"/>
      <c r="H60" s="55"/>
      <c r="I60" s="55"/>
      <c r="J60" s="55"/>
    </row>
    <row r="61" ht="15.75" customHeight="1">
      <c r="B61" s="29" t="s">
        <v>72</v>
      </c>
      <c r="C61" s="29">
        <f>C59/C60</f>
        <v>1250</v>
      </c>
      <c r="D61" s="29"/>
      <c r="E61" s="19"/>
      <c r="F61" s="55"/>
      <c r="G61" s="55"/>
      <c r="H61" s="55"/>
      <c r="I61" s="55"/>
      <c r="J61" s="55"/>
    </row>
    <row r="62" ht="15.75" customHeight="1">
      <c r="B62" s="29" t="s">
        <v>73</v>
      </c>
      <c r="C62" s="59">
        <v>0.08</v>
      </c>
      <c r="D62" s="29" t="s">
        <v>74</v>
      </c>
      <c r="E62" s="19"/>
      <c r="F62" s="55"/>
      <c r="G62" s="55"/>
      <c r="H62" s="55"/>
      <c r="I62" s="55"/>
      <c r="J62" s="55"/>
    </row>
    <row r="63" ht="15.75" customHeight="1">
      <c r="B63" s="29" t="s">
        <v>75</v>
      </c>
      <c r="C63" s="59">
        <v>0.58</v>
      </c>
      <c r="D63" s="29"/>
      <c r="E63" s="19"/>
      <c r="F63" s="55"/>
      <c r="G63" s="55"/>
      <c r="H63" s="55"/>
      <c r="I63" s="55"/>
      <c r="J63" s="55"/>
    </row>
    <row r="64" ht="15.75" customHeight="1">
      <c r="B64" s="29" t="s">
        <v>76</v>
      </c>
      <c r="C64" s="29">
        <f>C60/C62/C63</f>
        <v>258.6206897</v>
      </c>
      <c r="D64" s="29" t="s">
        <v>77</v>
      </c>
      <c r="E64" s="19"/>
      <c r="F64" s="55"/>
      <c r="G64" s="55"/>
      <c r="H64" s="55"/>
      <c r="I64" s="55"/>
      <c r="J64" s="55"/>
    </row>
    <row r="65" ht="15.75" customHeight="1">
      <c r="B65" s="29" t="s">
        <v>78</v>
      </c>
      <c r="C65" s="59">
        <v>0.11</v>
      </c>
      <c r="D65" s="29" t="s">
        <v>79</v>
      </c>
      <c r="E65" s="19"/>
      <c r="F65" s="55"/>
      <c r="G65" s="55"/>
      <c r="H65" s="55"/>
      <c r="I65" s="55"/>
      <c r="J65" s="55"/>
    </row>
    <row r="66" ht="15.75" customHeight="1">
      <c r="B66" s="29" t="s">
        <v>80</v>
      </c>
      <c r="C66" s="29">
        <f>C54/C60*C62*C63*C65</f>
        <v>12.76</v>
      </c>
      <c r="D66" s="29"/>
      <c r="E66" s="19"/>
      <c r="F66" s="55"/>
      <c r="G66" s="55"/>
      <c r="H66" s="55"/>
      <c r="I66" s="55"/>
      <c r="J66" s="55"/>
    </row>
    <row r="67" ht="15.75" customHeight="1">
      <c r="A67" s="19"/>
      <c r="B67" s="29" t="s">
        <v>81</v>
      </c>
      <c r="C67" s="29">
        <f>C59/C66</f>
        <v>1175.548589</v>
      </c>
      <c r="D67" s="29"/>
      <c r="E67" s="19"/>
      <c r="F67" s="19"/>
      <c r="G67" s="48"/>
      <c r="H67" s="49"/>
      <c r="I67" s="55"/>
      <c r="J67" s="55"/>
    </row>
    <row r="68" ht="15.75" customHeight="1"/>
    <row r="69" ht="15.75" customHeight="1">
      <c r="B69" s="56" t="s">
        <v>82</v>
      </c>
      <c r="C69" s="56"/>
      <c r="D69" s="56"/>
    </row>
    <row r="70" ht="15.75" customHeight="1">
      <c r="B70" s="29" t="s">
        <v>69</v>
      </c>
      <c r="C70" s="29">
        <f>C54*C56</f>
        <v>15000</v>
      </c>
      <c r="D70" s="29"/>
    </row>
    <row r="71" ht="15.75" customHeight="1">
      <c r="B71" s="29" t="s">
        <v>83</v>
      </c>
      <c r="C71" s="57">
        <v>80.0</v>
      </c>
      <c r="D71" s="29" t="s">
        <v>84</v>
      </c>
    </row>
    <row r="72" ht="15.75" customHeight="1">
      <c r="B72" s="29" t="s">
        <v>72</v>
      </c>
      <c r="C72" s="29">
        <f>C70/C71</f>
        <v>187.5</v>
      </c>
      <c r="D72" s="29"/>
    </row>
    <row r="73" ht="15.75" customHeight="1">
      <c r="B73" s="29" t="s">
        <v>73</v>
      </c>
      <c r="C73" s="59">
        <v>0.22</v>
      </c>
      <c r="D73" s="29" t="s">
        <v>85</v>
      </c>
    </row>
    <row r="74" ht="15.75" customHeight="1">
      <c r="B74" s="29" t="s">
        <v>75</v>
      </c>
      <c r="C74" s="59">
        <v>0.66</v>
      </c>
      <c r="D74" s="29" t="s">
        <v>86</v>
      </c>
    </row>
    <row r="75" ht="15.75" customHeight="1">
      <c r="B75" s="29" t="s">
        <v>76</v>
      </c>
      <c r="C75" s="29">
        <f>C71/C73/C74</f>
        <v>550.9641873</v>
      </c>
      <c r="D75" s="29" t="s">
        <v>77</v>
      </c>
      <c r="E75" s="19"/>
      <c r="F75" s="55"/>
      <c r="G75" s="55"/>
      <c r="H75" s="55"/>
      <c r="I75" s="55"/>
      <c r="J75" s="55"/>
    </row>
    <row r="76" ht="14.25" customHeight="1">
      <c r="B76" s="29" t="s">
        <v>87</v>
      </c>
      <c r="C76" s="59">
        <v>0.22</v>
      </c>
      <c r="D76" s="29" t="s">
        <v>88</v>
      </c>
      <c r="E76" s="19"/>
      <c r="F76" s="55"/>
      <c r="G76" s="55"/>
      <c r="H76" s="55"/>
      <c r="I76" s="55"/>
      <c r="J76" s="55"/>
    </row>
    <row r="77" ht="15.75" customHeight="1">
      <c r="B77" s="29" t="s">
        <v>80</v>
      </c>
      <c r="C77" s="29">
        <f>C72*C73*C74*C76</f>
        <v>5.9895</v>
      </c>
      <c r="D77" s="29"/>
      <c r="E77" s="19"/>
      <c r="F77" s="55"/>
      <c r="G77" s="55"/>
      <c r="H77" s="55"/>
      <c r="I77" s="55"/>
      <c r="J77" s="55"/>
    </row>
    <row r="78" ht="15.75" customHeight="1">
      <c r="A78" s="19"/>
      <c r="B78" s="29" t="s">
        <v>89</v>
      </c>
      <c r="C78" s="29">
        <f>C70/C77</f>
        <v>2504.38267</v>
      </c>
      <c r="D78" s="29"/>
      <c r="E78" s="19"/>
      <c r="F78" s="19"/>
      <c r="G78" s="48"/>
      <c r="H78" s="49"/>
      <c r="I78" s="55"/>
      <c r="J78" s="55"/>
    </row>
    <row r="79" ht="15.75" customHeight="1">
      <c r="B79" s="19"/>
      <c r="C79" s="19"/>
      <c r="D79" s="19"/>
      <c r="E79" s="19"/>
      <c r="F79" s="55"/>
      <c r="G79" s="55"/>
      <c r="H79" s="55"/>
      <c r="I79" s="55"/>
      <c r="J79" s="55"/>
    </row>
    <row r="80" ht="15.75" customHeight="1">
      <c r="A80" s="19"/>
      <c r="E80" s="19"/>
      <c r="F80" s="19"/>
      <c r="G80" s="48"/>
      <c r="H80" s="49"/>
      <c r="I80" s="55"/>
      <c r="J80" s="55"/>
    </row>
    <row r="81" ht="15.75" customHeight="1">
      <c r="A81" s="19"/>
      <c r="B81" s="56" t="s">
        <v>90</v>
      </c>
      <c r="C81" s="56"/>
      <c r="D81" s="56"/>
      <c r="E81" s="19"/>
      <c r="F81" s="19"/>
      <c r="G81" s="48"/>
      <c r="H81" s="49"/>
      <c r="I81" s="55"/>
      <c r="J81" s="55"/>
    </row>
    <row r="82" ht="15.75" customHeight="1">
      <c r="A82" s="19"/>
      <c r="B82" s="29" t="s">
        <v>91</v>
      </c>
      <c r="C82" s="57">
        <v>750.0</v>
      </c>
      <c r="D82" s="29" t="s">
        <v>92</v>
      </c>
      <c r="E82" s="19"/>
      <c r="F82" s="19"/>
      <c r="G82" s="48"/>
      <c r="H82" s="49"/>
      <c r="I82" s="55"/>
      <c r="J82" s="55"/>
    </row>
    <row r="83" ht="15.75" customHeight="1">
      <c r="A83" s="19"/>
      <c r="B83" s="29" t="s">
        <v>93</v>
      </c>
      <c r="C83" s="29">
        <f>C72+C61</f>
        <v>1437.5</v>
      </c>
      <c r="D83" s="29"/>
      <c r="E83" s="19"/>
      <c r="F83" s="19"/>
      <c r="G83" s="48"/>
      <c r="H83" s="49"/>
      <c r="I83" s="55"/>
      <c r="J83" s="55"/>
    </row>
    <row r="84" ht="15.75" customHeight="1">
      <c r="A84" s="19"/>
      <c r="B84" s="29" t="s">
        <v>94</v>
      </c>
      <c r="C84" s="57">
        <f>C3</f>
        <v>33000</v>
      </c>
      <c r="D84" s="29" t="s">
        <v>95</v>
      </c>
      <c r="E84" s="19"/>
      <c r="F84" s="19"/>
      <c r="G84" s="48"/>
      <c r="H84" s="49"/>
      <c r="I84" s="55"/>
      <c r="J84" s="55"/>
    </row>
    <row r="85" ht="15.75" customHeight="1">
      <c r="A85" s="19"/>
      <c r="B85" s="29" t="s">
        <v>96</v>
      </c>
      <c r="C85" s="29">
        <f>C54/(C66+C77)</f>
        <v>1600.042668</v>
      </c>
      <c r="D85" s="29"/>
      <c r="E85" s="19"/>
      <c r="F85" s="19"/>
      <c r="G85" s="48"/>
      <c r="H85" s="49"/>
      <c r="I85" s="55"/>
      <c r="J85" s="55"/>
    </row>
    <row r="86" ht="15.75" customHeight="1">
      <c r="A86" s="19"/>
      <c r="B86" s="29" t="s">
        <v>97</v>
      </c>
      <c r="C86" s="29">
        <f>(C66+C77)*C84</f>
        <v>618733.5</v>
      </c>
      <c r="D86" s="29"/>
      <c r="E86" s="19"/>
      <c r="F86" s="19"/>
      <c r="G86" s="48"/>
      <c r="H86" s="49"/>
      <c r="I86" s="55"/>
      <c r="J86" s="55"/>
    </row>
    <row r="87" ht="15.75" customHeight="1">
      <c r="A87" s="19"/>
      <c r="B87" s="29" t="s">
        <v>98</v>
      </c>
      <c r="C87" s="60">
        <f>C54/C86</f>
        <v>0.04848614145</v>
      </c>
      <c r="D87" s="29"/>
      <c r="E87" s="19"/>
      <c r="F87" s="19"/>
      <c r="G87" s="48"/>
      <c r="H87" s="49"/>
      <c r="I87" s="55"/>
      <c r="J87" s="55"/>
    </row>
    <row r="88" ht="15.75" customHeight="1">
      <c r="A88" s="19"/>
      <c r="B88" s="29" t="s">
        <v>99</v>
      </c>
      <c r="C88" s="61">
        <f>C86/C54</f>
        <v>20.62445</v>
      </c>
      <c r="D88" s="29"/>
      <c r="E88" s="19"/>
      <c r="F88" s="19"/>
      <c r="G88" s="48"/>
      <c r="H88" s="49"/>
      <c r="I88" s="55"/>
      <c r="J88" s="55"/>
    </row>
    <row r="89" ht="15.75" customHeight="1">
      <c r="A89" s="19"/>
      <c r="B89" s="19"/>
      <c r="C89" s="19"/>
      <c r="D89" s="19"/>
      <c r="E89" s="19"/>
      <c r="F89" s="19"/>
      <c r="G89" s="48"/>
      <c r="H89" s="49"/>
      <c r="I89" s="55"/>
      <c r="J89" s="55"/>
    </row>
    <row r="90" ht="15.75" customHeight="1">
      <c r="A90" s="19"/>
      <c r="B90" s="19"/>
      <c r="C90" s="19"/>
      <c r="D90" s="19"/>
      <c r="E90" s="19"/>
      <c r="F90" s="19"/>
      <c r="G90" s="48"/>
      <c r="H90" s="49"/>
      <c r="I90" s="55"/>
      <c r="J90" s="55"/>
    </row>
    <row r="91" ht="15.75" customHeight="1">
      <c r="A91" s="19"/>
      <c r="B91" s="19"/>
      <c r="C91" s="19"/>
      <c r="D91" s="19"/>
      <c r="E91" s="19"/>
      <c r="F91" s="19"/>
      <c r="G91" s="48"/>
      <c r="H91" s="49"/>
      <c r="I91" s="55"/>
      <c r="J91" s="55"/>
    </row>
    <row r="92" ht="15.75" customHeight="1">
      <c r="A92" s="19"/>
      <c r="B92" s="19"/>
      <c r="C92" s="19"/>
      <c r="D92" s="19"/>
      <c r="E92" s="19"/>
      <c r="F92" s="19"/>
      <c r="G92" s="48"/>
      <c r="H92" s="49"/>
      <c r="I92" s="55"/>
      <c r="J92" s="55"/>
    </row>
    <row r="93" ht="15.75" customHeight="1">
      <c r="A93" s="19"/>
      <c r="B93" s="19"/>
      <c r="C93" s="19"/>
      <c r="D93" s="19"/>
      <c r="E93" s="19"/>
      <c r="F93" s="19"/>
      <c r="G93" s="48"/>
      <c r="H93" s="49"/>
      <c r="I93" s="55"/>
      <c r="J93" s="55"/>
    </row>
    <row r="94" ht="15.75" customHeight="1">
      <c r="A94" s="19"/>
      <c r="B94" s="19"/>
      <c r="C94" s="19"/>
      <c r="D94" s="19"/>
      <c r="E94" s="19"/>
      <c r="F94" s="19"/>
      <c r="G94" s="48"/>
      <c r="H94" s="49"/>
      <c r="I94" s="55"/>
      <c r="J94" s="55"/>
    </row>
    <row r="95" ht="15.75" customHeight="1">
      <c r="A95" s="19"/>
      <c r="B95" s="19"/>
      <c r="C95" s="19"/>
      <c r="D95" s="19"/>
      <c r="E95" s="19"/>
      <c r="F95" s="19"/>
      <c r="G95" s="48"/>
      <c r="H95" s="49"/>
      <c r="I95" s="55"/>
      <c r="J95" s="55"/>
    </row>
    <row r="96" ht="15.75" customHeight="1">
      <c r="A96" s="19"/>
      <c r="B96" s="19"/>
      <c r="C96" s="19"/>
      <c r="D96" s="19"/>
      <c r="E96" s="19"/>
      <c r="F96" s="19"/>
      <c r="G96" s="48"/>
      <c r="H96" s="49"/>
      <c r="I96" s="55"/>
      <c r="J96" s="55"/>
    </row>
    <row r="97" ht="15.75" customHeight="1">
      <c r="A97" s="19"/>
      <c r="B97" s="19"/>
      <c r="C97" s="19"/>
      <c r="D97" s="19"/>
      <c r="E97" s="19"/>
      <c r="F97" s="19"/>
      <c r="G97" s="48"/>
      <c r="H97" s="49"/>
      <c r="I97" s="55"/>
      <c r="J97" s="55"/>
    </row>
    <row r="98" ht="15.75" customHeight="1">
      <c r="A98" s="19"/>
      <c r="B98" s="19"/>
      <c r="C98" s="19"/>
      <c r="D98" s="19"/>
      <c r="E98" s="19"/>
      <c r="F98" s="19"/>
      <c r="G98" s="48"/>
      <c r="H98" s="49"/>
      <c r="I98" s="55"/>
      <c r="J98" s="55"/>
    </row>
    <row r="99" ht="15.75" customHeight="1">
      <c r="A99" s="19"/>
      <c r="B99" s="19"/>
      <c r="C99" s="19"/>
      <c r="D99" s="19"/>
      <c r="E99" s="19"/>
      <c r="F99" s="19"/>
      <c r="G99" s="48"/>
      <c r="H99" s="49"/>
      <c r="I99" s="55"/>
      <c r="J99" s="55"/>
    </row>
    <row r="100" ht="15.75" customHeight="1">
      <c r="A100" s="19"/>
      <c r="B100" s="19"/>
      <c r="C100" s="19"/>
      <c r="D100" s="19"/>
      <c r="E100" s="19"/>
      <c r="F100" s="19"/>
      <c r="G100" s="48"/>
      <c r="H100" s="49"/>
      <c r="I100" s="55"/>
      <c r="J100" s="55"/>
    </row>
    <row r="101" ht="15.75" customHeight="1">
      <c r="A101" s="19"/>
      <c r="B101" s="19"/>
      <c r="C101" s="19"/>
      <c r="D101" s="19"/>
      <c r="E101" s="19"/>
      <c r="F101" s="19"/>
      <c r="G101" s="48"/>
      <c r="H101" s="49"/>
      <c r="I101" s="55"/>
      <c r="J101" s="55"/>
    </row>
    <row r="102" ht="15.75" customHeight="1">
      <c r="A102" s="19"/>
      <c r="B102" s="19"/>
      <c r="C102" s="19"/>
      <c r="D102" s="19"/>
      <c r="E102" s="19"/>
      <c r="F102" s="19"/>
      <c r="G102" s="48"/>
      <c r="H102" s="49"/>
      <c r="I102" s="55"/>
      <c r="J102" s="55"/>
    </row>
    <row r="103" ht="15.75" customHeight="1">
      <c r="A103" s="19"/>
      <c r="B103" s="19"/>
      <c r="C103" s="19"/>
      <c r="D103" s="19"/>
      <c r="E103" s="19"/>
      <c r="F103" s="19"/>
      <c r="G103" s="48"/>
      <c r="H103" s="49"/>
      <c r="I103" s="55"/>
      <c r="J103" s="55"/>
    </row>
    <row r="104" ht="15.75" customHeight="1">
      <c r="A104" s="19"/>
      <c r="B104" s="19"/>
      <c r="C104" s="19"/>
      <c r="D104" s="19"/>
      <c r="E104" s="19"/>
      <c r="F104" s="19"/>
      <c r="G104" s="48"/>
      <c r="H104" s="49"/>
      <c r="I104" s="55"/>
      <c r="J104" s="55"/>
    </row>
    <row r="105" ht="15.75" customHeight="1">
      <c r="A105" s="19"/>
      <c r="B105" s="19"/>
      <c r="C105" s="19"/>
      <c r="D105" s="19"/>
      <c r="E105" s="19"/>
      <c r="F105" s="19"/>
      <c r="G105" s="48"/>
      <c r="H105" s="49"/>
      <c r="I105" s="55"/>
      <c r="J105" s="55"/>
    </row>
    <row r="106" ht="15.75" customHeight="1">
      <c r="A106" s="19"/>
      <c r="B106" s="19"/>
      <c r="C106" s="19"/>
      <c r="D106" s="19"/>
      <c r="E106" s="19"/>
      <c r="F106" s="19"/>
      <c r="G106" s="48"/>
      <c r="H106" s="49"/>
      <c r="I106" s="55"/>
      <c r="J106" s="55"/>
    </row>
    <row r="107" ht="15.75" customHeight="1">
      <c r="A107" s="19"/>
      <c r="B107" s="19"/>
      <c r="C107" s="19"/>
      <c r="D107" s="19"/>
      <c r="E107" s="19"/>
      <c r="F107" s="19"/>
      <c r="G107" s="48"/>
      <c r="H107" s="49"/>
      <c r="I107" s="55"/>
      <c r="J107" s="55"/>
    </row>
    <row r="108" ht="15.75" customHeight="1">
      <c r="A108" s="19"/>
      <c r="B108" s="19"/>
      <c r="C108" s="19"/>
      <c r="D108" s="19"/>
      <c r="E108" s="19"/>
      <c r="F108" s="19"/>
      <c r="G108" s="48"/>
      <c r="H108" s="49"/>
      <c r="I108" s="55"/>
      <c r="J108" s="55"/>
    </row>
    <row r="109" ht="15.75" customHeight="1">
      <c r="A109" s="19"/>
      <c r="B109" s="19"/>
      <c r="C109" s="19"/>
      <c r="D109" s="19"/>
      <c r="E109" s="19"/>
      <c r="F109" s="19"/>
      <c r="G109" s="48"/>
      <c r="H109" s="49"/>
      <c r="I109" s="55"/>
      <c r="J109" s="55"/>
    </row>
    <row r="110" ht="15.75" customHeight="1">
      <c r="A110" s="19"/>
      <c r="B110" s="19"/>
      <c r="C110" s="19"/>
      <c r="D110" s="19"/>
      <c r="E110" s="19"/>
      <c r="F110" s="19"/>
      <c r="G110" s="48"/>
      <c r="H110" s="49"/>
      <c r="I110" s="55"/>
      <c r="J110" s="55"/>
    </row>
    <row r="111" ht="15.75" customHeight="1">
      <c r="A111" s="19"/>
      <c r="B111" s="19"/>
      <c r="C111" s="19"/>
      <c r="D111" s="19"/>
      <c r="E111" s="19"/>
      <c r="F111" s="19"/>
      <c r="G111" s="48"/>
      <c r="H111" s="49"/>
      <c r="I111" s="55"/>
      <c r="J111" s="55"/>
    </row>
    <row r="112" ht="15.75" customHeight="1">
      <c r="A112" s="19"/>
      <c r="B112" s="19"/>
      <c r="C112" s="19"/>
      <c r="D112" s="19"/>
      <c r="E112" s="19"/>
      <c r="F112" s="19"/>
      <c r="G112" s="48"/>
      <c r="H112" s="49"/>
      <c r="I112" s="55"/>
      <c r="J112" s="55"/>
    </row>
    <row r="113" ht="15.75" customHeight="1">
      <c r="A113" s="19"/>
      <c r="B113" s="19"/>
      <c r="C113" s="19"/>
      <c r="D113" s="19"/>
      <c r="E113" s="19"/>
      <c r="F113" s="19"/>
      <c r="G113" s="48"/>
      <c r="H113" s="49"/>
      <c r="I113" s="55"/>
      <c r="J113" s="55"/>
    </row>
    <row r="114" ht="15.75" customHeight="1">
      <c r="A114" s="19"/>
      <c r="B114" s="19"/>
      <c r="C114" s="19"/>
      <c r="D114" s="19"/>
      <c r="E114" s="19"/>
      <c r="F114" s="19"/>
      <c r="G114" s="48"/>
      <c r="H114" s="49"/>
      <c r="I114" s="55"/>
      <c r="J114" s="55"/>
    </row>
    <row r="115" ht="15.75" customHeight="1">
      <c r="A115" s="19"/>
      <c r="B115" s="19"/>
      <c r="C115" s="19"/>
      <c r="D115" s="19"/>
      <c r="E115" s="19"/>
      <c r="F115" s="19"/>
      <c r="G115" s="48"/>
      <c r="H115" s="49"/>
      <c r="I115" s="55"/>
      <c r="J115" s="55"/>
    </row>
    <row r="116" ht="15.75" customHeight="1">
      <c r="A116" s="19"/>
      <c r="B116" s="19"/>
      <c r="C116" s="19"/>
      <c r="D116" s="19"/>
      <c r="E116" s="19"/>
      <c r="F116" s="19"/>
      <c r="G116" s="48"/>
      <c r="H116" s="49"/>
      <c r="I116" s="55"/>
      <c r="J116" s="55"/>
    </row>
    <row r="117" ht="15.75" customHeight="1">
      <c r="A117" s="19"/>
      <c r="B117" s="19"/>
      <c r="C117" s="19"/>
      <c r="D117" s="19"/>
      <c r="E117" s="19"/>
      <c r="F117" s="19"/>
      <c r="G117" s="48"/>
      <c r="H117" s="49"/>
      <c r="I117" s="55"/>
      <c r="J117" s="55"/>
    </row>
    <row r="118" ht="15.75" customHeight="1">
      <c r="A118" s="19"/>
      <c r="B118" s="19"/>
      <c r="C118" s="19"/>
      <c r="D118" s="19"/>
      <c r="E118" s="19"/>
      <c r="F118" s="19"/>
      <c r="G118" s="48"/>
      <c r="H118" s="49"/>
      <c r="I118" s="55"/>
      <c r="J118" s="55"/>
    </row>
    <row r="119" ht="15.75" customHeight="1">
      <c r="A119" s="19"/>
      <c r="B119" s="19"/>
      <c r="C119" s="19"/>
      <c r="D119" s="19"/>
      <c r="E119" s="19"/>
      <c r="F119" s="19"/>
      <c r="G119" s="48"/>
      <c r="H119" s="49"/>
      <c r="I119" s="55"/>
      <c r="J119" s="5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R2"/>
    <mergeCell ref="B2:C2"/>
    <mergeCell ref="E5:K5"/>
    <mergeCell ref="E6:J6"/>
    <mergeCell ref="E11:F11"/>
  </mergeCells>
  <printOptions/>
  <pageMargins bottom="0.75" footer="0.0" header="0.0" left="0.7" right="0.7" top="0.75"/>
  <pageSetup fitToHeight="0" paperSize="9" orientation="landscape"/>
  <drawing r:id="rId2"/>
  <legacyDrawing r:id="rId3"/>
</worksheet>
</file>