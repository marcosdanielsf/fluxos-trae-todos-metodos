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 de Salário Alvo (OT" sheetId="1" r:id="rId4"/>
    <sheet state="visible" name="Calculadora de Salário Variável" sheetId="2" r:id="rId5"/>
    <sheet state="visible" name="Simulador de Comissão" sheetId="3" r:id="rId6"/>
    <sheet state="visible" name="Validação" sheetId="4" r:id="rId7"/>
    <sheet state="visible" name="Apoio" sheetId="5" r:id="rId8"/>
    <sheet state="visible" name="Início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% do valor de bônus em relação ao OTE variável. Exemplo: Se marcar 20%, significa que a cada 100 reais de comissão, (OTE variável) pretendemos pagar 20 reais de bônus total.</t>
      </text>
    </comment>
  </commentList>
</comments>
</file>

<file path=xl/sharedStrings.xml><?xml version="1.0" encoding="utf-8"?>
<sst xmlns="http://schemas.openxmlformats.org/spreadsheetml/2006/main" count="130" uniqueCount="107">
  <si>
    <t>CALCULADORA DE SALÁRIO ALVO (OTE) DE SDRs/BDRs</t>
  </si>
  <si>
    <t>Parâmetros</t>
  </si>
  <si>
    <t>Legenda das células</t>
  </si>
  <si>
    <t>Ticket Médio da Solução</t>
  </si>
  <si>
    <t>Acima de R$ 10.000,00</t>
  </si>
  <si>
    <t>Editável -&gt;</t>
  </si>
  <si>
    <t>Foco de Atuação (Canal)</t>
  </si>
  <si>
    <t>Outbound Sales</t>
  </si>
  <si>
    <t>Sugestão GM -&gt;</t>
  </si>
  <si>
    <t>Região da Empresa</t>
  </si>
  <si>
    <t>Sudeste</t>
  </si>
  <si>
    <t>Não Editável -&gt;</t>
  </si>
  <si>
    <t>Setor da Empresa</t>
  </si>
  <si>
    <t>Tecnologia, Software, Finanças, Consultoria</t>
  </si>
  <si>
    <t>Senioridade</t>
  </si>
  <si>
    <t>Junior</t>
  </si>
  <si>
    <t>Regime de Contratação</t>
  </si>
  <si>
    <t>PJ</t>
  </si>
  <si>
    <t>% Variável do Salário Fixo</t>
  </si>
  <si>
    <t>Resultado</t>
  </si>
  <si>
    <t>Salário Fixo</t>
  </si>
  <si>
    <t>Salário Variável</t>
  </si>
  <si>
    <t>OTE (Salário Alvo)</t>
  </si>
  <si>
    <t>Definições:</t>
  </si>
  <si>
    <t>Existem muitos conceitos e definições diferentes para SDR e BDR. Contudo, existem dois conceitos mais fortes:</t>
  </si>
  <si>
    <t>1 - SDR é quem faz inbound e BDR é quem faz outbound</t>
  </si>
  <si>
    <t>2 - SDR faz inbound e oubound, desde que o ticket médio não seja tão alto e BDR faz outbound com ticket médio alto</t>
  </si>
  <si>
    <t>CALCULADORA DE SALÁRIO VARIÁVEL DE SDRs/BDRs</t>
  </si>
  <si>
    <t>OTE Variável</t>
  </si>
  <si>
    <t>Faixa de Atingimento da Meta x Ganho</t>
  </si>
  <si>
    <t>Abaixo 75%</t>
  </si>
  <si>
    <t>De 75 a 100%</t>
  </si>
  <si>
    <t>De 101 a 120%</t>
  </si>
  <si>
    <t>Acima de 120%</t>
  </si>
  <si>
    <t>Critérios de Comissão (SDR Rampado)</t>
  </si>
  <si>
    <t>Comissão Unitária por Faixa de Atingimento</t>
  </si>
  <si>
    <t>Critérios</t>
  </si>
  <si>
    <t>% da Comissão</t>
  </si>
  <si>
    <t>Meta</t>
  </si>
  <si>
    <t>REUNIÃO AGENDADA</t>
  </si>
  <si>
    <t>REUNIÃO REALIZADA</t>
  </si>
  <si>
    <t>Bonificação por Venda</t>
  </si>
  <si>
    <t>Será Pago?</t>
  </si>
  <si>
    <t>Sim</t>
  </si>
  <si>
    <t>Meta de REUNIÃO REALIZDA</t>
  </si>
  <si>
    <t>% OTE Variável</t>
  </si>
  <si>
    <t>Bônus por REUNIÃO REALIZADA</t>
  </si>
  <si>
    <t>Bônus Total</t>
  </si>
  <si>
    <t>Resumo do Salário OTE Final (Meta 100%)</t>
  </si>
  <si>
    <t>Comissão</t>
  </si>
  <si>
    <t>Bônus</t>
  </si>
  <si>
    <t>Salário Final</t>
  </si>
  <si>
    <t>Legendas</t>
  </si>
  <si>
    <t>OTE = On-Target Earnings = Salário Alvo; Logo, OTE Variável = Salário Variável Alvo</t>
  </si>
  <si>
    <t>SQL = Sales-Qualified Lead = Reunião Agendada</t>
  </si>
  <si>
    <t>SAL = Sales-Accepted Lead = Reunião Aceita por Vendas</t>
  </si>
  <si>
    <t>SDR Rampado = SDR Pós Período de Onboarding</t>
  </si>
  <si>
    <t>SIMULADOR DE COMISSÃO DE SDRs/BDRs</t>
  </si>
  <si>
    <t>Etapas</t>
  </si>
  <si>
    <t>Realizado</t>
  </si>
  <si>
    <t>% Atingido</t>
  </si>
  <si>
    <t>Valor Unitário</t>
  </si>
  <si>
    <t>Variável</t>
  </si>
  <si>
    <t>SQL</t>
  </si>
  <si>
    <t>SAL</t>
  </si>
  <si>
    <t>Vendas</t>
  </si>
  <si>
    <t>Salário Total do Mês</t>
  </si>
  <si>
    <t>Salário Base</t>
  </si>
  <si>
    <t>Bonificação</t>
  </si>
  <si>
    <t>Total</t>
  </si>
  <si>
    <t>Comparativo - Real x OTE</t>
  </si>
  <si>
    <t xml:space="preserve">Salário Total   </t>
  </si>
  <si>
    <t>OTE</t>
  </si>
  <si>
    <t>% de Atingimento</t>
  </si>
  <si>
    <t>Observação</t>
  </si>
  <si>
    <t>Essa aba serve para você, cliente MS, inserir o realizado e ver quanto deve pagar para o SDR/BDR no mês</t>
  </si>
  <si>
    <t xml:space="preserve">Mês </t>
  </si>
  <si>
    <t>Júnior</t>
  </si>
  <si>
    <t>Pleno</t>
  </si>
  <si>
    <t>Sênior</t>
  </si>
  <si>
    <t>4 ou mais</t>
  </si>
  <si>
    <t>Salário base</t>
  </si>
  <si>
    <t>região</t>
  </si>
  <si>
    <t>Canal de Aquisição</t>
  </si>
  <si>
    <t>Setor da empresa</t>
  </si>
  <si>
    <t>Ticket Médio</t>
  </si>
  <si>
    <t>Regime de contratação</t>
  </si>
  <si>
    <t>Inbound Sales</t>
  </si>
  <si>
    <t>Até R$ 600,00</t>
  </si>
  <si>
    <t>CLT</t>
  </si>
  <si>
    <t>Centro-Oeste</t>
  </si>
  <si>
    <t>Demais Setores (Indústria, Serviço etc)</t>
  </si>
  <si>
    <t>R$ 601,00 - R$ 1.500,00</t>
  </si>
  <si>
    <t xml:space="preserve">Pleno </t>
  </si>
  <si>
    <t>Sul</t>
  </si>
  <si>
    <t>R$ 1.501,00 - R$ 2.500,00</t>
  </si>
  <si>
    <t>Senior</t>
  </si>
  <si>
    <t>Norte</t>
  </si>
  <si>
    <t>R$ 2.501,00 - R$ 5.000,00</t>
  </si>
  <si>
    <t>Nordeste</t>
  </si>
  <si>
    <t>R$ 5.001,00 - R$ 10.000,00</t>
  </si>
  <si>
    <t>CALCULADORA DE REMUNERAÇÃO DE SDRs/BDRs</t>
  </si>
  <si>
    <t>Objetivo</t>
  </si>
  <si>
    <t>Definir os parâmetros e calcular a remuneração total de SDRs/BDRs, dividido em salário e comissionamento. Além disso, criar o modelo variável, bem como simular o pagamento ao final do mês do colaborador</t>
  </si>
  <si>
    <t xml:space="preserve">Acessos Importantes de Consulta </t>
  </si>
  <si>
    <r>
      <rPr>
        <rFont val="Montserrat, Arial"/>
        <b/>
        <color theme="1"/>
        <sz val="11.0"/>
      </rPr>
      <t>Manual do Cliente:</t>
    </r>
    <r>
      <rPr>
        <rFont val="Montserrat, Arial"/>
        <b val="0"/>
        <color theme="1"/>
        <sz val="11.0"/>
      </rPr>
      <t xml:space="preserve"> Manual com o descritivo sobre a parte conceitual e de uso deste template</t>
    </r>
  </si>
  <si>
    <r>
      <rPr>
        <rFont val="Montserrat, Arial"/>
        <b/>
        <color theme="1"/>
        <sz val="11.0"/>
      </rPr>
      <t>Vídeo Explicativo:</t>
    </r>
    <r>
      <rPr>
        <rFont val="Montserrat, Arial"/>
        <b/>
        <color theme="1"/>
        <sz val="11.0"/>
      </rPr>
      <t xml:space="preserve"> Vídeos explicativos sobre os conceitos e principalmente sobre o funcionamento deste template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</si>
</sst>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4">
    <font>
      <sz val="10.0"/>
      <color rgb="FF000000"/>
      <name val="Arial"/>
      <scheme val="minor"/>
    </font>
    <font>
      <b/>
      <sz val="14.0"/>
      <color rgb="FFFFFFFF"/>
      <name val="Montserrat"/>
    </font>
    <font>
      <b/>
      <sz val="18.0"/>
      <color rgb="FFFFFFFF"/>
      <name val="Montserrat"/>
    </font>
    <font/>
    <font>
      <b/>
      <sz val="11.0"/>
      <color rgb="FFFFFFFF"/>
      <name val="Montserrat"/>
    </font>
    <font>
      <b/>
      <sz val="11.0"/>
      <color theme="0"/>
      <name val="Montserrat"/>
    </font>
    <font>
      <sz val="11.0"/>
      <color theme="0"/>
      <name val="Montserrat"/>
    </font>
    <font>
      <sz val="11.0"/>
      <color theme="1"/>
      <name val="Montserrat"/>
    </font>
    <font>
      <b/>
      <sz val="11.0"/>
      <color theme="1"/>
      <name val="Montserrat"/>
    </font>
    <font>
      <color theme="1"/>
      <name val="Arial"/>
    </font>
    <font>
      <b/>
      <color theme="1"/>
      <name val="Montserrat"/>
    </font>
    <font>
      <color rgb="FF000000"/>
      <name val="Arial"/>
    </font>
    <font>
      <b/>
      <sz val="11.0"/>
      <color rgb="FF666666"/>
      <name val="Montserrat"/>
    </font>
    <font>
      <b/>
      <sz val="11.0"/>
      <color theme="1"/>
      <name val="Arial"/>
    </font>
    <font>
      <b/>
      <sz val="11.0"/>
      <color rgb="FF000000"/>
      <name val="Montserrat"/>
    </font>
    <font>
      <sz val="11.0"/>
      <color rgb="FFFFFFFF"/>
      <name val="Montserrat"/>
    </font>
    <font>
      <sz val="9.0"/>
      <color rgb="FFFFFFFF"/>
      <name val="Montserrat"/>
    </font>
    <font>
      <b/>
      <sz val="11.0"/>
      <color rgb="FF000000"/>
      <name val="Arial"/>
    </font>
    <font>
      <color rgb="FFFFFFFF"/>
      <name val="Arial"/>
    </font>
    <font>
      <sz val="11.0"/>
      <color rgb="FF000000"/>
      <name val="Montserrat"/>
    </font>
    <font>
      <b/>
      <color theme="1"/>
      <name val="Arial"/>
    </font>
    <font>
      <sz val="11.0"/>
      <color theme="1"/>
      <name val="Calibri"/>
    </font>
    <font>
      <sz val="12.0"/>
      <color rgb="FFFFFFFF"/>
      <name val="Montserrat"/>
    </font>
    <font>
      <b/>
      <sz val="12.0"/>
      <color theme="1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0F44CA"/>
        <bgColor rgb="FF0F44CA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3D85C6"/>
        <bgColor rgb="FF3D85C6"/>
      </patternFill>
    </fill>
    <fill>
      <patternFill patternType="solid">
        <fgColor rgb="FF222223"/>
        <bgColor rgb="FF222223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4" fillId="4" fontId="6" numFmtId="164" xfId="0" applyAlignment="1" applyBorder="1" applyFill="1" applyFont="1" applyNumberFormat="1">
      <alignment horizontal="center" vertical="bottom"/>
    </xf>
    <xf borderId="4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bottom"/>
    </xf>
    <xf borderId="4" fillId="5" fontId="7" numFmtId="9" xfId="0" applyAlignment="1" applyBorder="1" applyFill="1" applyFont="1" applyNumberFormat="1">
      <alignment horizontal="center"/>
    </xf>
    <xf borderId="4" fillId="6" fontId="8" numFmtId="164" xfId="0" applyAlignment="1" applyBorder="1" applyFill="1" applyFont="1" applyNumberFormat="1">
      <alignment horizontal="center" vertical="bottom"/>
    </xf>
    <xf borderId="0" fillId="0" fontId="10" numFmtId="0" xfId="0" applyAlignment="1" applyFont="1">
      <alignment shrinkToFit="0" vertical="top" wrapText="1"/>
    </xf>
    <xf borderId="4" fillId="5" fontId="7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4" fillId="6" fontId="7" numFmtId="164" xfId="0" applyAlignment="1" applyBorder="1" applyFont="1" applyNumberFormat="1">
      <alignment horizontal="center"/>
    </xf>
    <xf borderId="0" fillId="0" fontId="7" numFmtId="0" xfId="0" applyFont="1"/>
    <xf borderId="0" fillId="0" fontId="8" numFmtId="0" xfId="0" applyFont="1"/>
    <xf borderId="4" fillId="4" fontId="5" numFmtId="164" xfId="0" applyAlignment="1" applyBorder="1" applyFont="1" applyNumberFormat="1">
      <alignment horizontal="center" vertical="bottom"/>
    </xf>
    <xf borderId="4" fillId="6" fontId="7" numFmtId="164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/>
    </xf>
    <xf borderId="4" fillId="5" fontId="7" numFmtId="9" xfId="0" applyAlignment="1" applyBorder="1" applyFont="1" applyNumberFormat="1">
      <alignment horizontal="center" vertical="bottom"/>
    </xf>
    <xf borderId="0" fillId="0" fontId="11" numFmtId="0" xfId="0" applyFont="1"/>
    <xf borderId="0" fillId="0" fontId="12" numFmtId="10" xfId="0" applyAlignment="1" applyFont="1" applyNumberFormat="1">
      <alignment horizontal="center" vertical="bottom"/>
    </xf>
    <xf borderId="0" fillId="0" fontId="13" numFmtId="9" xfId="0" applyAlignment="1" applyFont="1" applyNumberFormat="1">
      <alignment horizontal="center" vertical="bottom"/>
    </xf>
    <xf borderId="0" fillId="0" fontId="11" numFmtId="0" xfId="0" applyAlignment="1" applyFont="1">
      <alignment horizontal="center"/>
    </xf>
    <xf borderId="0" fillId="0" fontId="14" numFmtId="0" xfId="0" applyAlignment="1" applyFont="1">
      <alignment horizontal="center" vertical="bottom"/>
    </xf>
    <xf borderId="0" fillId="0" fontId="9" numFmtId="3" xfId="0" applyFont="1" applyNumberFormat="1"/>
    <xf borderId="0" fillId="0" fontId="14" numFmtId="0" xfId="0" applyAlignment="1" applyFont="1">
      <alignment horizontal="center"/>
    </xf>
    <xf borderId="0" fillId="0" fontId="14" numFmtId="9" xfId="0" applyAlignment="1" applyFont="1" applyNumberFormat="1">
      <alignment horizontal="center"/>
    </xf>
    <xf borderId="1" fillId="4" fontId="4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/>
    </xf>
    <xf borderId="0" fillId="3" fontId="4" numFmtId="164" xfId="0" applyAlignment="1" applyFont="1" applyNumberFormat="1">
      <alignment horizontal="center"/>
    </xf>
    <xf borderId="4" fillId="4" fontId="15" numFmtId="164" xfId="0" applyAlignment="1" applyBorder="1" applyFont="1" applyNumberFormat="1">
      <alignment horizontal="center" vertical="bottom"/>
    </xf>
    <xf borderId="4" fillId="5" fontId="7" numFmtId="10" xfId="0" applyAlignment="1" applyBorder="1" applyFont="1" applyNumberFormat="1">
      <alignment horizontal="center"/>
    </xf>
    <xf borderId="4" fillId="4" fontId="16" numFmtId="164" xfId="0" applyAlignment="1" applyBorder="1" applyFont="1" applyNumberFormat="1">
      <alignment horizontal="center" vertical="bottom"/>
    </xf>
    <xf borderId="0" fillId="0" fontId="9" numFmtId="164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4" fillId="0" fontId="7" numFmtId="9" xfId="0" applyAlignment="1" applyBorder="1" applyFont="1" applyNumberFormat="1">
      <alignment horizontal="center"/>
    </xf>
    <xf borderId="4" fillId="7" fontId="7" numFmtId="164" xfId="0" applyAlignment="1" applyBorder="1" applyFill="1" applyFont="1" applyNumberFormat="1">
      <alignment horizontal="center" vertical="bottom"/>
    </xf>
    <xf borderId="4" fillId="7" fontId="8" numFmtId="164" xfId="0" applyAlignment="1" applyBorder="1" applyFont="1" applyNumberFormat="1">
      <alignment horizontal="center" vertical="bottom"/>
    </xf>
    <xf borderId="0" fillId="0" fontId="13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7" numFmtId="164" xfId="0" applyAlignment="1" applyFont="1" applyNumberFormat="1">
      <alignment horizontal="center" shrinkToFit="0" vertical="center" wrapText="1"/>
    </xf>
    <xf borderId="0" fillId="0" fontId="17" numFmtId="164" xfId="0" applyAlignment="1" applyFont="1" applyNumberFormat="1">
      <alignment horizontal="center"/>
    </xf>
    <xf borderId="0" fillId="0" fontId="18" numFmtId="0" xfId="0" applyFont="1"/>
    <xf borderId="0" fillId="0" fontId="4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4" fillId="8" fontId="4" numFmtId="164" xfId="0" applyAlignment="1" applyBorder="1" applyFill="1" applyFont="1" applyNumberFormat="1">
      <alignment horizontal="center" vertical="bottom"/>
    </xf>
    <xf borderId="4" fillId="6" fontId="7" numFmtId="10" xfId="0" applyAlignment="1" applyBorder="1" applyFont="1" applyNumberFormat="1">
      <alignment horizontal="center" vertical="bottom"/>
    </xf>
    <xf borderId="4" fillId="9" fontId="4" numFmtId="164" xfId="0" applyAlignment="1" applyBorder="1" applyFill="1" applyFont="1" applyNumberFormat="1">
      <alignment horizontal="center" vertical="bottom"/>
    </xf>
    <xf borderId="0" fillId="0" fontId="9" numFmtId="0" xfId="0" applyFont="1"/>
    <xf borderId="0" fillId="0" fontId="17" numFmtId="9" xfId="0" applyAlignment="1" applyFont="1" applyNumberFormat="1">
      <alignment horizontal="right" shrinkToFit="0" vertical="center" wrapText="1"/>
    </xf>
    <xf borderId="4" fillId="5" fontId="19" numFmtId="164" xfId="0" applyAlignment="1" applyBorder="1" applyFont="1" applyNumberFormat="1">
      <alignment horizontal="center" vertical="bottom"/>
    </xf>
    <xf borderId="4" fillId="5" fontId="19" numFmtId="9" xfId="0" applyAlignment="1" applyBorder="1" applyFont="1" applyNumberFormat="1">
      <alignment horizontal="center"/>
    </xf>
    <xf borderId="4" fillId="3" fontId="4" numFmtId="164" xfId="0" applyAlignment="1" applyBorder="1" applyFont="1" applyNumberFormat="1">
      <alignment horizontal="center"/>
    </xf>
    <xf borderId="4" fillId="7" fontId="8" numFmtId="10" xfId="0" applyAlignment="1" applyBorder="1" applyFont="1" applyNumberFormat="1">
      <alignment horizontal="center" vertical="bottom"/>
    </xf>
    <xf borderId="0" fillId="0" fontId="9" numFmtId="4" xfId="0" applyFont="1" applyNumberFormat="1"/>
    <xf borderId="0" fillId="0" fontId="9" numFmtId="10" xfId="0" applyFont="1" applyNumberFormat="1"/>
    <xf borderId="4" fillId="2" fontId="20" numFmtId="4" xfId="0" applyAlignment="1" applyBorder="1" applyFont="1" applyNumberFormat="1">
      <alignment horizontal="center" vertical="bottom"/>
    </xf>
    <xf borderId="4" fillId="0" fontId="20" numFmtId="0" xfId="0" applyAlignment="1" applyBorder="1" applyFont="1">
      <alignment horizontal="center"/>
    </xf>
    <xf borderId="4" fillId="2" fontId="20" numFmtId="3" xfId="0" applyAlignment="1" applyBorder="1" applyFont="1" applyNumberFormat="1">
      <alignment horizontal="center" vertical="bottom"/>
    </xf>
    <xf borderId="4" fillId="7" fontId="9" numFmtId="10" xfId="0" applyAlignment="1" applyBorder="1" applyFont="1" applyNumberFormat="1">
      <alignment horizontal="center"/>
    </xf>
    <xf borderId="4" fillId="0" fontId="9" numFmtId="10" xfId="0" applyBorder="1" applyFont="1" applyNumberFormat="1"/>
    <xf borderId="0" fillId="0" fontId="9" numFmtId="9" xfId="0" applyFont="1" applyNumberFormat="1"/>
    <xf borderId="0" fillId="0" fontId="9" numFmtId="164" xfId="0" applyFont="1" applyNumberFormat="1"/>
    <xf borderId="0" fillId="0" fontId="21" numFmtId="0" xfId="0" applyAlignment="1" applyFont="1">
      <alignment vertical="bottom"/>
    </xf>
    <xf borderId="0" fillId="0" fontId="21" numFmtId="0" xfId="0" applyAlignment="1" applyFont="1">
      <alignment vertical="center"/>
    </xf>
    <xf borderId="1" fillId="8" fontId="1" numFmtId="0" xfId="0" applyAlignment="1" applyBorder="1" applyFont="1">
      <alignment horizontal="center" shrinkToFit="0" vertical="center" wrapText="1"/>
    </xf>
    <xf borderId="5" fillId="10" fontId="22" numFmtId="0" xfId="0" applyAlignment="1" applyBorder="1" applyFill="1" applyFont="1">
      <alignment horizontal="center" shrinkToFit="0" wrapText="1"/>
    </xf>
    <xf borderId="6" fillId="0" fontId="3" numFmtId="0" xfId="0" applyBorder="1" applyFont="1"/>
    <xf borderId="7" fillId="0" fontId="3" numFmtId="0" xfId="0" applyBorder="1" applyFont="1"/>
    <xf borderId="8" fillId="0" fontId="21" numFmtId="0" xfId="0" applyBorder="1" applyFont="1"/>
    <xf borderId="0" fillId="0" fontId="21" numFmtId="0" xfId="0" applyFont="1"/>
    <xf borderId="9" fillId="0" fontId="21" numFmtId="0" xfId="0" applyBorder="1" applyFont="1"/>
    <xf borderId="0" fillId="0" fontId="7" numFmtId="0" xfId="0" applyAlignment="1" applyFont="1">
      <alignment horizontal="center" shrinkToFit="0" vertical="center" wrapText="1"/>
    </xf>
    <xf borderId="10" fillId="0" fontId="21" numFmtId="0" xfId="0" applyBorder="1" applyFont="1"/>
    <xf borderId="11" fillId="0" fontId="21" numFmtId="0" xfId="0" applyBorder="1" applyFont="1"/>
    <xf borderId="12" fillId="0" fontId="21" numFmtId="0" xfId="0" applyBorder="1" applyFont="1"/>
    <xf borderId="8" fillId="0" fontId="21" numFmtId="0" xfId="0" applyAlignment="1" applyBorder="1" applyFont="1">
      <alignment vertical="center"/>
    </xf>
    <xf borderId="13" fillId="11" fontId="23" numFmtId="0" xfId="0" applyAlignment="1" applyBorder="1" applyFill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3" fillId="11" fontId="23" numFmtId="0" xfId="0" applyAlignment="1" applyBorder="1" applyFont="1">
      <alignment horizontal="center" shrinkToFit="0" vertical="center" wrapText="1"/>
    </xf>
    <xf borderId="9" fillId="12" fontId="21" numFmtId="0" xfId="0" applyAlignment="1" applyBorder="1" applyFill="1" applyFont="1">
      <alignment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EA4335"/>
          <bgColor rgb="FFEA433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47675" cy="447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19100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19100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409575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26.25"/>
    <col customWidth="1" min="3" max="3" width="49.5"/>
    <col customWidth="1" min="4" max="4" width="12.75"/>
    <col customWidth="1" min="5" max="5" width="21.25"/>
    <col customWidth="1" min="6" max="6" width="12.63"/>
    <col customWidth="1" min="7" max="7" width="1.5"/>
  </cols>
  <sheetData>
    <row r="1" ht="7.5" customHeight="1"/>
    <row r="2" ht="35.25" customHeight="1">
      <c r="A2" s="1"/>
      <c r="B2" s="2"/>
      <c r="C2" s="3" t="s">
        <v>0</v>
      </c>
      <c r="D2" s="4"/>
      <c r="E2" s="4"/>
      <c r="F2" s="5"/>
      <c r="G2" s="1"/>
    </row>
    <row r="3" ht="15.75" customHeight="1"/>
    <row r="4" ht="15.75" customHeight="1">
      <c r="B4" s="6" t="s">
        <v>1</v>
      </c>
      <c r="C4" s="5"/>
      <c r="E4" s="7" t="s">
        <v>2</v>
      </c>
      <c r="F4" s="5"/>
    </row>
    <row r="5" ht="15.75" customHeight="1">
      <c r="B5" s="8" t="s">
        <v>3</v>
      </c>
      <c r="C5" s="9" t="s">
        <v>4</v>
      </c>
      <c r="E5" s="10" t="s">
        <v>5</v>
      </c>
      <c r="F5" s="11"/>
    </row>
    <row r="6" ht="15.75" customHeight="1">
      <c r="B6" s="8" t="s">
        <v>6</v>
      </c>
      <c r="C6" s="9" t="s">
        <v>7</v>
      </c>
      <c r="E6" s="10" t="s">
        <v>8</v>
      </c>
      <c r="F6" s="12"/>
    </row>
    <row r="7" ht="15.75" customHeight="1">
      <c r="B7" s="8" t="s">
        <v>9</v>
      </c>
      <c r="C7" s="9" t="s">
        <v>10</v>
      </c>
      <c r="E7" s="10" t="s">
        <v>11</v>
      </c>
      <c r="F7" s="13"/>
    </row>
    <row r="8" ht="15.75" customHeight="1">
      <c r="B8" s="8" t="s">
        <v>12</v>
      </c>
      <c r="C8" s="9" t="s">
        <v>13</v>
      </c>
    </row>
    <row r="9" ht="15.75" customHeight="1">
      <c r="B9" s="8" t="s">
        <v>14</v>
      </c>
      <c r="C9" s="9" t="s">
        <v>15</v>
      </c>
      <c r="D9" s="14" t="str">
        <f>IF(AND(C5=Apoio!L10,C6=Apoio!F6,C9&lt;&gt;Apoio!O7),"Para o canal outbound marketing e tickets acima de 10 mil reais o SDR/BDR deve ser senior",IF(AND(C9=Apoio!O5,C6=Apoio!F6),"Para o canal outbound marketing, o SDR/BDR deve ser pleno ou senior",IF(AND(C5=Apoio!L10,C9=Apoio!O5),"Para tickets acima de 10 mil reais o SDR/BDR deve ser pleno ou senior","")))</f>
        <v>Para o canal outbound marketing e tickets acima de 10 mil reais o SDR/BDR deve ser senior</v>
      </c>
    </row>
    <row r="10" ht="15.75" customHeight="1">
      <c r="B10" s="8" t="s">
        <v>16</v>
      </c>
      <c r="C10" s="15" t="s">
        <v>17</v>
      </c>
    </row>
    <row r="11" ht="15.75" customHeight="1">
      <c r="B11" s="8" t="s">
        <v>18</v>
      </c>
      <c r="C11" s="12">
        <v>0.3</v>
      </c>
    </row>
    <row r="12" ht="15.75" customHeight="1">
      <c r="B12" s="16"/>
      <c r="C12" s="17"/>
    </row>
    <row r="13" ht="15.75" customHeight="1">
      <c r="B13" s="6" t="s">
        <v>19</v>
      </c>
      <c r="C13" s="5"/>
    </row>
    <row r="14" ht="15.75" customHeight="1">
      <c r="B14" s="8" t="s">
        <v>20</v>
      </c>
      <c r="C14" s="18">
        <f t="array" ref="C14">IFERROR(FLOOR(IF(Apoio!A5*INDEX(Apoio!D5:D9,MATCH(C7,Apoio!C5:C9,0))*INDEX(Apoio!G5:G9,MATCH(C6,Apoio!F5:F9,0))*INDEX(Apoio!J5:J9,MATCH(C8,Apoio!I5:I9,0))*INDEX(Apoio!M5:M12,MATCH(C5,Apoio!L5:L12,0))*INDEX(Apoio!P5:P9,MATCH(C9,Apoio!O5:O9,0))*INDEX(Apoio!U5:U9,MATCH(C10,Apoio!T5:T9,0))&lt;1600,1600,Apoio!A5*INDEX(Apoio!D5:D9,MATCH(C7,Apoio!C5:C9,0))*INDEX(Apoio!G5:G9,MATCH(C6,Apoio!F5:F9,0))*INDEX(Apoio!J5:J9,MATCH(C8,Apoio!I5:I9,0))*INDEX(Apoio!M5:M12,MATCH(C5,Apoio!L5:L12,0))*INDEX(Apoio!P5:P9,MATCH(C9,Apoio!O5:O9,0))*INDEX(Apoio!U5:U9,MATCH(C10,Apoio!T5:T9,0))),100),"Preencha os parâmetros")</f>
        <v>1600</v>
      </c>
    </row>
    <row r="15" ht="15.75" customHeight="1">
      <c r="B15" s="8" t="s">
        <v>21</v>
      </c>
      <c r="C15" s="18">
        <f>IFERROR(C14*C11,"")</f>
        <v>480</v>
      </c>
    </row>
    <row r="16" ht="15.75" customHeight="1">
      <c r="B16" s="8" t="s">
        <v>22</v>
      </c>
      <c r="C16" s="18">
        <f>SUM(C14:C15)</f>
        <v>2080</v>
      </c>
    </row>
    <row r="17" ht="15.75" customHeight="1">
      <c r="B17" s="19"/>
      <c r="C17" s="19"/>
    </row>
    <row r="18" ht="15.75" customHeight="1">
      <c r="B18" s="20" t="s">
        <v>23</v>
      </c>
      <c r="C18" s="19"/>
    </row>
    <row r="19" ht="15.75" customHeight="1">
      <c r="B19" s="19" t="s">
        <v>24</v>
      </c>
    </row>
    <row r="20" ht="15.75" customHeight="1">
      <c r="B20" s="19" t="s">
        <v>25</v>
      </c>
    </row>
    <row r="21" ht="15.75" customHeight="1">
      <c r="B21" s="19" t="s">
        <v>26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2:F2"/>
    <mergeCell ref="B4:C4"/>
    <mergeCell ref="E4:F4"/>
    <mergeCell ref="D9:F10"/>
    <mergeCell ref="B13:C13"/>
  </mergeCells>
  <conditionalFormatting sqref="C9">
    <cfRule type="expression" dxfId="0" priority="1">
      <formula>D9&lt;&gt;""</formula>
    </cfRule>
  </conditionalFormatting>
  <dataValidations>
    <dataValidation type="list" allowBlank="1" sqref="C9">
      <formula1>Apoio!$O$5:$O$9</formula1>
    </dataValidation>
    <dataValidation type="list" allowBlank="1" sqref="C8">
      <formula1>Apoio!$I$5:$I$8</formula1>
    </dataValidation>
    <dataValidation type="list" allowBlank="1" sqref="C5">
      <formula1>Apoio!$L$5:$L$13</formula1>
    </dataValidation>
    <dataValidation type="list" allowBlank="1" sqref="C6">
      <formula1>Apoio!$F$5:$F$8</formula1>
    </dataValidation>
    <dataValidation type="list" allowBlank="1" sqref="C11">
      <formula1>Apoio!$R$5:$R$14</formula1>
    </dataValidation>
    <dataValidation type="list" allowBlank="1" sqref="C7">
      <formula1>Apoio!$C$5:$C$14</formula1>
    </dataValidation>
    <dataValidation type="list" allowBlank="1" sqref="C10">
      <formula1>Apoio!$T$5:$T$9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30.75"/>
    <col customWidth="1" min="3" max="3" width="19.75"/>
    <col customWidth="1" min="4" max="4" width="10.25"/>
    <col customWidth="1" min="5" max="5" width="14.13"/>
    <col customWidth="1" min="6" max="9" width="16.13"/>
    <col customWidth="1" min="10" max="10" width="1.5"/>
  </cols>
  <sheetData>
    <row r="1" ht="7.5" customHeight="1"/>
    <row r="2" ht="33.0" customHeight="1">
      <c r="A2" s="1"/>
      <c r="B2" s="2"/>
      <c r="C2" s="3" t="s">
        <v>27</v>
      </c>
      <c r="D2" s="4"/>
      <c r="E2" s="4"/>
      <c r="F2" s="4"/>
      <c r="G2" s="4"/>
      <c r="H2" s="4"/>
      <c r="I2" s="5"/>
      <c r="J2" s="1"/>
    </row>
    <row r="3" ht="13.5" customHeight="1"/>
    <row r="4" ht="15.75" customHeight="1">
      <c r="B4" s="21" t="s">
        <v>28</v>
      </c>
      <c r="C4" s="22">
        <f>'Calculadora de Salário Alvo (OT'!C15</f>
        <v>480</v>
      </c>
      <c r="F4" s="7" t="s">
        <v>2</v>
      </c>
      <c r="G4" s="5"/>
    </row>
    <row r="5" ht="15.75" customHeight="1">
      <c r="F5" s="10" t="s">
        <v>5</v>
      </c>
      <c r="G5" s="11"/>
    </row>
    <row r="6" ht="15.75" customHeight="1">
      <c r="B6" s="23" t="s">
        <v>29</v>
      </c>
      <c r="C6" s="5"/>
      <c r="F6" s="10" t="s">
        <v>8</v>
      </c>
      <c r="G6" s="12"/>
    </row>
    <row r="7" ht="15.75" customHeight="1">
      <c r="B7" s="8" t="s">
        <v>30</v>
      </c>
      <c r="C7" s="24">
        <v>0.8</v>
      </c>
      <c r="F7" s="10" t="s">
        <v>11</v>
      </c>
      <c r="G7" s="13"/>
      <c r="H7" s="25"/>
      <c r="I7" s="26"/>
    </row>
    <row r="8" ht="15.75" customHeight="1">
      <c r="B8" s="8" t="s">
        <v>31</v>
      </c>
      <c r="C8" s="24">
        <v>1.0</v>
      </c>
      <c r="H8" s="25"/>
      <c r="I8" s="27"/>
    </row>
    <row r="9" ht="15.75" customHeight="1">
      <c r="B9" s="8" t="s">
        <v>32</v>
      </c>
      <c r="C9" s="24">
        <v>1.2</v>
      </c>
    </row>
    <row r="10" ht="15.75" customHeight="1">
      <c r="B10" s="8" t="s">
        <v>33</v>
      </c>
      <c r="C10" s="24">
        <v>1.5</v>
      </c>
      <c r="D10" s="28"/>
      <c r="F10" s="25"/>
      <c r="G10" s="29"/>
      <c r="H10" s="29"/>
      <c r="I10" s="29"/>
    </row>
    <row r="11" ht="15.75" customHeight="1">
      <c r="D11" s="25"/>
      <c r="E11" s="30"/>
      <c r="F11" s="31"/>
      <c r="G11" s="32"/>
      <c r="H11" s="29"/>
      <c r="I11" s="31"/>
    </row>
    <row r="12" ht="15.75" customHeight="1">
      <c r="B12" s="33" t="s">
        <v>34</v>
      </c>
      <c r="C12" s="4"/>
      <c r="D12" s="4"/>
      <c r="E12" s="5"/>
      <c r="F12" s="33" t="s">
        <v>35</v>
      </c>
      <c r="G12" s="4"/>
      <c r="H12" s="4"/>
      <c r="I12" s="5"/>
    </row>
    <row r="13" ht="15.75" customHeight="1">
      <c r="B13" s="34" t="s">
        <v>36</v>
      </c>
      <c r="C13" s="34" t="s">
        <v>37</v>
      </c>
      <c r="D13" s="34" t="s">
        <v>38</v>
      </c>
      <c r="E13" s="34" t="s">
        <v>28</v>
      </c>
      <c r="F13" s="35" t="str">
        <f>B7</f>
        <v>Abaixo 75%</v>
      </c>
      <c r="G13" s="35" t="str">
        <f>B8</f>
        <v>De 75 a 100%</v>
      </c>
      <c r="H13" s="35" t="str">
        <f>B9</f>
        <v>De 101 a 120%</v>
      </c>
      <c r="I13" s="35" t="str">
        <f>B10</f>
        <v>Acima de 120%</v>
      </c>
    </row>
    <row r="14" ht="15.75" customHeight="1">
      <c r="B14" s="36" t="s">
        <v>39</v>
      </c>
      <c r="C14" s="37">
        <v>0.3</v>
      </c>
      <c r="D14" s="9">
        <v>20.0</v>
      </c>
      <c r="E14" s="22">
        <f t="shared" ref="E14:E15" si="1">C14*$C$4</f>
        <v>144</v>
      </c>
      <c r="F14" s="22">
        <f t="shared" ref="F14:F15" si="2">$E14/$D14*$C$7</f>
        <v>5.76</v>
      </c>
      <c r="G14" s="22">
        <f t="shared" ref="G14:G15" si="3">$E14/$D14*$C$8</f>
        <v>7.2</v>
      </c>
      <c r="H14" s="22">
        <f t="shared" ref="H14:H15" si="4">$E14/$D14*$C$9</f>
        <v>8.64</v>
      </c>
      <c r="I14" s="22">
        <f t="shared" ref="I14:I15" si="5">$E14/$D14*$C$10</f>
        <v>10.8</v>
      </c>
    </row>
    <row r="15" ht="15.75" customHeight="1">
      <c r="B15" s="38" t="s">
        <v>40</v>
      </c>
      <c r="C15" s="37">
        <v>0.7</v>
      </c>
      <c r="D15" s="9">
        <v>10.0</v>
      </c>
      <c r="E15" s="22">
        <f t="shared" si="1"/>
        <v>336</v>
      </c>
      <c r="F15" s="22">
        <f t="shared" si="2"/>
        <v>26.88</v>
      </c>
      <c r="G15" s="22">
        <f t="shared" si="3"/>
        <v>33.6</v>
      </c>
      <c r="H15" s="22">
        <f t="shared" si="4"/>
        <v>40.32</v>
      </c>
      <c r="I15" s="22">
        <f t="shared" si="5"/>
        <v>50.4</v>
      </c>
    </row>
    <row r="16" ht="15.75" customHeight="1">
      <c r="B16" s="39"/>
      <c r="C16" s="40"/>
      <c r="D16" s="28"/>
      <c r="E16" s="28"/>
      <c r="F16" s="41"/>
      <c r="G16" s="25"/>
      <c r="H16" s="25"/>
      <c r="I16" s="28"/>
    </row>
    <row r="17" ht="15.75" customHeight="1">
      <c r="B17" s="23" t="s">
        <v>41</v>
      </c>
      <c r="C17" s="5"/>
      <c r="D17" s="28"/>
      <c r="E17" s="28"/>
      <c r="F17" s="42">
        <f>E14+E15</f>
        <v>480</v>
      </c>
      <c r="G17" s="25"/>
      <c r="H17" s="25"/>
      <c r="I17" s="28"/>
    </row>
    <row r="18" ht="15.75" customHeight="1">
      <c r="B18" s="8" t="s">
        <v>42</v>
      </c>
      <c r="C18" s="15" t="s">
        <v>43</v>
      </c>
      <c r="D18" s="28"/>
      <c r="E18" s="28"/>
      <c r="F18" s="41"/>
      <c r="G18" s="25"/>
      <c r="H18" s="25"/>
      <c r="I18" s="28"/>
    </row>
    <row r="19" ht="15.75" customHeight="1">
      <c r="B19" s="36" t="s">
        <v>44</v>
      </c>
      <c r="C19" s="9">
        <v>50.0</v>
      </c>
      <c r="D19" s="28"/>
      <c r="E19" s="28"/>
      <c r="F19" s="41"/>
      <c r="G19" s="25"/>
      <c r="H19" s="25"/>
      <c r="I19" s="28"/>
    </row>
    <row r="20" ht="15.75" customHeight="1">
      <c r="B20" s="8" t="s">
        <v>45</v>
      </c>
      <c r="C20" s="43">
        <v>0.3</v>
      </c>
      <c r="D20" s="28"/>
      <c r="E20" s="28"/>
      <c r="F20" s="41"/>
      <c r="G20" s="25"/>
      <c r="H20" s="25"/>
      <c r="I20" s="28"/>
    </row>
    <row r="21" ht="15.75" customHeight="1">
      <c r="B21" s="36" t="s">
        <v>46</v>
      </c>
      <c r="C21" s="22">
        <f>IFERROR(IF(C18="Não","-",C4*C20/C19),"-")</f>
        <v>2.88</v>
      </c>
      <c r="D21" s="28"/>
      <c r="E21" s="28"/>
      <c r="F21" s="41"/>
      <c r="G21" s="25"/>
      <c r="H21" s="25"/>
      <c r="I21" s="28"/>
    </row>
    <row r="22" ht="15.75" customHeight="1">
      <c r="B22" s="8" t="s">
        <v>47</v>
      </c>
      <c r="C22" s="22">
        <f>IFERROR(IF(C18="Não","-",C21*C19),"-")</f>
        <v>144</v>
      </c>
      <c r="D22" s="28"/>
      <c r="E22" s="28"/>
      <c r="F22" s="41"/>
      <c r="G22" s="25"/>
      <c r="H22" s="25"/>
      <c r="I22" s="28"/>
    </row>
    <row r="23" ht="15.75" customHeight="1">
      <c r="B23" s="20"/>
      <c r="C23" s="40"/>
      <c r="D23" s="28"/>
      <c r="E23" s="28"/>
      <c r="F23" s="41"/>
      <c r="G23" s="25"/>
      <c r="H23" s="25"/>
      <c r="I23" s="28"/>
    </row>
    <row r="24" ht="15.75" customHeight="1">
      <c r="B24" s="20"/>
      <c r="C24" s="40"/>
      <c r="D24" s="28"/>
      <c r="E24" s="28"/>
      <c r="F24" s="41"/>
      <c r="G24" s="25"/>
      <c r="H24" s="25"/>
      <c r="I24" s="28"/>
    </row>
    <row r="25" ht="15.75" customHeight="1">
      <c r="B25" s="23" t="s">
        <v>48</v>
      </c>
      <c r="C25" s="5"/>
      <c r="D25" s="28"/>
      <c r="E25" s="28"/>
      <c r="F25" s="41"/>
      <c r="G25" s="25"/>
      <c r="H25" s="25"/>
      <c r="I25" s="28"/>
    </row>
    <row r="26" ht="15.75" customHeight="1">
      <c r="B26" s="8" t="s">
        <v>20</v>
      </c>
      <c r="C26" s="44">
        <f>'Calculadora de Salário Alvo (OT'!C14</f>
        <v>1600</v>
      </c>
      <c r="D26" s="28"/>
      <c r="E26" s="28"/>
      <c r="F26" s="41"/>
      <c r="G26" s="25"/>
      <c r="H26" s="25"/>
      <c r="I26" s="28"/>
    </row>
    <row r="27" ht="15.75" customHeight="1">
      <c r="B27" s="8" t="s">
        <v>49</v>
      </c>
      <c r="C27" s="44">
        <f>C4</f>
        <v>480</v>
      </c>
      <c r="D27" s="28"/>
      <c r="E27" s="28"/>
      <c r="F27" s="41"/>
      <c r="G27" s="25"/>
      <c r="H27" s="25"/>
      <c r="I27" s="28"/>
    </row>
    <row r="28" ht="15.75" customHeight="1">
      <c r="B28" s="8" t="s">
        <v>50</v>
      </c>
      <c r="C28" s="44">
        <f>IF(C18="Não","-",C22)</f>
        <v>144</v>
      </c>
      <c r="D28" s="28"/>
      <c r="E28" s="28"/>
      <c r="F28" s="41"/>
      <c r="G28" s="25"/>
      <c r="H28" s="25"/>
      <c r="I28" s="28"/>
    </row>
    <row r="29" ht="15.75" customHeight="1">
      <c r="B29" s="8" t="s">
        <v>51</v>
      </c>
      <c r="C29" s="45">
        <f>SUM(C26:C28)</f>
        <v>2224</v>
      </c>
      <c r="D29" s="28"/>
      <c r="E29" s="28"/>
      <c r="F29" s="41"/>
      <c r="G29" s="25"/>
      <c r="H29" s="25"/>
      <c r="I29" s="28"/>
    </row>
    <row r="30" ht="15.75" customHeight="1">
      <c r="B30" s="28"/>
      <c r="C30" s="40"/>
      <c r="D30" s="28"/>
      <c r="E30" s="28"/>
      <c r="F30" s="41"/>
      <c r="G30" s="25"/>
      <c r="H30" s="25"/>
      <c r="I30" s="28"/>
    </row>
    <row r="31" ht="15.75" customHeight="1">
      <c r="B31" s="20" t="s">
        <v>52</v>
      </c>
      <c r="C31" s="40"/>
      <c r="D31" s="28"/>
      <c r="E31" s="28"/>
      <c r="F31" s="41"/>
      <c r="G31" s="25"/>
      <c r="H31" s="25"/>
      <c r="I31" s="28"/>
    </row>
    <row r="32" ht="15.75" customHeight="1">
      <c r="B32" s="19" t="s">
        <v>53</v>
      </c>
      <c r="C32" s="46"/>
      <c r="D32" s="47"/>
      <c r="E32" s="28"/>
      <c r="F32" s="25"/>
      <c r="G32" s="48"/>
      <c r="H32" s="48"/>
      <c r="I32" s="49"/>
    </row>
    <row r="33" ht="15.75" customHeight="1">
      <c r="B33" s="19" t="s">
        <v>54</v>
      </c>
      <c r="C33" s="25"/>
      <c r="D33" s="50"/>
      <c r="E33" s="25"/>
      <c r="F33" s="25"/>
      <c r="I33" s="40"/>
    </row>
    <row r="34" ht="15.75" customHeight="1">
      <c r="B34" s="19" t="s">
        <v>55</v>
      </c>
      <c r="C34" s="25"/>
      <c r="D34" s="50"/>
      <c r="E34" s="25"/>
      <c r="F34" s="25"/>
      <c r="I34" s="40"/>
    </row>
    <row r="35" ht="15.75" customHeight="1">
      <c r="B35" s="19" t="s">
        <v>56</v>
      </c>
      <c r="D35" s="50"/>
      <c r="E35" s="25"/>
      <c r="F35" s="25"/>
      <c r="G35" s="51"/>
      <c r="I35" s="40"/>
    </row>
    <row r="36" ht="15.75" customHeight="1">
      <c r="B36" s="51"/>
      <c r="C36" s="51"/>
      <c r="D36" s="51"/>
      <c r="E36" s="25"/>
      <c r="F36" s="25"/>
      <c r="G36" s="51"/>
      <c r="I36" s="5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I2"/>
    <mergeCell ref="F4:G4"/>
    <mergeCell ref="B6:C6"/>
    <mergeCell ref="B12:E12"/>
    <mergeCell ref="F12:I12"/>
    <mergeCell ref="B17:C17"/>
    <mergeCell ref="B25:C25"/>
  </mergeCells>
  <conditionalFormatting sqref="D32">
    <cfRule type="cellIs" dxfId="1" priority="1" operator="greaterThan">
      <formula>C19</formula>
    </cfRule>
  </conditionalFormatting>
  <dataValidations>
    <dataValidation type="list" allowBlank="1" sqref="C18">
      <formula1>"Sim,Não"</formula1>
    </dataValidation>
    <dataValidation type="list" allowBlank="1" sqref="C20">
      <formula1>Apoio!$C$25:$C$30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1.5"/>
    <col customWidth="1" min="2" max="2" width="18.0"/>
    <col customWidth="1" min="3" max="3" width="16.88"/>
    <col customWidth="1" min="4" max="4" width="16.0"/>
    <col customWidth="1" min="5" max="5" width="15.88"/>
    <col customWidth="1" min="6" max="7" width="14.88"/>
    <col customWidth="1" min="8" max="8" width="1.5"/>
  </cols>
  <sheetData>
    <row r="1" ht="7.5" customHeight="1"/>
    <row r="2" ht="33.0" customHeight="1">
      <c r="A2" s="1"/>
      <c r="B2" s="2"/>
      <c r="C2" s="3" t="s">
        <v>57</v>
      </c>
      <c r="D2" s="4"/>
      <c r="E2" s="4"/>
      <c r="F2" s="4"/>
      <c r="G2" s="5"/>
      <c r="H2" s="1"/>
    </row>
    <row r="3" ht="16.5" customHeight="1">
      <c r="A3" s="1"/>
      <c r="B3" s="40"/>
      <c r="C3" s="40"/>
      <c r="D3" s="40"/>
      <c r="E3" s="40"/>
      <c r="G3" s="52"/>
      <c r="H3" s="1"/>
    </row>
    <row r="4" ht="15.75" customHeight="1">
      <c r="B4" s="34" t="s">
        <v>58</v>
      </c>
      <c r="C4" s="34" t="s">
        <v>38</v>
      </c>
      <c r="D4" s="34" t="s">
        <v>59</v>
      </c>
      <c r="E4" s="34" t="s">
        <v>60</v>
      </c>
      <c r="F4" s="34" t="s">
        <v>61</v>
      </c>
      <c r="G4" s="34" t="s">
        <v>62</v>
      </c>
    </row>
    <row r="5" ht="15.75" customHeight="1">
      <c r="B5" s="53" t="s">
        <v>63</v>
      </c>
      <c r="C5" s="9">
        <v>25.0</v>
      </c>
      <c r="D5" s="9">
        <v>20.0</v>
      </c>
      <c r="E5" s="54">
        <f t="shared" ref="E5:E7" si="1">IFERROR(D5/C5,1)</f>
        <v>0.8</v>
      </c>
      <c r="F5" s="22">
        <f t="array" ref="F5">IFERROR(INDEX(Apoio!F15:F18,MATCH(TRUE(),Apoio!I15:I18,0)),"")</f>
        <v>7.2</v>
      </c>
    </row>
    <row r="6" ht="15.75" customHeight="1">
      <c r="B6" s="55" t="s">
        <v>64</v>
      </c>
      <c r="C6" s="9">
        <v>15.0</v>
      </c>
      <c r="D6" s="9">
        <v>12.0</v>
      </c>
      <c r="E6" s="54">
        <f t="shared" si="1"/>
        <v>0.8</v>
      </c>
      <c r="F6" s="22">
        <f t="array" ref="F6">IFERROR(INDEX(Apoio!F21:F24,MATCH(TRUE(),Apoio!I21:I24,0)),"")</f>
        <v>33.6</v>
      </c>
      <c r="G6" s="22">
        <f>F5*D5</f>
        <v>144</v>
      </c>
    </row>
    <row r="7" ht="15.75" customHeight="1">
      <c r="B7" s="53" t="s">
        <v>65</v>
      </c>
      <c r="C7" s="9">
        <v>5.0</v>
      </c>
      <c r="D7" s="9">
        <v>3.0</v>
      </c>
      <c r="E7" s="54">
        <f t="shared" si="1"/>
        <v>0.6</v>
      </c>
      <c r="F7" s="22">
        <f>'Calculadora de Salário Variável'!C21</f>
        <v>2.88</v>
      </c>
      <c r="G7" s="22">
        <f>F7*D7</f>
        <v>8.64</v>
      </c>
    </row>
    <row r="8" ht="15.75" customHeight="1">
      <c r="B8" s="56"/>
      <c r="C8" s="56"/>
      <c r="D8" s="56"/>
      <c r="E8" s="56"/>
      <c r="G8" s="13">
        <f>SUM(G6:G7)</f>
        <v>152.64</v>
      </c>
    </row>
    <row r="9" ht="15.75" customHeight="1">
      <c r="B9" s="56"/>
      <c r="C9" s="56"/>
      <c r="D9" s="56"/>
      <c r="E9" s="56"/>
      <c r="F9" s="57"/>
    </row>
    <row r="10" ht="15.75" customHeight="1">
      <c r="B10" s="23" t="s">
        <v>66</v>
      </c>
      <c r="C10" s="5"/>
      <c r="D10" s="56"/>
      <c r="E10" s="7" t="s">
        <v>2</v>
      </c>
      <c r="F10" s="5"/>
    </row>
    <row r="11" ht="15.75" customHeight="1">
      <c r="B11" s="53" t="s">
        <v>67</v>
      </c>
      <c r="C11" s="58">
        <f>'Calculadora de Salário Alvo (OT'!C14</f>
        <v>1600</v>
      </c>
      <c r="D11" s="56"/>
      <c r="E11" s="10" t="s">
        <v>5</v>
      </c>
      <c r="F11" s="11"/>
      <c r="G11" s="48"/>
    </row>
    <row r="12" ht="15.75" customHeight="1">
      <c r="B12" s="55" t="s">
        <v>49</v>
      </c>
      <c r="C12" s="44">
        <f>SUM(G6)</f>
        <v>144</v>
      </c>
      <c r="D12" s="56"/>
      <c r="E12" s="10" t="s">
        <v>8</v>
      </c>
      <c r="F12" s="59"/>
      <c r="G12" s="48"/>
    </row>
    <row r="13" ht="15.75" customHeight="1">
      <c r="B13" s="53" t="s">
        <v>68</v>
      </c>
      <c r="C13" s="44">
        <f>G7</f>
        <v>8.64</v>
      </c>
      <c r="D13" s="56"/>
      <c r="E13" s="10" t="s">
        <v>11</v>
      </c>
      <c r="F13" s="13"/>
      <c r="G13" s="48"/>
    </row>
    <row r="14" ht="15.75" customHeight="1">
      <c r="B14" s="34" t="s">
        <v>69</v>
      </c>
      <c r="C14" s="60">
        <f>SUM(C10:C12)</f>
        <v>1744</v>
      </c>
      <c r="D14" s="56"/>
      <c r="G14" s="48"/>
    </row>
    <row r="15" ht="15.75" customHeight="1"/>
    <row r="16" ht="15.75" customHeight="1">
      <c r="G16" s="48"/>
    </row>
    <row r="17" ht="15.75" customHeight="1" outlineLevel="1">
      <c r="B17" s="23" t="s">
        <v>70</v>
      </c>
      <c r="C17" s="5"/>
      <c r="G17" s="25"/>
    </row>
    <row r="18" ht="15.75" customHeight="1" outlineLevel="1">
      <c r="B18" s="53" t="s">
        <v>71</v>
      </c>
      <c r="C18" s="44">
        <f>C14</f>
        <v>1744</v>
      </c>
      <c r="G18" s="25"/>
    </row>
    <row r="19" ht="15.75" customHeight="1" outlineLevel="1">
      <c r="B19" s="55" t="s">
        <v>72</v>
      </c>
      <c r="C19" s="58">
        <f>'Calculadora de Salário Alvo (OT'!C16</f>
        <v>2080</v>
      </c>
      <c r="D19" s="50"/>
      <c r="G19" s="25"/>
    </row>
    <row r="20" ht="15.75" customHeight="1" outlineLevel="1">
      <c r="B20" s="53" t="s">
        <v>73</v>
      </c>
      <c r="C20" s="61">
        <f>C18/C19</f>
        <v>0.8384615385</v>
      </c>
    </row>
    <row r="21" ht="15.75" customHeight="1"/>
    <row r="22" ht="15.75" customHeight="1">
      <c r="B22" s="20" t="s">
        <v>74</v>
      </c>
      <c r="C22" s="48"/>
      <c r="D22" s="48"/>
      <c r="E22" s="48"/>
    </row>
    <row r="23" ht="15.75" customHeight="1">
      <c r="A23" s="1"/>
      <c r="B23" s="19" t="s">
        <v>75</v>
      </c>
      <c r="C23" s="48"/>
      <c r="D23" s="48"/>
      <c r="E23" s="48"/>
      <c r="H23" s="1"/>
    </row>
    <row r="24" ht="15.75" customHeight="1">
      <c r="B24" s="19"/>
      <c r="C24" s="48"/>
      <c r="D24" s="48"/>
      <c r="E24" s="4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G2"/>
    <mergeCell ref="B10:C10"/>
    <mergeCell ref="E10:F10"/>
    <mergeCell ref="B17:C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>
      <c r="B3" s="62"/>
      <c r="C3" s="30"/>
      <c r="D3" s="30"/>
      <c r="E3" s="30"/>
      <c r="F3" s="30"/>
    </row>
    <row r="4" ht="15.75" customHeight="1">
      <c r="C4" s="63"/>
      <c r="D4" s="63"/>
      <c r="E4" s="63"/>
      <c r="F4" s="63"/>
    </row>
    <row r="5" ht="15.75" customHeight="1"/>
    <row r="6" ht="15.75" customHeight="1">
      <c r="B6" s="64" t="s">
        <v>76</v>
      </c>
      <c r="C6" s="65" t="s">
        <v>77</v>
      </c>
      <c r="D6" s="65" t="s">
        <v>78</v>
      </c>
      <c r="E6" s="65" t="s">
        <v>79</v>
      </c>
    </row>
    <row r="7" ht="15.75" customHeight="1">
      <c r="B7" s="66">
        <v>1.0</v>
      </c>
      <c r="C7" s="67">
        <f t="shared" ref="C7:C9" si="1">C8-20%</f>
        <v>0.4</v>
      </c>
      <c r="D7" s="68">
        <v>0.5</v>
      </c>
      <c r="E7" s="68">
        <v>0.6</v>
      </c>
    </row>
    <row r="8" ht="15.75" customHeight="1">
      <c r="B8" s="66">
        <v>2.0</v>
      </c>
      <c r="C8" s="67">
        <f t="shared" si="1"/>
        <v>0.6</v>
      </c>
      <c r="D8" s="68">
        <v>0.7</v>
      </c>
      <c r="E8" s="68">
        <v>0.8</v>
      </c>
    </row>
    <row r="9" ht="15.75" customHeight="1">
      <c r="B9" s="66">
        <v>3.0</v>
      </c>
      <c r="C9" s="67">
        <f t="shared" si="1"/>
        <v>0.8</v>
      </c>
      <c r="D9" s="68">
        <v>0.9</v>
      </c>
      <c r="E9" s="68">
        <v>1.0</v>
      </c>
    </row>
    <row r="10" ht="15.75" customHeight="1">
      <c r="B10" s="66" t="s">
        <v>80</v>
      </c>
      <c r="C10" s="67">
        <v>1.0</v>
      </c>
      <c r="D10" s="68">
        <v>1.1</v>
      </c>
      <c r="E10" s="68">
        <v>1.2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7.13"/>
    <col customWidth="1" min="9" max="9" width="34.88"/>
    <col customWidth="1" min="12" max="12" width="20.63"/>
  </cols>
  <sheetData>
    <row r="1" ht="15.75" customHeight="1"/>
    <row r="2" ht="15.75" customHeight="1"/>
    <row r="3" ht="15.75" customHeight="1"/>
    <row r="4" ht="15.75" customHeight="1">
      <c r="A4" s="56" t="s">
        <v>81</v>
      </c>
      <c r="C4" s="56" t="s">
        <v>82</v>
      </c>
      <c r="F4" s="56" t="s">
        <v>83</v>
      </c>
      <c r="I4" s="56" t="s">
        <v>84</v>
      </c>
      <c r="L4" s="56" t="s">
        <v>85</v>
      </c>
      <c r="O4" s="56" t="s">
        <v>14</v>
      </c>
      <c r="R4" s="56" t="s">
        <v>18</v>
      </c>
      <c r="T4" s="56" t="s">
        <v>86</v>
      </c>
    </row>
    <row r="5" ht="15.75" customHeight="1">
      <c r="A5" s="56">
        <v>1650.0</v>
      </c>
      <c r="C5" s="56" t="s">
        <v>10</v>
      </c>
      <c r="D5" s="56">
        <v>1.0</v>
      </c>
      <c r="F5" s="56" t="s">
        <v>87</v>
      </c>
      <c r="G5" s="56">
        <v>0.9</v>
      </c>
      <c r="I5" s="56" t="s">
        <v>13</v>
      </c>
      <c r="J5" s="56">
        <v>1.0</v>
      </c>
      <c r="L5" s="56" t="s">
        <v>88</v>
      </c>
      <c r="M5" s="56">
        <v>0.7</v>
      </c>
      <c r="O5" s="56" t="s">
        <v>15</v>
      </c>
      <c r="P5" s="56">
        <v>0.7</v>
      </c>
      <c r="R5" s="69">
        <v>0.2</v>
      </c>
      <c r="T5" s="56" t="s">
        <v>89</v>
      </c>
      <c r="U5" s="56">
        <v>1.0</v>
      </c>
    </row>
    <row r="6" ht="15.75" customHeight="1">
      <c r="C6" s="56" t="s">
        <v>90</v>
      </c>
      <c r="D6" s="56">
        <v>0.9</v>
      </c>
      <c r="F6" s="56" t="s">
        <v>7</v>
      </c>
      <c r="G6" s="56">
        <v>1.0</v>
      </c>
      <c r="I6" s="56" t="s">
        <v>91</v>
      </c>
      <c r="J6" s="56">
        <v>0.8</v>
      </c>
      <c r="L6" s="56" t="s">
        <v>92</v>
      </c>
      <c r="M6" s="56">
        <v>0.8</v>
      </c>
      <c r="O6" s="56" t="s">
        <v>93</v>
      </c>
      <c r="P6" s="56">
        <v>1.0</v>
      </c>
      <c r="R6" s="69">
        <v>0.3</v>
      </c>
      <c r="T6" s="56" t="s">
        <v>17</v>
      </c>
      <c r="U6" s="56">
        <v>1.2</v>
      </c>
    </row>
    <row r="7" ht="15.75" customHeight="1">
      <c r="C7" s="56" t="s">
        <v>94</v>
      </c>
      <c r="D7" s="56">
        <v>0.9</v>
      </c>
      <c r="L7" s="56" t="s">
        <v>95</v>
      </c>
      <c r="M7" s="56">
        <v>0.9</v>
      </c>
      <c r="O7" s="56" t="s">
        <v>96</v>
      </c>
      <c r="P7" s="56">
        <v>1.3</v>
      </c>
      <c r="R7" s="69">
        <v>0.4</v>
      </c>
    </row>
    <row r="8" ht="15.75" customHeight="1">
      <c r="C8" s="56" t="s">
        <v>97</v>
      </c>
      <c r="D8" s="56">
        <v>0.8</v>
      </c>
      <c r="L8" s="56" t="s">
        <v>98</v>
      </c>
      <c r="M8" s="56">
        <v>1.0</v>
      </c>
      <c r="R8" s="69">
        <v>0.5</v>
      </c>
    </row>
    <row r="9" ht="15.75" customHeight="1">
      <c r="C9" s="56" t="s">
        <v>99</v>
      </c>
      <c r="D9" s="56">
        <v>0.8</v>
      </c>
      <c r="L9" s="56" t="s">
        <v>100</v>
      </c>
      <c r="M9" s="56">
        <v>1.0</v>
      </c>
      <c r="R9" s="69">
        <v>0.7</v>
      </c>
    </row>
    <row r="10" ht="15.75" customHeight="1">
      <c r="L10" s="56" t="s">
        <v>4</v>
      </c>
      <c r="M10" s="56">
        <v>1.0</v>
      </c>
      <c r="R10" s="69">
        <v>1.0</v>
      </c>
    </row>
    <row r="11" ht="15.75" customHeight="1">
      <c r="R11" s="69"/>
    </row>
    <row r="12" ht="15.75" customHeight="1">
      <c r="R12" s="69"/>
    </row>
    <row r="13" ht="15.75" customHeight="1"/>
    <row r="14" ht="15.75" customHeight="1">
      <c r="G14" s="56" t="s">
        <v>63</v>
      </c>
      <c r="H14" s="69">
        <f>'Simulador de Comissão'!E5</f>
        <v>0.8</v>
      </c>
    </row>
    <row r="15" ht="15.75" customHeight="1">
      <c r="F15" s="70">
        <f>'Calculadora de Salário Variável'!F14</f>
        <v>5.76</v>
      </c>
      <c r="G15" s="63">
        <v>0.0</v>
      </c>
      <c r="H15" s="63">
        <v>0.7498</v>
      </c>
      <c r="I15" s="56" t="b">
        <f t="shared" ref="I15:I18" si="1">AND($H$14&gt;=MIN(G15,H15),$H$14&lt;=MAX(G15,H15))</f>
        <v>0</v>
      </c>
    </row>
    <row r="16" ht="15.75" customHeight="1">
      <c r="F16" s="70">
        <f>'Calculadora de Salário Variável'!G14</f>
        <v>7.2</v>
      </c>
      <c r="G16" s="69">
        <v>0.75</v>
      </c>
      <c r="H16" s="69">
        <v>1.0</v>
      </c>
      <c r="I16" s="56" t="b">
        <f t="shared" si="1"/>
        <v>1</v>
      </c>
    </row>
    <row r="17" ht="15.75" customHeight="1">
      <c r="F17" s="70">
        <f>'Calculadora de Salário Variável'!H14</f>
        <v>8.64</v>
      </c>
      <c r="G17" s="63">
        <v>1.0001</v>
      </c>
      <c r="H17" s="69">
        <v>1.2</v>
      </c>
      <c r="I17" s="56" t="b">
        <f t="shared" si="1"/>
        <v>0</v>
      </c>
    </row>
    <row r="18" ht="15.75" customHeight="1">
      <c r="F18" s="70">
        <f>'Calculadora de Salário Variável'!I14</f>
        <v>10.8</v>
      </c>
      <c r="G18" s="63">
        <v>1.201</v>
      </c>
      <c r="H18" s="69">
        <v>100000.0</v>
      </c>
      <c r="I18" s="56" t="b">
        <f t="shared" si="1"/>
        <v>0</v>
      </c>
    </row>
    <row r="19" ht="15.75" customHeight="1"/>
    <row r="20" ht="15.75" customHeight="1">
      <c r="G20" s="56" t="s">
        <v>64</v>
      </c>
      <c r="H20" s="69">
        <f>'Simulador de Comissão'!E6</f>
        <v>0.8</v>
      </c>
    </row>
    <row r="21" ht="15.75" customHeight="1">
      <c r="F21" s="70">
        <f>'Calculadora de Salário Variável'!F15</f>
        <v>26.88</v>
      </c>
      <c r="G21" s="63">
        <v>0.0</v>
      </c>
      <c r="H21" s="63">
        <v>0.7499</v>
      </c>
      <c r="I21" s="56" t="b">
        <f t="shared" ref="I21:I24" si="2">AND($H$20&gt;=MIN(G21,H21),$H$20&lt;=MAX(G21,H21))</f>
        <v>0</v>
      </c>
    </row>
    <row r="22" ht="15.75" customHeight="1">
      <c r="F22" s="70">
        <f>'Calculadora de Salário Variável'!G15</f>
        <v>33.6</v>
      </c>
      <c r="G22" s="63">
        <v>0.75</v>
      </c>
      <c r="H22" s="63">
        <v>1.0</v>
      </c>
      <c r="I22" s="56" t="b">
        <f t="shared" si="2"/>
        <v>1</v>
      </c>
    </row>
    <row r="23" ht="15.75" customHeight="1">
      <c r="F23" s="70">
        <f>'Calculadora de Salário Variável'!H15</f>
        <v>40.32</v>
      </c>
      <c r="G23" s="63">
        <v>1.0001</v>
      </c>
      <c r="H23" s="63">
        <v>1.2</v>
      </c>
      <c r="I23" s="56" t="b">
        <f t="shared" si="2"/>
        <v>0</v>
      </c>
    </row>
    <row r="24" ht="15.75" customHeight="1">
      <c r="C24" s="56" t="s">
        <v>68</v>
      </c>
      <c r="F24" s="70">
        <f>'Calculadora de Salário Variável'!I15</f>
        <v>50.4</v>
      </c>
      <c r="G24" s="63">
        <v>1.201</v>
      </c>
      <c r="H24" s="63">
        <v>100000.0</v>
      </c>
      <c r="I24" s="56" t="b">
        <f t="shared" si="2"/>
        <v>0</v>
      </c>
    </row>
    <row r="25" ht="15.75" customHeight="1">
      <c r="C25" s="69">
        <v>0.2</v>
      </c>
    </row>
    <row r="26" ht="15.75" customHeight="1">
      <c r="C26" s="69">
        <v>0.3</v>
      </c>
    </row>
    <row r="27" ht="15.75" customHeight="1">
      <c r="C27" s="69">
        <v>0.4</v>
      </c>
    </row>
    <row r="28" ht="15.75" customHeight="1">
      <c r="C28" s="69">
        <v>0.5</v>
      </c>
    </row>
    <row r="29" ht="15.75" customHeight="1">
      <c r="C29" s="69">
        <v>0.7</v>
      </c>
    </row>
    <row r="30" ht="15.75" customHeight="1">
      <c r="C30" s="69">
        <v>1.0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3.5"/>
    <col customWidth="1" min="3" max="3" width="12.63"/>
    <col customWidth="1" min="4" max="4" width="11.38"/>
    <col customWidth="1" min="5" max="6" width="12.63"/>
    <col customWidth="1" min="12" max="12" width="3.5"/>
    <col customWidth="1" min="13" max="13" width="1.88"/>
  </cols>
  <sheetData>
    <row r="1" ht="15.75" customHeight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ht="32.25" customHeight="1">
      <c r="A2" s="72"/>
      <c r="B2" s="72"/>
      <c r="C2" s="2"/>
      <c r="D2" s="72"/>
      <c r="E2" s="73" t="s">
        <v>101</v>
      </c>
      <c r="F2" s="4"/>
      <c r="G2" s="4"/>
      <c r="H2" s="4"/>
      <c r="I2" s="4"/>
      <c r="J2" s="4"/>
      <c r="K2" s="4"/>
      <c r="L2" s="5"/>
      <c r="M2" s="72"/>
    </row>
    <row r="3" ht="15.7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</row>
    <row r="4" ht="15.75" customHeight="1">
      <c r="A4" s="71"/>
      <c r="B4" s="74" t="s">
        <v>102</v>
      </c>
      <c r="C4" s="75"/>
      <c r="D4" s="75"/>
      <c r="E4" s="75"/>
      <c r="F4" s="75"/>
      <c r="G4" s="75"/>
      <c r="H4" s="75"/>
      <c r="I4" s="75"/>
      <c r="J4" s="75"/>
      <c r="K4" s="75"/>
      <c r="L4" s="76"/>
      <c r="M4" s="71"/>
    </row>
    <row r="5" ht="15.75" customHeight="1">
      <c r="A5" s="71"/>
      <c r="B5" s="77"/>
      <c r="C5" s="78"/>
      <c r="D5" s="78"/>
      <c r="E5" s="78"/>
      <c r="F5" s="78"/>
      <c r="G5" s="78"/>
      <c r="H5" s="78"/>
      <c r="I5" s="78"/>
      <c r="J5" s="78"/>
      <c r="K5" s="78"/>
      <c r="L5" s="79"/>
      <c r="M5" s="71"/>
    </row>
    <row r="6" ht="15.75" customHeight="1">
      <c r="A6" s="71"/>
      <c r="B6" s="77"/>
      <c r="C6" s="80" t="s">
        <v>103</v>
      </c>
      <c r="L6" s="79"/>
      <c r="M6" s="71"/>
    </row>
    <row r="7" ht="15.75" customHeight="1">
      <c r="A7" s="71"/>
      <c r="B7" s="77"/>
      <c r="L7" s="79"/>
      <c r="M7" s="71"/>
    </row>
    <row r="8" ht="15.75" customHeight="1">
      <c r="A8" s="71"/>
      <c r="B8" s="81"/>
      <c r="C8" s="82"/>
      <c r="D8" s="82"/>
      <c r="E8" s="82"/>
      <c r="F8" s="82"/>
      <c r="G8" s="82"/>
      <c r="H8" s="82"/>
      <c r="I8" s="82"/>
      <c r="J8" s="82"/>
      <c r="K8" s="82"/>
      <c r="L8" s="83"/>
      <c r="M8" s="71"/>
    </row>
    <row r="9" ht="15.75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</row>
    <row r="10" ht="15.75" customHeight="1">
      <c r="A10" s="71"/>
      <c r="B10" s="74" t="s">
        <v>104</v>
      </c>
      <c r="C10" s="75"/>
      <c r="D10" s="75"/>
      <c r="E10" s="75"/>
      <c r="F10" s="75"/>
      <c r="G10" s="75"/>
      <c r="H10" s="75"/>
      <c r="I10" s="75"/>
      <c r="J10" s="75"/>
      <c r="K10" s="75"/>
      <c r="L10" s="76"/>
      <c r="M10" s="71"/>
    </row>
    <row r="11" ht="15.75" customHeight="1">
      <c r="A11" s="71"/>
      <c r="B11" s="77"/>
      <c r="C11" s="78"/>
      <c r="D11" s="78"/>
      <c r="E11" s="78"/>
      <c r="F11" s="78"/>
      <c r="G11" s="78"/>
      <c r="H11" s="78"/>
      <c r="I11" s="78"/>
      <c r="J11" s="78"/>
      <c r="K11" s="78"/>
      <c r="L11" s="79"/>
      <c r="M11" s="71"/>
    </row>
    <row r="12" ht="15.75" customHeight="1">
      <c r="A12" s="72"/>
      <c r="B12" s="84"/>
      <c r="C12" s="85"/>
      <c r="D12" s="86"/>
      <c r="E12" s="86"/>
      <c r="F12" s="87"/>
      <c r="G12" s="78"/>
      <c r="H12" s="88"/>
      <c r="I12" s="86"/>
      <c r="J12" s="86"/>
      <c r="K12" s="87"/>
      <c r="L12" s="89"/>
      <c r="M12" s="72"/>
    </row>
    <row r="13" ht="15.75" customHeight="1">
      <c r="A13" s="72"/>
      <c r="B13" s="84"/>
      <c r="C13" s="90"/>
      <c r="D13" s="91"/>
      <c r="E13" s="91"/>
      <c r="F13" s="92"/>
      <c r="G13" s="78"/>
      <c r="H13" s="90"/>
      <c r="I13" s="91"/>
      <c r="J13" s="91"/>
      <c r="K13" s="92"/>
      <c r="L13" s="89"/>
      <c r="M13" s="72"/>
    </row>
    <row r="14" ht="15.75" customHeight="1">
      <c r="A14" s="71"/>
      <c r="B14" s="77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71"/>
    </row>
    <row r="15" ht="15.75" customHeight="1">
      <c r="A15" s="71"/>
      <c r="B15" s="77"/>
      <c r="C15" s="88"/>
      <c r="D15" s="86"/>
      <c r="E15" s="86"/>
      <c r="F15" s="87"/>
      <c r="G15" s="78"/>
      <c r="H15" s="85"/>
      <c r="I15" s="86"/>
      <c r="J15" s="86"/>
      <c r="K15" s="87"/>
      <c r="L15" s="79"/>
      <c r="M15" s="71"/>
    </row>
    <row r="16" ht="15.75" customHeight="1">
      <c r="A16" s="71"/>
      <c r="B16" s="77"/>
      <c r="C16" s="90"/>
      <c r="D16" s="91"/>
      <c r="E16" s="91"/>
      <c r="F16" s="92"/>
      <c r="G16" s="78"/>
      <c r="H16" s="90"/>
      <c r="I16" s="91"/>
      <c r="J16" s="91"/>
      <c r="K16" s="92"/>
      <c r="L16" s="79"/>
      <c r="M16" s="71"/>
    </row>
    <row r="17" ht="15.75" customHeight="1">
      <c r="A17" s="71"/>
      <c r="B17" s="77"/>
      <c r="C17" s="78"/>
      <c r="D17" s="78"/>
      <c r="E17" s="78"/>
      <c r="F17" s="78"/>
      <c r="G17" s="78"/>
      <c r="H17" s="78"/>
      <c r="I17" s="78"/>
      <c r="J17" s="78"/>
      <c r="K17" s="78"/>
      <c r="L17" s="79"/>
      <c r="M17" s="71"/>
    </row>
    <row r="18" ht="15.75" customHeight="1">
      <c r="A18" s="71"/>
      <c r="B18" s="81"/>
      <c r="C18" s="82"/>
      <c r="D18" s="82"/>
      <c r="E18" s="82"/>
      <c r="F18" s="82"/>
      <c r="G18" s="82"/>
      <c r="H18" s="82"/>
      <c r="I18" s="82"/>
      <c r="J18" s="82"/>
      <c r="K18" s="82"/>
      <c r="L18" s="83"/>
      <c r="M18" s="71"/>
    </row>
    <row r="19" ht="15.7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</row>
    <row r="20" ht="15.75" customHeight="1">
      <c r="A20" s="71"/>
      <c r="B20" s="71"/>
      <c r="C20" s="93" t="s">
        <v>105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</row>
    <row r="21" ht="15.75" customHeight="1">
      <c r="A21" s="71"/>
      <c r="B21" s="71"/>
      <c r="C21" s="93" t="s">
        <v>106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</row>
    <row r="22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E2:L2"/>
    <mergeCell ref="B4:L4"/>
    <mergeCell ref="C6:K7"/>
    <mergeCell ref="B10:L10"/>
    <mergeCell ref="C12:F13"/>
    <mergeCell ref="H12:K13"/>
    <mergeCell ref="C15:F16"/>
    <mergeCell ref="H15:K16"/>
  </mergeCells>
  <drawing r:id="rId1"/>
</worksheet>
</file>