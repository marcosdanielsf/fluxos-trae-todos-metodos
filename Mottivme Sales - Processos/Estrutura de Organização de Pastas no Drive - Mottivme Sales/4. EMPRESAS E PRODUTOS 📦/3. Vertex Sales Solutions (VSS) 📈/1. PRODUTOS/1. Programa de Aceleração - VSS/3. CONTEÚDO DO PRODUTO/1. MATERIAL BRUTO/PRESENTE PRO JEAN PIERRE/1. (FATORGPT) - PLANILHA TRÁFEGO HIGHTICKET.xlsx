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INÍCIO - PLANEJEMANTO VERBA" sheetId="1" r:id="rId4"/>
  </sheets>
  <definedNames/>
  <calcPr/>
</workbook>
</file>

<file path=xl/sharedStrings.xml><?xml version="1.0" encoding="utf-8"?>
<sst xmlns="http://schemas.openxmlformats.org/spreadsheetml/2006/main" count="46" uniqueCount="22">
  <si>
    <t>ORÇAMENTO DO FUNIL 1</t>
  </si>
  <si>
    <t>FATURAMENTO ACEITAVEL</t>
  </si>
  <si>
    <t>FATURAMENTO BASEADO NA ESTRATÉGIA AMERICANA</t>
  </si>
  <si>
    <t>Orçamento dia</t>
  </si>
  <si>
    <t>Meta % aplicações</t>
  </si>
  <si>
    <t>Meta % Qualificação</t>
  </si>
  <si>
    <t>orçamento total do seu próximo lançamento</t>
  </si>
  <si>
    <t>Meta Nº de aplicações</t>
  </si>
  <si>
    <t>Meta Nº de Qualificação</t>
  </si>
  <si>
    <t>Meta de custo por lead</t>
  </si>
  <si>
    <t>Meta de leads</t>
  </si>
  <si>
    <t>Meta % conversão</t>
  </si>
  <si>
    <t>Meta % Calls</t>
  </si>
  <si>
    <t>Meta Nº de converções</t>
  </si>
  <si>
    <t>Meta de Calll's realizadas</t>
  </si>
  <si>
    <t>Preço do produto de entrada</t>
  </si>
  <si>
    <t>Meta faturamento</t>
  </si>
  <si>
    <t>Preço do Produto de entrada</t>
  </si>
  <si>
    <t>Meta faturamento + order bump + upsell</t>
  </si>
  <si>
    <t>Meta faturamento aceitável</t>
  </si>
  <si>
    <t>FATURAMENTO ÓTIMO</t>
  </si>
  <si>
    <t>FATURAMENTO EXCELENTE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</si>
</sst>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"/>
    <numFmt numFmtId="165" formatCode="[$R$ -416]#,##0.00"/>
    <numFmt numFmtId="166" formatCode="0.0%"/>
  </numFmts>
  <fonts count="8">
    <font>
      <sz val="10.0"/>
      <color rgb="FF000000"/>
      <name val="Arial"/>
      <scheme val="minor"/>
    </font>
    <font>
      <b/>
      <sz val="10.0"/>
      <color rgb="FFFFFFFF"/>
      <name val="Arial"/>
    </font>
    <font/>
    <font>
      <sz val="10.0"/>
      <color theme="1"/>
      <name val="Arial"/>
    </font>
    <font>
      <sz val="10.0"/>
      <color theme="0"/>
      <name val="Arial"/>
    </font>
    <font>
      <b/>
      <sz val="10.0"/>
      <color theme="1"/>
      <name val="Arial"/>
    </font>
    <font>
      <sz val="10.0"/>
      <color rgb="FF000000"/>
      <name val="Arial"/>
    </font>
    <font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8DB5F8"/>
        <bgColor rgb="FF8DB5F8"/>
      </patternFill>
    </fill>
    <fill>
      <patternFill patternType="solid">
        <fgColor rgb="FFB3CEFA"/>
        <bgColor rgb="FFB3CEFA"/>
      </patternFill>
    </fill>
    <fill>
      <patternFill patternType="solid">
        <fgColor theme="0"/>
        <bgColor theme="0"/>
      </patternFill>
    </fill>
    <fill>
      <patternFill patternType="solid">
        <fgColor rgb="FFD9E6FC"/>
        <bgColor rgb="FFD9E6FC"/>
      </patternFill>
    </fill>
    <fill>
      <patternFill patternType="solid">
        <fgColor rgb="FFA6E3B6"/>
        <bgColor rgb="FFA6E3B6"/>
      </patternFill>
    </fill>
    <fill>
      <patternFill patternType="solid">
        <fgColor rgb="FF7AD592"/>
        <bgColor rgb="FF7AD592"/>
      </patternFill>
    </fill>
  </fills>
  <borders count="1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2" fontId="1" numFmtId="0" xfId="0" applyAlignment="1" applyBorder="1" applyFont="1">
      <alignment horizontal="center"/>
    </xf>
    <xf borderId="4" fillId="0" fontId="2" numFmtId="0" xfId="0" applyBorder="1" applyFont="1"/>
    <xf borderId="0" fillId="0" fontId="4" numFmtId="0" xfId="0" applyFont="1"/>
    <xf borderId="5" fillId="2" fontId="1" numFmtId="0" xfId="0" applyAlignment="1" applyBorder="1" applyFont="1">
      <alignment horizontal="center"/>
    </xf>
    <xf borderId="6" fillId="0" fontId="2" numFmtId="0" xfId="0" applyBorder="1" applyFont="1"/>
    <xf borderId="7" fillId="3" fontId="5" numFmtId="0" xfId="0" applyAlignment="1" applyBorder="1" applyFill="1" applyFont="1">
      <alignment horizontal="left" vertical="top"/>
    </xf>
    <xf borderId="8" fillId="3" fontId="3" numFmtId="164" xfId="0" applyAlignment="1" applyBorder="1" applyFont="1" applyNumberFormat="1">
      <alignment horizontal="right"/>
    </xf>
    <xf borderId="9" fillId="4" fontId="5" numFmtId="0" xfId="0" applyBorder="1" applyFill="1" applyFont="1"/>
    <xf borderId="10" fillId="4" fontId="5" numFmtId="9" xfId="0" applyAlignment="1" applyBorder="1" applyFont="1" applyNumberFormat="1">
      <alignment horizontal="right"/>
    </xf>
    <xf borderId="11" fillId="4" fontId="5" numFmtId="0" xfId="0" applyBorder="1" applyFont="1"/>
    <xf borderId="12" fillId="4" fontId="5" numFmtId="9" xfId="0" applyAlignment="1" applyBorder="1" applyFont="1" applyNumberFormat="1">
      <alignment horizontal="right"/>
    </xf>
    <xf borderId="9" fillId="5" fontId="5" numFmtId="0" xfId="0" applyAlignment="1" applyBorder="1" applyFill="1" applyFont="1">
      <alignment horizontal="left" vertical="top"/>
    </xf>
    <xf borderId="10" fillId="5" fontId="3" numFmtId="164" xfId="0" applyAlignment="1" applyBorder="1" applyFont="1" applyNumberFormat="1">
      <alignment horizontal="right"/>
    </xf>
    <xf borderId="9" fillId="0" fontId="3" numFmtId="0" xfId="0" applyBorder="1" applyFont="1"/>
    <xf borderId="10" fillId="0" fontId="3" numFmtId="3" xfId="0" applyAlignment="1" applyBorder="1" applyFont="1" applyNumberFormat="1">
      <alignment horizontal="right"/>
    </xf>
    <xf borderId="13" fillId="0" fontId="3" numFmtId="0" xfId="0" applyBorder="1" applyFont="1"/>
    <xf borderId="14" fillId="0" fontId="3" numFmtId="3" xfId="0" applyAlignment="1" applyBorder="1" applyFont="1" applyNumberFormat="1">
      <alignment horizontal="right"/>
    </xf>
    <xf borderId="9" fillId="6" fontId="5" numFmtId="0" xfId="0" applyAlignment="1" applyBorder="1" applyFill="1" applyFont="1">
      <alignment horizontal="left" vertical="top"/>
    </xf>
    <xf borderId="10" fillId="6" fontId="5" numFmtId="165" xfId="0" applyAlignment="1" applyBorder="1" applyFont="1" applyNumberFormat="1">
      <alignment horizontal="right"/>
    </xf>
    <xf borderId="10" fillId="0" fontId="3" numFmtId="3" xfId="0" applyBorder="1" applyFont="1" applyNumberFormat="1"/>
    <xf borderId="9" fillId="5" fontId="3" numFmtId="0" xfId="0" applyAlignment="1" applyBorder="1" applyFont="1">
      <alignment horizontal="left" vertical="top"/>
    </xf>
    <xf borderId="9" fillId="6" fontId="3" numFmtId="0" xfId="0" applyBorder="1" applyFont="1"/>
    <xf borderId="10" fillId="6" fontId="5" numFmtId="166" xfId="0" applyAlignment="1" applyBorder="1" applyFont="1" applyNumberFormat="1">
      <alignment horizontal="right"/>
    </xf>
    <xf borderId="9" fillId="0" fontId="6" numFmtId="0" xfId="0" applyBorder="1" applyFont="1"/>
    <xf borderId="10" fillId="0" fontId="6" numFmtId="9" xfId="0" applyBorder="1" applyFont="1" applyNumberFormat="1"/>
    <xf borderId="10" fillId="6" fontId="5" numFmtId="9" xfId="0" applyAlignment="1" applyBorder="1" applyFont="1" applyNumberFormat="1">
      <alignment horizontal="right"/>
    </xf>
    <xf borderId="10" fillId="0" fontId="6" numFmtId="0" xfId="0" applyBorder="1" applyFont="1"/>
    <xf borderId="10" fillId="6" fontId="5" numFmtId="164" xfId="0" applyAlignment="1" applyBorder="1" applyFont="1" applyNumberFormat="1">
      <alignment horizontal="right"/>
    </xf>
    <xf borderId="15" fillId="6" fontId="3" numFmtId="0" xfId="0" applyBorder="1" applyFont="1"/>
    <xf borderId="16" fillId="6" fontId="5" numFmtId="166" xfId="0" applyAlignment="1" applyBorder="1" applyFont="1" applyNumberFormat="1">
      <alignment horizontal="right"/>
    </xf>
    <xf borderId="9" fillId="7" fontId="3" numFmtId="0" xfId="0" applyBorder="1" applyFill="1" applyFont="1"/>
    <xf borderId="10" fillId="7" fontId="3" numFmtId="164" xfId="0" applyAlignment="1" applyBorder="1" applyFont="1" applyNumberFormat="1">
      <alignment horizontal="right"/>
    </xf>
    <xf borderId="17" fillId="8" fontId="5" numFmtId="0" xfId="0" applyBorder="1" applyFill="1" applyFont="1"/>
    <xf borderId="18" fillId="8" fontId="3" numFmtId="164" xfId="0" applyAlignment="1" applyBorder="1" applyFont="1" applyNumberFormat="1">
      <alignment horizontal="right"/>
    </xf>
    <xf borderId="9" fillId="7" fontId="3" numFmtId="0" xfId="0" applyAlignment="1" applyBorder="1" applyFont="1">
      <alignment horizontal="left" vertical="top"/>
    </xf>
    <xf borderId="10" fillId="7" fontId="7" numFmtId="164" xfId="0" applyAlignment="1" applyBorder="1" applyFont="1" applyNumberFormat="1">
      <alignment horizontal="right"/>
    </xf>
    <xf borderId="17" fillId="8" fontId="3" numFmtId="0" xfId="0" applyAlignment="1" applyBorder="1" applyFont="1">
      <alignment horizontal="left" vertical="top"/>
    </xf>
    <xf borderId="18" fillId="8" fontId="7" numFmtId="164" xfId="0" applyAlignment="1" applyBorder="1" applyFont="1" applyNumberFormat="1">
      <alignment horizontal="right"/>
    </xf>
    <xf borderId="9" fillId="6" fontId="5" numFmtId="0" xfId="0" applyBorder="1" applyFont="1"/>
    <xf borderId="0" fillId="0" fontId="3" numFmtId="3" xfId="0" applyFont="1" applyNumberFormat="1"/>
    <xf borderId="10" fillId="6" fontId="3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/>
    </xf>
    <xf borderId="17" fillId="8" fontId="3" numFmtId="0" xfId="0" applyBorder="1" applyFont="1"/>
    <xf borderId="0" fillId="0" fontId="3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2.38"/>
    <col customWidth="1" min="2" max="2" width="13.25"/>
    <col customWidth="1" min="3" max="3" width="2.63"/>
    <col customWidth="1" min="4" max="4" width="35.38"/>
    <col customWidth="1" min="5" max="5" width="19.63"/>
    <col customWidth="1" min="6" max="9" width="13.13"/>
    <col customWidth="1" min="10" max="10" width="36.63"/>
    <col customWidth="1" min="11" max="11" width="9.38"/>
    <col customWidth="1" min="12" max="26" width="13.13"/>
  </cols>
  <sheetData>
    <row r="1" ht="15.75" customHeight="1">
      <c r="A1" s="1" t="s">
        <v>0</v>
      </c>
      <c r="B1" s="2"/>
      <c r="C1" s="3"/>
      <c r="D1" s="4" t="s">
        <v>1</v>
      </c>
      <c r="E1" s="5"/>
      <c r="F1" s="6"/>
      <c r="G1" s="3"/>
      <c r="H1" s="3"/>
      <c r="I1" s="3"/>
      <c r="J1" s="7" t="s">
        <v>2</v>
      </c>
      <c r="K1" s="8"/>
      <c r="L1" s="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9" t="s">
        <v>3</v>
      </c>
      <c r="B2" s="10">
        <v>50.0</v>
      </c>
      <c r="C2" s="3"/>
      <c r="D2" s="11" t="s">
        <v>4</v>
      </c>
      <c r="E2" s="12">
        <v>0.1</v>
      </c>
      <c r="F2" s="6"/>
      <c r="G2" s="3"/>
      <c r="H2" s="3"/>
      <c r="I2" s="3"/>
      <c r="J2" s="13" t="s">
        <v>5</v>
      </c>
      <c r="K2" s="14">
        <v>0.2</v>
      </c>
      <c r="L2" s="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5" t="s">
        <v>6</v>
      </c>
      <c r="B3" s="16">
        <f>B2*30</f>
        <v>1500</v>
      </c>
      <c r="C3" s="3"/>
      <c r="D3" s="17" t="s">
        <v>7</v>
      </c>
      <c r="E3" s="18">
        <f>B5*E2</f>
        <v>5</v>
      </c>
      <c r="F3" s="6"/>
      <c r="G3" s="3"/>
      <c r="H3" s="3"/>
      <c r="I3" s="3"/>
      <c r="J3" s="19" t="s">
        <v>8</v>
      </c>
      <c r="K3" s="20">
        <f>B5*K2</f>
        <v>10</v>
      </c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21" t="s">
        <v>9</v>
      </c>
      <c r="B4" s="22">
        <v>30.0</v>
      </c>
      <c r="C4" s="3"/>
      <c r="D4" s="17"/>
      <c r="E4" s="23"/>
      <c r="F4" s="6"/>
      <c r="G4" s="3"/>
      <c r="H4" s="3"/>
      <c r="I4" s="3"/>
      <c r="J4" s="17"/>
      <c r="K4" s="23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24" t="s">
        <v>10</v>
      </c>
      <c r="B5" s="18">
        <f>B3/B4</f>
        <v>50</v>
      </c>
      <c r="C5" s="3"/>
      <c r="D5" s="25" t="s">
        <v>11</v>
      </c>
      <c r="E5" s="26">
        <v>0.1</v>
      </c>
      <c r="F5" s="6"/>
      <c r="G5" s="3"/>
      <c r="H5" s="3"/>
      <c r="I5" s="3"/>
      <c r="J5" s="27" t="s">
        <v>12</v>
      </c>
      <c r="K5" s="28">
        <v>0.7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1" t="s">
        <v>4</v>
      </c>
      <c r="B6" s="29">
        <v>0.7</v>
      </c>
      <c r="C6" s="3"/>
      <c r="D6" s="17" t="s">
        <v>13</v>
      </c>
      <c r="E6" s="18">
        <f>ROUND(F6,0)</f>
        <v>1</v>
      </c>
      <c r="F6" s="6">
        <f>E3*E5</f>
        <v>0.5</v>
      </c>
      <c r="G6" s="3"/>
      <c r="H6" s="3"/>
      <c r="I6" s="3"/>
      <c r="J6" s="27" t="s">
        <v>14</v>
      </c>
      <c r="K6" s="30">
        <f>ROUND(L6,0)</f>
        <v>7</v>
      </c>
      <c r="L6" s="6">
        <f>K5*K3</f>
        <v>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24" t="s">
        <v>7</v>
      </c>
      <c r="B7" s="18">
        <f>B5*B6</f>
        <v>35</v>
      </c>
      <c r="C7" s="3"/>
      <c r="D7" s="17"/>
      <c r="E7" s="23"/>
      <c r="F7" s="6"/>
      <c r="G7" s="3"/>
      <c r="H7" s="3"/>
      <c r="I7" s="3"/>
      <c r="J7" s="27"/>
      <c r="K7" s="30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1" t="s">
        <v>11</v>
      </c>
      <c r="B8" s="26">
        <v>0.1</v>
      </c>
      <c r="C8" s="3"/>
      <c r="D8" s="25" t="s">
        <v>15</v>
      </c>
      <c r="E8" s="31">
        <v>3497.0</v>
      </c>
      <c r="F8" s="6"/>
      <c r="G8" s="3"/>
      <c r="H8" s="3"/>
      <c r="I8" s="3"/>
      <c r="J8" s="32" t="s">
        <v>11</v>
      </c>
      <c r="K8" s="33">
        <v>0.3</v>
      </c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4" t="s">
        <v>13</v>
      </c>
      <c r="B9" s="18">
        <f>ROUND(C9,0)</f>
        <v>4</v>
      </c>
      <c r="C9" s="6">
        <f>B7*B8</f>
        <v>3.5</v>
      </c>
      <c r="D9" s="34" t="s">
        <v>16</v>
      </c>
      <c r="E9" s="35">
        <f>E6*E8</f>
        <v>3497</v>
      </c>
      <c r="F9" s="6"/>
      <c r="G9" s="3"/>
      <c r="H9" s="3"/>
      <c r="I9" s="3"/>
      <c r="J9" s="17" t="s">
        <v>13</v>
      </c>
      <c r="K9" s="18">
        <f>ROUND(L9,0)</f>
        <v>2</v>
      </c>
      <c r="L9" s="6">
        <f>K6*K8</f>
        <v>2.1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21" t="s">
        <v>17</v>
      </c>
      <c r="B10" s="31">
        <v>3497.0</v>
      </c>
      <c r="D10" s="36" t="s">
        <v>18</v>
      </c>
      <c r="E10" s="37">
        <f>E9*1.2</f>
        <v>4196.4</v>
      </c>
      <c r="F10" s="6"/>
      <c r="J10" s="17"/>
      <c r="K10" s="23"/>
      <c r="L10" s="6"/>
    </row>
    <row r="11" ht="15.75" customHeight="1">
      <c r="A11" s="38" t="s">
        <v>19</v>
      </c>
      <c r="B11" s="39">
        <f>B9*B10</f>
        <v>13988</v>
      </c>
      <c r="C11" s="3"/>
      <c r="D11" s="1" t="s">
        <v>20</v>
      </c>
      <c r="E11" s="2"/>
      <c r="F11" s="6"/>
      <c r="G11" s="3"/>
      <c r="H11" s="3"/>
      <c r="I11" s="3"/>
      <c r="J11" s="25" t="s">
        <v>15</v>
      </c>
      <c r="K11" s="31">
        <v>3497.0</v>
      </c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0" t="s">
        <v>18</v>
      </c>
      <c r="B12" s="41">
        <f>B11*1.2</f>
        <v>16785.6</v>
      </c>
      <c r="C12" s="3"/>
      <c r="D12" s="42" t="s">
        <v>4</v>
      </c>
      <c r="E12" s="29">
        <v>0.15</v>
      </c>
      <c r="F12" s="6"/>
      <c r="G12" s="3"/>
      <c r="H12" s="3"/>
      <c r="I12" s="3"/>
      <c r="J12" s="34" t="s">
        <v>16</v>
      </c>
      <c r="K12" s="35">
        <f>K9*K11</f>
        <v>6994</v>
      </c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C13" s="3"/>
      <c r="D13" s="17" t="s">
        <v>7</v>
      </c>
      <c r="E13" s="18">
        <f>B5*E12</f>
        <v>7.5</v>
      </c>
      <c r="F13" s="6"/>
      <c r="G13" s="3"/>
      <c r="H13" s="3"/>
      <c r="I13" s="3"/>
      <c r="J13" s="36" t="s">
        <v>18</v>
      </c>
      <c r="K13" s="37">
        <f>K12*1.2</f>
        <v>8392.8</v>
      </c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C14" s="3"/>
      <c r="D14" s="17"/>
      <c r="E14" s="23"/>
      <c r="F14" s="6"/>
      <c r="G14" s="3"/>
      <c r="H14" s="3"/>
      <c r="I14" s="3"/>
      <c r="J14" s="3"/>
      <c r="K14" s="3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42" t="s">
        <v>11</v>
      </c>
      <c r="E15" s="26">
        <v>0.1</v>
      </c>
      <c r="F15" s="6"/>
      <c r="G15" s="3"/>
      <c r="H15" s="3"/>
      <c r="I15" s="3"/>
      <c r="J15" s="3"/>
      <c r="K15" s="3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43"/>
      <c r="C16" s="3"/>
      <c r="D16" s="17" t="s">
        <v>13</v>
      </c>
      <c r="E16" s="18">
        <f>ROUND(F16,0)</f>
        <v>1</v>
      </c>
      <c r="F16" s="6">
        <f>E13*E15</f>
        <v>0.75</v>
      </c>
      <c r="G16" s="3"/>
      <c r="H16" s="3"/>
      <c r="I16" s="3"/>
      <c r="J16" s="3"/>
      <c r="K16" s="3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17"/>
      <c r="E17" s="23"/>
      <c r="F17" s="6"/>
      <c r="G17" s="3"/>
      <c r="H17" s="3"/>
      <c r="I17" s="3"/>
      <c r="J17" s="3"/>
      <c r="K17" s="3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25" t="s">
        <v>15</v>
      </c>
      <c r="E18" s="44">
        <v>3497.0</v>
      </c>
      <c r="F18" s="6"/>
      <c r="G18" s="3"/>
      <c r="H18" s="3"/>
      <c r="I18" s="3"/>
      <c r="J18" s="3"/>
      <c r="K18" s="3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4" t="s">
        <v>16</v>
      </c>
      <c r="E19" s="35">
        <f>E16*E18</f>
        <v>3497</v>
      </c>
      <c r="F19" s="6"/>
      <c r="G19" s="3"/>
      <c r="H19" s="3"/>
      <c r="I19" s="3"/>
      <c r="J19" s="3"/>
      <c r="K19" s="3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6" t="s">
        <v>18</v>
      </c>
      <c r="E20" s="37">
        <f>E19*1.2</f>
        <v>4196.4</v>
      </c>
      <c r="F20" s="6"/>
      <c r="G20" s="3"/>
      <c r="H20" s="3"/>
      <c r="I20" s="3"/>
      <c r="J20" s="3"/>
      <c r="K20" s="3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6"/>
      <c r="G21" s="3"/>
      <c r="H21" s="3"/>
      <c r="I21" s="3"/>
      <c r="J21" s="3"/>
      <c r="K21" s="3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1" t="s">
        <v>21</v>
      </c>
      <c r="E22" s="2"/>
      <c r="F22" s="6"/>
      <c r="G22" s="3"/>
      <c r="H22" s="3"/>
      <c r="I22" s="3"/>
      <c r="J22" s="3"/>
      <c r="K22" s="3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42" t="s">
        <v>4</v>
      </c>
      <c r="E23" s="29">
        <v>0.2</v>
      </c>
      <c r="F23" s="6"/>
      <c r="G23" s="3"/>
      <c r="H23" s="3"/>
      <c r="I23" s="3"/>
      <c r="J23" s="3"/>
      <c r="K23" s="3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17" t="s">
        <v>7</v>
      </c>
      <c r="E24" s="18">
        <f>B5*E23</f>
        <v>10</v>
      </c>
      <c r="F24" s="6"/>
      <c r="G24" s="3"/>
      <c r="H24" s="3"/>
      <c r="I24" s="3"/>
      <c r="J24" s="3"/>
      <c r="K24" s="3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17"/>
      <c r="E25" s="23"/>
      <c r="F25" s="6"/>
      <c r="G25" s="3"/>
      <c r="H25" s="3"/>
      <c r="I25" s="3"/>
      <c r="J25" s="3"/>
      <c r="K25" s="3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42" t="s">
        <v>11</v>
      </c>
      <c r="E26" s="26">
        <v>0.1</v>
      </c>
      <c r="F26" s="6"/>
      <c r="G26" s="3"/>
      <c r="H26" s="3"/>
      <c r="I26" s="3"/>
      <c r="J26" s="3"/>
      <c r="K26" s="3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17" t="s">
        <v>13</v>
      </c>
      <c r="E27" s="18">
        <f>ROUND(F27,0)</f>
        <v>1</v>
      </c>
      <c r="F27" s="6">
        <f>E24*E26</f>
        <v>1</v>
      </c>
      <c r="G27" s="3"/>
      <c r="H27" s="3"/>
      <c r="I27" s="3"/>
      <c r="J27" s="3"/>
      <c r="K27" s="3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17"/>
      <c r="E28" s="23"/>
      <c r="F28" s="6"/>
      <c r="G28" s="3"/>
      <c r="H28" s="3"/>
      <c r="I28" s="3"/>
      <c r="J28" s="3"/>
      <c r="K28" s="3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45"/>
      <c r="D29" s="42" t="s">
        <v>15</v>
      </c>
      <c r="E29" s="31">
        <v>3497.0</v>
      </c>
      <c r="F29" s="6"/>
      <c r="G29" s="3"/>
      <c r="H29" s="3"/>
      <c r="I29" s="3"/>
      <c r="J29" s="3"/>
      <c r="K29" s="3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45"/>
      <c r="D30" s="34" t="s">
        <v>16</v>
      </c>
      <c r="E30" s="35">
        <f>E27*E29</f>
        <v>3497</v>
      </c>
      <c r="F30" s="6"/>
      <c r="G30" s="3"/>
      <c r="H30" s="3"/>
      <c r="I30" s="3"/>
      <c r="J30" s="3"/>
      <c r="K30" s="3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46" t="s">
        <v>18</v>
      </c>
      <c r="E31" s="37">
        <f>E30*1.2</f>
        <v>4196.4</v>
      </c>
      <c r="F31" s="6"/>
      <c r="G31" s="3"/>
      <c r="H31" s="3"/>
      <c r="I31" s="3"/>
      <c r="J31" s="3"/>
      <c r="K31" s="3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47"/>
      <c r="D32" s="3"/>
      <c r="E32" s="3"/>
      <c r="F32" s="6"/>
      <c r="G32" s="3"/>
      <c r="H32" s="3"/>
      <c r="I32" s="3"/>
      <c r="J32" s="3"/>
      <c r="K32" s="3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47"/>
      <c r="D33" s="3"/>
      <c r="E33" s="3"/>
      <c r="F33" s="6"/>
      <c r="G33" s="3"/>
      <c r="H33" s="3"/>
      <c r="I33" s="3"/>
      <c r="J33" s="3"/>
      <c r="K33" s="3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6"/>
      <c r="G34" s="3"/>
      <c r="H34" s="3"/>
      <c r="I34" s="3"/>
      <c r="J34" s="3"/>
      <c r="K34" s="3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6"/>
      <c r="G35" s="3"/>
      <c r="H35" s="3"/>
      <c r="I35" s="3"/>
      <c r="J35" s="3"/>
      <c r="K35" s="3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6"/>
      <c r="G36" s="3"/>
      <c r="H36" s="3"/>
      <c r="I36" s="3"/>
      <c r="J36" s="3"/>
      <c r="K36" s="3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6"/>
      <c r="G37" s="3"/>
      <c r="H37" s="3"/>
      <c r="I37" s="3"/>
      <c r="J37" s="3"/>
      <c r="K37" s="3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6"/>
      <c r="G38" s="3"/>
      <c r="H38" s="3"/>
      <c r="I38" s="3"/>
      <c r="J38" s="3"/>
      <c r="K38" s="3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6"/>
      <c r="G39" s="3"/>
      <c r="H39" s="3"/>
      <c r="I39" s="3"/>
      <c r="J39" s="3"/>
      <c r="K39" s="3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6"/>
      <c r="G40" s="3"/>
      <c r="H40" s="3"/>
      <c r="I40" s="3"/>
      <c r="J40" s="3"/>
      <c r="K40" s="3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6"/>
      <c r="G41" s="3"/>
      <c r="H41" s="3"/>
      <c r="I41" s="3"/>
      <c r="J41" s="3"/>
      <c r="K41" s="3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6"/>
      <c r="G42" s="3"/>
      <c r="H42" s="3"/>
      <c r="I42" s="3"/>
      <c r="J42" s="3"/>
      <c r="K42" s="3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6"/>
      <c r="G43" s="3"/>
      <c r="H43" s="3"/>
      <c r="I43" s="3"/>
      <c r="J43" s="3"/>
      <c r="K43" s="3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6"/>
      <c r="G44" s="3"/>
      <c r="H44" s="3"/>
      <c r="I44" s="3"/>
      <c r="J44" s="3"/>
      <c r="K44" s="3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6"/>
      <c r="G45" s="3"/>
      <c r="H45" s="3"/>
      <c r="I45" s="3"/>
      <c r="J45" s="3"/>
      <c r="K45" s="3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6"/>
      <c r="G46" s="3"/>
      <c r="H46" s="3"/>
      <c r="I46" s="3"/>
      <c r="J46" s="3"/>
      <c r="K46" s="3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6"/>
      <c r="G47" s="3"/>
      <c r="H47" s="3"/>
      <c r="I47" s="3"/>
      <c r="J47" s="3"/>
      <c r="K47" s="3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6"/>
      <c r="G48" s="3"/>
      <c r="H48" s="3"/>
      <c r="I48" s="3"/>
      <c r="J48" s="3"/>
      <c r="K48" s="3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6"/>
      <c r="G49" s="3"/>
      <c r="H49" s="3"/>
      <c r="I49" s="3"/>
      <c r="J49" s="3"/>
      <c r="K49" s="3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6"/>
      <c r="G50" s="3"/>
      <c r="H50" s="3"/>
      <c r="I50" s="3"/>
      <c r="J50" s="3"/>
      <c r="K50" s="3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6"/>
      <c r="G51" s="3"/>
      <c r="H51" s="3"/>
      <c r="I51" s="3"/>
      <c r="J51" s="3"/>
      <c r="K51" s="3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6"/>
      <c r="G52" s="3"/>
      <c r="H52" s="3"/>
      <c r="I52" s="3"/>
      <c r="J52" s="3"/>
      <c r="K52" s="3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6"/>
      <c r="G53" s="3"/>
      <c r="H53" s="3"/>
      <c r="I53" s="3"/>
      <c r="J53" s="3"/>
      <c r="K53" s="3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6"/>
      <c r="G54" s="3"/>
      <c r="H54" s="3"/>
      <c r="I54" s="3"/>
      <c r="J54" s="3"/>
      <c r="K54" s="3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6"/>
      <c r="G55" s="3"/>
      <c r="H55" s="3"/>
      <c r="I55" s="3"/>
      <c r="J55" s="3"/>
      <c r="K55" s="3"/>
      <c r="L55" s="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6"/>
      <c r="G56" s="3"/>
      <c r="H56" s="3"/>
      <c r="I56" s="3"/>
      <c r="J56" s="3"/>
      <c r="K56" s="3"/>
      <c r="L56" s="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6"/>
      <c r="G57" s="3"/>
      <c r="H57" s="3"/>
      <c r="I57" s="3"/>
      <c r="J57" s="3"/>
      <c r="K57" s="3"/>
      <c r="L57" s="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6"/>
      <c r="G58" s="3"/>
      <c r="H58" s="3"/>
      <c r="I58" s="3"/>
      <c r="J58" s="3"/>
      <c r="K58" s="3"/>
      <c r="L58" s="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6"/>
      <c r="G59" s="3"/>
      <c r="H59" s="3"/>
      <c r="I59" s="3"/>
      <c r="J59" s="3"/>
      <c r="K59" s="3"/>
      <c r="L59" s="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6"/>
      <c r="G60" s="3"/>
      <c r="H60" s="3"/>
      <c r="I60" s="3"/>
      <c r="J60" s="3"/>
      <c r="K60" s="3"/>
      <c r="L60" s="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6"/>
      <c r="G61" s="3"/>
      <c r="H61" s="3"/>
      <c r="I61" s="3"/>
      <c r="J61" s="3"/>
      <c r="K61" s="3"/>
      <c r="L61" s="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6"/>
      <c r="G62" s="3"/>
      <c r="H62" s="3"/>
      <c r="I62" s="3"/>
      <c r="J62" s="3"/>
      <c r="K62" s="3"/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6"/>
      <c r="G63" s="3"/>
      <c r="H63" s="3"/>
      <c r="I63" s="3"/>
      <c r="J63" s="3"/>
      <c r="K63" s="3"/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6"/>
      <c r="G64" s="3"/>
      <c r="H64" s="3"/>
      <c r="I64" s="3"/>
      <c r="J64" s="3"/>
      <c r="K64" s="3"/>
      <c r="L64" s="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6"/>
      <c r="G65" s="3"/>
      <c r="H65" s="3"/>
      <c r="I65" s="3"/>
      <c r="J65" s="3"/>
      <c r="K65" s="3"/>
      <c r="L65" s="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6"/>
      <c r="G66" s="3"/>
      <c r="H66" s="3"/>
      <c r="I66" s="3"/>
      <c r="J66" s="3"/>
      <c r="K66" s="3"/>
      <c r="L66" s="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6"/>
      <c r="G67" s="3"/>
      <c r="H67" s="3"/>
      <c r="I67" s="3"/>
      <c r="J67" s="3"/>
      <c r="K67" s="3"/>
      <c r="L67" s="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6"/>
      <c r="G68" s="3"/>
      <c r="H68" s="3"/>
      <c r="I68" s="3"/>
      <c r="J68" s="3"/>
      <c r="K68" s="3"/>
      <c r="L68" s="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6"/>
      <c r="G69" s="3"/>
      <c r="H69" s="3"/>
      <c r="I69" s="3"/>
      <c r="J69" s="3"/>
      <c r="K69" s="3"/>
      <c r="L69" s="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6"/>
      <c r="G70" s="3"/>
      <c r="H70" s="3"/>
      <c r="I70" s="3"/>
      <c r="J70" s="3"/>
      <c r="K70" s="3"/>
      <c r="L70" s="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6"/>
      <c r="G71" s="3"/>
      <c r="H71" s="3"/>
      <c r="I71" s="3"/>
      <c r="J71" s="3"/>
      <c r="K71" s="3"/>
      <c r="L71" s="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6"/>
      <c r="G72" s="3"/>
      <c r="H72" s="3"/>
      <c r="I72" s="3"/>
      <c r="J72" s="3"/>
      <c r="K72" s="3"/>
      <c r="L72" s="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6"/>
      <c r="G73" s="3"/>
      <c r="H73" s="3"/>
      <c r="I73" s="3"/>
      <c r="J73" s="3"/>
      <c r="K73" s="3"/>
      <c r="L73" s="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6"/>
      <c r="G74" s="3"/>
      <c r="H74" s="3"/>
      <c r="I74" s="3"/>
      <c r="J74" s="3"/>
      <c r="K74" s="3"/>
      <c r="L74" s="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6"/>
      <c r="G75" s="3"/>
      <c r="H75" s="3"/>
      <c r="I75" s="3"/>
      <c r="J75" s="3"/>
      <c r="K75" s="3"/>
      <c r="L75" s="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6"/>
      <c r="G76" s="3"/>
      <c r="H76" s="3"/>
      <c r="I76" s="3"/>
      <c r="J76" s="3"/>
      <c r="K76" s="3"/>
      <c r="L76" s="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6"/>
      <c r="G77" s="3"/>
      <c r="H77" s="3"/>
      <c r="I77" s="3"/>
      <c r="J77" s="3"/>
      <c r="K77" s="3"/>
      <c r="L77" s="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6"/>
      <c r="G78" s="3"/>
      <c r="H78" s="3"/>
      <c r="I78" s="3"/>
      <c r="J78" s="3"/>
      <c r="K78" s="3"/>
      <c r="L78" s="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6"/>
      <c r="G79" s="3"/>
      <c r="H79" s="3"/>
      <c r="I79" s="3"/>
      <c r="J79" s="3"/>
      <c r="K79" s="3"/>
      <c r="L79" s="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6"/>
      <c r="G80" s="3"/>
      <c r="H80" s="3"/>
      <c r="I80" s="3"/>
      <c r="J80" s="3"/>
      <c r="K80" s="3"/>
      <c r="L80" s="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6"/>
      <c r="G81" s="3"/>
      <c r="H81" s="3"/>
      <c r="I81" s="3"/>
      <c r="J81" s="3"/>
      <c r="K81" s="3"/>
      <c r="L81" s="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6"/>
      <c r="G82" s="3"/>
      <c r="H82" s="3"/>
      <c r="I82" s="3"/>
      <c r="J82" s="3"/>
      <c r="K82" s="3"/>
      <c r="L82" s="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6"/>
      <c r="G83" s="3"/>
      <c r="H83" s="3"/>
      <c r="I83" s="3"/>
      <c r="J83" s="3"/>
      <c r="K83" s="3"/>
      <c r="L83" s="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6"/>
      <c r="G84" s="3"/>
      <c r="H84" s="3"/>
      <c r="I84" s="3"/>
      <c r="J84" s="3"/>
      <c r="K84" s="3"/>
      <c r="L84" s="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6"/>
      <c r="G85" s="3"/>
      <c r="H85" s="3"/>
      <c r="I85" s="3"/>
      <c r="J85" s="3"/>
      <c r="K85" s="3"/>
      <c r="L85" s="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6"/>
      <c r="G86" s="3"/>
      <c r="H86" s="3"/>
      <c r="I86" s="3"/>
      <c r="J86" s="3"/>
      <c r="K86" s="3"/>
      <c r="L86" s="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6"/>
      <c r="G87" s="3"/>
      <c r="H87" s="3"/>
      <c r="I87" s="3"/>
      <c r="J87" s="3"/>
      <c r="K87" s="3"/>
      <c r="L87" s="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6"/>
      <c r="G88" s="3"/>
      <c r="H88" s="3"/>
      <c r="I88" s="3"/>
      <c r="J88" s="3"/>
      <c r="K88" s="3"/>
      <c r="L88" s="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6"/>
      <c r="G89" s="3"/>
      <c r="H89" s="3"/>
      <c r="I89" s="3"/>
      <c r="J89" s="3"/>
      <c r="K89" s="3"/>
      <c r="L89" s="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6"/>
      <c r="G90" s="3"/>
      <c r="H90" s="3"/>
      <c r="I90" s="3"/>
      <c r="J90" s="3"/>
      <c r="K90" s="3"/>
      <c r="L90" s="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6"/>
      <c r="G91" s="3"/>
      <c r="H91" s="3"/>
      <c r="I91" s="3"/>
      <c r="J91" s="3"/>
      <c r="K91" s="3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6"/>
      <c r="G92" s="3"/>
      <c r="H92" s="3"/>
      <c r="I92" s="3"/>
      <c r="J92" s="3"/>
      <c r="K92" s="3"/>
      <c r="L92" s="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6"/>
      <c r="G93" s="3"/>
      <c r="H93" s="3"/>
      <c r="I93" s="3"/>
      <c r="J93" s="3"/>
      <c r="K93" s="3"/>
      <c r="L93" s="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6"/>
      <c r="G94" s="3"/>
      <c r="H94" s="3"/>
      <c r="I94" s="3"/>
      <c r="J94" s="3"/>
      <c r="K94" s="3"/>
      <c r="L94" s="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6"/>
      <c r="G95" s="3"/>
      <c r="H95" s="3"/>
      <c r="I95" s="3"/>
      <c r="J95" s="3"/>
      <c r="K95" s="3"/>
      <c r="L95" s="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6"/>
      <c r="G96" s="3"/>
      <c r="H96" s="3"/>
      <c r="I96" s="3"/>
      <c r="J96" s="3"/>
      <c r="K96" s="3"/>
      <c r="L96" s="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6"/>
      <c r="G97" s="3"/>
      <c r="H97" s="3"/>
      <c r="I97" s="3"/>
      <c r="J97" s="3"/>
      <c r="K97" s="3"/>
      <c r="L97" s="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6"/>
      <c r="G98" s="3"/>
      <c r="H98" s="3"/>
      <c r="I98" s="3"/>
      <c r="J98" s="3"/>
      <c r="K98" s="3"/>
      <c r="L98" s="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6"/>
      <c r="G99" s="3"/>
      <c r="H99" s="3"/>
      <c r="I99" s="3"/>
      <c r="J99" s="3"/>
      <c r="K99" s="3"/>
      <c r="L99" s="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6"/>
      <c r="G100" s="3"/>
      <c r="H100" s="3"/>
      <c r="I100" s="3"/>
      <c r="J100" s="3"/>
      <c r="K100" s="3"/>
      <c r="L100" s="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6"/>
      <c r="G101" s="3"/>
      <c r="H101" s="3"/>
      <c r="I101" s="3"/>
      <c r="J101" s="3"/>
      <c r="K101" s="3"/>
      <c r="L101" s="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6"/>
      <c r="G102" s="3"/>
      <c r="H102" s="3"/>
      <c r="I102" s="3"/>
      <c r="J102" s="3"/>
      <c r="K102" s="3"/>
      <c r="L102" s="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6"/>
      <c r="G103" s="3"/>
      <c r="H103" s="3"/>
      <c r="I103" s="3"/>
      <c r="J103" s="3"/>
      <c r="K103" s="3"/>
      <c r="L103" s="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6"/>
      <c r="G104" s="3"/>
      <c r="H104" s="3"/>
      <c r="I104" s="3"/>
      <c r="J104" s="3"/>
      <c r="K104" s="3"/>
      <c r="L104" s="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6"/>
      <c r="G105" s="3"/>
      <c r="H105" s="3"/>
      <c r="I105" s="3"/>
      <c r="J105" s="3"/>
      <c r="K105" s="3"/>
      <c r="L105" s="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6"/>
      <c r="G106" s="3"/>
      <c r="H106" s="3"/>
      <c r="I106" s="3"/>
      <c r="J106" s="3"/>
      <c r="K106" s="3"/>
      <c r="L106" s="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6"/>
      <c r="G107" s="3"/>
      <c r="H107" s="3"/>
      <c r="I107" s="3"/>
      <c r="J107" s="3"/>
      <c r="K107" s="3"/>
      <c r="L107" s="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6"/>
      <c r="G108" s="3"/>
      <c r="H108" s="3"/>
      <c r="I108" s="3"/>
      <c r="J108" s="3"/>
      <c r="K108" s="3"/>
      <c r="L108" s="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6"/>
      <c r="G109" s="3"/>
      <c r="H109" s="3"/>
      <c r="I109" s="3"/>
      <c r="J109" s="3"/>
      <c r="K109" s="3"/>
      <c r="L109" s="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6"/>
      <c r="G110" s="3"/>
      <c r="H110" s="3"/>
      <c r="I110" s="3"/>
      <c r="J110" s="3"/>
      <c r="K110" s="3"/>
      <c r="L110" s="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6"/>
      <c r="G111" s="3"/>
      <c r="H111" s="3"/>
      <c r="I111" s="3"/>
      <c r="J111" s="3"/>
      <c r="K111" s="3"/>
      <c r="L111" s="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6"/>
      <c r="G112" s="3"/>
      <c r="H112" s="3"/>
      <c r="I112" s="3"/>
      <c r="J112" s="3"/>
      <c r="K112" s="3"/>
      <c r="L112" s="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6"/>
      <c r="G113" s="3"/>
      <c r="H113" s="3"/>
      <c r="I113" s="3"/>
      <c r="J113" s="3"/>
      <c r="K113" s="3"/>
      <c r="L113" s="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6"/>
      <c r="G114" s="3"/>
      <c r="H114" s="3"/>
      <c r="I114" s="3"/>
      <c r="J114" s="3"/>
      <c r="K114" s="3"/>
      <c r="L114" s="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6"/>
      <c r="G115" s="3"/>
      <c r="H115" s="3"/>
      <c r="I115" s="3"/>
      <c r="J115" s="3"/>
      <c r="K115" s="3"/>
      <c r="L115" s="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6"/>
      <c r="G116" s="3"/>
      <c r="H116" s="3"/>
      <c r="I116" s="3"/>
      <c r="J116" s="3"/>
      <c r="K116" s="3"/>
      <c r="L116" s="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6"/>
      <c r="G117" s="3"/>
      <c r="H117" s="3"/>
      <c r="I117" s="3"/>
      <c r="J117" s="3"/>
      <c r="K117" s="3"/>
      <c r="L117" s="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6"/>
      <c r="G118" s="3"/>
      <c r="H118" s="3"/>
      <c r="I118" s="3"/>
      <c r="J118" s="3"/>
      <c r="K118" s="3"/>
      <c r="L118" s="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6"/>
      <c r="G119" s="3"/>
      <c r="H119" s="3"/>
      <c r="I119" s="3"/>
      <c r="J119" s="3"/>
      <c r="K119" s="3"/>
      <c r="L119" s="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6"/>
      <c r="G120" s="3"/>
      <c r="H120" s="3"/>
      <c r="I120" s="3"/>
      <c r="J120" s="3"/>
      <c r="K120" s="3"/>
      <c r="L120" s="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6"/>
      <c r="G121" s="3"/>
      <c r="H121" s="3"/>
      <c r="I121" s="3"/>
      <c r="J121" s="3"/>
      <c r="K121" s="3"/>
      <c r="L121" s="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6"/>
      <c r="G122" s="3"/>
      <c r="H122" s="3"/>
      <c r="I122" s="3"/>
      <c r="J122" s="3"/>
      <c r="K122" s="3"/>
      <c r="L122" s="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6"/>
      <c r="G123" s="3"/>
      <c r="H123" s="3"/>
      <c r="I123" s="3"/>
      <c r="J123" s="3"/>
      <c r="K123" s="3"/>
      <c r="L123" s="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6"/>
      <c r="G124" s="3"/>
      <c r="H124" s="3"/>
      <c r="I124" s="3"/>
      <c r="J124" s="3"/>
      <c r="K124" s="3"/>
      <c r="L124" s="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6"/>
      <c r="G125" s="3"/>
      <c r="H125" s="3"/>
      <c r="I125" s="3"/>
      <c r="J125" s="3"/>
      <c r="K125" s="3"/>
      <c r="L125" s="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6"/>
      <c r="G126" s="3"/>
      <c r="H126" s="3"/>
      <c r="I126" s="3"/>
      <c r="J126" s="3"/>
      <c r="K126" s="3"/>
      <c r="L126" s="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6"/>
      <c r="G127" s="3"/>
      <c r="H127" s="3"/>
      <c r="I127" s="3"/>
      <c r="J127" s="3"/>
      <c r="K127" s="3"/>
      <c r="L127" s="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6"/>
      <c r="G128" s="3"/>
      <c r="H128" s="3"/>
      <c r="I128" s="3"/>
      <c r="J128" s="3"/>
      <c r="K128" s="3"/>
      <c r="L128" s="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6"/>
      <c r="G129" s="3"/>
      <c r="H129" s="3"/>
      <c r="I129" s="3"/>
      <c r="J129" s="3"/>
      <c r="K129" s="3"/>
      <c r="L129" s="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6"/>
      <c r="G130" s="3"/>
      <c r="H130" s="3"/>
      <c r="I130" s="3"/>
      <c r="J130" s="3"/>
      <c r="K130" s="3"/>
      <c r="L130" s="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6"/>
      <c r="G131" s="3"/>
      <c r="H131" s="3"/>
      <c r="I131" s="3"/>
      <c r="J131" s="3"/>
      <c r="K131" s="3"/>
      <c r="L131" s="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6"/>
      <c r="G132" s="3"/>
      <c r="H132" s="3"/>
      <c r="I132" s="3"/>
      <c r="J132" s="3"/>
      <c r="K132" s="3"/>
      <c r="L132" s="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6"/>
      <c r="G133" s="3"/>
      <c r="H133" s="3"/>
      <c r="I133" s="3"/>
      <c r="J133" s="3"/>
      <c r="K133" s="3"/>
      <c r="L133" s="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6"/>
      <c r="G134" s="3"/>
      <c r="H134" s="3"/>
      <c r="I134" s="3"/>
      <c r="J134" s="3"/>
      <c r="K134" s="3"/>
      <c r="L134" s="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6"/>
      <c r="G135" s="3"/>
      <c r="H135" s="3"/>
      <c r="I135" s="3"/>
      <c r="J135" s="3"/>
      <c r="K135" s="3"/>
      <c r="L135" s="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6"/>
      <c r="G136" s="3"/>
      <c r="H136" s="3"/>
      <c r="I136" s="3"/>
      <c r="J136" s="3"/>
      <c r="K136" s="3"/>
      <c r="L136" s="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6"/>
      <c r="G137" s="3"/>
      <c r="H137" s="3"/>
      <c r="I137" s="3"/>
      <c r="J137" s="3"/>
      <c r="K137" s="3"/>
      <c r="L137" s="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6"/>
      <c r="G138" s="3"/>
      <c r="H138" s="3"/>
      <c r="I138" s="3"/>
      <c r="J138" s="3"/>
      <c r="K138" s="3"/>
      <c r="L138" s="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6"/>
      <c r="G139" s="3"/>
      <c r="H139" s="3"/>
      <c r="I139" s="3"/>
      <c r="J139" s="3"/>
      <c r="K139" s="3"/>
      <c r="L139" s="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6"/>
      <c r="G140" s="3"/>
      <c r="H140" s="3"/>
      <c r="I140" s="3"/>
      <c r="J140" s="3"/>
      <c r="K140" s="3"/>
      <c r="L140" s="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6"/>
      <c r="G141" s="3"/>
      <c r="H141" s="3"/>
      <c r="I141" s="3"/>
      <c r="J141" s="3"/>
      <c r="K141" s="3"/>
      <c r="L141" s="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6"/>
      <c r="G142" s="3"/>
      <c r="H142" s="3"/>
      <c r="I142" s="3"/>
      <c r="J142" s="3"/>
      <c r="K142" s="3"/>
      <c r="L142" s="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6"/>
      <c r="G143" s="3"/>
      <c r="H143" s="3"/>
      <c r="I143" s="3"/>
      <c r="J143" s="3"/>
      <c r="K143" s="3"/>
      <c r="L143" s="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6"/>
      <c r="G144" s="3"/>
      <c r="H144" s="3"/>
      <c r="I144" s="3"/>
      <c r="J144" s="3"/>
      <c r="K144" s="3"/>
      <c r="L144" s="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6"/>
      <c r="G145" s="3"/>
      <c r="H145" s="3"/>
      <c r="I145" s="3"/>
      <c r="J145" s="3"/>
      <c r="K145" s="3"/>
      <c r="L145" s="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6"/>
      <c r="G146" s="3"/>
      <c r="H146" s="3"/>
      <c r="I146" s="3"/>
      <c r="J146" s="3"/>
      <c r="K146" s="3"/>
      <c r="L146" s="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6"/>
      <c r="G147" s="3"/>
      <c r="H147" s="3"/>
      <c r="I147" s="3"/>
      <c r="J147" s="3"/>
      <c r="K147" s="3"/>
      <c r="L147" s="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6"/>
      <c r="G148" s="3"/>
      <c r="H148" s="3"/>
      <c r="I148" s="3"/>
      <c r="J148" s="3"/>
      <c r="K148" s="3"/>
      <c r="L148" s="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6"/>
      <c r="G149" s="3"/>
      <c r="H149" s="3"/>
      <c r="I149" s="3"/>
      <c r="J149" s="3"/>
      <c r="K149" s="3"/>
      <c r="L149" s="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6"/>
      <c r="G150" s="3"/>
      <c r="H150" s="3"/>
      <c r="I150" s="3"/>
      <c r="J150" s="3"/>
      <c r="K150" s="3"/>
      <c r="L150" s="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6"/>
      <c r="G151" s="3"/>
      <c r="H151" s="3"/>
      <c r="I151" s="3"/>
      <c r="J151" s="3"/>
      <c r="K151" s="3"/>
      <c r="L151" s="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6"/>
      <c r="G152" s="3"/>
      <c r="H152" s="3"/>
      <c r="I152" s="3"/>
      <c r="J152" s="3"/>
      <c r="K152" s="3"/>
      <c r="L152" s="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6"/>
      <c r="G153" s="3"/>
      <c r="H153" s="3"/>
      <c r="I153" s="3"/>
      <c r="J153" s="3"/>
      <c r="K153" s="3"/>
      <c r="L153" s="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6"/>
      <c r="G154" s="3"/>
      <c r="H154" s="3"/>
      <c r="I154" s="3"/>
      <c r="J154" s="3"/>
      <c r="K154" s="3"/>
      <c r="L154" s="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6"/>
      <c r="G155" s="3"/>
      <c r="H155" s="3"/>
      <c r="I155" s="3"/>
      <c r="J155" s="3"/>
      <c r="K155" s="3"/>
      <c r="L155" s="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6"/>
      <c r="G156" s="3"/>
      <c r="H156" s="3"/>
      <c r="I156" s="3"/>
      <c r="J156" s="3"/>
      <c r="K156" s="3"/>
      <c r="L156" s="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6"/>
      <c r="G157" s="3"/>
      <c r="H157" s="3"/>
      <c r="I157" s="3"/>
      <c r="J157" s="3"/>
      <c r="K157" s="3"/>
      <c r="L157" s="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6"/>
      <c r="G158" s="3"/>
      <c r="H158" s="3"/>
      <c r="I158" s="3"/>
      <c r="J158" s="3"/>
      <c r="K158" s="3"/>
      <c r="L158" s="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6"/>
      <c r="G159" s="3"/>
      <c r="H159" s="3"/>
      <c r="I159" s="3"/>
      <c r="J159" s="3"/>
      <c r="K159" s="3"/>
      <c r="L159" s="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6"/>
      <c r="G160" s="3"/>
      <c r="H160" s="3"/>
      <c r="I160" s="3"/>
      <c r="J160" s="3"/>
      <c r="K160" s="3"/>
      <c r="L160" s="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6"/>
      <c r="G161" s="3"/>
      <c r="H161" s="3"/>
      <c r="I161" s="3"/>
      <c r="J161" s="3"/>
      <c r="K161" s="3"/>
      <c r="L161" s="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6"/>
      <c r="G162" s="3"/>
      <c r="H162" s="3"/>
      <c r="I162" s="3"/>
      <c r="J162" s="3"/>
      <c r="K162" s="3"/>
      <c r="L162" s="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6"/>
      <c r="G163" s="3"/>
      <c r="H163" s="3"/>
      <c r="I163" s="3"/>
      <c r="J163" s="3"/>
      <c r="K163" s="3"/>
      <c r="L163" s="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6"/>
      <c r="G164" s="3"/>
      <c r="H164" s="3"/>
      <c r="I164" s="3"/>
      <c r="J164" s="3"/>
      <c r="K164" s="3"/>
      <c r="L164" s="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6"/>
      <c r="G165" s="3"/>
      <c r="H165" s="3"/>
      <c r="I165" s="3"/>
      <c r="J165" s="3"/>
      <c r="K165" s="3"/>
      <c r="L165" s="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6"/>
      <c r="G166" s="3"/>
      <c r="H166" s="3"/>
      <c r="I166" s="3"/>
      <c r="J166" s="3"/>
      <c r="K166" s="3"/>
      <c r="L166" s="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6"/>
      <c r="G167" s="3"/>
      <c r="H167" s="3"/>
      <c r="I167" s="3"/>
      <c r="J167" s="3"/>
      <c r="K167" s="3"/>
      <c r="L167" s="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6"/>
      <c r="G168" s="3"/>
      <c r="H168" s="3"/>
      <c r="I168" s="3"/>
      <c r="J168" s="3"/>
      <c r="K168" s="3"/>
      <c r="L168" s="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6"/>
      <c r="G169" s="3"/>
      <c r="H169" s="3"/>
      <c r="I169" s="3"/>
      <c r="J169" s="3"/>
      <c r="K169" s="3"/>
      <c r="L169" s="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6"/>
      <c r="G170" s="3"/>
      <c r="H170" s="3"/>
      <c r="I170" s="3"/>
      <c r="J170" s="3"/>
      <c r="K170" s="3"/>
      <c r="L170" s="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6"/>
      <c r="G171" s="3"/>
      <c r="H171" s="3"/>
      <c r="I171" s="3"/>
      <c r="J171" s="3"/>
      <c r="K171" s="3"/>
      <c r="L171" s="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6"/>
      <c r="G172" s="3"/>
      <c r="H172" s="3"/>
      <c r="I172" s="3"/>
      <c r="J172" s="3"/>
      <c r="K172" s="3"/>
      <c r="L172" s="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6"/>
      <c r="G173" s="3"/>
      <c r="H173" s="3"/>
      <c r="I173" s="3"/>
      <c r="J173" s="3"/>
      <c r="K173" s="3"/>
      <c r="L173" s="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6"/>
      <c r="G174" s="3"/>
      <c r="H174" s="3"/>
      <c r="I174" s="3"/>
      <c r="J174" s="3"/>
      <c r="K174" s="3"/>
      <c r="L174" s="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6"/>
      <c r="G175" s="3"/>
      <c r="H175" s="3"/>
      <c r="I175" s="3"/>
      <c r="J175" s="3"/>
      <c r="K175" s="3"/>
      <c r="L175" s="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6"/>
      <c r="G176" s="3"/>
      <c r="H176" s="3"/>
      <c r="I176" s="3"/>
      <c r="J176" s="3"/>
      <c r="K176" s="3"/>
      <c r="L176" s="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6"/>
      <c r="G177" s="3"/>
      <c r="H177" s="3"/>
      <c r="I177" s="3"/>
      <c r="J177" s="3"/>
      <c r="K177" s="3"/>
      <c r="L177" s="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6"/>
      <c r="G178" s="3"/>
      <c r="H178" s="3"/>
      <c r="I178" s="3"/>
      <c r="J178" s="3"/>
      <c r="K178" s="3"/>
      <c r="L178" s="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6"/>
      <c r="G179" s="3"/>
      <c r="H179" s="3"/>
      <c r="I179" s="3"/>
      <c r="J179" s="3"/>
      <c r="K179" s="3"/>
      <c r="L179" s="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6"/>
      <c r="G180" s="3"/>
      <c r="H180" s="3"/>
      <c r="I180" s="3"/>
      <c r="J180" s="3"/>
      <c r="K180" s="3"/>
      <c r="L180" s="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6"/>
      <c r="G181" s="3"/>
      <c r="H181" s="3"/>
      <c r="I181" s="3"/>
      <c r="J181" s="3"/>
      <c r="K181" s="3"/>
      <c r="L181" s="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6"/>
      <c r="G182" s="3"/>
      <c r="H182" s="3"/>
      <c r="I182" s="3"/>
      <c r="J182" s="3"/>
      <c r="K182" s="3"/>
      <c r="L182" s="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6"/>
      <c r="G183" s="3"/>
      <c r="H183" s="3"/>
      <c r="I183" s="3"/>
      <c r="J183" s="3"/>
      <c r="K183" s="3"/>
      <c r="L183" s="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6"/>
      <c r="G184" s="3"/>
      <c r="H184" s="3"/>
      <c r="I184" s="3"/>
      <c r="J184" s="3"/>
      <c r="K184" s="3"/>
      <c r="L184" s="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6"/>
      <c r="G185" s="3"/>
      <c r="H185" s="3"/>
      <c r="I185" s="3"/>
      <c r="J185" s="3"/>
      <c r="K185" s="3"/>
      <c r="L185" s="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6"/>
      <c r="G186" s="3"/>
      <c r="H186" s="3"/>
      <c r="I186" s="3"/>
      <c r="J186" s="3"/>
      <c r="K186" s="3"/>
      <c r="L186" s="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6"/>
      <c r="G187" s="3"/>
      <c r="H187" s="3"/>
      <c r="I187" s="3"/>
      <c r="J187" s="3"/>
      <c r="K187" s="3"/>
      <c r="L187" s="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6"/>
      <c r="G188" s="3"/>
      <c r="H188" s="3"/>
      <c r="I188" s="3"/>
      <c r="J188" s="3"/>
      <c r="K188" s="3"/>
      <c r="L188" s="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6"/>
      <c r="G189" s="3"/>
      <c r="H189" s="3"/>
      <c r="I189" s="3"/>
      <c r="J189" s="3"/>
      <c r="K189" s="3"/>
      <c r="L189" s="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6"/>
      <c r="G190" s="3"/>
      <c r="H190" s="3"/>
      <c r="I190" s="3"/>
      <c r="J190" s="3"/>
      <c r="K190" s="3"/>
      <c r="L190" s="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6"/>
      <c r="G191" s="3"/>
      <c r="H191" s="3"/>
      <c r="I191" s="3"/>
      <c r="J191" s="3"/>
      <c r="K191" s="3"/>
      <c r="L191" s="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6"/>
      <c r="G192" s="3"/>
      <c r="H192" s="3"/>
      <c r="I192" s="3"/>
      <c r="J192" s="3"/>
      <c r="K192" s="3"/>
      <c r="L192" s="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6"/>
      <c r="G193" s="3"/>
      <c r="H193" s="3"/>
      <c r="I193" s="3"/>
      <c r="J193" s="3"/>
      <c r="K193" s="3"/>
      <c r="L193" s="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6"/>
      <c r="G194" s="3"/>
      <c r="H194" s="3"/>
      <c r="I194" s="3"/>
      <c r="J194" s="3"/>
      <c r="K194" s="3"/>
      <c r="L194" s="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6"/>
      <c r="G195" s="3"/>
      <c r="H195" s="3"/>
      <c r="I195" s="3"/>
      <c r="J195" s="3"/>
      <c r="K195" s="3"/>
      <c r="L195" s="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6"/>
      <c r="G196" s="3"/>
      <c r="H196" s="3"/>
      <c r="I196" s="3"/>
      <c r="J196" s="3"/>
      <c r="K196" s="3"/>
      <c r="L196" s="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6"/>
      <c r="G197" s="3"/>
      <c r="H197" s="3"/>
      <c r="I197" s="3"/>
      <c r="J197" s="3"/>
      <c r="K197" s="3"/>
      <c r="L197" s="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6"/>
      <c r="G198" s="3"/>
      <c r="H198" s="3"/>
      <c r="I198" s="3"/>
      <c r="J198" s="3"/>
      <c r="K198" s="3"/>
      <c r="L198" s="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6"/>
      <c r="G199" s="3"/>
      <c r="H199" s="3"/>
      <c r="I199" s="3"/>
      <c r="J199" s="3"/>
      <c r="K199" s="3"/>
      <c r="L199" s="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6"/>
      <c r="G200" s="3"/>
      <c r="H200" s="3"/>
      <c r="I200" s="3"/>
      <c r="J200" s="3"/>
      <c r="K200" s="3"/>
      <c r="L200" s="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6"/>
      <c r="G201" s="3"/>
      <c r="H201" s="3"/>
      <c r="I201" s="3"/>
      <c r="J201" s="3"/>
      <c r="K201" s="3"/>
      <c r="L201" s="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6"/>
      <c r="G202" s="3"/>
      <c r="H202" s="3"/>
      <c r="I202" s="3"/>
      <c r="J202" s="3"/>
      <c r="K202" s="3"/>
      <c r="L202" s="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6"/>
      <c r="G203" s="3"/>
      <c r="H203" s="3"/>
      <c r="I203" s="3"/>
      <c r="J203" s="3"/>
      <c r="K203" s="3"/>
      <c r="L203" s="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6"/>
      <c r="G204" s="3"/>
      <c r="H204" s="3"/>
      <c r="I204" s="3"/>
      <c r="J204" s="3"/>
      <c r="K204" s="3"/>
      <c r="L204" s="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6"/>
      <c r="G205" s="3"/>
      <c r="H205" s="3"/>
      <c r="I205" s="3"/>
      <c r="J205" s="3"/>
      <c r="K205" s="3"/>
      <c r="L205" s="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6"/>
      <c r="G206" s="3"/>
      <c r="H206" s="3"/>
      <c r="I206" s="3"/>
      <c r="J206" s="3"/>
      <c r="K206" s="3"/>
      <c r="L206" s="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6"/>
      <c r="G207" s="3"/>
      <c r="H207" s="3"/>
      <c r="I207" s="3"/>
      <c r="J207" s="3"/>
      <c r="K207" s="3"/>
      <c r="L207" s="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6"/>
      <c r="G208" s="3"/>
      <c r="H208" s="3"/>
      <c r="I208" s="3"/>
      <c r="J208" s="3"/>
      <c r="K208" s="3"/>
      <c r="L208" s="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6"/>
      <c r="G209" s="3"/>
      <c r="H209" s="3"/>
      <c r="I209" s="3"/>
      <c r="J209" s="3"/>
      <c r="K209" s="3"/>
      <c r="L209" s="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6"/>
      <c r="G210" s="3"/>
      <c r="H210" s="3"/>
      <c r="I210" s="3"/>
      <c r="J210" s="3"/>
      <c r="K210" s="3"/>
      <c r="L210" s="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6"/>
      <c r="G211" s="3"/>
      <c r="H211" s="3"/>
      <c r="I211" s="3"/>
      <c r="J211" s="3"/>
      <c r="K211" s="3"/>
      <c r="L211" s="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6"/>
      <c r="G212" s="3"/>
      <c r="H212" s="3"/>
      <c r="I212" s="3"/>
      <c r="J212" s="3"/>
      <c r="K212" s="3"/>
      <c r="L212" s="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6"/>
      <c r="G213" s="3"/>
      <c r="H213" s="3"/>
      <c r="I213" s="3"/>
      <c r="J213" s="3"/>
      <c r="K213" s="3"/>
      <c r="L213" s="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6"/>
      <c r="G214" s="3"/>
      <c r="H214" s="3"/>
      <c r="I214" s="3"/>
      <c r="J214" s="3"/>
      <c r="K214" s="3"/>
      <c r="L214" s="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6"/>
      <c r="G215" s="3"/>
      <c r="H215" s="3"/>
      <c r="I215" s="3"/>
      <c r="J215" s="3"/>
      <c r="K215" s="3"/>
      <c r="L215" s="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6"/>
      <c r="G216" s="3"/>
      <c r="H216" s="3"/>
      <c r="I216" s="3"/>
      <c r="J216" s="3"/>
      <c r="K216" s="3"/>
      <c r="L216" s="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6"/>
      <c r="G217" s="3"/>
      <c r="H217" s="3"/>
      <c r="I217" s="3"/>
      <c r="J217" s="3"/>
      <c r="K217" s="3"/>
      <c r="L217" s="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6"/>
      <c r="G218" s="3"/>
      <c r="H218" s="3"/>
      <c r="I218" s="3"/>
      <c r="J218" s="3"/>
      <c r="K218" s="3"/>
      <c r="L218" s="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6"/>
      <c r="G219" s="3"/>
      <c r="H219" s="3"/>
      <c r="I219" s="3"/>
      <c r="J219" s="3"/>
      <c r="K219" s="3"/>
      <c r="L219" s="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6"/>
      <c r="G220" s="3"/>
      <c r="H220" s="3"/>
      <c r="I220" s="3"/>
      <c r="J220" s="3"/>
      <c r="K220" s="3"/>
      <c r="L220" s="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6"/>
      <c r="G221" s="3"/>
      <c r="H221" s="3"/>
      <c r="I221" s="3"/>
      <c r="J221" s="3"/>
      <c r="K221" s="3"/>
      <c r="L221" s="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6"/>
      <c r="G222" s="3"/>
      <c r="H222" s="3"/>
      <c r="I222" s="3"/>
      <c r="J222" s="3"/>
      <c r="K222" s="3"/>
      <c r="L222" s="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6"/>
      <c r="G223" s="3"/>
      <c r="H223" s="3"/>
      <c r="I223" s="3"/>
      <c r="J223" s="3"/>
      <c r="K223" s="3"/>
      <c r="L223" s="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6"/>
      <c r="G224" s="3"/>
      <c r="H224" s="3"/>
      <c r="I224" s="3"/>
      <c r="J224" s="3"/>
      <c r="K224" s="3"/>
      <c r="L224" s="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6"/>
      <c r="G225" s="3"/>
      <c r="H225" s="3"/>
      <c r="I225" s="3"/>
      <c r="J225" s="3"/>
      <c r="K225" s="3"/>
      <c r="L225" s="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6"/>
      <c r="G226" s="3"/>
      <c r="H226" s="3"/>
      <c r="I226" s="3"/>
      <c r="J226" s="3"/>
      <c r="K226" s="3"/>
      <c r="L226" s="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6"/>
      <c r="G227" s="3"/>
      <c r="H227" s="3"/>
      <c r="I227" s="3"/>
      <c r="J227" s="3"/>
      <c r="K227" s="3"/>
      <c r="L227" s="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6"/>
      <c r="G228" s="3"/>
      <c r="H228" s="3"/>
      <c r="I228" s="3"/>
      <c r="J228" s="3"/>
      <c r="K228" s="3"/>
      <c r="L228" s="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6"/>
      <c r="G229" s="3"/>
      <c r="H229" s="3"/>
      <c r="I229" s="3"/>
      <c r="J229" s="3"/>
      <c r="K229" s="3"/>
      <c r="L229" s="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6"/>
      <c r="G230" s="3"/>
      <c r="H230" s="3"/>
      <c r="I230" s="3"/>
      <c r="J230" s="3"/>
      <c r="K230" s="3"/>
      <c r="L230" s="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6"/>
      <c r="G231" s="3"/>
      <c r="H231" s="3"/>
      <c r="I231" s="3"/>
      <c r="J231" s="3"/>
      <c r="K231" s="3"/>
      <c r="L231" s="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D1:E1"/>
    <mergeCell ref="J1:K1"/>
    <mergeCell ref="D11:E11"/>
    <mergeCell ref="D22:E22"/>
  </mergeCells>
  <printOptions/>
  <pageMargins bottom="0.787401575" footer="0.0" header="0.0" left="0.511811024" right="0.511811024" top="0.787401575"/>
  <pageSetup orientation="portrait"/>
  <drawing r:id="rId1"/>
</worksheet>
</file>