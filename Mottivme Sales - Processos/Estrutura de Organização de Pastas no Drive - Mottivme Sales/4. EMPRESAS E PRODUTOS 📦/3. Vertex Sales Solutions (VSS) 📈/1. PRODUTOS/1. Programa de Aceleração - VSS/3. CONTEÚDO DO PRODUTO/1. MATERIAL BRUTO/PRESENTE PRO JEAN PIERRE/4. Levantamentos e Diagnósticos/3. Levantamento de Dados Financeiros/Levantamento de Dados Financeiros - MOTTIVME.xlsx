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4"/>
    <sheet state="visible" name="Histórico " sheetId="2" r:id="rId5"/>
    <sheet state="visible" name="2021" sheetId="3" r:id="rId6"/>
    <sheet state="visible" name="Parcelados" sheetId="4" r:id="rId7"/>
  </sheets>
  <definedNames>
    <definedName hidden="1" localSheetId="3" name="_xlnm._FilterDatabase">Parcelados!$A$2:$Q$2</definedName>
  </definedNames>
  <calcPr/>
</workbook>
</file>

<file path=xl/sharedStrings.xml><?xml version="1.0" encoding="utf-8"?>
<sst xmlns="http://schemas.openxmlformats.org/spreadsheetml/2006/main" count="220" uniqueCount="85">
  <si>
    <t>Balanço</t>
  </si>
  <si>
    <t>Saldo</t>
  </si>
  <si>
    <t>Custo Fixo</t>
  </si>
  <si>
    <t>Ticket Médio</t>
  </si>
  <si>
    <t>Reservas - OPCIONAL</t>
  </si>
  <si>
    <t>ATACADO</t>
  </si>
  <si>
    <t>Faturamento</t>
  </si>
  <si>
    <t>Entradas</t>
  </si>
  <si>
    <t>à Receber</t>
  </si>
  <si>
    <t>Saídas</t>
  </si>
  <si>
    <t>Balanço Final</t>
  </si>
  <si>
    <t>%</t>
  </si>
  <si>
    <t>Meta Mensal</t>
  </si>
  <si>
    <t>% da Meta</t>
  </si>
  <si>
    <t>Valor</t>
  </si>
  <si>
    <t>Vendas</t>
  </si>
  <si>
    <t>Lucro</t>
  </si>
  <si>
    <t>Investimento</t>
  </si>
  <si>
    <t>Marketing</t>
  </si>
  <si>
    <t>Colaboradores</t>
  </si>
  <si>
    <t>Prosperidade</t>
  </si>
  <si>
    <t>Oportunidade</t>
  </si>
  <si>
    <t>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</si>
  <si>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</si>
  <si>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</si>
  <si>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</si>
  <si>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</si>
  <si>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</si>
  <si>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</si>
  <si>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</si>
  <si>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</si>
  <si>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</si>
  <si>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</si>
  <si>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</si>
  <si>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</si>
  <si>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</si>
  <si>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VAREJO</t>
  </si>
  <si>
    <t>META</t>
  </si>
  <si>
    <t>Meta</t>
  </si>
  <si>
    <t>Acumulado</t>
  </si>
  <si>
    <t>Anual</t>
  </si>
  <si>
    <t>1 Trimestre</t>
  </si>
  <si>
    <t>2 Trimestre</t>
  </si>
  <si>
    <t>3 Trimestre</t>
  </si>
  <si>
    <t>4 Trimestre</t>
  </si>
  <si>
    <t>GERENCIAMENTO DE CONTAS</t>
  </si>
  <si>
    <t>Santander</t>
  </si>
  <si>
    <t xml:space="preserve">Itaú </t>
  </si>
  <si>
    <t>Nubank</t>
  </si>
  <si>
    <t>Sicredi</t>
  </si>
  <si>
    <t>Entrada ( nomes opcionais, escolha os seus)</t>
  </si>
  <si>
    <t>Entrada Distribuidora</t>
  </si>
  <si>
    <t>Em loja</t>
  </si>
  <si>
    <t>Oportunidade/ Marketing</t>
  </si>
  <si>
    <t xml:space="preserve">                                        Histórico</t>
  </si>
  <si>
    <t>Média de Faturamento</t>
  </si>
  <si>
    <t>Média Fat. 2022</t>
  </si>
  <si>
    <t>+10%</t>
  </si>
  <si>
    <t>+25%</t>
  </si>
  <si>
    <t>-</t>
  </si>
  <si>
    <t>Média</t>
  </si>
  <si>
    <t>CRESCIMENTO</t>
  </si>
  <si>
    <t>Custo Ticket</t>
  </si>
  <si>
    <t>Lucro Ticket</t>
  </si>
  <si>
    <t>Descrição</t>
  </si>
  <si>
    <t>Forma de pagamento</t>
  </si>
  <si>
    <t>TRANSFERENCIA BANCARIA</t>
  </si>
  <si>
    <t>Cheque 03</t>
  </si>
  <si>
    <t>Cheque 05</t>
  </si>
  <si>
    <t>Cheque 07</t>
  </si>
  <si>
    <t>Cheque 08</t>
  </si>
  <si>
    <t xml:space="preserve">Dia 10 </t>
  </si>
  <si>
    <t>Cheque 10</t>
  </si>
  <si>
    <t>Cheque 11</t>
  </si>
  <si>
    <t>dia 25</t>
  </si>
  <si>
    <t>Cheque 15</t>
  </si>
  <si>
    <t>Cheque 17</t>
  </si>
  <si>
    <t xml:space="preserve">Cheque 19 </t>
  </si>
  <si>
    <t xml:space="preserve">Cheque 20 </t>
  </si>
  <si>
    <t xml:space="preserve">Cheque 22 </t>
  </si>
  <si>
    <t>Cheque 25</t>
  </si>
  <si>
    <t>Cheque 26</t>
  </si>
  <si>
    <t>Cheque 27</t>
  </si>
  <si>
    <t>Cheque 29</t>
  </si>
  <si>
    <t>Cheque 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</si>
</sst>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&quot;\ #,##0.00"/>
    <numFmt numFmtId="165" formatCode="[$-416]mmm\-yy"/>
  </numFmts>
  <fonts count="22">
    <font>
      <sz val="11.0"/>
      <color theme="1"/>
      <name val="Calibri"/>
      <scheme val="minor"/>
    </font>
    <font>
      <sz val="11.0"/>
      <color theme="1"/>
      <name val="Calibri"/>
    </font>
    <font>
      <b/>
      <sz val="26.0"/>
      <color theme="0"/>
      <name val="Calibri"/>
    </font>
    <font>
      <b/>
      <sz val="22.0"/>
      <color theme="0"/>
      <name val="Calibri"/>
    </font>
    <font>
      <b/>
      <sz val="16.0"/>
      <color theme="0"/>
      <name val="Calibri"/>
    </font>
    <font>
      <b/>
      <sz val="14.0"/>
      <color theme="0"/>
      <name val="Calibri"/>
    </font>
    <font/>
    <font>
      <b/>
      <sz val="12.0"/>
      <color theme="0"/>
      <name val="Calibri"/>
    </font>
    <font>
      <b/>
      <sz val="13.0"/>
      <color rgb="FF1F3864"/>
      <name val="Calibri"/>
    </font>
    <font>
      <sz val="11.0"/>
      <color rgb="FF1F3864"/>
      <name val="Calibri"/>
    </font>
    <font>
      <sz val="12.0"/>
      <color rgb="FF1F3864"/>
      <name val="Calibri"/>
    </font>
    <font>
      <b/>
      <sz val="14.0"/>
      <color rgb="FF1F3864"/>
      <name val="Calibri"/>
    </font>
    <font>
      <sz val="12.0"/>
      <color rgb="FF002060"/>
      <name val="Calibri"/>
    </font>
    <font>
      <b/>
      <sz val="13.0"/>
      <color theme="0"/>
      <name val="Calibri"/>
    </font>
    <font>
      <b/>
      <sz val="12.0"/>
      <color rgb="FF1F3864"/>
      <name val="Calibri"/>
    </font>
    <font>
      <b/>
      <sz val="11.0"/>
      <color rgb="FF1F3864"/>
      <name val="Calibri"/>
    </font>
    <font>
      <b/>
      <sz val="20.0"/>
      <color rgb="FF002060"/>
      <name val="Calibri"/>
    </font>
    <font>
      <sz val="13.0"/>
      <color rgb="FF000000"/>
      <name val="Calibri"/>
    </font>
    <font>
      <sz val="11.0"/>
      <color rgb="FFFF0000"/>
      <name val="Calibri"/>
    </font>
    <font>
      <b/>
      <sz val="11.0"/>
      <color theme="0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BFBFBF"/>
        <bgColor rgb="FFBFBFBF"/>
      </patternFill>
    </fill>
    <fill>
      <patternFill patternType="solid">
        <fgColor rgb="FF002060"/>
        <bgColor rgb="FF002060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26">
    <border/>
    <border>
      <left/>
      <right/>
      <top/>
      <bottom/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/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</border>
    <border>
      <left style="hair">
        <color rgb="FF000000"/>
      </left>
      <right/>
      <top/>
      <bottom/>
    </border>
    <border>
      <left style="hair">
        <color rgb="FF000000"/>
      </left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/>
      <right/>
      <top/>
    </border>
    <border>
      <left/>
      <right/>
    </border>
    <border>
      <left/>
      <top/>
      <bottom/>
    </border>
    <border>
      <top/>
      <bottom/>
    </border>
    <border>
      <left/>
      <right style="hair">
        <color rgb="FF000000"/>
      </right>
      <top/>
      <bottom/>
    </border>
    <border>
      <left/>
      <top/>
      <bottom style="hair">
        <color rgb="FF000000"/>
      </bottom>
    </border>
    <border>
      <top/>
      <bottom style="hair">
        <color rgb="FF000000"/>
      </bottom>
    </border>
    <border>
      <top style="hair">
        <color rgb="FF000000"/>
      </top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3" fillId="3" fontId="5" numFmtId="0" xfId="0" applyAlignment="1" applyBorder="1" applyFont="1">
      <alignment vertical="center"/>
    </xf>
    <xf borderId="4" fillId="3" fontId="5" numFmtId="0" xfId="0" applyAlignment="1" applyBorder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1" fillId="4" fontId="7" numFmtId="0" xfId="0" applyAlignment="1" applyBorder="1" applyFill="1" applyFont="1">
      <alignment horizontal="center" vertical="center"/>
    </xf>
    <xf borderId="7" fillId="5" fontId="8" numFmtId="0" xfId="0" applyAlignment="1" applyBorder="1" applyFill="1" applyFont="1">
      <alignment horizontal="center" shrinkToFit="0" wrapText="1"/>
    </xf>
    <xf borderId="8" fillId="5" fontId="8" numFmtId="0" xfId="0" applyAlignment="1" applyBorder="1" applyFont="1">
      <alignment horizontal="center"/>
    </xf>
    <xf borderId="9" fillId="5" fontId="8" numFmtId="0" xfId="0" applyAlignment="1" applyBorder="1" applyFont="1">
      <alignment horizontal="center"/>
    </xf>
    <xf borderId="7" fillId="5" fontId="8" numFmtId="0" xfId="0" applyAlignment="1" applyBorder="1" applyFont="1">
      <alignment horizontal="center"/>
    </xf>
    <xf borderId="1" fillId="5" fontId="8" numFmtId="0" xfId="0" applyAlignment="1" applyBorder="1" applyFont="1">
      <alignment horizontal="center" shrinkToFit="0" wrapText="1"/>
    </xf>
    <xf borderId="10" fillId="6" fontId="9" numFmtId="164" xfId="0" applyAlignment="1" applyBorder="1" applyFill="1" applyFont="1" applyNumberForma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0" fillId="0" fontId="9" numFmtId="9" xfId="0" applyAlignment="1" applyFont="1" applyNumberFormat="1">
      <alignment horizontal="center" vertical="center"/>
    </xf>
    <xf borderId="11" fillId="0" fontId="9" numFmtId="9" xfId="0" applyAlignment="1" applyBorder="1" applyFont="1" applyNumberFormat="1">
      <alignment horizontal="center" vertical="center"/>
    </xf>
    <xf borderId="11" fillId="0" fontId="10" numFmtId="9" xfId="0" applyAlignment="1" applyBorder="1" applyFont="1" applyNumberFormat="1">
      <alignment horizontal="center" vertical="center"/>
    </xf>
    <xf borderId="12" fillId="6" fontId="10" numFmtId="1" xfId="0" applyAlignment="1" applyBorder="1" applyFont="1" applyNumberForma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3" fillId="0" fontId="10" numFmtId="164" xfId="0" applyAlignment="1" applyBorder="1" applyFont="1" applyNumberFormat="1">
      <alignment horizontal="center" vertical="center"/>
    </xf>
    <xf borderId="11" fillId="0" fontId="10" numFmtId="164" xfId="0" applyAlignment="1" applyBorder="1" applyFont="1" applyNumberFormat="1">
      <alignment horizontal="center" vertical="center"/>
    </xf>
    <xf borderId="1" fillId="5" fontId="8" numFmtId="0" xfId="0" applyAlignment="1" applyBorder="1" applyFont="1">
      <alignment horizontal="center"/>
    </xf>
    <xf borderId="14" fillId="0" fontId="9" numFmtId="164" xfId="0" applyAlignment="1" applyBorder="1" applyFont="1" applyNumberFormat="1">
      <alignment horizontal="center" vertical="center"/>
    </xf>
    <xf borderId="14" fillId="0" fontId="9" numFmtId="9" xfId="0" applyAlignment="1" applyBorder="1" applyFont="1" applyNumberFormat="1">
      <alignment horizontal="center" vertical="center"/>
    </xf>
    <xf borderId="15" fillId="0" fontId="9" numFmtId="9" xfId="0" applyAlignment="1" applyBorder="1" applyFont="1" applyNumberFormat="1">
      <alignment horizontal="center" vertical="center"/>
    </xf>
    <xf borderId="15" fillId="0" fontId="10" numFmtId="9" xfId="0" applyAlignment="1" applyBorder="1" applyFont="1" applyNumberFormat="1">
      <alignment horizontal="center" vertical="center"/>
    </xf>
    <xf borderId="16" fillId="6" fontId="10" numFmtId="1" xfId="0" applyAlignment="1" applyBorder="1" applyFont="1" applyNumberFormat="1">
      <alignment horizontal="center" vertical="center"/>
    </xf>
    <xf borderId="14" fillId="0" fontId="10" numFmtId="164" xfId="0" applyAlignment="1" applyBorder="1" applyFont="1" applyNumberFormat="1">
      <alignment horizontal="center" vertical="center"/>
    </xf>
    <xf borderId="17" fillId="0" fontId="10" numFmtId="164" xfId="0" applyAlignment="1" applyBorder="1" applyFont="1" applyNumberFormat="1">
      <alignment horizontal="center" vertical="center"/>
    </xf>
    <xf borderId="15" fillId="0" fontId="10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/>
    </xf>
    <xf borderId="0" fillId="0" fontId="12" numFmtId="164" xfId="0" applyAlignment="1" applyFont="1" applyNumberFormat="1">
      <alignment horizontal="center"/>
    </xf>
    <xf borderId="0" fillId="0" fontId="12" numFmtId="9" xfId="0" applyAlignment="1" applyFont="1" applyNumberFormat="1">
      <alignment horizontal="center"/>
    </xf>
    <xf borderId="0" fillId="0" fontId="10" numFmtId="9" xfId="0" applyAlignment="1" applyFont="1" applyNumberFormat="1">
      <alignment horizontal="center" vertical="center"/>
    </xf>
    <xf borderId="0" fillId="0" fontId="1" numFmtId="164" xfId="0" applyFont="1" applyNumberFormat="1"/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10" fillId="6" fontId="10" numFmtId="1" xfId="0" applyAlignment="1" applyBorder="1" applyFont="1" applyNumberFormat="1">
      <alignment horizontal="center" vertical="center"/>
    </xf>
    <xf borderId="10" fillId="0" fontId="10" numFmtId="164" xfId="0" applyAlignment="1" applyBorder="1" applyFont="1" applyNumberFormat="1">
      <alignment horizontal="center" vertical="center"/>
    </xf>
    <xf borderId="1" fillId="5" fontId="8" numFmtId="0" xfId="0" applyAlignment="1" applyBorder="1" applyFont="1">
      <alignment horizontal="center" vertical="center"/>
    </xf>
    <xf borderId="0" fillId="0" fontId="13" numFmtId="164" xfId="0" applyAlignment="1" applyFont="1" applyNumberFormat="1">
      <alignment horizontal="center"/>
    </xf>
    <xf borderId="0" fillId="0" fontId="10" numFmtId="1" xfId="0" applyAlignment="1" applyFont="1" applyNumberFormat="1">
      <alignment horizontal="center" vertical="center"/>
    </xf>
    <xf borderId="0" fillId="0" fontId="14" numFmtId="164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9" numFmtId="1" xfId="0" applyAlignment="1" applyFont="1" applyNumberFormat="1">
      <alignment horizontal="center"/>
    </xf>
    <xf borderId="18" fillId="4" fontId="7" numFmtId="0" xfId="0" applyAlignment="1" applyBorder="1" applyFont="1">
      <alignment horizontal="center" shrinkToFit="0" vertical="center" wrapText="1"/>
    </xf>
    <xf borderId="1" fillId="5" fontId="14" numFmtId="0" xfId="0" applyAlignment="1" applyBorder="1" applyFont="1">
      <alignment horizontal="center" shrinkToFit="0" vertical="center" wrapText="1"/>
    </xf>
    <xf borderId="1" fillId="5" fontId="14" numFmtId="0" xfId="0" applyAlignment="1" applyBorder="1" applyFont="1">
      <alignment horizontal="center" vertical="center"/>
    </xf>
    <xf borderId="19" fillId="0" fontId="6" numFmtId="0" xfId="0" applyBorder="1" applyFont="1"/>
    <xf borderId="1" fillId="7" fontId="15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left"/>
    </xf>
    <xf borderId="0" fillId="0" fontId="16" numFmtId="0" xfId="0" applyAlignment="1" applyFont="1">
      <alignment horizontal="center" vertical="center"/>
    </xf>
    <xf borderId="18" fillId="5" fontId="17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1" fillId="2" fontId="13" numFmtId="0" xfId="0" applyAlignment="1" applyBorder="1" applyFont="1">
      <alignment horizontal="left"/>
    </xf>
    <xf borderId="20" fillId="2" fontId="13" numFmtId="0" xfId="0" applyAlignment="1" applyBorder="1" applyFont="1">
      <alignment horizontal="center"/>
    </xf>
    <xf borderId="21" fillId="0" fontId="6" numFmtId="0" xfId="0" applyBorder="1" applyFont="1"/>
    <xf borderId="1" fillId="2" fontId="13" numFmtId="0" xfId="0" applyAlignment="1" applyBorder="1" applyFont="1">
      <alignment horizontal="center"/>
    </xf>
    <xf borderId="1" fillId="5" fontId="8" numFmtId="0" xfId="0" applyAlignment="1" applyBorder="1" applyFont="1">
      <alignment horizontal="left"/>
    </xf>
    <xf borderId="12" fillId="5" fontId="8" numFmtId="0" xfId="0" applyAlignment="1" applyBorder="1" applyFont="1">
      <alignment horizontal="center"/>
    </xf>
    <xf borderId="22" fillId="5" fontId="8" numFmtId="0" xfId="0" applyAlignment="1" applyBorder="1" applyFont="1">
      <alignment horizontal="center"/>
    </xf>
    <xf borderId="1" fillId="5" fontId="8" numFmtId="49" xfId="0" applyAlignment="1" applyBorder="1" applyFont="1" applyNumberFormat="1">
      <alignment horizontal="center"/>
    </xf>
    <xf borderId="13" fillId="0" fontId="10" numFmtId="164" xfId="0" applyAlignment="1" applyBorder="1" applyFont="1" applyNumberFormat="1">
      <alignment horizontal="center"/>
    </xf>
    <xf borderId="0" fillId="0" fontId="10" numFmtId="1" xfId="0" applyAlignment="1" applyFont="1" applyNumberFormat="1">
      <alignment horizontal="center"/>
    </xf>
    <xf borderId="11" fillId="0" fontId="10" numFmtId="164" xfId="0" applyAlignment="1" applyBorder="1" applyFont="1" applyNumberFormat="1">
      <alignment horizontal="center"/>
    </xf>
    <xf borderId="0" fillId="0" fontId="10" numFmtId="164" xfId="0" applyAlignment="1" applyFont="1" applyNumberFormat="1">
      <alignment horizontal="center"/>
    </xf>
    <xf borderId="11" fillId="0" fontId="10" numFmtId="10" xfId="0" applyAlignment="1" applyBorder="1" applyFont="1" applyNumberFormat="1">
      <alignment horizontal="center"/>
    </xf>
    <xf borderId="1" fillId="8" fontId="10" numFmtId="10" xfId="0" applyAlignment="1" applyBorder="1" applyFill="1" applyFont="1" applyNumberFormat="1">
      <alignment horizontal="center"/>
    </xf>
    <xf borderId="0" fillId="0" fontId="15" numFmtId="164" xfId="0" applyAlignment="1" applyFont="1" applyNumberFormat="1">
      <alignment horizontal="center"/>
    </xf>
    <xf borderId="12" fillId="2" fontId="13" numFmtId="164" xfId="0" applyAlignment="1" applyBorder="1" applyFont="1" applyNumberFormat="1">
      <alignment horizontal="center"/>
    </xf>
    <xf borderId="1" fillId="2" fontId="13" numFmtId="1" xfId="0" applyAlignment="1" applyBorder="1" applyFont="1" applyNumberFormat="1">
      <alignment horizontal="center"/>
    </xf>
    <xf borderId="22" fillId="2" fontId="13" numFmtId="164" xfId="0" applyAlignment="1" applyBorder="1" applyFont="1" applyNumberFormat="1">
      <alignment horizontal="center"/>
    </xf>
    <xf borderId="1" fillId="2" fontId="13" numFmtId="164" xfId="0" applyAlignment="1" applyBorder="1" applyFont="1" applyNumberFormat="1">
      <alignment horizontal="center"/>
    </xf>
    <xf borderId="12" fillId="5" fontId="8" numFmtId="164" xfId="0" applyAlignment="1" applyBorder="1" applyFont="1" applyNumberFormat="1">
      <alignment horizontal="center"/>
    </xf>
    <xf borderId="1" fillId="5" fontId="8" numFmtId="1" xfId="0" applyAlignment="1" applyBorder="1" applyFont="1" applyNumberFormat="1">
      <alignment horizontal="center"/>
    </xf>
    <xf borderId="22" fillId="5" fontId="8" numFmtId="164" xfId="0" applyAlignment="1" applyBorder="1" applyFont="1" applyNumberFormat="1">
      <alignment horizontal="center"/>
    </xf>
    <xf borderId="1" fillId="5" fontId="8" numFmtId="164" xfId="0" applyAlignment="1" applyBorder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8" numFmtId="164" xfId="0" applyAlignment="1" applyFont="1" applyNumberFormat="1">
      <alignment horizontal="center"/>
    </xf>
    <xf borderId="1" fillId="2" fontId="19" numFmtId="164" xfId="0" applyAlignment="1" applyBorder="1" applyFont="1" applyNumberFormat="1">
      <alignment horizontal="center"/>
    </xf>
    <xf borderId="0" fillId="0" fontId="10" numFmtId="9" xfId="0" applyAlignment="1" applyFont="1" applyNumberFormat="1">
      <alignment horizontal="center"/>
    </xf>
    <xf borderId="1" fillId="2" fontId="4" numFmtId="0" xfId="0" applyAlignment="1" applyBorder="1" applyFont="1">
      <alignment horizontal="center" vertical="center"/>
    </xf>
    <xf borderId="23" fillId="2" fontId="4" numFmtId="0" xfId="0" applyAlignment="1" applyBorder="1" applyFont="1">
      <alignment horizontal="left" vertical="center"/>
    </xf>
    <xf borderId="24" fillId="0" fontId="6" numFmtId="0" xfId="0" applyBorder="1" applyFont="1"/>
    <xf borderId="25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4" fillId="0" fontId="2" numFmtId="0" xfId="0" applyAlignment="1" applyBorder="1" applyFont="1">
      <alignment horizontal="center" vertical="center"/>
    </xf>
    <xf borderId="10" fillId="5" fontId="8" numFmtId="0" xfId="0" applyAlignment="1" applyBorder="1" applyFont="1">
      <alignment horizontal="center" shrinkToFit="0" wrapText="1"/>
    </xf>
    <xf borderId="10" fillId="5" fontId="8" numFmtId="0" xfId="0" applyAlignment="1" applyBorder="1" applyFont="1">
      <alignment horizontal="center"/>
    </xf>
    <xf borderId="10" fillId="0" fontId="9" numFmtId="164" xfId="0" applyAlignment="1" applyBorder="1" applyFont="1" applyNumberFormat="1">
      <alignment horizontal="center" vertical="center"/>
    </xf>
    <xf borderId="10" fillId="0" fontId="9" numFmtId="9" xfId="0" applyAlignment="1" applyBorder="1" applyFont="1" applyNumberFormat="1">
      <alignment horizontal="center" vertical="center"/>
    </xf>
    <xf borderId="10" fillId="0" fontId="10" numFmtId="9" xfId="0" applyAlignment="1" applyBorder="1" applyFont="1" applyNumberFormat="1">
      <alignment horizontal="center" vertical="center"/>
    </xf>
    <xf borderId="10" fillId="6" fontId="10" numFmtId="1" xfId="0" applyAlignment="1" applyBorder="1" applyFont="1" applyNumberFormat="1">
      <alignment horizontal="center"/>
    </xf>
    <xf borderId="10" fillId="4" fontId="7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0" fillId="0" fontId="8" numFmtId="0" xfId="0" applyAlignment="1" applyFont="1">
      <alignment horizontal="center" shrinkToFit="0" wrapText="1"/>
    </xf>
    <xf borderId="10" fillId="6" fontId="10" numFmtId="164" xfId="0" applyAlignment="1" applyBorder="1" applyFont="1" applyNumberFormat="1">
      <alignment horizontal="center" vertical="center"/>
    </xf>
    <xf borderId="10" fillId="5" fontId="8" numFmtId="0" xfId="0" applyAlignment="1" applyBorder="1" applyFont="1">
      <alignment horizontal="center" vertical="center"/>
    </xf>
    <xf borderId="0" fillId="0" fontId="12" numFmtId="1" xfId="0" applyAlignment="1" applyFont="1" applyNumberFormat="1">
      <alignment horizontal="center"/>
    </xf>
    <xf borderId="0" fillId="0" fontId="20" numFmtId="0" xfId="0" applyFont="1"/>
    <xf borderId="0" fillId="0" fontId="20" numFmtId="0" xfId="0" applyAlignment="1" applyFont="1">
      <alignment horizontal="left"/>
    </xf>
    <xf borderId="0" fillId="0" fontId="21" numFmtId="165" xfId="0" applyAlignment="1" applyFont="1" applyNumberFormat="1">
      <alignment horizontal="left"/>
    </xf>
    <xf borderId="0" fillId="0" fontId="21" numFmtId="0" xfId="0" applyFont="1"/>
    <xf borderId="0" fillId="0" fontId="21" numFmtId="0" xfId="0" applyAlignment="1" applyFont="1">
      <alignment horizontal="left"/>
    </xf>
    <xf borderId="1" fillId="5" fontId="20" numFmtId="0" xfId="0" applyBorder="1" applyFont="1"/>
    <xf borderId="1" fillId="5" fontId="21" numFmtId="0" xfId="0" applyAlignment="1" applyBorder="1" applyFont="1">
      <alignment horizontal="right"/>
    </xf>
    <xf borderId="1" fillId="5" fontId="21" numFmtId="164" xfId="0" applyAlignment="1" applyBorder="1" applyFont="1" applyNumberFormat="1">
      <alignment horizontal="left"/>
    </xf>
    <xf borderId="0" fillId="0" fontId="20" numFmtId="0" xfId="0" applyAlignment="1" applyFont="1">
      <alignment horizontal="center"/>
    </xf>
  </cellXfs>
  <cellStyles count="1">
    <cellStyle xfId="0" name="Normal" builtinId="0"/>
  </cellStyles>
  <dxfs count="4">
    <dxf>
      <font>
        <color rgb="FF385623"/>
      </font>
      <fill>
        <patternFill patternType="solid">
          <fgColor rgb="FFA8D08D"/>
          <bgColor rgb="FFA8D08D"/>
        </patternFill>
      </fill>
      <border/>
    </dxf>
    <dxf>
      <font>
        <color rgb="FFC00000"/>
      </font>
      <fill>
        <patternFill patternType="solid">
          <fgColor rgb="FFFF9999"/>
          <bgColor rgb="FFFF9999"/>
        </patternFill>
      </fill>
      <border/>
    </dxf>
    <dxf>
      <font>
        <color rgb="FFFF0000"/>
      </font>
      <fill>
        <patternFill patternType="solid">
          <fgColor rgb="FFFFCCCC"/>
          <bgColor rgb="FFFFCCCC"/>
        </patternFill>
      </fill>
      <border/>
    </dxf>
    <dxf>
      <font>
        <color rgb="FF385623"/>
      </font>
      <fill>
        <patternFill patternType="solid">
          <fgColor rgb="FFC5E0B3"/>
          <bgColor rgb="FFC5E0B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Histórico de Faturamento Mensal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2017 Faturamento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'Histórico '!$B$5:$B$16</c:f>
            </c:strRef>
          </c:cat>
          <c:val>
            <c:numRef>
              <c:f>'Histórico '!$C$5:$C$16</c:f>
              <c:numCache/>
            </c:numRef>
          </c:val>
        </c:ser>
        <c:ser>
          <c:idx val="1"/>
          <c:order val="1"/>
          <c:tx>
            <c:v>2018 Faturamento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'Histórico '!$B$5:$B$16</c:f>
            </c:strRef>
          </c:cat>
          <c:val>
            <c:numRef>
              <c:f>'Histórico '!$F$5:$F$16</c:f>
              <c:numCache/>
            </c:numRef>
          </c:val>
        </c:ser>
        <c:ser>
          <c:idx val="2"/>
          <c:order val="2"/>
          <c:tx>
            <c:v>2019 Faturamento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'Histórico '!$B$5:$B$16</c:f>
            </c:strRef>
          </c:cat>
          <c:val>
            <c:numRef>
              <c:f>'Histórico '!$I$5:$I$16</c:f>
              <c:numCache/>
            </c:numRef>
          </c:val>
        </c:ser>
        <c:ser>
          <c:idx val="3"/>
          <c:order val="3"/>
          <c:tx>
            <c:v>2020 Faturamento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'Histórico '!$B$5:$B$16</c:f>
            </c:strRef>
          </c:cat>
          <c:val>
            <c:numRef>
              <c:f>'Histórico '!$L$5:$L$16</c:f>
              <c:numCache/>
            </c:numRef>
          </c:val>
        </c:ser>
        <c:ser>
          <c:idx val="4"/>
          <c:order val="4"/>
          <c:tx>
            <c:v>2021 Faturamento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Linear (2021 Faturamento)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'Histórico '!$B$5:$B$16</c:f>
            </c:strRef>
          </c:cat>
          <c:val>
            <c:numRef>
              <c:f>'Histórico '!$O$5:$O$16</c:f>
              <c:numCache/>
            </c:numRef>
          </c:val>
        </c:ser>
        <c:ser>
          <c:idx val="5"/>
          <c:order val="5"/>
          <c:tx>
            <c:v>2022 Faturamento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'Histórico '!$B$5:$B$16</c:f>
            </c:strRef>
          </c:cat>
          <c:val>
            <c:numRef>
              <c:f>'Histórico '!$R$5:$R$16</c:f>
              <c:numCache/>
            </c:numRef>
          </c:val>
        </c:ser>
        <c:axId val="1494411008"/>
        <c:axId val="1388135010"/>
      </c:barChart>
      <c:catAx>
        <c:axId val="1494411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388135010"/>
      </c:catAx>
      <c:valAx>
        <c:axId val="13881350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494411008"/>
        <c:majorUnit val="10000.0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00175" cy="6858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847725</xdr:colOff>
      <xdr:row>25</xdr:row>
      <xdr:rowOff>104775</xdr:rowOff>
    </xdr:from>
    <xdr:ext cx="11858625" cy="73914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485900" cy="6953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81125" cy="7239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52550" cy="6286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71"/>
    <col customWidth="1" min="2" max="2" width="16.57"/>
    <col customWidth="1" min="3" max="3" width="22.71"/>
    <col customWidth="1" min="4" max="5" width="16.29"/>
    <col customWidth="1" min="6" max="6" width="17.0"/>
    <col customWidth="1" min="7" max="7" width="14.0"/>
    <col customWidth="1" min="8" max="8" width="14.71"/>
    <col customWidth="1" min="9" max="9" width="12.29"/>
    <col customWidth="1" min="10" max="11" width="17.43"/>
    <col customWidth="1" min="12" max="12" width="16.71"/>
    <col customWidth="1" min="13" max="13" width="14.71"/>
    <col customWidth="1" min="14" max="14" width="13.29"/>
    <col customWidth="1" min="15" max="15" width="14.71"/>
    <col customWidth="1" min="16" max="16" width="13.29"/>
    <col customWidth="1" min="17" max="17" width="16.14"/>
    <col customWidth="1" min="18" max="18" width="14.71"/>
    <col customWidth="1" min="19" max="19" width="15.57"/>
    <col customWidth="1" min="20" max="20" width="14.71"/>
    <col customWidth="1" min="21" max="21" width="8.14"/>
    <col customWidth="1" min="22" max="25" width="8.71"/>
  </cols>
  <sheetData>
    <row r="1" ht="0.75" hidden="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3"/>
      <c r="B2" s="4">
        <v>2022.0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1"/>
      <c r="W2" s="1"/>
      <c r="X2" s="1"/>
      <c r="Y2" s="1"/>
      <c r="Z2" s="1"/>
    </row>
    <row r="3" ht="3.0" customHeight="1">
      <c r="A3" s="6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"/>
      <c r="T3" s="1"/>
      <c r="U3" s="1"/>
      <c r="V3" s="1"/>
      <c r="W3" s="1"/>
      <c r="X3" s="1"/>
      <c r="Y3" s="1"/>
      <c r="Z3" s="1"/>
    </row>
    <row r="4" ht="19.5" customHeight="1">
      <c r="A4" s="6"/>
      <c r="B4" s="7" t="s">
        <v>0</v>
      </c>
      <c r="C4" s="8"/>
      <c r="D4" s="8"/>
      <c r="E4" s="8"/>
      <c r="F4" s="8"/>
      <c r="G4" s="8"/>
      <c r="H4" s="9" t="s">
        <v>1</v>
      </c>
      <c r="I4" s="10"/>
      <c r="J4" s="9" t="s">
        <v>2</v>
      </c>
      <c r="K4" s="10"/>
      <c r="L4" s="9" t="s">
        <v>3</v>
      </c>
      <c r="M4" s="10"/>
      <c r="N4" s="9" t="s">
        <v>4</v>
      </c>
      <c r="O4" s="11"/>
      <c r="P4" s="11"/>
      <c r="Q4" s="11"/>
      <c r="R4" s="11"/>
      <c r="S4" s="11"/>
      <c r="T4" s="11"/>
      <c r="U4" s="10"/>
      <c r="V4" s="1"/>
      <c r="W4" s="1"/>
      <c r="X4" s="1"/>
      <c r="Y4" s="1"/>
      <c r="Z4" s="1"/>
    </row>
    <row r="5" ht="6.0" customHeight="1">
      <c r="A5" s="6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6"/>
      <c r="N5" s="6"/>
      <c r="O5" s="3"/>
      <c r="P5" s="3"/>
      <c r="Q5" s="3"/>
      <c r="R5" s="3"/>
      <c r="S5" s="1"/>
      <c r="T5" s="1"/>
      <c r="U5" s="1"/>
      <c r="V5" s="1"/>
      <c r="W5" s="1"/>
      <c r="X5" s="1"/>
      <c r="Y5" s="1"/>
      <c r="Z5" s="1"/>
    </row>
    <row r="6" ht="17.25" customHeight="1">
      <c r="A6" s="12" t="s">
        <v>5</v>
      </c>
      <c r="B6" s="13" t="s">
        <v>6</v>
      </c>
      <c r="C6" s="14" t="s">
        <v>7</v>
      </c>
      <c r="D6" s="14" t="s">
        <v>8</v>
      </c>
      <c r="E6" s="14" t="s">
        <v>9</v>
      </c>
      <c r="F6" s="14" t="s">
        <v>10</v>
      </c>
      <c r="G6" s="14" t="s">
        <v>11</v>
      </c>
      <c r="H6" s="14" t="s">
        <v>12</v>
      </c>
      <c r="I6" s="15" t="s">
        <v>13</v>
      </c>
      <c r="J6" s="16" t="s">
        <v>14</v>
      </c>
      <c r="K6" s="15" t="s">
        <v>11</v>
      </c>
      <c r="L6" s="16" t="s">
        <v>15</v>
      </c>
      <c r="M6" s="14" t="s">
        <v>3</v>
      </c>
      <c r="N6" s="16" t="s">
        <v>16</v>
      </c>
      <c r="O6" s="14" t="s">
        <v>17</v>
      </c>
      <c r="P6" s="14" t="s">
        <v>18</v>
      </c>
      <c r="Q6" s="14" t="s">
        <v>19</v>
      </c>
      <c r="R6" s="14" t="s">
        <v>20</v>
      </c>
      <c r="S6" s="14" t="s">
        <v>21</v>
      </c>
      <c r="T6" s="14" t="s">
        <v>22</v>
      </c>
      <c r="U6" s="15" t="s">
        <v>1</v>
      </c>
      <c r="V6" s="1"/>
      <c r="W6" s="1"/>
      <c r="X6" s="1"/>
      <c r="Y6" s="1"/>
      <c r="Z6" s="1"/>
    </row>
    <row r="7" ht="14.25" customHeight="1">
      <c r="A7" s="17" t="s">
        <v>23</v>
      </c>
      <c r="B7" s="18">
        <v>1.0</v>
      </c>
      <c r="C7" s="18">
        <v>1.0</v>
      </c>
      <c r="D7" s="18">
        <v>1.0</v>
      </c>
      <c r="E7" s="18">
        <v>0.5</v>
      </c>
      <c r="F7" s="19">
        <f t="shared" ref="F7:F18" si="1">C7-E7</f>
        <v>0.5</v>
      </c>
      <c r="G7" s="20">
        <f t="shared" ref="G7:G18" si="2">F7/C7</f>
        <v>0.5</v>
      </c>
      <c r="H7" s="19" t="str">
        <f>$K$23*'Histórico '!V5</f>
        <v>#DIV/0!</v>
      </c>
      <c r="I7" s="21" t="str">
        <f t="shared" ref="I7:I18" si="3">(B7/H7)-100%</f>
        <v>#DIV/0!</v>
      </c>
      <c r="J7" s="18">
        <v>0.5</v>
      </c>
      <c r="K7" s="22">
        <f t="shared" ref="K7:K18" si="4">J7/B7</f>
        <v>0.5</v>
      </c>
      <c r="L7" s="23">
        <v>100.0</v>
      </c>
      <c r="M7" s="24">
        <f t="shared" ref="M7:M18" si="5">B7/L7</f>
        <v>0.01</v>
      </c>
      <c r="N7" s="25">
        <f t="shared" ref="N7:N18" si="6">B7*0.05</f>
        <v>0.05</v>
      </c>
      <c r="O7" s="24">
        <f t="shared" ref="O7:O18" si="7">B7*0.05</f>
        <v>0.05</v>
      </c>
      <c r="P7" s="24">
        <f t="shared" ref="P7:P15" si="8">B7*0.02</f>
        <v>0.02</v>
      </c>
      <c r="Q7" s="24">
        <f t="shared" ref="Q7:Q18" si="9">B7*0.05</f>
        <v>0.05</v>
      </c>
      <c r="R7" s="24">
        <f t="shared" ref="R7:R18" si="10">B7*0.1</f>
        <v>0.1</v>
      </c>
      <c r="S7" s="24">
        <v>0.0</v>
      </c>
      <c r="T7" s="24">
        <f>SUM(N7:R7)</f>
        <v>0.27</v>
      </c>
      <c r="U7" s="26">
        <v>0.0</v>
      </c>
      <c r="V7" s="1"/>
      <c r="W7" s="1"/>
      <c r="X7" s="1"/>
      <c r="Y7" s="1"/>
      <c r="Z7" s="1"/>
    </row>
    <row r="8" ht="14.25" customHeight="1">
      <c r="A8" s="27" t="s">
        <v>24</v>
      </c>
      <c r="B8" s="18">
        <v>0.0</v>
      </c>
      <c r="C8" s="18">
        <v>0.0</v>
      </c>
      <c r="D8" s="18">
        <v>0.0</v>
      </c>
      <c r="E8" s="18">
        <v>0.0</v>
      </c>
      <c r="F8" s="19">
        <f t="shared" si="1"/>
        <v>0</v>
      </c>
      <c r="G8" s="20" t="str">
        <f t="shared" si="2"/>
        <v>#DIV/0!</v>
      </c>
      <c r="H8" s="19" t="str">
        <f>$K$23*'Histórico '!V6</f>
        <v>#DIV/0!</v>
      </c>
      <c r="I8" s="21" t="str">
        <f t="shared" si="3"/>
        <v>#DIV/0!</v>
      </c>
      <c r="J8" s="18">
        <v>0.0</v>
      </c>
      <c r="K8" s="22" t="str">
        <f t="shared" si="4"/>
        <v>#DIV/0!</v>
      </c>
      <c r="L8" s="23">
        <v>0.0</v>
      </c>
      <c r="M8" s="24" t="str">
        <f t="shared" si="5"/>
        <v>#DIV/0!</v>
      </c>
      <c r="N8" s="25">
        <f t="shared" si="6"/>
        <v>0</v>
      </c>
      <c r="O8" s="24">
        <f t="shared" si="7"/>
        <v>0</v>
      </c>
      <c r="P8" s="24">
        <f t="shared" si="8"/>
        <v>0</v>
      </c>
      <c r="Q8" s="24">
        <f t="shared" si="9"/>
        <v>0</v>
      </c>
      <c r="R8" s="24">
        <f t="shared" si="10"/>
        <v>0</v>
      </c>
      <c r="S8" s="24">
        <v>0.0</v>
      </c>
      <c r="T8" s="24">
        <f>N8+O8+Q8+R8+P8</f>
        <v>0</v>
      </c>
      <c r="U8" s="26" t="str">
        <f>#REF!-T8</f>
        <v>#REF!</v>
      </c>
      <c r="V8" s="1"/>
      <c r="W8" s="1"/>
      <c r="X8" s="1"/>
      <c r="Y8" s="1"/>
      <c r="Z8" s="1"/>
    </row>
    <row r="9" ht="14.25" customHeight="1">
      <c r="A9" s="27" t="s">
        <v>25</v>
      </c>
      <c r="B9" s="18">
        <v>0.0</v>
      </c>
      <c r="C9" s="18">
        <v>0.0</v>
      </c>
      <c r="D9" s="18">
        <v>0.0</v>
      </c>
      <c r="E9" s="18">
        <v>0.0</v>
      </c>
      <c r="F9" s="19">
        <f t="shared" si="1"/>
        <v>0</v>
      </c>
      <c r="G9" s="20" t="str">
        <f t="shared" si="2"/>
        <v>#DIV/0!</v>
      </c>
      <c r="H9" s="19" t="str">
        <f>$K$23*'Histórico '!V7</f>
        <v>#DIV/0!</v>
      </c>
      <c r="I9" s="21" t="str">
        <f t="shared" si="3"/>
        <v>#DIV/0!</v>
      </c>
      <c r="J9" s="18">
        <v>0.0</v>
      </c>
      <c r="K9" s="22" t="str">
        <f t="shared" si="4"/>
        <v>#DIV/0!</v>
      </c>
      <c r="L9" s="23">
        <v>0.0</v>
      </c>
      <c r="M9" s="24" t="str">
        <f t="shared" si="5"/>
        <v>#DIV/0!</v>
      </c>
      <c r="N9" s="25">
        <f t="shared" si="6"/>
        <v>0</v>
      </c>
      <c r="O9" s="24">
        <f t="shared" si="7"/>
        <v>0</v>
      </c>
      <c r="P9" s="24">
        <f t="shared" si="8"/>
        <v>0</v>
      </c>
      <c r="Q9" s="24">
        <f t="shared" si="9"/>
        <v>0</v>
      </c>
      <c r="R9" s="24">
        <f t="shared" si="10"/>
        <v>0</v>
      </c>
      <c r="S9" s="24">
        <v>0.0</v>
      </c>
      <c r="T9" s="24">
        <f t="shared" ref="T9:T18" si="11">SUM(N9:R9)</f>
        <v>0</v>
      </c>
      <c r="U9" s="26"/>
      <c r="V9" s="1"/>
      <c r="W9" s="1"/>
      <c r="X9" s="1"/>
      <c r="Y9" s="1"/>
      <c r="Z9" s="1"/>
    </row>
    <row r="10" ht="14.25" customHeight="1">
      <c r="A10" s="27" t="s">
        <v>26</v>
      </c>
      <c r="B10" s="18">
        <v>0.0</v>
      </c>
      <c r="C10" s="18">
        <v>0.0</v>
      </c>
      <c r="D10" s="18">
        <v>0.0</v>
      </c>
      <c r="E10" s="18">
        <v>0.0</v>
      </c>
      <c r="F10" s="19">
        <f t="shared" si="1"/>
        <v>0</v>
      </c>
      <c r="G10" s="20" t="str">
        <f t="shared" si="2"/>
        <v>#DIV/0!</v>
      </c>
      <c r="H10" s="19" t="str">
        <f>$K$23*'Histórico '!V8</f>
        <v>#DIV/0!</v>
      </c>
      <c r="I10" s="21" t="str">
        <f t="shared" si="3"/>
        <v>#DIV/0!</v>
      </c>
      <c r="J10" s="18">
        <v>0.0</v>
      </c>
      <c r="K10" s="22" t="str">
        <f t="shared" si="4"/>
        <v>#DIV/0!</v>
      </c>
      <c r="L10" s="23">
        <v>0.0</v>
      </c>
      <c r="M10" s="24" t="str">
        <f t="shared" si="5"/>
        <v>#DIV/0!</v>
      </c>
      <c r="N10" s="25">
        <f t="shared" si="6"/>
        <v>0</v>
      </c>
      <c r="O10" s="24">
        <f t="shared" si="7"/>
        <v>0</v>
      </c>
      <c r="P10" s="24">
        <f t="shared" si="8"/>
        <v>0</v>
      </c>
      <c r="Q10" s="24">
        <f t="shared" si="9"/>
        <v>0</v>
      </c>
      <c r="R10" s="24">
        <f t="shared" si="10"/>
        <v>0</v>
      </c>
      <c r="S10" s="24">
        <v>0.0</v>
      </c>
      <c r="T10" s="24">
        <f t="shared" si="11"/>
        <v>0</v>
      </c>
      <c r="U10" s="26"/>
      <c r="V10" s="1"/>
      <c r="W10" s="1"/>
      <c r="X10" s="1"/>
      <c r="Y10" s="1"/>
      <c r="Z10" s="1"/>
    </row>
    <row r="11" ht="14.25" customHeight="1">
      <c r="A11" s="27" t="s">
        <v>27</v>
      </c>
      <c r="B11" s="18">
        <v>0.0</v>
      </c>
      <c r="C11" s="18">
        <v>0.0</v>
      </c>
      <c r="D11" s="18">
        <v>0.0</v>
      </c>
      <c r="E11" s="18">
        <v>0.0</v>
      </c>
      <c r="F11" s="19">
        <f t="shared" si="1"/>
        <v>0</v>
      </c>
      <c r="G11" s="20" t="str">
        <f t="shared" si="2"/>
        <v>#DIV/0!</v>
      </c>
      <c r="H11" s="19" t="str">
        <f>$K$23*'Histórico '!V9</f>
        <v>#DIV/0!</v>
      </c>
      <c r="I11" s="21" t="str">
        <f t="shared" si="3"/>
        <v>#DIV/0!</v>
      </c>
      <c r="J11" s="18">
        <v>0.0</v>
      </c>
      <c r="K11" s="22" t="str">
        <f t="shared" si="4"/>
        <v>#DIV/0!</v>
      </c>
      <c r="L11" s="23">
        <v>0.0</v>
      </c>
      <c r="M11" s="24" t="str">
        <f t="shared" si="5"/>
        <v>#DIV/0!</v>
      </c>
      <c r="N11" s="25">
        <f t="shared" si="6"/>
        <v>0</v>
      </c>
      <c r="O11" s="24">
        <f t="shared" si="7"/>
        <v>0</v>
      </c>
      <c r="P11" s="24">
        <f t="shared" si="8"/>
        <v>0</v>
      </c>
      <c r="Q11" s="24">
        <f t="shared" si="9"/>
        <v>0</v>
      </c>
      <c r="R11" s="24">
        <f t="shared" si="10"/>
        <v>0</v>
      </c>
      <c r="S11" s="24">
        <v>0.0</v>
      </c>
      <c r="T11" s="24">
        <f t="shared" si="11"/>
        <v>0</v>
      </c>
      <c r="U11" s="26"/>
      <c r="V11" s="1"/>
      <c r="W11" s="1"/>
      <c r="X11" s="1"/>
      <c r="Y11" s="1"/>
      <c r="Z11" s="1"/>
    </row>
    <row r="12" ht="14.25" customHeight="1">
      <c r="A12" s="27" t="s">
        <v>28</v>
      </c>
      <c r="B12" s="18">
        <v>0.0</v>
      </c>
      <c r="C12" s="18">
        <v>0.0</v>
      </c>
      <c r="D12" s="18">
        <v>0.0</v>
      </c>
      <c r="E12" s="18">
        <v>0.0</v>
      </c>
      <c r="F12" s="19">
        <f t="shared" si="1"/>
        <v>0</v>
      </c>
      <c r="G12" s="20" t="str">
        <f t="shared" si="2"/>
        <v>#DIV/0!</v>
      </c>
      <c r="H12" s="19" t="str">
        <f>$K$23*'Histórico '!V10</f>
        <v>#DIV/0!</v>
      </c>
      <c r="I12" s="21" t="str">
        <f t="shared" si="3"/>
        <v>#DIV/0!</v>
      </c>
      <c r="J12" s="18">
        <v>0.0</v>
      </c>
      <c r="K12" s="22" t="str">
        <f t="shared" si="4"/>
        <v>#DIV/0!</v>
      </c>
      <c r="L12" s="23">
        <v>0.0</v>
      </c>
      <c r="M12" s="24" t="str">
        <f t="shared" si="5"/>
        <v>#DIV/0!</v>
      </c>
      <c r="N12" s="25">
        <f t="shared" si="6"/>
        <v>0</v>
      </c>
      <c r="O12" s="24">
        <f t="shared" si="7"/>
        <v>0</v>
      </c>
      <c r="P12" s="24">
        <f t="shared" si="8"/>
        <v>0</v>
      </c>
      <c r="Q12" s="24">
        <f t="shared" si="9"/>
        <v>0</v>
      </c>
      <c r="R12" s="24">
        <f t="shared" si="10"/>
        <v>0</v>
      </c>
      <c r="S12" s="24">
        <v>0.0</v>
      </c>
      <c r="T12" s="24">
        <f t="shared" si="11"/>
        <v>0</v>
      </c>
      <c r="U12" s="26"/>
      <c r="V12" s="1"/>
      <c r="W12" s="1"/>
      <c r="X12" s="1"/>
      <c r="Y12" s="1"/>
      <c r="Z12" s="1"/>
    </row>
    <row r="13" ht="14.25" customHeight="1">
      <c r="A13" s="27" t="s">
        <v>29</v>
      </c>
      <c r="B13" s="18">
        <v>0.0</v>
      </c>
      <c r="C13" s="18">
        <v>0.0</v>
      </c>
      <c r="D13" s="18">
        <v>0.0</v>
      </c>
      <c r="E13" s="18">
        <v>0.0</v>
      </c>
      <c r="F13" s="19">
        <f t="shared" si="1"/>
        <v>0</v>
      </c>
      <c r="G13" s="20" t="str">
        <f t="shared" si="2"/>
        <v>#DIV/0!</v>
      </c>
      <c r="H13" s="19" t="str">
        <f>$K$23*'Histórico '!V11</f>
        <v>#DIV/0!</v>
      </c>
      <c r="I13" s="21" t="str">
        <f t="shared" si="3"/>
        <v>#DIV/0!</v>
      </c>
      <c r="J13" s="18">
        <v>0.0</v>
      </c>
      <c r="K13" s="22" t="str">
        <f t="shared" si="4"/>
        <v>#DIV/0!</v>
      </c>
      <c r="L13" s="23">
        <v>0.0</v>
      </c>
      <c r="M13" s="24" t="str">
        <f t="shared" si="5"/>
        <v>#DIV/0!</v>
      </c>
      <c r="N13" s="25">
        <f t="shared" si="6"/>
        <v>0</v>
      </c>
      <c r="O13" s="24">
        <f t="shared" si="7"/>
        <v>0</v>
      </c>
      <c r="P13" s="24">
        <f t="shared" si="8"/>
        <v>0</v>
      </c>
      <c r="Q13" s="24">
        <f t="shared" si="9"/>
        <v>0</v>
      </c>
      <c r="R13" s="24">
        <f t="shared" si="10"/>
        <v>0</v>
      </c>
      <c r="S13" s="24">
        <v>0.0</v>
      </c>
      <c r="T13" s="24">
        <f t="shared" si="11"/>
        <v>0</v>
      </c>
      <c r="U13" s="26"/>
      <c r="V13" s="1"/>
      <c r="W13" s="1"/>
      <c r="X13" s="1"/>
      <c r="Y13" s="1"/>
      <c r="Z13" s="1"/>
    </row>
    <row r="14" ht="14.25" customHeight="1">
      <c r="A14" s="27" t="s">
        <v>30</v>
      </c>
      <c r="B14" s="18">
        <v>0.0</v>
      </c>
      <c r="C14" s="18">
        <v>0.0</v>
      </c>
      <c r="D14" s="18">
        <v>0.0</v>
      </c>
      <c r="E14" s="18">
        <v>0.0</v>
      </c>
      <c r="F14" s="19">
        <f t="shared" si="1"/>
        <v>0</v>
      </c>
      <c r="G14" s="20" t="str">
        <f t="shared" si="2"/>
        <v>#DIV/0!</v>
      </c>
      <c r="H14" s="19" t="str">
        <f>$K$23*'Histórico '!V12</f>
        <v>#DIV/0!</v>
      </c>
      <c r="I14" s="21" t="str">
        <f t="shared" si="3"/>
        <v>#DIV/0!</v>
      </c>
      <c r="J14" s="18">
        <v>0.0</v>
      </c>
      <c r="K14" s="22" t="str">
        <f t="shared" si="4"/>
        <v>#DIV/0!</v>
      </c>
      <c r="L14" s="23">
        <v>0.0</v>
      </c>
      <c r="M14" s="24" t="str">
        <f t="shared" si="5"/>
        <v>#DIV/0!</v>
      </c>
      <c r="N14" s="25">
        <f t="shared" si="6"/>
        <v>0</v>
      </c>
      <c r="O14" s="24">
        <f t="shared" si="7"/>
        <v>0</v>
      </c>
      <c r="P14" s="24">
        <f t="shared" si="8"/>
        <v>0</v>
      </c>
      <c r="Q14" s="24">
        <f t="shared" si="9"/>
        <v>0</v>
      </c>
      <c r="R14" s="24">
        <f t="shared" si="10"/>
        <v>0</v>
      </c>
      <c r="S14" s="24">
        <v>0.0</v>
      </c>
      <c r="T14" s="24">
        <f t="shared" si="11"/>
        <v>0</v>
      </c>
      <c r="U14" s="26"/>
      <c r="V14" s="1"/>
      <c r="W14" s="1"/>
      <c r="X14" s="1"/>
      <c r="Y14" s="1"/>
      <c r="Z14" s="1"/>
    </row>
    <row r="15" ht="14.25" customHeight="1">
      <c r="A15" s="27" t="s">
        <v>31</v>
      </c>
      <c r="B15" s="18">
        <v>0.0</v>
      </c>
      <c r="C15" s="18">
        <v>0.0</v>
      </c>
      <c r="D15" s="18">
        <v>0.0</v>
      </c>
      <c r="E15" s="18">
        <v>0.0</v>
      </c>
      <c r="F15" s="19">
        <f t="shared" si="1"/>
        <v>0</v>
      </c>
      <c r="G15" s="20" t="str">
        <f t="shared" si="2"/>
        <v>#DIV/0!</v>
      </c>
      <c r="H15" s="19" t="str">
        <f>$K$23*'Histórico '!V13</f>
        <v>#DIV/0!</v>
      </c>
      <c r="I15" s="21" t="str">
        <f t="shared" si="3"/>
        <v>#DIV/0!</v>
      </c>
      <c r="J15" s="18">
        <v>0.0</v>
      </c>
      <c r="K15" s="22" t="str">
        <f t="shared" si="4"/>
        <v>#DIV/0!</v>
      </c>
      <c r="L15" s="23">
        <v>0.0</v>
      </c>
      <c r="M15" s="24" t="str">
        <f t="shared" si="5"/>
        <v>#DIV/0!</v>
      </c>
      <c r="N15" s="25">
        <f t="shared" si="6"/>
        <v>0</v>
      </c>
      <c r="O15" s="24">
        <f t="shared" si="7"/>
        <v>0</v>
      </c>
      <c r="P15" s="24">
        <f t="shared" si="8"/>
        <v>0</v>
      </c>
      <c r="Q15" s="24">
        <f t="shared" si="9"/>
        <v>0</v>
      </c>
      <c r="R15" s="24">
        <f t="shared" si="10"/>
        <v>0</v>
      </c>
      <c r="S15" s="24">
        <v>0.0</v>
      </c>
      <c r="T15" s="24">
        <f t="shared" si="11"/>
        <v>0</v>
      </c>
      <c r="U15" s="26"/>
      <c r="V15" s="1"/>
      <c r="W15" s="1"/>
      <c r="X15" s="1"/>
      <c r="Y15" s="1"/>
      <c r="Z15" s="1"/>
    </row>
    <row r="16" ht="14.25" customHeight="1">
      <c r="A16" s="27" t="s">
        <v>32</v>
      </c>
      <c r="B16" s="18">
        <v>0.0</v>
      </c>
      <c r="C16" s="18">
        <v>0.0</v>
      </c>
      <c r="D16" s="18">
        <v>0.0</v>
      </c>
      <c r="E16" s="18">
        <v>0.0</v>
      </c>
      <c r="F16" s="19">
        <f t="shared" si="1"/>
        <v>0</v>
      </c>
      <c r="G16" s="20" t="str">
        <f t="shared" si="2"/>
        <v>#DIV/0!</v>
      </c>
      <c r="H16" s="19" t="str">
        <f>$K$23*'Histórico '!V14</f>
        <v>#DIV/0!</v>
      </c>
      <c r="I16" s="21" t="str">
        <f t="shared" si="3"/>
        <v>#DIV/0!</v>
      </c>
      <c r="J16" s="18">
        <v>0.0</v>
      </c>
      <c r="K16" s="22" t="str">
        <f t="shared" si="4"/>
        <v>#DIV/0!</v>
      </c>
      <c r="L16" s="23">
        <v>0.0</v>
      </c>
      <c r="M16" s="24" t="str">
        <f t="shared" si="5"/>
        <v>#DIV/0!</v>
      </c>
      <c r="N16" s="25">
        <f t="shared" si="6"/>
        <v>0</v>
      </c>
      <c r="O16" s="24">
        <f t="shared" si="7"/>
        <v>0</v>
      </c>
      <c r="P16" s="24">
        <v>0.0</v>
      </c>
      <c r="Q16" s="24">
        <f t="shared" si="9"/>
        <v>0</v>
      </c>
      <c r="R16" s="24">
        <f t="shared" si="10"/>
        <v>0</v>
      </c>
      <c r="S16" s="24">
        <v>0.0</v>
      </c>
      <c r="T16" s="24">
        <f t="shared" si="11"/>
        <v>0</v>
      </c>
      <c r="U16" s="26"/>
      <c r="V16" s="1"/>
      <c r="W16" s="1"/>
      <c r="X16" s="1"/>
      <c r="Y16" s="1"/>
      <c r="Z16" s="1"/>
    </row>
    <row r="17" ht="14.25" customHeight="1">
      <c r="A17" s="27" t="s">
        <v>33</v>
      </c>
      <c r="B17" s="18">
        <v>0.0</v>
      </c>
      <c r="C17" s="18">
        <v>0.0</v>
      </c>
      <c r="D17" s="18">
        <v>0.0</v>
      </c>
      <c r="E17" s="18">
        <v>0.0</v>
      </c>
      <c r="F17" s="19">
        <f t="shared" si="1"/>
        <v>0</v>
      </c>
      <c r="G17" s="20" t="str">
        <f t="shared" si="2"/>
        <v>#DIV/0!</v>
      </c>
      <c r="H17" s="19" t="str">
        <f>$K$23*'Histórico '!V15</f>
        <v>#DIV/0!</v>
      </c>
      <c r="I17" s="21" t="str">
        <f t="shared" si="3"/>
        <v>#DIV/0!</v>
      </c>
      <c r="J17" s="18">
        <v>0.0</v>
      </c>
      <c r="K17" s="22" t="str">
        <f t="shared" si="4"/>
        <v>#DIV/0!</v>
      </c>
      <c r="L17" s="23">
        <v>0.0</v>
      </c>
      <c r="M17" s="24" t="str">
        <f t="shared" si="5"/>
        <v>#DIV/0!</v>
      </c>
      <c r="N17" s="25">
        <f t="shared" si="6"/>
        <v>0</v>
      </c>
      <c r="O17" s="24">
        <f t="shared" si="7"/>
        <v>0</v>
      </c>
      <c r="P17" s="24">
        <v>0.0</v>
      </c>
      <c r="Q17" s="24">
        <f t="shared" si="9"/>
        <v>0</v>
      </c>
      <c r="R17" s="24">
        <f t="shared" si="10"/>
        <v>0</v>
      </c>
      <c r="S17" s="24">
        <v>0.0</v>
      </c>
      <c r="T17" s="24">
        <f t="shared" si="11"/>
        <v>0</v>
      </c>
      <c r="U17" s="26"/>
      <c r="V17" s="1"/>
      <c r="W17" s="1"/>
      <c r="X17" s="1"/>
      <c r="Y17" s="1"/>
      <c r="Z17" s="1"/>
    </row>
    <row r="18" ht="14.25" customHeight="1">
      <c r="A18" s="27" t="s">
        <v>34</v>
      </c>
      <c r="B18" s="18">
        <v>0.0</v>
      </c>
      <c r="C18" s="18">
        <v>0.0</v>
      </c>
      <c r="D18" s="18">
        <v>0.0</v>
      </c>
      <c r="E18" s="18">
        <v>0.0</v>
      </c>
      <c r="F18" s="28">
        <f t="shared" si="1"/>
        <v>0</v>
      </c>
      <c r="G18" s="29" t="str">
        <f t="shared" si="2"/>
        <v>#DIV/0!</v>
      </c>
      <c r="H18" s="28" t="str">
        <f>$K$23*'Histórico '!V16</f>
        <v>#DIV/0!</v>
      </c>
      <c r="I18" s="30" t="str">
        <f t="shared" si="3"/>
        <v>#DIV/0!</v>
      </c>
      <c r="J18" s="18">
        <v>0.0</v>
      </c>
      <c r="K18" s="31" t="str">
        <f t="shared" si="4"/>
        <v>#DIV/0!</v>
      </c>
      <c r="L18" s="32">
        <v>0.0</v>
      </c>
      <c r="M18" s="33" t="str">
        <f t="shared" si="5"/>
        <v>#DIV/0!</v>
      </c>
      <c r="N18" s="34">
        <f t="shared" si="6"/>
        <v>0</v>
      </c>
      <c r="O18" s="33">
        <f t="shared" si="7"/>
        <v>0</v>
      </c>
      <c r="P18" s="33">
        <v>0.0</v>
      </c>
      <c r="Q18" s="24">
        <f t="shared" si="9"/>
        <v>0</v>
      </c>
      <c r="R18" s="24">
        <f t="shared" si="10"/>
        <v>0</v>
      </c>
      <c r="S18" s="24">
        <v>0.0</v>
      </c>
      <c r="T18" s="33">
        <f t="shared" si="11"/>
        <v>0</v>
      </c>
      <c r="U18" s="35"/>
      <c r="V18" s="1"/>
      <c r="W18" s="1"/>
      <c r="X18" s="1"/>
      <c r="Y18" s="1"/>
      <c r="Z18" s="1"/>
    </row>
    <row r="19" ht="6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24"/>
      <c r="Q19" s="24"/>
      <c r="R19" s="24"/>
      <c r="S19" s="24"/>
      <c r="T19" s="24"/>
      <c r="U19" s="1"/>
      <c r="V19" s="1"/>
      <c r="W19" s="1"/>
      <c r="X19" s="1"/>
      <c r="Y19" s="1"/>
      <c r="Z19" s="1"/>
    </row>
    <row r="20" ht="16.5" customHeight="1">
      <c r="A20" s="36" t="s">
        <v>35</v>
      </c>
      <c r="B20" s="37">
        <f t="shared" ref="B20:F20" si="12">SUM(B7:B18)</f>
        <v>1</v>
      </c>
      <c r="C20" s="37">
        <f t="shared" si="12"/>
        <v>1</v>
      </c>
      <c r="D20" s="37">
        <f t="shared" si="12"/>
        <v>1</v>
      </c>
      <c r="E20" s="37">
        <f t="shared" si="12"/>
        <v>0.5</v>
      </c>
      <c r="F20" s="37">
        <f t="shared" si="12"/>
        <v>0.5</v>
      </c>
      <c r="G20" s="38">
        <f>G7</f>
        <v>0.5</v>
      </c>
      <c r="H20" s="37"/>
      <c r="I20" s="37"/>
      <c r="J20" s="37" t="str">
        <f>SUM(H7:H18)</f>
        <v>#DIV/0!</v>
      </c>
      <c r="K20" s="38"/>
      <c r="L20" s="1"/>
      <c r="M20" s="39" t="str">
        <f>SUM(K7:K18)/12</f>
        <v>#DIV/0!</v>
      </c>
      <c r="N20" s="24">
        <f t="shared" ref="N20:S20" si="13">SUM(N7:N18)</f>
        <v>0.05</v>
      </c>
      <c r="O20" s="24">
        <f t="shared" si="13"/>
        <v>0.05</v>
      </c>
      <c r="P20" s="24">
        <f t="shared" si="13"/>
        <v>0.02</v>
      </c>
      <c r="Q20" s="24">
        <f t="shared" si="13"/>
        <v>0.05</v>
      </c>
      <c r="R20" s="24">
        <f t="shared" si="13"/>
        <v>0.1</v>
      </c>
      <c r="S20" s="24">
        <f t="shared" si="13"/>
        <v>0</v>
      </c>
      <c r="T20" s="24"/>
      <c r="U20" s="1"/>
      <c r="V20" s="1"/>
      <c r="W20" s="1"/>
      <c r="X20" s="1"/>
      <c r="Y20" s="1"/>
      <c r="Z20" s="1"/>
    </row>
    <row r="21" ht="8.25" customHeight="1">
      <c r="A21" s="6"/>
      <c r="B21" s="3"/>
      <c r="C21" s="3"/>
      <c r="D21" s="3"/>
      <c r="E21" s="3"/>
      <c r="F21" s="3"/>
      <c r="G21" s="24"/>
      <c r="H21" s="24"/>
      <c r="I21" s="24"/>
      <c r="J21" s="3"/>
      <c r="K21" s="24"/>
      <c r="L21" s="24"/>
      <c r="M21" s="24"/>
      <c r="N21" s="6"/>
      <c r="O21" s="3"/>
      <c r="P21" s="3"/>
      <c r="Q21" s="3"/>
      <c r="R21" s="24"/>
      <c r="S21" s="24"/>
      <c r="T21" s="24"/>
      <c r="U21" s="1"/>
      <c r="V21" s="1"/>
      <c r="W21" s="1"/>
      <c r="X21" s="1"/>
      <c r="Y21" s="1"/>
      <c r="Z21" s="1"/>
    </row>
    <row r="22" ht="17.25" customHeight="1">
      <c r="A22" s="12" t="s">
        <v>36</v>
      </c>
      <c r="B22" s="17" t="s">
        <v>6</v>
      </c>
      <c r="C22" s="27" t="s">
        <v>7</v>
      </c>
      <c r="D22" s="27" t="s">
        <v>9</v>
      </c>
      <c r="E22" s="27" t="s">
        <v>10</v>
      </c>
      <c r="F22" s="27" t="s">
        <v>11</v>
      </c>
      <c r="G22" s="27" t="s">
        <v>15</v>
      </c>
      <c r="H22" s="27" t="s">
        <v>3</v>
      </c>
      <c r="I22" s="24"/>
      <c r="J22" s="12" t="s">
        <v>37</v>
      </c>
      <c r="K22" s="27" t="s">
        <v>38</v>
      </c>
      <c r="L22" s="27" t="s">
        <v>39</v>
      </c>
      <c r="M22" s="27" t="s">
        <v>11</v>
      </c>
      <c r="N22" s="40"/>
      <c r="O22" s="40"/>
      <c r="P22" s="41"/>
      <c r="Q22" s="42"/>
      <c r="R22" s="42"/>
      <c r="S22" s="42"/>
      <c r="T22" s="42"/>
      <c r="U22" s="1"/>
      <c r="V22" s="1"/>
      <c r="W22" s="1"/>
      <c r="X22" s="1"/>
      <c r="Y22" s="1"/>
      <c r="Z22" s="1"/>
    </row>
    <row r="23" ht="14.25" customHeight="1">
      <c r="A23" s="17" t="s">
        <v>23</v>
      </c>
      <c r="B23" s="18">
        <v>1.0</v>
      </c>
      <c r="C23" s="18">
        <v>1.0</v>
      </c>
      <c r="D23" s="18">
        <v>1.0</v>
      </c>
      <c r="E23" s="19">
        <f t="shared" ref="E23:E34" si="14">C23-D23</f>
        <v>0</v>
      </c>
      <c r="F23" s="20">
        <f t="shared" ref="F23:F34" si="15">E23/C23</f>
        <v>0</v>
      </c>
      <c r="G23" s="43">
        <v>0.0</v>
      </c>
      <c r="H23" s="19" t="str">
        <f t="shared" ref="H23:H34" si="16">B23/G23</f>
        <v>#DIV/0!</v>
      </c>
      <c r="I23" s="24"/>
      <c r="J23" s="27" t="s">
        <v>40</v>
      </c>
      <c r="K23" s="44"/>
      <c r="L23" s="24">
        <f>$B$20</f>
        <v>1</v>
      </c>
      <c r="M23" s="24"/>
      <c r="N23" s="24"/>
      <c r="O23" s="24"/>
      <c r="P23" s="24"/>
      <c r="Q23" s="24"/>
      <c r="R23" s="24"/>
      <c r="S23" s="24"/>
      <c r="T23" s="24"/>
      <c r="U23" s="1"/>
      <c r="V23" s="1"/>
      <c r="W23" s="1"/>
      <c r="X23" s="1"/>
      <c r="Y23" s="1"/>
      <c r="Z23" s="1"/>
    </row>
    <row r="24" ht="14.25" customHeight="1">
      <c r="A24" s="27" t="s">
        <v>24</v>
      </c>
      <c r="B24" s="18">
        <v>0.0</v>
      </c>
      <c r="C24" s="18">
        <v>0.0</v>
      </c>
      <c r="D24" s="18">
        <v>0.0</v>
      </c>
      <c r="E24" s="19">
        <f t="shared" si="14"/>
        <v>0</v>
      </c>
      <c r="F24" s="20" t="str">
        <f t="shared" si="15"/>
        <v>#DIV/0!</v>
      </c>
      <c r="G24" s="43">
        <v>0.0</v>
      </c>
      <c r="H24" s="19" t="str">
        <f t="shared" si="16"/>
        <v>#DIV/0!</v>
      </c>
      <c r="I24" s="24"/>
      <c r="J24" s="45" t="s">
        <v>41</v>
      </c>
      <c r="K24" s="44">
        <f t="shared" ref="K24:K27" si="17">$K$23/4</f>
        <v>0</v>
      </c>
      <c r="L24" s="24">
        <f>$B$7+$B$8+$B$9</f>
        <v>1</v>
      </c>
      <c r="M24" s="39" t="str">
        <f t="shared" ref="M24:M27" si="18">L24/K24</f>
        <v>#DIV/0!</v>
      </c>
      <c r="N24" s="24"/>
      <c r="O24" s="46"/>
      <c r="P24" s="42"/>
      <c r="Q24" s="24"/>
      <c r="R24" s="24"/>
      <c r="S24" s="39"/>
      <c r="T24" s="24"/>
      <c r="U24" s="1"/>
      <c r="V24" s="1"/>
      <c r="W24" s="1"/>
      <c r="X24" s="1"/>
      <c r="Y24" s="1"/>
      <c r="Z24" s="1"/>
    </row>
    <row r="25" ht="14.25" customHeight="1">
      <c r="A25" s="27" t="s">
        <v>25</v>
      </c>
      <c r="B25" s="18">
        <v>0.0</v>
      </c>
      <c r="C25" s="18">
        <v>0.0</v>
      </c>
      <c r="D25" s="18">
        <v>0.0</v>
      </c>
      <c r="E25" s="19">
        <f t="shared" si="14"/>
        <v>0</v>
      </c>
      <c r="F25" s="20" t="str">
        <f t="shared" si="15"/>
        <v>#DIV/0!</v>
      </c>
      <c r="G25" s="43">
        <v>0.0</v>
      </c>
      <c r="H25" s="19" t="str">
        <f t="shared" si="16"/>
        <v>#DIV/0!</v>
      </c>
      <c r="I25" s="24"/>
      <c r="J25" s="45" t="s">
        <v>42</v>
      </c>
      <c r="K25" s="44">
        <f t="shared" si="17"/>
        <v>0</v>
      </c>
      <c r="L25" s="24">
        <f>$B$10+$B$11+$B$12</f>
        <v>0</v>
      </c>
      <c r="M25" s="39" t="str">
        <f t="shared" si="18"/>
        <v>#DIV/0!</v>
      </c>
      <c r="N25" s="1"/>
      <c r="O25" s="1"/>
      <c r="P25" s="42"/>
      <c r="Q25" s="24"/>
      <c r="R25" s="24"/>
      <c r="S25" s="39"/>
      <c r="T25" s="24"/>
      <c r="U25" s="1"/>
      <c r="V25" s="1"/>
      <c r="W25" s="1"/>
      <c r="X25" s="1"/>
      <c r="Y25" s="1"/>
      <c r="Z25" s="1"/>
    </row>
    <row r="26" ht="14.25" customHeight="1">
      <c r="A26" s="27" t="s">
        <v>26</v>
      </c>
      <c r="B26" s="18">
        <v>0.0</v>
      </c>
      <c r="C26" s="18">
        <v>0.0</v>
      </c>
      <c r="D26" s="18">
        <v>0.0</v>
      </c>
      <c r="E26" s="19">
        <f t="shared" si="14"/>
        <v>0</v>
      </c>
      <c r="F26" s="20" t="str">
        <f t="shared" si="15"/>
        <v>#DIV/0!</v>
      </c>
      <c r="G26" s="43">
        <v>0.0</v>
      </c>
      <c r="H26" s="19" t="str">
        <f t="shared" si="16"/>
        <v>#DIV/0!</v>
      </c>
      <c r="I26" s="47"/>
      <c r="J26" s="45" t="s">
        <v>43</v>
      </c>
      <c r="K26" s="44">
        <f t="shared" si="17"/>
        <v>0</v>
      </c>
      <c r="L26" s="24">
        <f>$B$13+$B$14+$B$15</f>
        <v>0</v>
      </c>
      <c r="M26" s="39" t="str">
        <f t="shared" si="18"/>
        <v>#DIV/0!</v>
      </c>
      <c r="N26" s="40"/>
      <c r="O26" s="40"/>
      <c r="P26" s="42"/>
      <c r="Q26" s="24"/>
      <c r="R26" s="24"/>
      <c r="S26" s="39"/>
      <c r="T26" s="47"/>
      <c r="U26" s="1"/>
      <c r="V26" s="1"/>
      <c r="W26" s="1"/>
      <c r="X26" s="1"/>
      <c r="Y26" s="1"/>
      <c r="Z26" s="1"/>
    </row>
    <row r="27" ht="14.25" customHeight="1">
      <c r="A27" s="27" t="s">
        <v>27</v>
      </c>
      <c r="B27" s="18">
        <v>0.0</v>
      </c>
      <c r="C27" s="18">
        <v>0.0</v>
      </c>
      <c r="D27" s="18">
        <v>0.0</v>
      </c>
      <c r="E27" s="19">
        <f t="shared" si="14"/>
        <v>0</v>
      </c>
      <c r="F27" s="20" t="str">
        <f t="shared" si="15"/>
        <v>#DIV/0!</v>
      </c>
      <c r="G27" s="43">
        <v>0.0</v>
      </c>
      <c r="H27" s="19" t="str">
        <f t="shared" si="16"/>
        <v>#DIV/0!</v>
      </c>
      <c r="I27" s="24"/>
      <c r="J27" s="45" t="s">
        <v>44</v>
      </c>
      <c r="K27" s="44">
        <f t="shared" si="17"/>
        <v>0</v>
      </c>
      <c r="L27" s="24">
        <f>$B$16+$B$17+$B$18</f>
        <v>0</v>
      </c>
      <c r="M27" s="39" t="str">
        <f t="shared" si="18"/>
        <v>#DIV/0!</v>
      </c>
      <c r="N27" s="24"/>
      <c r="O27" s="48"/>
      <c r="P27" s="42"/>
      <c r="Q27" s="24"/>
      <c r="R27" s="24"/>
      <c r="S27" s="39"/>
      <c r="T27" s="24"/>
      <c r="U27" s="1"/>
      <c r="V27" s="1"/>
      <c r="W27" s="1"/>
      <c r="X27" s="1"/>
      <c r="Y27" s="1"/>
      <c r="Z27" s="1"/>
    </row>
    <row r="28" ht="14.25" customHeight="1">
      <c r="A28" s="27" t="s">
        <v>28</v>
      </c>
      <c r="B28" s="18">
        <v>0.0</v>
      </c>
      <c r="C28" s="18">
        <v>0.0</v>
      </c>
      <c r="D28" s="18">
        <v>0.0</v>
      </c>
      <c r="E28" s="19">
        <f t="shared" si="14"/>
        <v>0</v>
      </c>
      <c r="F28" s="20" t="str">
        <f t="shared" si="15"/>
        <v>#DIV/0!</v>
      </c>
      <c r="G28" s="43">
        <v>0.0</v>
      </c>
      <c r="H28" s="19" t="str">
        <f t="shared" si="16"/>
        <v>#DIV/0!</v>
      </c>
      <c r="I28" s="40"/>
      <c r="J28" s="40"/>
      <c r="K28" s="40"/>
      <c r="L28" s="40"/>
      <c r="M28" s="40"/>
      <c r="N28" s="24"/>
      <c r="O28" s="46"/>
      <c r="P28" s="42"/>
      <c r="Q28" s="20"/>
      <c r="R28" s="20"/>
      <c r="S28" s="20"/>
      <c r="T28" s="40"/>
      <c r="U28" s="1"/>
      <c r="V28" s="1"/>
      <c r="W28" s="1"/>
      <c r="X28" s="1"/>
      <c r="Y28" s="1"/>
      <c r="Z28" s="1"/>
    </row>
    <row r="29" ht="14.25" customHeight="1">
      <c r="A29" s="27" t="s">
        <v>29</v>
      </c>
      <c r="B29" s="18">
        <v>0.0</v>
      </c>
      <c r="C29" s="18">
        <v>0.0</v>
      </c>
      <c r="D29" s="18">
        <v>0.0</v>
      </c>
      <c r="E29" s="19">
        <f t="shared" si="14"/>
        <v>0</v>
      </c>
      <c r="F29" s="20" t="str">
        <f t="shared" si="15"/>
        <v>#DIV/0!</v>
      </c>
      <c r="G29" s="43">
        <v>0.0</v>
      </c>
      <c r="H29" s="19" t="str">
        <f t="shared" si="16"/>
        <v>#DIV/0!</v>
      </c>
      <c r="I29" s="24"/>
      <c r="J29" s="24"/>
      <c r="K29" s="24"/>
      <c r="L29" s="24"/>
      <c r="M29" s="48"/>
      <c r="N29" s="1"/>
      <c r="O29" s="1"/>
      <c r="P29" s="42"/>
      <c r="Q29" s="49"/>
      <c r="R29" s="49"/>
      <c r="S29" s="49"/>
      <c r="T29" s="24"/>
      <c r="U29" s="1"/>
      <c r="V29" s="1"/>
      <c r="W29" s="1"/>
      <c r="X29" s="1"/>
      <c r="Y29" s="1"/>
      <c r="Z29" s="1"/>
    </row>
    <row r="30" ht="14.25" customHeight="1">
      <c r="A30" s="27" t="s">
        <v>30</v>
      </c>
      <c r="B30" s="18">
        <v>0.0</v>
      </c>
      <c r="C30" s="18">
        <v>0.0</v>
      </c>
      <c r="D30" s="18">
        <v>0.0</v>
      </c>
      <c r="E30" s="19">
        <f t="shared" si="14"/>
        <v>0</v>
      </c>
      <c r="F30" s="20" t="str">
        <f t="shared" si="15"/>
        <v>#DIV/0!</v>
      </c>
      <c r="G30" s="43">
        <v>0.0</v>
      </c>
      <c r="H30" s="19" t="str">
        <f t="shared" si="16"/>
        <v>#DIV/0!</v>
      </c>
      <c r="I30" s="24"/>
      <c r="J30" s="24"/>
      <c r="K30" s="24"/>
      <c r="L30" s="24"/>
      <c r="M30" s="46"/>
      <c r="N30" s="24"/>
      <c r="O30" s="46"/>
      <c r="P30" s="42"/>
      <c r="Q30" s="20"/>
      <c r="R30" s="20"/>
      <c r="S30" s="20"/>
      <c r="T30" s="24"/>
      <c r="U30" s="1"/>
      <c r="V30" s="1"/>
      <c r="W30" s="1"/>
      <c r="X30" s="1"/>
      <c r="Y30" s="1"/>
      <c r="Z30" s="1"/>
    </row>
    <row r="31" ht="14.25" customHeight="1">
      <c r="A31" s="27" t="s">
        <v>31</v>
      </c>
      <c r="B31" s="18">
        <v>0.0</v>
      </c>
      <c r="C31" s="18">
        <v>0.0</v>
      </c>
      <c r="D31" s="18">
        <v>0.0</v>
      </c>
      <c r="E31" s="19">
        <f t="shared" si="14"/>
        <v>0</v>
      </c>
      <c r="F31" s="20" t="str">
        <f t="shared" si="15"/>
        <v>#DIV/0!</v>
      </c>
      <c r="G31" s="43">
        <v>0.0</v>
      </c>
      <c r="H31" s="19" t="str">
        <f t="shared" si="16"/>
        <v>#DIV/0!</v>
      </c>
      <c r="I31" s="1"/>
      <c r="J31" s="24"/>
      <c r="K31" s="24"/>
      <c r="L31" s="24"/>
      <c r="M31" s="1"/>
      <c r="N31" s="1"/>
      <c r="O31" s="1"/>
      <c r="P31" s="42"/>
      <c r="Q31" s="19"/>
      <c r="R31" s="19"/>
      <c r="S31" s="19"/>
      <c r="T31" s="1"/>
      <c r="U31" s="1"/>
      <c r="V31" s="1"/>
      <c r="W31" s="1"/>
      <c r="X31" s="1"/>
      <c r="Y31" s="1"/>
      <c r="Z31" s="1"/>
    </row>
    <row r="32" ht="14.25" customHeight="1">
      <c r="A32" s="27" t="s">
        <v>32</v>
      </c>
      <c r="B32" s="18">
        <v>0.0</v>
      </c>
      <c r="C32" s="18">
        <v>0.0</v>
      </c>
      <c r="D32" s="18">
        <v>0.0</v>
      </c>
      <c r="E32" s="19">
        <f t="shared" si="14"/>
        <v>0</v>
      </c>
      <c r="F32" s="20" t="str">
        <f t="shared" si="15"/>
        <v>#DIV/0!</v>
      </c>
      <c r="G32" s="43">
        <v>0.0</v>
      </c>
      <c r="H32" s="19" t="str">
        <f t="shared" si="16"/>
        <v>#DIV/0!</v>
      </c>
      <c r="I32" s="24"/>
      <c r="J32" s="50"/>
      <c r="K32" s="50"/>
      <c r="L32" s="50"/>
      <c r="M32" s="24"/>
      <c r="N32" s="24"/>
      <c r="O32" s="24"/>
      <c r="P32" s="42"/>
      <c r="Q32" s="51"/>
      <c r="R32" s="51"/>
      <c r="S32" s="51"/>
      <c r="T32" s="24"/>
      <c r="U32" s="1"/>
      <c r="V32" s="1"/>
      <c r="W32" s="1"/>
      <c r="X32" s="1"/>
      <c r="Y32" s="1"/>
      <c r="Z32" s="1"/>
    </row>
    <row r="33" ht="21.0" customHeight="1">
      <c r="A33" s="27" t="s">
        <v>33</v>
      </c>
      <c r="B33" s="18">
        <v>0.0</v>
      </c>
      <c r="C33" s="18">
        <v>0.0</v>
      </c>
      <c r="D33" s="18">
        <v>0.0</v>
      </c>
      <c r="E33" s="19">
        <f t="shared" si="14"/>
        <v>0</v>
      </c>
      <c r="F33" s="20" t="str">
        <f t="shared" si="15"/>
        <v>#DIV/0!</v>
      </c>
      <c r="G33" s="43">
        <v>0.0</v>
      </c>
      <c r="H33" s="19" t="str">
        <f t="shared" si="16"/>
        <v>#DIV/0!</v>
      </c>
      <c r="I33" s="24"/>
      <c r="J33" s="24"/>
      <c r="K33" s="24"/>
      <c r="L33" s="24"/>
      <c r="M33" s="24"/>
      <c r="N33" s="24"/>
      <c r="O33" s="24"/>
      <c r="P33" s="42"/>
      <c r="Q33" s="19"/>
      <c r="R33" s="19"/>
      <c r="S33" s="19"/>
      <c r="T33" s="24"/>
      <c r="U33" s="1"/>
      <c r="V33" s="1"/>
      <c r="W33" s="1"/>
      <c r="X33" s="1"/>
      <c r="Y33" s="1"/>
      <c r="Z33" s="1"/>
    </row>
    <row r="34" ht="14.25" customHeight="1">
      <c r="A34" s="27" t="s">
        <v>34</v>
      </c>
      <c r="B34" s="18">
        <v>0.0</v>
      </c>
      <c r="C34" s="18">
        <v>0.0</v>
      </c>
      <c r="D34" s="18">
        <v>0.0</v>
      </c>
      <c r="E34" s="19">
        <f t="shared" si="14"/>
        <v>0</v>
      </c>
      <c r="F34" s="20" t="str">
        <f t="shared" si="15"/>
        <v>#DIV/0!</v>
      </c>
      <c r="G34" s="43">
        <v>0.0</v>
      </c>
      <c r="H34" s="19" t="str">
        <f t="shared" si="16"/>
        <v>#DIV/0!</v>
      </c>
      <c r="I34" s="24"/>
      <c r="J34" s="24"/>
      <c r="K34" s="24"/>
      <c r="L34" s="24"/>
      <c r="M34" s="24"/>
      <c r="N34" s="24"/>
      <c r="O34" s="24"/>
      <c r="P34" s="42"/>
      <c r="Q34" s="19"/>
      <c r="R34" s="19"/>
      <c r="S34" s="19"/>
      <c r="T34" s="24"/>
      <c r="U34" s="1"/>
      <c r="V34" s="1"/>
      <c r="W34" s="1"/>
      <c r="X34" s="1"/>
      <c r="Y34" s="1"/>
      <c r="Z34" s="1"/>
    </row>
    <row r="35" ht="7.5" customHeight="1">
      <c r="A35" s="1"/>
      <c r="B35" s="1"/>
      <c r="C35" s="1"/>
      <c r="D35" s="1"/>
      <c r="E35" s="1"/>
      <c r="F35" s="1"/>
      <c r="G35" s="1"/>
      <c r="H35" s="1"/>
      <c r="I35" s="24"/>
      <c r="J35" s="24"/>
      <c r="K35" s="24"/>
      <c r="L35" s="24"/>
      <c r="M35" s="24"/>
      <c r="N35" s="24"/>
      <c r="O35" s="24"/>
      <c r="P35" s="1"/>
      <c r="Q35" s="1"/>
      <c r="R35" s="1"/>
      <c r="S35" s="1"/>
      <c r="T35" s="24"/>
      <c r="U35" s="1"/>
      <c r="V35" s="1"/>
      <c r="W35" s="1"/>
      <c r="X35" s="1"/>
      <c r="Y35" s="1"/>
      <c r="Z35" s="1"/>
    </row>
    <row r="36" ht="18.75" customHeight="1">
      <c r="A36" s="36" t="s">
        <v>35</v>
      </c>
      <c r="B36" s="37">
        <f>SUM(B23:B26)/4</f>
        <v>0.25</v>
      </c>
      <c r="C36" s="37">
        <f t="shared" ref="C36:E36" si="19">SUM(C23:C34)</f>
        <v>1</v>
      </c>
      <c r="D36" s="37">
        <f t="shared" si="19"/>
        <v>1</v>
      </c>
      <c r="E36" s="37">
        <f t="shared" si="19"/>
        <v>0</v>
      </c>
      <c r="F36" s="38">
        <f>F23</f>
        <v>0</v>
      </c>
      <c r="G36" s="37">
        <f t="shared" ref="G36:H36" si="20">SUM(G23:G34)</f>
        <v>0</v>
      </c>
      <c r="H36" s="37" t="str">
        <f t="shared" si="20"/>
        <v>#DIV/0!</v>
      </c>
      <c r="I36" s="50"/>
      <c r="J36" s="50"/>
      <c r="K36" s="50"/>
      <c r="L36" s="50"/>
      <c r="M36" s="50"/>
      <c r="N36" s="50"/>
      <c r="O36" s="46"/>
      <c r="P36" s="37"/>
      <c r="Q36" s="37"/>
      <c r="R36" s="37"/>
      <c r="S36" s="37"/>
      <c r="T36" s="50"/>
      <c r="U36" s="1"/>
      <c r="V36" s="1"/>
      <c r="W36" s="1"/>
      <c r="X36" s="1"/>
      <c r="Y36" s="1"/>
      <c r="Z36" s="1"/>
    </row>
    <row r="37" ht="9.75" customHeight="1">
      <c r="A37" s="42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1"/>
      <c r="U37" s="1"/>
      <c r="V37" s="1"/>
      <c r="W37" s="1"/>
      <c r="X37" s="1"/>
      <c r="Y37" s="1"/>
      <c r="Z37" s="1"/>
    </row>
    <row r="38" ht="33.75" customHeight="1">
      <c r="A38" s="52" t="s">
        <v>45</v>
      </c>
      <c r="B38" s="53" t="s">
        <v>46</v>
      </c>
      <c r="C38" s="53" t="s">
        <v>47</v>
      </c>
      <c r="D38" s="54" t="s">
        <v>48</v>
      </c>
      <c r="E38" s="53" t="s">
        <v>49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45.75" customHeight="1">
      <c r="A39" s="55"/>
      <c r="B39" s="56" t="s">
        <v>50</v>
      </c>
      <c r="C39" s="56" t="s">
        <v>51</v>
      </c>
      <c r="D39" s="56" t="s">
        <v>52</v>
      </c>
      <c r="E39" s="56" t="s">
        <v>53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7" t="s">
        <v>23</v>
      </c>
      <c r="B40" s="37">
        <v>0.0</v>
      </c>
      <c r="C40" s="37">
        <v>0.0</v>
      </c>
      <c r="D40" s="37">
        <v>0.0</v>
      </c>
      <c r="E40" s="37">
        <v>0.0</v>
      </c>
      <c r="F40" s="3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7" t="s">
        <v>24</v>
      </c>
      <c r="B41" s="37">
        <v>0.0</v>
      </c>
      <c r="C41" s="37">
        <v>0.0</v>
      </c>
      <c r="D41" s="37">
        <v>0.0</v>
      </c>
      <c r="E41" s="37">
        <v>0.0</v>
      </c>
      <c r="F41" s="37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7" t="s">
        <v>25</v>
      </c>
      <c r="B42" s="37">
        <v>0.0</v>
      </c>
      <c r="C42" s="37">
        <v>0.0</v>
      </c>
      <c r="D42" s="37">
        <v>0.0</v>
      </c>
      <c r="E42" s="37">
        <v>0.0</v>
      </c>
      <c r="F42" s="37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7" t="s">
        <v>26</v>
      </c>
      <c r="B43" s="37">
        <v>0.0</v>
      </c>
      <c r="C43" s="37">
        <v>0.0</v>
      </c>
      <c r="D43" s="37">
        <v>0.0</v>
      </c>
      <c r="E43" s="37">
        <v>0.0</v>
      </c>
      <c r="F43" s="37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7" t="s">
        <v>27</v>
      </c>
      <c r="B44" s="37">
        <v>0.0</v>
      </c>
      <c r="C44" s="37">
        <v>0.0</v>
      </c>
      <c r="D44" s="37">
        <v>0.0</v>
      </c>
      <c r="E44" s="37">
        <v>0.0</v>
      </c>
      <c r="F44" s="37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7" t="s">
        <v>28</v>
      </c>
      <c r="B45" s="37">
        <v>0.0</v>
      </c>
      <c r="C45" s="37">
        <v>0.0</v>
      </c>
      <c r="D45" s="37">
        <v>0.0</v>
      </c>
      <c r="E45" s="37">
        <v>0.0</v>
      </c>
      <c r="F45" s="3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27" t="s">
        <v>29</v>
      </c>
      <c r="B46" s="37">
        <v>0.0</v>
      </c>
      <c r="C46" s="37">
        <v>0.0</v>
      </c>
      <c r="D46" s="37">
        <v>0.0</v>
      </c>
      <c r="E46" s="37">
        <v>0.0</v>
      </c>
      <c r="F46" s="37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27" t="s">
        <v>30</v>
      </c>
      <c r="B47" s="37">
        <v>0.0</v>
      </c>
      <c r="C47" s="37">
        <v>0.0</v>
      </c>
      <c r="D47" s="37">
        <v>0.0</v>
      </c>
      <c r="E47" s="37">
        <v>0.0</v>
      </c>
      <c r="F47" s="3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7" t="s">
        <v>31</v>
      </c>
      <c r="B48" s="37">
        <v>0.0</v>
      </c>
      <c r="C48" s="37">
        <v>0.0</v>
      </c>
      <c r="D48" s="37">
        <v>0.0</v>
      </c>
      <c r="E48" s="37">
        <v>0.0</v>
      </c>
      <c r="F48" s="3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27" t="s">
        <v>32</v>
      </c>
      <c r="B49" s="37">
        <v>0.0</v>
      </c>
      <c r="C49" s="37">
        <v>0.0</v>
      </c>
      <c r="D49" s="37">
        <v>0.0</v>
      </c>
      <c r="E49" s="37">
        <v>0.0</v>
      </c>
      <c r="F49" s="3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7" t="s">
        <v>33</v>
      </c>
      <c r="B50" s="37">
        <v>0.0</v>
      </c>
      <c r="C50" s="37">
        <v>0.0</v>
      </c>
      <c r="D50" s="37">
        <v>0.0</v>
      </c>
      <c r="E50" s="37">
        <v>0.0</v>
      </c>
      <c r="F50" s="37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7" t="s">
        <v>34</v>
      </c>
      <c r="B51" s="37">
        <v>0.0</v>
      </c>
      <c r="C51" s="37">
        <v>0.0</v>
      </c>
      <c r="D51" s="37">
        <v>0.0</v>
      </c>
      <c r="E51" s="37">
        <v>0.0</v>
      </c>
      <c r="F51" s="37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7.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36" t="s">
        <v>35</v>
      </c>
      <c r="B53" s="37">
        <f t="shared" ref="B53:E53" si="21">SUM(B40:B51)</f>
        <v>0</v>
      </c>
      <c r="C53" s="37">
        <f t="shared" si="21"/>
        <v>0</v>
      </c>
      <c r="D53" s="37">
        <f t="shared" si="21"/>
        <v>0</v>
      </c>
      <c r="E53" s="37">
        <f t="shared" si="21"/>
        <v>0</v>
      </c>
      <c r="F53" s="37"/>
      <c r="G53" s="1"/>
      <c r="H53" s="1"/>
      <c r="I53" s="1"/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2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2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2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2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2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2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2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2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2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2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2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2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2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2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2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2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2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2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2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2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2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2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2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2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2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2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2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2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2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2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2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2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2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2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2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2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2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2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2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2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2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2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2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2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2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2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2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2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2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2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2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2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2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2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2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2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2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2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2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2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2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2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2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2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2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2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2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2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2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2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2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2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2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2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2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2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2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2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2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2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2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2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2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2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2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2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2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2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2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2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2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2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2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2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2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2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2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2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2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2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2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2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2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2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2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2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2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2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2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2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2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2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2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2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2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2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2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2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2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2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2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2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2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2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2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2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2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2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2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2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2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2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2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2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2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2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2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2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2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2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2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2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2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2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2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2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2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2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2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2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2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2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2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2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2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2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2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2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2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2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2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2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2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H4:I4"/>
    <mergeCell ref="J4:K4"/>
    <mergeCell ref="L4:M4"/>
    <mergeCell ref="N4:U4"/>
    <mergeCell ref="A38:A39"/>
  </mergeCells>
  <conditionalFormatting sqref="O30">
    <cfRule type="cellIs" dxfId="0" priority="1" operator="greaterThan">
      <formula>0</formula>
    </cfRule>
  </conditionalFormatting>
  <conditionalFormatting sqref="O30">
    <cfRule type="cellIs" dxfId="1" priority="2" operator="lessThan">
      <formula>0</formula>
    </cfRule>
  </conditionalFormatting>
  <conditionalFormatting sqref="O29">
    <cfRule type="cellIs" dxfId="0" priority="3" operator="greaterThan">
      <formula>0</formula>
    </cfRule>
  </conditionalFormatting>
  <conditionalFormatting sqref="O29">
    <cfRule type="cellIs" dxfId="1" priority="4" operator="lessThan">
      <formula>0</formula>
    </cfRule>
  </conditionalFormatting>
  <conditionalFormatting sqref="F7:F20 R28:R36">
    <cfRule type="cellIs" dxfId="2" priority="5" operator="lessThan">
      <formula>0</formula>
    </cfRule>
  </conditionalFormatting>
  <conditionalFormatting sqref="F7:F20 R28:R36">
    <cfRule type="cellIs" dxfId="3" priority="6" operator="greaterThan">
      <formula>0</formula>
    </cfRule>
  </conditionalFormatting>
  <conditionalFormatting sqref="G7:G20">
    <cfRule type="cellIs" dxfId="3" priority="7" operator="greaterThan">
      <formula>0</formula>
    </cfRule>
  </conditionalFormatting>
  <conditionalFormatting sqref="G7:G20">
    <cfRule type="cellIs" dxfId="2" priority="8" operator="lessThan">
      <formula>0</formula>
    </cfRule>
  </conditionalFormatting>
  <conditionalFormatting sqref="E23:E36">
    <cfRule type="cellIs" dxfId="2" priority="9" operator="lessThan">
      <formula>0</formula>
    </cfRule>
  </conditionalFormatting>
  <conditionalFormatting sqref="E23:E36">
    <cfRule type="cellIs" dxfId="3" priority="10" operator="greaterThan">
      <formula>0</formula>
    </cfRule>
  </conditionalFormatting>
  <conditionalFormatting sqref="F23:F36">
    <cfRule type="cellIs" dxfId="2" priority="11" operator="lessThan">
      <formula>0</formula>
    </cfRule>
  </conditionalFormatting>
  <conditionalFormatting sqref="F23:F36">
    <cfRule type="cellIs" dxfId="3" priority="12" operator="greaterThan">
      <formula>0</formula>
    </cfRule>
  </conditionalFormatting>
  <conditionalFormatting sqref="I7:I18">
    <cfRule type="cellIs" dxfId="2" priority="13" operator="lessThan">
      <formula>0</formula>
    </cfRule>
  </conditionalFormatting>
  <conditionalFormatting sqref="I7:I18">
    <cfRule type="cellIs" dxfId="3" priority="14" operator="greaterThan">
      <formula>0</formula>
    </cfRule>
  </conditionalFormatting>
  <conditionalFormatting sqref="M30">
    <cfRule type="cellIs" dxfId="0" priority="15" operator="greaterThan">
      <formula>0</formula>
    </cfRule>
  </conditionalFormatting>
  <conditionalFormatting sqref="M30">
    <cfRule type="cellIs" dxfId="1" priority="16" operator="lessThan">
      <formula>0</formula>
    </cfRule>
  </conditionalFormatting>
  <conditionalFormatting sqref="M29">
    <cfRule type="cellIs" dxfId="0" priority="17" operator="greaterThan">
      <formula>0</formula>
    </cfRule>
  </conditionalFormatting>
  <conditionalFormatting sqref="M29">
    <cfRule type="cellIs" dxfId="1" priority="18" operator="lessThan">
      <formula>0</formula>
    </cfRule>
  </conditionalFormatting>
  <conditionalFormatting sqref="O24">
    <cfRule type="cellIs" dxfId="0" priority="19" operator="greaterThan">
      <formula>0</formula>
    </cfRule>
  </conditionalFormatting>
  <conditionalFormatting sqref="O24">
    <cfRule type="cellIs" dxfId="1" priority="20" operator="lessThan">
      <formula>0</formula>
    </cfRule>
  </conditionalFormatting>
  <conditionalFormatting sqref="O28">
    <cfRule type="cellIs" dxfId="0" priority="21" operator="greaterThan">
      <formula>0</formula>
    </cfRule>
  </conditionalFormatting>
  <conditionalFormatting sqref="O28">
    <cfRule type="cellIs" dxfId="1" priority="22" operator="lessThan">
      <formula>0</formula>
    </cfRule>
  </conditionalFormatting>
  <conditionalFormatting sqref="O27">
    <cfRule type="cellIs" dxfId="0" priority="23" operator="greaterThan">
      <formula>0</formula>
    </cfRule>
  </conditionalFormatting>
  <conditionalFormatting sqref="O27">
    <cfRule type="cellIs" dxfId="1" priority="24" operator="lessThan">
      <formula>0</formula>
    </cfRule>
  </conditionalFormatting>
  <conditionalFormatting sqref="M24:M27">
    <cfRule type="cellIs" dxfId="2" priority="25" operator="lessThan">
      <formula>1</formula>
    </cfRule>
  </conditionalFormatting>
  <conditionalFormatting sqref="M24:M27">
    <cfRule type="cellIs" dxfId="0" priority="26" operator="greaterThanOrEqual">
      <formula>1</formula>
    </cfRule>
  </conditionalFormatting>
  <conditionalFormatting sqref="B7:C18">
    <cfRule type="cellIs" dxfId="2" priority="27" operator="lessThan">
      <formula>0</formula>
    </cfRule>
  </conditionalFormatting>
  <conditionalFormatting sqref="B7:C18">
    <cfRule type="cellIs" dxfId="3" priority="28" operator="greaterThan">
      <formula>0</formula>
    </cfRule>
  </conditionalFormatting>
  <conditionalFormatting sqref="D7:E18">
    <cfRule type="cellIs" dxfId="2" priority="29" operator="lessThan">
      <formula>0</formula>
    </cfRule>
  </conditionalFormatting>
  <conditionalFormatting sqref="D7:E18">
    <cfRule type="cellIs" dxfId="3" priority="30" operator="greaterThan">
      <formula>0</formula>
    </cfRule>
  </conditionalFormatting>
  <conditionalFormatting sqref="B23:C34">
    <cfRule type="cellIs" dxfId="2" priority="31" operator="lessThan">
      <formula>0</formula>
    </cfRule>
  </conditionalFormatting>
  <conditionalFormatting sqref="B23:C34">
    <cfRule type="cellIs" dxfId="3" priority="32" operator="greaterThan">
      <formula>0</formula>
    </cfRule>
  </conditionalFormatting>
  <conditionalFormatting sqref="D23:D34">
    <cfRule type="cellIs" dxfId="2" priority="33" operator="lessThan">
      <formula>0</formula>
    </cfRule>
  </conditionalFormatting>
  <conditionalFormatting sqref="D23:D34">
    <cfRule type="cellIs" dxfId="3" priority="34" operator="greaterThan">
      <formula>0</formula>
    </cfRule>
  </conditionalFormatting>
  <conditionalFormatting sqref="J7:J18">
    <cfRule type="cellIs" dxfId="2" priority="35" operator="lessThan">
      <formula>0</formula>
    </cfRule>
  </conditionalFormatting>
  <conditionalFormatting sqref="J7:J18">
    <cfRule type="cellIs" dxfId="3" priority="36" operator="greaterThan">
      <formula>0</formula>
    </cfRule>
  </conditionalFormatting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hidden="1" min="1" max="1" width="0.57"/>
    <col customWidth="1" min="2" max="2" width="21.71"/>
    <col customWidth="1" min="3" max="3" width="17.29"/>
    <col customWidth="1" min="4" max="4" width="11.71"/>
    <col customWidth="1" min="5" max="5" width="14.43"/>
    <col customWidth="1" min="6" max="6" width="17.29"/>
    <col customWidth="1" min="7" max="7" width="11.71"/>
    <col customWidth="1" min="8" max="8" width="15.0"/>
    <col customWidth="1" min="9" max="9" width="17.29"/>
    <col customWidth="1" min="10" max="10" width="11.71"/>
    <col customWidth="1" min="11" max="11" width="13.0"/>
    <col customWidth="1" min="12" max="12" width="18.43"/>
    <col customWidth="1" min="13" max="13" width="11.71"/>
    <col customWidth="1" min="14" max="14" width="13.0"/>
    <col customWidth="1" min="15" max="15" width="18.43"/>
    <col customWidth="1" min="16" max="16" width="15.29"/>
    <col customWidth="1" min="17" max="17" width="14.43"/>
    <col customWidth="1" min="18" max="18" width="18.43"/>
    <col customWidth="1" min="19" max="19" width="11.71"/>
    <col customWidth="1" min="20" max="20" width="14.71"/>
    <col customWidth="1" min="21" max="21" width="15.71"/>
    <col customWidth="1" min="22" max="22" width="18.43"/>
    <col customWidth="1" min="23" max="25" width="14.43"/>
    <col customWidth="1" min="26" max="26" width="8.71"/>
  </cols>
  <sheetData>
    <row r="1" ht="14.25" customHeight="1">
      <c r="A1" s="1"/>
      <c r="B1" s="5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1.25" customHeight="1">
      <c r="A2" s="1"/>
      <c r="B2" s="58" t="s">
        <v>54</v>
      </c>
      <c r="U2" s="58"/>
      <c r="V2" s="59" t="s">
        <v>55</v>
      </c>
      <c r="W2" s="60"/>
      <c r="X2" s="60"/>
      <c r="Y2" s="60"/>
      <c r="Z2" s="1"/>
    </row>
    <row r="3" ht="14.25" customHeight="1">
      <c r="A3" s="1"/>
      <c r="B3" s="61"/>
      <c r="C3" s="62">
        <v>2019.0</v>
      </c>
      <c r="D3" s="63"/>
      <c r="E3" s="63"/>
      <c r="F3" s="62">
        <v>2020.0</v>
      </c>
      <c r="G3" s="63"/>
      <c r="H3" s="63"/>
      <c r="I3" s="62">
        <v>2021.0</v>
      </c>
      <c r="J3" s="63"/>
      <c r="K3" s="63"/>
      <c r="L3" s="62">
        <v>2022.0</v>
      </c>
      <c r="M3" s="63"/>
      <c r="N3" s="63"/>
      <c r="O3" s="62">
        <v>2023.0</v>
      </c>
      <c r="P3" s="63"/>
      <c r="Q3" s="63"/>
      <c r="R3" s="62">
        <v>2024.0</v>
      </c>
      <c r="S3" s="63"/>
      <c r="T3" s="63"/>
      <c r="U3" s="64"/>
      <c r="V3" s="55"/>
      <c r="W3" s="60"/>
      <c r="X3" s="60"/>
      <c r="Y3" s="60"/>
      <c r="Z3" s="1"/>
    </row>
    <row r="4" ht="14.25" customHeight="1">
      <c r="A4" s="1"/>
      <c r="B4" s="65"/>
      <c r="C4" s="66" t="s">
        <v>6</v>
      </c>
      <c r="D4" s="27" t="s">
        <v>15</v>
      </c>
      <c r="E4" s="67" t="s">
        <v>3</v>
      </c>
      <c r="F4" s="66" t="s">
        <v>6</v>
      </c>
      <c r="G4" s="27" t="s">
        <v>15</v>
      </c>
      <c r="H4" s="67" t="s">
        <v>3</v>
      </c>
      <c r="I4" s="66" t="s">
        <v>6</v>
      </c>
      <c r="J4" s="27" t="s">
        <v>15</v>
      </c>
      <c r="K4" s="67" t="s">
        <v>3</v>
      </c>
      <c r="L4" s="66" t="s">
        <v>6</v>
      </c>
      <c r="M4" s="27" t="s">
        <v>15</v>
      </c>
      <c r="N4" s="67" t="s">
        <v>3</v>
      </c>
      <c r="O4" s="66" t="s">
        <v>6</v>
      </c>
      <c r="P4" s="27" t="s">
        <v>15</v>
      </c>
      <c r="Q4" s="67" t="s">
        <v>3</v>
      </c>
      <c r="R4" s="66" t="s">
        <v>6</v>
      </c>
      <c r="S4" s="27" t="s">
        <v>15</v>
      </c>
      <c r="T4" s="27" t="s">
        <v>3</v>
      </c>
      <c r="U4" s="67" t="s">
        <v>56</v>
      </c>
      <c r="V4" s="55"/>
      <c r="W4" s="27" t="s">
        <v>37</v>
      </c>
      <c r="X4" s="68" t="s">
        <v>57</v>
      </c>
      <c r="Y4" s="68" t="s">
        <v>58</v>
      </c>
      <c r="Z4" s="1"/>
    </row>
    <row r="5" ht="14.25" customHeight="1">
      <c r="A5" s="1"/>
      <c r="B5" s="65" t="s">
        <v>23</v>
      </c>
      <c r="C5" s="69">
        <v>0.0</v>
      </c>
      <c r="D5" s="70"/>
      <c r="E5" s="71" t="str">
        <f t="shared" ref="E5:E16" si="1">C5/D5</f>
        <v>#DIV/0!</v>
      </c>
      <c r="F5" s="69">
        <v>0.0</v>
      </c>
      <c r="G5" s="70"/>
      <c r="H5" s="71" t="str">
        <f t="shared" ref="H5:H16" si="2">F5/G5</f>
        <v>#DIV/0!</v>
      </c>
      <c r="I5" s="69">
        <v>0.0</v>
      </c>
      <c r="J5" s="70"/>
      <c r="K5" s="71" t="str">
        <f t="shared" ref="K5:K16" si="3">I5/J5</f>
        <v>#DIV/0!</v>
      </c>
      <c r="L5" s="69">
        <v>0.0</v>
      </c>
      <c r="M5" s="70"/>
      <c r="N5" s="71" t="str">
        <f t="shared" ref="N5:N16" si="4">L5/M5</f>
        <v>#DIV/0!</v>
      </c>
      <c r="O5" s="69">
        <v>0.0</v>
      </c>
      <c r="P5" s="70"/>
      <c r="Q5" s="71" t="str">
        <f t="shared" ref="Q5:Q16" si="5">O5/P5</f>
        <v>#DIV/0!</v>
      </c>
      <c r="R5" s="69">
        <v>0.0</v>
      </c>
      <c r="S5" s="70"/>
      <c r="T5" s="72" t="str">
        <f t="shared" ref="T5:T16" si="6">R5/S5</f>
        <v>#DIV/0!</v>
      </c>
      <c r="U5" s="73" t="str">
        <f t="shared" ref="U5:U16" si="7">R5/$R$17</f>
        <v>#DIV/0!</v>
      </c>
      <c r="V5" s="74" t="str">
        <f t="shared" ref="V5:V16" si="8">(C5+F5+I5+L5+O5+R5)/$V$17</f>
        <v>#DIV/0!</v>
      </c>
      <c r="W5" s="75" t="str">
        <f t="shared" ref="W5:W16" si="9">600000*V5</f>
        <v>#DIV/0!</v>
      </c>
      <c r="X5" s="49" t="str">
        <f t="shared" ref="X5:X8" si="10">W5+10%*W5</f>
        <v>#DIV/0!</v>
      </c>
      <c r="Y5" s="49" t="str">
        <f t="shared" ref="Y5:Y17" si="11">X5+20%*X5</f>
        <v>#DIV/0!</v>
      </c>
      <c r="Z5" s="1"/>
    </row>
    <row r="6" ht="14.25" customHeight="1">
      <c r="A6" s="1"/>
      <c r="B6" s="65" t="s">
        <v>24</v>
      </c>
      <c r="C6" s="69">
        <v>0.0</v>
      </c>
      <c r="D6" s="70"/>
      <c r="E6" s="71" t="str">
        <f t="shared" si="1"/>
        <v>#DIV/0!</v>
      </c>
      <c r="F6" s="69">
        <v>0.0</v>
      </c>
      <c r="G6" s="70"/>
      <c r="H6" s="71" t="str">
        <f t="shared" si="2"/>
        <v>#DIV/0!</v>
      </c>
      <c r="I6" s="69">
        <v>0.0</v>
      </c>
      <c r="J6" s="70"/>
      <c r="K6" s="71" t="str">
        <f t="shared" si="3"/>
        <v>#DIV/0!</v>
      </c>
      <c r="L6" s="69">
        <v>0.0</v>
      </c>
      <c r="M6" s="70"/>
      <c r="N6" s="71" t="str">
        <f t="shared" si="4"/>
        <v>#DIV/0!</v>
      </c>
      <c r="O6" s="69">
        <v>0.0</v>
      </c>
      <c r="P6" s="70"/>
      <c r="Q6" s="71" t="str">
        <f t="shared" si="5"/>
        <v>#DIV/0!</v>
      </c>
      <c r="R6" s="69">
        <v>0.0</v>
      </c>
      <c r="S6" s="70"/>
      <c r="T6" s="72" t="str">
        <f t="shared" si="6"/>
        <v>#DIV/0!</v>
      </c>
      <c r="U6" s="73" t="str">
        <f t="shared" si="7"/>
        <v>#DIV/0!</v>
      </c>
      <c r="V6" s="74" t="str">
        <f t="shared" si="8"/>
        <v>#DIV/0!</v>
      </c>
      <c r="W6" s="75" t="str">
        <f t="shared" si="9"/>
        <v>#DIV/0!</v>
      </c>
      <c r="X6" s="49" t="str">
        <f t="shared" si="10"/>
        <v>#DIV/0!</v>
      </c>
      <c r="Y6" s="49" t="str">
        <f t="shared" si="11"/>
        <v>#DIV/0!</v>
      </c>
      <c r="Z6" s="1"/>
    </row>
    <row r="7" ht="14.25" customHeight="1">
      <c r="A7" s="1"/>
      <c r="B7" s="65" t="s">
        <v>25</v>
      </c>
      <c r="C7" s="69">
        <v>0.0</v>
      </c>
      <c r="D7" s="70"/>
      <c r="E7" s="71" t="str">
        <f t="shared" si="1"/>
        <v>#DIV/0!</v>
      </c>
      <c r="F7" s="69">
        <v>0.0</v>
      </c>
      <c r="G7" s="70"/>
      <c r="H7" s="71" t="str">
        <f t="shared" si="2"/>
        <v>#DIV/0!</v>
      </c>
      <c r="I7" s="69">
        <v>0.0</v>
      </c>
      <c r="J7" s="70"/>
      <c r="K7" s="71" t="str">
        <f t="shared" si="3"/>
        <v>#DIV/0!</v>
      </c>
      <c r="L7" s="69">
        <v>0.0</v>
      </c>
      <c r="M7" s="70"/>
      <c r="N7" s="71" t="str">
        <f t="shared" si="4"/>
        <v>#DIV/0!</v>
      </c>
      <c r="O7" s="69">
        <v>0.0</v>
      </c>
      <c r="P7" s="70"/>
      <c r="Q7" s="71" t="str">
        <f t="shared" si="5"/>
        <v>#DIV/0!</v>
      </c>
      <c r="R7" s="69">
        <v>0.0</v>
      </c>
      <c r="S7" s="70"/>
      <c r="T7" s="72" t="str">
        <f t="shared" si="6"/>
        <v>#DIV/0!</v>
      </c>
      <c r="U7" s="73" t="str">
        <f t="shared" si="7"/>
        <v>#DIV/0!</v>
      </c>
      <c r="V7" s="74" t="str">
        <f t="shared" si="8"/>
        <v>#DIV/0!</v>
      </c>
      <c r="W7" s="75" t="str">
        <f t="shared" si="9"/>
        <v>#DIV/0!</v>
      </c>
      <c r="X7" s="49" t="str">
        <f t="shared" si="10"/>
        <v>#DIV/0!</v>
      </c>
      <c r="Y7" s="49" t="str">
        <f t="shared" si="11"/>
        <v>#DIV/0!</v>
      </c>
      <c r="Z7" s="1"/>
    </row>
    <row r="8" ht="14.25" customHeight="1">
      <c r="A8" s="1"/>
      <c r="B8" s="65" t="s">
        <v>26</v>
      </c>
      <c r="C8" s="69">
        <v>0.0</v>
      </c>
      <c r="D8" s="70"/>
      <c r="E8" s="71" t="str">
        <f t="shared" si="1"/>
        <v>#DIV/0!</v>
      </c>
      <c r="F8" s="69">
        <v>0.0</v>
      </c>
      <c r="G8" s="70"/>
      <c r="H8" s="71" t="str">
        <f t="shared" si="2"/>
        <v>#DIV/0!</v>
      </c>
      <c r="I8" s="69">
        <v>0.0</v>
      </c>
      <c r="J8" s="70"/>
      <c r="K8" s="71" t="str">
        <f t="shared" si="3"/>
        <v>#DIV/0!</v>
      </c>
      <c r="L8" s="69">
        <v>0.0</v>
      </c>
      <c r="M8" s="70"/>
      <c r="N8" s="71" t="str">
        <f t="shared" si="4"/>
        <v>#DIV/0!</v>
      </c>
      <c r="O8" s="69">
        <v>0.0</v>
      </c>
      <c r="P8" s="70"/>
      <c r="Q8" s="71" t="str">
        <f t="shared" si="5"/>
        <v>#DIV/0!</v>
      </c>
      <c r="R8" s="69">
        <v>0.0</v>
      </c>
      <c r="S8" s="70"/>
      <c r="T8" s="72" t="str">
        <f t="shared" si="6"/>
        <v>#DIV/0!</v>
      </c>
      <c r="U8" s="73" t="str">
        <f t="shared" si="7"/>
        <v>#DIV/0!</v>
      </c>
      <c r="V8" s="74" t="str">
        <f t="shared" si="8"/>
        <v>#DIV/0!</v>
      </c>
      <c r="W8" s="75" t="str">
        <f t="shared" si="9"/>
        <v>#DIV/0!</v>
      </c>
      <c r="X8" s="49" t="str">
        <f t="shared" si="10"/>
        <v>#DIV/0!</v>
      </c>
      <c r="Y8" s="49" t="str">
        <f t="shared" si="11"/>
        <v>#DIV/0!</v>
      </c>
      <c r="Z8" s="1"/>
    </row>
    <row r="9" ht="14.25" customHeight="1">
      <c r="A9" s="1"/>
      <c r="B9" s="65" t="s">
        <v>27</v>
      </c>
      <c r="C9" s="69">
        <v>0.0</v>
      </c>
      <c r="D9" s="70"/>
      <c r="E9" s="71" t="str">
        <f t="shared" si="1"/>
        <v>#DIV/0!</v>
      </c>
      <c r="F9" s="69">
        <v>0.0</v>
      </c>
      <c r="G9" s="70"/>
      <c r="H9" s="71" t="str">
        <f t="shared" si="2"/>
        <v>#DIV/0!</v>
      </c>
      <c r="I9" s="69">
        <v>0.0</v>
      </c>
      <c r="J9" s="70"/>
      <c r="K9" s="71" t="str">
        <f t="shared" si="3"/>
        <v>#DIV/0!</v>
      </c>
      <c r="L9" s="69">
        <v>0.0</v>
      </c>
      <c r="M9" s="70"/>
      <c r="N9" s="71" t="str">
        <f t="shared" si="4"/>
        <v>#DIV/0!</v>
      </c>
      <c r="O9" s="69">
        <v>0.0</v>
      </c>
      <c r="P9" s="70"/>
      <c r="Q9" s="71" t="str">
        <f t="shared" si="5"/>
        <v>#DIV/0!</v>
      </c>
      <c r="R9" s="69">
        <v>0.0</v>
      </c>
      <c r="S9" s="70"/>
      <c r="T9" s="72" t="str">
        <f t="shared" si="6"/>
        <v>#DIV/0!</v>
      </c>
      <c r="U9" s="73" t="str">
        <f t="shared" si="7"/>
        <v>#DIV/0!</v>
      </c>
      <c r="V9" s="74" t="str">
        <f t="shared" si="8"/>
        <v>#DIV/0!</v>
      </c>
      <c r="W9" s="75" t="str">
        <f t="shared" si="9"/>
        <v>#DIV/0!</v>
      </c>
      <c r="X9" s="49" t="str">
        <f>W9+5%*W9</f>
        <v>#DIV/0!</v>
      </c>
      <c r="Y9" s="49" t="str">
        <f t="shared" si="11"/>
        <v>#DIV/0!</v>
      </c>
      <c r="Z9" s="1"/>
    </row>
    <row r="10" ht="14.25" customHeight="1">
      <c r="A10" s="1"/>
      <c r="B10" s="65" t="s">
        <v>28</v>
      </c>
      <c r="C10" s="69">
        <v>0.0</v>
      </c>
      <c r="D10" s="70"/>
      <c r="E10" s="71" t="str">
        <f t="shared" si="1"/>
        <v>#DIV/0!</v>
      </c>
      <c r="F10" s="69">
        <v>0.0</v>
      </c>
      <c r="G10" s="70"/>
      <c r="H10" s="71" t="str">
        <f t="shared" si="2"/>
        <v>#DIV/0!</v>
      </c>
      <c r="I10" s="69">
        <v>0.0</v>
      </c>
      <c r="J10" s="70"/>
      <c r="K10" s="71" t="str">
        <f t="shared" si="3"/>
        <v>#DIV/0!</v>
      </c>
      <c r="L10" s="69">
        <v>0.0</v>
      </c>
      <c r="M10" s="70"/>
      <c r="N10" s="71" t="str">
        <f t="shared" si="4"/>
        <v>#DIV/0!</v>
      </c>
      <c r="O10" s="69">
        <v>0.0</v>
      </c>
      <c r="P10" s="70"/>
      <c r="Q10" s="71" t="str">
        <f t="shared" si="5"/>
        <v>#DIV/0!</v>
      </c>
      <c r="R10" s="69">
        <v>0.0</v>
      </c>
      <c r="S10" s="70"/>
      <c r="T10" s="72" t="str">
        <f t="shared" si="6"/>
        <v>#DIV/0!</v>
      </c>
      <c r="U10" s="73" t="str">
        <f t="shared" si="7"/>
        <v>#DIV/0!</v>
      </c>
      <c r="V10" s="74" t="str">
        <f t="shared" si="8"/>
        <v>#DIV/0!</v>
      </c>
      <c r="W10" s="75" t="str">
        <f t="shared" si="9"/>
        <v>#DIV/0!</v>
      </c>
      <c r="X10" s="49" t="str">
        <f t="shared" ref="X10:X17" si="12">W10+10%*W10</f>
        <v>#DIV/0!</v>
      </c>
      <c r="Y10" s="49" t="str">
        <f t="shared" si="11"/>
        <v>#DIV/0!</v>
      </c>
      <c r="Z10" s="1"/>
    </row>
    <row r="11" ht="14.25" customHeight="1">
      <c r="A11" s="1"/>
      <c r="B11" s="65" t="s">
        <v>29</v>
      </c>
      <c r="C11" s="69">
        <v>0.0</v>
      </c>
      <c r="D11" s="70"/>
      <c r="E11" s="71" t="str">
        <f t="shared" si="1"/>
        <v>#DIV/0!</v>
      </c>
      <c r="F11" s="69">
        <v>0.0</v>
      </c>
      <c r="G11" s="70"/>
      <c r="H11" s="71" t="str">
        <f t="shared" si="2"/>
        <v>#DIV/0!</v>
      </c>
      <c r="I11" s="69">
        <v>0.0</v>
      </c>
      <c r="J11" s="70"/>
      <c r="K11" s="71" t="str">
        <f t="shared" si="3"/>
        <v>#DIV/0!</v>
      </c>
      <c r="L11" s="69">
        <v>0.0</v>
      </c>
      <c r="M11" s="70"/>
      <c r="N11" s="71" t="str">
        <f t="shared" si="4"/>
        <v>#DIV/0!</v>
      </c>
      <c r="O11" s="69">
        <v>0.0</v>
      </c>
      <c r="P11" s="70"/>
      <c r="Q11" s="71" t="str">
        <f t="shared" si="5"/>
        <v>#DIV/0!</v>
      </c>
      <c r="R11" s="69">
        <v>0.0</v>
      </c>
      <c r="S11" s="70"/>
      <c r="T11" s="72" t="str">
        <f t="shared" si="6"/>
        <v>#DIV/0!</v>
      </c>
      <c r="U11" s="73" t="str">
        <f t="shared" si="7"/>
        <v>#DIV/0!</v>
      </c>
      <c r="V11" s="74" t="str">
        <f t="shared" si="8"/>
        <v>#DIV/0!</v>
      </c>
      <c r="W11" s="75" t="str">
        <f t="shared" si="9"/>
        <v>#DIV/0!</v>
      </c>
      <c r="X11" s="49" t="str">
        <f t="shared" si="12"/>
        <v>#DIV/0!</v>
      </c>
      <c r="Y11" s="49" t="str">
        <f t="shared" si="11"/>
        <v>#DIV/0!</v>
      </c>
      <c r="Z11" s="1"/>
    </row>
    <row r="12" ht="14.25" customHeight="1">
      <c r="A12" s="1"/>
      <c r="B12" s="65" t="s">
        <v>30</v>
      </c>
      <c r="C12" s="69">
        <v>0.0</v>
      </c>
      <c r="D12" s="70"/>
      <c r="E12" s="71" t="str">
        <f t="shared" si="1"/>
        <v>#DIV/0!</v>
      </c>
      <c r="F12" s="69">
        <v>0.0</v>
      </c>
      <c r="G12" s="70"/>
      <c r="H12" s="71" t="str">
        <f t="shared" si="2"/>
        <v>#DIV/0!</v>
      </c>
      <c r="I12" s="69">
        <v>0.0</v>
      </c>
      <c r="J12" s="70"/>
      <c r="K12" s="71" t="str">
        <f t="shared" si="3"/>
        <v>#DIV/0!</v>
      </c>
      <c r="L12" s="69">
        <v>0.0</v>
      </c>
      <c r="M12" s="70"/>
      <c r="N12" s="71" t="str">
        <f t="shared" si="4"/>
        <v>#DIV/0!</v>
      </c>
      <c r="O12" s="69">
        <v>0.0</v>
      </c>
      <c r="P12" s="70"/>
      <c r="Q12" s="71" t="str">
        <f t="shared" si="5"/>
        <v>#DIV/0!</v>
      </c>
      <c r="R12" s="69">
        <v>0.0</v>
      </c>
      <c r="S12" s="70"/>
      <c r="T12" s="72" t="str">
        <f t="shared" si="6"/>
        <v>#DIV/0!</v>
      </c>
      <c r="U12" s="73" t="str">
        <f t="shared" si="7"/>
        <v>#DIV/0!</v>
      </c>
      <c r="V12" s="74" t="str">
        <f t="shared" si="8"/>
        <v>#DIV/0!</v>
      </c>
      <c r="W12" s="75" t="str">
        <f t="shared" si="9"/>
        <v>#DIV/0!</v>
      </c>
      <c r="X12" s="49" t="str">
        <f t="shared" si="12"/>
        <v>#DIV/0!</v>
      </c>
      <c r="Y12" s="49" t="str">
        <f t="shared" si="11"/>
        <v>#DIV/0!</v>
      </c>
      <c r="Z12" s="1"/>
    </row>
    <row r="13" ht="14.25" customHeight="1">
      <c r="A13" s="1"/>
      <c r="B13" s="65" t="s">
        <v>31</v>
      </c>
      <c r="C13" s="69">
        <v>0.0</v>
      </c>
      <c r="D13" s="70"/>
      <c r="E13" s="71" t="str">
        <f t="shared" si="1"/>
        <v>#DIV/0!</v>
      </c>
      <c r="F13" s="69">
        <v>0.0</v>
      </c>
      <c r="G13" s="70"/>
      <c r="H13" s="71" t="str">
        <f t="shared" si="2"/>
        <v>#DIV/0!</v>
      </c>
      <c r="I13" s="69">
        <v>0.0</v>
      </c>
      <c r="J13" s="70"/>
      <c r="K13" s="71" t="str">
        <f t="shared" si="3"/>
        <v>#DIV/0!</v>
      </c>
      <c r="L13" s="69">
        <v>0.0</v>
      </c>
      <c r="M13" s="70"/>
      <c r="N13" s="71" t="str">
        <f t="shared" si="4"/>
        <v>#DIV/0!</v>
      </c>
      <c r="O13" s="69">
        <v>0.0</v>
      </c>
      <c r="P13" s="70"/>
      <c r="Q13" s="71" t="str">
        <f t="shared" si="5"/>
        <v>#DIV/0!</v>
      </c>
      <c r="R13" s="69">
        <v>0.0</v>
      </c>
      <c r="S13" s="70"/>
      <c r="T13" s="72" t="str">
        <f t="shared" si="6"/>
        <v>#DIV/0!</v>
      </c>
      <c r="U13" s="73" t="str">
        <f t="shared" si="7"/>
        <v>#DIV/0!</v>
      </c>
      <c r="V13" s="74" t="str">
        <f t="shared" si="8"/>
        <v>#DIV/0!</v>
      </c>
      <c r="W13" s="75" t="str">
        <f t="shared" si="9"/>
        <v>#DIV/0!</v>
      </c>
      <c r="X13" s="49" t="str">
        <f t="shared" si="12"/>
        <v>#DIV/0!</v>
      </c>
      <c r="Y13" s="49" t="str">
        <f t="shared" si="11"/>
        <v>#DIV/0!</v>
      </c>
      <c r="Z13" s="1"/>
    </row>
    <row r="14" ht="14.25" customHeight="1">
      <c r="A14" s="1"/>
      <c r="B14" s="65" t="s">
        <v>32</v>
      </c>
      <c r="C14" s="69">
        <v>0.0</v>
      </c>
      <c r="D14" s="70"/>
      <c r="E14" s="71" t="str">
        <f t="shared" si="1"/>
        <v>#DIV/0!</v>
      </c>
      <c r="F14" s="69">
        <v>0.0</v>
      </c>
      <c r="G14" s="70"/>
      <c r="H14" s="71" t="str">
        <f t="shared" si="2"/>
        <v>#DIV/0!</v>
      </c>
      <c r="I14" s="69">
        <v>0.0</v>
      </c>
      <c r="J14" s="70"/>
      <c r="K14" s="71" t="str">
        <f t="shared" si="3"/>
        <v>#DIV/0!</v>
      </c>
      <c r="L14" s="69">
        <v>0.0</v>
      </c>
      <c r="M14" s="70"/>
      <c r="N14" s="71" t="str">
        <f t="shared" si="4"/>
        <v>#DIV/0!</v>
      </c>
      <c r="O14" s="69">
        <v>0.0</v>
      </c>
      <c r="P14" s="70"/>
      <c r="Q14" s="71" t="str">
        <f t="shared" si="5"/>
        <v>#DIV/0!</v>
      </c>
      <c r="R14" s="69">
        <v>0.0</v>
      </c>
      <c r="S14" s="70"/>
      <c r="T14" s="72" t="str">
        <f t="shared" si="6"/>
        <v>#DIV/0!</v>
      </c>
      <c r="U14" s="73" t="str">
        <f t="shared" si="7"/>
        <v>#DIV/0!</v>
      </c>
      <c r="V14" s="74" t="str">
        <f t="shared" si="8"/>
        <v>#DIV/0!</v>
      </c>
      <c r="W14" s="75" t="str">
        <f t="shared" si="9"/>
        <v>#DIV/0!</v>
      </c>
      <c r="X14" s="49" t="str">
        <f t="shared" si="12"/>
        <v>#DIV/0!</v>
      </c>
      <c r="Y14" s="49" t="str">
        <f t="shared" si="11"/>
        <v>#DIV/0!</v>
      </c>
      <c r="Z14" s="1"/>
    </row>
    <row r="15" ht="14.25" customHeight="1">
      <c r="A15" s="1"/>
      <c r="B15" s="65" t="s">
        <v>33</v>
      </c>
      <c r="C15" s="69">
        <v>0.0</v>
      </c>
      <c r="D15" s="70"/>
      <c r="E15" s="71" t="str">
        <f t="shared" si="1"/>
        <v>#DIV/0!</v>
      </c>
      <c r="F15" s="69">
        <v>0.0</v>
      </c>
      <c r="G15" s="70"/>
      <c r="H15" s="71" t="str">
        <f t="shared" si="2"/>
        <v>#DIV/0!</v>
      </c>
      <c r="I15" s="69">
        <v>0.0</v>
      </c>
      <c r="J15" s="70"/>
      <c r="K15" s="71" t="str">
        <f t="shared" si="3"/>
        <v>#DIV/0!</v>
      </c>
      <c r="L15" s="69">
        <v>0.0</v>
      </c>
      <c r="M15" s="70"/>
      <c r="N15" s="71" t="str">
        <f t="shared" si="4"/>
        <v>#DIV/0!</v>
      </c>
      <c r="O15" s="69">
        <v>0.0</v>
      </c>
      <c r="P15" s="70"/>
      <c r="Q15" s="71" t="str">
        <f t="shared" si="5"/>
        <v>#DIV/0!</v>
      </c>
      <c r="R15" s="69">
        <v>0.0</v>
      </c>
      <c r="S15" s="70"/>
      <c r="T15" s="72" t="str">
        <f t="shared" si="6"/>
        <v>#DIV/0!</v>
      </c>
      <c r="U15" s="73" t="str">
        <f t="shared" si="7"/>
        <v>#DIV/0!</v>
      </c>
      <c r="V15" s="74" t="str">
        <f t="shared" si="8"/>
        <v>#DIV/0!</v>
      </c>
      <c r="W15" s="75" t="str">
        <f t="shared" si="9"/>
        <v>#DIV/0!</v>
      </c>
      <c r="X15" s="49" t="str">
        <f t="shared" si="12"/>
        <v>#DIV/0!</v>
      </c>
      <c r="Y15" s="49" t="str">
        <f t="shared" si="11"/>
        <v>#DIV/0!</v>
      </c>
      <c r="Z15" s="1"/>
    </row>
    <row r="16" ht="14.25" customHeight="1">
      <c r="A16" s="1"/>
      <c r="B16" s="65" t="s">
        <v>34</v>
      </c>
      <c r="C16" s="69">
        <v>0.0</v>
      </c>
      <c r="D16" s="70"/>
      <c r="E16" s="71" t="str">
        <f t="shared" si="1"/>
        <v>#DIV/0!</v>
      </c>
      <c r="F16" s="69">
        <v>0.0</v>
      </c>
      <c r="G16" s="70"/>
      <c r="H16" s="71" t="str">
        <f t="shared" si="2"/>
        <v>#DIV/0!</v>
      </c>
      <c r="I16" s="69">
        <v>0.0</v>
      </c>
      <c r="J16" s="70"/>
      <c r="K16" s="71" t="str">
        <f t="shared" si="3"/>
        <v>#DIV/0!</v>
      </c>
      <c r="L16" s="69">
        <v>0.0</v>
      </c>
      <c r="M16" s="70"/>
      <c r="N16" s="71" t="str">
        <f t="shared" si="4"/>
        <v>#DIV/0!</v>
      </c>
      <c r="O16" s="69">
        <v>0.0</v>
      </c>
      <c r="P16" s="70"/>
      <c r="Q16" s="71" t="str">
        <f t="shared" si="5"/>
        <v>#DIV/0!</v>
      </c>
      <c r="R16" s="69">
        <v>0.0</v>
      </c>
      <c r="S16" s="70"/>
      <c r="T16" s="72" t="str">
        <f t="shared" si="6"/>
        <v>#DIV/0!</v>
      </c>
      <c r="U16" s="73" t="str">
        <f t="shared" si="7"/>
        <v>#DIV/0!</v>
      </c>
      <c r="V16" s="74" t="str">
        <f t="shared" si="8"/>
        <v>#DIV/0!</v>
      </c>
      <c r="W16" s="75" t="str">
        <f t="shared" si="9"/>
        <v>#DIV/0!</v>
      </c>
      <c r="X16" s="49" t="str">
        <f t="shared" si="12"/>
        <v>#DIV/0!</v>
      </c>
      <c r="Y16" s="49" t="str">
        <f t="shared" si="11"/>
        <v>#DIV/0!</v>
      </c>
      <c r="Z16" s="1"/>
    </row>
    <row r="17" ht="14.25" customHeight="1">
      <c r="A17" s="1"/>
      <c r="B17" s="61" t="s">
        <v>22</v>
      </c>
      <c r="C17" s="76">
        <f t="shared" ref="C17:D17" si="13">SUM(C5:C16)</f>
        <v>0</v>
      </c>
      <c r="D17" s="77">
        <f t="shared" si="13"/>
        <v>0</v>
      </c>
      <c r="E17" s="78" t="s">
        <v>59</v>
      </c>
      <c r="F17" s="76">
        <f t="shared" ref="F17:J17" si="14">SUM(F5:F16)</f>
        <v>0</v>
      </c>
      <c r="G17" s="76">
        <f t="shared" si="14"/>
        <v>0</v>
      </c>
      <c r="H17" s="76" t="str">
        <f t="shared" si="14"/>
        <v>#DIV/0!</v>
      </c>
      <c r="I17" s="76">
        <f t="shared" si="14"/>
        <v>0</v>
      </c>
      <c r="J17" s="77">
        <f t="shared" si="14"/>
        <v>0</v>
      </c>
      <c r="K17" s="78" t="s">
        <v>59</v>
      </c>
      <c r="L17" s="76">
        <f t="shared" ref="L17:M17" si="15">SUM(L5:L16)</f>
        <v>0</v>
      </c>
      <c r="M17" s="77">
        <f t="shared" si="15"/>
        <v>0</v>
      </c>
      <c r="N17" s="78" t="s">
        <v>59</v>
      </c>
      <c r="O17" s="76">
        <f t="shared" ref="O17:P17" si="16">SUM(O5:O16)</f>
        <v>0</v>
      </c>
      <c r="P17" s="77">
        <f t="shared" si="16"/>
        <v>0</v>
      </c>
      <c r="Q17" s="78" t="s">
        <v>59</v>
      </c>
      <c r="R17" s="76">
        <f t="shared" ref="R17:S17" si="17">SUM(R5:R16)</f>
        <v>0</v>
      </c>
      <c r="S17" s="77">
        <f t="shared" si="17"/>
        <v>0</v>
      </c>
      <c r="T17" s="79" t="s">
        <v>59</v>
      </c>
      <c r="U17" s="78"/>
      <c r="V17" s="79">
        <f>C17+F17+I17+L17+O17</f>
        <v>0</v>
      </c>
      <c r="W17" s="75" t="str">
        <f>SUM(W5:W16)</f>
        <v>#DIV/0!</v>
      </c>
      <c r="X17" s="49" t="str">
        <f t="shared" si="12"/>
        <v>#DIV/0!</v>
      </c>
      <c r="Y17" s="49" t="str">
        <f t="shared" si="11"/>
        <v>#DIV/0!</v>
      </c>
      <c r="Z17" s="1"/>
    </row>
    <row r="18" ht="14.25" customHeight="1">
      <c r="A18" s="1"/>
      <c r="B18" s="65" t="s">
        <v>60</v>
      </c>
      <c r="C18" s="80">
        <f>C17/12</f>
        <v>0</v>
      </c>
      <c r="D18" s="81">
        <f>D17/2</f>
        <v>0</v>
      </c>
      <c r="E18" s="82" t="str">
        <f>(E15+E16)/2</f>
        <v>#DIV/0!</v>
      </c>
      <c r="F18" s="80">
        <f t="shared" ref="F18:G18" si="18">F17/12</f>
        <v>0</v>
      </c>
      <c r="G18" s="81">
        <f t="shared" si="18"/>
        <v>0</v>
      </c>
      <c r="H18" s="82" t="str">
        <f>SUM(H5:H16)/12</f>
        <v>#DIV/0!</v>
      </c>
      <c r="I18" s="80">
        <f t="shared" ref="I18:J18" si="19">I17/12</f>
        <v>0</v>
      </c>
      <c r="J18" s="81">
        <f t="shared" si="19"/>
        <v>0</v>
      </c>
      <c r="K18" s="82" t="str">
        <f>SUM(K5:K16)/12</f>
        <v>#DIV/0!</v>
      </c>
      <c r="L18" s="80">
        <f t="shared" ref="L18:M18" si="20">L17/12</f>
        <v>0</v>
      </c>
      <c r="M18" s="81">
        <f t="shared" si="20"/>
        <v>0</v>
      </c>
      <c r="N18" s="82" t="str">
        <f>SUM(N5:N16)/12</f>
        <v>#DIV/0!</v>
      </c>
      <c r="O18" s="80">
        <f t="shared" ref="O18:P18" si="21">O17/12</f>
        <v>0</v>
      </c>
      <c r="P18" s="81">
        <f t="shared" si="21"/>
        <v>0</v>
      </c>
      <c r="Q18" s="82" t="str">
        <f>SUM(Q5:Q16)/12</f>
        <v>#DIV/0!</v>
      </c>
      <c r="R18" s="80">
        <f t="shared" ref="R18:S18" si="22">R17/12</f>
        <v>0</v>
      </c>
      <c r="S18" s="81">
        <f t="shared" si="22"/>
        <v>0</v>
      </c>
      <c r="T18" s="83" t="str">
        <f>SUM(T5:T16)/12</f>
        <v>#DIV/0!</v>
      </c>
      <c r="U18" s="82"/>
      <c r="V18" s="83">
        <f>V17/4</f>
        <v>0</v>
      </c>
      <c r="W18" s="60"/>
      <c r="X18" s="60"/>
      <c r="Y18" s="60"/>
      <c r="Z18" s="1"/>
    </row>
    <row r="19" ht="14.25" customHeight="1">
      <c r="A19" s="1"/>
      <c r="B19" s="57"/>
      <c r="C19" s="60"/>
      <c r="D19" s="60"/>
      <c r="E19" s="60"/>
      <c r="F19" s="84"/>
      <c r="G19" s="60"/>
      <c r="H19" s="60"/>
      <c r="I19" s="84"/>
      <c r="J19" s="60"/>
      <c r="K19" s="60"/>
      <c r="L19" s="84"/>
      <c r="M19" s="60"/>
      <c r="N19" s="60"/>
      <c r="O19" s="84"/>
      <c r="P19" s="85"/>
      <c r="Q19" s="60"/>
      <c r="R19" s="86" t="str">
        <f>W17-R17</f>
        <v>#DIV/0!</v>
      </c>
      <c r="S19" s="60"/>
      <c r="T19" s="60"/>
      <c r="U19" s="60"/>
      <c r="V19" s="60"/>
      <c r="W19" s="60"/>
      <c r="X19" s="60"/>
      <c r="Y19" s="60"/>
      <c r="Z19" s="1"/>
    </row>
    <row r="20" ht="14.25" customHeight="1">
      <c r="A20" s="1"/>
      <c r="B20" s="57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87" t="s">
        <v>61</v>
      </c>
      <c r="P20" s="27" t="s">
        <v>11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5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7">
        <v>2020.0</v>
      </c>
      <c r="P21" s="88" t="str">
        <f>($F$17/$C$17)-100%</f>
        <v>#DIV/0!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57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7">
        <v>2021.0</v>
      </c>
      <c r="P22" s="88" t="str">
        <f>($I$17/$F$17)-100%</f>
        <v>#DIV/0!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57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7">
        <v>2022.0</v>
      </c>
      <c r="P23" s="88" t="str">
        <f>($L$17/$I$17)-100%</f>
        <v>#DIV/0!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57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7"/>
      <c r="P24" s="88" t="str">
        <f>($O$17/$L$17)-100%</f>
        <v>#DIV/0!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5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7"/>
      <c r="P25" s="88" t="str">
        <f>($R$17/$O$17)-100%</f>
        <v>#DIV/0!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5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5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5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5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5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5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57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5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57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57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57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57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57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5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57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57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57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57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57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57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57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57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57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57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57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57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5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5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5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5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5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57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57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57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57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57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57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57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57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57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57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57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57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57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57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57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57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57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57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57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57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57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57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57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5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57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57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57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57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57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57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57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57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5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57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57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57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57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57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57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57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57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57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57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57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57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57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57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57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57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57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57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57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57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57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57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57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57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57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57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57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57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57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5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5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5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5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5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5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57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57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57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57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57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5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5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57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57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57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57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57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57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57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57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57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57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57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57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57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57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57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57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57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57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57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57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57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57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57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57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57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57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57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57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57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57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57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57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57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57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57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57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57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57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57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57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57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57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57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57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57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57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57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57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57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57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57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57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57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57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57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57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57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57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57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57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57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57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57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57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57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57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57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5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5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57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57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57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57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57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57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5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57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5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57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5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5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5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57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5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57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57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57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57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57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57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57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57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57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57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T2"/>
    <mergeCell ref="V2:V4"/>
    <mergeCell ref="C3:E3"/>
    <mergeCell ref="F3:H3"/>
    <mergeCell ref="I3:K3"/>
    <mergeCell ref="L3:N3"/>
    <mergeCell ref="O3:Q3"/>
    <mergeCell ref="R3:T3"/>
  </mergeCells>
  <printOptions/>
  <pageMargins bottom="0.7874015748031497" footer="0.0" header="0.0" left="0.5118110236220472" right="0.5118110236220472" top="0.7874015748031497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0.29"/>
    <col customWidth="1" min="2" max="2" width="16.71"/>
    <col customWidth="1" min="3" max="3" width="17.0"/>
    <col customWidth="1" min="4" max="4" width="16.29"/>
    <col customWidth="1" min="5" max="5" width="17.0"/>
    <col customWidth="1" min="6" max="6" width="15.43"/>
    <col customWidth="1" min="7" max="7" width="15.14"/>
    <col customWidth="1" min="8" max="9" width="17.0"/>
    <col customWidth="1" min="10" max="10" width="15.71"/>
    <col customWidth="1" min="11" max="12" width="17.0"/>
    <col customWidth="1" min="13" max="13" width="15.14"/>
    <col customWidth="1" min="14" max="14" width="15.43"/>
    <col customWidth="1" min="15" max="15" width="17.14"/>
    <col customWidth="1" min="16" max="25" width="8.71"/>
  </cols>
  <sheetData>
    <row r="1" ht="6.0" hidden="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3"/>
      <c r="B2" s="89">
        <v>2021.0</v>
      </c>
      <c r="C2" s="90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5.25" customHeight="1">
      <c r="A3" s="6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6"/>
      <c r="B4" s="9" t="s">
        <v>0</v>
      </c>
      <c r="C4" s="11"/>
      <c r="D4" s="11"/>
      <c r="E4" s="11"/>
      <c r="F4" s="11"/>
      <c r="G4" s="11"/>
      <c r="H4" s="11"/>
      <c r="I4" s="10"/>
      <c r="J4" s="9" t="s">
        <v>2</v>
      </c>
      <c r="K4" s="10"/>
      <c r="L4" s="9" t="s">
        <v>3</v>
      </c>
      <c r="M4" s="11"/>
      <c r="N4" s="11"/>
      <c r="O4" s="10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.0" customHeight="1">
      <c r="A5" s="6"/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4"/>
      <c r="N5" s="94"/>
      <c r="O5" s="94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2" t="s">
        <v>5</v>
      </c>
      <c r="B6" s="95" t="s">
        <v>6</v>
      </c>
      <c r="C6" s="96" t="s">
        <v>7</v>
      </c>
      <c r="D6" s="96" t="s">
        <v>8</v>
      </c>
      <c r="E6" s="96" t="s">
        <v>9</v>
      </c>
      <c r="F6" s="96" t="s">
        <v>10</v>
      </c>
      <c r="G6" s="96" t="s">
        <v>11</v>
      </c>
      <c r="H6" s="96" t="s">
        <v>12</v>
      </c>
      <c r="I6" s="96" t="s">
        <v>13</v>
      </c>
      <c r="J6" s="96" t="s">
        <v>14</v>
      </c>
      <c r="K6" s="96" t="s">
        <v>11</v>
      </c>
      <c r="L6" s="96" t="s">
        <v>15</v>
      </c>
      <c r="M6" s="96" t="s">
        <v>3</v>
      </c>
      <c r="N6" s="96" t="s">
        <v>62</v>
      </c>
      <c r="O6" s="96" t="s">
        <v>63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95" t="s">
        <v>23</v>
      </c>
      <c r="B7" s="18">
        <v>1.0</v>
      </c>
      <c r="C7" s="18">
        <v>1.0</v>
      </c>
      <c r="D7" s="18">
        <v>1.0</v>
      </c>
      <c r="E7" s="18">
        <v>0.5</v>
      </c>
      <c r="F7" s="97">
        <f t="shared" ref="F7:F18" si="1">C7-E7</f>
        <v>0.5</v>
      </c>
      <c r="G7" s="98">
        <f t="shared" ref="G7:G18" si="2">F7/C7</f>
        <v>0.5</v>
      </c>
      <c r="H7" s="97">
        <v>0.0</v>
      </c>
      <c r="I7" s="98" t="str">
        <f t="shared" ref="I7:I18" si="3">(B7/H7)-100%</f>
        <v>#DIV/0!</v>
      </c>
      <c r="J7" s="18">
        <v>0.0</v>
      </c>
      <c r="K7" s="99">
        <f t="shared" ref="K7:K18" si="4">J7/B7</f>
        <v>0</v>
      </c>
      <c r="L7" s="100">
        <v>0.0</v>
      </c>
      <c r="M7" s="44" t="str">
        <f t="shared" ref="M7:M18" si="5">B7/L7</f>
        <v>#DIV/0!</v>
      </c>
      <c r="N7" s="44" t="str">
        <f t="shared" ref="N7:N18" si="6">E7/L7</f>
        <v>#DIV/0!</v>
      </c>
      <c r="O7" s="44" t="str">
        <f t="shared" ref="O7:O18" si="7">C7/L7</f>
        <v>#DIV/0!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96" t="s">
        <v>24</v>
      </c>
      <c r="B8" s="18">
        <v>0.0</v>
      </c>
      <c r="C8" s="18">
        <v>0.0</v>
      </c>
      <c r="D8" s="18">
        <v>0.0</v>
      </c>
      <c r="E8" s="18">
        <v>0.0</v>
      </c>
      <c r="F8" s="97">
        <f t="shared" si="1"/>
        <v>0</v>
      </c>
      <c r="G8" s="98" t="str">
        <f t="shared" si="2"/>
        <v>#DIV/0!</v>
      </c>
      <c r="H8" s="97">
        <v>0.0</v>
      </c>
      <c r="I8" s="98" t="str">
        <f t="shared" si="3"/>
        <v>#DIV/0!</v>
      </c>
      <c r="J8" s="18">
        <v>0.0</v>
      </c>
      <c r="K8" s="99" t="str">
        <f t="shared" si="4"/>
        <v>#DIV/0!</v>
      </c>
      <c r="L8" s="100">
        <v>0.0</v>
      </c>
      <c r="M8" s="44" t="str">
        <f t="shared" si="5"/>
        <v>#DIV/0!</v>
      </c>
      <c r="N8" s="44" t="str">
        <f t="shared" si="6"/>
        <v>#DIV/0!</v>
      </c>
      <c r="O8" s="44" t="str">
        <f t="shared" si="7"/>
        <v>#DIV/0!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96" t="s">
        <v>25</v>
      </c>
      <c r="B9" s="18">
        <v>0.0</v>
      </c>
      <c r="C9" s="18">
        <v>0.0</v>
      </c>
      <c r="D9" s="18">
        <v>0.0</v>
      </c>
      <c r="E9" s="18">
        <v>0.0</v>
      </c>
      <c r="F9" s="97">
        <f t="shared" si="1"/>
        <v>0</v>
      </c>
      <c r="G9" s="98" t="str">
        <f t="shared" si="2"/>
        <v>#DIV/0!</v>
      </c>
      <c r="H9" s="97">
        <v>0.0</v>
      </c>
      <c r="I9" s="98" t="str">
        <f t="shared" si="3"/>
        <v>#DIV/0!</v>
      </c>
      <c r="J9" s="18">
        <v>0.0</v>
      </c>
      <c r="K9" s="99" t="str">
        <f t="shared" si="4"/>
        <v>#DIV/0!</v>
      </c>
      <c r="L9" s="100">
        <v>0.0</v>
      </c>
      <c r="M9" s="44" t="str">
        <f t="shared" si="5"/>
        <v>#DIV/0!</v>
      </c>
      <c r="N9" s="44" t="str">
        <f t="shared" si="6"/>
        <v>#DIV/0!</v>
      </c>
      <c r="O9" s="44" t="str">
        <f t="shared" si="7"/>
        <v>#DIV/0!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96" t="s">
        <v>26</v>
      </c>
      <c r="B10" s="18">
        <v>0.0</v>
      </c>
      <c r="C10" s="18">
        <v>0.0</v>
      </c>
      <c r="D10" s="18">
        <v>0.0</v>
      </c>
      <c r="E10" s="18">
        <v>0.0</v>
      </c>
      <c r="F10" s="97">
        <f t="shared" si="1"/>
        <v>0</v>
      </c>
      <c r="G10" s="98" t="str">
        <f t="shared" si="2"/>
        <v>#DIV/0!</v>
      </c>
      <c r="H10" s="97">
        <v>0.0</v>
      </c>
      <c r="I10" s="98" t="str">
        <f t="shared" si="3"/>
        <v>#DIV/0!</v>
      </c>
      <c r="J10" s="18">
        <v>0.0</v>
      </c>
      <c r="K10" s="99" t="str">
        <f t="shared" si="4"/>
        <v>#DIV/0!</v>
      </c>
      <c r="L10" s="100">
        <v>0.0</v>
      </c>
      <c r="M10" s="44" t="str">
        <f t="shared" si="5"/>
        <v>#DIV/0!</v>
      </c>
      <c r="N10" s="44" t="str">
        <f t="shared" si="6"/>
        <v>#DIV/0!</v>
      </c>
      <c r="O10" s="44" t="str">
        <f t="shared" si="7"/>
        <v>#DIV/0!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96" t="s">
        <v>27</v>
      </c>
      <c r="B11" s="18">
        <v>0.0</v>
      </c>
      <c r="C11" s="18">
        <v>0.0</v>
      </c>
      <c r="D11" s="18">
        <v>0.0</v>
      </c>
      <c r="E11" s="18">
        <v>0.0</v>
      </c>
      <c r="F11" s="97">
        <f t="shared" si="1"/>
        <v>0</v>
      </c>
      <c r="G11" s="98" t="str">
        <f t="shared" si="2"/>
        <v>#DIV/0!</v>
      </c>
      <c r="H11" s="97">
        <v>0.0</v>
      </c>
      <c r="I11" s="98" t="str">
        <f t="shared" si="3"/>
        <v>#DIV/0!</v>
      </c>
      <c r="J11" s="18">
        <v>0.0</v>
      </c>
      <c r="K11" s="99" t="str">
        <f t="shared" si="4"/>
        <v>#DIV/0!</v>
      </c>
      <c r="L11" s="100">
        <v>0.0</v>
      </c>
      <c r="M11" s="44" t="str">
        <f t="shared" si="5"/>
        <v>#DIV/0!</v>
      </c>
      <c r="N11" s="44" t="str">
        <f t="shared" si="6"/>
        <v>#DIV/0!</v>
      </c>
      <c r="O11" s="44" t="str">
        <f t="shared" si="7"/>
        <v>#DIV/0!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96" t="s">
        <v>28</v>
      </c>
      <c r="B12" s="18">
        <v>0.0</v>
      </c>
      <c r="C12" s="18">
        <v>0.0</v>
      </c>
      <c r="D12" s="18">
        <v>0.0</v>
      </c>
      <c r="E12" s="18">
        <v>0.0</v>
      </c>
      <c r="F12" s="97">
        <f t="shared" si="1"/>
        <v>0</v>
      </c>
      <c r="G12" s="98" t="str">
        <f t="shared" si="2"/>
        <v>#DIV/0!</v>
      </c>
      <c r="H12" s="97">
        <v>0.0</v>
      </c>
      <c r="I12" s="98" t="str">
        <f t="shared" si="3"/>
        <v>#DIV/0!</v>
      </c>
      <c r="J12" s="18">
        <v>0.0</v>
      </c>
      <c r="K12" s="99" t="str">
        <f t="shared" si="4"/>
        <v>#DIV/0!</v>
      </c>
      <c r="L12" s="100">
        <v>0.0</v>
      </c>
      <c r="M12" s="44" t="str">
        <f t="shared" si="5"/>
        <v>#DIV/0!</v>
      </c>
      <c r="N12" s="44" t="str">
        <f t="shared" si="6"/>
        <v>#DIV/0!</v>
      </c>
      <c r="O12" s="44" t="str">
        <f t="shared" si="7"/>
        <v>#DIV/0!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96" t="s">
        <v>29</v>
      </c>
      <c r="B13" s="18">
        <v>0.0</v>
      </c>
      <c r="C13" s="18">
        <v>0.0</v>
      </c>
      <c r="D13" s="18">
        <v>0.0</v>
      </c>
      <c r="E13" s="18">
        <v>0.0</v>
      </c>
      <c r="F13" s="97">
        <f t="shared" si="1"/>
        <v>0</v>
      </c>
      <c r="G13" s="98" t="str">
        <f t="shared" si="2"/>
        <v>#DIV/0!</v>
      </c>
      <c r="H13" s="97">
        <v>0.0</v>
      </c>
      <c r="I13" s="98" t="str">
        <f t="shared" si="3"/>
        <v>#DIV/0!</v>
      </c>
      <c r="J13" s="18">
        <v>0.0</v>
      </c>
      <c r="K13" s="99" t="str">
        <f t="shared" si="4"/>
        <v>#DIV/0!</v>
      </c>
      <c r="L13" s="100">
        <v>0.0</v>
      </c>
      <c r="M13" s="44" t="str">
        <f t="shared" si="5"/>
        <v>#DIV/0!</v>
      </c>
      <c r="N13" s="44" t="str">
        <f t="shared" si="6"/>
        <v>#DIV/0!</v>
      </c>
      <c r="O13" s="44" t="str">
        <f t="shared" si="7"/>
        <v>#DIV/0!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96" t="s">
        <v>30</v>
      </c>
      <c r="B14" s="18">
        <v>0.0</v>
      </c>
      <c r="C14" s="18">
        <v>0.0</v>
      </c>
      <c r="D14" s="18">
        <v>0.0</v>
      </c>
      <c r="E14" s="18">
        <v>0.0</v>
      </c>
      <c r="F14" s="97">
        <f t="shared" si="1"/>
        <v>0</v>
      </c>
      <c r="G14" s="98" t="str">
        <f t="shared" si="2"/>
        <v>#DIV/0!</v>
      </c>
      <c r="H14" s="97">
        <v>0.0</v>
      </c>
      <c r="I14" s="98" t="str">
        <f t="shared" si="3"/>
        <v>#DIV/0!</v>
      </c>
      <c r="J14" s="18">
        <v>0.0</v>
      </c>
      <c r="K14" s="99" t="str">
        <f t="shared" si="4"/>
        <v>#DIV/0!</v>
      </c>
      <c r="L14" s="100">
        <v>0.0</v>
      </c>
      <c r="M14" s="44" t="str">
        <f t="shared" si="5"/>
        <v>#DIV/0!</v>
      </c>
      <c r="N14" s="44" t="str">
        <f t="shared" si="6"/>
        <v>#DIV/0!</v>
      </c>
      <c r="O14" s="44" t="str">
        <f t="shared" si="7"/>
        <v>#DIV/0!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96" t="s">
        <v>31</v>
      </c>
      <c r="B15" s="18">
        <v>0.0</v>
      </c>
      <c r="C15" s="18">
        <v>0.0</v>
      </c>
      <c r="D15" s="18">
        <v>0.0</v>
      </c>
      <c r="E15" s="18">
        <v>0.0</v>
      </c>
      <c r="F15" s="97">
        <f t="shared" si="1"/>
        <v>0</v>
      </c>
      <c r="G15" s="98" t="str">
        <f t="shared" si="2"/>
        <v>#DIV/0!</v>
      </c>
      <c r="H15" s="97">
        <v>0.0</v>
      </c>
      <c r="I15" s="98" t="str">
        <f t="shared" si="3"/>
        <v>#DIV/0!</v>
      </c>
      <c r="J15" s="18">
        <v>0.0</v>
      </c>
      <c r="K15" s="99" t="str">
        <f t="shared" si="4"/>
        <v>#DIV/0!</v>
      </c>
      <c r="L15" s="100">
        <v>0.0</v>
      </c>
      <c r="M15" s="44" t="str">
        <f t="shared" si="5"/>
        <v>#DIV/0!</v>
      </c>
      <c r="N15" s="44" t="str">
        <f t="shared" si="6"/>
        <v>#DIV/0!</v>
      </c>
      <c r="O15" s="44" t="str">
        <f t="shared" si="7"/>
        <v>#DIV/0!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96" t="s">
        <v>32</v>
      </c>
      <c r="B16" s="18">
        <v>0.0</v>
      </c>
      <c r="C16" s="18">
        <v>0.0</v>
      </c>
      <c r="D16" s="18">
        <v>0.0</v>
      </c>
      <c r="E16" s="18">
        <v>0.0</v>
      </c>
      <c r="F16" s="97">
        <f t="shared" si="1"/>
        <v>0</v>
      </c>
      <c r="G16" s="98" t="str">
        <f t="shared" si="2"/>
        <v>#DIV/0!</v>
      </c>
      <c r="H16" s="97">
        <v>0.0</v>
      </c>
      <c r="I16" s="98" t="str">
        <f t="shared" si="3"/>
        <v>#DIV/0!</v>
      </c>
      <c r="J16" s="18">
        <v>0.0</v>
      </c>
      <c r="K16" s="99" t="str">
        <f t="shared" si="4"/>
        <v>#DIV/0!</v>
      </c>
      <c r="L16" s="100">
        <v>0.0</v>
      </c>
      <c r="M16" s="44" t="str">
        <f t="shared" si="5"/>
        <v>#DIV/0!</v>
      </c>
      <c r="N16" s="44" t="str">
        <f t="shared" si="6"/>
        <v>#DIV/0!</v>
      </c>
      <c r="O16" s="44" t="str">
        <f t="shared" si="7"/>
        <v>#DIV/0!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96" t="s">
        <v>33</v>
      </c>
      <c r="B17" s="18">
        <v>0.0</v>
      </c>
      <c r="C17" s="18">
        <v>0.0</v>
      </c>
      <c r="D17" s="18">
        <v>0.0</v>
      </c>
      <c r="E17" s="18">
        <v>0.0</v>
      </c>
      <c r="F17" s="97">
        <f t="shared" si="1"/>
        <v>0</v>
      </c>
      <c r="G17" s="98" t="str">
        <f t="shared" si="2"/>
        <v>#DIV/0!</v>
      </c>
      <c r="H17" s="97">
        <v>0.0</v>
      </c>
      <c r="I17" s="98" t="str">
        <f t="shared" si="3"/>
        <v>#DIV/0!</v>
      </c>
      <c r="J17" s="18">
        <v>0.0</v>
      </c>
      <c r="K17" s="99" t="str">
        <f t="shared" si="4"/>
        <v>#DIV/0!</v>
      </c>
      <c r="L17" s="100">
        <v>0.0</v>
      </c>
      <c r="M17" s="44" t="str">
        <f t="shared" si="5"/>
        <v>#DIV/0!</v>
      </c>
      <c r="N17" s="44" t="str">
        <f t="shared" si="6"/>
        <v>#DIV/0!</v>
      </c>
      <c r="O17" s="44" t="str">
        <f t="shared" si="7"/>
        <v>#DIV/0!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96" t="s">
        <v>34</v>
      </c>
      <c r="B18" s="18">
        <v>0.0</v>
      </c>
      <c r="C18" s="18">
        <v>0.0</v>
      </c>
      <c r="D18" s="18">
        <v>0.0</v>
      </c>
      <c r="E18" s="18">
        <v>0.0</v>
      </c>
      <c r="F18" s="97">
        <f t="shared" si="1"/>
        <v>0</v>
      </c>
      <c r="G18" s="98" t="str">
        <f t="shared" si="2"/>
        <v>#DIV/0!</v>
      </c>
      <c r="H18" s="97">
        <v>0.0</v>
      </c>
      <c r="I18" s="98" t="str">
        <f t="shared" si="3"/>
        <v>#DIV/0!</v>
      </c>
      <c r="J18" s="18">
        <v>0.0</v>
      </c>
      <c r="K18" s="99" t="str">
        <f t="shared" si="4"/>
        <v>#DIV/0!</v>
      </c>
      <c r="L18" s="100">
        <v>0.0</v>
      </c>
      <c r="M18" s="44" t="str">
        <f t="shared" si="5"/>
        <v>#DIV/0!</v>
      </c>
      <c r="N18" s="44" t="str">
        <f t="shared" si="6"/>
        <v>#DIV/0!</v>
      </c>
      <c r="O18" s="44" t="str">
        <f t="shared" si="7"/>
        <v>#DIV/0!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6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36" t="s">
        <v>35</v>
      </c>
      <c r="B20" s="37">
        <f t="shared" ref="B20:F20" si="8">SUM(B7:B18)</f>
        <v>1</v>
      </c>
      <c r="C20" s="37">
        <f t="shared" si="8"/>
        <v>1</v>
      </c>
      <c r="D20" s="37">
        <f t="shared" si="8"/>
        <v>1</v>
      </c>
      <c r="E20" s="37">
        <f t="shared" si="8"/>
        <v>0.5</v>
      </c>
      <c r="F20" s="37">
        <f t="shared" si="8"/>
        <v>0.5</v>
      </c>
      <c r="G20" s="38" t="str">
        <f>SUM(G7:G18)/12</f>
        <v>#DIV/0!</v>
      </c>
      <c r="H20" s="37">
        <f>SUM(H7:H18)</f>
        <v>0</v>
      </c>
      <c r="I20" s="38"/>
      <c r="J20" s="1"/>
      <c r="K20" s="39" t="str">
        <f>SUM(K7:K18)/12</f>
        <v>#DIV/0!</v>
      </c>
      <c r="L20" s="47">
        <f>SUM(L7:L18)</f>
        <v>0</v>
      </c>
      <c r="M20" s="24" t="str">
        <f>SUM(M7:M18)/12</f>
        <v>#DIV/0!</v>
      </c>
      <c r="N20" s="1"/>
      <c r="O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8.25" customHeight="1">
      <c r="A21" s="6"/>
      <c r="B21" s="3"/>
      <c r="C21" s="3"/>
      <c r="D21" s="3"/>
      <c r="E21" s="3"/>
      <c r="F21" s="3"/>
      <c r="G21" s="24"/>
      <c r="H21" s="24"/>
      <c r="I21" s="24"/>
      <c r="J21" s="24"/>
      <c r="K21" s="24"/>
      <c r="L21" s="6"/>
      <c r="M21" s="3"/>
      <c r="N21" s="3"/>
      <c r="O21" s="3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25" customHeight="1">
      <c r="A22" s="12" t="s">
        <v>36</v>
      </c>
      <c r="B22" s="95" t="s">
        <v>6</v>
      </c>
      <c r="C22" s="96" t="s">
        <v>7</v>
      </c>
      <c r="D22" s="96" t="s">
        <v>9</v>
      </c>
      <c r="E22" s="96" t="s">
        <v>10</v>
      </c>
      <c r="F22" s="96" t="s">
        <v>11</v>
      </c>
      <c r="G22" s="96" t="s">
        <v>15</v>
      </c>
      <c r="H22" s="96" t="s">
        <v>3</v>
      </c>
      <c r="I22" s="24"/>
      <c r="J22" s="101" t="s">
        <v>37</v>
      </c>
      <c r="K22" s="96" t="s">
        <v>38</v>
      </c>
      <c r="L22" s="96" t="s">
        <v>39</v>
      </c>
      <c r="M22" s="96" t="s">
        <v>11</v>
      </c>
      <c r="N22" s="102"/>
      <c r="O22" s="103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95" t="s">
        <v>23</v>
      </c>
      <c r="B23" s="18">
        <v>1.0</v>
      </c>
      <c r="C23" s="18">
        <v>1.0</v>
      </c>
      <c r="D23" s="18">
        <v>1.0</v>
      </c>
      <c r="E23" s="97">
        <f t="shared" ref="E23:E33" si="9">C23-D23</f>
        <v>0</v>
      </c>
      <c r="F23" s="98">
        <f t="shared" ref="F23:F33" si="10">E23/C23</f>
        <v>0</v>
      </c>
      <c r="G23" s="43">
        <v>0.0</v>
      </c>
      <c r="H23" s="97" t="str">
        <f t="shared" ref="H23:H34" si="11">B23/G23</f>
        <v>#DIV/0!</v>
      </c>
      <c r="I23" s="24"/>
      <c r="J23" s="96" t="s">
        <v>40</v>
      </c>
      <c r="K23" s="104"/>
      <c r="L23" s="44">
        <f>$B$20</f>
        <v>1</v>
      </c>
      <c r="M23" s="99" t="str">
        <f t="shared" ref="M23:M27" si="12">(L23/K23)-100%</f>
        <v>#DIV/0!</v>
      </c>
      <c r="N23" s="103"/>
      <c r="O23" s="19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96" t="s">
        <v>24</v>
      </c>
      <c r="B24" s="18">
        <v>0.0</v>
      </c>
      <c r="C24" s="18">
        <v>0.0</v>
      </c>
      <c r="D24" s="18">
        <v>0.0</v>
      </c>
      <c r="E24" s="97">
        <f t="shared" si="9"/>
        <v>0</v>
      </c>
      <c r="F24" s="98" t="str">
        <f t="shared" si="10"/>
        <v>#DIV/0!</v>
      </c>
      <c r="G24" s="43">
        <v>0.0</v>
      </c>
      <c r="H24" s="97" t="str">
        <f t="shared" si="11"/>
        <v>#DIV/0!</v>
      </c>
      <c r="I24" s="24"/>
      <c r="J24" s="105" t="s">
        <v>41</v>
      </c>
      <c r="K24" s="44">
        <f t="shared" ref="K24:K27" si="13">$K$23/4</f>
        <v>0</v>
      </c>
      <c r="L24" s="44">
        <f>$B$7+$B$8+$B$9</f>
        <v>1</v>
      </c>
      <c r="M24" s="99" t="str">
        <f t="shared" si="12"/>
        <v>#DIV/0!</v>
      </c>
      <c r="N24" s="42"/>
      <c r="O24" s="19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96" t="s">
        <v>25</v>
      </c>
      <c r="B25" s="18">
        <v>0.0</v>
      </c>
      <c r="C25" s="18">
        <v>0.0</v>
      </c>
      <c r="D25" s="18">
        <v>0.0</v>
      </c>
      <c r="E25" s="97">
        <f t="shared" si="9"/>
        <v>0</v>
      </c>
      <c r="F25" s="98" t="str">
        <f t="shared" si="10"/>
        <v>#DIV/0!</v>
      </c>
      <c r="G25" s="43">
        <v>0.0</v>
      </c>
      <c r="H25" s="97" t="str">
        <f t="shared" si="11"/>
        <v>#DIV/0!</v>
      </c>
      <c r="I25" s="24"/>
      <c r="J25" s="105" t="s">
        <v>42</v>
      </c>
      <c r="K25" s="44">
        <f t="shared" si="13"/>
        <v>0</v>
      </c>
      <c r="L25" s="44">
        <f>$B$10+$B$11+$B$12</f>
        <v>0</v>
      </c>
      <c r="M25" s="99" t="str">
        <f t="shared" si="12"/>
        <v>#DIV/0!</v>
      </c>
      <c r="N25" s="42"/>
      <c r="O25" s="49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96" t="s">
        <v>26</v>
      </c>
      <c r="B26" s="18">
        <v>0.0</v>
      </c>
      <c r="C26" s="18">
        <v>0.0</v>
      </c>
      <c r="D26" s="18">
        <v>0.0</v>
      </c>
      <c r="E26" s="97">
        <f t="shared" si="9"/>
        <v>0</v>
      </c>
      <c r="F26" s="98" t="str">
        <f t="shared" si="10"/>
        <v>#DIV/0!</v>
      </c>
      <c r="G26" s="43">
        <v>0.0</v>
      </c>
      <c r="H26" s="97" t="str">
        <f t="shared" si="11"/>
        <v>#DIV/0!</v>
      </c>
      <c r="I26" s="47"/>
      <c r="J26" s="105" t="s">
        <v>43</v>
      </c>
      <c r="K26" s="44">
        <f t="shared" si="13"/>
        <v>0</v>
      </c>
      <c r="L26" s="44">
        <f>$B$13+$B$14+$B$15</f>
        <v>0</v>
      </c>
      <c r="M26" s="99" t="str">
        <f t="shared" si="12"/>
        <v>#DIV/0!</v>
      </c>
      <c r="N26" s="42"/>
      <c r="O26" s="19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96" t="s">
        <v>27</v>
      </c>
      <c r="B27" s="18">
        <v>0.0</v>
      </c>
      <c r="C27" s="18">
        <v>0.0</v>
      </c>
      <c r="D27" s="18">
        <v>0.0</v>
      </c>
      <c r="E27" s="97">
        <f t="shared" si="9"/>
        <v>0</v>
      </c>
      <c r="F27" s="98" t="str">
        <f t="shared" si="10"/>
        <v>#DIV/0!</v>
      </c>
      <c r="G27" s="43">
        <v>0.0</v>
      </c>
      <c r="H27" s="97" t="str">
        <f t="shared" si="11"/>
        <v>#DIV/0!</v>
      </c>
      <c r="I27" s="24"/>
      <c r="J27" s="105" t="s">
        <v>44</v>
      </c>
      <c r="K27" s="44">
        <f t="shared" si="13"/>
        <v>0</v>
      </c>
      <c r="L27" s="44">
        <f>$B$16+$B$17+$B$18</f>
        <v>0</v>
      </c>
      <c r="M27" s="99" t="str">
        <f t="shared" si="12"/>
        <v>#DIV/0!</v>
      </c>
      <c r="N27" s="42"/>
      <c r="O27" s="19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96" t="s">
        <v>28</v>
      </c>
      <c r="B28" s="18">
        <v>0.0</v>
      </c>
      <c r="C28" s="18">
        <v>0.0</v>
      </c>
      <c r="D28" s="18">
        <v>0.0</v>
      </c>
      <c r="E28" s="97">
        <f t="shared" si="9"/>
        <v>0</v>
      </c>
      <c r="F28" s="98" t="str">
        <f t="shared" si="10"/>
        <v>#DIV/0!</v>
      </c>
      <c r="G28" s="43">
        <v>0.0</v>
      </c>
      <c r="H28" s="97" t="str">
        <f t="shared" si="11"/>
        <v>#DIV/0!</v>
      </c>
      <c r="I28" s="40"/>
      <c r="J28" s="40"/>
      <c r="K28" s="40"/>
      <c r="L28" s="40"/>
      <c r="M28" s="40"/>
      <c r="N28" s="42"/>
      <c r="O28" s="20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96" t="s">
        <v>29</v>
      </c>
      <c r="B29" s="18">
        <v>0.0</v>
      </c>
      <c r="C29" s="18">
        <v>0.0</v>
      </c>
      <c r="D29" s="18">
        <v>0.0</v>
      </c>
      <c r="E29" s="97">
        <f t="shared" si="9"/>
        <v>0</v>
      </c>
      <c r="F29" s="98" t="str">
        <f t="shared" si="10"/>
        <v>#DIV/0!</v>
      </c>
      <c r="G29" s="43">
        <v>0.0</v>
      </c>
      <c r="H29" s="97" t="str">
        <f t="shared" si="11"/>
        <v>#DIV/0!</v>
      </c>
      <c r="I29" s="24"/>
      <c r="J29" s="24"/>
      <c r="K29" s="24"/>
      <c r="L29" s="42"/>
      <c r="M29" s="48"/>
      <c r="N29" s="42"/>
      <c r="O29" s="49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96" t="s">
        <v>30</v>
      </c>
      <c r="B30" s="18">
        <v>0.0</v>
      </c>
      <c r="C30" s="18">
        <v>0.0</v>
      </c>
      <c r="D30" s="18">
        <v>0.0</v>
      </c>
      <c r="E30" s="97">
        <f t="shared" si="9"/>
        <v>0</v>
      </c>
      <c r="F30" s="98" t="str">
        <f t="shared" si="10"/>
        <v>#DIV/0!</v>
      </c>
      <c r="G30" s="43">
        <v>0.0</v>
      </c>
      <c r="H30" s="97" t="str">
        <f t="shared" si="11"/>
        <v>#DIV/0!</v>
      </c>
      <c r="I30" s="24"/>
      <c r="J30" s="24"/>
      <c r="K30" s="24"/>
      <c r="L30" s="42"/>
      <c r="M30" s="46"/>
      <c r="N30" s="42"/>
      <c r="O30" s="20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96" t="s">
        <v>31</v>
      </c>
      <c r="B31" s="18">
        <v>0.0</v>
      </c>
      <c r="C31" s="18">
        <v>0.0</v>
      </c>
      <c r="D31" s="18">
        <v>0.0</v>
      </c>
      <c r="E31" s="97">
        <f t="shared" si="9"/>
        <v>0</v>
      </c>
      <c r="F31" s="98" t="str">
        <f t="shared" si="10"/>
        <v>#DIV/0!</v>
      </c>
      <c r="G31" s="43">
        <v>0.0</v>
      </c>
      <c r="H31" s="97" t="str">
        <f t="shared" si="11"/>
        <v>#DIV/0!</v>
      </c>
      <c r="I31" s="1"/>
      <c r="J31" s="1"/>
      <c r="K31" s="1"/>
      <c r="L31" s="42"/>
      <c r="M31" s="1"/>
      <c r="N31" s="42"/>
      <c r="O31" s="19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96" t="s">
        <v>32</v>
      </c>
      <c r="B32" s="18">
        <v>0.0</v>
      </c>
      <c r="C32" s="18">
        <v>0.0</v>
      </c>
      <c r="D32" s="18">
        <v>0.0</v>
      </c>
      <c r="E32" s="97">
        <f t="shared" si="9"/>
        <v>0</v>
      </c>
      <c r="F32" s="98" t="str">
        <f t="shared" si="10"/>
        <v>#DIV/0!</v>
      </c>
      <c r="G32" s="43">
        <v>0.0</v>
      </c>
      <c r="H32" s="97" t="str">
        <f t="shared" si="11"/>
        <v>#DIV/0!</v>
      </c>
      <c r="I32" s="24"/>
      <c r="J32" s="24"/>
      <c r="K32" s="24"/>
      <c r="L32" s="42"/>
      <c r="M32" s="24"/>
      <c r="N32" s="42"/>
      <c r="O32" s="5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96" t="s">
        <v>33</v>
      </c>
      <c r="B33" s="18">
        <v>0.0</v>
      </c>
      <c r="C33" s="18">
        <v>0.0</v>
      </c>
      <c r="D33" s="18">
        <v>0.0</v>
      </c>
      <c r="E33" s="97">
        <f t="shared" si="9"/>
        <v>0</v>
      </c>
      <c r="F33" s="98" t="str">
        <f t="shared" si="10"/>
        <v>#DIV/0!</v>
      </c>
      <c r="G33" s="43">
        <v>0.0</v>
      </c>
      <c r="H33" s="97" t="str">
        <f t="shared" si="11"/>
        <v>#DIV/0!</v>
      </c>
      <c r="I33" s="24"/>
      <c r="J33" s="24"/>
      <c r="K33" s="24"/>
      <c r="L33" s="24"/>
      <c r="M33" s="24"/>
      <c r="N33" s="42"/>
      <c r="O33" s="19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96" t="s">
        <v>34</v>
      </c>
      <c r="B34" s="18">
        <v>0.0</v>
      </c>
      <c r="C34" s="18">
        <v>0.0</v>
      </c>
      <c r="D34" s="18">
        <v>0.0</v>
      </c>
      <c r="E34" s="97">
        <v>0.0</v>
      </c>
      <c r="F34" s="98">
        <v>0.0</v>
      </c>
      <c r="G34" s="43">
        <v>0.0</v>
      </c>
      <c r="H34" s="97" t="str">
        <f t="shared" si="11"/>
        <v>#DIV/0!</v>
      </c>
      <c r="I34" s="24"/>
      <c r="J34" s="24"/>
      <c r="K34" s="24"/>
      <c r="L34" s="24"/>
      <c r="M34" s="24"/>
      <c r="N34" s="42"/>
      <c r="O34" s="19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7.5" customHeight="1">
      <c r="A35" s="1"/>
      <c r="B35" s="1"/>
      <c r="C35" s="1"/>
      <c r="D35" s="1"/>
      <c r="E35" s="1"/>
      <c r="F35" s="1"/>
      <c r="G35" s="1"/>
      <c r="H35" s="1"/>
      <c r="I35" s="24"/>
      <c r="J35" s="24"/>
      <c r="K35" s="24"/>
      <c r="L35" s="24"/>
      <c r="M35" s="2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36" t="s">
        <v>35</v>
      </c>
      <c r="B36" s="37">
        <f t="shared" ref="B36:E36" si="14">SUM(B23:B34)</f>
        <v>1</v>
      </c>
      <c r="C36" s="37">
        <f t="shared" si="14"/>
        <v>1</v>
      </c>
      <c r="D36" s="37">
        <f t="shared" si="14"/>
        <v>1</v>
      </c>
      <c r="E36" s="37">
        <f t="shared" si="14"/>
        <v>0</v>
      </c>
      <c r="F36" s="38" t="str">
        <f>SUM(F28:F34)/7</f>
        <v>#DIV/0!</v>
      </c>
      <c r="G36" s="106">
        <f>SUM(G28:G34)</f>
        <v>0</v>
      </c>
      <c r="H36" s="37" t="str">
        <f>SUM(H23:H34)/7</f>
        <v>#DIV/0!</v>
      </c>
      <c r="I36" s="50"/>
      <c r="J36" s="50"/>
      <c r="K36" s="50"/>
      <c r="L36" s="50"/>
      <c r="M36" s="46"/>
      <c r="N36" s="36"/>
      <c r="O36" s="37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6.0" customHeight="1">
      <c r="A37" s="42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2:O2"/>
    <mergeCell ref="B4:I4"/>
    <mergeCell ref="J4:K4"/>
    <mergeCell ref="L4:O4"/>
  </mergeCells>
  <conditionalFormatting sqref="M30">
    <cfRule type="cellIs" dxfId="0" priority="1" operator="greaterThan">
      <formula>0</formula>
    </cfRule>
  </conditionalFormatting>
  <conditionalFormatting sqref="M30">
    <cfRule type="cellIs" dxfId="1" priority="2" operator="lessThan">
      <formula>0</formula>
    </cfRule>
  </conditionalFormatting>
  <conditionalFormatting sqref="M29">
    <cfRule type="cellIs" dxfId="0" priority="3" operator="greaterThan">
      <formula>0</formula>
    </cfRule>
  </conditionalFormatting>
  <conditionalFormatting sqref="M29">
    <cfRule type="cellIs" dxfId="1" priority="4" operator="lessThan">
      <formula>0</formula>
    </cfRule>
  </conditionalFormatting>
  <conditionalFormatting sqref="F7:F20">
    <cfRule type="cellIs" dxfId="2" priority="5" operator="lessThan">
      <formula>0</formula>
    </cfRule>
  </conditionalFormatting>
  <conditionalFormatting sqref="F7:F20">
    <cfRule type="cellIs" dxfId="3" priority="6" operator="greaterThan">
      <formula>0</formula>
    </cfRule>
  </conditionalFormatting>
  <conditionalFormatting sqref="G7:G20">
    <cfRule type="cellIs" dxfId="3" priority="7" operator="greaterThan">
      <formula>0</formula>
    </cfRule>
  </conditionalFormatting>
  <conditionalFormatting sqref="G7:G20">
    <cfRule type="cellIs" dxfId="2" priority="8" operator="lessThan">
      <formula>0</formula>
    </cfRule>
  </conditionalFormatting>
  <conditionalFormatting sqref="B24:D34 E23:E36">
    <cfRule type="cellIs" dxfId="2" priority="9" operator="lessThan">
      <formula>0</formula>
    </cfRule>
  </conditionalFormatting>
  <conditionalFormatting sqref="B24:D34 E23:E36">
    <cfRule type="cellIs" dxfId="3" priority="10" operator="greaterThan">
      <formula>0</formula>
    </cfRule>
  </conditionalFormatting>
  <conditionalFormatting sqref="F23:F36">
    <cfRule type="cellIs" dxfId="2" priority="11" operator="lessThan">
      <formula>0</formula>
    </cfRule>
  </conditionalFormatting>
  <conditionalFormatting sqref="F23:F36">
    <cfRule type="cellIs" dxfId="3" priority="12" operator="greaterThan">
      <formula>0</formula>
    </cfRule>
  </conditionalFormatting>
  <conditionalFormatting sqref="I7:I18">
    <cfRule type="cellIs" dxfId="2" priority="13" operator="lessThan">
      <formula>0</formula>
    </cfRule>
  </conditionalFormatting>
  <conditionalFormatting sqref="I7:I18">
    <cfRule type="cellIs" dxfId="3" priority="14" operator="greaterThan">
      <formula>0</formula>
    </cfRule>
  </conditionalFormatting>
  <conditionalFormatting sqref="B7:C18">
    <cfRule type="cellIs" dxfId="2" priority="15" operator="lessThan">
      <formula>0</formula>
    </cfRule>
  </conditionalFormatting>
  <conditionalFormatting sqref="B7:C18">
    <cfRule type="cellIs" dxfId="3" priority="16" operator="greaterThan">
      <formula>0</formula>
    </cfRule>
  </conditionalFormatting>
  <conditionalFormatting sqref="D7:E18">
    <cfRule type="cellIs" dxfId="2" priority="17" operator="lessThan">
      <formula>0</formula>
    </cfRule>
  </conditionalFormatting>
  <conditionalFormatting sqref="D7:E18">
    <cfRule type="cellIs" dxfId="3" priority="18" operator="greaterThan">
      <formula>0</formula>
    </cfRule>
  </conditionalFormatting>
  <conditionalFormatting sqref="H7:H18">
    <cfRule type="cellIs" dxfId="2" priority="19" operator="lessThan">
      <formula>0</formula>
    </cfRule>
  </conditionalFormatting>
  <conditionalFormatting sqref="H7:H18">
    <cfRule type="cellIs" dxfId="3" priority="20" operator="greaterThan">
      <formula>0</formula>
    </cfRule>
  </conditionalFormatting>
  <conditionalFormatting sqref="J7:J18">
    <cfRule type="cellIs" dxfId="2" priority="21" operator="lessThan">
      <formula>0</formula>
    </cfRule>
  </conditionalFormatting>
  <conditionalFormatting sqref="J7:J18">
    <cfRule type="cellIs" dxfId="3" priority="22" operator="greaterThan">
      <formula>0</formula>
    </cfRule>
  </conditionalFormatting>
  <conditionalFormatting sqref="B23:C23">
    <cfRule type="cellIs" dxfId="2" priority="23" operator="lessThan">
      <formula>0</formula>
    </cfRule>
  </conditionalFormatting>
  <conditionalFormatting sqref="B23:C23">
    <cfRule type="cellIs" dxfId="3" priority="24" operator="greaterThan">
      <formula>0</formula>
    </cfRule>
  </conditionalFormatting>
  <conditionalFormatting sqref="D23">
    <cfRule type="cellIs" dxfId="2" priority="25" operator="lessThan">
      <formula>0</formula>
    </cfRule>
  </conditionalFormatting>
  <conditionalFormatting sqref="D23">
    <cfRule type="cellIs" dxfId="3" priority="26" operator="greaterThan">
      <formula>0</formula>
    </cfRule>
  </conditionalFormatting>
  <printOptions/>
  <pageMargins bottom="0.7874015748031497" footer="0.0" header="0.0" left="0.5118110236220472" right="0.5118110236220472" top="0.7874015748031497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8.0"/>
    <col customWidth="1" min="2" max="2" width="26.43"/>
    <col customWidth="1" min="3" max="4" width="14.0"/>
    <col customWidth="1" min="5" max="15" width="12.71"/>
    <col customWidth="1" min="16" max="17" width="11.71"/>
    <col customWidth="1" min="18" max="34" width="9.14"/>
  </cols>
  <sheetData>
    <row r="1" ht="57.0" customHeight="1">
      <c r="A1" s="107"/>
      <c r="B1" s="107"/>
      <c r="C1" s="108"/>
      <c r="D1" s="108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</row>
    <row r="2" ht="14.25" customHeight="1">
      <c r="A2" s="110" t="s">
        <v>64</v>
      </c>
      <c r="B2" s="110" t="s">
        <v>65</v>
      </c>
      <c r="C2" s="111" t="s">
        <v>14</v>
      </c>
      <c r="D2" s="109">
        <v>44592.0</v>
      </c>
      <c r="E2" s="109">
        <v>44593.0</v>
      </c>
      <c r="F2" s="109">
        <v>44621.0</v>
      </c>
      <c r="G2" s="109">
        <v>44652.0</v>
      </c>
      <c r="H2" s="109">
        <v>44682.0</v>
      </c>
      <c r="I2" s="109">
        <v>44713.0</v>
      </c>
      <c r="J2" s="109">
        <v>44743.0</v>
      </c>
      <c r="K2" s="109">
        <v>44774.0</v>
      </c>
      <c r="L2" s="109">
        <v>44805.0</v>
      </c>
      <c r="M2" s="109">
        <v>44835.0</v>
      </c>
      <c r="N2" s="109">
        <v>44866.0</v>
      </c>
      <c r="O2" s="109">
        <v>44896.0</v>
      </c>
      <c r="P2" s="109">
        <v>44927.0</v>
      </c>
      <c r="Q2" s="109">
        <v>44958.0</v>
      </c>
      <c r="R2" s="109">
        <v>44987.0</v>
      </c>
      <c r="S2" s="109">
        <v>44960.0</v>
      </c>
      <c r="T2" s="109">
        <v>44961.0</v>
      </c>
      <c r="U2" s="109">
        <v>44962.0</v>
      </c>
      <c r="V2" s="109">
        <v>44963.0</v>
      </c>
      <c r="W2" s="109">
        <v>44964.0</v>
      </c>
      <c r="X2" s="109">
        <v>44965.0</v>
      </c>
      <c r="Y2" s="109">
        <v>44966.0</v>
      </c>
      <c r="Z2" s="109">
        <v>44967.0</v>
      </c>
      <c r="AA2" s="109">
        <v>44968.0</v>
      </c>
      <c r="AB2" s="109">
        <v>44969.0</v>
      </c>
      <c r="AC2" s="109">
        <v>44970.0</v>
      </c>
      <c r="AD2" s="109">
        <v>44971.0</v>
      </c>
      <c r="AE2" s="109">
        <v>44972.0</v>
      </c>
      <c r="AF2" s="109">
        <v>44973.0</v>
      </c>
      <c r="AG2" s="109">
        <v>44974.0</v>
      </c>
      <c r="AH2" s="109">
        <v>44975.0</v>
      </c>
    </row>
    <row r="3" ht="14.25" customHeight="1">
      <c r="A3" s="107"/>
      <c r="B3" s="107"/>
      <c r="C3" s="86"/>
      <c r="D3" s="86">
        <v>0.0</v>
      </c>
      <c r="E3" s="86">
        <v>0.0</v>
      </c>
      <c r="F3" s="86">
        <v>0.0</v>
      </c>
      <c r="G3" s="86">
        <v>0.0</v>
      </c>
      <c r="H3" s="86">
        <v>0.0</v>
      </c>
      <c r="I3" s="86">
        <v>0.0</v>
      </c>
      <c r="J3" s="86">
        <v>0.0</v>
      </c>
      <c r="K3" s="86">
        <v>0.0</v>
      </c>
      <c r="L3" s="86">
        <v>0.0</v>
      </c>
      <c r="M3" s="86">
        <v>0.0</v>
      </c>
      <c r="N3" s="86">
        <v>0.0</v>
      </c>
      <c r="O3" s="86">
        <v>0.0</v>
      </c>
      <c r="P3" s="86">
        <v>0.0</v>
      </c>
      <c r="Q3" s="86">
        <v>0.0</v>
      </c>
      <c r="R3" s="86">
        <v>0.0</v>
      </c>
      <c r="S3" s="86">
        <v>0.0</v>
      </c>
      <c r="T3" s="86">
        <v>0.0</v>
      </c>
      <c r="U3" s="86">
        <v>0.0</v>
      </c>
      <c r="V3" s="86">
        <v>0.0</v>
      </c>
      <c r="W3" s="86">
        <v>0.0</v>
      </c>
      <c r="X3" s="86">
        <v>0.0</v>
      </c>
      <c r="Y3" s="86">
        <v>0.0</v>
      </c>
      <c r="Z3" s="86">
        <v>0.0</v>
      </c>
      <c r="AA3" s="86">
        <v>0.0</v>
      </c>
      <c r="AB3" s="86">
        <v>0.0</v>
      </c>
      <c r="AC3" s="86">
        <v>0.0</v>
      </c>
      <c r="AD3" s="86">
        <v>0.0</v>
      </c>
      <c r="AE3" s="86">
        <v>0.0</v>
      </c>
      <c r="AF3" s="86">
        <v>0.0</v>
      </c>
      <c r="AG3" s="86">
        <v>0.0</v>
      </c>
      <c r="AH3" s="86">
        <v>0.0</v>
      </c>
    </row>
    <row r="4" ht="14.25" customHeight="1">
      <c r="A4" s="107"/>
      <c r="B4" s="107"/>
      <c r="C4" s="86"/>
      <c r="D4" s="86">
        <v>0.0</v>
      </c>
      <c r="E4" s="86">
        <v>0.0</v>
      </c>
      <c r="F4" s="86">
        <v>0.0</v>
      </c>
      <c r="G4" s="86">
        <v>0.0</v>
      </c>
      <c r="H4" s="86">
        <v>0.0</v>
      </c>
      <c r="I4" s="86">
        <v>0.0</v>
      </c>
      <c r="J4" s="86">
        <v>0.0</v>
      </c>
      <c r="K4" s="86">
        <v>0.0</v>
      </c>
      <c r="L4" s="86">
        <v>0.0</v>
      </c>
      <c r="M4" s="86">
        <v>0.0</v>
      </c>
      <c r="N4" s="86">
        <v>0.0</v>
      </c>
      <c r="O4" s="86">
        <v>0.0</v>
      </c>
      <c r="P4" s="86">
        <v>0.0</v>
      </c>
      <c r="Q4" s="86">
        <v>0.0</v>
      </c>
      <c r="R4" s="86">
        <v>0.0</v>
      </c>
      <c r="S4" s="86">
        <v>0.0</v>
      </c>
      <c r="T4" s="86">
        <v>0.0</v>
      </c>
      <c r="U4" s="86">
        <v>0.0</v>
      </c>
      <c r="V4" s="86">
        <v>0.0</v>
      </c>
      <c r="W4" s="86">
        <v>0.0</v>
      </c>
      <c r="X4" s="86">
        <v>0.0</v>
      </c>
      <c r="Y4" s="86">
        <v>0.0</v>
      </c>
      <c r="Z4" s="86">
        <v>0.0</v>
      </c>
      <c r="AA4" s="86">
        <v>0.0</v>
      </c>
      <c r="AB4" s="86">
        <v>0.0</v>
      </c>
      <c r="AC4" s="86">
        <v>0.0</v>
      </c>
      <c r="AD4" s="86">
        <v>0.0</v>
      </c>
      <c r="AE4" s="86">
        <v>0.0</v>
      </c>
      <c r="AF4" s="86">
        <v>0.0</v>
      </c>
      <c r="AG4" s="86">
        <v>0.0</v>
      </c>
      <c r="AH4" s="86">
        <v>0.0</v>
      </c>
    </row>
    <row r="5" ht="14.25" customHeight="1">
      <c r="A5" s="107"/>
      <c r="B5" s="107"/>
      <c r="C5" s="86"/>
      <c r="D5" s="86">
        <v>0.0</v>
      </c>
      <c r="E5" s="86">
        <v>0.0</v>
      </c>
      <c r="F5" s="86">
        <v>0.0</v>
      </c>
      <c r="G5" s="86">
        <v>0.0</v>
      </c>
      <c r="H5" s="86">
        <v>0.0</v>
      </c>
      <c r="I5" s="86">
        <v>0.0</v>
      </c>
      <c r="J5" s="86">
        <v>0.0</v>
      </c>
      <c r="K5" s="86">
        <v>0.0</v>
      </c>
      <c r="L5" s="86">
        <v>0.0</v>
      </c>
      <c r="M5" s="86">
        <v>0.0</v>
      </c>
      <c r="N5" s="86">
        <v>0.0</v>
      </c>
      <c r="O5" s="86">
        <v>0.0</v>
      </c>
      <c r="P5" s="86">
        <v>0.0</v>
      </c>
      <c r="Q5" s="86">
        <v>0.0</v>
      </c>
      <c r="R5" s="86">
        <v>0.0</v>
      </c>
      <c r="S5" s="86">
        <v>0.0</v>
      </c>
      <c r="T5" s="86">
        <v>0.0</v>
      </c>
      <c r="U5" s="86">
        <v>0.0</v>
      </c>
      <c r="V5" s="86">
        <v>0.0</v>
      </c>
      <c r="W5" s="86">
        <v>0.0</v>
      </c>
      <c r="X5" s="86">
        <v>0.0</v>
      </c>
      <c r="Y5" s="86">
        <v>0.0</v>
      </c>
      <c r="Z5" s="86">
        <v>0.0</v>
      </c>
      <c r="AA5" s="86">
        <v>0.0</v>
      </c>
      <c r="AB5" s="86">
        <v>0.0</v>
      </c>
      <c r="AC5" s="86">
        <v>0.0</v>
      </c>
      <c r="AD5" s="86">
        <v>0.0</v>
      </c>
      <c r="AE5" s="86">
        <v>0.0</v>
      </c>
      <c r="AF5" s="86">
        <v>0.0</v>
      </c>
      <c r="AG5" s="86">
        <v>0.0</v>
      </c>
      <c r="AH5" s="86">
        <v>0.0</v>
      </c>
    </row>
    <row r="6" ht="14.25" customHeight="1">
      <c r="A6" s="107"/>
      <c r="B6" s="107"/>
      <c r="C6" s="86"/>
      <c r="D6" s="86">
        <v>0.0</v>
      </c>
      <c r="E6" s="86">
        <v>0.0</v>
      </c>
      <c r="F6" s="86">
        <v>0.0</v>
      </c>
      <c r="G6" s="86">
        <v>0.0</v>
      </c>
      <c r="H6" s="86">
        <v>0.0</v>
      </c>
      <c r="I6" s="86">
        <v>0.0</v>
      </c>
      <c r="J6" s="86">
        <v>0.0</v>
      </c>
      <c r="K6" s="86">
        <v>0.0</v>
      </c>
      <c r="L6" s="86">
        <v>0.0</v>
      </c>
      <c r="M6" s="86">
        <v>0.0</v>
      </c>
      <c r="N6" s="86">
        <v>0.0</v>
      </c>
      <c r="O6" s="86">
        <v>0.0</v>
      </c>
      <c r="P6" s="86">
        <v>0.0</v>
      </c>
      <c r="Q6" s="86">
        <v>0.0</v>
      </c>
      <c r="R6" s="86">
        <v>0.0</v>
      </c>
      <c r="S6" s="86">
        <v>0.0</v>
      </c>
      <c r="T6" s="86">
        <v>0.0</v>
      </c>
      <c r="U6" s="86">
        <v>0.0</v>
      </c>
      <c r="V6" s="86">
        <v>0.0</v>
      </c>
      <c r="W6" s="86">
        <v>0.0</v>
      </c>
      <c r="X6" s="86">
        <v>0.0</v>
      </c>
      <c r="Y6" s="86">
        <v>0.0</v>
      </c>
      <c r="Z6" s="86">
        <v>0.0</v>
      </c>
      <c r="AA6" s="86">
        <v>0.0</v>
      </c>
      <c r="AB6" s="86">
        <v>0.0</v>
      </c>
      <c r="AC6" s="86">
        <v>0.0</v>
      </c>
      <c r="AD6" s="86">
        <v>0.0</v>
      </c>
      <c r="AE6" s="86">
        <v>0.0</v>
      </c>
      <c r="AF6" s="86">
        <v>0.0</v>
      </c>
      <c r="AG6" s="86">
        <v>0.0</v>
      </c>
      <c r="AH6" s="86">
        <v>0.0</v>
      </c>
    </row>
    <row r="7" ht="14.25" customHeight="1">
      <c r="A7" s="107"/>
      <c r="B7" s="107"/>
      <c r="C7" s="86"/>
      <c r="D7" s="86">
        <v>0.0</v>
      </c>
      <c r="E7" s="86">
        <v>0.0</v>
      </c>
      <c r="F7" s="86">
        <v>0.0</v>
      </c>
      <c r="G7" s="86">
        <v>0.0</v>
      </c>
      <c r="H7" s="86">
        <v>0.0</v>
      </c>
      <c r="I7" s="86">
        <v>0.0</v>
      </c>
      <c r="J7" s="86">
        <v>0.0</v>
      </c>
      <c r="K7" s="86">
        <v>0.0</v>
      </c>
      <c r="L7" s="86">
        <v>0.0</v>
      </c>
      <c r="M7" s="86">
        <v>0.0</v>
      </c>
      <c r="N7" s="86">
        <v>0.0</v>
      </c>
      <c r="O7" s="86">
        <v>0.0</v>
      </c>
      <c r="P7" s="86">
        <v>0.0</v>
      </c>
      <c r="Q7" s="86">
        <v>0.0</v>
      </c>
      <c r="R7" s="86">
        <v>0.0</v>
      </c>
      <c r="S7" s="86">
        <v>0.0</v>
      </c>
      <c r="T7" s="86">
        <v>0.0</v>
      </c>
      <c r="U7" s="86">
        <v>0.0</v>
      </c>
      <c r="V7" s="86">
        <v>0.0</v>
      </c>
      <c r="W7" s="86">
        <v>0.0</v>
      </c>
      <c r="X7" s="86">
        <v>0.0</v>
      </c>
      <c r="Y7" s="86">
        <v>0.0</v>
      </c>
      <c r="Z7" s="86">
        <v>0.0</v>
      </c>
      <c r="AA7" s="86">
        <v>0.0</v>
      </c>
      <c r="AB7" s="86">
        <v>0.0</v>
      </c>
      <c r="AC7" s="86">
        <v>0.0</v>
      </c>
      <c r="AD7" s="86">
        <v>0.0</v>
      </c>
      <c r="AE7" s="86">
        <v>0.0</v>
      </c>
      <c r="AF7" s="86">
        <v>0.0</v>
      </c>
      <c r="AG7" s="86">
        <v>0.0</v>
      </c>
      <c r="AH7" s="86">
        <v>0.0</v>
      </c>
    </row>
    <row r="8" ht="14.25" customHeight="1">
      <c r="A8" s="107"/>
      <c r="B8" s="107"/>
      <c r="C8" s="86"/>
      <c r="D8" s="86">
        <v>0.0</v>
      </c>
      <c r="E8" s="86">
        <v>0.0</v>
      </c>
      <c r="F8" s="86">
        <v>0.0</v>
      </c>
      <c r="G8" s="86">
        <v>0.0</v>
      </c>
      <c r="H8" s="86">
        <v>0.0</v>
      </c>
      <c r="I8" s="86">
        <v>0.0</v>
      </c>
      <c r="J8" s="86">
        <v>0.0</v>
      </c>
      <c r="K8" s="86">
        <v>0.0</v>
      </c>
      <c r="L8" s="86">
        <v>0.0</v>
      </c>
      <c r="M8" s="86">
        <v>0.0</v>
      </c>
      <c r="N8" s="86">
        <v>0.0</v>
      </c>
      <c r="O8" s="86">
        <v>0.0</v>
      </c>
      <c r="P8" s="86">
        <v>0.0</v>
      </c>
      <c r="Q8" s="86">
        <v>0.0</v>
      </c>
      <c r="R8" s="86">
        <v>0.0</v>
      </c>
      <c r="S8" s="86">
        <v>0.0</v>
      </c>
      <c r="T8" s="86">
        <v>0.0</v>
      </c>
      <c r="U8" s="86">
        <v>0.0</v>
      </c>
      <c r="V8" s="86">
        <v>0.0</v>
      </c>
      <c r="W8" s="86">
        <v>0.0</v>
      </c>
      <c r="X8" s="86">
        <v>0.0</v>
      </c>
      <c r="Y8" s="86">
        <v>0.0</v>
      </c>
      <c r="Z8" s="86">
        <v>0.0</v>
      </c>
      <c r="AA8" s="86">
        <v>0.0</v>
      </c>
      <c r="AB8" s="86">
        <v>0.0</v>
      </c>
      <c r="AC8" s="86">
        <v>0.0</v>
      </c>
      <c r="AD8" s="86">
        <v>0.0</v>
      </c>
      <c r="AE8" s="86">
        <v>0.0</v>
      </c>
      <c r="AF8" s="86">
        <v>0.0</v>
      </c>
      <c r="AG8" s="86">
        <v>0.0</v>
      </c>
      <c r="AH8" s="86">
        <v>0.0</v>
      </c>
    </row>
    <row r="9" ht="14.25" customHeight="1">
      <c r="A9" s="107"/>
      <c r="B9" s="107"/>
      <c r="C9" s="86"/>
      <c r="D9" s="86">
        <v>0.0</v>
      </c>
      <c r="E9" s="86">
        <v>0.0</v>
      </c>
      <c r="F9" s="86">
        <v>0.0</v>
      </c>
      <c r="G9" s="86">
        <v>0.0</v>
      </c>
      <c r="H9" s="86">
        <v>0.0</v>
      </c>
      <c r="I9" s="86">
        <v>0.0</v>
      </c>
      <c r="J9" s="86">
        <v>0.0</v>
      </c>
      <c r="K9" s="86">
        <v>0.0</v>
      </c>
      <c r="L9" s="86">
        <v>0.0</v>
      </c>
      <c r="M9" s="86">
        <v>0.0</v>
      </c>
      <c r="N9" s="86">
        <v>0.0</v>
      </c>
      <c r="O9" s="86">
        <v>0.0</v>
      </c>
      <c r="P9" s="86">
        <v>0.0</v>
      </c>
      <c r="Q9" s="86">
        <v>0.0</v>
      </c>
      <c r="R9" s="86">
        <v>0.0</v>
      </c>
      <c r="S9" s="86">
        <v>0.0</v>
      </c>
      <c r="T9" s="86">
        <v>0.0</v>
      </c>
      <c r="U9" s="86">
        <v>0.0</v>
      </c>
      <c r="V9" s="86">
        <v>0.0</v>
      </c>
      <c r="W9" s="86">
        <v>0.0</v>
      </c>
      <c r="X9" s="86">
        <v>0.0</v>
      </c>
      <c r="Y9" s="86">
        <v>0.0</v>
      </c>
      <c r="Z9" s="86">
        <v>0.0</v>
      </c>
      <c r="AA9" s="86">
        <v>0.0</v>
      </c>
      <c r="AB9" s="86">
        <v>0.0</v>
      </c>
      <c r="AC9" s="86">
        <v>0.0</v>
      </c>
      <c r="AD9" s="86">
        <v>0.0</v>
      </c>
      <c r="AE9" s="86">
        <v>0.0</v>
      </c>
      <c r="AF9" s="86">
        <v>0.0</v>
      </c>
      <c r="AG9" s="86">
        <v>0.0</v>
      </c>
      <c r="AH9" s="86">
        <v>0.0</v>
      </c>
    </row>
    <row r="10" ht="14.25" customHeight="1">
      <c r="A10" s="107"/>
      <c r="B10" s="107"/>
      <c r="C10" s="86"/>
      <c r="D10" s="86">
        <v>0.0</v>
      </c>
      <c r="E10" s="86">
        <v>0.0</v>
      </c>
      <c r="F10" s="86">
        <v>0.0</v>
      </c>
      <c r="G10" s="86">
        <v>0.0</v>
      </c>
      <c r="H10" s="86">
        <v>0.0</v>
      </c>
      <c r="I10" s="86">
        <v>0.0</v>
      </c>
      <c r="J10" s="86">
        <v>0.0</v>
      </c>
      <c r="K10" s="86">
        <v>0.0</v>
      </c>
      <c r="L10" s="86">
        <v>0.0</v>
      </c>
      <c r="M10" s="86">
        <v>0.0</v>
      </c>
      <c r="N10" s="86">
        <v>0.0</v>
      </c>
      <c r="O10" s="86">
        <v>0.0</v>
      </c>
      <c r="P10" s="86">
        <v>0.0</v>
      </c>
      <c r="Q10" s="86">
        <v>0.0</v>
      </c>
      <c r="R10" s="86">
        <v>0.0</v>
      </c>
      <c r="S10" s="86">
        <v>0.0</v>
      </c>
      <c r="T10" s="86">
        <v>0.0</v>
      </c>
      <c r="U10" s="86">
        <v>0.0</v>
      </c>
      <c r="V10" s="86">
        <v>0.0</v>
      </c>
      <c r="W10" s="86">
        <v>0.0</v>
      </c>
      <c r="X10" s="86">
        <v>0.0</v>
      </c>
      <c r="Y10" s="86">
        <v>0.0</v>
      </c>
      <c r="Z10" s="86">
        <v>0.0</v>
      </c>
      <c r="AA10" s="86">
        <v>0.0</v>
      </c>
      <c r="AB10" s="86">
        <v>0.0</v>
      </c>
      <c r="AC10" s="86">
        <v>0.0</v>
      </c>
      <c r="AD10" s="86">
        <v>0.0</v>
      </c>
      <c r="AE10" s="86">
        <v>0.0</v>
      </c>
      <c r="AF10" s="86">
        <v>0.0</v>
      </c>
      <c r="AG10" s="86">
        <v>0.0</v>
      </c>
      <c r="AH10" s="86">
        <v>0.0</v>
      </c>
    </row>
    <row r="11" ht="14.25" customHeight="1">
      <c r="A11" s="107"/>
      <c r="B11" s="107"/>
      <c r="C11" s="86"/>
      <c r="D11" s="86">
        <v>0.0</v>
      </c>
      <c r="E11" s="86">
        <v>0.0</v>
      </c>
      <c r="F11" s="86">
        <v>0.0</v>
      </c>
      <c r="G11" s="86">
        <v>0.0</v>
      </c>
      <c r="H11" s="86">
        <v>0.0</v>
      </c>
      <c r="I11" s="86">
        <v>0.0</v>
      </c>
      <c r="J11" s="86">
        <v>0.0</v>
      </c>
      <c r="K11" s="86">
        <v>0.0</v>
      </c>
      <c r="L11" s="86">
        <v>0.0</v>
      </c>
      <c r="M11" s="86">
        <v>0.0</v>
      </c>
      <c r="N11" s="86">
        <v>0.0</v>
      </c>
      <c r="O11" s="86">
        <v>0.0</v>
      </c>
      <c r="P11" s="86">
        <v>0.0</v>
      </c>
      <c r="Q11" s="86">
        <v>0.0</v>
      </c>
      <c r="R11" s="86">
        <v>0.0</v>
      </c>
      <c r="S11" s="86">
        <v>0.0</v>
      </c>
      <c r="T11" s="86">
        <v>0.0</v>
      </c>
      <c r="U11" s="86">
        <v>0.0</v>
      </c>
      <c r="V11" s="86">
        <v>0.0</v>
      </c>
      <c r="W11" s="86">
        <v>0.0</v>
      </c>
      <c r="X11" s="86">
        <v>0.0</v>
      </c>
      <c r="Y11" s="86">
        <v>0.0</v>
      </c>
      <c r="Z11" s="86">
        <v>0.0</v>
      </c>
      <c r="AA11" s="86">
        <v>0.0</v>
      </c>
      <c r="AB11" s="86">
        <v>0.0</v>
      </c>
      <c r="AC11" s="86">
        <v>0.0</v>
      </c>
      <c r="AD11" s="86">
        <v>0.0</v>
      </c>
      <c r="AE11" s="86">
        <v>0.0</v>
      </c>
      <c r="AF11" s="86">
        <v>0.0</v>
      </c>
      <c r="AG11" s="86">
        <v>0.0</v>
      </c>
      <c r="AH11" s="86">
        <v>0.0</v>
      </c>
    </row>
    <row r="12" ht="14.25" customHeight="1">
      <c r="A12" s="107"/>
      <c r="B12" s="107"/>
      <c r="C12" s="86"/>
      <c r="D12" s="86">
        <v>0.0</v>
      </c>
      <c r="E12" s="86">
        <v>0.0</v>
      </c>
      <c r="F12" s="86">
        <v>0.0</v>
      </c>
      <c r="G12" s="86">
        <v>0.0</v>
      </c>
      <c r="H12" s="86">
        <v>0.0</v>
      </c>
      <c r="I12" s="86">
        <v>0.0</v>
      </c>
      <c r="J12" s="86">
        <v>0.0</v>
      </c>
      <c r="K12" s="86">
        <v>0.0</v>
      </c>
      <c r="L12" s="86">
        <v>0.0</v>
      </c>
      <c r="M12" s="86">
        <v>0.0</v>
      </c>
      <c r="N12" s="86">
        <v>0.0</v>
      </c>
      <c r="O12" s="86">
        <v>0.0</v>
      </c>
      <c r="P12" s="86">
        <v>0.0</v>
      </c>
      <c r="Q12" s="86">
        <v>0.0</v>
      </c>
      <c r="R12" s="86">
        <v>0.0</v>
      </c>
      <c r="S12" s="86">
        <v>0.0</v>
      </c>
      <c r="T12" s="86">
        <v>0.0</v>
      </c>
      <c r="U12" s="86">
        <v>0.0</v>
      </c>
      <c r="V12" s="86">
        <v>0.0</v>
      </c>
      <c r="W12" s="86">
        <v>0.0</v>
      </c>
      <c r="X12" s="86">
        <v>0.0</v>
      </c>
      <c r="Y12" s="86">
        <v>0.0</v>
      </c>
      <c r="Z12" s="86">
        <v>0.0</v>
      </c>
      <c r="AA12" s="86">
        <v>0.0</v>
      </c>
      <c r="AB12" s="86">
        <v>0.0</v>
      </c>
      <c r="AC12" s="86">
        <v>0.0</v>
      </c>
      <c r="AD12" s="86">
        <v>0.0</v>
      </c>
      <c r="AE12" s="86">
        <v>0.0</v>
      </c>
      <c r="AF12" s="86">
        <v>0.0</v>
      </c>
      <c r="AG12" s="86">
        <v>0.0</v>
      </c>
      <c r="AH12" s="86">
        <v>0.0</v>
      </c>
    </row>
    <row r="13" ht="14.25" customHeight="1">
      <c r="A13" s="107"/>
      <c r="B13" s="107"/>
      <c r="C13" s="86"/>
      <c r="D13" s="86">
        <v>0.0</v>
      </c>
      <c r="E13" s="86">
        <v>0.0</v>
      </c>
      <c r="F13" s="86">
        <v>0.0</v>
      </c>
      <c r="G13" s="86">
        <v>0.0</v>
      </c>
      <c r="H13" s="86">
        <v>0.0</v>
      </c>
      <c r="I13" s="86">
        <v>0.0</v>
      </c>
      <c r="J13" s="86">
        <v>0.0</v>
      </c>
      <c r="K13" s="86">
        <v>0.0</v>
      </c>
      <c r="L13" s="86">
        <v>0.0</v>
      </c>
      <c r="M13" s="86">
        <v>0.0</v>
      </c>
      <c r="N13" s="86">
        <v>0.0</v>
      </c>
      <c r="O13" s="86">
        <v>0.0</v>
      </c>
      <c r="P13" s="86">
        <v>0.0</v>
      </c>
      <c r="Q13" s="86">
        <v>0.0</v>
      </c>
      <c r="R13" s="86">
        <v>0.0</v>
      </c>
      <c r="S13" s="86">
        <v>0.0</v>
      </c>
      <c r="T13" s="86">
        <v>0.0</v>
      </c>
      <c r="U13" s="86">
        <v>0.0</v>
      </c>
      <c r="V13" s="86">
        <v>0.0</v>
      </c>
      <c r="W13" s="86">
        <v>0.0</v>
      </c>
      <c r="X13" s="86">
        <v>0.0</v>
      </c>
      <c r="Y13" s="86">
        <v>0.0</v>
      </c>
      <c r="Z13" s="86">
        <v>0.0</v>
      </c>
      <c r="AA13" s="86">
        <v>0.0</v>
      </c>
      <c r="AB13" s="86">
        <v>0.0</v>
      </c>
      <c r="AC13" s="86">
        <v>0.0</v>
      </c>
      <c r="AD13" s="86">
        <v>0.0</v>
      </c>
      <c r="AE13" s="86">
        <v>0.0</v>
      </c>
      <c r="AF13" s="86">
        <v>0.0</v>
      </c>
      <c r="AG13" s="86">
        <v>0.0</v>
      </c>
      <c r="AH13" s="86">
        <v>0.0</v>
      </c>
    </row>
    <row r="14" ht="14.25" customHeight="1">
      <c r="A14" s="107"/>
      <c r="B14" s="107"/>
      <c r="C14" s="86"/>
      <c r="D14" s="86">
        <v>0.0</v>
      </c>
      <c r="E14" s="86">
        <v>0.0</v>
      </c>
      <c r="F14" s="86">
        <v>0.0</v>
      </c>
      <c r="G14" s="86">
        <v>0.0</v>
      </c>
      <c r="H14" s="86">
        <v>0.0</v>
      </c>
      <c r="I14" s="86">
        <v>0.0</v>
      </c>
      <c r="J14" s="86">
        <v>0.0</v>
      </c>
      <c r="K14" s="86">
        <v>0.0</v>
      </c>
      <c r="L14" s="86">
        <v>0.0</v>
      </c>
      <c r="M14" s="86">
        <v>0.0</v>
      </c>
      <c r="N14" s="86">
        <v>0.0</v>
      </c>
      <c r="O14" s="86">
        <v>0.0</v>
      </c>
      <c r="P14" s="86">
        <v>0.0</v>
      </c>
      <c r="Q14" s="86">
        <v>0.0</v>
      </c>
      <c r="R14" s="86">
        <v>0.0</v>
      </c>
      <c r="S14" s="86">
        <v>0.0</v>
      </c>
      <c r="T14" s="86">
        <v>0.0</v>
      </c>
      <c r="U14" s="86">
        <v>0.0</v>
      </c>
      <c r="V14" s="86">
        <v>0.0</v>
      </c>
      <c r="W14" s="86">
        <v>0.0</v>
      </c>
      <c r="X14" s="86">
        <v>0.0</v>
      </c>
      <c r="Y14" s="86">
        <v>0.0</v>
      </c>
      <c r="Z14" s="86">
        <v>0.0</v>
      </c>
      <c r="AA14" s="86">
        <v>0.0</v>
      </c>
      <c r="AB14" s="86">
        <v>0.0</v>
      </c>
      <c r="AC14" s="86">
        <v>0.0</v>
      </c>
      <c r="AD14" s="86">
        <v>0.0</v>
      </c>
      <c r="AE14" s="86">
        <v>0.0</v>
      </c>
      <c r="AF14" s="86">
        <v>0.0</v>
      </c>
      <c r="AG14" s="86">
        <v>0.0</v>
      </c>
      <c r="AH14" s="86">
        <v>0.0</v>
      </c>
    </row>
    <row r="15" ht="14.25" customHeight="1">
      <c r="A15" s="107"/>
      <c r="B15" s="107"/>
      <c r="C15" s="86"/>
      <c r="D15" s="86">
        <v>0.0</v>
      </c>
      <c r="E15" s="86">
        <v>0.0</v>
      </c>
      <c r="F15" s="86">
        <v>0.0</v>
      </c>
      <c r="G15" s="86">
        <v>0.0</v>
      </c>
      <c r="H15" s="86">
        <v>0.0</v>
      </c>
      <c r="I15" s="86">
        <v>0.0</v>
      </c>
      <c r="J15" s="86">
        <v>0.0</v>
      </c>
      <c r="K15" s="86">
        <v>0.0</v>
      </c>
      <c r="L15" s="86">
        <v>0.0</v>
      </c>
      <c r="M15" s="86">
        <v>0.0</v>
      </c>
      <c r="N15" s="86">
        <v>0.0</v>
      </c>
      <c r="O15" s="86">
        <v>0.0</v>
      </c>
      <c r="P15" s="86">
        <v>0.0</v>
      </c>
      <c r="Q15" s="86">
        <v>0.0</v>
      </c>
      <c r="R15" s="86">
        <v>0.0</v>
      </c>
      <c r="S15" s="86">
        <v>0.0</v>
      </c>
      <c r="T15" s="86">
        <v>0.0</v>
      </c>
      <c r="U15" s="86">
        <v>0.0</v>
      </c>
      <c r="V15" s="86">
        <v>0.0</v>
      </c>
      <c r="W15" s="86">
        <v>0.0</v>
      </c>
      <c r="X15" s="86">
        <v>0.0</v>
      </c>
      <c r="Y15" s="86">
        <v>0.0</v>
      </c>
      <c r="Z15" s="86">
        <v>0.0</v>
      </c>
      <c r="AA15" s="86">
        <v>0.0</v>
      </c>
      <c r="AB15" s="86">
        <v>0.0</v>
      </c>
      <c r="AC15" s="86">
        <v>0.0</v>
      </c>
      <c r="AD15" s="86">
        <v>0.0</v>
      </c>
      <c r="AE15" s="86">
        <v>0.0</v>
      </c>
      <c r="AF15" s="86">
        <v>0.0</v>
      </c>
      <c r="AG15" s="86">
        <v>0.0</v>
      </c>
      <c r="AH15" s="86">
        <v>0.0</v>
      </c>
    </row>
    <row r="16" ht="14.25" customHeight="1">
      <c r="A16" s="107"/>
      <c r="B16" s="107"/>
      <c r="C16" s="86"/>
      <c r="D16" s="86">
        <v>0.0</v>
      </c>
      <c r="E16" s="86">
        <v>0.0</v>
      </c>
      <c r="F16" s="86">
        <v>0.0</v>
      </c>
      <c r="G16" s="86">
        <v>0.0</v>
      </c>
      <c r="H16" s="86">
        <v>0.0</v>
      </c>
      <c r="I16" s="86">
        <v>0.0</v>
      </c>
      <c r="J16" s="86">
        <v>0.0</v>
      </c>
      <c r="K16" s="86">
        <v>0.0</v>
      </c>
      <c r="L16" s="86">
        <v>0.0</v>
      </c>
      <c r="M16" s="86">
        <v>0.0</v>
      </c>
      <c r="N16" s="86">
        <v>0.0</v>
      </c>
      <c r="O16" s="86">
        <v>0.0</v>
      </c>
      <c r="P16" s="86">
        <v>0.0</v>
      </c>
      <c r="Q16" s="86">
        <v>0.0</v>
      </c>
      <c r="R16" s="86">
        <v>0.0</v>
      </c>
      <c r="S16" s="86">
        <v>0.0</v>
      </c>
      <c r="T16" s="86">
        <v>0.0</v>
      </c>
      <c r="U16" s="86">
        <v>0.0</v>
      </c>
      <c r="V16" s="86">
        <v>0.0</v>
      </c>
      <c r="W16" s="86">
        <v>0.0</v>
      </c>
      <c r="X16" s="86">
        <v>0.0</v>
      </c>
      <c r="Y16" s="86">
        <v>0.0</v>
      </c>
      <c r="Z16" s="86">
        <v>0.0</v>
      </c>
      <c r="AA16" s="86">
        <v>0.0</v>
      </c>
      <c r="AB16" s="86">
        <v>0.0</v>
      </c>
      <c r="AC16" s="86">
        <v>0.0</v>
      </c>
      <c r="AD16" s="86">
        <v>0.0</v>
      </c>
      <c r="AE16" s="86">
        <v>0.0</v>
      </c>
      <c r="AF16" s="86">
        <v>0.0</v>
      </c>
      <c r="AG16" s="86">
        <v>0.0</v>
      </c>
      <c r="AH16" s="86">
        <v>0.0</v>
      </c>
    </row>
    <row r="17" ht="14.25" customHeight="1">
      <c r="A17" s="107"/>
      <c r="B17" s="107"/>
      <c r="C17" s="86"/>
      <c r="D17" s="86">
        <v>0.0</v>
      </c>
      <c r="E17" s="86">
        <v>0.0</v>
      </c>
      <c r="F17" s="86">
        <v>0.0</v>
      </c>
      <c r="G17" s="86">
        <v>0.0</v>
      </c>
      <c r="H17" s="86">
        <v>0.0</v>
      </c>
      <c r="I17" s="86">
        <v>0.0</v>
      </c>
      <c r="J17" s="86">
        <v>0.0</v>
      </c>
      <c r="K17" s="86">
        <v>0.0</v>
      </c>
      <c r="L17" s="86">
        <v>0.0</v>
      </c>
      <c r="M17" s="86">
        <v>0.0</v>
      </c>
      <c r="N17" s="86">
        <v>0.0</v>
      </c>
      <c r="O17" s="86">
        <v>0.0</v>
      </c>
      <c r="P17" s="86">
        <v>0.0</v>
      </c>
      <c r="Q17" s="86">
        <v>0.0</v>
      </c>
      <c r="R17" s="86">
        <v>0.0</v>
      </c>
      <c r="S17" s="86">
        <v>0.0</v>
      </c>
      <c r="T17" s="86">
        <v>0.0</v>
      </c>
      <c r="U17" s="86">
        <v>0.0</v>
      </c>
      <c r="V17" s="86">
        <v>0.0</v>
      </c>
      <c r="W17" s="86">
        <v>0.0</v>
      </c>
      <c r="X17" s="86">
        <v>0.0</v>
      </c>
      <c r="Y17" s="86">
        <v>0.0</v>
      </c>
      <c r="Z17" s="86">
        <v>0.0</v>
      </c>
      <c r="AA17" s="86">
        <v>0.0</v>
      </c>
      <c r="AB17" s="86">
        <v>0.0</v>
      </c>
      <c r="AC17" s="86">
        <v>0.0</v>
      </c>
      <c r="AD17" s="86">
        <v>0.0</v>
      </c>
      <c r="AE17" s="86">
        <v>0.0</v>
      </c>
      <c r="AF17" s="86">
        <v>0.0</v>
      </c>
      <c r="AG17" s="86">
        <v>0.0</v>
      </c>
      <c r="AH17" s="86">
        <v>0.0</v>
      </c>
    </row>
    <row r="18" ht="14.25" customHeight="1">
      <c r="A18" s="107"/>
      <c r="B18" s="107"/>
      <c r="C18" s="86"/>
      <c r="D18" s="86">
        <v>0.0</v>
      </c>
      <c r="E18" s="86">
        <v>0.0</v>
      </c>
      <c r="F18" s="86">
        <v>0.0</v>
      </c>
      <c r="G18" s="86">
        <v>0.0</v>
      </c>
      <c r="H18" s="86">
        <v>0.0</v>
      </c>
      <c r="I18" s="86">
        <v>0.0</v>
      </c>
      <c r="J18" s="86">
        <v>0.0</v>
      </c>
      <c r="K18" s="86">
        <v>0.0</v>
      </c>
      <c r="L18" s="86">
        <v>0.0</v>
      </c>
      <c r="M18" s="86">
        <v>0.0</v>
      </c>
      <c r="N18" s="86">
        <v>0.0</v>
      </c>
      <c r="O18" s="86">
        <v>0.0</v>
      </c>
      <c r="P18" s="86">
        <v>0.0</v>
      </c>
      <c r="Q18" s="86">
        <v>0.0</v>
      </c>
      <c r="R18" s="86">
        <v>0.0</v>
      </c>
      <c r="S18" s="86">
        <v>0.0</v>
      </c>
      <c r="T18" s="86">
        <v>0.0</v>
      </c>
      <c r="U18" s="86">
        <v>0.0</v>
      </c>
      <c r="V18" s="86">
        <v>0.0</v>
      </c>
      <c r="W18" s="86">
        <v>0.0</v>
      </c>
      <c r="X18" s="86">
        <v>0.0</v>
      </c>
      <c r="Y18" s="86">
        <v>0.0</v>
      </c>
      <c r="Z18" s="86">
        <v>0.0</v>
      </c>
      <c r="AA18" s="86">
        <v>0.0</v>
      </c>
      <c r="AB18" s="86">
        <v>0.0</v>
      </c>
      <c r="AC18" s="86">
        <v>0.0</v>
      </c>
      <c r="AD18" s="86">
        <v>0.0</v>
      </c>
      <c r="AE18" s="86">
        <v>0.0</v>
      </c>
      <c r="AF18" s="86">
        <v>0.0</v>
      </c>
      <c r="AG18" s="86">
        <v>0.0</v>
      </c>
      <c r="AH18" s="86">
        <v>0.0</v>
      </c>
    </row>
    <row r="19" ht="14.25" customHeight="1">
      <c r="A19" s="107"/>
      <c r="B19" s="107"/>
      <c r="C19" s="86"/>
      <c r="D19" s="86">
        <v>0.0</v>
      </c>
      <c r="E19" s="86">
        <v>0.0</v>
      </c>
      <c r="F19" s="86">
        <v>0.0</v>
      </c>
      <c r="G19" s="86">
        <v>0.0</v>
      </c>
      <c r="H19" s="86">
        <v>0.0</v>
      </c>
      <c r="I19" s="86">
        <v>0.0</v>
      </c>
      <c r="J19" s="86">
        <v>0.0</v>
      </c>
      <c r="K19" s="86">
        <v>0.0</v>
      </c>
      <c r="L19" s="86">
        <v>0.0</v>
      </c>
      <c r="M19" s="86">
        <v>0.0</v>
      </c>
      <c r="N19" s="86">
        <v>0.0</v>
      </c>
      <c r="O19" s="86">
        <v>0.0</v>
      </c>
      <c r="P19" s="86">
        <v>0.0</v>
      </c>
      <c r="Q19" s="86">
        <v>0.0</v>
      </c>
      <c r="R19" s="86">
        <v>0.0</v>
      </c>
      <c r="S19" s="86">
        <v>0.0</v>
      </c>
      <c r="T19" s="86">
        <v>0.0</v>
      </c>
      <c r="U19" s="86">
        <v>0.0</v>
      </c>
      <c r="V19" s="86">
        <v>0.0</v>
      </c>
      <c r="W19" s="86">
        <v>0.0</v>
      </c>
      <c r="X19" s="86">
        <v>0.0</v>
      </c>
      <c r="Y19" s="86">
        <v>0.0</v>
      </c>
      <c r="Z19" s="86">
        <v>0.0</v>
      </c>
      <c r="AA19" s="86">
        <v>0.0</v>
      </c>
      <c r="AB19" s="86">
        <v>0.0</v>
      </c>
      <c r="AC19" s="86">
        <v>0.0</v>
      </c>
      <c r="AD19" s="86">
        <v>0.0</v>
      </c>
      <c r="AE19" s="86">
        <v>0.0</v>
      </c>
      <c r="AF19" s="86">
        <v>0.0</v>
      </c>
      <c r="AG19" s="86">
        <v>0.0</v>
      </c>
      <c r="AH19" s="86">
        <v>0.0</v>
      </c>
    </row>
    <row r="20" ht="14.25" customHeight="1">
      <c r="A20" s="107"/>
      <c r="B20" s="107"/>
      <c r="C20" s="86"/>
      <c r="D20" s="86">
        <v>0.0</v>
      </c>
      <c r="E20" s="86">
        <v>0.0</v>
      </c>
      <c r="F20" s="86">
        <v>0.0</v>
      </c>
      <c r="G20" s="86">
        <v>0.0</v>
      </c>
      <c r="H20" s="86">
        <v>0.0</v>
      </c>
      <c r="I20" s="86">
        <v>0.0</v>
      </c>
      <c r="J20" s="86">
        <v>0.0</v>
      </c>
      <c r="K20" s="86">
        <v>0.0</v>
      </c>
      <c r="L20" s="86">
        <v>0.0</v>
      </c>
      <c r="M20" s="86">
        <v>0.0</v>
      </c>
      <c r="N20" s="86">
        <v>0.0</v>
      </c>
      <c r="O20" s="86">
        <v>0.0</v>
      </c>
      <c r="P20" s="86">
        <v>0.0</v>
      </c>
      <c r="Q20" s="86">
        <v>0.0</v>
      </c>
      <c r="R20" s="86">
        <v>0.0</v>
      </c>
      <c r="S20" s="86">
        <v>0.0</v>
      </c>
      <c r="T20" s="86">
        <v>0.0</v>
      </c>
      <c r="U20" s="86">
        <v>0.0</v>
      </c>
      <c r="V20" s="86">
        <v>0.0</v>
      </c>
      <c r="W20" s="86">
        <v>0.0</v>
      </c>
      <c r="X20" s="86">
        <v>0.0</v>
      </c>
      <c r="Y20" s="86">
        <v>0.0</v>
      </c>
      <c r="Z20" s="86">
        <v>0.0</v>
      </c>
      <c r="AA20" s="86">
        <v>0.0</v>
      </c>
      <c r="AB20" s="86">
        <v>0.0</v>
      </c>
      <c r="AC20" s="86">
        <v>0.0</v>
      </c>
      <c r="AD20" s="86">
        <v>0.0</v>
      </c>
      <c r="AE20" s="86">
        <v>0.0</v>
      </c>
      <c r="AF20" s="86">
        <v>0.0</v>
      </c>
      <c r="AG20" s="86">
        <v>0.0</v>
      </c>
      <c r="AH20" s="86">
        <v>0.0</v>
      </c>
    </row>
    <row r="21" ht="14.25" customHeight="1">
      <c r="A21" s="107"/>
      <c r="B21" s="107"/>
      <c r="C21" s="86"/>
      <c r="D21" s="86">
        <v>0.0</v>
      </c>
      <c r="E21" s="86">
        <v>0.0</v>
      </c>
      <c r="F21" s="86">
        <v>0.0</v>
      </c>
      <c r="G21" s="86">
        <v>0.0</v>
      </c>
      <c r="H21" s="86">
        <v>0.0</v>
      </c>
      <c r="I21" s="86">
        <v>0.0</v>
      </c>
      <c r="J21" s="86">
        <v>0.0</v>
      </c>
      <c r="K21" s="86">
        <v>0.0</v>
      </c>
      <c r="L21" s="86">
        <v>0.0</v>
      </c>
      <c r="M21" s="86">
        <v>0.0</v>
      </c>
      <c r="N21" s="86">
        <v>0.0</v>
      </c>
      <c r="O21" s="86">
        <v>0.0</v>
      </c>
      <c r="P21" s="86">
        <v>0.0</v>
      </c>
      <c r="Q21" s="86">
        <v>0.0</v>
      </c>
      <c r="R21" s="86">
        <v>0.0</v>
      </c>
      <c r="S21" s="86">
        <v>0.0</v>
      </c>
      <c r="T21" s="86">
        <v>0.0</v>
      </c>
      <c r="U21" s="86">
        <v>0.0</v>
      </c>
      <c r="V21" s="86">
        <v>0.0</v>
      </c>
      <c r="W21" s="86">
        <v>0.0</v>
      </c>
      <c r="X21" s="86">
        <v>0.0</v>
      </c>
      <c r="Y21" s="86">
        <v>0.0</v>
      </c>
      <c r="Z21" s="86">
        <v>0.0</v>
      </c>
      <c r="AA21" s="86">
        <v>0.0</v>
      </c>
      <c r="AB21" s="86">
        <v>0.0</v>
      </c>
      <c r="AC21" s="86">
        <v>0.0</v>
      </c>
      <c r="AD21" s="86">
        <v>0.0</v>
      </c>
      <c r="AE21" s="86">
        <v>0.0</v>
      </c>
      <c r="AF21" s="86">
        <v>0.0</v>
      </c>
      <c r="AG21" s="86">
        <v>0.0</v>
      </c>
      <c r="AH21" s="86">
        <v>0.0</v>
      </c>
    </row>
    <row r="22" ht="14.25" customHeight="1">
      <c r="A22" s="107"/>
      <c r="B22" s="107"/>
      <c r="C22" s="86"/>
      <c r="D22" s="86">
        <v>0.0</v>
      </c>
      <c r="E22" s="86">
        <v>0.0</v>
      </c>
      <c r="F22" s="86">
        <v>0.0</v>
      </c>
      <c r="G22" s="86">
        <v>0.0</v>
      </c>
      <c r="H22" s="86">
        <v>0.0</v>
      </c>
      <c r="I22" s="86">
        <v>0.0</v>
      </c>
      <c r="J22" s="86">
        <v>0.0</v>
      </c>
      <c r="K22" s="86">
        <v>0.0</v>
      </c>
      <c r="L22" s="86">
        <v>0.0</v>
      </c>
      <c r="M22" s="86">
        <v>0.0</v>
      </c>
      <c r="N22" s="86">
        <v>0.0</v>
      </c>
      <c r="O22" s="86">
        <v>0.0</v>
      </c>
      <c r="P22" s="86">
        <v>0.0</v>
      </c>
      <c r="Q22" s="86">
        <v>0.0</v>
      </c>
      <c r="R22" s="86">
        <v>0.0</v>
      </c>
      <c r="S22" s="86">
        <v>0.0</v>
      </c>
      <c r="T22" s="86">
        <v>0.0</v>
      </c>
      <c r="U22" s="86">
        <v>0.0</v>
      </c>
      <c r="V22" s="86">
        <v>0.0</v>
      </c>
      <c r="W22" s="86">
        <v>0.0</v>
      </c>
      <c r="X22" s="86">
        <v>0.0</v>
      </c>
      <c r="Y22" s="86">
        <v>0.0</v>
      </c>
      <c r="Z22" s="86">
        <v>0.0</v>
      </c>
      <c r="AA22" s="86">
        <v>0.0</v>
      </c>
      <c r="AB22" s="86">
        <v>0.0</v>
      </c>
      <c r="AC22" s="86">
        <v>0.0</v>
      </c>
      <c r="AD22" s="86">
        <v>0.0</v>
      </c>
      <c r="AE22" s="86">
        <v>0.0</v>
      </c>
      <c r="AF22" s="86">
        <v>0.0</v>
      </c>
      <c r="AG22" s="86">
        <v>0.0</v>
      </c>
      <c r="AH22" s="86">
        <v>0.0</v>
      </c>
    </row>
    <row r="23" ht="14.25" customHeight="1">
      <c r="A23" s="107"/>
      <c r="B23" s="107"/>
      <c r="C23" s="86"/>
      <c r="D23" s="86">
        <v>0.0</v>
      </c>
      <c r="E23" s="86">
        <v>0.0</v>
      </c>
      <c r="F23" s="86">
        <v>0.0</v>
      </c>
      <c r="G23" s="86">
        <v>0.0</v>
      </c>
      <c r="H23" s="86">
        <v>0.0</v>
      </c>
      <c r="I23" s="86">
        <v>0.0</v>
      </c>
      <c r="J23" s="86">
        <v>0.0</v>
      </c>
      <c r="K23" s="86">
        <v>0.0</v>
      </c>
      <c r="L23" s="86">
        <v>0.0</v>
      </c>
      <c r="M23" s="86">
        <v>0.0</v>
      </c>
      <c r="N23" s="86">
        <v>0.0</v>
      </c>
      <c r="O23" s="86">
        <v>0.0</v>
      </c>
      <c r="P23" s="86">
        <v>0.0</v>
      </c>
      <c r="Q23" s="86">
        <v>0.0</v>
      </c>
      <c r="R23" s="86">
        <v>0.0</v>
      </c>
      <c r="S23" s="86">
        <v>0.0</v>
      </c>
      <c r="T23" s="86">
        <v>0.0</v>
      </c>
      <c r="U23" s="86">
        <v>0.0</v>
      </c>
      <c r="V23" s="86">
        <v>0.0</v>
      </c>
      <c r="W23" s="86">
        <v>0.0</v>
      </c>
      <c r="X23" s="86">
        <v>0.0</v>
      </c>
      <c r="Y23" s="86">
        <v>0.0</v>
      </c>
      <c r="Z23" s="86">
        <v>0.0</v>
      </c>
      <c r="AA23" s="86">
        <v>0.0</v>
      </c>
      <c r="AB23" s="86">
        <v>0.0</v>
      </c>
      <c r="AC23" s="86">
        <v>0.0</v>
      </c>
      <c r="AD23" s="86">
        <v>0.0</v>
      </c>
      <c r="AE23" s="86">
        <v>0.0</v>
      </c>
      <c r="AF23" s="86">
        <v>0.0</v>
      </c>
      <c r="AG23" s="86">
        <v>0.0</v>
      </c>
      <c r="AH23" s="86">
        <v>0.0</v>
      </c>
    </row>
    <row r="24" ht="14.25" customHeight="1">
      <c r="A24" s="107"/>
      <c r="B24" s="107"/>
      <c r="C24" s="86"/>
      <c r="D24" s="86">
        <v>0.0</v>
      </c>
      <c r="E24" s="86">
        <v>0.0</v>
      </c>
      <c r="F24" s="86">
        <v>0.0</v>
      </c>
      <c r="G24" s="86">
        <v>0.0</v>
      </c>
      <c r="H24" s="86">
        <v>0.0</v>
      </c>
      <c r="I24" s="86">
        <v>0.0</v>
      </c>
      <c r="J24" s="86">
        <v>0.0</v>
      </c>
      <c r="K24" s="86">
        <v>0.0</v>
      </c>
      <c r="L24" s="86">
        <v>0.0</v>
      </c>
      <c r="M24" s="86">
        <v>0.0</v>
      </c>
      <c r="N24" s="86">
        <v>0.0</v>
      </c>
      <c r="O24" s="86">
        <v>0.0</v>
      </c>
      <c r="P24" s="86">
        <v>0.0</v>
      </c>
      <c r="Q24" s="86">
        <v>0.0</v>
      </c>
      <c r="R24" s="86">
        <v>0.0</v>
      </c>
      <c r="S24" s="86">
        <v>0.0</v>
      </c>
      <c r="T24" s="86">
        <v>0.0</v>
      </c>
      <c r="U24" s="86">
        <v>0.0</v>
      </c>
      <c r="V24" s="86">
        <v>0.0</v>
      </c>
      <c r="W24" s="86">
        <v>0.0</v>
      </c>
      <c r="X24" s="86">
        <v>0.0</v>
      </c>
      <c r="Y24" s="86">
        <v>0.0</v>
      </c>
      <c r="Z24" s="86">
        <v>0.0</v>
      </c>
      <c r="AA24" s="86">
        <v>0.0</v>
      </c>
      <c r="AB24" s="86">
        <v>0.0</v>
      </c>
      <c r="AC24" s="86">
        <v>0.0</v>
      </c>
      <c r="AD24" s="86">
        <v>0.0</v>
      </c>
      <c r="AE24" s="86">
        <v>0.0</v>
      </c>
      <c r="AF24" s="86">
        <v>0.0</v>
      </c>
      <c r="AG24" s="86">
        <v>0.0</v>
      </c>
      <c r="AH24" s="86">
        <v>0.0</v>
      </c>
    </row>
    <row r="25" ht="14.25" customHeight="1">
      <c r="A25" s="107"/>
      <c r="B25" s="107"/>
      <c r="C25" s="86"/>
      <c r="D25" s="86">
        <v>0.0</v>
      </c>
      <c r="E25" s="86">
        <v>0.0</v>
      </c>
      <c r="F25" s="86">
        <v>0.0</v>
      </c>
      <c r="G25" s="86">
        <v>0.0</v>
      </c>
      <c r="H25" s="86">
        <v>0.0</v>
      </c>
      <c r="I25" s="86">
        <v>0.0</v>
      </c>
      <c r="J25" s="86">
        <v>0.0</v>
      </c>
      <c r="K25" s="86">
        <v>0.0</v>
      </c>
      <c r="L25" s="86">
        <v>0.0</v>
      </c>
      <c r="M25" s="86">
        <v>0.0</v>
      </c>
      <c r="N25" s="86">
        <v>0.0</v>
      </c>
      <c r="O25" s="86">
        <v>0.0</v>
      </c>
      <c r="P25" s="86">
        <v>0.0</v>
      </c>
      <c r="Q25" s="86">
        <v>0.0</v>
      </c>
      <c r="R25" s="86">
        <v>0.0</v>
      </c>
      <c r="S25" s="86">
        <v>0.0</v>
      </c>
      <c r="T25" s="86">
        <v>0.0</v>
      </c>
      <c r="U25" s="86">
        <v>0.0</v>
      </c>
      <c r="V25" s="86">
        <v>0.0</v>
      </c>
      <c r="W25" s="86">
        <v>0.0</v>
      </c>
      <c r="X25" s="86">
        <v>0.0</v>
      </c>
      <c r="Y25" s="86">
        <v>0.0</v>
      </c>
      <c r="Z25" s="86">
        <v>0.0</v>
      </c>
      <c r="AA25" s="86">
        <v>0.0</v>
      </c>
      <c r="AB25" s="86">
        <v>0.0</v>
      </c>
      <c r="AC25" s="86">
        <v>0.0</v>
      </c>
      <c r="AD25" s="86">
        <v>0.0</v>
      </c>
      <c r="AE25" s="86">
        <v>0.0</v>
      </c>
      <c r="AF25" s="86">
        <v>0.0</v>
      </c>
      <c r="AG25" s="86">
        <v>0.0</v>
      </c>
      <c r="AH25" s="86">
        <v>0.0</v>
      </c>
    </row>
    <row r="26" ht="14.25" customHeight="1">
      <c r="A26" s="107"/>
      <c r="B26" s="107"/>
      <c r="C26" s="86"/>
      <c r="D26" s="86">
        <v>0.0</v>
      </c>
      <c r="E26" s="86">
        <v>0.0</v>
      </c>
      <c r="F26" s="86">
        <v>0.0</v>
      </c>
      <c r="G26" s="86">
        <v>0.0</v>
      </c>
      <c r="H26" s="86">
        <v>0.0</v>
      </c>
      <c r="I26" s="86">
        <v>0.0</v>
      </c>
      <c r="J26" s="86">
        <v>0.0</v>
      </c>
      <c r="K26" s="86">
        <v>0.0</v>
      </c>
      <c r="L26" s="86">
        <v>0.0</v>
      </c>
      <c r="M26" s="86">
        <v>0.0</v>
      </c>
      <c r="N26" s="86">
        <v>0.0</v>
      </c>
      <c r="O26" s="86">
        <v>0.0</v>
      </c>
      <c r="P26" s="86">
        <v>0.0</v>
      </c>
      <c r="Q26" s="86">
        <v>0.0</v>
      </c>
      <c r="R26" s="86">
        <v>0.0</v>
      </c>
      <c r="S26" s="86">
        <v>0.0</v>
      </c>
      <c r="T26" s="86">
        <v>0.0</v>
      </c>
      <c r="U26" s="86">
        <v>0.0</v>
      </c>
      <c r="V26" s="86">
        <v>0.0</v>
      </c>
      <c r="W26" s="86">
        <v>0.0</v>
      </c>
      <c r="X26" s="86">
        <v>0.0</v>
      </c>
      <c r="Y26" s="86">
        <v>0.0</v>
      </c>
      <c r="Z26" s="86">
        <v>0.0</v>
      </c>
      <c r="AA26" s="86">
        <v>0.0</v>
      </c>
      <c r="AB26" s="86">
        <v>0.0</v>
      </c>
      <c r="AC26" s="86">
        <v>0.0</v>
      </c>
      <c r="AD26" s="86">
        <v>0.0</v>
      </c>
      <c r="AE26" s="86">
        <v>0.0</v>
      </c>
      <c r="AF26" s="86">
        <v>0.0</v>
      </c>
      <c r="AG26" s="86">
        <v>0.0</v>
      </c>
      <c r="AH26" s="86">
        <v>0.0</v>
      </c>
    </row>
    <row r="27" ht="14.25" customHeight="1">
      <c r="A27" s="107"/>
      <c r="B27" s="107"/>
      <c r="C27" s="86"/>
      <c r="D27" s="86">
        <v>0.0</v>
      </c>
      <c r="E27" s="86">
        <v>0.0</v>
      </c>
      <c r="F27" s="86">
        <v>0.0</v>
      </c>
      <c r="G27" s="86">
        <v>0.0</v>
      </c>
      <c r="H27" s="86">
        <v>0.0</v>
      </c>
      <c r="I27" s="86">
        <v>0.0</v>
      </c>
      <c r="J27" s="86">
        <v>0.0</v>
      </c>
      <c r="K27" s="86">
        <v>0.0</v>
      </c>
      <c r="L27" s="86">
        <v>0.0</v>
      </c>
      <c r="M27" s="86">
        <v>0.0</v>
      </c>
      <c r="N27" s="86">
        <v>0.0</v>
      </c>
      <c r="O27" s="86">
        <v>0.0</v>
      </c>
      <c r="P27" s="86">
        <v>0.0</v>
      </c>
      <c r="Q27" s="86">
        <v>0.0</v>
      </c>
      <c r="R27" s="86">
        <v>0.0</v>
      </c>
      <c r="S27" s="86">
        <v>0.0</v>
      </c>
      <c r="T27" s="86">
        <v>0.0</v>
      </c>
      <c r="U27" s="86">
        <v>0.0</v>
      </c>
      <c r="V27" s="86">
        <v>0.0</v>
      </c>
      <c r="W27" s="86">
        <v>0.0</v>
      </c>
      <c r="X27" s="86">
        <v>0.0</v>
      </c>
      <c r="Y27" s="86">
        <v>0.0</v>
      </c>
      <c r="Z27" s="86">
        <v>0.0</v>
      </c>
      <c r="AA27" s="86">
        <v>0.0</v>
      </c>
      <c r="AB27" s="86">
        <v>0.0</v>
      </c>
      <c r="AC27" s="86">
        <v>0.0</v>
      </c>
      <c r="AD27" s="86">
        <v>0.0</v>
      </c>
      <c r="AE27" s="86">
        <v>0.0</v>
      </c>
      <c r="AF27" s="86">
        <v>0.0</v>
      </c>
      <c r="AG27" s="86">
        <v>0.0</v>
      </c>
      <c r="AH27" s="86">
        <v>0.0</v>
      </c>
    </row>
    <row r="28" ht="14.25" customHeight="1">
      <c r="A28" s="107"/>
      <c r="B28" s="107"/>
      <c r="C28" s="86"/>
      <c r="D28" s="86">
        <v>0.0</v>
      </c>
      <c r="E28" s="86">
        <v>0.0</v>
      </c>
      <c r="F28" s="86">
        <v>0.0</v>
      </c>
      <c r="G28" s="86">
        <v>0.0</v>
      </c>
      <c r="H28" s="86">
        <v>0.0</v>
      </c>
      <c r="I28" s="86">
        <v>0.0</v>
      </c>
      <c r="J28" s="86">
        <v>0.0</v>
      </c>
      <c r="K28" s="86">
        <v>0.0</v>
      </c>
      <c r="L28" s="86">
        <v>0.0</v>
      </c>
      <c r="M28" s="86">
        <v>0.0</v>
      </c>
      <c r="N28" s="86">
        <v>0.0</v>
      </c>
      <c r="O28" s="86">
        <v>0.0</v>
      </c>
      <c r="P28" s="86">
        <v>0.0</v>
      </c>
      <c r="Q28" s="86">
        <v>0.0</v>
      </c>
      <c r="R28" s="86">
        <v>0.0</v>
      </c>
      <c r="S28" s="86">
        <v>0.0</v>
      </c>
      <c r="T28" s="86">
        <v>0.0</v>
      </c>
      <c r="U28" s="86">
        <v>0.0</v>
      </c>
      <c r="V28" s="86">
        <v>0.0</v>
      </c>
      <c r="W28" s="86">
        <v>0.0</v>
      </c>
      <c r="X28" s="86">
        <v>0.0</v>
      </c>
      <c r="Y28" s="86">
        <v>0.0</v>
      </c>
      <c r="Z28" s="86">
        <v>0.0</v>
      </c>
      <c r="AA28" s="86">
        <v>0.0</v>
      </c>
      <c r="AB28" s="86">
        <v>0.0</v>
      </c>
      <c r="AC28" s="86">
        <v>0.0</v>
      </c>
      <c r="AD28" s="86">
        <v>0.0</v>
      </c>
      <c r="AE28" s="86">
        <v>0.0</v>
      </c>
      <c r="AF28" s="86">
        <v>0.0</v>
      </c>
      <c r="AG28" s="86">
        <v>0.0</v>
      </c>
      <c r="AH28" s="86">
        <v>0.0</v>
      </c>
    </row>
    <row r="29" ht="14.25" customHeight="1">
      <c r="A29" s="107"/>
      <c r="B29" s="107"/>
      <c r="C29" s="86"/>
      <c r="D29" s="86">
        <v>0.0</v>
      </c>
      <c r="E29" s="86">
        <v>0.0</v>
      </c>
      <c r="F29" s="86">
        <v>0.0</v>
      </c>
      <c r="G29" s="86">
        <v>0.0</v>
      </c>
      <c r="H29" s="86">
        <v>0.0</v>
      </c>
      <c r="I29" s="86">
        <v>0.0</v>
      </c>
      <c r="J29" s="86">
        <v>0.0</v>
      </c>
      <c r="K29" s="86">
        <v>0.0</v>
      </c>
      <c r="L29" s="86">
        <v>0.0</v>
      </c>
      <c r="M29" s="86">
        <v>0.0</v>
      </c>
      <c r="N29" s="86">
        <v>0.0</v>
      </c>
      <c r="O29" s="86">
        <v>0.0</v>
      </c>
      <c r="P29" s="86">
        <v>0.0</v>
      </c>
      <c r="Q29" s="86">
        <v>0.0</v>
      </c>
      <c r="R29" s="86">
        <v>0.0</v>
      </c>
      <c r="S29" s="86">
        <v>0.0</v>
      </c>
      <c r="T29" s="86">
        <v>0.0</v>
      </c>
      <c r="U29" s="86">
        <v>0.0</v>
      </c>
      <c r="V29" s="86">
        <v>0.0</v>
      </c>
      <c r="W29" s="86">
        <v>0.0</v>
      </c>
      <c r="X29" s="86">
        <v>0.0</v>
      </c>
      <c r="Y29" s="86">
        <v>0.0</v>
      </c>
      <c r="Z29" s="86">
        <v>0.0</v>
      </c>
      <c r="AA29" s="86">
        <v>0.0</v>
      </c>
      <c r="AB29" s="86">
        <v>0.0</v>
      </c>
      <c r="AC29" s="86">
        <v>0.0</v>
      </c>
      <c r="AD29" s="86">
        <v>0.0</v>
      </c>
      <c r="AE29" s="86">
        <v>0.0</v>
      </c>
      <c r="AF29" s="86">
        <v>0.0</v>
      </c>
      <c r="AG29" s="86">
        <v>0.0</v>
      </c>
      <c r="AH29" s="86">
        <v>0.0</v>
      </c>
    </row>
    <row r="30" ht="14.25" customHeight="1">
      <c r="A30" s="107"/>
      <c r="B30" s="107"/>
      <c r="C30" s="86"/>
      <c r="D30" s="86">
        <v>0.0</v>
      </c>
      <c r="E30" s="86">
        <v>0.0</v>
      </c>
      <c r="F30" s="86">
        <v>0.0</v>
      </c>
      <c r="G30" s="86">
        <v>0.0</v>
      </c>
      <c r="H30" s="86">
        <v>0.0</v>
      </c>
      <c r="I30" s="86">
        <v>0.0</v>
      </c>
      <c r="J30" s="86">
        <v>0.0</v>
      </c>
      <c r="K30" s="86">
        <v>0.0</v>
      </c>
      <c r="L30" s="86">
        <v>0.0</v>
      </c>
      <c r="M30" s="86">
        <v>0.0</v>
      </c>
      <c r="N30" s="86">
        <v>0.0</v>
      </c>
      <c r="O30" s="86">
        <v>0.0</v>
      </c>
      <c r="P30" s="86">
        <v>0.0</v>
      </c>
      <c r="Q30" s="86">
        <v>0.0</v>
      </c>
      <c r="R30" s="86">
        <v>0.0</v>
      </c>
      <c r="S30" s="86">
        <v>0.0</v>
      </c>
      <c r="T30" s="86">
        <v>0.0</v>
      </c>
      <c r="U30" s="86">
        <v>0.0</v>
      </c>
      <c r="V30" s="86">
        <v>0.0</v>
      </c>
      <c r="W30" s="86">
        <v>0.0</v>
      </c>
      <c r="X30" s="86">
        <v>0.0</v>
      </c>
      <c r="Y30" s="86">
        <v>0.0</v>
      </c>
      <c r="Z30" s="86">
        <v>0.0</v>
      </c>
      <c r="AA30" s="86">
        <v>0.0</v>
      </c>
      <c r="AB30" s="86">
        <v>0.0</v>
      </c>
      <c r="AC30" s="86">
        <v>0.0</v>
      </c>
      <c r="AD30" s="86">
        <v>0.0</v>
      </c>
      <c r="AE30" s="86">
        <v>0.0</v>
      </c>
      <c r="AF30" s="86">
        <v>0.0</v>
      </c>
      <c r="AG30" s="86">
        <v>0.0</v>
      </c>
      <c r="AH30" s="86">
        <v>0.0</v>
      </c>
    </row>
    <row r="31" ht="14.25" customHeight="1">
      <c r="A31" s="107"/>
      <c r="B31" s="107"/>
      <c r="C31" s="86"/>
      <c r="D31" s="86">
        <v>0.0</v>
      </c>
      <c r="E31" s="86">
        <v>0.0</v>
      </c>
      <c r="F31" s="86">
        <v>0.0</v>
      </c>
      <c r="G31" s="86">
        <v>0.0</v>
      </c>
      <c r="H31" s="86">
        <v>0.0</v>
      </c>
      <c r="I31" s="86">
        <v>0.0</v>
      </c>
      <c r="J31" s="86">
        <v>0.0</v>
      </c>
      <c r="K31" s="86">
        <v>0.0</v>
      </c>
      <c r="L31" s="86">
        <v>0.0</v>
      </c>
      <c r="M31" s="86">
        <v>0.0</v>
      </c>
      <c r="N31" s="86">
        <v>0.0</v>
      </c>
      <c r="O31" s="86">
        <v>0.0</v>
      </c>
      <c r="P31" s="86">
        <v>0.0</v>
      </c>
      <c r="Q31" s="86">
        <v>0.0</v>
      </c>
      <c r="R31" s="86">
        <v>0.0</v>
      </c>
      <c r="S31" s="86">
        <v>0.0</v>
      </c>
      <c r="T31" s="86">
        <v>0.0</v>
      </c>
      <c r="U31" s="86">
        <v>0.0</v>
      </c>
      <c r="V31" s="86">
        <v>0.0</v>
      </c>
      <c r="W31" s="86">
        <v>0.0</v>
      </c>
      <c r="X31" s="86">
        <v>0.0</v>
      </c>
      <c r="Y31" s="86">
        <v>0.0</v>
      </c>
      <c r="Z31" s="86">
        <v>0.0</v>
      </c>
      <c r="AA31" s="86">
        <v>0.0</v>
      </c>
      <c r="AB31" s="86">
        <v>0.0</v>
      </c>
      <c r="AC31" s="86">
        <v>0.0</v>
      </c>
      <c r="AD31" s="86">
        <v>0.0</v>
      </c>
      <c r="AE31" s="86">
        <v>0.0</v>
      </c>
      <c r="AF31" s="86">
        <v>0.0</v>
      </c>
      <c r="AG31" s="86">
        <v>0.0</v>
      </c>
      <c r="AH31" s="86">
        <v>0.0</v>
      </c>
    </row>
    <row r="32" ht="14.25" customHeight="1">
      <c r="A32" s="107"/>
      <c r="B32" s="107"/>
      <c r="C32" s="86"/>
      <c r="D32" s="86">
        <v>0.0</v>
      </c>
      <c r="E32" s="86">
        <v>0.0</v>
      </c>
      <c r="F32" s="86">
        <v>0.0</v>
      </c>
      <c r="G32" s="86">
        <v>0.0</v>
      </c>
      <c r="H32" s="86">
        <v>0.0</v>
      </c>
      <c r="I32" s="86">
        <v>0.0</v>
      </c>
      <c r="J32" s="86">
        <v>0.0</v>
      </c>
      <c r="K32" s="86">
        <v>0.0</v>
      </c>
      <c r="L32" s="86">
        <v>0.0</v>
      </c>
      <c r="M32" s="86">
        <v>0.0</v>
      </c>
      <c r="N32" s="86">
        <v>0.0</v>
      </c>
      <c r="O32" s="86">
        <v>0.0</v>
      </c>
      <c r="P32" s="86">
        <v>0.0</v>
      </c>
      <c r="Q32" s="86">
        <v>0.0</v>
      </c>
      <c r="R32" s="86">
        <v>0.0</v>
      </c>
      <c r="S32" s="86">
        <v>0.0</v>
      </c>
      <c r="T32" s="86">
        <v>0.0</v>
      </c>
      <c r="U32" s="86">
        <v>0.0</v>
      </c>
      <c r="V32" s="86">
        <v>0.0</v>
      </c>
      <c r="W32" s="86">
        <v>0.0</v>
      </c>
      <c r="X32" s="86">
        <v>0.0</v>
      </c>
      <c r="Y32" s="86">
        <v>0.0</v>
      </c>
      <c r="Z32" s="86">
        <v>0.0</v>
      </c>
      <c r="AA32" s="86">
        <v>0.0</v>
      </c>
      <c r="AB32" s="86">
        <v>0.0</v>
      </c>
      <c r="AC32" s="86">
        <v>0.0</v>
      </c>
      <c r="AD32" s="86">
        <v>0.0</v>
      </c>
      <c r="AE32" s="86">
        <v>0.0</v>
      </c>
      <c r="AF32" s="86">
        <v>0.0</v>
      </c>
      <c r="AG32" s="86">
        <v>0.0</v>
      </c>
      <c r="AH32" s="86">
        <v>0.0</v>
      </c>
    </row>
    <row r="33" ht="14.25" customHeight="1">
      <c r="A33" s="107"/>
      <c r="B33" s="107"/>
      <c r="C33" s="86"/>
      <c r="D33" s="86">
        <v>0.0</v>
      </c>
      <c r="E33" s="86">
        <v>0.0</v>
      </c>
      <c r="F33" s="86">
        <v>0.0</v>
      </c>
      <c r="G33" s="86">
        <v>0.0</v>
      </c>
      <c r="H33" s="86">
        <v>0.0</v>
      </c>
      <c r="I33" s="86">
        <v>0.0</v>
      </c>
      <c r="J33" s="86">
        <v>0.0</v>
      </c>
      <c r="K33" s="86">
        <v>0.0</v>
      </c>
      <c r="L33" s="86">
        <v>0.0</v>
      </c>
      <c r="M33" s="86">
        <v>0.0</v>
      </c>
      <c r="N33" s="86">
        <v>0.0</v>
      </c>
      <c r="O33" s="86">
        <v>0.0</v>
      </c>
      <c r="P33" s="86">
        <v>0.0</v>
      </c>
      <c r="Q33" s="86">
        <v>0.0</v>
      </c>
      <c r="R33" s="86">
        <v>0.0</v>
      </c>
      <c r="S33" s="86">
        <v>0.0</v>
      </c>
      <c r="T33" s="86">
        <v>0.0</v>
      </c>
      <c r="U33" s="86">
        <v>0.0</v>
      </c>
      <c r="V33" s="86">
        <v>0.0</v>
      </c>
      <c r="W33" s="86">
        <v>0.0</v>
      </c>
      <c r="X33" s="86">
        <v>0.0</v>
      </c>
      <c r="Y33" s="86">
        <v>0.0</v>
      </c>
      <c r="Z33" s="86">
        <v>0.0</v>
      </c>
      <c r="AA33" s="86">
        <v>0.0</v>
      </c>
      <c r="AB33" s="86">
        <v>0.0</v>
      </c>
      <c r="AC33" s="86">
        <v>0.0</v>
      </c>
      <c r="AD33" s="86">
        <v>0.0</v>
      </c>
      <c r="AE33" s="86">
        <v>0.0</v>
      </c>
      <c r="AF33" s="86">
        <v>0.0</v>
      </c>
      <c r="AG33" s="86">
        <v>0.0</v>
      </c>
      <c r="AH33" s="86">
        <v>0.0</v>
      </c>
    </row>
    <row r="34" ht="14.25" customHeight="1">
      <c r="A34" s="107"/>
      <c r="B34" s="107"/>
      <c r="C34" s="86"/>
      <c r="D34" s="86">
        <v>0.0</v>
      </c>
      <c r="E34" s="86">
        <v>0.0</v>
      </c>
      <c r="F34" s="86">
        <v>0.0</v>
      </c>
      <c r="G34" s="86">
        <v>0.0</v>
      </c>
      <c r="H34" s="86">
        <v>0.0</v>
      </c>
      <c r="I34" s="86">
        <v>0.0</v>
      </c>
      <c r="J34" s="86">
        <v>0.0</v>
      </c>
      <c r="K34" s="86">
        <v>0.0</v>
      </c>
      <c r="L34" s="86">
        <v>0.0</v>
      </c>
      <c r="M34" s="86">
        <v>0.0</v>
      </c>
      <c r="N34" s="86">
        <v>0.0</v>
      </c>
      <c r="O34" s="86">
        <v>0.0</v>
      </c>
      <c r="P34" s="86">
        <v>0.0</v>
      </c>
      <c r="Q34" s="86">
        <v>0.0</v>
      </c>
      <c r="R34" s="86">
        <v>0.0</v>
      </c>
      <c r="S34" s="86">
        <v>0.0</v>
      </c>
      <c r="T34" s="86">
        <v>0.0</v>
      </c>
      <c r="U34" s="86">
        <v>0.0</v>
      </c>
      <c r="V34" s="86">
        <v>0.0</v>
      </c>
      <c r="W34" s="86">
        <v>0.0</v>
      </c>
      <c r="X34" s="86">
        <v>0.0</v>
      </c>
      <c r="Y34" s="86">
        <v>0.0</v>
      </c>
      <c r="Z34" s="86">
        <v>0.0</v>
      </c>
      <c r="AA34" s="86">
        <v>0.0</v>
      </c>
      <c r="AB34" s="86">
        <v>0.0</v>
      </c>
      <c r="AC34" s="86">
        <v>0.0</v>
      </c>
      <c r="AD34" s="86">
        <v>0.0</v>
      </c>
      <c r="AE34" s="86">
        <v>0.0</v>
      </c>
      <c r="AF34" s="86">
        <v>0.0</v>
      </c>
      <c r="AG34" s="86">
        <v>0.0</v>
      </c>
      <c r="AH34" s="86">
        <v>0.0</v>
      </c>
    </row>
    <row r="35" ht="14.25" customHeight="1">
      <c r="A35" s="107"/>
      <c r="B35" s="107"/>
      <c r="C35" s="86"/>
      <c r="D35" s="86">
        <v>0.0</v>
      </c>
      <c r="E35" s="86">
        <v>0.0</v>
      </c>
      <c r="F35" s="86">
        <v>0.0</v>
      </c>
      <c r="G35" s="86">
        <v>0.0</v>
      </c>
      <c r="H35" s="86">
        <v>0.0</v>
      </c>
      <c r="I35" s="86">
        <v>0.0</v>
      </c>
      <c r="J35" s="86">
        <v>0.0</v>
      </c>
      <c r="K35" s="86">
        <v>0.0</v>
      </c>
      <c r="L35" s="86">
        <v>0.0</v>
      </c>
      <c r="M35" s="86">
        <v>0.0</v>
      </c>
      <c r="N35" s="86">
        <v>0.0</v>
      </c>
      <c r="O35" s="86">
        <v>0.0</v>
      </c>
      <c r="P35" s="86">
        <v>0.0</v>
      </c>
      <c r="Q35" s="86">
        <v>0.0</v>
      </c>
      <c r="R35" s="86">
        <v>0.0</v>
      </c>
      <c r="S35" s="86">
        <v>0.0</v>
      </c>
      <c r="T35" s="86">
        <v>0.0</v>
      </c>
      <c r="U35" s="86">
        <v>0.0</v>
      </c>
      <c r="V35" s="86">
        <v>0.0</v>
      </c>
      <c r="W35" s="86">
        <v>0.0</v>
      </c>
      <c r="X35" s="86">
        <v>0.0</v>
      </c>
      <c r="Y35" s="86">
        <v>0.0</v>
      </c>
      <c r="Z35" s="86">
        <v>0.0</v>
      </c>
      <c r="AA35" s="86">
        <v>0.0</v>
      </c>
      <c r="AB35" s="86">
        <v>0.0</v>
      </c>
      <c r="AC35" s="86">
        <v>0.0</v>
      </c>
      <c r="AD35" s="86">
        <v>0.0</v>
      </c>
      <c r="AE35" s="86">
        <v>0.0</v>
      </c>
      <c r="AF35" s="86">
        <v>0.0</v>
      </c>
      <c r="AG35" s="86">
        <v>0.0</v>
      </c>
      <c r="AH35" s="86">
        <v>0.0</v>
      </c>
    </row>
    <row r="36" ht="14.25" customHeight="1">
      <c r="A36" s="107"/>
      <c r="B36" s="107"/>
      <c r="C36" s="86"/>
      <c r="D36" s="86">
        <v>0.0</v>
      </c>
      <c r="E36" s="86">
        <v>0.0</v>
      </c>
      <c r="F36" s="86">
        <v>0.0</v>
      </c>
      <c r="G36" s="86">
        <v>0.0</v>
      </c>
      <c r="H36" s="86">
        <v>0.0</v>
      </c>
      <c r="I36" s="86">
        <v>0.0</v>
      </c>
      <c r="J36" s="86">
        <v>0.0</v>
      </c>
      <c r="K36" s="86">
        <v>0.0</v>
      </c>
      <c r="L36" s="86">
        <v>0.0</v>
      </c>
      <c r="M36" s="86">
        <v>0.0</v>
      </c>
      <c r="N36" s="86">
        <v>0.0</v>
      </c>
      <c r="O36" s="86">
        <v>0.0</v>
      </c>
      <c r="P36" s="86">
        <v>0.0</v>
      </c>
      <c r="Q36" s="86">
        <v>0.0</v>
      </c>
      <c r="R36" s="86">
        <v>0.0</v>
      </c>
      <c r="S36" s="86">
        <v>0.0</v>
      </c>
      <c r="T36" s="86">
        <v>0.0</v>
      </c>
      <c r="U36" s="86">
        <v>0.0</v>
      </c>
      <c r="V36" s="86">
        <v>0.0</v>
      </c>
      <c r="W36" s="86">
        <v>0.0</v>
      </c>
      <c r="X36" s="86">
        <v>0.0</v>
      </c>
      <c r="Y36" s="86">
        <v>0.0</v>
      </c>
      <c r="Z36" s="86">
        <v>0.0</v>
      </c>
      <c r="AA36" s="86">
        <v>0.0</v>
      </c>
      <c r="AB36" s="86">
        <v>0.0</v>
      </c>
      <c r="AC36" s="86">
        <v>0.0</v>
      </c>
      <c r="AD36" s="86">
        <v>0.0</v>
      </c>
      <c r="AE36" s="86">
        <v>0.0</v>
      </c>
      <c r="AF36" s="86">
        <v>0.0</v>
      </c>
      <c r="AG36" s="86">
        <v>0.0</v>
      </c>
      <c r="AH36" s="86">
        <v>0.0</v>
      </c>
    </row>
    <row r="37" ht="14.25" customHeight="1">
      <c r="A37" s="107"/>
      <c r="B37" s="107"/>
      <c r="C37" s="86"/>
      <c r="D37" s="86">
        <v>0.0</v>
      </c>
      <c r="E37" s="86">
        <v>0.0</v>
      </c>
      <c r="F37" s="86">
        <v>0.0</v>
      </c>
      <c r="G37" s="86">
        <v>0.0</v>
      </c>
      <c r="H37" s="86">
        <v>0.0</v>
      </c>
      <c r="I37" s="86">
        <v>0.0</v>
      </c>
      <c r="J37" s="86">
        <v>0.0</v>
      </c>
      <c r="K37" s="86">
        <v>0.0</v>
      </c>
      <c r="L37" s="86">
        <v>0.0</v>
      </c>
      <c r="M37" s="86">
        <v>0.0</v>
      </c>
      <c r="N37" s="86">
        <v>0.0</v>
      </c>
      <c r="O37" s="86">
        <v>0.0</v>
      </c>
      <c r="P37" s="86">
        <v>0.0</v>
      </c>
      <c r="Q37" s="86">
        <v>0.0</v>
      </c>
      <c r="R37" s="86">
        <v>0.0</v>
      </c>
      <c r="S37" s="86">
        <v>0.0</v>
      </c>
      <c r="T37" s="86">
        <v>0.0</v>
      </c>
      <c r="U37" s="86">
        <v>0.0</v>
      </c>
      <c r="V37" s="86">
        <v>0.0</v>
      </c>
      <c r="W37" s="86">
        <v>0.0</v>
      </c>
      <c r="X37" s="86">
        <v>0.0</v>
      </c>
      <c r="Y37" s="86">
        <v>0.0</v>
      </c>
      <c r="Z37" s="86">
        <v>0.0</v>
      </c>
      <c r="AA37" s="86">
        <v>0.0</v>
      </c>
      <c r="AB37" s="86">
        <v>0.0</v>
      </c>
      <c r="AC37" s="86">
        <v>0.0</v>
      </c>
      <c r="AD37" s="86">
        <v>0.0</v>
      </c>
      <c r="AE37" s="86">
        <v>0.0</v>
      </c>
      <c r="AF37" s="86">
        <v>0.0</v>
      </c>
      <c r="AG37" s="86">
        <v>0.0</v>
      </c>
      <c r="AH37" s="86">
        <v>0.0</v>
      </c>
    </row>
    <row r="38" ht="14.25" customHeight="1">
      <c r="A38" s="107"/>
      <c r="B38" s="107"/>
      <c r="C38" s="86">
        <v>0.0</v>
      </c>
      <c r="D38" s="86">
        <v>0.0</v>
      </c>
      <c r="E38" s="86">
        <v>0.0</v>
      </c>
      <c r="F38" s="86">
        <v>0.0</v>
      </c>
      <c r="G38" s="86">
        <v>0.0</v>
      </c>
      <c r="H38" s="86">
        <v>0.0</v>
      </c>
      <c r="I38" s="86">
        <v>0.0</v>
      </c>
      <c r="J38" s="86">
        <v>0.0</v>
      </c>
      <c r="K38" s="86">
        <v>0.0</v>
      </c>
      <c r="L38" s="86">
        <v>0.0</v>
      </c>
      <c r="M38" s="86">
        <v>0.0</v>
      </c>
      <c r="N38" s="86">
        <v>0.0</v>
      </c>
      <c r="O38" s="86">
        <v>0.0</v>
      </c>
      <c r="P38" s="86">
        <v>0.0</v>
      </c>
      <c r="Q38" s="86">
        <v>0.0</v>
      </c>
      <c r="R38" s="86">
        <v>0.0</v>
      </c>
      <c r="S38" s="86">
        <v>0.0</v>
      </c>
      <c r="T38" s="86">
        <v>0.0</v>
      </c>
      <c r="U38" s="86">
        <v>0.0</v>
      </c>
      <c r="V38" s="86">
        <v>0.0</v>
      </c>
      <c r="W38" s="86">
        <v>0.0</v>
      </c>
      <c r="X38" s="86">
        <v>0.0</v>
      </c>
      <c r="Y38" s="86">
        <v>0.0</v>
      </c>
      <c r="Z38" s="86">
        <v>0.0</v>
      </c>
      <c r="AA38" s="86">
        <v>0.0</v>
      </c>
      <c r="AB38" s="86">
        <v>0.0</v>
      </c>
      <c r="AC38" s="86">
        <v>0.0</v>
      </c>
      <c r="AD38" s="86">
        <v>0.0</v>
      </c>
      <c r="AE38" s="86">
        <v>0.0</v>
      </c>
      <c r="AF38" s="86">
        <v>0.0</v>
      </c>
      <c r="AG38" s="86">
        <v>0.0</v>
      </c>
      <c r="AH38" s="86">
        <v>0.0</v>
      </c>
    </row>
    <row r="39" ht="14.25" customHeight="1">
      <c r="A39" s="107"/>
      <c r="B39" s="107"/>
      <c r="C39" s="86">
        <v>0.0</v>
      </c>
      <c r="D39" s="86">
        <v>0.0</v>
      </c>
      <c r="E39" s="86">
        <v>0.0</v>
      </c>
      <c r="F39" s="86">
        <v>0.0</v>
      </c>
      <c r="G39" s="86">
        <v>0.0</v>
      </c>
      <c r="H39" s="86">
        <v>0.0</v>
      </c>
      <c r="I39" s="86">
        <v>0.0</v>
      </c>
      <c r="J39" s="86">
        <v>0.0</v>
      </c>
      <c r="K39" s="86">
        <v>0.0</v>
      </c>
      <c r="L39" s="86">
        <v>0.0</v>
      </c>
      <c r="M39" s="86">
        <v>0.0</v>
      </c>
      <c r="N39" s="86">
        <v>0.0</v>
      </c>
      <c r="O39" s="86">
        <v>0.0</v>
      </c>
      <c r="P39" s="86">
        <v>0.0</v>
      </c>
      <c r="Q39" s="86">
        <v>0.0</v>
      </c>
      <c r="R39" s="86">
        <v>0.0</v>
      </c>
      <c r="S39" s="86">
        <v>0.0</v>
      </c>
      <c r="T39" s="86">
        <v>0.0</v>
      </c>
      <c r="U39" s="86">
        <v>0.0</v>
      </c>
      <c r="V39" s="86">
        <v>0.0</v>
      </c>
      <c r="W39" s="86">
        <v>0.0</v>
      </c>
      <c r="X39" s="86">
        <v>0.0</v>
      </c>
      <c r="Y39" s="86">
        <v>0.0</v>
      </c>
      <c r="Z39" s="86">
        <v>0.0</v>
      </c>
      <c r="AA39" s="86">
        <v>0.0</v>
      </c>
      <c r="AB39" s="86">
        <v>0.0</v>
      </c>
      <c r="AC39" s="86">
        <v>0.0</v>
      </c>
      <c r="AD39" s="86">
        <v>0.0</v>
      </c>
      <c r="AE39" s="86">
        <v>0.0</v>
      </c>
      <c r="AF39" s="86">
        <v>0.0</v>
      </c>
      <c r="AG39" s="86">
        <v>0.0</v>
      </c>
      <c r="AH39" s="86">
        <v>0.0</v>
      </c>
    </row>
    <row r="40" ht="14.25" customHeight="1">
      <c r="A40" s="112"/>
      <c r="B40" s="113" t="s">
        <v>35</v>
      </c>
      <c r="C40" s="114">
        <f>SUM(C2:C39)</f>
        <v>0</v>
      </c>
      <c r="D40" s="114">
        <f t="shared" ref="D40:AH40" si="1">SUM(D3:D39)</f>
        <v>0</v>
      </c>
      <c r="E40" s="114">
        <f t="shared" si="1"/>
        <v>0</v>
      </c>
      <c r="F40" s="114">
        <f t="shared" si="1"/>
        <v>0</v>
      </c>
      <c r="G40" s="114">
        <f t="shared" si="1"/>
        <v>0</v>
      </c>
      <c r="H40" s="114">
        <f t="shared" si="1"/>
        <v>0</v>
      </c>
      <c r="I40" s="114">
        <f t="shared" si="1"/>
        <v>0</v>
      </c>
      <c r="J40" s="114">
        <f t="shared" si="1"/>
        <v>0</v>
      </c>
      <c r="K40" s="114">
        <f t="shared" si="1"/>
        <v>0</v>
      </c>
      <c r="L40" s="114">
        <f t="shared" si="1"/>
        <v>0</v>
      </c>
      <c r="M40" s="114">
        <f t="shared" si="1"/>
        <v>0</v>
      </c>
      <c r="N40" s="114">
        <f t="shared" si="1"/>
        <v>0</v>
      </c>
      <c r="O40" s="114">
        <f t="shared" si="1"/>
        <v>0</v>
      </c>
      <c r="P40" s="114">
        <f t="shared" si="1"/>
        <v>0</v>
      </c>
      <c r="Q40" s="114">
        <f t="shared" si="1"/>
        <v>0</v>
      </c>
      <c r="R40" s="114">
        <f t="shared" si="1"/>
        <v>0</v>
      </c>
      <c r="S40" s="114">
        <f t="shared" si="1"/>
        <v>0</v>
      </c>
      <c r="T40" s="114">
        <f t="shared" si="1"/>
        <v>0</v>
      </c>
      <c r="U40" s="114">
        <f t="shared" si="1"/>
        <v>0</v>
      </c>
      <c r="V40" s="114">
        <f t="shared" si="1"/>
        <v>0</v>
      </c>
      <c r="W40" s="114">
        <f t="shared" si="1"/>
        <v>0</v>
      </c>
      <c r="X40" s="114">
        <f t="shared" si="1"/>
        <v>0</v>
      </c>
      <c r="Y40" s="114">
        <f t="shared" si="1"/>
        <v>0</v>
      </c>
      <c r="Z40" s="114">
        <f t="shared" si="1"/>
        <v>0</v>
      </c>
      <c r="AA40" s="114">
        <f t="shared" si="1"/>
        <v>0</v>
      </c>
      <c r="AB40" s="114">
        <f t="shared" si="1"/>
        <v>0</v>
      </c>
      <c r="AC40" s="114">
        <f t="shared" si="1"/>
        <v>0</v>
      </c>
      <c r="AD40" s="114">
        <f t="shared" si="1"/>
        <v>0</v>
      </c>
      <c r="AE40" s="114">
        <f t="shared" si="1"/>
        <v>0</v>
      </c>
      <c r="AF40" s="114">
        <f t="shared" si="1"/>
        <v>0</v>
      </c>
      <c r="AG40" s="114">
        <f t="shared" si="1"/>
        <v>0</v>
      </c>
      <c r="AH40" s="114">
        <f t="shared" si="1"/>
        <v>0</v>
      </c>
    </row>
    <row r="41" ht="14.25" customHeight="1">
      <c r="A41" s="107"/>
      <c r="B41" s="107" t="s">
        <v>66</v>
      </c>
      <c r="C41" s="86"/>
      <c r="D41" s="86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</row>
    <row r="42" ht="14.25" customHeight="1">
      <c r="A42" s="107"/>
      <c r="B42" s="107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</row>
    <row r="43" ht="14.25" customHeight="1">
      <c r="A43" s="107"/>
      <c r="B43" s="107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</row>
    <row r="44" ht="14.25" customHeight="1">
      <c r="A44" s="107"/>
      <c r="B44" s="107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</row>
    <row r="45" ht="14.25" customHeight="1">
      <c r="A45" s="107"/>
      <c r="B45" s="107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</row>
    <row r="46" ht="14.25" customHeight="1">
      <c r="A46" s="107"/>
      <c r="B46" s="107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</row>
    <row r="47" ht="14.25" customHeight="1">
      <c r="A47" s="107"/>
      <c r="B47" s="107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</row>
    <row r="48" ht="14.25" customHeight="1">
      <c r="A48" s="107"/>
      <c r="B48" s="107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</row>
    <row r="49" ht="14.25" customHeight="1">
      <c r="A49" s="107"/>
      <c r="B49" s="107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</row>
    <row r="50" ht="14.25" customHeight="1">
      <c r="A50" s="107"/>
      <c r="B50" s="107"/>
      <c r="C50" s="108"/>
      <c r="D50" s="107" t="s">
        <v>67</v>
      </c>
      <c r="E50" s="107"/>
      <c r="F50" s="86">
        <v>25000.0</v>
      </c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</row>
    <row r="51" ht="14.25" customHeight="1">
      <c r="A51" s="107"/>
      <c r="B51" s="107"/>
      <c r="C51" s="108"/>
      <c r="D51" s="107" t="s">
        <v>68</v>
      </c>
      <c r="E51" s="107"/>
      <c r="F51" s="86">
        <v>53924.0</v>
      </c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</row>
    <row r="52" ht="14.25" customHeight="1">
      <c r="A52" s="107"/>
      <c r="B52" s="107"/>
      <c r="C52" s="108"/>
      <c r="D52" s="107" t="s">
        <v>69</v>
      </c>
      <c r="E52" s="107"/>
      <c r="F52" s="86">
        <v>61400.0</v>
      </c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</row>
    <row r="53" ht="14.25" customHeight="1">
      <c r="A53" s="107"/>
      <c r="B53" s="107"/>
      <c r="C53" s="108"/>
      <c r="D53" s="107" t="s">
        <v>70</v>
      </c>
      <c r="E53" s="107"/>
      <c r="F53" s="86">
        <v>69587.0</v>
      </c>
      <c r="G53" s="108" t="s">
        <v>71</v>
      </c>
      <c r="H53" s="108">
        <v>356.5</v>
      </c>
      <c r="I53" s="108"/>
      <c r="J53" s="108"/>
      <c r="K53" s="108"/>
      <c r="L53" s="108"/>
      <c r="M53" s="108"/>
      <c r="N53" s="108"/>
      <c r="O53" s="108"/>
      <c r="P53" s="108"/>
      <c r="Q53" s="108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07"/>
      <c r="AE53" s="107"/>
      <c r="AF53" s="107"/>
      <c r="AG53" s="107"/>
      <c r="AH53" s="107"/>
    </row>
    <row r="54" ht="14.25" customHeight="1">
      <c r="A54" s="107"/>
      <c r="B54" s="107"/>
      <c r="C54" s="108"/>
      <c r="D54" s="107" t="s">
        <v>72</v>
      </c>
      <c r="E54" s="107"/>
      <c r="F54" s="86">
        <v>10000.0</v>
      </c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07"/>
      <c r="AE54" s="107"/>
      <c r="AF54" s="107"/>
      <c r="AG54" s="107"/>
      <c r="AH54" s="107"/>
    </row>
    <row r="55" ht="14.25" customHeight="1">
      <c r="A55" s="107"/>
      <c r="B55" s="107"/>
      <c r="C55" s="108"/>
      <c r="D55" s="107" t="s">
        <v>73</v>
      </c>
      <c r="E55" s="107"/>
      <c r="F55" s="86">
        <v>14648.0</v>
      </c>
      <c r="G55" s="108" t="s">
        <v>74</v>
      </c>
      <c r="H55" s="108">
        <v>356.5</v>
      </c>
      <c r="I55" s="108"/>
      <c r="J55" s="108"/>
      <c r="K55" s="108"/>
      <c r="L55" s="108"/>
      <c r="M55" s="108"/>
      <c r="N55" s="108"/>
      <c r="O55" s="108"/>
      <c r="P55" s="108"/>
      <c r="Q55" s="108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</row>
    <row r="56" ht="14.25" customHeight="1">
      <c r="A56" s="107"/>
      <c r="B56" s="107"/>
      <c r="C56" s="108"/>
      <c r="D56" s="107" t="s">
        <v>75</v>
      </c>
      <c r="E56" s="107"/>
      <c r="F56" s="86">
        <v>61739.0</v>
      </c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</row>
    <row r="57" ht="14.25" customHeight="1">
      <c r="A57" s="107"/>
      <c r="B57" s="107"/>
      <c r="C57" s="108"/>
      <c r="D57" s="107" t="s">
        <v>76</v>
      </c>
      <c r="E57" s="107"/>
      <c r="F57" s="86">
        <v>50000.0</v>
      </c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7"/>
      <c r="S57" s="107"/>
      <c r="T57" s="107"/>
      <c r="U57" s="107"/>
      <c r="V57" s="107"/>
      <c r="W57" s="107"/>
      <c r="X57" s="107"/>
      <c r="Y57" s="107"/>
      <c r="Z57" s="107"/>
      <c r="AA57" s="107"/>
      <c r="AB57" s="107"/>
      <c r="AC57" s="107"/>
      <c r="AD57" s="107"/>
      <c r="AE57" s="107"/>
      <c r="AF57" s="107"/>
      <c r="AG57" s="107"/>
      <c r="AH57" s="107"/>
    </row>
    <row r="58" ht="14.25" customHeight="1">
      <c r="A58" s="107"/>
      <c r="B58" s="107"/>
      <c r="C58" s="108"/>
      <c r="D58" s="107" t="s">
        <v>77</v>
      </c>
      <c r="E58" s="107"/>
      <c r="F58" s="86">
        <v>5200.0</v>
      </c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07"/>
      <c r="AE58" s="107"/>
      <c r="AF58" s="107"/>
      <c r="AG58" s="107"/>
      <c r="AH58" s="107"/>
    </row>
    <row r="59" ht="14.25" customHeight="1">
      <c r="A59" s="107"/>
      <c r="B59" s="107"/>
      <c r="C59" s="108"/>
      <c r="D59" s="107" t="s">
        <v>78</v>
      </c>
      <c r="E59" s="107"/>
      <c r="F59" s="86">
        <v>57400.0</v>
      </c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</row>
    <row r="60" ht="14.25" customHeight="1">
      <c r="A60" s="107"/>
      <c r="B60" s="107"/>
      <c r="C60" s="108"/>
      <c r="D60" s="107" t="s">
        <v>79</v>
      </c>
      <c r="E60" s="107"/>
      <c r="F60" s="86">
        <v>71832.0</v>
      </c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</row>
    <row r="61" ht="14.25" customHeight="1">
      <c r="A61" s="107"/>
      <c r="B61" s="107"/>
      <c r="C61" s="108"/>
      <c r="D61" s="107" t="s">
        <v>80</v>
      </c>
      <c r="E61" s="107"/>
      <c r="F61" s="86">
        <v>60000.0</v>
      </c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7"/>
      <c r="AH61" s="107"/>
    </row>
    <row r="62" ht="14.25" customHeight="1">
      <c r="A62" s="107"/>
      <c r="B62" s="107"/>
      <c r="C62" s="108"/>
      <c r="D62" s="107" t="s">
        <v>81</v>
      </c>
      <c r="E62" s="107"/>
      <c r="F62" s="86">
        <v>20200.0</v>
      </c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</row>
    <row r="63" ht="14.25" customHeight="1">
      <c r="A63" s="107"/>
      <c r="B63" s="107"/>
      <c r="C63" s="108"/>
      <c r="D63" s="107" t="s">
        <v>82</v>
      </c>
      <c r="E63" s="107"/>
      <c r="F63" s="86">
        <v>22665.0</v>
      </c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</row>
    <row r="64" ht="14.25" customHeight="1">
      <c r="A64" s="107"/>
      <c r="B64" s="107"/>
      <c r="C64" s="108"/>
      <c r="D64" s="107" t="s">
        <v>83</v>
      </c>
      <c r="E64" s="107"/>
      <c r="F64" s="86">
        <v>14500.0</v>
      </c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</row>
    <row r="65" ht="14.25" customHeight="1">
      <c r="A65" s="107"/>
      <c r="B65" s="107"/>
      <c r="C65" s="108"/>
      <c r="D65" s="107" t="s">
        <v>84</v>
      </c>
      <c r="E65" s="107"/>
      <c r="F65" s="86">
        <v>115527.0</v>
      </c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</row>
    <row r="66" ht="14.25" customHeight="1">
      <c r="A66" s="107"/>
      <c r="B66" s="107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</row>
    <row r="67" ht="14.25" customHeight="1">
      <c r="A67" s="107"/>
      <c r="B67" s="107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</row>
    <row r="68" ht="14.25" customHeight="1">
      <c r="A68" s="107"/>
      <c r="B68" s="107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</row>
    <row r="69" ht="14.25" customHeight="1">
      <c r="A69" s="107"/>
      <c r="B69" s="107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</row>
    <row r="70" ht="14.25" customHeight="1">
      <c r="A70" s="107"/>
      <c r="B70" s="107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</row>
    <row r="71" ht="14.25" customHeight="1">
      <c r="A71" s="107"/>
      <c r="B71" s="107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</row>
    <row r="72" ht="14.25" customHeight="1">
      <c r="A72" s="107"/>
      <c r="B72" s="107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</row>
    <row r="73" ht="14.25" customHeight="1">
      <c r="A73" s="107"/>
      <c r="B73" s="107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</row>
    <row r="74" ht="14.25" customHeight="1">
      <c r="A74" s="107"/>
      <c r="B74" s="107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</row>
    <row r="75" ht="14.25" customHeight="1">
      <c r="A75" s="107"/>
      <c r="B75" s="107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</row>
    <row r="76" ht="14.25" customHeight="1">
      <c r="A76" s="107"/>
      <c r="B76" s="107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</row>
    <row r="77" ht="14.25" customHeight="1">
      <c r="A77" s="107"/>
      <c r="B77" s="107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</row>
    <row r="78" ht="14.25" customHeight="1">
      <c r="A78" s="107"/>
      <c r="B78" s="107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</row>
    <row r="79" ht="14.25" customHeight="1">
      <c r="A79" s="107"/>
      <c r="B79" s="107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</row>
    <row r="80" ht="14.25" customHeight="1">
      <c r="A80" s="107"/>
      <c r="B80" s="107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</row>
    <row r="81" ht="14.25" customHeight="1">
      <c r="A81" s="107"/>
      <c r="B81" s="107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</row>
    <row r="82" ht="14.25" customHeight="1">
      <c r="A82" s="107"/>
      <c r="B82" s="107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7"/>
      <c r="S82" s="107"/>
      <c r="T82" s="107"/>
      <c r="U82" s="107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  <c r="AF82" s="107"/>
      <c r="AG82" s="107"/>
      <c r="AH82" s="107"/>
    </row>
    <row r="83" ht="14.25" customHeight="1">
      <c r="A83" s="107"/>
      <c r="B83" s="107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</row>
    <row r="84" ht="14.25" customHeight="1">
      <c r="A84" s="107"/>
      <c r="B84" s="107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</row>
    <row r="85" ht="14.25" customHeight="1">
      <c r="A85" s="107"/>
      <c r="B85" s="107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7"/>
      <c r="S85" s="107"/>
      <c r="T85" s="107"/>
      <c r="U85" s="107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</row>
    <row r="86" ht="14.25" customHeight="1">
      <c r="A86" s="107"/>
      <c r="B86" s="107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  <c r="AF86" s="107"/>
      <c r="AG86" s="107"/>
      <c r="AH86" s="107"/>
    </row>
    <row r="87" ht="14.25" customHeight="1">
      <c r="A87" s="107"/>
      <c r="B87" s="107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7"/>
      <c r="S87" s="107"/>
      <c r="T87" s="107"/>
      <c r="U87" s="107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</row>
    <row r="88" ht="14.25" customHeight="1">
      <c r="A88" s="107"/>
      <c r="B88" s="107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7"/>
      <c r="S88" s="107"/>
      <c r="T88" s="107"/>
      <c r="U88" s="107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</row>
    <row r="89" ht="14.25" customHeight="1">
      <c r="A89" s="107"/>
      <c r="B89" s="107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7"/>
      <c r="S89" s="107"/>
      <c r="T89" s="107"/>
      <c r="U89" s="107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</row>
    <row r="90" ht="14.25" customHeight="1">
      <c r="A90" s="107"/>
      <c r="B90" s="107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7"/>
      <c r="S90" s="107"/>
      <c r="T90" s="107"/>
      <c r="U90" s="107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</row>
    <row r="91" ht="14.25" customHeight="1">
      <c r="A91" s="107"/>
      <c r="B91" s="107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7"/>
      <c r="S91" s="107"/>
      <c r="T91" s="107"/>
      <c r="U91" s="107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</row>
    <row r="92" ht="14.25" customHeight="1">
      <c r="A92" s="107"/>
      <c r="B92" s="107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7"/>
      <c r="S92" s="107"/>
      <c r="T92" s="107"/>
      <c r="U92" s="107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</row>
    <row r="93" ht="14.25" customHeight="1">
      <c r="A93" s="107"/>
      <c r="B93" s="107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  <c r="AF93" s="107"/>
      <c r="AG93" s="107"/>
      <c r="AH93" s="107"/>
    </row>
    <row r="94" ht="14.25" customHeight="1">
      <c r="A94" s="107"/>
      <c r="B94" s="107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  <c r="AF94" s="107"/>
      <c r="AG94" s="107"/>
      <c r="AH94" s="107"/>
    </row>
    <row r="95" ht="14.25" customHeight="1">
      <c r="A95" s="107"/>
      <c r="B95" s="107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</row>
    <row r="96" ht="14.25" customHeight="1">
      <c r="A96" s="107"/>
      <c r="B96" s="107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  <c r="AF96" s="107"/>
      <c r="AG96" s="107"/>
      <c r="AH96" s="107"/>
    </row>
    <row r="97" ht="14.25" customHeight="1">
      <c r="A97" s="107"/>
      <c r="B97" s="107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7"/>
      <c r="S97" s="107"/>
      <c r="T97" s="107"/>
      <c r="U97" s="107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  <c r="AF97" s="107"/>
      <c r="AG97" s="107"/>
      <c r="AH97" s="107"/>
    </row>
    <row r="98" ht="14.25" customHeight="1">
      <c r="A98" s="107"/>
      <c r="B98" s="107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7"/>
      <c r="S98" s="107"/>
      <c r="T98" s="107"/>
      <c r="U98" s="107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</row>
    <row r="99" ht="14.25" customHeight="1">
      <c r="A99" s="107"/>
      <c r="B99" s="107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  <c r="AF99" s="107"/>
      <c r="AG99" s="107"/>
      <c r="AH99" s="107"/>
    </row>
    <row r="100" ht="14.25" customHeight="1">
      <c r="A100" s="107"/>
      <c r="B100" s="107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</row>
    <row r="101" ht="14.25" customHeight="1">
      <c r="A101" s="107"/>
      <c r="B101" s="107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</row>
    <row r="102" ht="14.25" customHeight="1">
      <c r="A102" s="107"/>
      <c r="B102" s="107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</row>
    <row r="103" ht="14.25" customHeight="1">
      <c r="A103" s="107"/>
      <c r="B103" s="107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  <c r="AF103" s="107"/>
      <c r="AG103" s="107"/>
      <c r="AH103" s="107"/>
    </row>
    <row r="104" ht="14.25" customHeight="1">
      <c r="A104" s="107"/>
      <c r="B104" s="107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  <c r="AF104" s="107"/>
      <c r="AG104" s="107"/>
      <c r="AH104" s="107"/>
    </row>
    <row r="105" ht="14.25" customHeight="1">
      <c r="A105" s="107"/>
      <c r="B105" s="107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  <c r="AF105" s="107"/>
      <c r="AG105" s="107"/>
      <c r="AH105" s="107"/>
    </row>
    <row r="106" ht="14.25" customHeight="1">
      <c r="A106" s="107"/>
      <c r="B106" s="107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  <c r="AF106" s="107"/>
      <c r="AG106" s="107"/>
      <c r="AH106" s="107"/>
    </row>
    <row r="107" ht="14.25" customHeight="1">
      <c r="A107" s="107"/>
      <c r="B107" s="107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</row>
    <row r="108" ht="14.25" customHeight="1">
      <c r="A108" s="107"/>
      <c r="B108" s="107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</row>
    <row r="109" ht="14.25" customHeight="1">
      <c r="A109" s="107"/>
      <c r="B109" s="107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  <c r="AF109" s="107"/>
      <c r="AG109" s="107"/>
      <c r="AH109" s="107"/>
    </row>
    <row r="110" ht="14.25" customHeight="1">
      <c r="A110" s="107"/>
      <c r="B110" s="107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7"/>
    </row>
    <row r="111" ht="14.25" customHeight="1">
      <c r="A111" s="107"/>
      <c r="B111" s="107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07"/>
      <c r="AE111" s="107"/>
      <c r="AF111" s="107"/>
      <c r="AG111" s="107"/>
      <c r="AH111" s="107"/>
    </row>
    <row r="112" ht="14.25" customHeight="1">
      <c r="A112" s="107"/>
      <c r="B112" s="107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</row>
    <row r="113" ht="14.25" customHeight="1">
      <c r="A113" s="107"/>
      <c r="B113" s="107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</row>
    <row r="114" ht="14.25" customHeight="1">
      <c r="A114" s="107"/>
      <c r="B114" s="107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7"/>
      <c r="AB114" s="107"/>
      <c r="AC114" s="107"/>
      <c r="AD114" s="107"/>
      <c r="AE114" s="107"/>
      <c r="AF114" s="107"/>
      <c r="AG114" s="107"/>
      <c r="AH114" s="107"/>
    </row>
    <row r="115" ht="14.25" customHeight="1">
      <c r="A115" s="107"/>
      <c r="B115" s="107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7"/>
      <c r="AB115" s="107"/>
      <c r="AC115" s="107"/>
      <c r="AD115" s="107"/>
      <c r="AE115" s="107"/>
      <c r="AF115" s="107"/>
      <c r="AG115" s="107"/>
      <c r="AH115" s="107"/>
    </row>
    <row r="116" ht="14.25" customHeight="1">
      <c r="A116" s="107"/>
      <c r="B116" s="107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07"/>
      <c r="AE116" s="107"/>
      <c r="AF116" s="107"/>
      <c r="AG116" s="107"/>
      <c r="AH116" s="107"/>
    </row>
    <row r="117" ht="14.25" customHeight="1">
      <c r="A117" s="107"/>
      <c r="B117" s="107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7"/>
      <c r="AB117" s="107"/>
      <c r="AC117" s="107"/>
      <c r="AD117" s="107"/>
      <c r="AE117" s="107"/>
      <c r="AF117" s="107"/>
      <c r="AG117" s="107"/>
      <c r="AH117" s="107"/>
    </row>
    <row r="118" ht="14.25" customHeight="1">
      <c r="A118" s="107"/>
      <c r="B118" s="107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07"/>
      <c r="AE118" s="107"/>
      <c r="AF118" s="107"/>
      <c r="AG118" s="107"/>
      <c r="AH118" s="107"/>
    </row>
    <row r="119" ht="14.25" customHeight="1">
      <c r="A119" s="107"/>
      <c r="B119" s="107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</row>
    <row r="120" ht="14.25" customHeight="1">
      <c r="A120" s="107"/>
      <c r="B120" s="107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7"/>
      <c r="AB120" s="107"/>
      <c r="AC120" s="107"/>
      <c r="AD120" s="107"/>
      <c r="AE120" s="107"/>
      <c r="AF120" s="107"/>
      <c r="AG120" s="107"/>
      <c r="AH120" s="107"/>
    </row>
    <row r="121" ht="14.25" customHeight="1">
      <c r="A121" s="107"/>
      <c r="B121" s="107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7"/>
      <c r="AH121" s="107"/>
    </row>
    <row r="122" ht="14.25" customHeight="1">
      <c r="A122" s="107"/>
      <c r="B122" s="107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7"/>
      <c r="AB122" s="107"/>
      <c r="AC122" s="107"/>
      <c r="AD122" s="107"/>
      <c r="AE122" s="107"/>
      <c r="AF122" s="107"/>
      <c r="AG122" s="107"/>
      <c r="AH122" s="107"/>
    </row>
    <row r="123" ht="14.25" customHeight="1">
      <c r="A123" s="107"/>
      <c r="B123" s="107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</row>
    <row r="124" ht="14.25" customHeight="1">
      <c r="A124" s="107"/>
      <c r="B124" s="107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7"/>
      <c r="AB124" s="107"/>
      <c r="AC124" s="107"/>
      <c r="AD124" s="107"/>
      <c r="AE124" s="107"/>
      <c r="AF124" s="107"/>
      <c r="AG124" s="107"/>
      <c r="AH124" s="107"/>
    </row>
    <row r="125" ht="14.25" customHeight="1">
      <c r="A125" s="107"/>
      <c r="B125" s="107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07"/>
      <c r="AE125" s="107"/>
      <c r="AF125" s="107"/>
      <c r="AG125" s="107"/>
      <c r="AH125" s="107"/>
    </row>
    <row r="126" ht="14.25" customHeight="1">
      <c r="A126" s="107"/>
      <c r="B126" s="107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07"/>
      <c r="AE126" s="107"/>
      <c r="AF126" s="107"/>
      <c r="AG126" s="107"/>
      <c r="AH126" s="107"/>
    </row>
    <row r="127" ht="14.25" customHeight="1">
      <c r="A127" s="107"/>
      <c r="B127" s="107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7"/>
      <c r="AB127" s="107"/>
      <c r="AC127" s="107"/>
      <c r="AD127" s="107"/>
      <c r="AE127" s="107"/>
      <c r="AF127" s="107"/>
      <c r="AG127" s="107"/>
      <c r="AH127" s="107"/>
    </row>
    <row r="128" ht="14.25" customHeight="1">
      <c r="A128" s="107"/>
      <c r="B128" s="107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07"/>
      <c r="AE128" s="107"/>
      <c r="AF128" s="107"/>
      <c r="AG128" s="107"/>
      <c r="AH128" s="107"/>
    </row>
    <row r="129" ht="14.25" customHeight="1">
      <c r="A129" s="107"/>
      <c r="B129" s="107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7"/>
      <c r="AB129" s="107"/>
      <c r="AC129" s="107"/>
      <c r="AD129" s="107"/>
      <c r="AE129" s="107"/>
      <c r="AF129" s="107"/>
      <c r="AG129" s="107"/>
      <c r="AH129" s="107"/>
    </row>
    <row r="130" ht="14.25" customHeight="1">
      <c r="A130" s="107"/>
      <c r="B130" s="107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7"/>
      <c r="AB130" s="107"/>
      <c r="AC130" s="107"/>
      <c r="AD130" s="107"/>
      <c r="AE130" s="107"/>
      <c r="AF130" s="107"/>
      <c r="AG130" s="107"/>
      <c r="AH130" s="107"/>
    </row>
    <row r="131" ht="14.25" customHeight="1">
      <c r="A131" s="107"/>
      <c r="B131" s="107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</row>
    <row r="132" ht="14.25" customHeight="1">
      <c r="A132" s="107"/>
      <c r="B132" s="107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07"/>
      <c r="AE132" s="107"/>
      <c r="AF132" s="107"/>
      <c r="AG132" s="107"/>
      <c r="AH132" s="107"/>
    </row>
    <row r="133" ht="14.25" customHeight="1">
      <c r="A133" s="107"/>
      <c r="B133" s="107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7"/>
      <c r="AB133" s="107"/>
      <c r="AC133" s="107"/>
      <c r="AD133" s="107"/>
      <c r="AE133" s="107"/>
      <c r="AF133" s="107"/>
      <c r="AG133" s="107"/>
      <c r="AH133" s="107"/>
    </row>
    <row r="134" ht="14.25" customHeight="1">
      <c r="A134" s="107"/>
      <c r="B134" s="107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</row>
    <row r="135" ht="14.25" customHeight="1">
      <c r="A135" s="107"/>
      <c r="B135" s="107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7"/>
      <c r="AB135" s="107"/>
      <c r="AC135" s="107"/>
      <c r="AD135" s="107"/>
      <c r="AE135" s="107"/>
      <c r="AF135" s="107"/>
      <c r="AG135" s="107"/>
      <c r="AH135" s="107"/>
    </row>
    <row r="136" ht="14.25" customHeight="1">
      <c r="A136" s="107"/>
      <c r="B136" s="107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7"/>
      <c r="AB136" s="107"/>
      <c r="AC136" s="107"/>
      <c r="AD136" s="107"/>
      <c r="AE136" s="107"/>
      <c r="AF136" s="107"/>
      <c r="AG136" s="107"/>
      <c r="AH136" s="107"/>
    </row>
    <row r="137" ht="14.25" customHeight="1">
      <c r="A137" s="107"/>
      <c r="B137" s="107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7"/>
      <c r="S137" s="107"/>
      <c r="T137" s="107"/>
      <c r="U137" s="107"/>
      <c r="V137" s="107"/>
      <c r="W137" s="107"/>
      <c r="X137" s="107"/>
      <c r="Y137" s="107"/>
      <c r="Z137" s="107"/>
      <c r="AA137" s="107"/>
      <c r="AB137" s="107"/>
      <c r="AC137" s="107"/>
      <c r="AD137" s="107"/>
      <c r="AE137" s="107"/>
      <c r="AF137" s="107"/>
      <c r="AG137" s="107"/>
      <c r="AH137" s="107"/>
    </row>
    <row r="138" ht="14.25" customHeight="1">
      <c r="A138" s="107"/>
      <c r="B138" s="107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07"/>
      <c r="AE138" s="107"/>
      <c r="AF138" s="107"/>
      <c r="AG138" s="107"/>
      <c r="AH138" s="107"/>
    </row>
    <row r="139" ht="14.25" customHeight="1">
      <c r="A139" s="107"/>
      <c r="B139" s="107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</row>
    <row r="140" ht="14.25" customHeight="1">
      <c r="A140" s="107"/>
      <c r="B140" s="107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</row>
    <row r="141" ht="14.25" customHeight="1">
      <c r="A141" s="107"/>
      <c r="B141" s="107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7"/>
      <c r="S141" s="107"/>
      <c r="T141" s="107"/>
      <c r="U141" s="107"/>
      <c r="V141" s="107"/>
      <c r="W141" s="107"/>
      <c r="X141" s="107"/>
      <c r="Y141" s="107"/>
      <c r="Z141" s="107"/>
      <c r="AA141" s="107"/>
      <c r="AB141" s="107"/>
      <c r="AC141" s="107"/>
      <c r="AD141" s="107"/>
      <c r="AE141" s="107"/>
      <c r="AF141" s="107"/>
      <c r="AG141" s="107"/>
      <c r="AH141" s="107"/>
    </row>
    <row r="142" ht="14.25" customHeight="1">
      <c r="A142" s="107"/>
      <c r="B142" s="107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7"/>
      <c r="AF142" s="107"/>
      <c r="AG142" s="107"/>
      <c r="AH142" s="107"/>
    </row>
    <row r="143" ht="14.25" customHeight="1">
      <c r="A143" s="107"/>
      <c r="B143" s="107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7"/>
      <c r="AF143" s="107"/>
      <c r="AG143" s="107"/>
      <c r="AH143" s="107"/>
    </row>
    <row r="144" ht="14.25" customHeight="1">
      <c r="A144" s="107"/>
      <c r="B144" s="107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</row>
    <row r="145" ht="14.25" customHeight="1">
      <c r="A145" s="107"/>
      <c r="B145" s="107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</row>
    <row r="146" ht="14.25" customHeight="1">
      <c r="A146" s="107"/>
      <c r="B146" s="107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</row>
    <row r="147" ht="14.25" customHeight="1">
      <c r="A147" s="107"/>
      <c r="B147" s="107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7"/>
      <c r="S147" s="107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</row>
    <row r="148" ht="14.25" customHeight="1">
      <c r="A148" s="107"/>
      <c r="B148" s="107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7"/>
      <c r="S148" s="107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</row>
    <row r="149" ht="14.25" customHeight="1">
      <c r="A149" s="107"/>
      <c r="B149" s="107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7"/>
      <c r="S149" s="107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</row>
    <row r="150" ht="14.25" customHeight="1">
      <c r="A150" s="107"/>
      <c r="B150" s="107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</row>
    <row r="151" ht="14.25" customHeight="1">
      <c r="A151" s="107"/>
      <c r="B151" s="107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7"/>
      <c r="S151" s="107"/>
      <c r="T151" s="107"/>
      <c r="U151" s="107"/>
      <c r="V151" s="107"/>
      <c r="W151" s="107"/>
      <c r="X151" s="107"/>
      <c r="Y151" s="107"/>
      <c r="Z151" s="107"/>
      <c r="AA151" s="107"/>
      <c r="AB151" s="107"/>
      <c r="AC151" s="107"/>
      <c r="AD151" s="107"/>
      <c r="AE151" s="107"/>
      <c r="AF151" s="107"/>
      <c r="AG151" s="107"/>
      <c r="AH151" s="107"/>
    </row>
    <row r="152" ht="14.25" customHeight="1">
      <c r="A152" s="107"/>
      <c r="B152" s="107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07"/>
      <c r="AE152" s="107"/>
      <c r="AF152" s="107"/>
      <c r="AG152" s="107"/>
      <c r="AH152" s="107"/>
    </row>
    <row r="153" ht="14.25" customHeight="1">
      <c r="A153" s="107"/>
      <c r="B153" s="107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</row>
    <row r="154" ht="14.25" customHeight="1">
      <c r="A154" s="107"/>
      <c r="B154" s="107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7"/>
      <c r="AF154" s="107"/>
      <c r="AG154" s="107"/>
      <c r="AH154" s="107"/>
    </row>
    <row r="155" ht="14.25" customHeight="1">
      <c r="A155" s="107"/>
      <c r="B155" s="107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7"/>
      <c r="S155" s="107"/>
      <c r="T155" s="107"/>
      <c r="U155" s="107"/>
      <c r="V155" s="107"/>
      <c r="W155" s="107"/>
      <c r="X155" s="107"/>
      <c r="Y155" s="107"/>
      <c r="Z155" s="107"/>
      <c r="AA155" s="107"/>
      <c r="AB155" s="107"/>
      <c r="AC155" s="107"/>
      <c r="AD155" s="107"/>
      <c r="AE155" s="107"/>
      <c r="AF155" s="107"/>
      <c r="AG155" s="107"/>
      <c r="AH155" s="107"/>
    </row>
    <row r="156" ht="14.25" customHeight="1">
      <c r="A156" s="107"/>
      <c r="B156" s="107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07"/>
      <c r="AE156" s="107"/>
      <c r="AF156" s="107"/>
      <c r="AG156" s="107"/>
      <c r="AH156" s="107"/>
    </row>
    <row r="157" ht="14.25" customHeight="1">
      <c r="A157" s="107"/>
      <c r="B157" s="107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7"/>
      <c r="S157" s="107"/>
      <c r="T157" s="107"/>
      <c r="U157" s="107"/>
      <c r="V157" s="107"/>
      <c r="W157" s="107"/>
      <c r="X157" s="107"/>
      <c r="Y157" s="107"/>
      <c r="Z157" s="107"/>
      <c r="AA157" s="107"/>
      <c r="AB157" s="107"/>
      <c r="AC157" s="107"/>
      <c r="AD157" s="107"/>
      <c r="AE157" s="107"/>
      <c r="AF157" s="107"/>
      <c r="AG157" s="107"/>
      <c r="AH157" s="107"/>
    </row>
    <row r="158" ht="14.25" customHeight="1">
      <c r="A158" s="107"/>
      <c r="B158" s="107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07"/>
      <c r="AE158" s="107"/>
      <c r="AF158" s="107"/>
      <c r="AG158" s="107"/>
      <c r="AH158" s="107"/>
    </row>
    <row r="159" ht="14.25" customHeight="1">
      <c r="A159" s="107"/>
      <c r="B159" s="107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7"/>
      <c r="S159" s="107"/>
      <c r="T159" s="107"/>
      <c r="U159" s="107"/>
      <c r="V159" s="107"/>
      <c r="W159" s="107"/>
      <c r="X159" s="107"/>
      <c r="Y159" s="107"/>
      <c r="Z159" s="107"/>
      <c r="AA159" s="107"/>
      <c r="AB159" s="107"/>
      <c r="AC159" s="107"/>
      <c r="AD159" s="107"/>
      <c r="AE159" s="107"/>
      <c r="AF159" s="107"/>
      <c r="AG159" s="107"/>
      <c r="AH159" s="107"/>
    </row>
    <row r="160" ht="14.25" customHeight="1">
      <c r="A160" s="107"/>
      <c r="B160" s="107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7"/>
      <c r="S160" s="107"/>
      <c r="T160" s="107"/>
      <c r="U160" s="107"/>
      <c r="V160" s="107"/>
      <c r="W160" s="107"/>
      <c r="X160" s="107"/>
      <c r="Y160" s="107"/>
      <c r="Z160" s="107"/>
      <c r="AA160" s="107"/>
      <c r="AB160" s="107"/>
      <c r="AC160" s="107"/>
      <c r="AD160" s="107"/>
      <c r="AE160" s="107"/>
      <c r="AF160" s="107"/>
      <c r="AG160" s="107"/>
      <c r="AH160" s="107"/>
    </row>
    <row r="161" ht="14.25" customHeight="1">
      <c r="A161" s="107"/>
      <c r="B161" s="107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7"/>
      <c r="S161" s="107"/>
      <c r="T161" s="107"/>
      <c r="U161" s="107"/>
      <c r="V161" s="107"/>
      <c r="W161" s="107"/>
      <c r="X161" s="107"/>
      <c r="Y161" s="107"/>
      <c r="Z161" s="107"/>
      <c r="AA161" s="107"/>
      <c r="AB161" s="107"/>
      <c r="AC161" s="107"/>
      <c r="AD161" s="107"/>
      <c r="AE161" s="107"/>
      <c r="AF161" s="107"/>
      <c r="AG161" s="107"/>
      <c r="AH161" s="107"/>
    </row>
    <row r="162" ht="14.25" customHeight="1">
      <c r="A162" s="107"/>
      <c r="B162" s="107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7"/>
      <c r="S162" s="107"/>
      <c r="T162" s="107"/>
      <c r="U162" s="107"/>
      <c r="V162" s="107"/>
      <c r="W162" s="107"/>
      <c r="X162" s="107"/>
      <c r="Y162" s="107"/>
      <c r="Z162" s="107"/>
      <c r="AA162" s="107"/>
      <c r="AB162" s="107"/>
      <c r="AC162" s="107"/>
      <c r="AD162" s="107"/>
      <c r="AE162" s="107"/>
      <c r="AF162" s="107"/>
      <c r="AG162" s="107"/>
      <c r="AH162" s="107"/>
    </row>
    <row r="163" ht="14.25" customHeight="1">
      <c r="A163" s="107"/>
      <c r="B163" s="107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</row>
    <row r="164" ht="14.25" customHeight="1">
      <c r="A164" s="107"/>
      <c r="B164" s="107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7"/>
    </row>
    <row r="165" ht="14.25" customHeight="1">
      <c r="A165" s="107"/>
      <c r="B165" s="107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7"/>
      <c r="S165" s="107"/>
      <c r="T165" s="107"/>
      <c r="U165" s="107"/>
      <c r="V165" s="107"/>
      <c r="W165" s="107"/>
      <c r="X165" s="107"/>
      <c r="Y165" s="107"/>
      <c r="Z165" s="107"/>
      <c r="AA165" s="107"/>
      <c r="AB165" s="107"/>
      <c r="AC165" s="107"/>
      <c r="AD165" s="107"/>
      <c r="AE165" s="107"/>
      <c r="AF165" s="107"/>
      <c r="AG165" s="107"/>
      <c r="AH165" s="107"/>
    </row>
    <row r="166" ht="14.25" customHeight="1">
      <c r="A166" s="107"/>
      <c r="B166" s="107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7"/>
      <c r="S166" s="107"/>
      <c r="T166" s="107"/>
      <c r="U166" s="107"/>
      <c r="V166" s="107"/>
      <c r="W166" s="107"/>
      <c r="X166" s="107"/>
      <c r="Y166" s="107"/>
      <c r="Z166" s="107"/>
      <c r="AA166" s="107"/>
      <c r="AB166" s="107"/>
      <c r="AC166" s="107"/>
      <c r="AD166" s="107"/>
      <c r="AE166" s="107"/>
      <c r="AF166" s="107"/>
      <c r="AG166" s="107"/>
      <c r="AH166" s="107"/>
    </row>
    <row r="167" ht="14.25" customHeight="1">
      <c r="A167" s="107"/>
      <c r="B167" s="107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07"/>
      <c r="AE167" s="107"/>
      <c r="AF167" s="107"/>
      <c r="AG167" s="107"/>
      <c r="AH167" s="107"/>
    </row>
    <row r="168" ht="14.25" customHeight="1">
      <c r="A168" s="107"/>
      <c r="B168" s="107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  <c r="AD168" s="107"/>
      <c r="AE168" s="107"/>
      <c r="AF168" s="107"/>
      <c r="AG168" s="107"/>
      <c r="AH168" s="107"/>
    </row>
    <row r="169" ht="14.25" customHeight="1">
      <c r="A169" s="107"/>
      <c r="B169" s="107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07"/>
      <c r="AE169" s="107"/>
      <c r="AF169" s="107"/>
      <c r="AG169" s="107"/>
      <c r="AH169" s="107"/>
    </row>
    <row r="170" ht="14.25" customHeight="1">
      <c r="A170" s="107"/>
      <c r="B170" s="107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7"/>
      <c r="AF170" s="107"/>
      <c r="AG170" s="107"/>
      <c r="AH170" s="107"/>
    </row>
    <row r="171" ht="14.25" customHeight="1">
      <c r="A171" s="107"/>
      <c r="B171" s="107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7"/>
      <c r="S171" s="107"/>
      <c r="T171" s="107"/>
      <c r="U171" s="107"/>
      <c r="V171" s="107"/>
      <c r="W171" s="107"/>
      <c r="X171" s="107"/>
      <c r="Y171" s="107"/>
      <c r="Z171" s="107"/>
      <c r="AA171" s="107"/>
      <c r="AB171" s="107"/>
      <c r="AC171" s="107"/>
      <c r="AD171" s="107"/>
      <c r="AE171" s="107"/>
      <c r="AF171" s="107"/>
      <c r="AG171" s="107"/>
      <c r="AH171" s="107"/>
    </row>
    <row r="172" ht="14.25" customHeight="1">
      <c r="A172" s="107"/>
      <c r="B172" s="107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7"/>
      <c r="S172" s="107"/>
      <c r="T172" s="107"/>
      <c r="U172" s="107"/>
      <c r="V172" s="107"/>
      <c r="W172" s="107"/>
      <c r="X172" s="107"/>
      <c r="Y172" s="107"/>
      <c r="Z172" s="107"/>
      <c r="AA172" s="107"/>
      <c r="AB172" s="107"/>
      <c r="AC172" s="107"/>
      <c r="AD172" s="107"/>
      <c r="AE172" s="107"/>
      <c r="AF172" s="107"/>
      <c r="AG172" s="107"/>
      <c r="AH172" s="107"/>
    </row>
    <row r="173" ht="14.25" customHeight="1">
      <c r="A173" s="107"/>
      <c r="B173" s="107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07"/>
      <c r="AE173" s="107"/>
      <c r="AF173" s="107"/>
      <c r="AG173" s="107"/>
      <c r="AH173" s="107"/>
    </row>
    <row r="174" ht="14.25" customHeight="1">
      <c r="A174" s="107"/>
      <c r="B174" s="107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7"/>
      <c r="S174" s="107"/>
      <c r="T174" s="107"/>
      <c r="U174" s="107"/>
      <c r="V174" s="107"/>
      <c r="W174" s="107"/>
      <c r="X174" s="107"/>
      <c r="Y174" s="107"/>
      <c r="Z174" s="107"/>
      <c r="AA174" s="107"/>
      <c r="AB174" s="107"/>
      <c r="AC174" s="107"/>
      <c r="AD174" s="107"/>
      <c r="AE174" s="107"/>
      <c r="AF174" s="107"/>
      <c r="AG174" s="107"/>
      <c r="AH174" s="107"/>
    </row>
    <row r="175" ht="14.25" customHeight="1">
      <c r="A175" s="107"/>
      <c r="B175" s="107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7"/>
      <c r="S175" s="107"/>
      <c r="T175" s="107"/>
      <c r="U175" s="107"/>
      <c r="V175" s="107"/>
      <c r="W175" s="107"/>
      <c r="X175" s="107"/>
      <c r="Y175" s="107"/>
      <c r="Z175" s="107"/>
      <c r="AA175" s="107"/>
      <c r="AB175" s="107"/>
      <c r="AC175" s="107"/>
      <c r="AD175" s="107"/>
      <c r="AE175" s="107"/>
      <c r="AF175" s="107"/>
      <c r="AG175" s="107"/>
      <c r="AH175" s="107"/>
    </row>
    <row r="176" ht="14.25" customHeight="1">
      <c r="A176" s="107"/>
      <c r="B176" s="107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07"/>
      <c r="AE176" s="107"/>
      <c r="AF176" s="107"/>
      <c r="AG176" s="107"/>
      <c r="AH176" s="107"/>
    </row>
    <row r="177" ht="14.25" customHeight="1">
      <c r="A177" s="107"/>
      <c r="B177" s="107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7"/>
      <c r="S177" s="107"/>
      <c r="T177" s="107"/>
      <c r="U177" s="107"/>
      <c r="V177" s="107"/>
      <c r="W177" s="107"/>
      <c r="X177" s="107"/>
      <c r="Y177" s="107"/>
      <c r="Z177" s="107"/>
      <c r="AA177" s="107"/>
      <c r="AB177" s="107"/>
      <c r="AC177" s="107"/>
      <c r="AD177" s="107"/>
      <c r="AE177" s="107"/>
      <c r="AF177" s="107"/>
      <c r="AG177" s="107"/>
      <c r="AH177" s="107"/>
    </row>
    <row r="178" ht="14.25" customHeight="1">
      <c r="A178" s="107"/>
      <c r="B178" s="107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07"/>
      <c r="AE178" s="107"/>
      <c r="AF178" s="107"/>
      <c r="AG178" s="107"/>
      <c r="AH178" s="107"/>
    </row>
    <row r="179" ht="14.25" customHeight="1">
      <c r="A179" s="107"/>
      <c r="B179" s="107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07"/>
      <c r="AE179" s="107"/>
      <c r="AF179" s="107"/>
      <c r="AG179" s="107"/>
      <c r="AH179" s="107"/>
    </row>
    <row r="180" ht="14.25" customHeight="1">
      <c r="A180" s="107"/>
      <c r="B180" s="107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07"/>
      <c r="AE180" s="107"/>
      <c r="AF180" s="107"/>
      <c r="AG180" s="107"/>
      <c r="AH180" s="107"/>
    </row>
    <row r="181" ht="14.25" customHeight="1">
      <c r="A181" s="107"/>
      <c r="B181" s="107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07"/>
      <c r="AE181" s="107"/>
      <c r="AF181" s="107"/>
      <c r="AG181" s="107"/>
      <c r="AH181" s="107"/>
    </row>
    <row r="182" ht="14.25" customHeight="1">
      <c r="A182" s="107"/>
      <c r="B182" s="107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</row>
    <row r="183" ht="14.25" customHeight="1">
      <c r="A183" s="107"/>
      <c r="B183" s="107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07"/>
      <c r="AE183" s="107"/>
      <c r="AF183" s="107"/>
      <c r="AG183" s="107"/>
      <c r="AH183" s="107"/>
    </row>
    <row r="184" ht="14.25" customHeight="1">
      <c r="A184" s="107"/>
      <c r="B184" s="107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7"/>
      <c r="S184" s="107"/>
      <c r="T184" s="107"/>
      <c r="U184" s="107"/>
      <c r="V184" s="107"/>
      <c r="W184" s="107"/>
      <c r="X184" s="107"/>
      <c r="Y184" s="107"/>
      <c r="Z184" s="107"/>
      <c r="AA184" s="107"/>
      <c r="AB184" s="107"/>
      <c r="AC184" s="107"/>
      <c r="AD184" s="107"/>
      <c r="AE184" s="107"/>
      <c r="AF184" s="107"/>
      <c r="AG184" s="107"/>
      <c r="AH184" s="107"/>
    </row>
    <row r="185" ht="14.25" customHeight="1">
      <c r="A185" s="107"/>
      <c r="B185" s="107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07"/>
      <c r="AE185" s="107"/>
      <c r="AF185" s="107"/>
      <c r="AG185" s="107"/>
      <c r="AH185" s="107"/>
    </row>
    <row r="186" ht="14.25" customHeight="1">
      <c r="A186" s="107"/>
      <c r="B186" s="107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07"/>
      <c r="AE186" s="107"/>
      <c r="AF186" s="107"/>
      <c r="AG186" s="107"/>
      <c r="AH186" s="107"/>
    </row>
    <row r="187" ht="14.25" customHeight="1">
      <c r="A187" s="107"/>
      <c r="B187" s="107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7"/>
      <c r="S187" s="107"/>
      <c r="T187" s="107"/>
      <c r="U187" s="107"/>
      <c r="V187" s="107"/>
      <c r="W187" s="107"/>
      <c r="X187" s="107"/>
      <c r="Y187" s="107"/>
      <c r="Z187" s="107"/>
      <c r="AA187" s="107"/>
      <c r="AB187" s="107"/>
      <c r="AC187" s="107"/>
      <c r="AD187" s="107"/>
      <c r="AE187" s="107"/>
      <c r="AF187" s="107"/>
      <c r="AG187" s="107"/>
      <c r="AH187" s="107"/>
    </row>
    <row r="188" ht="14.25" customHeight="1">
      <c r="A188" s="107"/>
      <c r="B188" s="107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07"/>
      <c r="AE188" s="107"/>
      <c r="AF188" s="107"/>
      <c r="AG188" s="107"/>
      <c r="AH188" s="107"/>
    </row>
    <row r="189" ht="14.25" customHeight="1">
      <c r="A189" s="107"/>
      <c r="B189" s="107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7"/>
      <c r="S189" s="107"/>
      <c r="T189" s="107"/>
      <c r="U189" s="107"/>
      <c r="V189" s="107"/>
      <c r="W189" s="107"/>
      <c r="X189" s="107"/>
      <c r="Y189" s="107"/>
      <c r="Z189" s="107"/>
      <c r="AA189" s="107"/>
      <c r="AB189" s="107"/>
      <c r="AC189" s="107"/>
      <c r="AD189" s="107"/>
      <c r="AE189" s="107"/>
      <c r="AF189" s="107"/>
      <c r="AG189" s="107"/>
      <c r="AH189" s="107"/>
    </row>
    <row r="190" ht="14.25" customHeight="1">
      <c r="A190" s="107"/>
      <c r="B190" s="107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07"/>
      <c r="AE190" s="107"/>
      <c r="AF190" s="107"/>
      <c r="AG190" s="107"/>
      <c r="AH190" s="107"/>
    </row>
    <row r="191" ht="14.25" customHeight="1">
      <c r="A191" s="107"/>
      <c r="B191" s="107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7"/>
      <c r="AF191" s="107"/>
      <c r="AG191" s="107"/>
      <c r="AH191" s="107"/>
    </row>
    <row r="192" ht="14.25" customHeight="1">
      <c r="A192" s="107"/>
      <c r="B192" s="107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7"/>
      <c r="AF192" s="107"/>
      <c r="AG192" s="107"/>
      <c r="AH192" s="107"/>
    </row>
    <row r="193" ht="14.25" customHeight="1">
      <c r="A193" s="107"/>
      <c r="B193" s="107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</row>
    <row r="194" ht="14.25" customHeight="1">
      <c r="A194" s="107"/>
      <c r="B194" s="107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7"/>
      <c r="AF194" s="107"/>
      <c r="AG194" s="107"/>
      <c r="AH194" s="107"/>
    </row>
    <row r="195" ht="14.25" customHeight="1">
      <c r="A195" s="107"/>
      <c r="B195" s="107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07"/>
      <c r="AE195" s="107"/>
      <c r="AF195" s="107"/>
      <c r="AG195" s="107"/>
      <c r="AH195" s="107"/>
    </row>
    <row r="196" ht="14.25" customHeight="1">
      <c r="A196" s="107"/>
      <c r="B196" s="107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</row>
    <row r="197" ht="14.25" customHeight="1">
      <c r="A197" s="107"/>
      <c r="B197" s="107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</row>
    <row r="198" ht="14.25" customHeight="1">
      <c r="A198" s="107"/>
      <c r="B198" s="107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7"/>
      <c r="S198" s="107"/>
      <c r="T198" s="107"/>
      <c r="U198" s="107"/>
      <c r="V198" s="107"/>
      <c r="W198" s="107"/>
      <c r="X198" s="107"/>
      <c r="Y198" s="107"/>
      <c r="Z198" s="107"/>
      <c r="AA198" s="107"/>
      <c r="AB198" s="107"/>
      <c r="AC198" s="107"/>
      <c r="AD198" s="107"/>
      <c r="AE198" s="107"/>
      <c r="AF198" s="107"/>
      <c r="AG198" s="107"/>
      <c r="AH198" s="107"/>
    </row>
    <row r="199" ht="14.25" customHeight="1">
      <c r="A199" s="107"/>
      <c r="B199" s="107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07"/>
      <c r="AE199" s="107"/>
      <c r="AF199" s="107"/>
      <c r="AG199" s="107"/>
      <c r="AH199" s="107"/>
    </row>
    <row r="200" ht="14.25" customHeight="1">
      <c r="A200" s="107"/>
      <c r="B200" s="107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07"/>
      <c r="AE200" s="107"/>
      <c r="AF200" s="107"/>
      <c r="AG200" s="107"/>
      <c r="AH200" s="107"/>
    </row>
    <row r="201" ht="14.25" customHeight="1">
      <c r="A201" s="107"/>
      <c r="B201" s="107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7"/>
      <c r="S201" s="107"/>
      <c r="T201" s="107"/>
      <c r="U201" s="107"/>
      <c r="V201" s="107"/>
      <c r="W201" s="107"/>
      <c r="X201" s="107"/>
      <c r="Y201" s="107"/>
      <c r="Z201" s="107"/>
      <c r="AA201" s="107"/>
      <c r="AB201" s="107"/>
      <c r="AC201" s="107"/>
      <c r="AD201" s="107"/>
      <c r="AE201" s="107"/>
      <c r="AF201" s="107"/>
      <c r="AG201" s="107"/>
      <c r="AH201" s="107"/>
    </row>
    <row r="202" ht="14.25" customHeight="1">
      <c r="A202" s="107"/>
      <c r="B202" s="107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7"/>
      <c r="S202" s="107"/>
      <c r="T202" s="107"/>
      <c r="U202" s="107"/>
      <c r="V202" s="107"/>
      <c r="W202" s="107"/>
      <c r="X202" s="107"/>
      <c r="Y202" s="107"/>
      <c r="Z202" s="107"/>
      <c r="AA202" s="107"/>
      <c r="AB202" s="107"/>
      <c r="AC202" s="107"/>
      <c r="AD202" s="107"/>
      <c r="AE202" s="107"/>
      <c r="AF202" s="107"/>
      <c r="AG202" s="107"/>
      <c r="AH202" s="107"/>
    </row>
    <row r="203" ht="14.25" customHeight="1">
      <c r="A203" s="107"/>
      <c r="B203" s="107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</row>
    <row r="204" ht="14.25" customHeight="1">
      <c r="A204" s="107"/>
      <c r="B204" s="107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07"/>
      <c r="AE204" s="107"/>
      <c r="AF204" s="107"/>
      <c r="AG204" s="107"/>
      <c r="AH204" s="107"/>
    </row>
    <row r="205" ht="14.25" customHeight="1">
      <c r="A205" s="107"/>
      <c r="B205" s="107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07"/>
      <c r="AE205" s="107"/>
      <c r="AF205" s="107"/>
      <c r="AG205" s="107"/>
      <c r="AH205" s="107"/>
    </row>
    <row r="206" ht="14.25" customHeight="1">
      <c r="A206" s="107"/>
      <c r="B206" s="107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07"/>
      <c r="AE206" s="107"/>
      <c r="AF206" s="107"/>
      <c r="AG206" s="107"/>
      <c r="AH206" s="107"/>
    </row>
    <row r="207" ht="14.25" customHeight="1">
      <c r="A207" s="107"/>
      <c r="B207" s="107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07"/>
      <c r="AE207" s="107"/>
      <c r="AF207" s="107"/>
      <c r="AG207" s="107"/>
      <c r="AH207" s="107"/>
    </row>
    <row r="208" ht="14.25" customHeight="1">
      <c r="A208" s="107"/>
      <c r="B208" s="107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107"/>
      <c r="AH208" s="107"/>
    </row>
    <row r="209" ht="14.25" customHeight="1">
      <c r="A209" s="107"/>
      <c r="B209" s="107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7"/>
      <c r="S209" s="107"/>
      <c r="T209" s="107"/>
      <c r="U209" s="107"/>
      <c r="V209" s="107"/>
      <c r="W209" s="107"/>
      <c r="X209" s="107"/>
      <c r="Y209" s="107"/>
      <c r="Z209" s="107"/>
      <c r="AA209" s="107"/>
      <c r="AB209" s="107"/>
      <c r="AC209" s="107"/>
      <c r="AD209" s="107"/>
      <c r="AE209" s="107"/>
      <c r="AF209" s="107"/>
      <c r="AG209" s="107"/>
      <c r="AH209" s="107"/>
    </row>
    <row r="210" ht="14.25" customHeight="1">
      <c r="A210" s="107"/>
      <c r="B210" s="107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07"/>
      <c r="AE210" s="107"/>
      <c r="AF210" s="107"/>
      <c r="AG210" s="107"/>
      <c r="AH210" s="107"/>
    </row>
    <row r="211" ht="14.25" customHeight="1">
      <c r="A211" s="107"/>
      <c r="B211" s="107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7"/>
      <c r="S211" s="107"/>
      <c r="T211" s="107"/>
      <c r="U211" s="107"/>
      <c r="V211" s="107"/>
      <c r="W211" s="107"/>
      <c r="X211" s="107"/>
      <c r="Y211" s="107"/>
      <c r="Z211" s="107"/>
      <c r="AA211" s="107"/>
      <c r="AB211" s="107"/>
      <c r="AC211" s="107"/>
      <c r="AD211" s="107"/>
      <c r="AE211" s="107"/>
      <c r="AF211" s="107"/>
      <c r="AG211" s="107"/>
      <c r="AH211" s="107"/>
    </row>
    <row r="212" ht="14.25" customHeight="1">
      <c r="A212" s="107"/>
      <c r="B212" s="107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07"/>
      <c r="AE212" s="107"/>
      <c r="AF212" s="107"/>
      <c r="AG212" s="107"/>
      <c r="AH212" s="107"/>
    </row>
    <row r="213" ht="14.25" customHeight="1">
      <c r="A213" s="107"/>
      <c r="B213" s="107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07"/>
      <c r="AE213" s="107"/>
      <c r="AF213" s="107"/>
      <c r="AG213" s="107"/>
      <c r="AH213" s="107"/>
    </row>
    <row r="214" ht="14.25" customHeight="1">
      <c r="A214" s="107"/>
      <c r="B214" s="107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07"/>
      <c r="AE214" s="107"/>
      <c r="AF214" s="107"/>
      <c r="AG214" s="107"/>
      <c r="AH214" s="107"/>
    </row>
    <row r="215" ht="14.25" customHeight="1">
      <c r="A215" s="107"/>
      <c r="B215" s="107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7"/>
      <c r="S215" s="107"/>
      <c r="T215" s="107"/>
      <c r="U215" s="107"/>
      <c r="V215" s="107"/>
      <c r="W215" s="107"/>
      <c r="X215" s="107"/>
      <c r="Y215" s="107"/>
      <c r="Z215" s="107"/>
      <c r="AA215" s="107"/>
      <c r="AB215" s="107"/>
      <c r="AC215" s="107"/>
      <c r="AD215" s="107"/>
      <c r="AE215" s="107"/>
      <c r="AF215" s="107"/>
      <c r="AG215" s="107"/>
      <c r="AH215" s="107"/>
    </row>
    <row r="216" ht="14.25" customHeight="1">
      <c r="A216" s="107"/>
      <c r="B216" s="107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7"/>
      <c r="S216" s="107"/>
      <c r="T216" s="107"/>
      <c r="U216" s="107"/>
      <c r="V216" s="107"/>
      <c r="W216" s="107"/>
      <c r="X216" s="107"/>
      <c r="Y216" s="107"/>
      <c r="Z216" s="107"/>
      <c r="AA216" s="107"/>
      <c r="AB216" s="107"/>
      <c r="AC216" s="107"/>
      <c r="AD216" s="107"/>
      <c r="AE216" s="107"/>
      <c r="AF216" s="107"/>
      <c r="AG216" s="107"/>
      <c r="AH216" s="107"/>
    </row>
    <row r="217" ht="14.25" customHeight="1">
      <c r="A217" s="107"/>
      <c r="B217" s="107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  <c r="AH217" s="107"/>
    </row>
    <row r="218" ht="14.25" customHeight="1">
      <c r="A218" s="107"/>
      <c r="B218" s="107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7"/>
      <c r="S218" s="107"/>
      <c r="T218" s="107"/>
      <c r="U218" s="107"/>
      <c r="V218" s="107"/>
      <c r="W218" s="107"/>
      <c r="X218" s="107"/>
      <c r="Y218" s="107"/>
      <c r="Z218" s="107"/>
      <c r="AA218" s="107"/>
      <c r="AB218" s="107"/>
      <c r="AC218" s="107"/>
      <c r="AD218" s="107"/>
      <c r="AE218" s="107"/>
      <c r="AF218" s="107"/>
      <c r="AG218" s="107"/>
      <c r="AH218" s="107"/>
    </row>
    <row r="219" ht="14.25" customHeight="1">
      <c r="A219" s="107"/>
      <c r="B219" s="107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7"/>
      <c r="S219" s="107"/>
      <c r="T219" s="107"/>
      <c r="U219" s="107"/>
      <c r="V219" s="107"/>
      <c r="W219" s="107"/>
      <c r="X219" s="107"/>
      <c r="Y219" s="107"/>
      <c r="Z219" s="107"/>
      <c r="AA219" s="107"/>
      <c r="AB219" s="107"/>
      <c r="AC219" s="107"/>
      <c r="AD219" s="107"/>
      <c r="AE219" s="107"/>
      <c r="AF219" s="107"/>
      <c r="AG219" s="107"/>
      <c r="AH219" s="107"/>
    </row>
    <row r="220" ht="14.25" customHeight="1">
      <c r="A220" s="107"/>
      <c r="B220" s="107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7"/>
      <c r="S220" s="107"/>
      <c r="T220" s="107"/>
      <c r="U220" s="107"/>
      <c r="V220" s="107"/>
      <c r="W220" s="107"/>
      <c r="X220" s="107"/>
      <c r="Y220" s="107"/>
      <c r="Z220" s="107"/>
      <c r="AA220" s="107"/>
      <c r="AB220" s="107"/>
      <c r="AC220" s="107"/>
      <c r="AD220" s="107"/>
      <c r="AE220" s="107"/>
      <c r="AF220" s="107"/>
      <c r="AG220" s="107"/>
      <c r="AH220" s="107"/>
    </row>
    <row r="221" ht="14.25" customHeight="1">
      <c r="A221" s="107"/>
      <c r="B221" s="107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07"/>
      <c r="AE221" s="107"/>
      <c r="AF221" s="107"/>
      <c r="AG221" s="107"/>
      <c r="AH221" s="107"/>
    </row>
    <row r="222" ht="14.25" customHeight="1">
      <c r="A222" s="107"/>
      <c r="B222" s="107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107"/>
      <c r="AH222" s="107"/>
    </row>
    <row r="223" ht="14.25" customHeight="1">
      <c r="A223" s="107"/>
      <c r="B223" s="107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07"/>
      <c r="AE223" s="107"/>
      <c r="AF223" s="107"/>
      <c r="AG223" s="107"/>
      <c r="AH223" s="107"/>
    </row>
    <row r="224" ht="14.25" customHeight="1">
      <c r="A224" s="107"/>
      <c r="B224" s="107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07"/>
      <c r="AE224" s="107"/>
      <c r="AF224" s="107"/>
      <c r="AG224" s="107"/>
      <c r="AH224" s="107"/>
    </row>
    <row r="225" ht="14.25" customHeight="1">
      <c r="A225" s="107"/>
      <c r="B225" s="107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  <c r="AG225" s="107"/>
      <c r="AH225" s="107"/>
    </row>
    <row r="226" ht="14.25" customHeight="1">
      <c r="A226" s="107"/>
      <c r="B226" s="107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107"/>
      <c r="AH226" s="107"/>
    </row>
    <row r="227" ht="14.25" customHeight="1">
      <c r="A227" s="107"/>
      <c r="B227" s="107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107"/>
      <c r="AH227" s="107"/>
    </row>
    <row r="228" ht="14.25" customHeight="1">
      <c r="A228" s="107"/>
      <c r="B228" s="107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107"/>
      <c r="AH228" s="107"/>
    </row>
    <row r="229" ht="14.25" customHeight="1">
      <c r="A229" s="107"/>
      <c r="B229" s="107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07"/>
      <c r="AE229" s="107"/>
      <c r="AF229" s="107"/>
      <c r="AG229" s="107"/>
      <c r="AH229" s="107"/>
    </row>
    <row r="230" ht="14.25" customHeight="1">
      <c r="A230" s="107"/>
      <c r="B230" s="107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07"/>
      <c r="AE230" s="107"/>
      <c r="AF230" s="107"/>
      <c r="AG230" s="107"/>
      <c r="AH230" s="107"/>
    </row>
    <row r="231" ht="14.25" customHeight="1">
      <c r="A231" s="107"/>
      <c r="B231" s="107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07"/>
      <c r="AE231" s="107"/>
      <c r="AF231" s="107"/>
      <c r="AG231" s="107"/>
      <c r="AH231" s="107"/>
    </row>
    <row r="232" ht="14.25" customHeight="1">
      <c r="A232" s="107"/>
      <c r="B232" s="107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07"/>
      <c r="AE232" s="107"/>
      <c r="AF232" s="107"/>
      <c r="AG232" s="107"/>
      <c r="AH232" s="107"/>
    </row>
    <row r="233" ht="14.25" customHeight="1">
      <c r="A233" s="107"/>
      <c r="B233" s="107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07"/>
      <c r="AE233" s="107"/>
      <c r="AF233" s="107"/>
      <c r="AG233" s="107"/>
      <c r="AH233" s="107"/>
    </row>
    <row r="234" ht="14.25" customHeight="1">
      <c r="A234" s="107"/>
      <c r="B234" s="107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7"/>
      <c r="S234" s="107"/>
      <c r="T234" s="107"/>
      <c r="U234" s="107"/>
      <c r="V234" s="107"/>
      <c r="W234" s="107"/>
      <c r="X234" s="107"/>
      <c r="Y234" s="107"/>
      <c r="Z234" s="107"/>
      <c r="AA234" s="107"/>
      <c r="AB234" s="107"/>
      <c r="AC234" s="107"/>
      <c r="AD234" s="107"/>
      <c r="AE234" s="107"/>
      <c r="AF234" s="107"/>
      <c r="AG234" s="107"/>
      <c r="AH234" s="107"/>
    </row>
    <row r="235" ht="14.25" customHeight="1">
      <c r="A235" s="107"/>
      <c r="B235" s="107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7"/>
      <c r="S235" s="107"/>
      <c r="T235" s="107"/>
      <c r="U235" s="107"/>
      <c r="V235" s="107"/>
      <c r="W235" s="107"/>
      <c r="X235" s="107"/>
      <c r="Y235" s="107"/>
      <c r="Z235" s="107"/>
      <c r="AA235" s="107"/>
      <c r="AB235" s="107"/>
      <c r="AC235" s="107"/>
      <c r="AD235" s="107"/>
      <c r="AE235" s="107"/>
      <c r="AF235" s="107"/>
      <c r="AG235" s="107"/>
      <c r="AH235" s="107"/>
    </row>
    <row r="236" ht="14.25" customHeight="1">
      <c r="A236" s="107"/>
      <c r="B236" s="107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7"/>
      <c r="S236" s="107"/>
      <c r="T236" s="107"/>
      <c r="U236" s="107"/>
      <c r="V236" s="107"/>
      <c r="W236" s="107"/>
      <c r="X236" s="107"/>
      <c r="Y236" s="107"/>
      <c r="Z236" s="107"/>
      <c r="AA236" s="107"/>
      <c r="AB236" s="107"/>
      <c r="AC236" s="107"/>
      <c r="AD236" s="107"/>
      <c r="AE236" s="107"/>
      <c r="AF236" s="107"/>
      <c r="AG236" s="107"/>
      <c r="AH236" s="107"/>
    </row>
    <row r="237" ht="14.25" customHeight="1">
      <c r="A237" s="107"/>
      <c r="B237" s="107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7"/>
      <c r="S237" s="107"/>
      <c r="T237" s="107"/>
      <c r="U237" s="107"/>
      <c r="V237" s="107"/>
      <c r="W237" s="107"/>
      <c r="X237" s="107"/>
      <c r="Y237" s="107"/>
      <c r="Z237" s="107"/>
      <c r="AA237" s="107"/>
      <c r="AB237" s="107"/>
      <c r="AC237" s="107"/>
      <c r="AD237" s="107"/>
      <c r="AE237" s="107"/>
      <c r="AF237" s="107"/>
      <c r="AG237" s="107"/>
      <c r="AH237" s="107"/>
    </row>
    <row r="238" ht="14.25" customHeight="1">
      <c r="A238" s="107"/>
      <c r="B238" s="107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7"/>
      <c r="S238" s="107"/>
      <c r="T238" s="107"/>
      <c r="U238" s="107"/>
      <c r="V238" s="107"/>
      <c r="W238" s="107"/>
      <c r="X238" s="107"/>
      <c r="Y238" s="107"/>
      <c r="Z238" s="107"/>
      <c r="AA238" s="107"/>
      <c r="AB238" s="107"/>
      <c r="AC238" s="107"/>
      <c r="AD238" s="107"/>
      <c r="AE238" s="107"/>
      <c r="AF238" s="107"/>
      <c r="AG238" s="107"/>
      <c r="AH238" s="107"/>
    </row>
    <row r="239" ht="14.25" customHeight="1">
      <c r="A239" s="107"/>
      <c r="B239" s="107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07"/>
      <c r="AE239" s="107"/>
      <c r="AF239" s="107"/>
      <c r="AG239" s="107"/>
      <c r="AH239" s="107"/>
    </row>
    <row r="240" ht="14.25" customHeight="1">
      <c r="A240" s="107"/>
      <c r="B240" s="107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7"/>
      <c r="AF240" s="107"/>
      <c r="AG240" s="107"/>
      <c r="AH240" s="107"/>
    </row>
    <row r="241" ht="14.25" customHeight="1">
      <c r="A241" s="107"/>
      <c r="B241" s="107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7"/>
      <c r="AF241" s="107"/>
      <c r="AG241" s="107"/>
      <c r="AH241" s="107"/>
    </row>
    <row r="242" ht="14.25" customHeight="1">
      <c r="A242" s="107"/>
      <c r="B242" s="107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7"/>
      <c r="AF242" s="107"/>
      <c r="AG242" s="107"/>
      <c r="AH242" s="107"/>
    </row>
    <row r="243" ht="14.25" customHeight="1">
      <c r="A243" s="107"/>
      <c r="B243" s="107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</row>
    <row r="244" ht="14.25" customHeight="1">
      <c r="A244" s="107"/>
      <c r="B244" s="107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07"/>
      <c r="AE244" s="107"/>
      <c r="AF244" s="107"/>
      <c r="AG244" s="107"/>
      <c r="AH244" s="107"/>
    </row>
    <row r="245" ht="14.25" customHeight="1">
      <c r="A245" s="107"/>
      <c r="B245" s="107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7"/>
      <c r="S245" s="107"/>
      <c r="T245" s="107"/>
      <c r="U245" s="107"/>
      <c r="V245" s="107"/>
      <c r="W245" s="107"/>
      <c r="X245" s="107"/>
      <c r="Y245" s="107"/>
      <c r="Z245" s="107"/>
      <c r="AA245" s="107"/>
      <c r="AB245" s="107"/>
      <c r="AC245" s="107"/>
      <c r="AD245" s="107"/>
      <c r="AE245" s="107"/>
      <c r="AF245" s="107"/>
      <c r="AG245" s="107"/>
      <c r="AH245" s="107"/>
    </row>
    <row r="246" ht="14.25" customHeight="1">
      <c r="A246" s="107"/>
      <c r="B246" s="107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07"/>
      <c r="AE246" s="107"/>
      <c r="AF246" s="107"/>
      <c r="AG246" s="107"/>
      <c r="AH246" s="107"/>
    </row>
    <row r="247" ht="14.25" customHeight="1">
      <c r="A247" s="107"/>
      <c r="B247" s="107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7"/>
      <c r="S247" s="107"/>
      <c r="T247" s="107"/>
      <c r="U247" s="107"/>
      <c r="V247" s="107"/>
      <c r="W247" s="107"/>
      <c r="X247" s="107"/>
      <c r="Y247" s="107"/>
      <c r="Z247" s="107"/>
      <c r="AA247" s="107"/>
      <c r="AB247" s="107"/>
      <c r="AC247" s="107"/>
      <c r="AD247" s="107"/>
      <c r="AE247" s="107"/>
      <c r="AF247" s="107"/>
      <c r="AG247" s="107"/>
      <c r="AH247" s="107"/>
    </row>
    <row r="248" ht="14.25" customHeight="1">
      <c r="A248" s="107"/>
      <c r="B248" s="107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7"/>
      <c r="S248" s="107"/>
      <c r="T248" s="107"/>
      <c r="U248" s="107"/>
      <c r="V248" s="107"/>
      <c r="W248" s="107"/>
      <c r="X248" s="107"/>
      <c r="Y248" s="107"/>
      <c r="Z248" s="107"/>
      <c r="AA248" s="107"/>
      <c r="AB248" s="107"/>
      <c r="AC248" s="107"/>
      <c r="AD248" s="107"/>
      <c r="AE248" s="107"/>
      <c r="AF248" s="107"/>
      <c r="AG248" s="107"/>
      <c r="AH248" s="107"/>
    </row>
    <row r="249" ht="14.25" customHeight="1">
      <c r="A249" s="107"/>
      <c r="B249" s="107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7"/>
      <c r="AF249" s="107"/>
      <c r="AG249" s="107"/>
      <c r="AH249" s="107"/>
    </row>
    <row r="250" ht="14.25" customHeight="1">
      <c r="A250" s="107"/>
      <c r="B250" s="107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07"/>
      <c r="AE250" s="107"/>
      <c r="AF250" s="107"/>
      <c r="AG250" s="107"/>
      <c r="AH250" s="107"/>
    </row>
    <row r="251" ht="14.25" customHeight="1">
      <c r="A251" s="107"/>
      <c r="B251" s="107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07"/>
      <c r="AE251" s="107"/>
      <c r="AF251" s="107"/>
      <c r="AG251" s="107"/>
      <c r="AH251" s="107"/>
    </row>
    <row r="252" ht="14.25" customHeight="1">
      <c r="A252" s="107"/>
      <c r="B252" s="107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7"/>
      <c r="S252" s="107"/>
      <c r="T252" s="107"/>
      <c r="U252" s="107"/>
      <c r="V252" s="107"/>
      <c r="W252" s="107"/>
      <c r="X252" s="107"/>
      <c r="Y252" s="107"/>
      <c r="Z252" s="107"/>
      <c r="AA252" s="107"/>
      <c r="AB252" s="107"/>
      <c r="AC252" s="107"/>
      <c r="AD252" s="107"/>
      <c r="AE252" s="107"/>
      <c r="AF252" s="107"/>
      <c r="AG252" s="107"/>
      <c r="AH252" s="107"/>
    </row>
    <row r="253" ht="14.25" customHeight="1">
      <c r="A253" s="107"/>
      <c r="B253" s="107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7"/>
      <c r="S253" s="107"/>
      <c r="T253" s="107"/>
      <c r="U253" s="107"/>
      <c r="V253" s="107"/>
      <c r="W253" s="107"/>
      <c r="X253" s="107"/>
      <c r="Y253" s="107"/>
      <c r="Z253" s="107"/>
      <c r="AA253" s="107"/>
      <c r="AB253" s="107"/>
      <c r="AC253" s="107"/>
      <c r="AD253" s="107"/>
      <c r="AE253" s="107"/>
      <c r="AF253" s="107"/>
      <c r="AG253" s="107"/>
      <c r="AH253" s="107"/>
    </row>
    <row r="254" ht="14.25" customHeight="1">
      <c r="A254" s="107"/>
      <c r="B254" s="107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07"/>
      <c r="AE254" s="107"/>
      <c r="AF254" s="107"/>
      <c r="AG254" s="107"/>
      <c r="AH254" s="107"/>
    </row>
    <row r="255" ht="14.25" customHeight="1">
      <c r="A255" s="107"/>
      <c r="B255" s="107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7"/>
      <c r="S255" s="107"/>
      <c r="T255" s="107"/>
      <c r="U255" s="107"/>
      <c r="V255" s="107"/>
      <c r="W255" s="107"/>
      <c r="X255" s="107"/>
      <c r="Y255" s="107"/>
      <c r="Z255" s="107"/>
      <c r="AA255" s="107"/>
      <c r="AB255" s="107"/>
      <c r="AC255" s="107"/>
      <c r="AD255" s="107"/>
      <c r="AE255" s="107"/>
      <c r="AF255" s="107"/>
      <c r="AG255" s="107"/>
      <c r="AH255" s="107"/>
    </row>
    <row r="256" ht="14.25" customHeight="1">
      <c r="A256" s="107"/>
      <c r="B256" s="107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7"/>
      <c r="S256" s="107"/>
      <c r="T256" s="107"/>
      <c r="U256" s="107"/>
      <c r="V256" s="107"/>
      <c r="W256" s="107"/>
      <c r="X256" s="107"/>
      <c r="Y256" s="107"/>
      <c r="Z256" s="107"/>
      <c r="AA256" s="107"/>
      <c r="AB256" s="107"/>
      <c r="AC256" s="107"/>
      <c r="AD256" s="107"/>
      <c r="AE256" s="107"/>
      <c r="AF256" s="107"/>
      <c r="AG256" s="107"/>
      <c r="AH256" s="107"/>
    </row>
    <row r="257" ht="14.25" customHeight="1">
      <c r="A257" s="107"/>
      <c r="B257" s="107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7"/>
      <c r="S257" s="107"/>
      <c r="T257" s="107"/>
      <c r="U257" s="107"/>
      <c r="V257" s="107"/>
      <c r="W257" s="107"/>
      <c r="X257" s="107"/>
      <c r="Y257" s="107"/>
      <c r="Z257" s="107"/>
      <c r="AA257" s="107"/>
      <c r="AB257" s="107"/>
      <c r="AC257" s="107"/>
      <c r="AD257" s="107"/>
      <c r="AE257" s="107"/>
      <c r="AF257" s="107"/>
      <c r="AG257" s="107"/>
      <c r="AH257" s="107"/>
    </row>
    <row r="258" ht="14.25" customHeight="1">
      <c r="A258" s="107"/>
      <c r="B258" s="107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7"/>
      <c r="S258" s="107"/>
      <c r="T258" s="107"/>
      <c r="U258" s="107"/>
      <c r="V258" s="107"/>
      <c r="W258" s="107"/>
      <c r="X258" s="107"/>
      <c r="Y258" s="107"/>
      <c r="Z258" s="107"/>
      <c r="AA258" s="107"/>
      <c r="AB258" s="107"/>
      <c r="AC258" s="107"/>
      <c r="AD258" s="107"/>
      <c r="AE258" s="107"/>
      <c r="AF258" s="107"/>
      <c r="AG258" s="107"/>
      <c r="AH258" s="107"/>
    </row>
    <row r="259" ht="14.25" customHeight="1">
      <c r="A259" s="107"/>
      <c r="B259" s="107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7"/>
      <c r="S259" s="107"/>
      <c r="T259" s="107"/>
      <c r="U259" s="107"/>
      <c r="V259" s="107"/>
      <c r="W259" s="107"/>
      <c r="X259" s="107"/>
      <c r="Y259" s="107"/>
      <c r="Z259" s="107"/>
      <c r="AA259" s="107"/>
      <c r="AB259" s="107"/>
      <c r="AC259" s="107"/>
      <c r="AD259" s="107"/>
      <c r="AE259" s="107"/>
      <c r="AF259" s="107"/>
      <c r="AG259" s="107"/>
      <c r="AH259" s="107"/>
    </row>
    <row r="260" ht="14.25" customHeight="1">
      <c r="A260" s="107"/>
      <c r="B260" s="107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07"/>
      <c r="AE260" s="107"/>
      <c r="AF260" s="107"/>
      <c r="AG260" s="107"/>
      <c r="AH260" s="107"/>
    </row>
    <row r="261" ht="14.25" customHeight="1">
      <c r="A261" s="107"/>
      <c r="B261" s="107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07"/>
      <c r="AE261" s="107"/>
      <c r="AF261" s="107"/>
      <c r="AG261" s="107"/>
      <c r="AH261" s="107"/>
    </row>
    <row r="262" ht="14.25" customHeight="1">
      <c r="A262" s="107"/>
      <c r="B262" s="107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07"/>
      <c r="AE262" s="107"/>
      <c r="AF262" s="107"/>
      <c r="AG262" s="107"/>
      <c r="AH262" s="107"/>
    </row>
    <row r="263" ht="14.25" customHeight="1">
      <c r="A263" s="107"/>
      <c r="B263" s="107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7"/>
      <c r="S263" s="107"/>
      <c r="T263" s="107"/>
      <c r="U263" s="107"/>
      <c r="V263" s="107"/>
      <c r="W263" s="107"/>
      <c r="X263" s="107"/>
      <c r="Y263" s="107"/>
      <c r="Z263" s="107"/>
      <c r="AA263" s="107"/>
      <c r="AB263" s="107"/>
      <c r="AC263" s="107"/>
      <c r="AD263" s="107"/>
      <c r="AE263" s="107"/>
      <c r="AF263" s="107"/>
      <c r="AG263" s="107"/>
      <c r="AH263" s="107"/>
    </row>
    <row r="264" ht="14.25" customHeight="1">
      <c r="A264" s="107"/>
      <c r="B264" s="107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7"/>
      <c r="S264" s="107"/>
      <c r="T264" s="107"/>
      <c r="U264" s="107"/>
      <c r="V264" s="107"/>
      <c r="W264" s="107"/>
      <c r="X264" s="107"/>
      <c r="Y264" s="107"/>
      <c r="Z264" s="107"/>
      <c r="AA264" s="107"/>
      <c r="AB264" s="107"/>
      <c r="AC264" s="107"/>
      <c r="AD264" s="107"/>
      <c r="AE264" s="107"/>
      <c r="AF264" s="107"/>
      <c r="AG264" s="107"/>
      <c r="AH264" s="107"/>
    </row>
    <row r="265" ht="14.25" customHeight="1">
      <c r="A265" s="107"/>
      <c r="B265" s="107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7"/>
      <c r="S265" s="107"/>
      <c r="T265" s="107"/>
      <c r="U265" s="107"/>
      <c r="V265" s="107"/>
      <c r="W265" s="107"/>
      <c r="X265" s="107"/>
      <c r="Y265" s="107"/>
      <c r="Z265" s="107"/>
      <c r="AA265" s="107"/>
      <c r="AB265" s="107"/>
      <c r="AC265" s="107"/>
      <c r="AD265" s="107"/>
      <c r="AE265" s="107"/>
      <c r="AF265" s="107"/>
      <c r="AG265" s="107"/>
      <c r="AH265" s="107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2">
    <sortState ref="A2:Q2">
      <sortCondition ref="B2"/>
    </sortState>
  </autoFilter>
  <printOptions/>
  <pageMargins bottom="0.75" footer="0.0" header="0.0" left="0.7" right="0.7" top="0.75"/>
  <pageSetup paperSize="9" orientation="landscape"/>
  <drawing r:id="rId1"/>
</worksheet>
</file>