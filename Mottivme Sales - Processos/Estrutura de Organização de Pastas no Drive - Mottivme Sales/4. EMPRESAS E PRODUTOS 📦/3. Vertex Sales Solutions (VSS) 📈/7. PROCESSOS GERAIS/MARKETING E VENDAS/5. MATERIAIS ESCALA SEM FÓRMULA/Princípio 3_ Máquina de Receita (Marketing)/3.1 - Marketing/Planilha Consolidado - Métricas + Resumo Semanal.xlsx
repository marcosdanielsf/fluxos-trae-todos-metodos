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ro23" sheetId="1" r:id="rId4"/>
  </sheets>
  <definedNames/>
  <calcPr/>
</workbook>
</file>

<file path=xl/sharedStrings.xml><?xml version="1.0" encoding="utf-8"?>
<sst xmlns="http://schemas.openxmlformats.org/spreadsheetml/2006/main" count="347" uniqueCount="55">
  <si>
    <t>Consolidado Outubro - 2023</t>
  </si>
  <si>
    <t>Tráfego</t>
  </si>
  <si>
    <t>Comercial (REALIZADO)</t>
  </si>
  <si>
    <t>FUNIL X</t>
  </si>
  <si>
    <t>SEMANA 01</t>
  </si>
  <si>
    <t>SEMANA 02</t>
  </si>
  <si>
    <t>SEMANA 03</t>
  </si>
  <si>
    <t>SEMANA 04</t>
  </si>
  <si>
    <t>SEMANA 05</t>
  </si>
  <si>
    <t>Valor Gasto</t>
  </si>
  <si>
    <t>Calls agendadas</t>
  </si>
  <si>
    <t>CPM</t>
  </si>
  <si>
    <t>No show</t>
  </si>
  <si>
    <t>Impressões</t>
  </si>
  <si>
    <t>Calls realizadas</t>
  </si>
  <si>
    <t>CPC</t>
  </si>
  <si>
    <t>Desqualificados</t>
  </si>
  <si>
    <t>Cliques no Link</t>
  </si>
  <si>
    <t>CCR</t>
  </si>
  <si>
    <t>Acessos a Página</t>
  </si>
  <si>
    <t>% No show</t>
  </si>
  <si>
    <t>Cadastro</t>
  </si>
  <si>
    <t>Taxa de Conv</t>
  </si>
  <si>
    <t>Custo por Cadastro</t>
  </si>
  <si>
    <t>Oportunidades de FUP</t>
  </si>
  <si>
    <t>Visitas ao Instagram</t>
  </si>
  <si>
    <t>Vendas</t>
  </si>
  <si>
    <t>Custo por Visita no Instagram</t>
  </si>
  <si>
    <t>Vendas Mentoria Express</t>
  </si>
  <si>
    <t>Compras</t>
  </si>
  <si>
    <t>Vendas Produto 02</t>
  </si>
  <si>
    <t>Custo por Compra</t>
  </si>
  <si>
    <t>Vendas Produto 03</t>
  </si>
  <si>
    <t>CTR</t>
  </si>
  <si>
    <t>Ticket Produto 01</t>
  </si>
  <si>
    <t>Connect Rate</t>
  </si>
  <si>
    <t>Ticket Produto 02</t>
  </si>
  <si>
    <t>Tx. de Conversão da Página</t>
  </si>
  <si>
    <t>Ticket Produto 03</t>
  </si>
  <si>
    <t>Agendamentos</t>
  </si>
  <si>
    <t>Faturamento Bruto</t>
  </si>
  <si>
    <t>Custo por Agendamentos</t>
  </si>
  <si>
    <t>FUNIL ISCADOR</t>
  </si>
  <si>
    <t>FUNIL IMERSÃO 1%</t>
  </si>
  <si>
    <t>Vendas IMON Trial</t>
  </si>
  <si>
    <t>FUNIL INSTA</t>
  </si>
  <si>
    <t>FUNIL INSTAGRAM</t>
  </si>
  <si>
    <t>Alcance</t>
  </si>
  <si>
    <t>Custo por Alcance</t>
  </si>
  <si>
    <t>Novos Seguidores</t>
  </si>
  <si>
    <t>Custo por novo seguidor</t>
  </si>
  <si>
    <t>Agendamentos de Social Selling</t>
  </si>
  <si>
    <t>FUNIL MENTORIA GR</t>
  </si>
  <si>
    <t>FUNIL IMP</t>
  </si>
  <si>
    <t>Vendas IMP START 2x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</si>
</sst>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20.0"/>
      <color theme="1"/>
      <name val="Arial"/>
    </font>
    <font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2" fontId="4" numFmtId="0" xfId="0" applyAlignment="1" applyBorder="1" applyFill="1" applyFont="1">
      <alignment vertical="bottom"/>
    </xf>
    <xf borderId="2" fillId="2" fontId="4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vertical="bottom"/>
    </xf>
    <xf borderId="0" fillId="0" fontId="2" numFmtId="164" xfId="0" applyAlignment="1" applyFont="1" applyNumberForma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3" fillId="5" fontId="2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  <xf borderId="4" fillId="0" fontId="2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0" fillId="6" fontId="2" numFmtId="3" xfId="0" applyAlignment="1" applyFill="1" applyFont="1" applyNumberFormat="1">
      <alignment horizontal="center" vertical="bottom"/>
    </xf>
    <xf borderId="4" fillId="6" fontId="2" numFmtId="3" xfId="0" applyAlignment="1" applyBorder="1" applyFont="1" applyNumberFormat="1">
      <alignment horizontal="center" vertical="bottom"/>
    </xf>
    <xf borderId="0" fillId="6" fontId="2" numFmtId="164" xfId="0" applyAlignment="1" applyFont="1" applyNumberFormat="1">
      <alignment horizontal="center" vertical="bottom"/>
    </xf>
    <xf borderId="0" fillId="6" fontId="2" numFmtId="0" xfId="0" applyAlignment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0" fillId="6" fontId="2" numFmtId="1" xfId="0" applyAlignment="1" applyFont="1" applyNumberFormat="1">
      <alignment horizontal="center" vertical="bottom"/>
    </xf>
    <xf borderId="4" fillId="6" fontId="2" numFmtId="1" xfId="0" applyAlignment="1" applyBorder="1" applyFont="1" applyNumberFormat="1">
      <alignment horizontal="center" vertical="bottom"/>
    </xf>
    <xf borderId="0" fillId="6" fontId="2" numFmtId="164" xfId="0" applyAlignment="1" applyFont="1" applyNumberFormat="1">
      <alignment horizontal="right" vertical="bottom"/>
    </xf>
    <xf borderId="4" fillId="6" fontId="2" numFmtId="164" xfId="0" applyAlignment="1" applyBorder="1" applyFont="1" applyNumberFormat="1">
      <alignment horizontal="center" vertical="bottom"/>
    </xf>
    <xf borderId="0" fillId="6" fontId="2" numFmtId="10" xfId="0" applyAlignment="1" applyFont="1" applyNumberFormat="1">
      <alignment horizontal="center" vertical="bottom"/>
    </xf>
    <xf borderId="0" fillId="6" fontId="2" numFmtId="10" xfId="0" applyAlignment="1" applyFont="1" applyNumberFormat="1">
      <alignment horizontal="right" vertical="bottom"/>
    </xf>
    <xf borderId="4" fillId="6" fontId="2" numFmtId="10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6" fontId="2" numFmtId="0" xfId="0" applyAlignment="1" applyFont="1">
      <alignment vertical="bottom"/>
    </xf>
    <xf borderId="0" fillId="0" fontId="2" numFmtId="3" xfId="0" applyAlignment="1" applyFont="1" applyNumberFormat="1">
      <alignment horizontal="center" vertical="bottom"/>
    </xf>
    <xf borderId="4" fillId="0" fontId="2" numFmtId="3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4" fillId="0" fontId="2" numFmtId="10" xfId="0" applyAlignment="1" applyBorder="1" applyFont="1" applyNumberFormat="1">
      <alignment horizontal="center" vertical="bottom"/>
    </xf>
    <xf borderId="4" fillId="6" fontId="2" numFmtId="164" xfId="0" applyAlignment="1" applyBorder="1" applyFont="1" applyNumberFormat="1">
      <alignment horizontal="right" vertical="bottom"/>
    </xf>
    <xf borderId="0" fillId="6" fontId="2" numFmtId="9" xfId="0" applyAlignment="1" applyFont="1" applyNumberFormat="1">
      <alignment horizontal="center" vertical="bottom"/>
    </xf>
    <xf borderId="5" fillId="5" fontId="2" numFmtId="0" xfId="0" applyAlignment="1" applyBorder="1" applyFont="1">
      <alignment vertical="bottom"/>
    </xf>
    <xf borderId="0" fillId="6" fontId="6" numFmtId="164" xfId="0" applyAlignment="1" applyFont="1" applyNumberFormat="1">
      <alignment horizontal="right" vertical="bottom"/>
    </xf>
    <xf borderId="4" fillId="6" fontId="6" numFmtId="164" xfId="0" applyAlignment="1" applyBorder="1" applyFont="1" applyNumberFormat="1">
      <alignment horizontal="right" vertical="bottom"/>
    </xf>
    <xf borderId="5" fillId="4" fontId="2" numFmtId="0" xfId="0" applyAlignment="1" applyBorder="1" applyFont="1">
      <alignment vertical="bottom"/>
    </xf>
    <xf borderId="6" fillId="6" fontId="6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7" fillId="6" fontId="6" numFmtId="164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0" fillId="0" fontId="2" numFmtId="9" xfId="0" applyAlignment="1" applyFont="1" applyNumberFormat="1">
      <alignment horizontal="center" vertical="bottom"/>
    </xf>
    <xf borderId="2" fillId="2" fontId="4" numFmtId="164" xfId="0" applyAlignment="1" applyBorder="1" applyFont="1" applyNumberFormat="1">
      <alignment vertical="bottom"/>
    </xf>
    <xf borderId="4" fillId="0" fontId="2" numFmtId="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6" width="12.63"/>
    <col customWidth="1" min="8" max="8" width="25.38"/>
  </cols>
  <sheetData>
    <row r="1" ht="15.75" customHeight="1">
      <c r="A1" s="1" t="s">
        <v>0</v>
      </c>
      <c r="M1" s="2"/>
      <c r="N1" s="2"/>
      <c r="O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3" t="s">
        <v>1</v>
      </c>
      <c r="G3" s="2"/>
      <c r="H3" s="3" t="s">
        <v>2</v>
      </c>
      <c r="M3" s="2"/>
      <c r="N3" s="2"/>
      <c r="O3" s="2"/>
    </row>
    <row r="4" ht="15.7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2"/>
      <c r="H4" s="6" t="s">
        <v>3</v>
      </c>
      <c r="I4" s="6" t="s">
        <v>4</v>
      </c>
      <c r="J4" s="6" t="s">
        <v>5</v>
      </c>
      <c r="K4" s="6" t="s">
        <v>6</v>
      </c>
      <c r="L4" s="6" t="s">
        <v>7</v>
      </c>
      <c r="M4" s="2"/>
      <c r="N4" s="2"/>
      <c r="O4" s="2"/>
    </row>
    <row r="5" ht="15.75" customHeight="1">
      <c r="A5" s="7" t="s">
        <v>9</v>
      </c>
      <c r="B5" s="8"/>
      <c r="C5" s="8"/>
      <c r="D5" s="8"/>
      <c r="E5" s="9"/>
      <c r="F5" s="9"/>
      <c r="G5" s="2"/>
      <c r="H5" s="10" t="s">
        <v>10</v>
      </c>
      <c r="I5" s="2"/>
      <c r="J5" s="11"/>
      <c r="K5" s="2"/>
      <c r="L5" s="12"/>
      <c r="M5" s="2"/>
      <c r="N5" s="2"/>
      <c r="O5" s="2"/>
    </row>
    <row r="6" ht="15.75" customHeight="1">
      <c r="A6" s="7" t="s">
        <v>11</v>
      </c>
      <c r="B6" s="8"/>
      <c r="C6" s="8"/>
      <c r="D6" s="8"/>
      <c r="E6" s="9"/>
      <c r="F6" s="9"/>
      <c r="G6" s="2"/>
      <c r="H6" s="10" t="s">
        <v>12</v>
      </c>
      <c r="I6" s="2"/>
      <c r="J6" s="11"/>
      <c r="K6" s="2"/>
      <c r="L6" s="12"/>
      <c r="M6" s="2"/>
      <c r="N6" s="2"/>
      <c r="O6" s="2"/>
    </row>
    <row r="7" ht="15.75" customHeight="1">
      <c r="A7" s="13" t="s">
        <v>13</v>
      </c>
      <c r="B7" s="14" t="str">
        <f t="shared" ref="B7:F7" si="1">(B5/B6)*1000</f>
        <v>#DIV/0!</v>
      </c>
      <c r="C7" s="14" t="str">
        <f t="shared" si="1"/>
        <v>#DIV/0!</v>
      </c>
      <c r="D7" s="14" t="str">
        <f t="shared" si="1"/>
        <v>#DIV/0!</v>
      </c>
      <c r="E7" s="15" t="str">
        <f t="shared" si="1"/>
        <v>#DIV/0!</v>
      </c>
      <c r="F7" s="15" t="str">
        <f t="shared" si="1"/>
        <v>#DIV/0!</v>
      </c>
      <c r="G7" s="2"/>
      <c r="H7" s="10" t="s">
        <v>14</v>
      </c>
      <c r="I7" s="2"/>
      <c r="J7" s="11"/>
      <c r="K7" s="2"/>
      <c r="L7" s="12"/>
      <c r="M7" s="2"/>
      <c r="N7" s="2"/>
      <c r="O7" s="2"/>
    </row>
    <row r="8" ht="15.75" customHeight="1">
      <c r="A8" s="7" t="s">
        <v>15</v>
      </c>
      <c r="B8" s="16" t="str">
        <f t="shared" ref="B8:F8" si="2">B5/B9</f>
        <v>#DIV/0!</v>
      </c>
      <c r="C8" s="16" t="str">
        <f t="shared" si="2"/>
        <v>#DIV/0!</v>
      </c>
      <c r="D8" s="17" t="str">
        <f t="shared" si="2"/>
        <v>#DIV/0!</v>
      </c>
      <c r="E8" s="18" t="str">
        <f t="shared" si="2"/>
        <v>#DIV/0!</v>
      </c>
      <c r="F8" s="18" t="str">
        <f t="shared" si="2"/>
        <v>#DIV/0!</v>
      </c>
      <c r="G8" s="2"/>
      <c r="H8" s="10" t="s">
        <v>16</v>
      </c>
      <c r="I8" s="2"/>
      <c r="J8" s="11"/>
      <c r="K8" s="2"/>
      <c r="L8" s="12"/>
      <c r="M8" s="2"/>
      <c r="N8" s="2"/>
      <c r="O8" s="2"/>
    </row>
    <row r="9" ht="15.75" customHeight="1">
      <c r="A9" s="7" t="s">
        <v>17</v>
      </c>
      <c r="B9" s="19" t="str">
        <f t="shared" ref="B9:F9" si="3">B7*B17</f>
        <v>#DIV/0!</v>
      </c>
      <c r="C9" s="19" t="str">
        <f t="shared" si="3"/>
        <v>#DIV/0!</v>
      </c>
      <c r="D9" s="19" t="str">
        <f t="shared" si="3"/>
        <v>#DIV/0!</v>
      </c>
      <c r="E9" s="20" t="str">
        <f t="shared" si="3"/>
        <v>#DIV/0!</v>
      </c>
      <c r="F9" s="20" t="str">
        <f t="shared" si="3"/>
        <v>#DIV/0!</v>
      </c>
      <c r="G9" s="2"/>
      <c r="H9" s="10" t="s">
        <v>18</v>
      </c>
      <c r="I9" s="16" t="str">
        <f t="shared" ref="I9:K9" si="4">B5/I7</f>
        <v>#DIV/0!</v>
      </c>
      <c r="J9" s="21" t="str">
        <f t="shared" si="4"/>
        <v>#DIV/0!</v>
      </c>
      <c r="K9" s="16" t="str">
        <f t="shared" si="4"/>
        <v>#DIV/0!</v>
      </c>
      <c r="L9" s="22" t="str">
        <f>F5/L7</f>
        <v>#DIV/0!</v>
      </c>
      <c r="M9" s="2"/>
      <c r="N9" s="2"/>
      <c r="O9" s="2"/>
    </row>
    <row r="10" ht="15.75" customHeight="1">
      <c r="A10" s="7" t="s">
        <v>19</v>
      </c>
      <c r="B10" s="19" t="str">
        <f t="shared" ref="B10:F10" si="5">B9*B18</f>
        <v>#DIV/0!</v>
      </c>
      <c r="C10" s="19" t="str">
        <f t="shared" si="5"/>
        <v>#DIV/0!</v>
      </c>
      <c r="D10" s="19" t="str">
        <f t="shared" si="5"/>
        <v>#DIV/0!</v>
      </c>
      <c r="E10" s="20" t="str">
        <f t="shared" si="5"/>
        <v>#DIV/0!</v>
      </c>
      <c r="F10" s="20" t="str">
        <f t="shared" si="5"/>
        <v>#DIV/0!</v>
      </c>
      <c r="G10" s="2"/>
      <c r="H10" s="10" t="s">
        <v>20</v>
      </c>
      <c r="I10" s="23" t="str">
        <f t="shared" ref="I10:L10" si="6">I6/(I6+I7)</f>
        <v>#DIV/0!</v>
      </c>
      <c r="J10" s="24" t="str">
        <f t="shared" si="6"/>
        <v>#DIV/0!</v>
      </c>
      <c r="K10" s="23" t="str">
        <f t="shared" si="6"/>
        <v>#DIV/0!</v>
      </c>
      <c r="L10" s="25" t="str">
        <f t="shared" si="6"/>
        <v>#DIV/0!</v>
      </c>
      <c r="M10" s="2"/>
      <c r="N10" s="2"/>
      <c r="O10" s="2"/>
    </row>
    <row r="11" ht="15.75" customHeight="1">
      <c r="A11" s="7" t="s">
        <v>21</v>
      </c>
      <c r="B11" s="26"/>
      <c r="C11" s="26"/>
      <c r="D11" s="26"/>
      <c r="E11" s="27"/>
      <c r="F11" s="27"/>
      <c r="G11" s="2"/>
      <c r="H11" s="10" t="s">
        <v>22</v>
      </c>
      <c r="I11" s="23" t="str">
        <f t="shared" ref="I11:L11" si="7">I13/I7</f>
        <v>#DIV/0!</v>
      </c>
      <c r="J11" s="24" t="str">
        <f t="shared" si="7"/>
        <v>#DIV/0!</v>
      </c>
      <c r="K11" s="23" t="str">
        <f t="shared" si="7"/>
        <v>#DIV/0!</v>
      </c>
      <c r="L11" s="25" t="str">
        <f t="shared" si="7"/>
        <v>#DIV/0!</v>
      </c>
      <c r="M11" s="2"/>
      <c r="N11" s="2"/>
      <c r="O11" s="2"/>
    </row>
    <row r="12" ht="15.75" customHeight="1">
      <c r="A12" s="7" t="s">
        <v>23</v>
      </c>
      <c r="B12" s="16" t="str">
        <f t="shared" ref="B12:F12" si="8">B5/B11</f>
        <v>#DIV/0!</v>
      </c>
      <c r="C12" s="16" t="str">
        <f t="shared" si="8"/>
        <v>#DIV/0!</v>
      </c>
      <c r="D12" s="16" t="str">
        <f t="shared" si="8"/>
        <v>#DIV/0!</v>
      </c>
      <c r="E12" s="22" t="str">
        <f t="shared" si="8"/>
        <v>#DIV/0!</v>
      </c>
      <c r="F12" s="22" t="str">
        <f t="shared" si="8"/>
        <v>#DIV/0!</v>
      </c>
      <c r="G12" s="2"/>
      <c r="H12" s="10" t="s">
        <v>24</v>
      </c>
      <c r="I12" s="28">
        <f t="shared" ref="I12:L12" si="9">I7-I13-I8</f>
        <v>0</v>
      </c>
      <c r="J12" s="28">
        <f t="shared" si="9"/>
        <v>0</v>
      </c>
      <c r="K12" s="28">
        <f t="shared" si="9"/>
        <v>0</v>
      </c>
      <c r="L12" s="28">
        <f t="shared" si="9"/>
        <v>0</v>
      </c>
      <c r="M12" s="2"/>
      <c r="N12" s="2"/>
      <c r="O12" s="2"/>
    </row>
    <row r="13" ht="15.75" customHeight="1">
      <c r="A13" s="7" t="s">
        <v>25</v>
      </c>
      <c r="B13" s="26"/>
      <c r="C13" s="26"/>
      <c r="D13" s="26"/>
      <c r="E13" s="27"/>
      <c r="F13" s="27"/>
      <c r="G13" s="2"/>
      <c r="H13" s="10" t="s">
        <v>26</v>
      </c>
      <c r="I13" s="2"/>
      <c r="J13" s="11"/>
      <c r="K13" s="2"/>
      <c r="L13" s="12"/>
      <c r="M13" s="2"/>
      <c r="N13" s="2"/>
      <c r="O13" s="2"/>
    </row>
    <row r="14" ht="15.75" customHeight="1">
      <c r="A14" s="7" t="s">
        <v>27</v>
      </c>
      <c r="B14" s="16" t="str">
        <f t="shared" ref="B14:F14" si="10">B13/B5</f>
        <v>#DIV/0!</v>
      </c>
      <c r="C14" s="16" t="str">
        <f t="shared" si="10"/>
        <v>#DIV/0!</v>
      </c>
      <c r="D14" s="16" t="str">
        <f t="shared" si="10"/>
        <v>#DIV/0!</v>
      </c>
      <c r="E14" s="22" t="str">
        <f t="shared" si="10"/>
        <v>#DIV/0!</v>
      </c>
      <c r="F14" s="22" t="str">
        <f t="shared" si="10"/>
        <v>#DIV/0!</v>
      </c>
      <c r="G14" s="2"/>
      <c r="H14" s="10" t="s">
        <v>28</v>
      </c>
      <c r="I14" s="2"/>
      <c r="J14" s="11"/>
      <c r="K14" s="2"/>
      <c r="L14" s="12"/>
      <c r="M14" s="2"/>
      <c r="N14" s="2"/>
      <c r="O14" s="2"/>
    </row>
    <row r="15" ht="15.75" customHeight="1">
      <c r="A15" s="7" t="s">
        <v>29</v>
      </c>
      <c r="B15" s="29"/>
      <c r="C15" s="29"/>
      <c r="D15" s="29"/>
      <c r="E15" s="30"/>
      <c r="F15" s="30"/>
      <c r="G15" s="2"/>
      <c r="H15" s="10" t="s">
        <v>30</v>
      </c>
      <c r="I15" s="2"/>
      <c r="J15" s="11"/>
      <c r="K15" s="2"/>
      <c r="L15" s="12"/>
      <c r="M15" s="2"/>
      <c r="N15" s="2"/>
      <c r="O15" s="2"/>
    </row>
    <row r="16" ht="15.75" customHeight="1">
      <c r="A16" s="7" t="s">
        <v>31</v>
      </c>
      <c r="B16" s="16" t="str">
        <f>B15/B5</f>
        <v>#DIV/0!</v>
      </c>
      <c r="C16" s="16" t="str">
        <f t="shared" ref="C16:F16" si="11">C15/C7</f>
        <v>#DIV/0!</v>
      </c>
      <c r="D16" s="16" t="str">
        <f t="shared" si="11"/>
        <v>#DIV/0!</v>
      </c>
      <c r="E16" s="22" t="str">
        <f t="shared" si="11"/>
        <v>#DIV/0!</v>
      </c>
      <c r="F16" s="22" t="str">
        <f t="shared" si="11"/>
        <v>#DIV/0!</v>
      </c>
      <c r="G16" s="2"/>
      <c r="H16" s="10" t="s">
        <v>32</v>
      </c>
      <c r="I16" s="2"/>
      <c r="J16" s="11"/>
      <c r="K16" s="2"/>
      <c r="L16" s="12"/>
      <c r="M16" s="2"/>
      <c r="N16" s="2"/>
      <c r="O16" s="2"/>
    </row>
    <row r="17" ht="15.75" customHeight="1">
      <c r="A17" s="7" t="s">
        <v>33</v>
      </c>
      <c r="B17" s="31"/>
      <c r="C17" s="31"/>
      <c r="D17" s="31"/>
      <c r="E17" s="32"/>
      <c r="F17" s="32"/>
      <c r="G17" s="2"/>
      <c r="H17" s="10" t="s">
        <v>34</v>
      </c>
      <c r="I17" s="21"/>
      <c r="J17" s="21"/>
      <c r="K17" s="21"/>
      <c r="L17" s="33"/>
      <c r="M17" s="2"/>
      <c r="N17" s="2"/>
      <c r="O17" s="2"/>
    </row>
    <row r="18" ht="15.75" customHeight="1">
      <c r="A18" s="7" t="s">
        <v>35</v>
      </c>
      <c r="B18" s="31"/>
      <c r="C18" s="31"/>
      <c r="D18" s="31"/>
      <c r="E18" s="32"/>
      <c r="F18" s="32"/>
      <c r="G18" s="2"/>
      <c r="H18" s="10" t="s">
        <v>36</v>
      </c>
      <c r="I18" s="21"/>
      <c r="J18" s="21"/>
      <c r="K18" s="21"/>
      <c r="L18" s="33"/>
      <c r="M18" s="2"/>
      <c r="N18" s="2"/>
      <c r="O18" s="2"/>
    </row>
    <row r="19" ht="15.75" customHeight="1">
      <c r="A19" s="7" t="s">
        <v>37</v>
      </c>
      <c r="B19" s="34" t="str">
        <f t="shared" ref="B19:F19" si="12">B11/B10</f>
        <v>#DIV/0!</v>
      </c>
      <c r="C19" s="34" t="str">
        <f t="shared" si="12"/>
        <v>#DIV/0!</v>
      </c>
      <c r="D19" s="34" t="str">
        <f t="shared" si="12"/>
        <v>#DIV/0!</v>
      </c>
      <c r="E19" s="22" t="str">
        <f t="shared" si="12"/>
        <v>#DIV/0!</v>
      </c>
      <c r="F19" s="22" t="str">
        <f t="shared" si="12"/>
        <v>#DIV/0!</v>
      </c>
      <c r="G19" s="2"/>
      <c r="H19" s="10" t="s">
        <v>38</v>
      </c>
      <c r="I19" s="21"/>
      <c r="J19" s="21"/>
      <c r="K19" s="21"/>
      <c r="L19" s="33"/>
      <c r="M19" s="2"/>
      <c r="N19" s="2"/>
      <c r="O19" s="2"/>
    </row>
    <row r="20" ht="15.75" customHeight="1">
      <c r="A20" s="7" t="s">
        <v>39</v>
      </c>
      <c r="B20" s="26"/>
      <c r="C20" s="26"/>
      <c r="D20" s="26"/>
      <c r="E20" s="26"/>
      <c r="F20" s="26"/>
      <c r="G20" s="2"/>
      <c r="H20" s="35" t="s">
        <v>40</v>
      </c>
      <c r="I20" s="36">
        <f t="shared" ref="I20:L20" si="13">(I14*I17)+(I15*I18)+(I16*I19)</f>
        <v>0</v>
      </c>
      <c r="J20" s="36">
        <f t="shared" si="13"/>
        <v>0</v>
      </c>
      <c r="K20" s="36">
        <f t="shared" si="13"/>
        <v>0</v>
      </c>
      <c r="L20" s="37">
        <f t="shared" si="13"/>
        <v>0</v>
      </c>
      <c r="M20" s="2"/>
      <c r="N20" s="2"/>
      <c r="O20" s="2"/>
    </row>
    <row r="21" ht="15.75" customHeight="1">
      <c r="A21" s="38" t="s">
        <v>41</v>
      </c>
      <c r="B21" s="39" t="str">
        <f>B20/B5</f>
        <v>#DIV/0!</v>
      </c>
      <c r="C21" s="39" t="str">
        <f t="shared" ref="C21:F21" si="14">C5/C20</f>
        <v>#DIV/0!</v>
      </c>
      <c r="D21" s="39" t="str">
        <f t="shared" si="14"/>
        <v>#DIV/0!</v>
      </c>
      <c r="E21" s="39" t="str">
        <f t="shared" si="14"/>
        <v>#DIV/0!</v>
      </c>
      <c r="F21" s="39" t="str">
        <f t="shared" si="14"/>
        <v>#DIV/0!</v>
      </c>
      <c r="G21" s="2"/>
      <c r="H21" s="40"/>
      <c r="I21" s="40"/>
      <c r="J21" s="40"/>
      <c r="K21" s="40"/>
      <c r="L21" s="40"/>
      <c r="M21" s="2"/>
      <c r="N21" s="2"/>
      <c r="O21" s="2"/>
    </row>
    <row r="22" ht="15.75" customHeight="1">
      <c r="A22" s="2"/>
      <c r="B22" s="2"/>
      <c r="C22" s="2"/>
      <c r="D22" s="2"/>
      <c r="E22" s="2"/>
      <c r="F22" s="2"/>
      <c r="G22" s="2"/>
      <c r="H22" s="40"/>
      <c r="I22" s="40"/>
      <c r="J22" s="40"/>
      <c r="K22" s="40"/>
      <c r="L22" s="40"/>
      <c r="M22" s="2"/>
      <c r="N22" s="2"/>
      <c r="O22" s="2"/>
    </row>
    <row r="23" ht="15.75" customHeight="1">
      <c r="A23" s="4" t="s">
        <v>3</v>
      </c>
      <c r="B23" s="5" t="s">
        <v>4</v>
      </c>
      <c r="C23" s="5" t="s">
        <v>5</v>
      </c>
      <c r="D23" s="5" t="s">
        <v>6</v>
      </c>
      <c r="E23" s="5" t="s">
        <v>7</v>
      </c>
      <c r="F23" s="5" t="s">
        <v>8</v>
      </c>
      <c r="G23" s="2"/>
      <c r="H23" s="6" t="s">
        <v>42</v>
      </c>
      <c r="I23" s="6" t="s">
        <v>4</v>
      </c>
      <c r="J23" s="6" t="s">
        <v>5</v>
      </c>
      <c r="K23" s="6" t="s">
        <v>6</v>
      </c>
      <c r="L23" s="6" t="s">
        <v>7</v>
      </c>
      <c r="M23" s="2"/>
      <c r="N23" s="2"/>
      <c r="O23" s="2"/>
    </row>
    <row r="24" ht="15.75" customHeight="1">
      <c r="A24" s="7" t="s">
        <v>9</v>
      </c>
      <c r="B24" s="8"/>
      <c r="C24" s="8"/>
      <c r="D24" s="8"/>
      <c r="E24" s="9"/>
      <c r="F24" s="9"/>
      <c r="G24" s="2"/>
      <c r="H24" s="10" t="s">
        <v>10</v>
      </c>
      <c r="I24" s="2"/>
      <c r="J24" s="11"/>
      <c r="K24" s="2"/>
      <c r="L24" s="12"/>
      <c r="M24" s="2"/>
      <c r="N24" s="2"/>
      <c r="O24" s="2"/>
    </row>
    <row r="25" ht="15.75" customHeight="1">
      <c r="A25" s="7" t="s">
        <v>11</v>
      </c>
      <c r="B25" s="8"/>
      <c r="C25" s="8"/>
      <c r="D25" s="8"/>
      <c r="E25" s="9"/>
      <c r="F25" s="9"/>
      <c r="G25" s="2"/>
      <c r="H25" s="10" t="s">
        <v>12</v>
      </c>
      <c r="I25" s="2"/>
      <c r="J25" s="11"/>
      <c r="K25" s="2"/>
      <c r="L25" s="12"/>
      <c r="M25" s="2"/>
      <c r="N25" s="2"/>
      <c r="O25" s="2"/>
    </row>
    <row r="26" ht="15.75" customHeight="1">
      <c r="A26" s="13" t="s">
        <v>13</v>
      </c>
      <c r="B26" s="14" t="str">
        <f t="shared" ref="B26:F26" si="15">(B24/B25)*1000</f>
        <v>#DIV/0!</v>
      </c>
      <c r="C26" s="14" t="str">
        <f t="shared" si="15"/>
        <v>#DIV/0!</v>
      </c>
      <c r="D26" s="14" t="str">
        <f t="shared" si="15"/>
        <v>#DIV/0!</v>
      </c>
      <c r="E26" s="15" t="str">
        <f t="shared" si="15"/>
        <v>#DIV/0!</v>
      </c>
      <c r="F26" s="15" t="str">
        <f t="shared" si="15"/>
        <v>#DIV/0!</v>
      </c>
      <c r="G26" s="2"/>
      <c r="H26" s="10" t="s">
        <v>14</v>
      </c>
      <c r="I26" s="2"/>
      <c r="J26" s="11"/>
      <c r="K26" s="2"/>
      <c r="L26" s="12"/>
      <c r="M26" s="2"/>
      <c r="N26" s="2"/>
      <c r="O26" s="2"/>
    </row>
    <row r="27" ht="15.75" customHeight="1">
      <c r="A27" s="7" t="s">
        <v>15</v>
      </c>
      <c r="B27" s="16" t="str">
        <f t="shared" ref="B27:F27" si="16">B24/B28</f>
        <v>#DIV/0!</v>
      </c>
      <c r="C27" s="16" t="str">
        <f t="shared" si="16"/>
        <v>#DIV/0!</v>
      </c>
      <c r="D27" s="17" t="str">
        <f t="shared" si="16"/>
        <v>#DIV/0!</v>
      </c>
      <c r="E27" s="18" t="str">
        <f t="shared" si="16"/>
        <v>#DIV/0!</v>
      </c>
      <c r="F27" s="18" t="str">
        <f t="shared" si="16"/>
        <v>#DIV/0!</v>
      </c>
      <c r="G27" s="2"/>
      <c r="H27" s="10" t="s">
        <v>16</v>
      </c>
      <c r="I27" s="2"/>
      <c r="J27" s="11"/>
      <c r="K27" s="2"/>
      <c r="L27" s="12"/>
      <c r="M27" s="2"/>
      <c r="N27" s="2"/>
      <c r="O27" s="2"/>
    </row>
    <row r="28" ht="15.75" customHeight="1">
      <c r="A28" s="7" t="s">
        <v>17</v>
      </c>
      <c r="B28" s="19" t="str">
        <f t="shared" ref="B28:F28" si="17">B26*B36</f>
        <v>#DIV/0!</v>
      </c>
      <c r="C28" s="19" t="str">
        <f t="shared" si="17"/>
        <v>#DIV/0!</v>
      </c>
      <c r="D28" s="19" t="str">
        <f t="shared" si="17"/>
        <v>#DIV/0!</v>
      </c>
      <c r="E28" s="20" t="str">
        <f t="shared" si="17"/>
        <v>#DIV/0!</v>
      </c>
      <c r="F28" s="20" t="str">
        <f t="shared" si="17"/>
        <v>#DIV/0!</v>
      </c>
      <c r="G28" s="2"/>
      <c r="H28" s="10" t="s">
        <v>18</v>
      </c>
      <c r="I28" s="16" t="str">
        <f t="shared" ref="I28:K28" si="18">B24/I26</f>
        <v>#DIV/0!</v>
      </c>
      <c r="J28" s="21" t="str">
        <f t="shared" si="18"/>
        <v>#DIV/0!</v>
      </c>
      <c r="K28" s="16" t="str">
        <f t="shared" si="18"/>
        <v>#DIV/0!</v>
      </c>
      <c r="L28" s="22" t="str">
        <f>F24/L26</f>
        <v>#DIV/0!</v>
      </c>
      <c r="M28" s="2"/>
      <c r="N28" s="2"/>
      <c r="O28" s="2"/>
    </row>
    <row r="29" ht="15.75" customHeight="1">
      <c r="A29" s="7" t="s">
        <v>19</v>
      </c>
      <c r="B29" s="19" t="str">
        <f t="shared" ref="B29:F29" si="19">B28*B37</f>
        <v>#DIV/0!</v>
      </c>
      <c r="C29" s="19" t="str">
        <f t="shared" si="19"/>
        <v>#DIV/0!</v>
      </c>
      <c r="D29" s="19" t="str">
        <f t="shared" si="19"/>
        <v>#DIV/0!</v>
      </c>
      <c r="E29" s="20" t="str">
        <f t="shared" si="19"/>
        <v>#DIV/0!</v>
      </c>
      <c r="F29" s="20" t="str">
        <f t="shared" si="19"/>
        <v>#DIV/0!</v>
      </c>
      <c r="G29" s="2"/>
      <c r="H29" s="10" t="s">
        <v>20</v>
      </c>
      <c r="I29" s="23" t="str">
        <f t="shared" ref="I29:L29" si="20">I25/(I25+I26)</f>
        <v>#DIV/0!</v>
      </c>
      <c r="J29" s="24" t="str">
        <f t="shared" si="20"/>
        <v>#DIV/0!</v>
      </c>
      <c r="K29" s="23" t="str">
        <f t="shared" si="20"/>
        <v>#DIV/0!</v>
      </c>
      <c r="L29" s="25" t="str">
        <f t="shared" si="20"/>
        <v>#DIV/0!</v>
      </c>
      <c r="M29" s="2"/>
      <c r="N29" s="2"/>
      <c r="O29" s="2"/>
    </row>
    <row r="30" ht="15.75" customHeight="1">
      <c r="A30" s="7" t="s">
        <v>21</v>
      </c>
      <c r="B30" s="26"/>
      <c r="C30" s="26"/>
      <c r="D30" s="26"/>
      <c r="E30" s="27"/>
      <c r="F30" s="27"/>
      <c r="G30" s="2"/>
      <c r="H30" s="10" t="s">
        <v>22</v>
      </c>
      <c r="I30" s="23" t="str">
        <f t="shared" ref="I30:L30" si="21">I32/I26</f>
        <v>#DIV/0!</v>
      </c>
      <c r="J30" s="24" t="str">
        <f t="shared" si="21"/>
        <v>#DIV/0!</v>
      </c>
      <c r="K30" s="23" t="str">
        <f t="shared" si="21"/>
        <v>#DIV/0!</v>
      </c>
      <c r="L30" s="25" t="str">
        <f t="shared" si="21"/>
        <v>#DIV/0!</v>
      </c>
      <c r="M30" s="2"/>
      <c r="N30" s="2"/>
      <c r="O30" s="2"/>
    </row>
    <row r="31" ht="15.75" customHeight="1">
      <c r="A31" s="7" t="s">
        <v>23</v>
      </c>
      <c r="B31" s="16" t="str">
        <f t="shared" ref="B31:F31" si="22">B24/B30</f>
        <v>#DIV/0!</v>
      </c>
      <c r="C31" s="16" t="str">
        <f t="shared" si="22"/>
        <v>#DIV/0!</v>
      </c>
      <c r="D31" s="16" t="str">
        <f t="shared" si="22"/>
        <v>#DIV/0!</v>
      </c>
      <c r="E31" s="22" t="str">
        <f t="shared" si="22"/>
        <v>#DIV/0!</v>
      </c>
      <c r="F31" s="22" t="str">
        <f t="shared" si="22"/>
        <v>#DIV/0!</v>
      </c>
      <c r="G31" s="2"/>
      <c r="H31" s="10" t="s">
        <v>24</v>
      </c>
      <c r="I31" s="28">
        <f t="shared" ref="I31:L31" si="23">I26-I32-I27</f>
        <v>0</v>
      </c>
      <c r="J31" s="28">
        <f t="shared" si="23"/>
        <v>0</v>
      </c>
      <c r="K31" s="28">
        <f t="shared" si="23"/>
        <v>0</v>
      </c>
      <c r="L31" s="28">
        <f t="shared" si="23"/>
        <v>0</v>
      </c>
      <c r="M31" s="2"/>
      <c r="N31" s="2"/>
      <c r="O31" s="2"/>
    </row>
    <row r="32" ht="15.75" customHeight="1">
      <c r="A32" s="7" t="s">
        <v>25</v>
      </c>
      <c r="B32" s="26"/>
      <c r="C32" s="26"/>
      <c r="D32" s="26"/>
      <c r="E32" s="27"/>
      <c r="F32" s="27"/>
      <c r="G32" s="2"/>
      <c r="H32" s="10" t="s">
        <v>26</v>
      </c>
      <c r="I32" s="2"/>
      <c r="J32" s="11"/>
      <c r="K32" s="2"/>
      <c r="L32" s="12"/>
      <c r="M32" s="2"/>
      <c r="N32" s="2"/>
      <c r="O32" s="2"/>
    </row>
    <row r="33" ht="15.75" customHeight="1">
      <c r="A33" s="7" t="s">
        <v>27</v>
      </c>
      <c r="B33" s="16" t="str">
        <f t="shared" ref="B33:F33" si="24">B32/B24</f>
        <v>#DIV/0!</v>
      </c>
      <c r="C33" s="16" t="str">
        <f t="shared" si="24"/>
        <v>#DIV/0!</v>
      </c>
      <c r="D33" s="16" t="str">
        <f t="shared" si="24"/>
        <v>#DIV/0!</v>
      </c>
      <c r="E33" s="22" t="str">
        <f t="shared" si="24"/>
        <v>#DIV/0!</v>
      </c>
      <c r="F33" s="22" t="str">
        <f t="shared" si="24"/>
        <v>#DIV/0!</v>
      </c>
      <c r="G33" s="2"/>
      <c r="H33" s="10" t="s">
        <v>28</v>
      </c>
      <c r="I33" s="2"/>
      <c r="J33" s="11"/>
      <c r="K33" s="2"/>
      <c r="L33" s="12"/>
      <c r="M33" s="2"/>
      <c r="N33" s="2"/>
      <c r="O33" s="2"/>
    </row>
    <row r="34" ht="15.75" customHeight="1">
      <c r="A34" s="7" t="s">
        <v>29</v>
      </c>
      <c r="B34" s="29"/>
      <c r="C34" s="29"/>
      <c r="D34" s="29"/>
      <c r="E34" s="30"/>
      <c r="F34" s="30"/>
      <c r="G34" s="2"/>
      <c r="H34" s="10" t="s">
        <v>30</v>
      </c>
      <c r="I34" s="2"/>
      <c r="J34" s="11"/>
      <c r="K34" s="2"/>
      <c r="L34" s="12"/>
      <c r="M34" s="2"/>
      <c r="N34" s="2"/>
      <c r="O34" s="2"/>
    </row>
    <row r="35" ht="15.75" customHeight="1">
      <c r="A35" s="7" t="s">
        <v>31</v>
      </c>
      <c r="B35" s="16" t="str">
        <f>B34/B24</f>
        <v>#DIV/0!</v>
      </c>
      <c r="C35" s="16" t="str">
        <f t="shared" ref="C35:F35" si="25">C34/C26</f>
        <v>#DIV/0!</v>
      </c>
      <c r="D35" s="16" t="str">
        <f t="shared" si="25"/>
        <v>#DIV/0!</v>
      </c>
      <c r="E35" s="22" t="str">
        <f t="shared" si="25"/>
        <v>#DIV/0!</v>
      </c>
      <c r="F35" s="22" t="str">
        <f t="shared" si="25"/>
        <v>#DIV/0!</v>
      </c>
      <c r="G35" s="2"/>
      <c r="H35" s="10" t="s">
        <v>32</v>
      </c>
      <c r="I35" s="2"/>
      <c r="J35" s="11"/>
      <c r="K35" s="2"/>
      <c r="L35" s="12"/>
      <c r="M35" s="2"/>
      <c r="N35" s="2"/>
      <c r="O35" s="2"/>
    </row>
    <row r="36" ht="15.75" customHeight="1">
      <c r="A36" s="7" t="s">
        <v>33</v>
      </c>
      <c r="B36" s="31"/>
      <c r="C36" s="31"/>
      <c r="D36" s="31"/>
      <c r="E36" s="32"/>
      <c r="F36" s="32"/>
      <c r="G36" s="2"/>
      <c r="H36" s="10" t="s">
        <v>34</v>
      </c>
      <c r="I36" s="21"/>
      <c r="J36" s="21"/>
      <c r="K36" s="21"/>
      <c r="L36" s="33"/>
      <c r="M36" s="2"/>
      <c r="N36" s="2"/>
      <c r="O36" s="2"/>
    </row>
    <row r="37" ht="15.75" customHeight="1">
      <c r="A37" s="7" t="s">
        <v>35</v>
      </c>
      <c r="B37" s="31"/>
      <c r="C37" s="31"/>
      <c r="D37" s="31"/>
      <c r="E37" s="32"/>
      <c r="F37" s="32"/>
      <c r="G37" s="2"/>
      <c r="H37" s="10" t="s">
        <v>36</v>
      </c>
      <c r="I37" s="21"/>
      <c r="J37" s="21"/>
      <c r="K37" s="21"/>
      <c r="L37" s="33"/>
      <c r="M37" s="2"/>
      <c r="N37" s="2"/>
      <c r="O37" s="2"/>
    </row>
    <row r="38" ht="15.75" customHeight="1">
      <c r="A38" s="7" t="s">
        <v>37</v>
      </c>
      <c r="B38" s="34" t="str">
        <f t="shared" ref="B38:F38" si="26">B30/B29</f>
        <v>#DIV/0!</v>
      </c>
      <c r="C38" s="34" t="str">
        <f t="shared" si="26"/>
        <v>#DIV/0!</v>
      </c>
      <c r="D38" s="34" t="str">
        <f t="shared" si="26"/>
        <v>#DIV/0!</v>
      </c>
      <c r="E38" s="22" t="str">
        <f t="shared" si="26"/>
        <v>#DIV/0!</v>
      </c>
      <c r="F38" s="22" t="str">
        <f t="shared" si="26"/>
        <v>#DIV/0!</v>
      </c>
      <c r="G38" s="2"/>
      <c r="H38" s="10" t="s">
        <v>38</v>
      </c>
      <c r="I38" s="21"/>
      <c r="J38" s="21"/>
      <c r="K38" s="21"/>
      <c r="L38" s="33"/>
      <c r="M38" s="2"/>
      <c r="N38" s="2"/>
      <c r="O38" s="2"/>
    </row>
    <row r="39" ht="15.75" customHeight="1">
      <c r="A39" s="7" t="s">
        <v>39</v>
      </c>
      <c r="B39" s="26"/>
      <c r="C39" s="26"/>
      <c r="D39" s="26"/>
      <c r="E39" s="26"/>
      <c r="F39" s="26"/>
      <c r="G39" s="2"/>
      <c r="H39" s="35" t="s">
        <v>40</v>
      </c>
      <c r="I39" s="36">
        <f t="shared" ref="I39:L39" si="27">(I33*I36)+(I34*I37)+(I35*I38)</f>
        <v>0</v>
      </c>
      <c r="J39" s="36">
        <f t="shared" si="27"/>
        <v>0</v>
      </c>
      <c r="K39" s="36">
        <f t="shared" si="27"/>
        <v>0</v>
      </c>
      <c r="L39" s="37">
        <f t="shared" si="27"/>
        <v>0</v>
      </c>
      <c r="M39" s="2"/>
      <c r="N39" s="2"/>
      <c r="O39" s="2"/>
    </row>
    <row r="40" ht="15.75" customHeight="1">
      <c r="A40" s="38" t="s">
        <v>41</v>
      </c>
      <c r="B40" s="39" t="str">
        <f t="shared" ref="B40:D40" si="28">B24/B39</f>
        <v>#DIV/0!</v>
      </c>
      <c r="C40" s="39" t="str">
        <f t="shared" si="28"/>
        <v>#DIV/0!</v>
      </c>
      <c r="D40" s="39" t="str">
        <f t="shared" si="28"/>
        <v>#DIV/0!</v>
      </c>
      <c r="E40" s="41" t="str">
        <f t="shared" ref="E40:F40" si="29">E39/E24</f>
        <v>#DIV/0!</v>
      </c>
      <c r="F40" s="41" t="str">
        <f t="shared" si="29"/>
        <v>#DIV/0!</v>
      </c>
      <c r="G40" s="2"/>
      <c r="H40" s="40"/>
      <c r="I40" s="40"/>
      <c r="J40" s="40"/>
      <c r="K40" s="40"/>
      <c r="L40" s="40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40"/>
      <c r="I41" s="40"/>
      <c r="J41" s="40"/>
      <c r="K41" s="40"/>
      <c r="L41" s="40"/>
      <c r="M41" s="2"/>
      <c r="N41" s="2"/>
      <c r="O41" s="2"/>
    </row>
    <row r="42" ht="15.75" customHeight="1">
      <c r="A42" s="4" t="s">
        <v>3</v>
      </c>
      <c r="B42" s="5" t="s">
        <v>4</v>
      </c>
      <c r="C42" s="5" t="s">
        <v>5</v>
      </c>
      <c r="D42" s="5" t="s">
        <v>6</v>
      </c>
      <c r="E42" s="5" t="s">
        <v>7</v>
      </c>
      <c r="F42" s="5" t="s">
        <v>8</v>
      </c>
      <c r="G42" s="2"/>
      <c r="H42" s="6" t="s">
        <v>42</v>
      </c>
      <c r="I42" s="6" t="s">
        <v>4</v>
      </c>
      <c r="J42" s="6" t="s">
        <v>5</v>
      </c>
      <c r="K42" s="6" t="s">
        <v>6</v>
      </c>
      <c r="L42" s="6" t="s">
        <v>7</v>
      </c>
      <c r="M42" s="2"/>
      <c r="N42" s="2"/>
      <c r="O42" s="2"/>
    </row>
    <row r="43" ht="15.75" customHeight="1">
      <c r="A43" s="7" t="s">
        <v>9</v>
      </c>
      <c r="B43" s="8"/>
      <c r="C43" s="8"/>
      <c r="D43" s="8"/>
      <c r="E43" s="9"/>
      <c r="F43" s="9"/>
      <c r="G43" s="2"/>
      <c r="H43" s="10" t="s">
        <v>10</v>
      </c>
      <c r="I43" s="2"/>
      <c r="J43" s="11"/>
      <c r="K43" s="2"/>
      <c r="L43" s="12"/>
      <c r="M43" s="2"/>
      <c r="N43" s="2"/>
      <c r="O43" s="2"/>
    </row>
    <row r="44" ht="15.75" customHeight="1">
      <c r="A44" s="7" t="s">
        <v>11</v>
      </c>
      <c r="B44" s="8"/>
      <c r="C44" s="8"/>
      <c r="D44" s="8"/>
      <c r="E44" s="9"/>
      <c r="F44" s="9"/>
      <c r="G44" s="2"/>
      <c r="H44" s="10" t="s">
        <v>12</v>
      </c>
      <c r="I44" s="2"/>
      <c r="J44" s="11"/>
      <c r="K44" s="2"/>
      <c r="L44" s="12"/>
      <c r="M44" s="2"/>
      <c r="N44" s="2"/>
      <c r="O44" s="2"/>
    </row>
    <row r="45" ht="15.75" customHeight="1">
      <c r="A45" s="13" t="s">
        <v>13</v>
      </c>
      <c r="B45" s="14" t="str">
        <f t="shared" ref="B45:F45" si="30">(B43/B44)*1000</f>
        <v>#DIV/0!</v>
      </c>
      <c r="C45" s="14" t="str">
        <f t="shared" si="30"/>
        <v>#DIV/0!</v>
      </c>
      <c r="D45" s="14" t="str">
        <f t="shared" si="30"/>
        <v>#DIV/0!</v>
      </c>
      <c r="E45" s="15" t="str">
        <f t="shared" si="30"/>
        <v>#DIV/0!</v>
      </c>
      <c r="F45" s="15" t="str">
        <f t="shared" si="30"/>
        <v>#DIV/0!</v>
      </c>
      <c r="G45" s="2"/>
      <c r="H45" s="10" t="s">
        <v>14</v>
      </c>
      <c r="I45" s="2"/>
      <c r="J45" s="11"/>
      <c r="K45" s="2"/>
      <c r="L45" s="12"/>
      <c r="M45" s="2"/>
      <c r="N45" s="2"/>
      <c r="O45" s="2"/>
    </row>
    <row r="46" ht="15.75" customHeight="1">
      <c r="A46" s="7" t="s">
        <v>15</v>
      </c>
      <c r="B46" s="16" t="str">
        <f t="shared" ref="B46:F46" si="31">B43/B47</f>
        <v>#DIV/0!</v>
      </c>
      <c r="C46" s="16" t="str">
        <f t="shared" si="31"/>
        <v>#DIV/0!</v>
      </c>
      <c r="D46" s="17" t="str">
        <f t="shared" si="31"/>
        <v>#DIV/0!</v>
      </c>
      <c r="E46" s="18" t="str">
        <f t="shared" si="31"/>
        <v>#DIV/0!</v>
      </c>
      <c r="F46" s="18" t="str">
        <f t="shared" si="31"/>
        <v>#DIV/0!</v>
      </c>
      <c r="G46" s="2"/>
      <c r="H46" s="10" t="s">
        <v>16</v>
      </c>
      <c r="I46" s="2"/>
      <c r="J46" s="11"/>
      <c r="K46" s="2"/>
      <c r="L46" s="12"/>
      <c r="M46" s="2"/>
      <c r="N46" s="2"/>
      <c r="O46" s="2"/>
    </row>
    <row r="47" ht="15.75" customHeight="1">
      <c r="A47" s="7" t="s">
        <v>17</v>
      </c>
      <c r="B47" s="19" t="str">
        <f t="shared" ref="B47:F47" si="32">B45*B55</f>
        <v>#DIV/0!</v>
      </c>
      <c r="C47" s="19" t="str">
        <f t="shared" si="32"/>
        <v>#DIV/0!</v>
      </c>
      <c r="D47" s="19" t="str">
        <f t="shared" si="32"/>
        <v>#DIV/0!</v>
      </c>
      <c r="E47" s="20" t="str">
        <f t="shared" si="32"/>
        <v>#DIV/0!</v>
      </c>
      <c r="F47" s="20" t="str">
        <f t="shared" si="32"/>
        <v>#DIV/0!</v>
      </c>
      <c r="G47" s="2"/>
      <c r="H47" s="10" t="s">
        <v>18</v>
      </c>
      <c r="I47" s="16" t="str">
        <f t="shared" ref="I47:K47" si="33">B43/I45</f>
        <v>#DIV/0!</v>
      </c>
      <c r="J47" s="21" t="str">
        <f t="shared" si="33"/>
        <v>#DIV/0!</v>
      </c>
      <c r="K47" s="16" t="str">
        <f t="shared" si="33"/>
        <v>#DIV/0!</v>
      </c>
      <c r="L47" s="22" t="str">
        <f>F43/L45</f>
        <v>#DIV/0!</v>
      </c>
      <c r="M47" s="2"/>
      <c r="N47" s="2"/>
      <c r="O47" s="2"/>
    </row>
    <row r="48" ht="15.75" customHeight="1">
      <c r="A48" s="7" t="s">
        <v>19</v>
      </c>
      <c r="B48" s="19" t="str">
        <f t="shared" ref="B48:F48" si="34">B47*B56</f>
        <v>#DIV/0!</v>
      </c>
      <c r="C48" s="19" t="str">
        <f t="shared" si="34"/>
        <v>#DIV/0!</v>
      </c>
      <c r="D48" s="19" t="str">
        <f t="shared" si="34"/>
        <v>#DIV/0!</v>
      </c>
      <c r="E48" s="20" t="str">
        <f t="shared" si="34"/>
        <v>#DIV/0!</v>
      </c>
      <c r="F48" s="20" t="str">
        <f t="shared" si="34"/>
        <v>#DIV/0!</v>
      </c>
      <c r="G48" s="2"/>
      <c r="H48" s="10" t="s">
        <v>20</v>
      </c>
      <c r="I48" s="23" t="str">
        <f t="shared" ref="I48:L48" si="35">I44/(I44+I45)</f>
        <v>#DIV/0!</v>
      </c>
      <c r="J48" s="24" t="str">
        <f t="shared" si="35"/>
        <v>#DIV/0!</v>
      </c>
      <c r="K48" s="23" t="str">
        <f t="shared" si="35"/>
        <v>#DIV/0!</v>
      </c>
      <c r="L48" s="25" t="str">
        <f t="shared" si="35"/>
        <v>#DIV/0!</v>
      </c>
      <c r="M48" s="2"/>
      <c r="N48" s="2"/>
      <c r="O48" s="2"/>
    </row>
    <row r="49" ht="15.75" customHeight="1">
      <c r="A49" s="7" t="s">
        <v>21</v>
      </c>
      <c r="B49" s="26"/>
      <c r="C49" s="26"/>
      <c r="D49" s="26"/>
      <c r="E49" s="27"/>
      <c r="F49" s="27"/>
      <c r="G49" s="2"/>
      <c r="H49" s="10" t="s">
        <v>22</v>
      </c>
      <c r="I49" s="23" t="str">
        <f t="shared" ref="I49:L49" si="36">I51/I45</f>
        <v>#DIV/0!</v>
      </c>
      <c r="J49" s="24" t="str">
        <f t="shared" si="36"/>
        <v>#DIV/0!</v>
      </c>
      <c r="K49" s="23" t="str">
        <f t="shared" si="36"/>
        <v>#DIV/0!</v>
      </c>
      <c r="L49" s="25" t="str">
        <f t="shared" si="36"/>
        <v>#DIV/0!</v>
      </c>
      <c r="M49" s="2"/>
      <c r="N49" s="2"/>
      <c r="O49" s="2"/>
    </row>
    <row r="50" ht="15.75" customHeight="1">
      <c r="A50" s="7" t="s">
        <v>23</v>
      </c>
      <c r="B50" s="16" t="str">
        <f t="shared" ref="B50:F50" si="37">B43/B49</f>
        <v>#DIV/0!</v>
      </c>
      <c r="C50" s="16" t="str">
        <f t="shared" si="37"/>
        <v>#DIV/0!</v>
      </c>
      <c r="D50" s="16" t="str">
        <f t="shared" si="37"/>
        <v>#DIV/0!</v>
      </c>
      <c r="E50" s="22" t="str">
        <f t="shared" si="37"/>
        <v>#DIV/0!</v>
      </c>
      <c r="F50" s="22" t="str">
        <f t="shared" si="37"/>
        <v>#DIV/0!</v>
      </c>
      <c r="G50" s="2"/>
      <c r="H50" s="10" t="s">
        <v>24</v>
      </c>
      <c r="I50" s="28">
        <f t="shared" ref="I50:L50" si="38">I45-I51-I46</f>
        <v>0</v>
      </c>
      <c r="J50" s="28">
        <f t="shared" si="38"/>
        <v>0</v>
      </c>
      <c r="K50" s="28">
        <f t="shared" si="38"/>
        <v>0</v>
      </c>
      <c r="L50" s="28">
        <f t="shared" si="38"/>
        <v>0</v>
      </c>
      <c r="M50" s="2"/>
      <c r="N50" s="2"/>
      <c r="O50" s="2"/>
    </row>
    <row r="51" ht="15.75" customHeight="1">
      <c r="A51" s="7" t="s">
        <v>25</v>
      </c>
      <c r="B51" s="26"/>
      <c r="C51" s="26"/>
      <c r="D51" s="26"/>
      <c r="E51" s="27"/>
      <c r="F51" s="27"/>
      <c r="G51" s="2"/>
      <c r="H51" s="10" t="s">
        <v>26</v>
      </c>
      <c r="I51" s="2"/>
      <c r="J51" s="11"/>
      <c r="K51" s="2"/>
      <c r="L51" s="12"/>
      <c r="M51" s="2"/>
      <c r="N51" s="2"/>
      <c r="O51" s="2"/>
    </row>
    <row r="52" ht="15.75" customHeight="1">
      <c r="A52" s="7" t="s">
        <v>27</v>
      </c>
      <c r="B52" s="16" t="str">
        <f t="shared" ref="B52:F52" si="39">B51/B43</f>
        <v>#DIV/0!</v>
      </c>
      <c r="C52" s="16" t="str">
        <f t="shared" si="39"/>
        <v>#DIV/0!</v>
      </c>
      <c r="D52" s="16" t="str">
        <f t="shared" si="39"/>
        <v>#DIV/0!</v>
      </c>
      <c r="E52" s="22" t="str">
        <f t="shared" si="39"/>
        <v>#DIV/0!</v>
      </c>
      <c r="F52" s="22" t="str">
        <f t="shared" si="39"/>
        <v>#DIV/0!</v>
      </c>
      <c r="G52" s="2"/>
      <c r="H52" s="10" t="s">
        <v>28</v>
      </c>
      <c r="I52" s="2"/>
      <c r="J52" s="11"/>
      <c r="K52" s="2"/>
      <c r="L52" s="12"/>
      <c r="M52" s="2"/>
      <c r="N52" s="2"/>
      <c r="O52" s="2"/>
    </row>
    <row r="53" ht="15.75" customHeight="1">
      <c r="A53" s="7" t="s">
        <v>29</v>
      </c>
      <c r="B53" s="29"/>
      <c r="C53" s="29"/>
      <c r="D53" s="29"/>
      <c r="E53" s="30"/>
      <c r="F53" s="30"/>
      <c r="G53" s="2"/>
      <c r="H53" s="10" t="s">
        <v>30</v>
      </c>
      <c r="I53" s="2"/>
      <c r="J53" s="11"/>
      <c r="K53" s="2"/>
      <c r="L53" s="12"/>
      <c r="M53" s="2"/>
      <c r="N53" s="2"/>
      <c r="O53" s="2"/>
    </row>
    <row r="54" ht="15.75" customHeight="1">
      <c r="A54" s="7" t="s">
        <v>31</v>
      </c>
      <c r="B54" s="16" t="str">
        <f>B53/B43</f>
        <v>#DIV/0!</v>
      </c>
      <c r="C54" s="16" t="str">
        <f t="shared" ref="C54:F54" si="40">C53/C45</f>
        <v>#DIV/0!</v>
      </c>
      <c r="D54" s="16" t="str">
        <f t="shared" si="40"/>
        <v>#DIV/0!</v>
      </c>
      <c r="E54" s="22" t="str">
        <f t="shared" si="40"/>
        <v>#DIV/0!</v>
      </c>
      <c r="F54" s="22" t="str">
        <f t="shared" si="40"/>
        <v>#DIV/0!</v>
      </c>
      <c r="G54" s="2"/>
      <c r="H54" s="10" t="s">
        <v>32</v>
      </c>
      <c r="I54" s="2"/>
      <c r="J54" s="11"/>
      <c r="K54" s="2"/>
      <c r="L54" s="12"/>
      <c r="M54" s="2"/>
      <c r="N54" s="2"/>
      <c r="O54" s="2"/>
    </row>
    <row r="55" ht="15.75" customHeight="1">
      <c r="A55" s="7" t="s">
        <v>33</v>
      </c>
      <c r="B55" s="31"/>
      <c r="C55" s="31"/>
      <c r="D55" s="31"/>
      <c r="E55" s="32"/>
      <c r="F55" s="32"/>
      <c r="G55" s="2"/>
      <c r="H55" s="10" t="s">
        <v>34</v>
      </c>
      <c r="I55" s="21"/>
      <c r="J55" s="21"/>
      <c r="K55" s="21"/>
      <c r="L55" s="33"/>
      <c r="M55" s="2"/>
      <c r="N55" s="2"/>
      <c r="O55" s="2"/>
    </row>
    <row r="56" ht="15.75" customHeight="1">
      <c r="A56" s="7" t="s">
        <v>35</v>
      </c>
      <c r="B56" s="31"/>
      <c r="C56" s="31"/>
      <c r="D56" s="31"/>
      <c r="E56" s="32"/>
      <c r="F56" s="32"/>
      <c r="G56" s="2"/>
      <c r="H56" s="10" t="s">
        <v>36</v>
      </c>
      <c r="I56" s="21"/>
      <c r="J56" s="21"/>
      <c r="K56" s="21"/>
      <c r="L56" s="33"/>
      <c r="M56" s="2"/>
      <c r="N56" s="2"/>
      <c r="O56" s="2"/>
    </row>
    <row r="57" ht="15.75" customHeight="1">
      <c r="A57" s="7" t="s">
        <v>37</v>
      </c>
      <c r="B57" s="34" t="str">
        <f t="shared" ref="B57:F57" si="41">B49/B48</f>
        <v>#DIV/0!</v>
      </c>
      <c r="C57" s="34" t="str">
        <f t="shared" si="41"/>
        <v>#DIV/0!</v>
      </c>
      <c r="D57" s="34" t="str">
        <f t="shared" si="41"/>
        <v>#DIV/0!</v>
      </c>
      <c r="E57" s="22" t="str">
        <f t="shared" si="41"/>
        <v>#DIV/0!</v>
      </c>
      <c r="F57" s="22" t="str">
        <f t="shared" si="41"/>
        <v>#DIV/0!</v>
      </c>
      <c r="G57" s="2"/>
      <c r="H57" s="10" t="s">
        <v>38</v>
      </c>
      <c r="I57" s="21"/>
      <c r="J57" s="21"/>
      <c r="K57" s="21"/>
      <c r="L57" s="33"/>
      <c r="M57" s="2"/>
      <c r="N57" s="2"/>
      <c r="O57" s="2"/>
    </row>
    <row r="58" ht="15.75" customHeight="1">
      <c r="A58" s="7" t="s">
        <v>39</v>
      </c>
      <c r="B58" s="26"/>
      <c r="C58" s="26"/>
      <c r="D58" s="26"/>
      <c r="E58" s="26"/>
      <c r="F58" s="26"/>
      <c r="G58" s="2"/>
      <c r="H58" s="35" t="s">
        <v>40</v>
      </c>
      <c r="I58" s="36">
        <f t="shared" ref="I58:L58" si="42">(I52*I55)+(I53*I56)+(I54*I57)</f>
        <v>0</v>
      </c>
      <c r="J58" s="36">
        <f t="shared" si="42"/>
        <v>0</v>
      </c>
      <c r="K58" s="36">
        <f t="shared" si="42"/>
        <v>0</v>
      </c>
      <c r="L58" s="37">
        <f t="shared" si="42"/>
        <v>0</v>
      </c>
      <c r="M58" s="2"/>
      <c r="N58" s="2"/>
      <c r="O58" s="2"/>
    </row>
    <row r="59" ht="15.75" customHeight="1">
      <c r="A59" s="38" t="s">
        <v>41</v>
      </c>
      <c r="B59" s="39" t="str">
        <f t="shared" ref="B59:C59" si="43">B43/B58</f>
        <v>#DIV/0!</v>
      </c>
      <c r="C59" s="39" t="str">
        <f t="shared" si="43"/>
        <v>#DIV/0!</v>
      </c>
      <c r="D59" s="39" t="str">
        <f t="shared" ref="D59:F59" si="44">D58/D43</f>
        <v>#DIV/0!</v>
      </c>
      <c r="E59" s="41" t="str">
        <f t="shared" si="44"/>
        <v>#DIV/0!</v>
      </c>
      <c r="F59" s="41" t="str">
        <f t="shared" si="44"/>
        <v>#DIV/0!</v>
      </c>
      <c r="G59" s="2"/>
      <c r="H59" s="40"/>
      <c r="I59" s="40"/>
      <c r="J59" s="40"/>
      <c r="K59" s="40"/>
      <c r="L59" s="40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40"/>
      <c r="I60" s="40"/>
      <c r="J60" s="40"/>
      <c r="K60" s="40"/>
      <c r="L60" s="40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G62" s="2"/>
      <c r="H62" s="42"/>
      <c r="I62" s="42"/>
      <c r="J62" s="42"/>
      <c r="K62" s="42"/>
      <c r="L62" s="42"/>
      <c r="M62" s="2"/>
      <c r="N62" s="2"/>
      <c r="O62" s="2"/>
    </row>
    <row r="63" ht="15.75" customHeight="1">
      <c r="A63" s="4" t="s">
        <v>3</v>
      </c>
      <c r="B63" s="5" t="s">
        <v>4</v>
      </c>
      <c r="C63" s="5" t="s">
        <v>5</v>
      </c>
      <c r="D63" s="5" t="s">
        <v>6</v>
      </c>
      <c r="E63" s="5" t="s">
        <v>7</v>
      </c>
      <c r="F63" s="5" t="s">
        <v>8</v>
      </c>
      <c r="G63" s="2"/>
      <c r="H63" s="6" t="s">
        <v>43</v>
      </c>
      <c r="I63" s="6" t="s">
        <v>4</v>
      </c>
      <c r="J63" s="6" t="s">
        <v>5</v>
      </c>
      <c r="K63" s="6" t="s">
        <v>6</v>
      </c>
      <c r="L63" s="6" t="s">
        <v>7</v>
      </c>
      <c r="M63" s="2"/>
      <c r="N63" s="2"/>
      <c r="O63" s="2"/>
    </row>
    <row r="64" ht="15.75" customHeight="1">
      <c r="A64" s="7" t="s">
        <v>9</v>
      </c>
      <c r="B64" s="8"/>
      <c r="C64" s="8"/>
      <c r="D64" s="8"/>
      <c r="E64" s="9"/>
      <c r="F64" s="9"/>
      <c r="G64" s="2"/>
      <c r="H64" s="10" t="s">
        <v>10</v>
      </c>
      <c r="I64" s="2"/>
      <c r="J64" s="11"/>
      <c r="K64" s="2"/>
      <c r="L64" s="12"/>
      <c r="M64" s="2"/>
      <c r="N64" s="2"/>
      <c r="O64" s="2"/>
    </row>
    <row r="65" ht="15.75" customHeight="1">
      <c r="A65" s="7" t="s">
        <v>11</v>
      </c>
      <c r="B65" s="8"/>
      <c r="C65" s="8"/>
      <c r="D65" s="8"/>
      <c r="E65" s="9"/>
      <c r="F65" s="9"/>
      <c r="G65" s="2"/>
      <c r="H65" s="10" t="s">
        <v>12</v>
      </c>
      <c r="I65" s="2"/>
      <c r="J65" s="11"/>
      <c r="K65" s="2"/>
      <c r="L65" s="12"/>
      <c r="M65" s="2"/>
      <c r="N65" s="2"/>
      <c r="O65" s="2"/>
    </row>
    <row r="66" ht="15.75" customHeight="1">
      <c r="A66" s="13" t="s">
        <v>13</v>
      </c>
      <c r="B66" s="14" t="str">
        <f t="shared" ref="B66:F66" si="45">(B64/B65)*1000</f>
        <v>#DIV/0!</v>
      </c>
      <c r="C66" s="14" t="str">
        <f t="shared" si="45"/>
        <v>#DIV/0!</v>
      </c>
      <c r="D66" s="14" t="str">
        <f t="shared" si="45"/>
        <v>#DIV/0!</v>
      </c>
      <c r="E66" s="15" t="str">
        <f t="shared" si="45"/>
        <v>#DIV/0!</v>
      </c>
      <c r="F66" s="15" t="str">
        <f t="shared" si="45"/>
        <v>#DIV/0!</v>
      </c>
      <c r="G66" s="2"/>
      <c r="H66" s="10" t="s">
        <v>14</v>
      </c>
      <c r="I66" s="2"/>
      <c r="J66" s="11"/>
      <c r="K66" s="2"/>
      <c r="L66" s="12"/>
      <c r="M66" s="2"/>
      <c r="N66" s="2"/>
      <c r="O66" s="2"/>
    </row>
    <row r="67" ht="15.75" customHeight="1">
      <c r="A67" s="7" t="s">
        <v>15</v>
      </c>
      <c r="B67" s="16" t="str">
        <f t="shared" ref="B67:F67" si="46">B64/B68</f>
        <v>#DIV/0!</v>
      </c>
      <c r="C67" s="16" t="str">
        <f t="shared" si="46"/>
        <v>#DIV/0!</v>
      </c>
      <c r="D67" s="17" t="str">
        <f t="shared" si="46"/>
        <v>#DIV/0!</v>
      </c>
      <c r="E67" s="18" t="str">
        <f t="shared" si="46"/>
        <v>#DIV/0!</v>
      </c>
      <c r="F67" s="18" t="str">
        <f t="shared" si="46"/>
        <v>#DIV/0!</v>
      </c>
      <c r="G67" s="2"/>
      <c r="H67" s="10" t="s">
        <v>16</v>
      </c>
      <c r="I67" s="2"/>
      <c r="J67" s="11"/>
      <c r="K67" s="2"/>
      <c r="L67" s="12"/>
      <c r="M67" s="2"/>
      <c r="N67" s="2"/>
      <c r="O67" s="2"/>
    </row>
    <row r="68" ht="15.75" customHeight="1">
      <c r="A68" s="7" t="s">
        <v>17</v>
      </c>
      <c r="B68" s="19" t="str">
        <f t="shared" ref="B68:F68" si="47">B66*B76</f>
        <v>#DIV/0!</v>
      </c>
      <c r="C68" s="19" t="str">
        <f t="shared" si="47"/>
        <v>#DIV/0!</v>
      </c>
      <c r="D68" s="19" t="str">
        <f t="shared" si="47"/>
        <v>#DIV/0!</v>
      </c>
      <c r="E68" s="20" t="str">
        <f t="shared" si="47"/>
        <v>#DIV/0!</v>
      </c>
      <c r="F68" s="20" t="str">
        <f t="shared" si="47"/>
        <v>#DIV/0!</v>
      </c>
      <c r="G68" s="2"/>
      <c r="H68" s="10" t="s">
        <v>18</v>
      </c>
      <c r="I68" s="16" t="str">
        <f t="shared" ref="I68:K68" si="48">B64/I66</f>
        <v>#DIV/0!</v>
      </c>
      <c r="J68" s="21" t="str">
        <f t="shared" si="48"/>
        <v>#DIV/0!</v>
      </c>
      <c r="K68" s="16" t="str">
        <f t="shared" si="48"/>
        <v>#DIV/0!</v>
      </c>
      <c r="L68" s="22" t="str">
        <f>F64/L66</f>
        <v>#DIV/0!</v>
      </c>
      <c r="M68" s="2"/>
      <c r="N68" s="2"/>
      <c r="O68" s="2"/>
    </row>
    <row r="69" ht="15.75" customHeight="1">
      <c r="A69" s="7" t="s">
        <v>19</v>
      </c>
      <c r="B69" s="19" t="str">
        <f t="shared" ref="B69:F69" si="49">B68*B77</f>
        <v>#DIV/0!</v>
      </c>
      <c r="C69" s="19" t="str">
        <f t="shared" si="49"/>
        <v>#DIV/0!</v>
      </c>
      <c r="D69" s="19" t="str">
        <f t="shared" si="49"/>
        <v>#DIV/0!</v>
      </c>
      <c r="E69" s="20" t="str">
        <f t="shared" si="49"/>
        <v>#DIV/0!</v>
      </c>
      <c r="F69" s="20" t="str">
        <f t="shared" si="49"/>
        <v>#DIV/0!</v>
      </c>
      <c r="G69" s="2"/>
      <c r="H69" s="10" t="s">
        <v>20</v>
      </c>
      <c r="I69" s="23" t="str">
        <f t="shared" ref="I69:L69" si="50">I65/(I65+I66)</f>
        <v>#DIV/0!</v>
      </c>
      <c r="J69" s="24" t="str">
        <f t="shared" si="50"/>
        <v>#DIV/0!</v>
      </c>
      <c r="K69" s="23" t="str">
        <f t="shared" si="50"/>
        <v>#DIV/0!</v>
      </c>
      <c r="L69" s="25" t="str">
        <f t="shared" si="50"/>
        <v>#DIV/0!</v>
      </c>
      <c r="M69" s="2"/>
      <c r="N69" s="2"/>
      <c r="O69" s="2"/>
    </row>
    <row r="70" ht="15.75" customHeight="1">
      <c r="A70" s="7" t="s">
        <v>21</v>
      </c>
      <c r="B70" s="26"/>
      <c r="C70" s="26"/>
      <c r="D70" s="26"/>
      <c r="E70" s="27"/>
      <c r="F70" s="27">
        <v>49.0</v>
      </c>
      <c r="G70" s="2"/>
      <c r="H70" s="10" t="s">
        <v>22</v>
      </c>
      <c r="I70" s="23" t="str">
        <f t="shared" ref="I70:L70" si="51">I72/I66</f>
        <v>#DIV/0!</v>
      </c>
      <c r="J70" s="24" t="str">
        <f t="shared" si="51"/>
        <v>#DIV/0!</v>
      </c>
      <c r="K70" s="23" t="str">
        <f t="shared" si="51"/>
        <v>#DIV/0!</v>
      </c>
      <c r="L70" s="25" t="str">
        <f t="shared" si="51"/>
        <v>#DIV/0!</v>
      </c>
      <c r="M70" s="2"/>
      <c r="N70" s="2"/>
      <c r="O70" s="2"/>
    </row>
    <row r="71" ht="15.75" customHeight="1">
      <c r="A71" s="7" t="s">
        <v>23</v>
      </c>
      <c r="B71" s="16" t="str">
        <f t="shared" ref="B71:F71" si="52">B64/B70</f>
        <v>#DIV/0!</v>
      </c>
      <c r="C71" s="16" t="str">
        <f t="shared" si="52"/>
        <v>#DIV/0!</v>
      </c>
      <c r="D71" s="16" t="str">
        <f t="shared" si="52"/>
        <v>#DIV/0!</v>
      </c>
      <c r="E71" s="22" t="str">
        <f t="shared" si="52"/>
        <v>#DIV/0!</v>
      </c>
      <c r="F71" s="22">
        <f t="shared" si="52"/>
        <v>0</v>
      </c>
      <c r="G71" s="2"/>
      <c r="H71" s="10" t="s">
        <v>24</v>
      </c>
      <c r="I71" s="28">
        <f t="shared" ref="I71:L71" si="53">I66-I72-I67</f>
        <v>0</v>
      </c>
      <c r="J71" s="28">
        <f t="shared" si="53"/>
        <v>0</v>
      </c>
      <c r="K71" s="28">
        <f t="shared" si="53"/>
        <v>0</v>
      </c>
      <c r="L71" s="28">
        <f t="shared" si="53"/>
        <v>0</v>
      </c>
      <c r="M71" s="2"/>
      <c r="N71" s="2"/>
      <c r="O71" s="2"/>
    </row>
    <row r="72" ht="15.75" customHeight="1">
      <c r="A72" s="7" t="s">
        <v>25</v>
      </c>
      <c r="B72" s="31"/>
      <c r="C72" s="26"/>
      <c r="D72" s="26"/>
      <c r="E72" s="27"/>
      <c r="F72" s="27"/>
      <c r="G72" s="2"/>
      <c r="H72" s="10" t="s">
        <v>26</v>
      </c>
      <c r="I72" s="2"/>
      <c r="J72" s="11"/>
      <c r="K72" s="2"/>
      <c r="L72" s="12"/>
      <c r="M72" s="2"/>
      <c r="N72" s="2"/>
      <c r="O72" s="2"/>
    </row>
    <row r="73" ht="15.75" customHeight="1">
      <c r="A73" s="7" t="s">
        <v>27</v>
      </c>
      <c r="B73" s="16" t="str">
        <f t="shared" ref="B73:F73" si="54">B72/B64</f>
        <v>#DIV/0!</v>
      </c>
      <c r="C73" s="16" t="str">
        <f t="shared" si="54"/>
        <v>#DIV/0!</v>
      </c>
      <c r="D73" s="16" t="str">
        <f t="shared" si="54"/>
        <v>#DIV/0!</v>
      </c>
      <c r="E73" s="22" t="str">
        <f t="shared" si="54"/>
        <v>#DIV/0!</v>
      </c>
      <c r="F73" s="22" t="str">
        <f t="shared" si="54"/>
        <v>#DIV/0!</v>
      </c>
      <c r="G73" s="2"/>
      <c r="H73" s="10" t="s">
        <v>44</v>
      </c>
      <c r="I73" s="2"/>
      <c r="J73" s="11"/>
      <c r="K73" s="2"/>
      <c r="L73" s="12"/>
      <c r="M73" s="2"/>
      <c r="N73" s="2"/>
      <c r="O73" s="2"/>
    </row>
    <row r="74" ht="15.75" customHeight="1">
      <c r="A74" s="7" t="s">
        <v>29</v>
      </c>
      <c r="B74" s="29"/>
      <c r="C74" s="29"/>
      <c r="D74" s="29"/>
      <c r="E74" s="30"/>
      <c r="F74" s="30"/>
      <c r="G74" s="2"/>
      <c r="H74" s="10" t="s">
        <v>30</v>
      </c>
      <c r="I74" s="2"/>
      <c r="J74" s="11"/>
      <c r="K74" s="2"/>
      <c r="L74" s="12"/>
      <c r="M74" s="2"/>
      <c r="N74" s="2"/>
      <c r="O74" s="2"/>
    </row>
    <row r="75" ht="15.75" customHeight="1">
      <c r="A75" s="7" t="s">
        <v>31</v>
      </c>
      <c r="B75" s="16" t="str">
        <f t="shared" ref="B75:F75" si="55">B64/B74</f>
        <v>#DIV/0!</v>
      </c>
      <c r="C75" s="16" t="str">
        <f t="shared" si="55"/>
        <v>#DIV/0!</v>
      </c>
      <c r="D75" s="16" t="str">
        <f t="shared" si="55"/>
        <v>#DIV/0!</v>
      </c>
      <c r="E75" s="16" t="str">
        <f t="shared" si="55"/>
        <v>#DIV/0!</v>
      </c>
      <c r="F75" s="16" t="str">
        <f t="shared" si="55"/>
        <v>#DIV/0!</v>
      </c>
      <c r="G75" s="2"/>
      <c r="H75" s="10" t="s">
        <v>32</v>
      </c>
      <c r="I75" s="2"/>
      <c r="J75" s="11"/>
      <c r="K75" s="2"/>
      <c r="L75" s="12"/>
      <c r="M75" s="2"/>
      <c r="N75" s="2"/>
      <c r="O75" s="2"/>
    </row>
    <row r="76" ht="15.75" customHeight="1">
      <c r="A76" s="7" t="s">
        <v>33</v>
      </c>
      <c r="B76" s="31"/>
      <c r="C76" s="31"/>
      <c r="D76" s="26"/>
      <c r="E76" s="32"/>
      <c r="F76" s="32"/>
      <c r="G76" s="2"/>
      <c r="H76" s="10" t="s">
        <v>34</v>
      </c>
      <c r="I76" s="21"/>
      <c r="J76" s="21"/>
      <c r="K76" s="21"/>
      <c r="L76" s="33"/>
      <c r="M76" s="2"/>
      <c r="N76" s="2"/>
      <c r="O76" s="2"/>
    </row>
    <row r="77" ht="15.75" customHeight="1">
      <c r="A77" s="7" t="s">
        <v>35</v>
      </c>
      <c r="B77" s="43"/>
      <c r="C77" s="31"/>
      <c r="D77" s="26"/>
      <c r="E77" s="32"/>
      <c r="F77" s="32"/>
      <c r="G77" s="2"/>
      <c r="H77" s="10" t="s">
        <v>36</v>
      </c>
      <c r="I77" s="21"/>
      <c r="J77" s="21"/>
      <c r="K77" s="21"/>
      <c r="L77" s="33"/>
      <c r="M77" s="2"/>
      <c r="N77" s="2"/>
      <c r="O77" s="2"/>
    </row>
    <row r="78" ht="15.75" customHeight="1">
      <c r="A78" s="7" t="s">
        <v>37</v>
      </c>
      <c r="B78" s="34" t="str">
        <f t="shared" ref="B78:F78" si="56">B70/B69</f>
        <v>#DIV/0!</v>
      </c>
      <c r="C78" s="34" t="str">
        <f t="shared" si="56"/>
        <v>#DIV/0!</v>
      </c>
      <c r="D78" s="34" t="str">
        <f t="shared" si="56"/>
        <v>#DIV/0!</v>
      </c>
      <c r="E78" s="34" t="str">
        <f t="shared" si="56"/>
        <v>#DIV/0!</v>
      </c>
      <c r="F78" s="34" t="str">
        <f t="shared" si="56"/>
        <v>#DIV/0!</v>
      </c>
      <c r="G78" s="2"/>
      <c r="H78" s="10" t="s">
        <v>38</v>
      </c>
      <c r="I78" s="21"/>
      <c r="J78" s="21"/>
      <c r="K78" s="21"/>
      <c r="L78" s="33"/>
      <c r="M78" s="2"/>
      <c r="N78" s="2"/>
      <c r="O78" s="2"/>
    </row>
    <row r="79" ht="15.75" customHeight="1">
      <c r="A79" s="7" t="s">
        <v>39</v>
      </c>
      <c r="B79" s="26"/>
      <c r="C79" s="26"/>
      <c r="D79" s="26"/>
      <c r="E79" s="32"/>
      <c r="F79" s="32"/>
      <c r="G79" s="2"/>
      <c r="H79" s="35" t="s">
        <v>40</v>
      </c>
      <c r="I79" s="36">
        <f t="shared" ref="I79:L79" si="57">(I73*I76)+(I74*I77)+(I75*I78)</f>
        <v>0</v>
      </c>
      <c r="J79" s="36">
        <f t="shared" si="57"/>
        <v>0</v>
      </c>
      <c r="K79" s="36">
        <f t="shared" si="57"/>
        <v>0</v>
      </c>
      <c r="L79" s="37">
        <f t="shared" si="57"/>
        <v>0</v>
      </c>
      <c r="M79" s="2"/>
      <c r="N79" s="2"/>
      <c r="O79" s="2"/>
    </row>
    <row r="80" ht="15.75" customHeight="1">
      <c r="A80" s="38" t="s">
        <v>41</v>
      </c>
      <c r="B80" s="39" t="str">
        <f t="shared" ref="B80:F80" si="58">B79/B64</f>
        <v>#DIV/0!</v>
      </c>
      <c r="C80" s="39" t="str">
        <f t="shared" si="58"/>
        <v>#DIV/0!</v>
      </c>
      <c r="D80" s="39" t="str">
        <f t="shared" si="58"/>
        <v>#DIV/0!</v>
      </c>
      <c r="E80" s="41" t="str">
        <f t="shared" si="58"/>
        <v>#DIV/0!</v>
      </c>
      <c r="F80" s="41" t="str">
        <f t="shared" si="58"/>
        <v>#DIV/0!</v>
      </c>
      <c r="G80" s="2"/>
      <c r="H80" s="40"/>
      <c r="I80" s="40"/>
      <c r="J80" s="40"/>
      <c r="K80" s="40"/>
      <c r="L80" s="40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40"/>
      <c r="I81" s="40"/>
      <c r="J81" s="40"/>
      <c r="K81" s="40"/>
      <c r="L81" s="40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40"/>
      <c r="I82" s="40"/>
      <c r="J82" s="40"/>
      <c r="K82" s="40"/>
      <c r="L82" s="40"/>
      <c r="M82" s="2"/>
      <c r="N82" s="2"/>
      <c r="O82" s="2"/>
    </row>
    <row r="83" ht="15.75" customHeight="1">
      <c r="G83" s="2"/>
      <c r="H83" s="40"/>
      <c r="I83" s="40"/>
      <c r="J83" s="40"/>
      <c r="K83" s="40"/>
      <c r="L83" s="40"/>
      <c r="M83" s="2"/>
      <c r="N83" s="2"/>
      <c r="O83" s="2"/>
    </row>
    <row r="84" ht="15.75" customHeight="1">
      <c r="A84" s="4" t="s">
        <v>45</v>
      </c>
      <c r="B84" s="44" t="s">
        <v>4</v>
      </c>
      <c r="C84" s="44" t="s">
        <v>5</v>
      </c>
      <c r="D84" s="44" t="s">
        <v>6</v>
      </c>
      <c r="E84" s="44" t="s">
        <v>7</v>
      </c>
      <c r="F84" s="44" t="s">
        <v>8</v>
      </c>
      <c r="G84" s="2"/>
      <c r="H84" s="6" t="s">
        <v>46</v>
      </c>
      <c r="I84" s="6" t="s">
        <v>4</v>
      </c>
      <c r="J84" s="6" t="s">
        <v>5</v>
      </c>
      <c r="K84" s="6" t="s">
        <v>6</v>
      </c>
      <c r="L84" s="6" t="s">
        <v>7</v>
      </c>
      <c r="M84" s="2"/>
      <c r="N84" s="2"/>
      <c r="O84" s="2"/>
    </row>
    <row r="85" ht="15.75" customHeight="1">
      <c r="A85" s="7" t="s">
        <v>9</v>
      </c>
      <c r="B85" s="8"/>
      <c r="C85" s="8"/>
      <c r="D85" s="8"/>
      <c r="E85" s="9"/>
      <c r="F85" s="9"/>
      <c r="G85" s="2"/>
      <c r="H85" s="10" t="s">
        <v>10</v>
      </c>
      <c r="I85" s="2"/>
      <c r="J85" s="11"/>
      <c r="K85" s="2">
        <v>5.0</v>
      </c>
      <c r="L85" s="12"/>
      <c r="M85" s="2"/>
      <c r="N85" s="2"/>
      <c r="O85" s="2"/>
    </row>
    <row r="86" ht="15.75" customHeight="1">
      <c r="A86" s="7" t="s">
        <v>47</v>
      </c>
      <c r="B86" s="29"/>
      <c r="C86" s="29"/>
      <c r="D86" s="29"/>
      <c r="E86" s="30"/>
      <c r="F86" s="30"/>
      <c r="G86" s="2"/>
      <c r="H86" s="10" t="s">
        <v>12</v>
      </c>
      <c r="I86" s="2"/>
      <c r="J86" s="11"/>
      <c r="K86" s="2"/>
      <c r="L86" s="12"/>
      <c r="M86" s="2"/>
      <c r="N86" s="2"/>
      <c r="O86" s="2"/>
    </row>
    <row r="87" ht="15.75" customHeight="1">
      <c r="A87" s="7" t="s">
        <v>48</v>
      </c>
      <c r="B87" s="16" t="str">
        <f t="shared" ref="B87:F87" si="59">B85/B86</f>
        <v>#DIV/0!</v>
      </c>
      <c r="C87" s="16" t="str">
        <f t="shared" si="59"/>
        <v>#DIV/0!</v>
      </c>
      <c r="D87" s="16" t="str">
        <f t="shared" si="59"/>
        <v>#DIV/0!</v>
      </c>
      <c r="E87" s="22" t="str">
        <f t="shared" si="59"/>
        <v>#DIV/0!</v>
      </c>
      <c r="F87" s="22" t="str">
        <f t="shared" si="59"/>
        <v>#DIV/0!</v>
      </c>
      <c r="G87" s="2"/>
      <c r="H87" s="10" t="s">
        <v>14</v>
      </c>
      <c r="I87" s="2"/>
      <c r="J87" s="11"/>
      <c r="K87" s="2"/>
      <c r="L87" s="12"/>
      <c r="M87" s="2"/>
      <c r="N87" s="2"/>
      <c r="O87" s="2"/>
    </row>
    <row r="88" ht="15.75" customHeight="1">
      <c r="A88" s="7" t="s">
        <v>25</v>
      </c>
      <c r="B88" s="26"/>
      <c r="C88" s="26"/>
      <c r="D88" s="26"/>
      <c r="E88" s="27"/>
      <c r="F88" s="27"/>
      <c r="G88" s="2"/>
      <c r="H88" s="10" t="s">
        <v>16</v>
      </c>
      <c r="I88" s="2"/>
      <c r="J88" s="11"/>
      <c r="K88" s="2"/>
      <c r="L88" s="12"/>
      <c r="M88" s="2"/>
      <c r="N88" s="2"/>
      <c r="O88" s="2"/>
    </row>
    <row r="89" ht="15.75" customHeight="1">
      <c r="A89" s="7" t="s">
        <v>27</v>
      </c>
      <c r="B89" s="16" t="str">
        <f t="shared" ref="B89:F89" si="60">B88/B85</f>
        <v>#DIV/0!</v>
      </c>
      <c r="C89" s="16" t="str">
        <f t="shared" si="60"/>
        <v>#DIV/0!</v>
      </c>
      <c r="D89" s="16" t="str">
        <f t="shared" si="60"/>
        <v>#DIV/0!</v>
      </c>
      <c r="E89" s="22" t="str">
        <f t="shared" si="60"/>
        <v>#DIV/0!</v>
      </c>
      <c r="F89" s="22" t="str">
        <f t="shared" si="60"/>
        <v>#DIV/0!</v>
      </c>
      <c r="G89" s="2"/>
      <c r="H89" s="10" t="s">
        <v>18</v>
      </c>
      <c r="I89" s="16" t="str">
        <f t="shared" ref="I89:K89" si="61">B85/I87</f>
        <v>#DIV/0!</v>
      </c>
      <c r="J89" s="21" t="str">
        <f t="shared" si="61"/>
        <v>#DIV/0!</v>
      </c>
      <c r="K89" s="16" t="str">
        <f t="shared" si="61"/>
        <v>#DIV/0!</v>
      </c>
      <c r="L89" s="22" t="str">
        <f>F85/L87</f>
        <v>#DIV/0!</v>
      </c>
      <c r="M89" s="2"/>
      <c r="N89" s="2"/>
      <c r="O89" s="2"/>
    </row>
    <row r="90" ht="15.75" customHeight="1">
      <c r="A90" s="7" t="s">
        <v>49</v>
      </c>
      <c r="B90" s="26"/>
      <c r="C90" s="26"/>
      <c r="D90" s="26"/>
      <c r="E90" s="26"/>
      <c r="F90" s="26"/>
      <c r="G90" s="2"/>
      <c r="H90" s="10" t="s">
        <v>20</v>
      </c>
      <c r="I90" s="23" t="str">
        <f t="shared" ref="I90:L90" si="62">I86/(I86+I87)</f>
        <v>#DIV/0!</v>
      </c>
      <c r="J90" s="24" t="str">
        <f t="shared" si="62"/>
        <v>#DIV/0!</v>
      </c>
      <c r="K90" s="23" t="str">
        <f t="shared" si="62"/>
        <v>#DIV/0!</v>
      </c>
      <c r="L90" s="25" t="str">
        <f t="shared" si="62"/>
        <v>#DIV/0!</v>
      </c>
      <c r="M90" s="2"/>
      <c r="N90" s="2"/>
      <c r="O90" s="2"/>
    </row>
    <row r="91" ht="15.75" customHeight="1">
      <c r="A91" s="7" t="s">
        <v>50</v>
      </c>
      <c r="B91" s="16" t="str">
        <f t="shared" ref="B91:F91" si="63">B85/B90</f>
        <v>#DIV/0!</v>
      </c>
      <c r="C91" s="16" t="str">
        <f t="shared" si="63"/>
        <v>#DIV/0!</v>
      </c>
      <c r="D91" s="16" t="str">
        <f t="shared" si="63"/>
        <v>#DIV/0!</v>
      </c>
      <c r="E91" s="16" t="str">
        <f t="shared" si="63"/>
        <v>#DIV/0!</v>
      </c>
      <c r="F91" s="16" t="str">
        <f t="shared" si="63"/>
        <v>#DIV/0!</v>
      </c>
      <c r="G91" s="2"/>
      <c r="H91" s="10" t="s">
        <v>22</v>
      </c>
      <c r="I91" s="23" t="str">
        <f t="shared" ref="I91:L91" si="64">I93/I87</f>
        <v>#DIV/0!</v>
      </c>
      <c r="J91" s="24" t="str">
        <f t="shared" si="64"/>
        <v>#DIV/0!</v>
      </c>
      <c r="K91" s="23" t="str">
        <f t="shared" si="64"/>
        <v>#DIV/0!</v>
      </c>
      <c r="L91" s="25" t="str">
        <f t="shared" si="64"/>
        <v>#DIV/0!</v>
      </c>
      <c r="M91" s="2"/>
      <c r="N91" s="2"/>
      <c r="O91" s="2"/>
    </row>
    <row r="92" ht="15.75" customHeight="1">
      <c r="A92" s="7" t="s">
        <v>51</v>
      </c>
      <c r="B92" s="26"/>
      <c r="C92" s="26"/>
      <c r="D92" s="26"/>
      <c r="E92" s="26"/>
      <c r="F92" s="26"/>
      <c r="G92" s="2"/>
      <c r="H92" s="10" t="s">
        <v>24</v>
      </c>
      <c r="I92" s="28">
        <f t="shared" ref="I92:L92" si="65">I87-I93-I88</f>
        <v>0</v>
      </c>
      <c r="J92" s="28">
        <f t="shared" si="65"/>
        <v>0</v>
      </c>
      <c r="K92" s="28">
        <f t="shared" si="65"/>
        <v>0</v>
      </c>
      <c r="L92" s="28">
        <f t="shared" si="65"/>
        <v>0</v>
      </c>
      <c r="M92" s="2"/>
      <c r="N92" s="2"/>
      <c r="O92" s="2"/>
    </row>
    <row r="93" ht="15.75" customHeight="1">
      <c r="A93" s="38" t="s">
        <v>41</v>
      </c>
      <c r="B93" s="39" t="str">
        <f t="shared" ref="B93:F93" si="66">B85/B92</f>
        <v>#DIV/0!</v>
      </c>
      <c r="C93" s="39" t="str">
        <f t="shared" si="66"/>
        <v>#DIV/0!</v>
      </c>
      <c r="D93" s="39" t="str">
        <f t="shared" si="66"/>
        <v>#DIV/0!</v>
      </c>
      <c r="E93" s="39" t="str">
        <f t="shared" si="66"/>
        <v>#DIV/0!</v>
      </c>
      <c r="F93" s="39" t="str">
        <f t="shared" si="66"/>
        <v>#DIV/0!</v>
      </c>
      <c r="G93" s="2"/>
      <c r="H93" s="10" t="s">
        <v>26</v>
      </c>
      <c r="I93" s="2"/>
      <c r="J93" s="11"/>
      <c r="K93" s="2"/>
      <c r="L93" s="1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10" t="s">
        <v>28</v>
      </c>
      <c r="I94" s="2"/>
      <c r="J94" s="11"/>
      <c r="K94" s="2"/>
      <c r="L94" s="1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10" t="s">
        <v>30</v>
      </c>
      <c r="I95" s="2"/>
      <c r="J95" s="11"/>
      <c r="K95" s="2"/>
      <c r="L95" s="1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10" t="s">
        <v>32</v>
      </c>
      <c r="I96" s="2"/>
      <c r="J96" s="11"/>
      <c r="K96" s="2"/>
      <c r="L96" s="1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10" t="s">
        <v>34</v>
      </c>
      <c r="I97" s="21"/>
      <c r="J97" s="21"/>
      <c r="K97" s="21"/>
      <c r="L97" s="33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10" t="s">
        <v>36</v>
      </c>
      <c r="I98" s="21"/>
      <c r="J98" s="21"/>
      <c r="K98" s="21"/>
      <c r="L98" s="33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10" t="s">
        <v>38</v>
      </c>
      <c r="I99" s="21"/>
      <c r="J99" s="21"/>
      <c r="K99" s="21"/>
      <c r="L99" s="33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35" t="s">
        <v>40</v>
      </c>
      <c r="I100" s="36">
        <f t="shared" ref="I100:L100" si="67">(I94*I97)+(I95*I98)+(I96*I99)</f>
        <v>0</v>
      </c>
      <c r="J100" s="36">
        <f t="shared" si="67"/>
        <v>0</v>
      </c>
      <c r="K100" s="36">
        <f t="shared" si="67"/>
        <v>0</v>
      </c>
      <c r="L100" s="37">
        <f t="shared" si="67"/>
        <v>0</v>
      </c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4" t="s">
        <v>3</v>
      </c>
      <c r="B103" s="5" t="s">
        <v>4</v>
      </c>
      <c r="C103" s="5" t="s">
        <v>5</v>
      </c>
      <c r="D103" s="5" t="s">
        <v>6</v>
      </c>
      <c r="E103" s="5" t="s">
        <v>7</v>
      </c>
      <c r="F103" s="5" t="s">
        <v>8</v>
      </c>
      <c r="G103" s="2"/>
      <c r="H103" s="6" t="s">
        <v>52</v>
      </c>
      <c r="I103" s="6" t="s">
        <v>4</v>
      </c>
      <c r="J103" s="6" t="s">
        <v>5</v>
      </c>
      <c r="K103" s="6" t="s">
        <v>6</v>
      </c>
      <c r="L103" s="6" t="s">
        <v>7</v>
      </c>
      <c r="M103" s="2"/>
      <c r="N103" s="2"/>
      <c r="O103" s="2"/>
    </row>
    <row r="104" ht="15.75" customHeight="1">
      <c r="A104" s="7" t="s">
        <v>9</v>
      </c>
      <c r="B104" s="8"/>
      <c r="C104" s="8"/>
      <c r="D104" s="8"/>
      <c r="E104" s="9"/>
      <c r="F104" s="9"/>
      <c r="G104" s="2"/>
      <c r="H104" s="10" t="s">
        <v>10</v>
      </c>
      <c r="I104" s="2"/>
      <c r="J104" s="11"/>
      <c r="K104" s="2"/>
      <c r="L104" s="12"/>
      <c r="M104" s="2"/>
      <c r="N104" s="2"/>
      <c r="O104" s="2"/>
    </row>
    <row r="105" ht="15.75" customHeight="1">
      <c r="A105" s="7" t="s">
        <v>11</v>
      </c>
      <c r="B105" s="8"/>
      <c r="C105" s="8"/>
      <c r="D105" s="8"/>
      <c r="E105" s="9"/>
      <c r="F105" s="9"/>
      <c r="G105" s="2"/>
      <c r="H105" s="10" t="s">
        <v>12</v>
      </c>
      <c r="I105" s="2"/>
      <c r="J105" s="11"/>
      <c r="K105" s="2"/>
      <c r="L105" s="12"/>
      <c r="M105" s="2"/>
      <c r="N105" s="2"/>
      <c r="O105" s="2"/>
    </row>
    <row r="106" ht="15.75" customHeight="1">
      <c r="A106" s="13" t="s">
        <v>13</v>
      </c>
      <c r="B106" s="14" t="str">
        <f t="shared" ref="B106:F106" si="68">(B104/B105)*1000</f>
        <v>#DIV/0!</v>
      </c>
      <c r="C106" s="14" t="str">
        <f t="shared" si="68"/>
        <v>#DIV/0!</v>
      </c>
      <c r="D106" s="14" t="str">
        <f t="shared" si="68"/>
        <v>#DIV/0!</v>
      </c>
      <c r="E106" s="15" t="str">
        <f t="shared" si="68"/>
        <v>#DIV/0!</v>
      </c>
      <c r="F106" s="15" t="str">
        <f t="shared" si="68"/>
        <v>#DIV/0!</v>
      </c>
      <c r="G106" s="2"/>
      <c r="H106" s="10" t="s">
        <v>14</v>
      </c>
      <c r="I106" s="2"/>
      <c r="J106" s="11"/>
      <c r="K106" s="2"/>
      <c r="L106" s="12"/>
      <c r="M106" s="2"/>
      <c r="N106" s="2"/>
      <c r="O106" s="2"/>
    </row>
    <row r="107" ht="15.75" customHeight="1">
      <c r="A107" s="7" t="s">
        <v>15</v>
      </c>
      <c r="B107" s="16" t="str">
        <f t="shared" ref="B107:F107" si="69">B104/B108</f>
        <v>#DIV/0!</v>
      </c>
      <c r="C107" s="16" t="str">
        <f t="shared" si="69"/>
        <v>#DIV/0!</v>
      </c>
      <c r="D107" s="17" t="str">
        <f t="shared" si="69"/>
        <v>#DIV/0!</v>
      </c>
      <c r="E107" s="18" t="str">
        <f t="shared" si="69"/>
        <v>#DIV/0!</v>
      </c>
      <c r="F107" s="18" t="str">
        <f t="shared" si="69"/>
        <v>#DIV/0!</v>
      </c>
      <c r="G107" s="2"/>
      <c r="H107" s="10" t="s">
        <v>16</v>
      </c>
      <c r="I107" s="2"/>
      <c r="J107" s="11"/>
      <c r="K107" s="2"/>
      <c r="L107" s="12"/>
      <c r="M107" s="2"/>
      <c r="N107" s="2"/>
      <c r="O107" s="2"/>
    </row>
    <row r="108" ht="15.75" customHeight="1">
      <c r="A108" s="7" t="s">
        <v>17</v>
      </c>
      <c r="B108" s="19" t="str">
        <f t="shared" ref="B108:F108" si="70">B106*B116</f>
        <v>#DIV/0!</v>
      </c>
      <c r="C108" s="19" t="str">
        <f t="shared" si="70"/>
        <v>#DIV/0!</v>
      </c>
      <c r="D108" s="19" t="str">
        <f t="shared" si="70"/>
        <v>#DIV/0!</v>
      </c>
      <c r="E108" s="20" t="str">
        <f t="shared" si="70"/>
        <v>#DIV/0!</v>
      </c>
      <c r="F108" s="20" t="str">
        <f t="shared" si="70"/>
        <v>#DIV/0!</v>
      </c>
      <c r="G108" s="2"/>
      <c r="H108" s="10" t="s">
        <v>18</v>
      </c>
      <c r="I108" s="16" t="str">
        <f t="shared" ref="I108:K108" si="71">B104/I106</f>
        <v>#DIV/0!</v>
      </c>
      <c r="J108" s="21" t="str">
        <f t="shared" si="71"/>
        <v>#DIV/0!</v>
      </c>
      <c r="K108" s="16" t="str">
        <f t="shared" si="71"/>
        <v>#DIV/0!</v>
      </c>
      <c r="L108" s="22" t="str">
        <f>F104/L106</f>
        <v>#DIV/0!</v>
      </c>
      <c r="M108" s="2"/>
      <c r="N108" s="2"/>
      <c r="O108" s="2"/>
    </row>
    <row r="109" ht="15.75" customHeight="1">
      <c r="A109" s="7" t="s">
        <v>19</v>
      </c>
      <c r="B109" s="19" t="str">
        <f t="shared" ref="B109:F109" si="72">B108*B117</f>
        <v>#DIV/0!</v>
      </c>
      <c r="C109" s="19" t="str">
        <f t="shared" si="72"/>
        <v>#DIV/0!</v>
      </c>
      <c r="D109" s="19" t="str">
        <f t="shared" si="72"/>
        <v>#DIV/0!</v>
      </c>
      <c r="E109" s="20" t="str">
        <f t="shared" si="72"/>
        <v>#DIV/0!</v>
      </c>
      <c r="F109" s="20" t="str">
        <f t="shared" si="72"/>
        <v>#DIV/0!</v>
      </c>
      <c r="G109" s="2"/>
      <c r="H109" s="10" t="s">
        <v>20</v>
      </c>
      <c r="I109" s="23" t="str">
        <f t="shared" ref="I109:L109" si="73">I105/(I105+I106)</f>
        <v>#DIV/0!</v>
      </c>
      <c r="J109" s="24" t="str">
        <f t="shared" si="73"/>
        <v>#DIV/0!</v>
      </c>
      <c r="K109" s="23" t="str">
        <f t="shared" si="73"/>
        <v>#DIV/0!</v>
      </c>
      <c r="L109" s="25" t="str">
        <f t="shared" si="73"/>
        <v>#DIV/0!</v>
      </c>
      <c r="M109" s="2"/>
      <c r="N109" s="2"/>
      <c r="O109" s="2"/>
    </row>
    <row r="110" ht="15.75" customHeight="1">
      <c r="A110" s="7" t="s">
        <v>21</v>
      </c>
      <c r="B110" s="26"/>
      <c r="C110" s="26"/>
      <c r="D110" s="26"/>
      <c r="E110" s="27"/>
      <c r="F110" s="27"/>
      <c r="G110" s="2"/>
      <c r="H110" s="10" t="s">
        <v>22</v>
      </c>
      <c r="I110" s="23" t="str">
        <f t="shared" ref="I110:L110" si="74">I112/I106</f>
        <v>#DIV/0!</v>
      </c>
      <c r="J110" s="24" t="str">
        <f t="shared" si="74"/>
        <v>#DIV/0!</v>
      </c>
      <c r="K110" s="23" t="str">
        <f t="shared" si="74"/>
        <v>#DIV/0!</v>
      </c>
      <c r="L110" s="25" t="str">
        <f t="shared" si="74"/>
        <v>#DIV/0!</v>
      </c>
      <c r="M110" s="2"/>
      <c r="N110" s="2"/>
      <c r="O110" s="2"/>
    </row>
    <row r="111" ht="15.75" customHeight="1">
      <c r="A111" s="7" t="s">
        <v>23</v>
      </c>
      <c r="B111" s="16" t="str">
        <f t="shared" ref="B111:F111" si="75">B104/B110</f>
        <v>#DIV/0!</v>
      </c>
      <c r="C111" s="16" t="str">
        <f t="shared" si="75"/>
        <v>#DIV/0!</v>
      </c>
      <c r="D111" s="16" t="str">
        <f t="shared" si="75"/>
        <v>#DIV/0!</v>
      </c>
      <c r="E111" s="22" t="str">
        <f t="shared" si="75"/>
        <v>#DIV/0!</v>
      </c>
      <c r="F111" s="22" t="str">
        <f t="shared" si="75"/>
        <v>#DIV/0!</v>
      </c>
      <c r="G111" s="2"/>
      <c r="H111" s="10" t="s">
        <v>24</v>
      </c>
      <c r="I111" s="28">
        <f t="shared" ref="I111:L111" si="76">I106-I112-I107</f>
        <v>0</v>
      </c>
      <c r="J111" s="28">
        <f t="shared" si="76"/>
        <v>0</v>
      </c>
      <c r="K111" s="28">
        <f t="shared" si="76"/>
        <v>0</v>
      </c>
      <c r="L111" s="28">
        <f t="shared" si="76"/>
        <v>0</v>
      </c>
      <c r="M111" s="2"/>
      <c r="N111" s="2"/>
      <c r="O111" s="2"/>
    </row>
    <row r="112" ht="15.75" customHeight="1">
      <c r="A112" s="7" t="s">
        <v>25</v>
      </c>
      <c r="B112" s="26"/>
      <c r="C112" s="26"/>
      <c r="D112" s="26"/>
      <c r="E112" s="26"/>
      <c r="F112" s="26"/>
      <c r="G112" s="2"/>
      <c r="H112" s="10" t="s">
        <v>26</v>
      </c>
      <c r="I112" s="2"/>
      <c r="J112" s="11"/>
      <c r="K112" s="2"/>
      <c r="L112" s="12"/>
      <c r="M112" s="2"/>
      <c r="N112" s="2"/>
      <c r="O112" s="2"/>
    </row>
    <row r="113" ht="15.75" customHeight="1">
      <c r="A113" s="7" t="s">
        <v>27</v>
      </c>
      <c r="B113" s="16" t="str">
        <f t="shared" ref="B113:F113" si="77">B112/B104</f>
        <v>#DIV/0!</v>
      </c>
      <c r="C113" s="16" t="str">
        <f t="shared" si="77"/>
        <v>#DIV/0!</v>
      </c>
      <c r="D113" s="16" t="str">
        <f t="shared" si="77"/>
        <v>#DIV/0!</v>
      </c>
      <c r="E113" s="22" t="str">
        <f t="shared" si="77"/>
        <v>#DIV/0!</v>
      </c>
      <c r="F113" s="22" t="str">
        <f t="shared" si="77"/>
        <v>#DIV/0!</v>
      </c>
      <c r="G113" s="2"/>
      <c r="H113" s="10" t="s">
        <v>28</v>
      </c>
      <c r="I113" s="2"/>
      <c r="J113" s="11"/>
      <c r="K113" s="2"/>
      <c r="L113" s="12"/>
      <c r="M113" s="2"/>
      <c r="N113" s="2"/>
      <c r="O113" s="2"/>
    </row>
    <row r="114" ht="15.75" customHeight="1">
      <c r="A114" s="7" t="s">
        <v>29</v>
      </c>
      <c r="B114" s="29"/>
      <c r="C114" s="29"/>
      <c r="D114" s="29"/>
      <c r="E114" s="30"/>
      <c r="F114" s="30"/>
      <c r="G114" s="2"/>
      <c r="H114" s="10" t="s">
        <v>30</v>
      </c>
      <c r="I114" s="2"/>
      <c r="J114" s="11"/>
      <c r="K114" s="2"/>
      <c r="L114" s="12"/>
      <c r="M114" s="2"/>
      <c r="N114" s="2"/>
      <c r="O114" s="2"/>
    </row>
    <row r="115" ht="15.75" customHeight="1">
      <c r="A115" s="7" t="s">
        <v>31</v>
      </c>
      <c r="B115" s="16" t="str">
        <f>B114/B104</f>
        <v>#DIV/0!</v>
      </c>
      <c r="C115" s="16" t="str">
        <f t="shared" ref="C115:F115" si="78">C114/C106</f>
        <v>#DIV/0!</v>
      </c>
      <c r="D115" s="16" t="str">
        <f t="shared" si="78"/>
        <v>#DIV/0!</v>
      </c>
      <c r="E115" s="22" t="str">
        <f t="shared" si="78"/>
        <v>#DIV/0!</v>
      </c>
      <c r="F115" s="22" t="str">
        <f t="shared" si="78"/>
        <v>#DIV/0!</v>
      </c>
      <c r="G115" s="2"/>
      <c r="H115" s="10" t="s">
        <v>32</v>
      </c>
      <c r="I115" s="2"/>
      <c r="J115" s="11"/>
      <c r="K115" s="2"/>
      <c r="L115" s="12"/>
      <c r="M115" s="2"/>
      <c r="N115" s="2"/>
      <c r="O115" s="2"/>
    </row>
    <row r="116" ht="15.75" customHeight="1">
      <c r="A116" s="7" t="s">
        <v>33</v>
      </c>
      <c r="B116" s="31"/>
      <c r="C116" s="31"/>
      <c r="D116" s="31"/>
      <c r="E116" s="32"/>
      <c r="F116" s="32"/>
      <c r="G116" s="2"/>
      <c r="H116" s="10" t="s">
        <v>34</v>
      </c>
      <c r="I116" s="21"/>
      <c r="J116" s="21"/>
      <c r="K116" s="21"/>
      <c r="L116" s="33"/>
      <c r="M116" s="2"/>
      <c r="N116" s="2"/>
      <c r="O116" s="2"/>
    </row>
    <row r="117" ht="15.75" customHeight="1">
      <c r="A117" s="7" t="s">
        <v>35</v>
      </c>
      <c r="B117" s="43"/>
      <c r="C117" s="43"/>
      <c r="D117" s="43"/>
      <c r="E117" s="45"/>
      <c r="F117" s="45"/>
      <c r="G117" s="2"/>
      <c r="H117" s="10" t="s">
        <v>36</v>
      </c>
      <c r="I117" s="21"/>
      <c r="J117" s="21"/>
      <c r="K117" s="21"/>
      <c r="L117" s="33"/>
      <c r="M117" s="2"/>
      <c r="N117" s="2"/>
      <c r="O117" s="2"/>
    </row>
    <row r="118" ht="15.75" customHeight="1">
      <c r="A118" s="7" t="s">
        <v>37</v>
      </c>
      <c r="B118" s="34" t="str">
        <f t="shared" ref="B118:F118" si="79">B110/B109</f>
        <v>#DIV/0!</v>
      </c>
      <c r="C118" s="34" t="str">
        <f t="shared" si="79"/>
        <v>#DIV/0!</v>
      </c>
      <c r="D118" s="34" t="str">
        <f t="shared" si="79"/>
        <v>#DIV/0!</v>
      </c>
      <c r="E118" s="34" t="str">
        <f t="shared" si="79"/>
        <v>#DIV/0!</v>
      </c>
      <c r="F118" s="34" t="str">
        <f t="shared" si="79"/>
        <v>#DIV/0!</v>
      </c>
      <c r="G118" s="2"/>
      <c r="H118" s="10" t="s">
        <v>38</v>
      </c>
      <c r="I118" s="21"/>
      <c r="J118" s="21"/>
      <c r="K118" s="21"/>
      <c r="L118" s="33"/>
      <c r="M118" s="2"/>
      <c r="N118" s="2"/>
      <c r="O118" s="2"/>
    </row>
    <row r="119" ht="15.75" customHeight="1">
      <c r="A119" s="7" t="s">
        <v>39</v>
      </c>
      <c r="B119" s="26"/>
      <c r="C119" s="26"/>
      <c r="D119" s="26"/>
      <c r="E119" s="32"/>
      <c r="F119" s="32"/>
      <c r="G119" s="2"/>
      <c r="H119" s="35" t="s">
        <v>40</v>
      </c>
      <c r="I119" s="36">
        <f t="shared" ref="I119:L119" si="80">(I113*I116)+(I114*I117)+(I115*I118)</f>
        <v>0</v>
      </c>
      <c r="J119" s="36">
        <f t="shared" si="80"/>
        <v>0</v>
      </c>
      <c r="K119" s="36">
        <f t="shared" si="80"/>
        <v>0</v>
      </c>
      <c r="L119" s="37">
        <f t="shared" si="80"/>
        <v>0</v>
      </c>
      <c r="M119" s="2"/>
      <c r="N119" s="2"/>
      <c r="O119" s="2"/>
    </row>
    <row r="120" ht="15.75" customHeight="1">
      <c r="A120" s="38" t="s">
        <v>41</v>
      </c>
      <c r="B120" s="39" t="str">
        <f t="shared" ref="B120:F120" si="81">B104/B119</f>
        <v>#DIV/0!</v>
      </c>
      <c r="C120" s="39" t="str">
        <f t="shared" si="81"/>
        <v>#DIV/0!</v>
      </c>
      <c r="D120" s="39" t="str">
        <f t="shared" si="81"/>
        <v>#DIV/0!</v>
      </c>
      <c r="E120" s="39" t="str">
        <f t="shared" si="81"/>
        <v>#DIV/0!</v>
      </c>
      <c r="F120" s="39" t="str">
        <f t="shared" si="81"/>
        <v>#DIV/0!</v>
      </c>
      <c r="G120" s="2"/>
      <c r="H120" s="40"/>
      <c r="I120" s="40"/>
      <c r="J120" s="40"/>
      <c r="K120" s="40"/>
      <c r="L120" s="40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40"/>
      <c r="I121" s="40"/>
      <c r="J121" s="40"/>
      <c r="K121" s="40"/>
      <c r="L121" s="40"/>
      <c r="M121" s="2"/>
      <c r="N121" s="2"/>
      <c r="O121" s="2"/>
    </row>
    <row r="122" ht="15.75" customHeight="1"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4" t="s">
        <v>3</v>
      </c>
      <c r="B124" s="5" t="s">
        <v>4</v>
      </c>
      <c r="C124" s="5" t="s">
        <v>5</v>
      </c>
      <c r="D124" s="5" t="s">
        <v>6</v>
      </c>
      <c r="E124" s="5" t="s">
        <v>7</v>
      </c>
      <c r="F124" s="5" t="s">
        <v>8</v>
      </c>
      <c r="G124" s="2"/>
      <c r="H124" s="6" t="s">
        <v>53</v>
      </c>
      <c r="I124" s="6" t="s">
        <v>4</v>
      </c>
      <c r="J124" s="6" t="s">
        <v>5</v>
      </c>
      <c r="K124" s="6" t="s">
        <v>6</v>
      </c>
      <c r="L124" s="6" t="s">
        <v>7</v>
      </c>
      <c r="M124" s="2"/>
      <c r="N124" s="2"/>
      <c r="O124" s="2"/>
    </row>
    <row r="125" ht="15.75" customHeight="1">
      <c r="A125" s="7" t="s">
        <v>9</v>
      </c>
      <c r="B125" s="8"/>
      <c r="C125" s="8"/>
      <c r="D125" s="8"/>
      <c r="E125" s="9"/>
      <c r="F125" s="9"/>
      <c r="G125" s="2"/>
      <c r="H125" s="10" t="s">
        <v>10</v>
      </c>
      <c r="I125" s="2"/>
      <c r="J125" s="11"/>
      <c r="K125" s="2"/>
      <c r="L125" s="12"/>
      <c r="M125" s="2"/>
      <c r="N125" s="2"/>
      <c r="O125" s="2"/>
    </row>
    <row r="126" ht="15.75" customHeight="1">
      <c r="A126" s="7" t="s">
        <v>11</v>
      </c>
      <c r="B126" s="8"/>
      <c r="C126" s="8"/>
      <c r="D126" s="8"/>
      <c r="E126" s="9"/>
      <c r="F126" s="9"/>
      <c r="G126" s="2"/>
      <c r="H126" s="10" t="s">
        <v>12</v>
      </c>
      <c r="I126" s="2"/>
      <c r="J126" s="11"/>
      <c r="K126" s="2"/>
      <c r="L126" s="12"/>
      <c r="M126" s="2"/>
      <c r="N126" s="2"/>
      <c r="O126" s="2"/>
    </row>
    <row r="127" ht="15.75" customHeight="1">
      <c r="A127" s="13" t="s">
        <v>13</v>
      </c>
      <c r="B127" s="14" t="str">
        <f t="shared" ref="B127:F127" si="82">(B125/B126)*1000</f>
        <v>#DIV/0!</v>
      </c>
      <c r="C127" s="14" t="str">
        <f t="shared" si="82"/>
        <v>#DIV/0!</v>
      </c>
      <c r="D127" s="14" t="str">
        <f t="shared" si="82"/>
        <v>#DIV/0!</v>
      </c>
      <c r="E127" s="15" t="str">
        <f t="shared" si="82"/>
        <v>#DIV/0!</v>
      </c>
      <c r="F127" s="15" t="str">
        <f t="shared" si="82"/>
        <v>#DIV/0!</v>
      </c>
      <c r="G127" s="2"/>
      <c r="H127" s="10" t="s">
        <v>14</v>
      </c>
      <c r="I127" s="2"/>
      <c r="J127" s="11"/>
      <c r="K127" s="2"/>
      <c r="L127" s="12"/>
      <c r="M127" s="2"/>
      <c r="N127" s="2"/>
      <c r="O127" s="2"/>
    </row>
    <row r="128" ht="15.75" customHeight="1">
      <c r="A128" s="7" t="s">
        <v>15</v>
      </c>
      <c r="B128" s="16" t="str">
        <f t="shared" ref="B128:F128" si="83">B125/B129</f>
        <v>#DIV/0!</v>
      </c>
      <c r="C128" s="16" t="str">
        <f t="shared" si="83"/>
        <v>#DIV/0!</v>
      </c>
      <c r="D128" s="17" t="str">
        <f t="shared" si="83"/>
        <v>#DIV/0!</v>
      </c>
      <c r="E128" s="18" t="str">
        <f t="shared" si="83"/>
        <v>#DIV/0!</v>
      </c>
      <c r="F128" s="18" t="str">
        <f t="shared" si="83"/>
        <v>#DIV/0!</v>
      </c>
      <c r="G128" s="2"/>
      <c r="H128" s="10" t="s">
        <v>16</v>
      </c>
      <c r="I128" s="2"/>
      <c r="J128" s="11"/>
      <c r="K128" s="2"/>
      <c r="L128" s="12"/>
      <c r="M128" s="2"/>
      <c r="N128" s="2"/>
      <c r="O128" s="2"/>
    </row>
    <row r="129" ht="15.75" customHeight="1">
      <c r="A129" s="7" t="s">
        <v>17</v>
      </c>
      <c r="B129" s="19" t="str">
        <f t="shared" ref="B129:F129" si="84">B127*B137</f>
        <v>#DIV/0!</v>
      </c>
      <c r="C129" s="19" t="str">
        <f t="shared" si="84"/>
        <v>#DIV/0!</v>
      </c>
      <c r="D129" s="19" t="str">
        <f t="shared" si="84"/>
        <v>#DIV/0!</v>
      </c>
      <c r="E129" s="20" t="str">
        <f t="shared" si="84"/>
        <v>#DIV/0!</v>
      </c>
      <c r="F129" s="20" t="str">
        <f t="shared" si="84"/>
        <v>#DIV/0!</v>
      </c>
      <c r="G129" s="2"/>
      <c r="H129" s="10" t="s">
        <v>18</v>
      </c>
      <c r="I129" s="16" t="str">
        <f t="shared" ref="I129:K129" si="85">B125/I127</f>
        <v>#DIV/0!</v>
      </c>
      <c r="J129" s="21" t="str">
        <f t="shared" si="85"/>
        <v>#DIV/0!</v>
      </c>
      <c r="K129" s="16" t="str">
        <f t="shared" si="85"/>
        <v>#DIV/0!</v>
      </c>
      <c r="L129" s="22" t="str">
        <f>F125/L127</f>
        <v>#DIV/0!</v>
      </c>
      <c r="M129" s="2"/>
      <c r="N129" s="2"/>
      <c r="O129" s="2"/>
    </row>
    <row r="130" ht="15.75" customHeight="1">
      <c r="A130" s="7" t="s">
        <v>19</v>
      </c>
      <c r="B130" s="19" t="str">
        <f t="shared" ref="B130:F130" si="86">B129*B138</f>
        <v>#DIV/0!</v>
      </c>
      <c r="C130" s="19" t="str">
        <f t="shared" si="86"/>
        <v>#DIV/0!</v>
      </c>
      <c r="D130" s="19" t="str">
        <f t="shared" si="86"/>
        <v>#DIV/0!</v>
      </c>
      <c r="E130" s="20" t="str">
        <f t="shared" si="86"/>
        <v>#DIV/0!</v>
      </c>
      <c r="F130" s="20" t="str">
        <f t="shared" si="86"/>
        <v>#DIV/0!</v>
      </c>
      <c r="G130" s="2"/>
      <c r="H130" s="10" t="s">
        <v>20</v>
      </c>
      <c r="I130" s="23" t="str">
        <f t="shared" ref="I130:L130" si="87">I126/(I126+I127)</f>
        <v>#DIV/0!</v>
      </c>
      <c r="J130" s="24" t="str">
        <f t="shared" si="87"/>
        <v>#DIV/0!</v>
      </c>
      <c r="K130" s="23" t="str">
        <f t="shared" si="87"/>
        <v>#DIV/0!</v>
      </c>
      <c r="L130" s="25" t="str">
        <f t="shared" si="87"/>
        <v>#DIV/0!</v>
      </c>
      <c r="M130" s="2"/>
      <c r="N130" s="2"/>
      <c r="O130" s="2"/>
    </row>
    <row r="131" ht="15.75" customHeight="1">
      <c r="A131" s="7" t="s">
        <v>21</v>
      </c>
      <c r="B131" s="26"/>
      <c r="C131" s="26"/>
      <c r="D131" s="26"/>
      <c r="E131" s="27"/>
      <c r="F131" s="27"/>
      <c r="G131" s="2"/>
      <c r="H131" s="10" t="s">
        <v>22</v>
      </c>
      <c r="I131" s="23" t="str">
        <f t="shared" ref="I131:L131" si="88">I133/I127</f>
        <v>#DIV/0!</v>
      </c>
      <c r="J131" s="24" t="str">
        <f t="shared" si="88"/>
        <v>#DIV/0!</v>
      </c>
      <c r="K131" s="23" t="str">
        <f t="shared" si="88"/>
        <v>#DIV/0!</v>
      </c>
      <c r="L131" s="25" t="str">
        <f t="shared" si="88"/>
        <v>#DIV/0!</v>
      </c>
      <c r="M131" s="2"/>
      <c r="N131" s="2"/>
      <c r="O131" s="2"/>
    </row>
    <row r="132" ht="15.75" customHeight="1">
      <c r="A132" s="7" t="s">
        <v>23</v>
      </c>
      <c r="B132" s="16" t="str">
        <f t="shared" ref="B132:F132" si="89">B125/B131</f>
        <v>#DIV/0!</v>
      </c>
      <c r="C132" s="16" t="str">
        <f t="shared" si="89"/>
        <v>#DIV/0!</v>
      </c>
      <c r="D132" s="16" t="str">
        <f t="shared" si="89"/>
        <v>#DIV/0!</v>
      </c>
      <c r="E132" s="22" t="str">
        <f t="shared" si="89"/>
        <v>#DIV/0!</v>
      </c>
      <c r="F132" s="22" t="str">
        <f t="shared" si="89"/>
        <v>#DIV/0!</v>
      </c>
      <c r="G132" s="2"/>
      <c r="H132" s="10" t="s">
        <v>24</v>
      </c>
      <c r="I132" s="28">
        <f t="shared" ref="I132:L132" si="90">I127-I133-I128</f>
        <v>0</v>
      </c>
      <c r="J132" s="28">
        <f t="shared" si="90"/>
        <v>0</v>
      </c>
      <c r="K132" s="28">
        <f t="shared" si="90"/>
        <v>0</v>
      </c>
      <c r="L132" s="28">
        <f t="shared" si="90"/>
        <v>0</v>
      </c>
      <c r="M132" s="2"/>
      <c r="N132" s="2"/>
      <c r="O132" s="2"/>
    </row>
    <row r="133" ht="15.75" customHeight="1">
      <c r="A133" s="7" t="s">
        <v>25</v>
      </c>
      <c r="B133" s="26"/>
      <c r="C133" s="31"/>
      <c r="D133" s="31"/>
      <c r="E133" s="27"/>
      <c r="F133" s="27"/>
      <c r="G133" s="2"/>
      <c r="H133" s="10" t="s">
        <v>26</v>
      </c>
      <c r="I133" s="2"/>
      <c r="J133" s="11"/>
      <c r="K133" s="2"/>
      <c r="L133" s="12"/>
      <c r="M133" s="2"/>
      <c r="N133" s="2"/>
      <c r="O133" s="2"/>
    </row>
    <row r="134" ht="15.75" customHeight="1">
      <c r="A134" s="7" t="s">
        <v>27</v>
      </c>
      <c r="B134" s="16" t="str">
        <f t="shared" ref="B134:F134" si="91">B133/B125</f>
        <v>#DIV/0!</v>
      </c>
      <c r="C134" s="16" t="str">
        <f t="shared" si="91"/>
        <v>#DIV/0!</v>
      </c>
      <c r="D134" s="16" t="str">
        <f t="shared" si="91"/>
        <v>#DIV/0!</v>
      </c>
      <c r="E134" s="22" t="str">
        <f t="shared" si="91"/>
        <v>#DIV/0!</v>
      </c>
      <c r="F134" s="22" t="str">
        <f t="shared" si="91"/>
        <v>#DIV/0!</v>
      </c>
      <c r="G134" s="2"/>
      <c r="H134" s="10" t="s">
        <v>54</v>
      </c>
      <c r="I134" s="2"/>
      <c r="J134" s="11"/>
      <c r="K134" s="2"/>
      <c r="L134" s="12"/>
      <c r="M134" s="2"/>
      <c r="N134" s="2"/>
      <c r="O134" s="2"/>
    </row>
    <row r="135" ht="15.75" customHeight="1">
      <c r="A135" s="7" t="s">
        <v>29</v>
      </c>
      <c r="B135" s="29"/>
      <c r="C135" s="29"/>
      <c r="D135" s="29"/>
      <c r="E135" s="30"/>
      <c r="F135" s="30"/>
      <c r="G135" s="2"/>
      <c r="H135" s="10" t="s">
        <v>30</v>
      </c>
      <c r="I135" s="2"/>
      <c r="J135" s="11"/>
      <c r="K135" s="2"/>
      <c r="L135" s="12"/>
      <c r="M135" s="2"/>
      <c r="N135" s="2"/>
      <c r="O135" s="2"/>
    </row>
    <row r="136" ht="15.75" customHeight="1">
      <c r="A136" s="7" t="s">
        <v>31</v>
      </c>
      <c r="B136" s="16" t="str">
        <f>B135/B125</f>
        <v>#DIV/0!</v>
      </c>
      <c r="C136" s="16" t="str">
        <f t="shared" ref="C136:F136" si="92">C135/C127</f>
        <v>#DIV/0!</v>
      </c>
      <c r="D136" s="16" t="str">
        <f t="shared" si="92"/>
        <v>#DIV/0!</v>
      </c>
      <c r="E136" s="22" t="str">
        <f t="shared" si="92"/>
        <v>#DIV/0!</v>
      </c>
      <c r="F136" s="22" t="str">
        <f t="shared" si="92"/>
        <v>#DIV/0!</v>
      </c>
      <c r="G136" s="2"/>
      <c r="H136" s="10" t="s">
        <v>32</v>
      </c>
      <c r="I136" s="2"/>
      <c r="J136" s="11"/>
      <c r="K136" s="2"/>
      <c r="L136" s="12"/>
      <c r="M136" s="2"/>
      <c r="N136" s="2"/>
      <c r="O136" s="2"/>
    </row>
    <row r="137" ht="15.75" customHeight="1">
      <c r="A137" s="7" t="s">
        <v>33</v>
      </c>
      <c r="B137" s="31"/>
      <c r="C137" s="31"/>
      <c r="D137" s="31"/>
      <c r="E137" s="32"/>
      <c r="F137" s="32"/>
      <c r="G137" s="2"/>
      <c r="H137" s="10" t="s">
        <v>34</v>
      </c>
      <c r="I137" s="21"/>
      <c r="J137" s="21"/>
      <c r="K137" s="21"/>
      <c r="L137" s="33"/>
      <c r="M137" s="2"/>
      <c r="N137" s="2"/>
      <c r="O137" s="2"/>
    </row>
    <row r="138" ht="15.75" customHeight="1">
      <c r="A138" s="7" t="s">
        <v>35</v>
      </c>
      <c r="B138" s="31"/>
      <c r="C138" s="43"/>
      <c r="D138" s="43"/>
      <c r="E138" s="45"/>
      <c r="F138" s="45"/>
      <c r="G138" s="2"/>
      <c r="H138" s="10" t="s">
        <v>36</v>
      </c>
      <c r="I138" s="21"/>
      <c r="J138" s="21"/>
      <c r="K138" s="21"/>
      <c r="L138" s="33"/>
      <c r="M138" s="2"/>
      <c r="N138" s="2"/>
      <c r="O138" s="2"/>
    </row>
    <row r="139" ht="15.75" customHeight="1">
      <c r="A139" s="7" t="s">
        <v>37</v>
      </c>
      <c r="B139" s="34" t="str">
        <f t="shared" ref="B139:F139" si="93">B131/B130</f>
        <v>#DIV/0!</v>
      </c>
      <c r="C139" s="34" t="str">
        <f t="shared" si="93"/>
        <v>#DIV/0!</v>
      </c>
      <c r="D139" s="34" t="str">
        <f t="shared" si="93"/>
        <v>#DIV/0!</v>
      </c>
      <c r="E139" s="34" t="str">
        <f t="shared" si="93"/>
        <v>#DIV/0!</v>
      </c>
      <c r="F139" s="34" t="str">
        <f t="shared" si="93"/>
        <v>#DIV/0!</v>
      </c>
      <c r="G139" s="2"/>
      <c r="H139" s="10" t="s">
        <v>38</v>
      </c>
      <c r="I139" s="21"/>
      <c r="J139" s="21"/>
      <c r="K139" s="21"/>
      <c r="L139" s="33"/>
      <c r="M139" s="2"/>
      <c r="N139" s="2"/>
      <c r="O139" s="2"/>
    </row>
    <row r="140" ht="15.75" customHeight="1">
      <c r="A140" s="7" t="s">
        <v>39</v>
      </c>
      <c r="B140" s="26"/>
      <c r="C140" s="26"/>
      <c r="D140" s="26">
        <v>3.0</v>
      </c>
      <c r="E140" s="26"/>
      <c r="F140" s="26"/>
      <c r="G140" s="2"/>
      <c r="H140" s="35" t="s">
        <v>40</v>
      </c>
      <c r="I140" s="36">
        <f t="shared" ref="I140:L140" si="94">(I134*I137)+(I135*I138)+(I136*I139)</f>
        <v>0</v>
      </c>
      <c r="J140" s="36">
        <f t="shared" si="94"/>
        <v>0</v>
      </c>
      <c r="K140" s="36">
        <f t="shared" si="94"/>
        <v>0</v>
      </c>
      <c r="L140" s="37">
        <f t="shared" si="94"/>
        <v>0</v>
      </c>
      <c r="M140" s="2"/>
      <c r="N140" s="2"/>
      <c r="O140" s="2"/>
    </row>
    <row r="141" ht="15.75" customHeight="1">
      <c r="A141" s="38" t="s">
        <v>41</v>
      </c>
      <c r="B141" s="39" t="str">
        <f t="shared" ref="B141:F141" si="95">B125/B140</f>
        <v>#DIV/0!</v>
      </c>
      <c r="C141" s="39" t="str">
        <f t="shared" si="95"/>
        <v>#DIV/0!</v>
      </c>
      <c r="D141" s="39">
        <f t="shared" si="95"/>
        <v>0</v>
      </c>
      <c r="E141" s="39" t="str">
        <f t="shared" si="95"/>
        <v>#DIV/0!</v>
      </c>
      <c r="F141" s="39" t="str">
        <f t="shared" si="95"/>
        <v>#DIV/0!</v>
      </c>
      <c r="G141" s="2"/>
      <c r="H141" s="40"/>
      <c r="I141" s="40"/>
      <c r="J141" s="40"/>
      <c r="K141" s="40"/>
      <c r="L141" s="40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40"/>
      <c r="I142" s="40"/>
      <c r="J142" s="40"/>
      <c r="K142" s="40"/>
      <c r="L142" s="40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4" t="s">
        <v>3</v>
      </c>
      <c r="B144" s="5" t="s">
        <v>4</v>
      </c>
      <c r="C144" s="5" t="s">
        <v>5</v>
      </c>
      <c r="D144" s="5" t="s">
        <v>6</v>
      </c>
      <c r="E144" s="5" t="s">
        <v>7</v>
      </c>
      <c r="F144" s="5" t="s">
        <v>8</v>
      </c>
      <c r="G144" s="2"/>
      <c r="H144" s="6" t="s">
        <v>53</v>
      </c>
      <c r="I144" s="6" t="s">
        <v>4</v>
      </c>
      <c r="J144" s="6" t="s">
        <v>5</v>
      </c>
      <c r="K144" s="6" t="s">
        <v>6</v>
      </c>
      <c r="L144" s="6" t="s">
        <v>7</v>
      </c>
      <c r="M144" s="2"/>
      <c r="N144" s="2"/>
      <c r="O144" s="2"/>
    </row>
    <row r="145" ht="15.75" customHeight="1">
      <c r="A145" s="7" t="s">
        <v>9</v>
      </c>
      <c r="B145" s="8"/>
      <c r="C145" s="8"/>
      <c r="D145" s="8"/>
      <c r="E145" s="9"/>
      <c r="F145" s="9"/>
      <c r="G145" s="2"/>
      <c r="H145" s="10" t="s">
        <v>10</v>
      </c>
      <c r="I145" s="2"/>
      <c r="J145" s="11"/>
      <c r="K145" s="2"/>
      <c r="L145" s="12"/>
      <c r="M145" s="2"/>
      <c r="N145" s="2"/>
      <c r="O145" s="2"/>
    </row>
    <row r="146" ht="15.75" customHeight="1">
      <c r="A146" s="7" t="s">
        <v>11</v>
      </c>
      <c r="B146" s="8"/>
      <c r="C146" s="8"/>
      <c r="D146" s="8"/>
      <c r="E146" s="9"/>
      <c r="F146" s="9"/>
      <c r="G146" s="2"/>
      <c r="H146" s="10" t="s">
        <v>12</v>
      </c>
      <c r="I146" s="2"/>
      <c r="J146" s="11"/>
      <c r="K146" s="2"/>
      <c r="L146" s="12"/>
      <c r="M146" s="2"/>
      <c r="N146" s="2"/>
      <c r="O146" s="2"/>
    </row>
    <row r="147" ht="15.75" customHeight="1">
      <c r="A147" s="13" t="s">
        <v>13</v>
      </c>
      <c r="B147" s="14" t="str">
        <f t="shared" ref="B147:F147" si="96">(B145/B146)*1000</f>
        <v>#DIV/0!</v>
      </c>
      <c r="C147" s="14" t="str">
        <f t="shared" si="96"/>
        <v>#DIV/0!</v>
      </c>
      <c r="D147" s="14" t="str">
        <f t="shared" si="96"/>
        <v>#DIV/0!</v>
      </c>
      <c r="E147" s="15" t="str">
        <f t="shared" si="96"/>
        <v>#DIV/0!</v>
      </c>
      <c r="F147" s="15" t="str">
        <f t="shared" si="96"/>
        <v>#DIV/0!</v>
      </c>
      <c r="G147" s="2"/>
      <c r="H147" s="10" t="s">
        <v>14</v>
      </c>
      <c r="I147" s="2"/>
      <c r="J147" s="11"/>
      <c r="K147" s="2"/>
      <c r="L147" s="12"/>
      <c r="M147" s="2"/>
      <c r="N147" s="2"/>
      <c r="O147" s="2"/>
    </row>
    <row r="148" ht="15.75" customHeight="1">
      <c r="A148" s="7" t="s">
        <v>15</v>
      </c>
      <c r="B148" s="16" t="str">
        <f t="shared" ref="B148:F148" si="97">B145/B149</f>
        <v>#DIV/0!</v>
      </c>
      <c r="C148" s="16" t="str">
        <f t="shared" si="97"/>
        <v>#DIV/0!</v>
      </c>
      <c r="D148" s="17" t="str">
        <f t="shared" si="97"/>
        <v>#DIV/0!</v>
      </c>
      <c r="E148" s="18" t="str">
        <f t="shared" si="97"/>
        <v>#DIV/0!</v>
      </c>
      <c r="F148" s="18" t="str">
        <f t="shared" si="97"/>
        <v>#DIV/0!</v>
      </c>
      <c r="G148" s="2"/>
      <c r="H148" s="10" t="s">
        <v>16</v>
      </c>
      <c r="I148" s="2"/>
      <c r="J148" s="11"/>
      <c r="K148" s="2"/>
      <c r="L148" s="12"/>
      <c r="M148" s="2"/>
      <c r="N148" s="2"/>
      <c r="O148" s="2"/>
    </row>
    <row r="149" ht="15.75" customHeight="1">
      <c r="A149" s="7" t="s">
        <v>17</v>
      </c>
      <c r="B149" s="19" t="str">
        <f t="shared" ref="B149:F149" si="98">B147*B157</f>
        <v>#DIV/0!</v>
      </c>
      <c r="C149" s="19" t="str">
        <f t="shared" si="98"/>
        <v>#DIV/0!</v>
      </c>
      <c r="D149" s="19" t="str">
        <f t="shared" si="98"/>
        <v>#DIV/0!</v>
      </c>
      <c r="E149" s="20" t="str">
        <f t="shared" si="98"/>
        <v>#DIV/0!</v>
      </c>
      <c r="F149" s="20" t="str">
        <f t="shared" si="98"/>
        <v>#DIV/0!</v>
      </c>
      <c r="G149" s="2"/>
      <c r="H149" s="10" t="s">
        <v>18</v>
      </c>
      <c r="I149" s="16" t="str">
        <f t="shared" ref="I149:K149" si="99">B145/I147</f>
        <v>#DIV/0!</v>
      </c>
      <c r="J149" s="21" t="str">
        <f t="shared" si="99"/>
        <v>#DIV/0!</v>
      </c>
      <c r="K149" s="16" t="str">
        <f t="shared" si="99"/>
        <v>#DIV/0!</v>
      </c>
      <c r="L149" s="22" t="str">
        <f>F145/L147</f>
        <v>#DIV/0!</v>
      </c>
      <c r="M149" s="2"/>
      <c r="N149" s="2"/>
      <c r="O149" s="2"/>
    </row>
    <row r="150" ht="15.75" customHeight="1">
      <c r="A150" s="7" t="s">
        <v>19</v>
      </c>
      <c r="B150" s="19" t="str">
        <f t="shared" ref="B150:F150" si="100">B149*B158</f>
        <v>#DIV/0!</v>
      </c>
      <c r="C150" s="19" t="str">
        <f t="shared" si="100"/>
        <v>#DIV/0!</v>
      </c>
      <c r="D150" s="19" t="str">
        <f t="shared" si="100"/>
        <v>#DIV/0!</v>
      </c>
      <c r="E150" s="20" t="str">
        <f t="shared" si="100"/>
        <v>#DIV/0!</v>
      </c>
      <c r="F150" s="20" t="str">
        <f t="shared" si="100"/>
        <v>#DIV/0!</v>
      </c>
      <c r="G150" s="2"/>
      <c r="H150" s="10" t="s">
        <v>20</v>
      </c>
      <c r="I150" s="23" t="str">
        <f t="shared" ref="I150:L150" si="101">I146/(I146+I147)</f>
        <v>#DIV/0!</v>
      </c>
      <c r="J150" s="24" t="str">
        <f t="shared" si="101"/>
        <v>#DIV/0!</v>
      </c>
      <c r="K150" s="23" t="str">
        <f t="shared" si="101"/>
        <v>#DIV/0!</v>
      </c>
      <c r="L150" s="25" t="str">
        <f t="shared" si="101"/>
        <v>#DIV/0!</v>
      </c>
      <c r="M150" s="2"/>
      <c r="N150" s="2"/>
      <c r="O150" s="2"/>
    </row>
    <row r="151" ht="15.75" customHeight="1">
      <c r="A151" s="7" t="s">
        <v>21</v>
      </c>
      <c r="B151" s="26"/>
      <c r="C151" s="26"/>
      <c r="D151" s="26"/>
      <c r="E151" s="27"/>
      <c r="F151" s="27"/>
      <c r="G151" s="2"/>
      <c r="H151" s="10" t="s">
        <v>22</v>
      </c>
      <c r="I151" s="23" t="str">
        <f t="shared" ref="I151:L151" si="102">I153/I147</f>
        <v>#DIV/0!</v>
      </c>
      <c r="J151" s="24" t="str">
        <f t="shared" si="102"/>
        <v>#DIV/0!</v>
      </c>
      <c r="K151" s="23" t="str">
        <f t="shared" si="102"/>
        <v>#DIV/0!</v>
      </c>
      <c r="L151" s="25" t="str">
        <f t="shared" si="102"/>
        <v>#DIV/0!</v>
      </c>
      <c r="M151" s="2"/>
      <c r="N151" s="2"/>
      <c r="O151" s="2"/>
    </row>
    <row r="152" ht="15.75" customHeight="1">
      <c r="A152" s="7" t="s">
        <v>23</v>
      </c>
      <c r="B152" s="16" t="str">
        <f t="shared" ref="B152:F152" si="103">B145/B151</f>
        <v>#DIV/0!</v>
      </c>
      <c r="C152" s="16" t="str">
        <f t="shared" si="103"/>
        <v>#DIV/0!</v>
      </c>
      <c r="D152" s="16" t="str">
        <f t="shared" si="103"/>
        <v>#DIV/0!</v>
      </c>
      <c r="E152" s="22" t="str">
        <f t="shared" si="103"/>
        <v>#DIV/0!</v>
      </c>
      <c r="F152" s="22" t="str">
        <f t="shared" si="103"/>
        <v>#DIV/0!</v>
      </c>
      <c r="G152" s="2"/>
      <c r="H152" s="10" t="s">
        <v>24</v>
      </c>
      <c r="I152" s="28">
        <f t="shared" ref="I152:L152" si="104">I147-I153-I148</f>
        <v>0</v>
      </c>
      <c r="J152" s="28">
        <f t="shared" si="104"/>
        <v>0</v>
      </c>
      <c r="K152" s="28">
        <f t="shared" si="104"/>
        <v>0</v>
      </c>
      <c r="L152" s="28">
        <f t="shared" si="104"/>
        <v>0</v>
      </c>
      <c r="M152" s="2"/>
      <c r="N152" s="2"/>
      <c r="O152" s="2"/>
    </row>
    <row r="153" ht="15.75" customHeight="1">
      <c r="A153" s="7" t="s">
        <v>25</v>
      </c>
      <c r="B153" s="26"/>
      <c r="C153" s="31"/>
      <c r="D153" s="31"/>
      <c r="E153" s="27"/>
      <c r="F153" s="27"/>
      <c r="G153" s="2"/>
      <c r="H153" s="10" t="s">
        <v>26</v>
      </c>
      <c r="I153" s="2"/>
      <c r="J153" s="11"/>
      <c r="K153" s="2"/>
      <c r="L153" s="12"/>
      <c r="M153" s="2"/>
      <c r="N153" s="2"/>
      <c r="O153" s="2"/>
    </row>
    <row r="154" ht="15.75" customHeight="1">
      <c r="A154" s="7" t="s">
        <v>27</v>
      </c>
      <c r="B154" s="16" t="str">
        <f t="shared" ref="B154:F154" si="105">B153/B145</f>
        <v>#DIV/0!</v>
      </c>
      <c r="C154" s="16" t="str">
        <f t="shared" si="105"/>
        <v>#DIV/0!</v>
      </c>
      <c r="D154" s="16" t="str">
        <f t="shared" si="105"/>
        <v>#DIV/0!</v>
      </c>
      <c r="E154" s="22" t="str">
        <f t="shared" si="105"/>
        <v>#DIV/0!</v>
      </c>
      <c r="F154" s="22" t="str">
        <f t="shared" si="105"/>
        <v>#DIV/0!</v>
      </c>
      <c r="G154" s="2"/>
      <c r="H154" s="10" t="s">
        <v>54</v>
      </c>
      <c r="I154" s="2"/>
      <c r="J154" s="11"/>
      <c r="K154" s="2"/>
      <c r="L154" s="12"/>
      <c r="M154" s="2"/>
      <c r="N154" s="2"/>
      <c r="O154" s="2"/>
    </row>
    <row r="155" ht="15.75" customHeight="1">
      <c r="A155" s="7" t="s">
        <v>29</v>
      </c>
      <c r="B155" s="29"/>
      <c r="C155" s="29"/>
      <c r="D155" s="29"/>
      <c r="E155" s="30"/>
      <c r="F155" s="30"/>
      <c r="G155" s="2"/>
      <c r="H155" s="10" t="s">
        <v>30</v>
      </c>
      <c r="I155" s="2"/>
      <c r="J155" s="11"/>
      <c r="K155" s="2"/>
      <c r="L155" s="12"/>
      <c r="M155" s="2"/>
      <c r="N155" s="2"/>
      <c r="O155" s="2"/>
    </row>
    <row r="156" ht="15.75" customHeight="1">
      <c r="A156" s="7" t="s">
        <v>31</v>
      </c>
      <c r="B156" s="16" t="str">
        <f>B155/B145</f>
        <v>#DIV/0!</v>
      </c>
      <c r="C156" s="16" t="str">
        <f t="shared" ref="C156:F156" si="106">C155/C147</f>
        <v>#DIV/0!</v>
      </c>
      <c r="D156" s="16" t="str">
        <f t="shared" si="106"/>
        <v>#DIV/0!</v>
      </c>
      <c r="E156" s="22" t="str">
        <f t="shared" si="106"/>
        <v>#DIV/0!</v>
      </c>
      <c r="F156" s="22" t="str">
        <f t="shared" si="106"/>
        <v>#DIV/0!</v>
      </c>
      <c r="G156" s="2"/>
      <c r="H156" s="10" t="s">
        <v>32</v>
      </c>
      <c r="I156" s="2"/>
      <c r="J156" s="11"/>
      <c r="K156" s="2"/>
      <c r="L156" s="12"/>
      <c r="M156" s="2"/>
      <c r="N156" s="2"/>
      <c r="O156" s="2"/>
    </row>
    <row r="157" ht="15.75" customHeight="1">
      <c r="A157" s="7" t="s">
        <v>33</v>
      </c>
      <c r="B157" s="31"/>
      <c r="C157" s="31"/>
      <c r="D157" s="31"/>
      <c r="E157" s="32"/>
      <c r="F157" s="32"/>
      <c r="G157" s="2"/>
      <c r="H157" s="10" t="s">
        <v>34</v>
      </c>
      <c r="I157" s="21"/>
      <c r="J157" s="21"/>
      <c r="K157" s="21"/>
      <c r="L157" s="33"/>
      <c r="M157" s="2"/>
      <c r="N157" s="2"/>
      <c r="O157" s="2"/>
    </row>
    <row r="158" ht="15.75" customHeight="1">
      <c r="A158" s="7" t="s">
        <v>35</v>
      </c>
      <c r="B158" s="31"/>
      <c r="C158" s="43"/>
      <c r="D158" s="43"/>
      <c r="E158" s="45"/>
      <c r="F158" s="45"/>
      <c r="G158" s="2"/>
      <c r="H158" s="10" t="s">
        <v>36</v>
      </c>
      <c r="I158" s="21"/>
      <c r="J158" s="21"/>
      <c r="K158" s="21"/>
      <c r="L158" s="33"/>
      <c r="M158" s="2"/>
      <c r="N158" s="2"/>
      <c r="O158" s="2"/>
    </row>
    <row r="159" ht="15.75" customHeight="1">
      <c r="A159" s="7" t="s">
        <v>37</v>
      </c>
      <c r="B159" s="34" t="str">
        <f t="shared" ref="B159:F159" si="107">B151/B150</f>
        <v>#DIV/0!</v>
      </c>
      <c r="C159" s="34" t="str">
        <f t="shared" si="107"/>
        <v>#DIV/0!</v>
      </c>
      <c r="D159" s="34" t="str">
        <f t="shared" si="107"/>
        <v>#DIV/0!</v>
      </c>
      <c r="E159" s="34" t="str">
        <f t="shared" si="107"/>
        <v>#DIV/0!</v>
      </c>
      <c r="F159" s="34" t="str">
        <f t="shared" si="107"/>
        <v>#DIV/0!</v>
      </c>
      <c r="G159" s="2"/>
      <c r="H159" s="10" t="s">
        <v>38</v>
      </c>
      <c r="I159" s="21"/>
      <c r="J159" s="21"/>
      <c r="K159" s="21"/>
      <c r="L159" s="33"/>
      <c r="M159" s="2"/>
      <c r="N159" s="2"/>
      <c r="O159" s="2"/>
    </row>
    <row r="160" ht="15.75" customHeight="1">
      <c r="A160" s="7" t="s">
        <v>39</v>
      </c>
      <c r="B160" s="26"/>
      <c r="C160" s="26"/>
      <c r="D160" s="26"/>
      <c r="E160" s="26"/>
      <c r="F160" s="26"/>
      <c r="G160" s="2"/>
      <c r="H160" s="35" t="s">
        <v>40</v>
      </c>
      <c r="I160" s="36">
        <f t="shared" ref="I160:L160" si="108">(I154*I157)+(I155*I158)+(I156*I159)</f>
        <v>0</v>
      </c>
      <c r="J160" s="36">
        <f t="shared" si="108"/>
        <v>0</v>
      </c>
      <c r="K160" s="36">
        <f t="shared" si="108"/>
        <v>0</v>
      </c>
      <c r="L160" s="37">
        <f t="shared" si="108"/>
        <v>0</v>
      </c>
      <c r="M160" s="2"/>
      <c r="N160" s="2"/>
      <c r="O160" s="2"/>
    </row>
    <row r="161" ht="15.75" customHeight="1">
      <c r="A161" s="38" t="s">
        <v>41</v>
      </c>
      <c r="B161" s="39" t="str">
        <f t="shared" ref="B161:F161" si="109">B145/B160</f>
        <v>#DIV/0!</v>
      </c>
      <c r="C161" s="39" t="str">
        <f t="shared" si="109"/>
        <v>#DIV/0!</v>
      </c>
      <c r="D161" s="39" t="str">
        <f t="shared" si="109"/>
        <v>#DIV/0!</v>
      </c>
      <c r="E161" s="39" t="str">
        <f t="shared" si="109"/>
        <v>#DIV/0!</v>
      </c>
      <c r="F161" s="39" t="str">
        <f t="shared" si="109"/>
        <v>#DIV/0!</v>
      </c>
      <c r="G161" s="2"/>
      <c r="H161" s="40"/>
      <c r="I161" s="40"/>
      <c r="J161" s="40"/>
      <c r="K161" s="40"/>
      <c r="L161" s="40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3:F3"/>
    <mergeCell ref="H3:L3"/>
  </mergeCells>
  <drawing r:id="rId1"/>
</worksheet>
</file>