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 Agosto24" sheetId="1" r:id="rId4"/>
    <sheet state="visible" name="TRA Agosto24" sheetId="2" r:id="rId5"/>
    <sheet state="visible" name=" Meta" sheetId="3" r:id="rId6"/>
    <sheet state="visible" name="Motivo de Loss" sheetId="4" r:id="rId7"/>
  </sheets>
  <definedNames/>
  <calcPr/>
</workbook>
</file>

<file path=xl/sharedStrings.xml><?xml version="1.0" encoding="utf-8"?>
<sst xmlns="http://schemas.openxmlformats.org/spreadsheetml/2006/main" count="453" uniqueCount="81">
  <si>
    <t>TOTAL MARKETING - Julho</t>
  </si>
  <si>
    <t>A.D MESF</t>
  </si>
  <si>
    <t>ISCA TRILHA</t>
  </si>
  <si>
    <t>IESF</t>
  </si>
  <si>
    <t>ESF Day</t>
  </si>
  <si>
    <t>ESF DAY</t>
  </si>
  <si>
    <t>FESF</t>
  </si>
  <si>
    <t>DIRECT</t>
  </si>
  <si>
    <t>Leads</t>
  </si>
  <si>
    <t>Leads +MQL</t>
  </si>
  <si>
    <t>AG NO DIA</t>
  </si>
  <si>
    <t>AG PRO DIA</t>
  </si>
  <si>
    <t>AG PRO DIA MQL</t>
  </si>
  <si>
    <t xml:space="preserve">C.R </t>
  </si>
  <si>
    <t>C.R MQL</t>
  </si>
  <si>
    <t>CPL</t>
  </si>
  <si>
    <t>CPL MQL</t>
  </si>
  <si>
    <t>CP. AG PRO DIA</t>
  </si>
  <si>
    <t>CP. AG P/DIA MQL</t>
  </si>
  <si>
    <t>CP. C.R</t>
  </si>
  <si>
    <t>CP. C.R MQL</t>
  </si>
  <si>
    <t>Fat</t>
  </si>
  <si>
    <t>Investimento</t>
  </si>
  <si>
    <t>Caixa</t>
  </si>
  <si>
    <t>Leads Totais</t>
  </si>
  <si>
    <t xml:space="preserve"> &gt; % &gt;</t>
  </si>
  <si>
    <t>Leads Tráfego</t>
  </si>
  <si>
    <t>Leads Orgânicos</t>
  </si>
  <si>
    <t>Custo por Lead</t>
  </si>
  <si>
    <t>Custo por MQL</t>
  </si>
  <si>
    <t>Valor Investido</t>
  </si>
  <si>
    <t>M.ESF</t>
  </si>
  <si>
    <t>M.M</t>
  </si>
  <si>
    <t>% Cash colectecd</t>
  </si>
  <si>
    <t>valor de entrada</t>
  </si>
  <si>
    <t>TX</t>
  </si>
  <si>
    <t>Faturamento</t>
  </si>
  <si>
    <t xml:space="preserve">TOTAL </t>
  </si>
  <si>
    <t>Semana 5</t>
  </si>
  <si>
    <t>Semana 4</t>
  </si>
  <si>
    <t>-</t>
  </si>
  <si>
    <t>Semana 3</t>
  </si>
  <si>
    <t>Semana 2</t>
  </si>
  <si>
    <t>Semana 1</t>
  </si>
  <si>
    <t>TOTAL MARKETING TRAFEGO - AGOSTO</t>
  </si>
  <si>
    <t>&gt; % &gt;</t>
  </si>
  <si>
    <t>Leads MQL Tráfego</t>
  </si>
  <si>
    <t>AG</t>
  </si>
  <si>
    <t xml:space="preserve"> </t>
  </si>
  <si>
    <t>BRONZE</t>
  </si>
  <si>
    <t>PRATA</t>
  </si>
  <si>
    <t>OURO</t>
  </si>
  <si>
    <t>sessão estratégica</t>
  </si>
  <si>
    <t>leads</t>
  </si>
  <si>
    <t>leads MQL</t>
  </si>
  <si>
    <t>call agendada</t>
  </si>
  <si>
    <t>call realizada</t>
  </si>
  <si>
    <t>vendas</t>
  </si>
  <si>
    <t xml:space="preserve">ticket médio </t>
  </si>
  <si>
    <t>fatu</t>
  </si>
  <si>
    <t>MOTIVOS DE LOSS</t>
  </si>
  <si>
    <t>CLOSER</t>
  </si>
  <si>
    <t>Numero de Calls Realizadas:</t>
  </si>
  <si>
    <t>%</t>
  </si>
  <si>
    <t>[closer] NoShow</t>
  </si>
  <si>
    <t>[closer] Não teve Pitch</t>
  </si>
  <si>
    <t>[closer] Não é prioridade</t>
  </si>
  <si>
    <t>[closer] Não tem Budget</t>
  </si>
  <si>
    <t>[closer] Não é o Decisor</t>
  </si>
  <si>
    <t>[closer] Contratou outra mentoria</t>
  </si>
  <si>
    <t>[closer] Possível concorrente espionando</t>
  </si>
  <si>
    <t>[closer] Tentativas de contatos esgotadas</t>
  </si>
  <si>
    <t>[closer] Não encontrou valor</t>
  </si>
  <si>
    <t>Total</t>
  </si>
  <si>
    <t>SDR</t>
  </si>
  <si>
    <t>Numero de Leads:</t>
  </si>
  <si>
    <t>[sdr] Fake</t>
  </si>
  <si>
    <t>[sdr] Número incorreto</t>
  </si>
  <si>
    <t>[sdr] Não respondeu abordagem (nunca retornou)</t>
  </si>
  <si>
    <t>[sdr] Não conseguimos agendar SE</t>
  </si>
  <si>
    <t>[sdr] Não tem interesse em agendar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</si>
</sst>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]#,##0"/>
    <numFmt numFmtId="165" formatCode="[$R$ -416]#,##0"/>
    <numFmt numFmtId="166" formatCode="d/mmm"/>
    <numFmt numFmtId="167" formatCode="[$R$ -416]#,##0.00"/>
    <numFmt numFmtId="168" formatCode="&quot;$&quot;#,##0"/>
  </numFmts>
  <fonts count="28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b/>
      <color theme="1"/>
      <name val="Arial"/>
    </font>
    <font>
      <b/>
      <sz val="6.0"/>
      <color rgb="FFFFFFFF"/>
      <name val="Arial"/>
    </font>
    <font>
      <b/>
      <sz val="6.0"/>
      <color theme="1"/>
      <name val="Arial"/>
    </font>
    <font>
      <b/>
      <sz val="8.0"/>
      <color theme="1"/>
      <name val="Arial"/>
    </font>
    <font>
      <b/>
      <sz val="7.0"/>
      <color theme="1"/>
      <name val="Arial"/>
    </font>
    <font>
      <b/>
      <sz val="6.0"/>
      <color rgb="FF000000"/>
      <name val="Arial"/>
    </font>
    <font>
      <b/>
      <sz val="7.0"/>
      <color rgb="FF000000"/>
      <name val="Arial"/>
    </font>
    <font>
      <b/>
      <sz val="8.0"/>
      <color rgb="FF000000"/>
      <name val="Arial"/>
    </font>
    <font>
      <sz val="8.0"/>
      <color theme="1"/>
      <name val="Arial"/>
    </font>
    <font>
      <b/>
      <color rgb="FF00FF00"/>
      <name val="Arial"/>
    </font>
    <font>
      <b/>
      <sz val="6.0"/>
      <color rgb="FF00FF00"/>
      <name val="Arial"/>
    </font>
    <font>
      <b/>
      <sz val="8.0"/>
      <color rgb="FF00FF00"/>
      <name val="Arial"/>
    </font>
    <font>
      <b/>
      <color rgb="FF000000"/>
      <name val="Arial"/>
    </font>
    <font>
      <color rgb="FF00FF00"/>
      <name val="Arial"/>
    </font>
    <font>
      <b/>
      <sz val="11.0"/>
      <color rgb="FF000000"/>
      <name val="Arial"/>
    </font>
    <font>
      <sz val="9.0"/>
      <color rgb="FF999999"/>
      <name val="Arial"/>
    </font>
    <font>
      <sz val="8.0"/>
      <color rgb="FF000000"/>
      <name val="Arial"/>
    </font>
    <font>
      <color rgb="FF000000"/>
      <name val="Arial"/>
    </font>
    <font>
      <b/>
      <sz val="11.0"/>
      <color theme="1"/>
      <name val="Arial"/>
    </font>
    <font>
      <sz val="9.0"/>
      <color rgb="FF000000"/>
      <name val="Arial"/>
    </font>
    <font>
      <sz val="7.0"/>
      <color rgb="FF000000"/>
      <name val="Arial"/>
    </font>
    <font>
      <b/>
      <sz val="17.0"/>
      <color theme="1"/>
      <name val="Arial"/>
    </font>
    <font>
      <b/>
      <sz val="13.0"/>
      <color rgb="FF0000FF"/>
      <name val="Arial"/>
    </font>
    <font>
      <i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F8970"/>
        <bgColor rgb="FFBF8970"/>
      </patternFill>
    </fill>
    <fill>
      <patternFill patternType="solid">
        <fgColor rgb="FFC0C0C0"/>
        <bgColor rgb="FFC0C0C0"/>
      </patternFill>
    </fill>
    <fill>
      <patternFill patternType="solid">
        <fgColor rgb="FFFFD700"/>
        <bgColor rgb="FFFFD700"/>
      </patternFill>
    </fill>
    <fill>
      <patternFill patternType="solid">
        <fgColor rgb="FF9FC5E8"/>
        <bgColor rgb="FF9FC5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0" fillId="3" fontId="4" numFmtId="0" xfId="0" applyAlignment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vertical="center"/>
    </xf>
    <xf borderId="3" fillId="4" fontId="4" numFmtId="0" xfId="0" applyAlignment="1" applyBorder="1" applyFont="1">
      <alignment horizontal="center" vertical="center"/>
    </xf>
    <xf borderId="6" fillId="0" fontId="1" numFmtId="0" xfId="0" applyBorder="1" applyFont="1"/>
    <xf borderId="7" fillId="4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2" fontId="5" numFmtId="0" xfId="0" applyAlignment="1" applyFont="1">
      <alignment horizontal="center" shrinkToFit="0" vertical="center" wrapText="1"/>
    </xf>
    <xf borderId="0" fillId="2" fontId="5" numFmtId="3" xfId="0" applyAlignment="1" applyFont="1" applyNumberFormat="1">
      <alignment horizontal="center" shrinkToFit="0" vertical="center" wrapText="1"/>
    </xf>
    <xf borderId="0" fillId="2" fontId="5" numFmtId="4" xfId="0" applyAlignment="1" applyFont="1" applyNumberFormat="1">
      <alignment horizontal="center" shrinkToFit="0" vertical="center" wrapText="1"/>
    </xf>
    <xf borderId="1" fillId="5" fontId="6" numFmtId="3" xfId="0" applyAlignment="1" applyBorder="1" applyFill="1" applyFont="1" applyNumberFormat="1">
      <alignment horizontal="center" shrinkToFit="0" vertical="center" wrapText="1"/>
    </xf>
    <xf borderId="1" fillId="6" fontId="6" numFmtId="3" xfId="0" applyAlignment="1" applyBorder="1" applyFill="1" applyFont="1" applyNumberFormat="1">
      <alignment horizontal="center" shrinkToFit="0" vertical="center" wrapText="1"/>
    </xf>
    <xf borderId="1" fillId="6" fontId="7" numFmtId="3" xfId="0" applyAlignment="1" applyBorder="1" applyFont="1" applyNumberFormat="1">
      <alignment horizontal="center" shrinkToFit="0" vertical="center" wrapText="1"/>
    </xf>
    <xf borderId="1" fillId="6" fontId="8" numFmtId="164" xfId="0" applyAlignment="1" applyBorder="1" applyFont="1" applyNumberFormat="1">
      <alignment horizontal="center" shrinkToFit="0" vertical="center" wrapText="1"/>
    </xf>
    <xf borderId="6" fillId="7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7" fontId="11" numFmtId="3" xfId="0" applyAlignment="1" applyBorder="1" applyFont="1" applyNumberFormat="1">
      <alignment horizontal="center" shrinkToFit="0" vertical="center" wrapText="1"/>
    </xf>
    <xf borderId="1" fillId="6" fontId="6" numFmtId="164" xfId="0" applyAlignment="1" applyBorder="1" applyFont="1" applyNumberFormat="1">
      <alignment horizontal="center" shrinkToFit="0" vertical="center" wrapText="1"/>
    </xf>
    <xf borderId="5" fillId="7" fontId="9" numFmtId="0" xfId="0" applyAlignment="1" applyBorder="1" applyFont="1">
      <alignment horizontal="center" shrinkToFit="0" vertical="center" wrapText="1"/>
    </xf>
    <xf borderId="1" fillId="7" fontId="8" numFmtId="165" xfId="0" applyAlignment="1" applyBorder="1" applyFont="1" applyNumberFormat="1">
      <alignment horizontal="center" shrinkToFit="0" vertical="center" wrapText="1"/>
    </xf>
    <xf borderId="1" fillId="7" fontId="9" numFmtId="3" xfId="0" applyAlignment="1" applyBorder="1" applyFont="1" applyNumberFormat="1">
      <alignment horizontal="center" shrinkToFit="0" vertical="center" wrapText="1"/>
    </xf>
    <xf borderId="1" fillId="7" fontId="6" numFmtId="165" xfId="0" applyAlignment="1" applyBorder="1" applyFont="1" applyNumberFormat="1">
      <alignment horizontal="center" shrinkToFit="0" vertical="center" wrapText="1"/>
    </xf>
    <xf borderId="6" fillId="0" fontId="8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bottom" wrapText="1"/>
    </xf>
    <xf borderId="1" fillId="7" fontId="4" numFmtId="0" xfId="0" applyAlignment="1" applyBorder="1" applyFont="1">
      <alignment horizontal="center" vertical="center"/>
    </xf>
    <xf borderId="1" fillId="7" fontId="9" numFmtId="10" xfId="0" applyAlignment="1" applyBorder="1" applyFont="1" applyNumberFormat="1">
      <alignment horizontal="center" vertical="center"/>
    </xf>
    <xf borderId="1" fillId="7" fontId="4" numFmtId="3" xfId="0" applyAlignment="1" applyBorder="1" applyFont="1" applyNumberFormat="1">
      <alignment horizontal="center" vertical="center"/>
    </xf>
    <xf borderId="1" fillId="7" fontId="4" numFmtId="164" xfId="0" applyAlignment="1" applyBorder="1" applyFont="1" applyNumberFormat="1">
      <alignment horizontal="center" vertical="center"/>
    </xf>
    <xf borderId="1" fillId="7" fontId="4" numFmtId="165" xfId="0" applyAlignment="1" applyBorder="1" applyFont="1" applyNumberFormat="1">
      <alignment horizontal="center" vertical="center"/>
    </xf>
    <xf borderId="1" fillId="6" fontId="12" numFmtId="9" xfId="0" applyAlignment="1" applyBorder="1" applyFont="1" applyNumberFormat="1">
      <alignment horizontal="center" vertical="center"/>
    </xf>
    <xf borderId="1" fillId="7" fontId="4" numFmtId="9" xfId="0" applyAlignment="1" applyBorder="1" applyFont="1" applyNumberFormat="1">
      <alignment horizontal="center" vertical="center"/>
    </xf>
    <xf borderId="6" fillId="7" fontId="4" numFmtId="0" xfId="0" applyAlignment="1" applyBorder="1" applyFont="1">
      <alignment horizontal="center" vertical="center"/>
    </xf>
    <xf borderId="5" fillId="7" fontId="4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shrinkToFit="0" vertical="bottom" wrapText="1"/>
    </xf>
    <xf borderId="1" fillId="2" fontId="13" numFmtId="0" xfId="0" applyAlignment="1" applyBorder="1" applyFont="1">
      <alignment horizontal="center" vertical="center"/>
    </xf>
    <xf borderId="1" fillId="2" fontId="14" numFmtId="9" xfId="0" applyAlignment="1" applyBorder="1" applyFont="1" applyNumberFormat="1">
      <alignment horizontal="center" vertical="center"/>
    </xf>
    <xf borderId="1" fillId="2" fontId="14" numFmtId="10" xfId="0" applyAlignment="1" applyBorder="1" applyFont="1" applyNumberFormat="1">
      <alignment horizontal="center" vertical="center"/>
    </xf>
    <xf borderId="1" fillId="2" fontId="13" numFmtId="3" xfId="0" applyAlignment="1" applyBorder="1" applyFont="1" applyNumberFormat="1">
      <alignment horizontal="center" vertical="center"/>
    </xf>
    <xf borderId="1" fillId="2" fontId="13" numFmtId="164" xfId="0" applyAlignment="1" applyBorder="1" applyFont="1" applyNumberFormat="1">
      <alignment horizontal="center" vertical="center"/>
    </xf>
    <xf borderId="1" fillId="2" fontId="15" numFmtId="165" xfId="0" applyAlignment="1" applyBorder="1" applyFont="1" applyNumberFormat="1">
      <alignment horizontal="center" vertical="center"/>
    </xf>
    <xf borderId="1" fillId="2" fontId="15" numFmtId="9" xfId="0" applyAlignment="1" applyBorder="1" applyFont="1" applyNumberFormat="1">
      <alignment horizontal="center" vertical="center"/>
    </xf>
    <xf borderId="1" fillId="2" fontId="15" numFmtId="164" xfId="0" applyAlignment="1" applyBorder="1" applyFont="1" applyNumberFormat="1">
      <alignment horizontal="center" vertical="center"/>
    </xf>
    <xf borderId="1" fillId="2" fontId="13" numFmtId="9" xfId="0" applyAlignment="1" applyBorder="1" applyFont="1" applyNumberFormat="1">
      <alignment horizontal="center" vertical="center"/>
    </xf>
    <xf borderId="6" fillId="0" fontId="16" numFmtId="0" xfId="0" applyBorder="1" applyFont="1"/>
    <xf borderId="6" fillId="2" fontId="13" numFmtId="0" xfId="0" applyAlignment="1" applyBorder="1" applyFont="1">
      <alignment horizontal="center" vertical="center"/>
    </xf>
    <xf borderId="0" fillId="0" fontId="17" numFmtId="0" xfId="0" applyFont="1"/>
    <xf borderId="5" fillId="2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1" fillId="8" fontId="18" numFmtId="166" xfId="0" applyAlignment="1" applyBorder="1" applyFill="1" applyFont="1" applyNumberFormat="1">
      <alignment horizontal="right" shrinkToFit="0" vertical="bottom" wrapText="1"/>
    </xf>
    <xf borderId="1" fillId="6" fontId="1" numFmtId="0" xfId="0" applyAlignment="1" applyBorder="1" applyFont="1">
      <alignment horizontal="center" vertical="center"/>
    </xf>
    <xf borderId="1" fillId="6" fontId="19" numFmtId="9" xfId="0" applyAlignment="1" applyBorder="1" applyFont="1" applyNumberFormat="1">
      <alignment horizontal="center" vertical="center"/>
    </xf>
    <xf borderId="1" fillId="6" fontId="1" numFmtId="3" xfId="0" applyAlignment="1" applyBorder="1" applyFont="1" applyNumberFormat="1">
      <alignment horizontal="center" vertical="center"/>
    </xf>
    <xf borderId="1" fillId="6" fontId="4" numFmtId="165" xfId="0" applyAlignment="1" applyBorder="1" applyFont="1" applyNumberFormat="1">
      <alignment horizontal="center" vertical="center"/>
    </xf>
    <xf borderId="1" fillId="8" fontId="20" numFmtId="165" xfId="0" applyAlignment="1" applyBorder="1" applyFont="1" applyNumberFormat="1">
      <alignment horizontal="center" vertical="center"/>
    </xf>
    <xf borderId="1" fillId="8" fontId="21" numFmtId="9" xfId="0" applyAlignment="1" applyBorder="1" applyFont="1" applyNumberFormat="1">
      <alignment horizontal="center" vertical="center"/>
    </xf>
    <xf borderId="1" fillId="8" fontId="21" numFmtId="164" xfId="0" applyAlignment="1" applyBorder="1" applyFont="1" applyNumberFormat="1">
      <alignment horizontal="center" vertical="center"/>
    </xf>
    <xf borderId="1" fillId="6" fontId="1" numFmtId="9" xfId="0" applyAlignment="1" applyBorder="1" applyFont="1" applyNumberFormat="1">
      <alignment horizontal="center" vertical="center"/>
    </xf>
    <xf borderId="6" fillId="8" fontId="21" numFmtId="0" xfId="0" applyAlignment="1" applyBorder="1" applyFont="1">
      <alignment horizontal="center" vertical="center"/>
    </xf>
    <xf borderId="0" fillId="0" fontId="21" numFmtId="0" xfId="0" applyFont="1"/>
    <xf borderId="5" fillId="8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6" fillId="0" fontId="21" numFmtId="3" xfId="0" applyAlignment="1" applyBorder="1" applyFont="1" applyNumberFormat="1">
      <alignment horizontal="center" vertical="center"/>
    </xf>
    <xf borderId="1" fillId="6" fontId="1" numFmtId="164" xfId="0" applyAlignment="1" applyBorder="1" applyFont="1" applyNumberFormat="1">
      <alignment horizontal="center" vertical="center"/>
    </xf>
    <xf borderId="1" fillId="6" fontId="22" numFmtId="166" xfId="0" applyAlignment="1" applyBorder="1" applyFont="1" applyNumberFormat="1">
      <alignment horizontal="right" shrinkToFit="0" vertical="bottom" wrapText="1"/>
    </xf>
    <xf borderId="6" fillId="6" fontId="1" numFmtId="0" xfId="0" applyAlignment="1" applyBorder="1" applyFont="1">
      <alignment horizontal="center" vertical="center"/>
    </xf>
    <xf borderId="5" fillId="6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6" fontId="22" numFmtId="166" xfId="0" applyAlignment="1" applyBorder="1" applyFont="1" applyNumberFormat="1">
      <alignment horizontal="right" shrinkToFit="0" wrapText="1"/>
    </xf>
    <xf borderId="6" fillId="6" fontId="1" numFmtId="0" xfId="0" applyBorder="1" applyFont="1"/>
    <xf borderId="1" fillId="6" fontId="1" numFmtId="167" xfId="0" applyAlignment="1" applyBorder="1" applyFont="1" applyNumberFormat="1">
      <alignment horizontal="center" vertical="center"/>
    </xf>
    <xf borderId="8" fillId="6" fontId="1" numFmtId="0" xfId="0" applyAlignment="1" applyBorder="1" applyFont="1">
      <alignment horizontal="center" vertical="center"/>
    </xf>
    <xf borderId="0" fillId="6" fontId="9" numFmtId="0" xfId="0" applyAlignment="1" applyFont="1">
      <alignment horizontal="center" shrinkToFit="0" vertical="center" wrapText="1"/>
    </xf>
    <xf borderId="1" fillId="7" fontId="9" numFmtId="3" xfId="0" applyAlignment="1" applyBorder="1" applyFont="1" applyNumberFormat="1">
      <alignment horizontal="center" vertical="center"/>
    </xf>
    <xf borderId="1" fillId="7" fontId="9" numFmtId="4" xfId="0" applyAlignment="1" applyBorder="1" applyFont="1" applyNumberFormat="1">
      <alignment horizontal="center" vertical="center"/>
    </xf>
    <xf borderId="1" fillId="7" fontId="4" numFmtId="167" xfId="0" applyAlignment="1" applyBorder="1" applyFont="1" applyNumberFormat="1">
      <alignment horizontal="center" vertical="center"/>
    </xf>
    <xf borderId="1" fillId="6" fontId="12" numFmtId="3" xfId="0" applyAlignment="1" applyBorder="1" applyFont="1" applyNumberFormat="1">
      <alignment horizontal="center" vertical="center"/>
    </xf>
    <xf borderId="1" fillId="2" fontId="14" numFmtId="3" xfId="0" applyAlignment="1" applyBorder="1" applyFont="1" applyNumberFormat="1">
      <alignment horizontal="center" vertical="center"/>
    </xf>
    <xf borderId="1" fillId="2" fontId="14" numFmtId="4" xfId="0" applyAlignment="1" applyBorder="1" applyFont="1" applyNumberFormat="1">
      <alignment horizontal="center" vertical="center"/>
    </xf>
    <xf borderId="1" fillId="2" fontId="15" numFmtId="3" xfId="0" applyAlignment="1" applyBorder="1" applyFont="1" applyNumberFormat="1">
      <alignment horizontal="center" vertical="center"/>
    </xf>
    <xf borderId="1" fillId="6" fontId="19" numFmtId="3" xfId="0" applyAlignment="1" applyBorder="1" applyFont="1" applyNumberFormat="1">
      <alignment horizontal="center" vertical="center"/>
    </xf>
    <xf borderId="1" fillId="6" fontId="19" numFmtId="4" xfId="0" applyAlignment="1" applyBorder="1" applyFont="1" applyNumberFormat="1">
      <alignment horizontal="center" vertical="center"/>
    </xf>
    <xf borderId="1" fillId="6" fontId="4" numFmtId="3" xfId="0" applyAlignment="1" applyBorder="1" applyFont="1" applyNumberFormat="1">
      <alignment horizontal="center" vertical="center"/>
    </xf>
    <xf borderId="1" fillId="8" fontId="20" numFmtId="3" xfId="0" applyAlignment="1" applyBorder="1" applyFont="1" applyNumberFormat="1">
      <alignment horizontal="center" vertical="center"/>
    </xf>
    <xf borderId="1" fillId="8" fontId="21" numFmtId="3" xfId="0" applyAlignment="1" applyBorder="1" applyFont="1" applyNumberFormat="1">
      <alignment horizontal="center" vertical="center"/>
    </xf>
    <xf borderId="1" fillId="2" fontId="13" numFmtId="167" xfId="0" applyAlignment="1" applyBorder="1" applyFont="1" applyNumberFormat="1">
      <alignment horizontal="center" vertical="center"/>
    </xf>
    <xf borderId="1" fillId="6" fontId="23" numFmtId="3" xfId="0" applyAlignment="1" applyBorder="1" applyFont="1" applyNumberFormat="1">
      <alignment horizontal="center" vertical="center"/>
    </xf>
    <xf borderId="1" fillId="6" fontId="21" numFmtId="3" xfId="0" applyAlignment="1" applyBorder="1" applyFont="1" applyNumberFormat="1">
      <alignment horizontal="center" vertical="center"/>
    </xf>
    <xf borderId="1" fillId="6" fontId="23" numFmtId="4" xfId="0" applyAlignment="1" applyBorder="1" applyFont="1" applyNumberFormat="1">
      <alignment horizontal="center" vertical="center"/>
    </xf>
    <xf borderId="1" fillId="6" fontId="23" numFmtId="165" xfId="0" applyAlignment="1" applyBorder="1" applyFont="1" applyNumberFormat="1">
      <alignment horizontal="center" vertical="center"/>
    </xf>
    <xf borderId="1" fillId="6" fontId="24" numFmtId="9" xfId="0" applyAlignment="1" applyBorder="1" applyFont="1" applyNumberFormat="1">
      <alignment horizontal="center" vertical="center"/>
    </xf>
    <xf borderId="1" fillId="6" fontId="21" numFmtId="0" xfId="0" applyAlignment="1" applyBorder="1" applyFont="1">
      <alignment horizontal="center" vertical="center"/>
    </xf>
    <xf borderId="9" fillId="9" fontId="1" numFmtId="0" xfId="0" applyAlignment="1" applyBorder="1" applyFill="1" applyFont="1">
      <alignment vertical="bottom"/>
    </xf>
    <xf borderId="10" fillId="0" fontId="1" numFmtId="0" xfId="0" applyBorder="1" applyFont="1"/>
    <xf borderId="9" fillId="0" fontId="3" numFmtId="0" xfId="0" applyBorder="1" applyFont="1"/>
    <xf borderId="11" fillId="10" fontId="4" numFmtId="0" xfId="0" applyAlignment="1" applyBorder="1" applyFill="1" applyFont="1">
      <alignment horizontal="center" vertical="bottom"/>
    </xf>
    <xf borderId="11" fillId="11" fontId="4" numFmtId="0" xfId="0" applyAlignment="1" applyBorder="1" applyFill="1" applyFont="1">
      <alignment horizontal="center" vertical="bottom"/>
    </xf>
    <xf borderId="11" fillId="12" fontId="4" numFmtId="0" xfId="0" applyAlignment="1" applyBorder="1" applyFill="1" applyFont="1">
      <alignment horizontal="center" vertical="bottom"/>
    </xf>
    <xf borderId="12" fillId="6" fontId="1" numFmtId="0" xfId="0" applyAlignment="1" applyBorder="1" applyFont="1">
      <alignment horizontal="right" textRotation="90" vertical="center"/>
    </xf>
    <xf borderId="13" fillId="6" fontId="1" numFmtId="0" xfId="0" applyAlignment="1" applyBorder="1" applyFont="1">
      <alignment horizontal="right" vertical="bottom"/>
    </xf>
    <xf borderId="13" fillId="13" fontId="1" numFmtId="9" xfId="0" applyAlignment="1" applyBorder="1" applyFill="1" applyFont="1" applyNumberFormat="1">
      <alignment horizontal="right" vertical="bottom"/>
    </xf>
    <xf borderId="13" fillId="6" fontId="1" numFmtId="1" xfId="0" applyAlignment="1" applyBorder="1" applyFont="1" applyNumberFormat="1">
      <alignment horizontal="center" vertical="bottom"/>
    </xf>
    <xf borderId="12" fillId="0" fontId="3" numFmtId="0" xfId="0" applyBorder="1" applyFont="1"/>
    <xf borderId="10" fillId="6" fontId="4" numFmtId="0" xfId="0" applyAlignment="1" applyBorder="1" applyFont="1">
      <alignment horizontal="right" vertical="bottom"/>
    </xf>
    <xf borderId="13" fillId="0" fontId="3" numFmtId="0" xfId="0" applyBorder="1" applyFont="1"/>
    <xf borderId="13" fillId="13" fontId="1" numFmtId="1" xfId="0" applyAlignment="1" applyBorder="1" applyFont="1" applyNumberFormat="1">
      <alignment horizontal="center" vertical="bottom"/>
    </xf>
    <xf borderId="13" fillId="13" fontId="1" numFmtId="168" xfId="0" applyAlignment="1" applyBorder="1" applyFont="1" applyNumberFormat="1">
      <alignment horizontal="center" vertical="bottom"/>
    </xf>
    <xf borderId="14" fillId="0" fontId="3" numFmtId="0" xfId="0" applyBorder="1" applyFont="1"/>
    <xf borderId="13" fillId="10" fontId="4" numFmtId="168" xfId="0" applyAlignment="1" applyBorder="1" applyFont="1" applyNumberFormat="1">
      <alignment horizontal="center" vertical="bottom"/>
    </xf>
    <xf borderId="13" fillId="11" fontId="4" numFmtId="168" xfId="0" applyAlignment="1" applyBorder="1" applyFont="1" applyNumberFormat="1">
      <alignment horizontal="center" vertical="bottom"/>
    </xf>
    <xf borderId="13" fillId="12" fontId="4" numFmtId="168" xfId="0" applyAlignment="1" applyBorder="1" applyFont="1" applyNumberFormat="1">
      <alignment horizontal="center" vertical="bottom"/>
    </xf>
    <xf borderId="15" fillId="5" fontId="25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7" fontId="26" numFmtId="0" xfId="0" applyAlignment="1" applyBorder="1" applyFont="1">
      <alignment horizontal="center"/>
    </xf>
    <xf borderId="19" fillId="0" fontId="3" numFmtId="0" xfId="0" applyBorder="1" applyFont="1"/>
    <xf borderId="20" fillId="0" fontId="4" numFmtId="0" xfId="0" applyAlignment="1" applyBorder="1" applyFont="1">
      <alignment horizontal="right"/>
    </xf>
    <xf borderId="1" fillId="0" fontId="1" numFmtId="0" xfId="0" applyAlignment="1" applyBorder="1" applyFont="1">
      <alignment horizontal="left"/>
    </xf>
    <xf borderId="21" fillId="7" fontId="1" numFmtId="0" xfId="0" applyAlignment="1" applyBorder="1" applyFont="1">
      <alignment horizontal="center"/>
    </xf>
    <xf borderId="20" fillId="0" fontId="1" numFmtId="0" xfId="0" applyBorder="1" applyFont="1"/>
    <xf borderId="1" fillId="0" fontId="1" numFmtId="0" xfId="0" applyBorder="1" applyFont="1"/>
    <xf borderId="21" fillId="7" fontId="1" numFmtId="9" xfId="0" applyBorder="1" applyFont="1" applyNumberFormat="1"/>
    <xf borderId="22" fillId="0" fontId="27" numFmtId="0" xfId="0" applyAlignment="1" applyBorder="1" applyFont="1">
      <alignment horizontal="right"/>
    </xf>
    <xf borderId="23" fillId="0" fontId="27" numFmtId="0" xfId="0" applyAlignment="1" applyBorder="1" applyFont="1">
      <alignment horizontal="center"/>
    </xf>
    <xf borderId="24" fillId="7" fontId="27" numFmtId="9" xfId="0" applyAlignment="1" applyBorder="1" applyFont="1" applyNumberFormat="1">
      <alignment horizontal="center"/>
    </xf>
    <xf borderId="25" fillId="7" fontId="26" numFmtId="0" xfId="0" applyAlignment="1" applyBorder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23" fillId="0" fontId="1" numFmtId="0" xfId="0" applyAlignment="1" applyBorder="1" applyFont="1">
      <alignment horizontal="center"/>
    </xf>
    <xf borderId="24" fillId="7" fontId="1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9.0" ySplit="3.0" topLeftCell="T4" activePane="bottomRight" state="frozen"/>
      <selection activeCell="T1" sqref="T1" pane="topRight"/>
      <selection activeCell="A4" sqref="A4" pane="bottomLeft"/>
      <selection activeCell="T4" sqref="T4" pane="bottomRight"/>
    </sheetView>
  </sheetViews>
  <sheetFormatPr customHeight="1" defaultColWidth="12.63" defaultRowHeight="15.0" outlineLevelCol="2" outlineLevelRow="1"/>
  <cols>
    <col customWidth="1" min="1" max="1" width="10.5"/>
    <col customWidth="1" min="2" max="2" width="6.38"/>
    <col customWidth="1" min="3" max="4" width="5.25"/>
    <col customWidth="1" min="5" max="5" width="5.38"/>
    <col customWidth="1" min="6" max="6" width="7.63"/>
    <col customWidth="1" min="7" max="7" width="6.38"/>
    <col customWidth="1" min="8" max="8" width="6.0"/>
    <col customWidth="1" min="9" max="9" width="6.38"/>
    <col collapsed="1" customWidth="1" min="10" max="10" width="7.75"/>
    <col customWidth="1" hidden="1" min="11" max="11" width="8.0" outlineLevel="1"/>
    <col customWidth="1" hidden="1" min="12" max="12" width="7.88" outlineLevel="1"/>
    <col customWidth="1" hidden="1" min="13" max="14" width="6.38" outlineLevel="1"/>
    <col customWidth="1" hidden="1" min="15" max="15" width="8.75" outlineLevel="1"/>
    <col customWidth="1" hidden="1" min="16" max="17" width="6.38" outlineLevel="1"/>
    <col customWidth="1" min="18" max="18" width="8.75"/>
    <col customWidth="1" min="19" max="19" width="6.38"/>
    <col customWidth="1" min="20" max="20" width="2.5"/>
    <col customWidth="1" min="21" max="21" width="6.13"/>
    <col customWidth="1" hidden="1" min="22" max="22" width="6.5" outlineLevel="1"/>
    <col customWidth="1" hidden="1" min="23" max="23" width="4.63" outlineLevel="1"/>
    <col customWidth="1" hidden="1" min="24" max="24" width="6.0" outlineLevel="1"/>
    <col customWidth="1" hidden="1" min="25" max="25" width="4.25" outlineLevel="1"/>
    <col customWidth="1" hidden="1" min="26" max="26" width="7.88" outlineLevel="1"/>
    <col customWidth="1" hidden="1" min="27" max="27" width="6.5" outlineLevel="1"/>
    <col customWidth="1" hidden="1" min="28" max="28" width="8.5" outlineLevel="1"/>
    <col customWidth="1" hidden="1" min="29" max="29" width="6.5" outlineLevel="1"/>
    <col customWidth="1" hidden="1" min="30" max="30" width="9.75" outlineLevel="1"/>
    <col customWidth="1" hidden="1" min="31" max="31" width="8.75" outlineLevel="1"/>
    <col customWidth="1" hidden="1" min="32" max="34" width="6.5" outlineLevel="2"/>
    <col customWidth="1" hidden="1" min="35" max="35" width="11.0" outlineLevel="2"/>
    <col customWidth="1" hidden="1" min="36" max="37" width="6.5" outlineLevel="2"/>
    <col customWidth="1" hidden="1" min="38" max="38" width="8.25" outlineLevel="2"/>
    <col customWidth="1" hidden="1" min="39" max="39" width="6.5" outlineLevel="1"/>
    <col customWidth="1" min="40" max="40" width="2.38"/>
    <col customWidth="1" min="41" max="41" width="7.88"/>
    <col customWidth="1" hidden="1" min="42" max="42" width="6.5" outlineLevel="1"/>
    <col customWidth="1" hidden="1" min="43" max="43" width="4.25" outlineLevel="1"/>
    <col customWidth="1" hidden="1" min="44" max="44" width="6.63" outlineLevel="1"/>
    <col customWidth="1" hidden="1" min="45" max="45" width="4.25" outlineLevel="1"/>
    <col customWidth="1" hidden="1" min="46" max="46" width="8.38" outlineLevel="1"/>
    <col customWidth="1" hidden="1" min="47" max="47" width="6.5" outlineLevel="1"/>
    <col customWidth="1" hidden="1" min="48" max="48" width="7.5" outlineLevel="1"/>
    <col customWidth="1" hidden="1" min="49" max="49" width="6.5" outlineLevel="1"/>
    <col customWidth="1" hidden="1" min="50" max="50" width="8.88" outlineLevel="1"/>
    <col customWidth="1" hidden="1" min="51" max="51" width="8.0" outlineLevel="1"/>
    <col customWidth="1" hidden="1" min="52" max="58" width="6.5" outlineLevel="2"/>
    <col customWidth="1" hidden="1" min="59" max="59" width="6.5" outlineLevel="1"/>
    <col customWidth="1" min="60" max="60" width="2.38"/>
    <col customWidth="1" min="61" max="61" width="4.75"/>
    <col customWidth="1" hidden="1" min="62" max="62" width="6.5" outlineLevel="1"/>
    <col customWidth="1" hidden="1" min="63" max="63" width="4.88" outlineLevel="1"/>
    <col customWidth="1" hidden="1" min="64" max="64" width="6.88" outlineLevel="1"/>
    <col customWidth="1" hidden="1" min="65" max="65" width="5.0" outlineLevel="1"/>
    <col customWidth="1" hidden="1" min="66" max="66" width="8.13" outlineLevel="1"/>
    <col customWidth="1" hidden="1" min="67" max="67" width="5.5" outlineLevel="1"/>
    <col customWidth="1" hidden="1" min="68" max="68" width="9.13" outlineLevel="1"/>
    <col customWidth="1" hidden="1" min="69" max="69" width="5.88" outlineLevel="1"/>
    <col customWidth="1" hidden="1" min="70" max="70" width="9.63" outlineLevel="1"/>
    <col customWidth="1" hidden="1" min="71" max="71" width="8.0" outlineLevel="1"/>
    <col customWidth="1" hidden="1" min="72" max="78" width="6.5" outlineLevel="2"/>
    <col customWidth="1" hidden="1" min="79" max="79" width="6.5" outlineLevel="1"/>
    <col customWidth="1" min="80" max="80" width="2.38"/>
    <col customWidth="1" min="81" max="81" width="4.38"/>
    <col customWidth="1" hidden="1" min="82" max="85" width="6.0" outlineLevel="1"/>
    <col customWidth="1" hidden="1" min="86" max="86" width="8.0" outlineLevel="1"/>
    <col customWidth="1" hidden="1" min="87" max="87" width="6.0" outlineLevel="1"/>
    <col customWidth="1" hidden="1" min="88" max="88" width="6.75" outlineLevel="1"/>
    <col customWidth="1" hidden="1" min="89" max="90" width="6.0" outlineLevel="1"/>
    <col customWidth="1" hidden="1" min="91" max="91" width="8.13" outlineLevel="1"/>
    <col customWidth="1" hidden="1" min="92" max="98" width="6.0" outlineLevel="2"/>
    <col customWidth="1" hidden="1" min="99" max="99" width="6.0" outlineLevel="1"/>
    <col customWidth="1" min="100" max="100" width="2.63"/>
    <col customWidth="1" min="101" max="101" width="4.75"/>
    <col customWidth="1" hidden="1" min="102" max="110" width="6.25" outlineLevel="1"/>
    <col customWidth="1" hidden="1" min="111" max="111" width="8.0" outlineLevel="1"/>
    <col customWidth="1" hidden="1" min="112" max="118" width="6.25" outlineLevel="2"/>
    <col customWidth="1" hidden="1" min="119" max="119" width="6.25" outlineLevel="1"/>
    <col customWidth="1" min="120" max="120" width="2.63"/>
    <col customWidth="1" min="121" max="121" width="7.38"/>
    <col customWidth="1" hidden="1" min="122" max="130" width="6.25" outlineLevel="1"/>
    <col customWidth="1" hidden="1" min="131" max="131" width="8.0" outlineLevel="1"/>
    <col customWidth="1" hidden="1" min="132" max="138" width="6.25" outlineLevel="2"/>
    <col customWidth="1" hidden="1" min="139" max="139" width="6.25" outlineLevel="1"/>
    <col customWidth="1" min="140" max="140" width="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6"/>
      <c r="U1" s="7" t="s">
        <v>1</v>
      </c>
      <c r="V1" s="8" t="s">
        <v>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9"/>
      <c r="AM1" s="9"/>
      <c r="AO1" s="10" t="s">
        <v>2</v>
      </c>
      <c r="AP1" s="8" t="s">
        <v>2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9"/>
      <c r="BG1" s="9"/>
      <c r="BI1" s="11" t="s">
        <v>3</v>
      </c>
      <c r="BJ1" s="12" t="s">
        <v>3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13"/>
      <c r="CC1" s="14" t="s">
        <v>4</v>
      </c>
      <c r="CD1" s="12" t="s">
        <v>5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4"/>
      <c r="CV1" s="15"/>
      <c r="CW1" s="11" t="s">
        <v>6</v>
      </c>
      <c r="CX1" s="12" t="s">
        <v>6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4"/>
      <c r="DP1" s="15"/>
      <c r="DQ1" s="14" t="s">
        <v>7</v>
      </c>
      <c r="DR1" s="12" t="s">
        <v>7</v>
      </c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4"/>
      <c r="EJ1" s="15"/>
    </row>
    <row r="2" ht="15.75" customHeight="1">
      <c r="A2" s="16"/>
      <c r="B2" s="17" t="s">
        <v>8</v>
      </c>
      <c r="C2" s="17" t="s">
        <v>9</v>
      </c>
      <c r="D2" s="17" t="s">
        <v>10</v>
      </c>
      <c r="E2" s="18" t="s">
        <v>11</v>
      </c>
      <c r="F2" s="17" t="s">
        <v>12</v>
      </c>
      <c r="G2" s="19" t="s">
        <v>13</v>
      </c>
      <c r="H2" s="17" t="s">
        <v>14</v>
      </c>
      <c r="I2" s="20" t="s">
        <v>15</v>
      </c>
      <c r="J2" s="20" t="s">
        <v>16</v>
      </c>
      <c r="K2" s="20" t="s">
        <v>17</v>
      </c>
      <c r="L2" s="20" t="s">
        <v>18</v>
      </c>
      <c r="M2" s="20" t="s">
        <v>19</v>
      </c>
      <c r="N2" s="20" t="s">
        <v>20</v>
      </c>
      <c r="O2" s="20"/>
      <c r="P2" s="21"/>
      <c r="Q2" s="22" t="s">
        <v>21</v>
      </c>
      <c r="R2" s="23" t="s">
        <v>22</v>
      </c>
      <c r="S2" s="23" t="s">
        <v>23</v>
      </c>
      <c r="T2" s="13"/>
      <c r="U2" s="24"/>
      <c r="V2" s="25" t="s">
        <v>24</v>
      </c>
      <c r="W2" s="25" t="s">
        <v>25</v>
      </c>
      <c r="X2" s="26" t="s">
        <v>26</v>
      </c>
      <c r="Y2" s="25" t="s">
        <v>25</v>
      </c>
      <c r="Z2" s="27" t="s">
        <v>27</v>
      </c>
      <c r="AA2" s="25" t="s">
        <v>25</v>
      </c>
      <c r="AB2" s="27" t="s">
        <v>28</v>
      </c>
      <c r="AC2" s="25" t="s">
        <v>25</v>
      </c>
      <c r="AD2" s="28" t="s">
        <v>29</v>
      </c>
      <c r="AE2" s="23" t="s">
        <v>30</v>
      </c>
      <c r="AF2" s="29" t="s">
        <v>6</v>
      </c>
      <c r="AG2" s="29" t="s">
        <v>3</v>
      </c>
      <c r="AH2" s="29" t="s">
        <v>5</v>
      </c>
      <c r="AI2" s="29" t="s">
        <v>31</v>
      </c>
      <c r="AJ2" s="29" t="s">
        <v>32</v>
      </c>
      <c r="AK2" s="29" t="s">
        <v>33</v>
      </c>
      <c r="AL2" s="23" t="s">
        <v>34</v>
      </c>
      <c r="AM2" s="23" t="s">
        <v>35</v>
      </c>
      <c r="AO2" s="30"/>
      <c r="AP2" s="25" t="s">
        <v>24</v>
      </c>
      <c r="AQ2" s="25" t="s">
        <v>25</v>
      </c>
      <c r="AR2" s="26" t="s">
        <v>26</v>
      </c>
      <c r="AS2" s="25" t="s">
        <v>25</v>
      </c>
      <c r="AT2" s="27" t="s">
        <v>27</v>
      </c>
      <c r="AU2" s="25" t="s">
        <v>25</v>
      </c>
      <c r="AV2" s="27" t="s">
        <v>28</v>
      </c>
      <c r="AW2" s="25" t="s">
        <v>25</v>
      </c>
      <c r="AX2" s="28" t="s">
        <v>29</v>
      </c>
      <c r="AY2" s="31" t="s">
        <v>36</v>
      </c>
      <c r="AZ2" s="29" t="s">
        <v>6</v>
      </c>
      <c r="BA2" s="29" t="s">
        <v>3</v>
      </c>
      <c r="BB2" s="29" t="s">
        <v>5</v>
      </c>
      <c r="BC2" s="29" t="s">
        <v>31</v>
      </c>
      <c r="BD2" s="29" t="s">
        <v>32</v>
      </c>
      <c r="BE2" s="29" t="s">
        <v>33</v>
      </c>
      <c r="BF2" s="23" t="s">
        <v>34</v>
      </c>
      <c r="BG2" s="23" t="s">
        <v>35</v>
      </c>
      <c r="BI2" s="30"/>
      <c r="BJ2" s="25" t="s">
        <v>24</v>
      </c>
      <c r="BK2" s="25" t="s">
        <v>25</v>
      </c>
      <c r="BL2" s="26" t="s">
        <v>26</v>
      </c>
      <c r="BM2" s="25" t="s">
        <v>25</v>
      </c>
      <c r="BN2" s="27" t="s">
        <v>27</v>
      </c>
      <c r="BO2" s="25" t="s">
        <v>25</v>
      </c>
      <c r="BP2" s="27" t="s">
        <v>28</v>
      </c>
      <c r="BQ2" s="25" t="s">
        <v>25</v>
      </c>
      <c r="BR2" s="28" t="s">
        <v>29</v>
      </c>
      <c r="BS2" s="31" t="s">
        <v>36</v>
      </c>
      <c r="BT2" s="29" t="s">
        <v>6</v>
      </c>
      <c r="BU2" s="29" t="s">
        <v>3</v>
      </c>
      <c r="BV2" s="29" t="s">
        <v>5</v>
      </c>
      <c r="BW2" s="29" t="s">
        <v>31</v>
      </c>
      <c r="BX2" s="29" t="s">
        <v>32</v>
      </c>
      <c r="BY2" s="29" t="s">
        <v>33</v>
      </c>
      <c r="BZ2" s="23" t="s">
        <v>34</v>
      </c>
      <c r="CA2" s="23" t="s">
        <v>35</v>
      </c>
      <c r="CB2" s="13"/>
      <c r="CC2" s="30"/>
      <c r="CD2" s="25" t="s">
        <v>24</v>
      </c>
      <c r="CE2" s="25" t="s">
        <v>25</v>
      </c>
      <c r="CF2" s="25" t="s">
        <v>26</v>
      </c>
      <c r="CG2" s="25" t="s">
        <v>25</v>
      </c>
      <c r="CH2" s="25" t="s">
        <v>27</v>
      </c>
      <c r="CI2" s="25" t="s">
        <v>25</v>
      </c>
      <c r="CJ2" s="25" t="s">
        <v>28</v>
      </c>
      <c r="CK2" s="25" t="s">
        <v>25</v>
      </c>
      <c r="CL2" s="32" t="s">
        <v>29</v>
      </c>
      <c r="CM2" s="33" t="s">
        <v>36</v>
      </c>
      <c r="CN2" s="29" t="s">
        <v>6</v>
      </c>
      <c r="CO2" s="29" t="s">
        <v>3</v>
      </c>
      <c r="CP2" s="29" t="s">
        <v>5</v>
      </c>
      <c r="CQ2" s="29" t="s">
        <v>31</v>
      </c>
      <c r="CR2" s="29" t="s">
        <v>32</v>
      </c>
      <c r="CS2" s="29" t="s">
        <v>33</v>
      </c>
      <c r="CT2" s="23" t="s">
        <v>34</v>
      </c>
      <c r="CU2" s="23" t="s">
        <v>35</v>
      </c>
      <c r="CV2" s="34"/>
      <c r="CW2" s="30"/>
      <c r="CX2" s="25" t="s">
        <v>24</v>
      </c>
      <c r="CY2" s="25" t="s">
        <v>25</v>
      </c>
      <c r="CZ2" s="25" t="s">
        <v>26</v>
      </c>
      <c r="DA2" s="25" t="s">
        <v>25</v>
      </c>
      <c r="DB2" s="25" t="s">
        <v>27</v>
      </c>
      <c r="DC2" s="25" t="s">
        <v>25</v>
      </c>
      <c r="DD2" s="25" t="s">
        <v>28</v>
      </c>
      <c r="DE2" s="25" t="s">
        <v>25</v>
      </c>
      <c r="DF2" s="32" t="s">
        <v>29</v>
      </c>
      <c r="DG2" s="33" t="s">
        <v>36</v>
      </c>
      <c r="DH2" s="29" t="s">
        <v>6</v>
      </c>
      <c r="DI2" s="29" t="s">
        <v>3</v>
      </c>
      <c r="DJ2" s="29" t="s">
        <v>5</v>
      </c>
      <c r="DK2" s="29" t="s">
        <v>31</v>
      </c>
      <c r="DL2" s="29" t="s">
        <v>32</v>
      </c>
      <c r="DM2" s="29" t="s">
        <v>33</v>
      </c>
      <c r="DN2" s="23" t="s">
        <v>34</v>
      </c>
      <c r="DO2" s="23" t="s">
        <v>35</v>
      </c>
      <c r="DP2" s="34"/>
      <c r="DQ2" s="30"/>
      <c r="DR2" s="25" t="s">
        <v>24</v>
      </c>
      <c r="DS2" s="25" t="s">
        <v>25</v>
      </c>
      <c r="DT2" s="25" t="s">
        <v>26</v>
      </c>
      <c r="DU2" s="25" t="s">
        <v>25</v>
      </c>
      <c r="DV2" s="25" t="s">
        <v>27</v>
      </c>
      <c r="DW2" s="25" t="s">
        <v>25</v>
      </c>
      <c r="DX2" s="25" t="s">
        <v>28</v>
      </c>
      <c r="DY2" s="25" t="s">
        <v>25</v>
      </c>
      <c r="DZ2" s="32" t="s">
        <v>29</v>
      </c>
      <c r="EA2" s="33" t="s">
        <v>36</v>
      </c>
      <c r="EB2" s="29" t="s">
        <v>6</v>
      </c>
      <c r="EC2" s="29" t="s">
        <v>3</v>
      </c>
      <c r="ED2" s="29" t="s">
        <v>5</v>
      </c>
      <c r="EE2" s="29" t="s">
        <v>31</v>
      </c>
      <c r="EF2" s="29" t="s">
        <v>32</v>
      </c>
      <c r="EG2" s="29" t="s">
        <v>33</v>
      </c>
      <c r="EH2" s="23" t="s">
        <v>34</v>
      </c>
      <c r="EI2" s="23" t="s">
        <v>35</v>
      </c>
      <c r="EJ2" s="34"/>
    </row>
    <row r="3" ht="15.75" customHeight="1">
      <c r="A3" s="35" t="s">
        <v>37</v>
      </c>
      <c r="B3" s="36">
        <f t="shared" ref="B3:B32" si="8">SUM(V3,AP3,BJ3,CD3,CX3)</f>
        <v>0</v>
      </c>
      <c r="C3" s="37" t="str">
        <f t="shared" ref="C3:C39" si="9">IFERROR(D3/B3,"")</f>
        <v/>
      </c>
      <c r="D3" s="36">
        <f t="shared" ref="D3:D32" si="10">SUM(X3,AR3,BL3,CF3,CZ3)</f>
        <v>0</v>
      </c>
      <c r="E3" s="37" t="str">
        <f t="shared" ref="E3:E39" si="11">IFERROR(F3/D3,"")</f>
        <v/>
      </c>
      <c r="F3" s="36">
        <f t="shared" ref="F3:F39" si="12">SUM(Z3,AT3,BN3,CH3,DB3)</f>
        <v>0</v>
      </c>
      <c r="G3" s="37" t="str">
        <f t="shared" ref="G3:G39" si="13">IFERROR(H3/F3,"")</f>
        <v/>
      </c>
      <c r="H3" s="36">
        <f t="shared" ref="H3:H39" si="14">SUM(AB3,AV3,BP3,CJ3,DD3)</f>
        <v>0</v>
      </c>
      <c r="I3" s="37" t="str">
        <f t="shared" ref="I3:I39" si="15">IFERROR(J3/H3,"")</f>
        <v/>
      </c>
      <c r="J3" s="38">
        <f t="shared" ref="J3:P3" si="1">SUM(AD3,AX3,BR3,CL3,DF3)</f>
        <v>0</v>
      </c>
      <c r="K3" s="39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0">
        <f t="shared" si="1"/>
        <v>0</v>
      </c>
      <c r="Q3" s="41" t="str">
        <f t="shared" ref="Q3:Q39" si="17">IFERROR(R3/K3,"")</f>
        <v/>
      </c>
      <c r="R3" s="40">
        <f t="shared" ref="R3:R39" si="18">SUM(AL3,BF3,BZ3,CT3,DN3)</f>
        <v>0</v>
      </c>
      <c r="S3" s="42" t="str">
        <f t="shared" ref="S3:S39" si="19">IFERROR(J3/H3,"")</f>
        <v/>
      </c>
      <c r="T3" s="13"/>
      <c r="U3" s="43"/>
      <c r="V3" s="36">
        <f>V32+V24+V16+V8+V4</f>
        <v>0</v>
      </c>
      <c r="W3" s="37" t="str">
        <f t="shared" ref="W3:W30" si="20">IFERROR(X3/V3,"")</f>
        <v/>
      </c>
      <c r="X3" s="36">
        <f>X32+X24+X16+X8+X4</f>
        <v>0</v>
      </c>
      <c r="Y3" s="37" t="str">
        <f t="shared" ref="Y3:Y30" si="21">IFERROR(Z3/X3,"")</f>
        <v/>
      </c>
      <c r="Z3" s="36">
        <f>Z32+Z24+Z16+Z8+Z4</f>
        <v>0</v>
      </c>
      <c r="AA3" s="37" t="str">
        <f t="shared" ref="AA3:AA39" si="22">IFERROR(AB3/Z3,"")</f>
        <v/>
      </c>
      <c r="AB3" s="36">
        <f>AB32+AB24+AB16+AB8+AB4</f>
        <v>0</v>
      </c>
      <c r="AC3" s="37" t="str">
        <f t="shared" ref="AC3:AC39" si="23">IFERROR(AD3/AB3,"")</f>
        <v/>
      </c>
      <c r="AD3" s="38">
        <f t="shared" ref="AD3:AJ3" si="2">AD32+AD24+AD16+AD8+AD4</f>
        <v>0</v>
      </c>
      <c r="AE3" s="39">
        <f t="shared" si="2"/>
        <v>0</v>
      </c>
      <c r="AF3" s="40">
        <f t="shared" si="2"/>
        <v>0</v>
      </c>
      <c r="AG3" s="40">
        <f t="shared" si="2"/>
        <v>0</v>
      </c>
      <c r="AH3" s="40">
        <f t="shared" si="2"/>
        <v>0</v>
      </c>
      <c r="AI3" s="40">
        <f t="shared" si="2"/>
        <v>0</v>
      </c>
      <c r="AJ3" s="40">
        <f t="shared" si="2"/>
        <v>0</v>
      </c>
      <c r="AK3" s="41" t="str">
        <f>IFERROR(AL3/AE3,"")</f>
        <v/>
      </c>
      <c r="AL3" s="40">
        <f>AL32+AL24+AL16+AL8+AL4</f>
        <v>0</v>
      </c>
      <c r="AM3" s="42" t="str">
        <f t="shared" ref="AM3:AM39" si="25">IFERROR(AD3/AB3,"")</f>
        <v/>
      </c>
      <c r="AO3" s="44"/>
      <c r="AP3" s="36">
        <f>AP32+AP24+AP16+AP8+AP4</f>
        <v>0</v>
      </c>
      <c r="AQ3" s="37" t="str">
        <f t="shared" ref="AQ3:AQ31" si="26">IFERROR(AR3/AP3,"")</f>
        <v/>
      </c>
      <c r="AR3" s="36">
        <f>AR32+AR24+AR16+AR8+AR4</f>
        <v>0</v>
      </c>
      <c r="AS3" s="37" t="str">
        <f t="shared" ref="AS3:AS31" si="27">IFERROR(AT3/AR3,"")</f>
        <v/>
      </c>
      <c r="AT3" s="36">
        <f>AT32+AT24+AT16+AT8+AT4</f>
        <v>0</v>
      </c>
      <c r="AU3" s="37" t="str">
        <f t="shared" ref="AU3:AU39" si="28">IFERROR(AV3/AT3,"")</f>
        <v/>
      </c>
      <c r="AV3" s="36">
        <f>AV32+AV24+AV16+AV8+AV4</f>
        <v>0</v>
      </c>
      <c r="AW3" s="37" t="str">
        <f t="shared" ref="AW3:AW39" si="29">IFERROR(AX3/AV3,"")</f>
        <v/>
      </c>
      <c r="AX3" s="38">
        <f t="shared" ref="AX3:BD3" si="3">AX32+AX24+AX16+AX8+AX4</f>
        <v>0</v>
      </c>
      <c r="AY3" s="39">
        <f t="shared" si="3"/>
        <v>0</v>
      </c>
      <c r="AZ3" s="40">
        <f t="shared" si="3"/>
        <v>0</v>
      </c>
      <c r="BA3" s="40">
        <f t="shared" si="3"/>
        <v>0</v>
      </c>
      <c r="BB3" s="40">
        <f t="shared" si="3"/>
        <v>0</v>
      </c>
      <c r="BC3" s="40">
        <f t="shared" si="3"/>
        <v>0</v>
      </c>
      <c r="BD3" s="40">
        <f t="shared" si="3"/>
        <v>0</v>
      </c>
      <c r="BE3" s="41" t="str">
        <f>IFERROR(BF3/AY3,"")</f>
        <v/>
      </c>
      <c r="BF3" s="39">
        <f>BF32+BF24+BF16+BF8+BF4</f>
        <v>0</v>
      </c>
      <c r="BG3" s="42" t="str">
        <f t="shared" ref="BG3:BG39" si="31">IFERROR(AX3/AV3,"")</f>
        <v/>
      </c>
      <c r="BI3" s="44"/>
      <c r="BJ3" s="36">
        <f>BJ32+BJ24+BJ16+BJ8+BJ4</f>
        <v>0</v>
      </c>
      <c r="BK3" s="37" t="str">
        <f t="shared" ref="BK3:BK39" si="32">IFERROR(BL3/BJ3,"")</f>
        <v/>
      </c>
      <c r="BL3" s="36">
        <f>BL32+BL24+BL16+BL8+BL4</f>
        <v>0</v>
      </c>
      <c r="BM3" s="37" t="str">
        <f t="shared" ref="BM3:BM39" si="33">IFERROR(BN3/BL3,"")</f>
        <v/>
      </c>
      <c r="BN3" s="36">
        <f>BN32+BN24+BN16+BN8+BN4</f>
        <v>0</v>
      </c>
      <c r="BO3" s="37" t="str">
        <f t="shared" ref="BO3:BO39" si="34">IFERROR(BP3/BN3,"")</f>
        <v/>
      </c>
      <c r="BP3" s="36">
        <f>BP32+BP24+BP16+BP8+BP4</f>
        <v>0</v>
      </c>
      <c r="BQ3" s="37" t="str">
        <f t="shared" ref="BQ3:BQ39" si="35">IFERROR(BR3/BP3,"")</f>
        <v/>
      </c>
      <c r="BR3" s="38">
        <f t="shared" ref="BR3:BX3" si="4">BR32+BR24+BR16+BR8+BR4</f>
        <v>0</v>
      </c>
      <c r="BS3" s="39">
        <f t="shared" si="4"/>
        <v>0</v>
      </c>
      <c r="BT3" s="40">
        <f t="shared" si="4"/>
        <v>0</v>
      </c>
      <c r="BU3" s="40">
        <f t="shared" si="4"/>
        <v>0</v>
      </c>
      <c r="BV3" s="40">
        <f t="shared" si="4"/>
        <v>0</v>
      </c>
      <c r="BW3" s="40">
        <f t="shared" si="4"/>
        <v>0</v>
      </c>
      <c r="BX3" s="40">
        <f t="shared" si="4"/>
        <v>0</v>
      </c>
      <c r="BY3" s="41" t="str">
        <f>IFERROR(BZ3/BS3,"")</f>
        <v/>
      </c>
      <c r="BZ3" s="39">
        <f>BZ32+BZ24+BZ16+BZ8+BZ4</f>
        <v>0</v>
      </c>
      <c r="CA3" s="42" t="str">
        <f t="shared" ref="CA3:CA39" si="37">IFERROR(BR3/BP3,"")</f>
        <v/>
      </c>
      <c r="CB3" s="13"/>
      <c r="CC3" s="44"/>
      <c r="CD3" s="36">
        <f>CD32+CD24+CD16+CD8+CD4</f>
        <v>0</v>
      </c>
      <c r="CE3" s="37" t="str">
        <f t="shared" ref="CE3:CE39" si="38">IFERROR(CF3/CD3,"")</f>
        <v/>
      </c>
      <c r="CF3" s="36">
        <f>CF32+CF24+CF16+CF8+CF4</f>
        <v>0</v>
      </c>
      <c r="CG3" s="37" t="str">
        <f t="shared" ref="CG3:CG39" si="39">IFERROR(CH3/CF3,"")</f>
        <v/>
      </c>
      <c r="CH3" s="36">
        <f>CH32+CH24+CH16+CH8+CH4</f>
        <v>0</v>
      </c>
      <c r="CI3" s="37" t="str">
        <f t="shared" ref="CI3:CI39" si="40">IFERROR(CJ3/CH3,"")</f>
        <v/>
      </c>
      <c r="CJ3" s="36">
        <f>CJ32+CJ24+CJ16+CJ8+CJ4</f>
        <v>0</v>
      </c>
      <c r="CK3" s="37" t="str">
        <f t="shared" ref="CK3:CK39" si="41">IFERROR(CL3/CJ3,"")</f>
        <v/>
      </c>
      <c r="CL3" s="38">
        <f t="shared" ref="CL3:CR3" si="5">CL32+CL24+CL16+CL8+CL4</f>
        <v>0</v>
      </c>
      <c r="CM3" s="39">
        <f t="shared" si="5"/>
        <v>0</v>
      </c>
      <c r="CN3" s="40">
        <f t="shared" si="5"/>
        <v>0</v>
      </c>
      <c r="CO3" s="40">
        <f t="shared" si="5"/>
        <v>0</v>
      </c>
      <c r="CP3" s="40">
        <f t="shared" si="5"/>
        <v>0</v>
      </c>
      <c r="CQ3" s="40">
        <f t="shared" si="5"/>
        <v>0</v>
      </c>
      <c r="CR3" s="40">
        <f t="shared" si="5"/>
        <v>0</v>
      </c>
      <c r="CS3" s="41" t="str">
        <f>IFERROR(CT3/CM3,"")</f>
        <v/>
      </c>
      <c r="CT3" s="39">
        <f>CT32+CT24+CT16+CT8+CT4</f>
        <v>0</v>
      </c>
      <c r="CU3" s="42" t="str">
        <f t="shared" ref="CU3:CU39" si="43">IFERROR(CL3/CJ3,"")</f>
        <v/>
      </c>
      <c r="CV3" s="15"/>
      <c r="CW3" s="44"/>
      <c r="CX3" s="36">
        <f>CX32+CX24+CX16+CX8+CX4</f>
        <v>0</v>
      </c>
      <c r="CY3" s="37" t="str">
        <f t="shared" ref="CY3:CY39" si="44">IFERROR(CZ3/CX3,"")</f>
        <v/>
      </c>
      <c r="CZ3" s="36">
        <f>CZ32+CZ24+CZ16+CZ8+CZ4</f>
        <v>0</v>
      </c>
      <c r="DA3" s="37" t="str">
        <f t="shared" ref="DA3:DA39" si="45">IFERROR(DB3/CZ3,"")</f>
        <v/>
      </c>
      <c r="DB3" s="36">
        <f>DB32+DB24+DB16+DB8+DB4</f>
        <v>0</v>
      </c>
      <c r="DC3" s="37" t="str">
        <f t="shared" ref="DC3:DC39" si="46">IFERROR(DD3/DB3,"")</f>
        <v/>
      </c>
      <c r="DD3" s="36">
        <f>DD32+DD24+DD16+DD8+DD4</f>
        <v>0</v>
      </c>
      <c r="DE3" s="37" t="str">
        <f t="shared" ref="DE3:DE39" si="47">IFERROR(DF3/DD3,"")</f>
        <v/>
      </c>
      <c r="DF3" s="38">
        <f t="shared" ref="DF3:DL3" si="6">DF32+DF24+DF16+DF8+DF4</f>
        <v>0</v>
      </c>
      <c r="DG3" s="39">
        <f t="shared" si="6"/>
        <v>0</v>
      </c>
      <c r="DH3" s="40">
        <f t="shared" si="6"/>
        <v>0</v>
      </c>
      <c r="DI3" s="40">
        <f t="shared" si="6"/>
        <v>0</v>
      </c>
      <c r="DJ3" s="40">
        <f t="shared" si="6"/>
        <v>0</v>
      </c>
      <c r="DK3" s="40">
        <f t="shared" si="6"/>
        <v>0</v>
      </c>
      <c r="DL3" s="40">
        <f t="shared" si="6"/>
        <v>0</v>
      </c>
      <c r="DM3" s="41" t="str">
        <f>IFERROR(DN3/DG3,"")</f>
        <v/>
      </c>
      <c r="DN3" s="39">
        <f>DN32+DN24+DN16+DN8+DN4</f>
        <v>0</v>
      </c>
      <c r="DO3" s="42" t="str">
        <f t="shared" ref="DO3:DO39" si="49">IFERROR(DF3/DD3,"")</f>
        <v/>
      </c>
      <c r="DP3" s="15"/>
      <c r="DQ3" s="44"/>
      <c r="DR3" s="36">
        <f>DR32+DR24+DR16+DR8+DR4</f>
        <v>0</v>
      </c>
      <c r="DS3" s="37" t="str">
        <f t="shared" ref="DS3:DS39" si="50">IFERROR(DT3/DR3,"")</f>
        <v/>
      </c>
      <c r="DT3" s="36">
        <f>DT32+DT24+DT16+DT8+DT4</f>
        <v>0</v>
      </c>
      <c r="DU3" s="37" t="str">
        <f t="shared" ref="DU3:DU39" si="51">IFERROR(DV3/DT3,"")</f>
        <v/>
      </c>
      <c r="DV3" s="36">
        <f>DV32+DV24+DV16+DV8+DV4</f>
        <v>0</v>
      </c>
      <c r="DW3" s="37" t="str">
        <f t="shared" ref="DW3:DW39" si="52">IFERROR(DX3/DV3,"")</f>
        <v/>
      </c>
      <c r="DX3" s="36">
        <f>DX32+DX24+DX16+DX8+DX4</f>
        <v>0</v>
      </c>
      <c r="DY3" s="37" t="str">
        <f t="shared" ref="DY3:DY39" si="53">IFERROR(DZ3/DX3,"")</f>
        <v/>
      </c>
      <c r="DZ3" s="38">
        <f t="shared" ref="DZ3:EF3" si="7">DZ32+DZ24+DZ16+DZ8+DZ4</f>
        <v>0</v>
      </c>
      <c r="EA3" s="39">
        <f t="shared" si="7"/>
        <v>0</v>
      </c>
      <c r="EB3" s="40">
        <f t="shared" si="7"/>
        <v>0</v>
      </c>
      <c r="EC3" s="40">
        <f t="shared" si="7"/>
        <v>0</v>
      </c>
      <c r="ED3" s="40">
        <f t="shared" si="7"/>
        <v>0</v>
      </c>
      <c r="EE3" s="40">
        <f t="shared" si="7"/>
        <v>0</v>
      </c>
      <c r="EF3" s="40">
        <f t="shared" si="7"/>
        <v>0</v>
      </c>
      <c r="EG3" s="41" t="str">
        <f>IFERROR(EH3/EA3,"")</f>
        <v/>
      </c>
      <c r="EH3" s="39">
        <f>EH32+EH24+EH16+EH8+EH4</f>
        <v>0</v>
      </c>
      <c r="EI3" s="42" t="str">
        <f t="shared" ref="EI3:EI39" si="55">IFERROR(DZ3/DX3,"")</f>
        <v/>
      </c>
      <c r="EJ3" s="15"/>
    </row>
    <row r="4" ht="15.0" customHeight="1" collapsed="1">
      <c r="A4" s="45" t="s">
        <v>38</v>
      </c>
      <c r="B4" s="46">
        <f t="shared" si="8"/>
        <v>0</v>
      </c>
      <c r="C4" s="47" t="str">
        <f t="shared" si="9"/>
        <v/>
      </c>
      <c r="D4" s="46">
        <f t="shared" si="10"/>
        <v>0</v>
      </c>
      <c r="E4" s="47" t="str">
        <f t="shared" si="11"/>
        <v/>
      </c>
      <c r="F4" s="46">
        <f t="shared" si="12"/>
        <v>0</v>
      </c>
      <c r="G4" s="47" t="str">
        <f t="shared" si="13"/>
        <v/>
      </c>
      <c r="H4" s="46">
        <f t="shared" si="14"/>
        <v>0</v>
      </c>
      <c r="I4" s="48" t="str">
        <f t="shared" si="15"/>
        <v/>
      </c>
      <c r="J4" s="49">
        <f t="shared" ref="J4:P4" si="16">SUM(AD4,AX4,BR4,CL4,DF4)</f>
        <v>0</v>
      </c>
      <c r="K4" s="50">
        <f t="shared" si="16"/>
        <v>0</v>
      </c>
      <c r="L4" s="51">
        <f t="shared" si="16"/>
        <v>0</v>
      </c>
      <c r="M4" s="51">
        <f t="shared" si="16"/>
        <v>0</v>
      </c>
      <c r="N4" s="51">
        <f t="shared" si="16"/>
        <v>0</v>
      </c>
      <c r="O4" s="51">
        <f t="shared" si="16"/>
        <v>0</v>
      </c>
      <c r="P4" s="51">
        <f t="shared" si="16"/>
        <v>0</v>
      </c>
      <c r="Q4" s="52" t="str">
        <f t="shared" si="17"/>
        <v/>
      </c>
      <c r="R4" s="53">
        <f t="shared" si="18"/>
        <v>0</v>
      </c>
      <c r="S4" s="54" t="str">
        <f t="shared" si="19"/>
        <v/>
      </c>
      <c r="T4" s="55"/>
      <c r="U4" s="56"/>
      <c r="V4" s="46">
        <f>SUM(V5:V7)</f>
        <v>0</v>
      </c>
      <c r="W4" s="47" t="str">
        <f t="shared" si="20"/>
        <v/>
      </c>
      <c r="X4" s="46">
        <f>SUM(X5:X7)</f>
        <v>0</v>
      </c>
      <c r="Y4" s="47" t="str">
        <f t="shared" si="21"/>
        <v/>
      </c>
      <c r="Z4" s="46">
        <f>SUM(Z5:Z7)</f>
        <v>0</v>
      </c>
      <c r="AA4" s="47" t="str">
        <f t="shared" si="22"/>
        <v/>
      </c>
      <c r="AB4" s="46">
        <f>SUM(AB5:AB7)</f>
        <v>0</v>
      </c>
      <c r="AC4" s="48" t="str">
        <f t="shared" si="23"/>
        <v/>
      </c>
      <c r="AD4" s="49">
        <f t="shared" ref="AD4:AJ4" si="24">SUM(AD5:AD7)</f>
        <v>0</v>
      </c>
      <c r="AE4" s="50">
        <f t="shared" si="24"/>
        <v>0</v>
      </c>
      <c r="AF4" s="51">
        <f t="shared" si="24"/>
        <v>0</v>
      </c>
      <c r="AG4" s="51">
        <f t="shared" si="24"/>
        <v>0</v>
      </c>
      <c r="AH4" s="51">
        <f t="shared" si="24"/>
        <v>0</v>
      </c>
      <c r="AI4" s="51">
        <f t="shared" si="24"/>
        <v>0</v>
      </c>
      <c r="AJ4" s="51">
        <f t="shared" si="24"/>
        <v>0</v>
      </c>
      <c r="AK4" s="52"/>
      <c r="AL4" s="53">
        <f>SUM(AL5:AL11)</f>
        <v>0</v>
      </c>
      <c r="AM4" s="54" t="str">
        <f t="shared" si="25"/>
        <v/>
      </c>
      <c r="AN4" s="57"/>
      <c r="AO4" s="58"/>
      <c r="AP4" s="46">
        <f>SUM(AP5:AP7)</f>
        <v>0</v>
      </c>
      <c r="AQ4" s="47" t="str">
        <f t="shared" si="26"/>
        <v/>
      </c>
      <c r="AR4" s="46">
        <f>SUM(AR5:AR7)</f>
        <v>0</v>
      </c>
      <c r="AS4" s="47" t="str">
        <f t="shared" si="27"/>
        <v/>
      </c>
      <c r="AT4" s="46">
        <f>SUM(AT5:AT7)</f>
        <v>0</v>
      </c>
      <c r="AU4" s="47" t="str">
        <f t="shared" si="28"/>
        <v/>
      </c>
      <c r="AV4" s="46">
        <f>SUM(AV5:AV7)</f>
        <v>0</v>
      </c>
      <c r="AW4" s="48" t="str">
        <f t="shared" si="29"/>
        <v/>
      </c>
      <c r="AX4" s="46">
        <v>0.0</v>
      </c>
      <c r="AY4" s="50">
        <f t="shared" ref="AY4:BD4" si="30">SUM(AY5:AY7)</f>
        <v>0</v>
      </c>
      <c r="AZ4" s="51">
        <f t="shared" si="30"/>
        <v>0</v>
      </c>
      <c r="BA4" s="51">
        <f t="shared" si="30"/>
        <v>0</v>
      </c>
      <c r="BB4" s="51">
        <f t="shared" si="30"/>
        <v>0</v>
      </c>
      <c r="BC4" s="51">
        <f t="shared" si="30"/>
        <v>0</v>
      </c>
      <c r="BD4" s="51">
        <f t="shared" si="30"/>
        <v>0</v>
      </c>
      <c r="BE4" s="52"/>
      <c r="BF4" s="53">
        <f>SUM(BF5:BF11)</f>
        <v>0</v>
      </c>
      <c r="BG4" s="54" t="str">
        <f t="shared" si="31"/>
        <v/>
      </c>
      <c r="BH4" s="57"/>
      <c r="BI4" s="58"/>
      <c r="BJ4" s="46">
        <f>SUM(BJ5:BJ7)</f>
        <v>0</v>
      </c>
      <c r="BK4" s="47" t="str">
        <f t="shared" si="32"/>
        <v/>
      </c>
      <c r="BL4" s="46">
        <f>SUM(BL5:BL7)</f>
        <v>0</v>
      </c>
      <c r="BM4" s="47" t="str">
        <f t="shared" si="33"/>
        <v/>
      </c>
      <c r="BN4" s="46">
        <f>SUM(BN5:BN7)</f>
        <v>0</v>
      </c>
      <c r="BO4" s="47" t="str">
        <f t="shared" si="34"/>
        <v/>
      </c>
      <c r="BP4" s="46">
        <f>SUM(BP5:BP7)</f>
        <v>0</v>
      </c>
      <c r="BQ4" s="48" t="str">
        <f t="shared" si="35"/>
        <v/>
      </c>
      <c r="BR4" s="49">
        <f t="shared" ref="BR4:BX4" si="36">SUM(BR5:BR7)</f>
        <v>0</v>
      </c>
      <c r="BS4" s="50">
        <f t="shared" si="36"/>
        <v>0</v>
      </c>
      <c r="BT4" s="51">
        <f t="shared" si="36"/>
        <v>0</v>
      </c>
      <c r="BU4" s="51">
        <f t="shared" si="36"/>
        <v>0</v>
      </c>
      <c r="BV4" s="51">
        <f t="shared" si="36"/>
        <v>0</v>
      </c>
      <c r="BW4" s="51">
        <f t="shared" si="36"/>
        <v>0</v>
      </c>
      <c r="BX4" s="51">
        <f t="shared" si="36"/>
        <v>0</v>
      </c>
      <c r="BY4" s="52"/>
      <c r="BZ4" s="53">
        <f>SUM(BZ5:BZ11)</f>
        <v>0</v>
      </c>
      <c r="CA4" s="54" t="str">
        <f t="shared" si="37"/>
        <v/>
      </c>
      <c r="CB4" s="57"/>
      <c r="CC4" s="58"/>
      <c r="CD4" s="46">
        <f>SUM(CD5:CD7)</f>
        <v>0</v>
      </c>
      <c r="CE4" s="47" t="str">
        <f t="shared" si="38"/>
        <v/>
      </c>
      <c r="CF4" s="46">
        <f>SUM(CF5:CF7)</f>
        <v>0</v>
      </c>
      <c r="CG4" s="47" t="str">
        <f t="shared" si="39"/>
        <v/>
      </c>
      <c r="CH4" s="46">
        <f>SUM(CH5:CH7)</f>
        <v>0</v>
      </c>
      <c r="CI4" s="47" t="str">
        <f t="shared" si="40"/>
        <v/>
      </c>
      <c r="CJ4" s="46">
        <f>SUM(CJ5:CJ7)</f>
        <v>0</v>
      </c>
      <c r="CK4" s="48" t="str">
        <f t="shared" si="41"/>
        <v/>
      </c>
      <c r="CL4" s="49">
        <f t="shared" ref="CL4:CR4" si="42">SUM(CL5:CL7)</f>
        <v>0</v>
      </c>
      <c r="CM4" s="50">
        <f t="shared" si="42"/>
        <v>0</v>
      </c>
      <c r="CN4" s="51">
        <f t="shared" si="42"/>
        <v>0</v>
      </c>
      <c r="CO4" s="51">
        <f t="shared" si="42"/>
        <v>0</v>
      </c>
      <c r="CP4" s="51">
        <f t="shared" si="42"/>
        <v>0</v>
      </c>
      <c r="CQ4" s="51">
        <f t="shared" si="42"/>
        <v>0</v>
      </c>
      <c r="CR4" s="51">
        <f t="shared" si="42"/>
        <v>0</v>
      </c>
      <c r="CS4" s="52"/>
      <c r="CT4" s="53">
        <f>SUM(CT5:CT11)</f>
        <v>0</v>
      </c>
      <c r="CU4" s="54" t="str">
        <f t="shared" si="43"/>
        <v/>
      </c>
      <c r="CV4" s="59"/>
      <c r="CW4" s="58"/>
      <c r="CX4" s="46">
        <f>SUM(CX5:CX7)</f>
        <v>0</v>
      </c>
      <c r="CY4" s="47" t="str">
        <f t="shared" si="44"/>
        <v/>
      </c>
      <c r="CZ4" s="46">
        <f>SUM(CZ5:CZ7)</f>
        <v>0</v>
      </c>
      <c r="DA4" s="47" t="str">
        <f t="shared" si="45"/>
        <v/>
      </c>
      <c r="DB4" s="46">
        <f>SUM(DB5:DB7)</f>
        <v>0</v>
      </c>
      <c r="DC4" s="47" t="str">
        <f t="shared" si="46"/>
        <v/>
      </c>
      <c r="DD4" s="46">
        <f>SUM(DD5:DD7)</f>
        <v>0</v>
      </c>
      <c r="DE4" s="48" t="str">
        <f t="shared" si="47"/>
        <v/>
      </c>
      <c r="DF4" s="49">
        <f t="shared" ref="DF4:DL4" si="48">SUM(DF5:DF7)</f>
        <v>0</v>
      </c>
      <c r="DG4" s="50">
        <f t="shared" si="48"/>
        <v>0</v>
      </c>
      <c r="DH4" s="51">
        <f t="shared" si="48"/>
        <v>0</v>
      </c>
      <c r="DI4" s="51">
        <f t="shared" si="48"/>
        <v>0</v>
      </c>
      <c r="DJ4" s="51">
        <f t="shared" si="48"/>
        <v>0</v>
      </c>
      <c r="DK4" s="51">
        <f t="shared" si="48"/>
        <v>0</v>
      </c>
      <c r="DL4" s="51">
        <f t="shared" si="48"/>
        <v>0</v>
      </c>
      <c r="DM4" s="52"/>
      <c r="DN4" s="53">
        <f>SUM(DN5:DN11)</f>
        <v>0</v>
      </c>
      <c r="DO4" s="54" t="str">
        <f t="shared" si="49"/>
        <v/>
      </c>
      <c r="DP4" s="59"/>
      <c r="DQ4" s="58"/>
      <c r="DR4" s="46">
        <f>SUM(DR5:DR7)</f>
        <v>0</v>
      </c>
      <c r="DS4" s="47" t="str">
        <f t="shared" si="50"/>
        <v/>
      </c>
      <c r="DT4" s="46">
        <f>SUM(DT5:DT7)</f>
        <v>0</v>
      </c>
      <c r="DU4" s="47" t="str">
        <f t="shared" si="51"/>
        <v/>
      </c>
      <c r="DV4" s="46">
        <f>SUM(DV5:DV7)</f>
        <v>0</v>
      </c>
      <c r="DW4" s="47" t="str">
        <f t="shared" si="52"/>
        <v/>
      </c>
      <c r="DX4" s="46">
        <f>SUM(DX5:DX7)</f>
        <v>0</v>
      </c>
      <c r="DY4" s="48" t="str">
        <f t="shared" si="53"/>
        <v/>
      </c>
      <c r="DZ4" s="49">
        <f t="shared" ref="DZ4:EF4" si="54">SUM(DZ5:DZ7)</f>
        <v>0</v>
      </c>
      <c r="EA4" s="50">
        <f t="shared" si="54"/>
        <v>0</v>
      </c>
      <c r="EB4" s="51">
        <f t="shared" si="54"/>
        <v>0</v>
      </c>
      <c r="EC4" s="51">
        <f t="shared" si="54"/>
        <v>0</v>
      </c>
      <c r="ED4" s="51">
        <f t="shared" si="54"/>
        <v>0</v>
      </c>
      <c r="EE4" s="51">
        <f t="shared" si="54"/>
        <v>0</v>
      </c>
      <c r="EF4" s="51">
        <f t="shared" si="54"/>
        <v>0</v>
      </c>
      <c r="EG4" s="52"/>
      <c r="EH4" s="53">
        <f>SUM(EH5:EH11)</f>
        <v>0</v>
      </c>
      <c r="EI4" s="54" t="str">
        <f t="shared" si="55"/>
        <v/>
      </c>
      <c r="EJ4" s="59"/>
    </row>
    <row r="5" ht="15.75" hidden="1" customHeight="1" outlineLevel="1">
      <c r="A5" s="60">
        <f t="shared" ref="A5:A6" si="57">A6+1</f>
        <v>45535</v>
      </c>
      <c r="B5" s="61">
        <f t="shared" si="8"/>
        <v>0</v>
      </c>
      <c r="C5" s="62" t="str">
        <f t="shared" si="9"/>
        <v/>
      </c>
      <c r="D5" s="61">
        <f t="shared" si="10"/>
        <v>0</v>
      </c>
      <c r="E5" s="62" t="str">
        <f t="shared" si="11"/>
        <v/>
      </c>
      <c r="F5" s="61">
        <f t="shared" si="12"/>
        <v>0</v>
      </c>
      <c r="G5" s="62" t="str">
        <f t="shared" si="13"/>
        <v/>
      </c>
      <c r="H5" s="61">
        <f t="shared" si="14"/>
        <v>0</v>
      </c>
      <c r="I5" s="62" t="str">
        <f t="shared" si="15"/>
        <v/>
      </c>
      <c r="J5" s="63">
        <f t="shared" ref="J5:P5" si="56">SUM(AD5,AX5,BR5,CL5,DF5)</f>
        <v>0</v>
      </c>
      <c r="K5" s="64">
        <f t="shared" si="56"/>
        <v>0</v>
      </c>
      <c r="L5" s="65">
        <f t="shared" si="56"/>
        <v>0</v>
      </c>
      <c r="M5" s="65">
        <f t="shared" si="56"/>
        <v>0</v>
      </c>
      <c r="N5" s="65">
        <f t="shared" si="56"/>
        <v>0</v>
      </c>
      <c r="O5" s="65">
        <f t="shared" si="56"/>
        <v>0</v>
      </c>
      <c r="P5" s="65">
        <f t="shared" si="56"/>
        <v>0</v>
      </c>
      <c r="Q5" s="66" t="str">
        <f t="shared" si="17"/>
        <v/>
      </c>
      <c r="R5" s="67">
        <f t="shared" si="18"/>
        <v>0</v>
      </c>
      <c r="S5" s="68" t="str">
        <f t="shared" si="19"/>
        <v/>
      </c>
      <c r="T5" s="55"/>
      <c r="U5" s="69"/>
      <c r="V5" s="61"/>
      <c r="W5" s="62" t="str">
        <f t="shared" si="20"/>
        <v/>
      </c>
      <c r="X5" s="61"/>
      <c r="Y5" s="62" t="str">
        <f t="shared" si="21"/>
        <v/>
      </c>
      <c r="Z5" s="61"/>
      <c r="AA5" s="62" t="str">
        <f t="shared" si="22"/>
        <v/>
      </c>
      <c r="AB5" s="61"/>
      <c r="AC5" s="62" t="str">
        <f t="shared" si="23"/>
        <v/>
      </c>
      <c r="AD5" s="63"/>
      <c r="AE5" s="64">
        <f t="shared" ref="AE5:AE7" si="59">SUM(AF5:AJ5)</f>
        <v>0</v>
      </c>
      <c r="AF5" s="65"/>
      <c r="AG5" s="65"/>
      <c r="AH5" s="65"/>
      <c r="AI5" s="65"/>
      <c r="AJ5" s="65"/>
      <c r="AK5" s="66"/>
      <c r="AL5" s="67"/>
      <c r="AM5" s="68" t="str">
        <f t="shared" si="25"/>
        <v/>
      </c>
      <c r="AN5" s="70"/>
      <c r="AO5" s="71"/>
      <c r="AP5" s="61"/>
      <c r="AQ5" s="62" t="str">
        <f t="shared" si="26"/>
        <v/>
      </c>
      <c r="AR5" s="61"/>
      <c r="AS5" s="62" t="str">
        <f t="shared" si="27"/>
        <v/>
      </c>
      <c r="AT5" s="61"/>
      <c r="AU5" s="62" t="str">
        <f t="shared" si="28"/>
        <v/>
      </c>
      <c r="AV5" s="61"/>
      <c r="AW5" s="62" t="str">
        <f t="shared" si="29"/>
        <v/>
      </c>
      <c r="AX5" s="63"/>
      <c r="AY5" s="64">
        <f t="shared" ref="AY5:AY7" si="60">SUM(AZ5:BD5)</f>
        <v>0</v>
      </c>
      <c r="AZ5" s="65"/>
      <c r="BA5" s="65"/>
      <c r="BB5" s="65"/>
      <c r="BC5" s="65"/>
      <c r="BD5" s="65"/>
      <c r="BE5" s="66"/>
      <c r="BF5" s="67"/>
      <c r="BG5" s="68" t="str">
        <f t="shared" si="31"/>
        <v/>
      </c>
      <c r="BH5" s="70"/>
      <c r="BI5" s="71"/>
      <c r="BJ5" s="61"/>
      <c r="BK5" s="62" t="str">
        <f t="shared" si="32"/>
        <v/>
      </c>
      <c r="BL5" s="61"/>
      <c r="BM5" s="62" t="str">
        <f t="shared" si="33"/>
        <v/>
      </c>
      <c r="BN5" s="61"/>
      <c r="BO5" s="62" t="str">
        <f t="shared" si="34"/>
        <v/>
      </c>
      <c r="BP5" s="61"/>
      <c r="BQ5" s="62" t="str">
        <f t="shared" si="35"/>
        <v/>
      </c>
      <c r="BR5" s="63"/>
      <c r="BS5" s="64">
        <f t="shared" ref="BS5:BS7" si="61">SUM(BT5:BX5)</f>
        <v>0</v>
      </c>
      <c r="BT5" s="65"/>
      <c r="BU5" s="65"/>
      <c r="BV5" s="65"/>
      <c r="BW5" s="65"/>
      <c r="BX5" s="65"/>
      <c r="BY5" s="66"/>
      <c r="BZ5" s="67"/>
      <c r="CA5" s="68" t="str">
        <f t="shared" si="37"/>
        <v/>
      </c>
      <c r="CB5" s="70"/>
      <c r="CC5" s="71"/>
      <c r="CD5" s="61"/>
      <c r="CE5" s="62" t="str">
        <f t="shared" si="38"/>
        <v/>
      </c>
      <c r="CF5" s="61"/>
      <c r="CG5" s="62" t="str">
        <f t="shared" si="39"/>
        <v/>
      </c>
      <c r="CH5" s="61"/>
      <c r="CI5" s="62" t="str">
        <f t="shared" si="40"/>
        <v/>
      </c>
      <c r="CJ5" s="61"/>
      <c r="CK5" s="62" t="str">
        <f t="shared" si="41"/>
        <v/>
      </c>
      <c r="CL5" s="63"/>
      <c r="CM5" s="64">
        <f t="shared" ref="CM5:CM7" si="62">SUM(CN5:CR5)</f>
        <v>0</v>
      </c>
      <c r="CN5" s="65"/>
      <c r="CO5" s="65"/>
      <c r="CP5" s="65"/>
      <c r="CQ5" s="65"/>
      <c r="CR5" s="65"/>
      <c r="CS5" s="66"/>
      <c r="CT5" s="67"/>
      <c r="CU5" s="68" t="str">
        <f t="shared" si="43"/>
        <v/>
      </c>
      <c r="CV5" s="72"/>
      <c r="CW5" s="71"/>
      <c r="CX5" s="61"/>
      <c r="CY5" s="62" t="str">
        <f t="shared" si="44"/>
        <v/>
      </c>
      <c r="CZ5" s="61"/>
      <c r="DA5" s="62" t="str">
        <f t="shared" si="45"/>
        <v/>
      </c>
      <c r="DB5" s="61"/>
      <c r="DC5" s="62" t="str">
        <f t="shared" si="46"/>
        <v/>
      </c>
      <c r="DD5" s="61"/>
      <c r="DE5" s="62" t="str">
        <f t="shared" si="47"/>
        <v/>
      </c>
      <c r="DF5" s="63"/>
      <c r="DG5" s="64">
        <f t="shared" ref="DG5:DG7" si="63">SUM(DH5:DL5)</f>
        <v>0</v>
      </c>
      <c r="DH5" s="65"/>
      <c r="DI5" s="65"/>
      <c r="DJ5" s="65"/>
      <c r="DK5" s="65"/>
      <c r="DL5" s="65"/>
      <c r="DM5" s="66"/>
      <c r="DN5" s="67"/>
      <c r="DO5" s="68" t="str">
        <f t="shared" si="49"/>
        <v/>
      </c>
      <c r="DP5" s="72"/>
      <c r="DQ5" s="71"/>
      <c r="DR5" s="61"/>
      <c r="DS5" s="62" t="str">
        <f t="shared" si="50"/>
        <v/>
      </c>
      <c r="DT5" s="61"/>
      <c r="DU5" s="62" t="str">
        <f t="shared" si="51"/>
        <v/>
      </c>
      <c r="DV5" s="61"/>
      <c r="DW5" s="62" t="str">
        <f t="shared" si="52"/>
        <v/>
      </c>
      <c r="DX5" s="61"/>
      <c r="DY5" s="62" t="str">
        <f t="shared" si="53"/>
        <v/>
      </c>
      <c r="DZ5" s="63"/>
      <c r="EA5" s="64">
        <f t="shared" ref="EA5:EA7" si="64">SUM(EB5:EF5)</f>
        <v>0</v>
      </c>
      <c r="EB5" s="65"/>
      <c r="EC5" s="65"/>
      <c r="ED5" s="65"/>
      <c r="EE5" s="65"/>
      <c r="EF5" s="65"/>
      <c r="EG5" s="66"/>
      <c r="EH5" s="67"/>
      <c r="EI5" s="68" t="str">
        <f t="shared" si="55"/>
        <v/>
      </c>
      <c r="EJ5" s="72"/>
    </row>
    <row r="6" ht="15.75" hidden="1" customHeight="1" outlineLevel="1">
      <c r="A6" s="60">
        <f t="shared" si="57"/>
        <v>45534</v>
      </c>
      <c r="B6" s="61">
        <f t="shared" si="8"/>
        <v>0</v>
      </c>
      <c r="C6" s="62" t="str">
        <f t="shared" si="9"/>
        <v/>
      </c>
      <c r="D6" s="61">
        <f t="shared" si="10"/>
        <v>0</v>
      </c>
      <c r="E6" s="62" t="str">
        <f t="shared" si="11"/>
        <v/>
      </c>
      <c r="F6" s="61">
        <f t="shared" si="12"/>
        <v>0</v>
      </c>
      <c r="G6" s="62" t="str">
        <f t="shared" si="13"/>
        <v/>
      </c>
      <c r="H6" s="61">
        <f t="shared" si="14"/>
        <v>0</v>
      </c>
      <c r="I6" s="62" t="str">
        <f t="shared" si="15"/>
        <v/>
      </c>
      <c r="J6" s="63">
        <f t="shared" ref="J6:P6" si="58">SUM(AD6,AX6,BR6,CL6,DF6)</f>
        <v>0</v>
      </c>
      <c r="K6" s="64">
        <f t="shared" si="58"/>
        <v>0</v>
      </c>
      <c r="L6" s="65">
        <f t="shared" si="58"/>
        <v>0</v>
      </c>
      <c r="M6" s="65">
        <f t="shared" si="58"/>
        <v>0</v>
      </c>
      <c r="N6" s="65">
        <f t="shared" si="58"/>
        <v>0</v>
      </c>
      <c r="O6" s="65">
        <f t="shared" si="58"/>
        <v>0</v>
      </c>
      <c r="P6" s="65">
        <f t="shared" si="58"/>
        <v>0</v>
      </c>
      <c r="Q6" s="66" t="str">
        <f t="shared" si="17"/>
        <v/>
      </c>
      <c r="R6" s="67">
        <f t="shared" si="18"/>
        <v>0</v>
      </c>
      <c r="S6" s="68" t="str">
        <f t="shared" si="19"/>
        <v/>
      </c>
      <c r="T6" s="55"/>
      <c r="U6" s="69"/>
      <c r="V6" s="61"/>
      <c r="W6" s="62" t="str">
        <f t="shared" si="20"/>
        <v/>
      </c>
      <c r="X6" s="61"/>
      <c r="Y6" s="62" t="str">
        <f t="shared" si="21"/>
        <v/>
      </c>
      <c r="Z6" s="61"/>
      <c r="AA6" s="62" t="str">
        <f t="shared" si="22"/>
        <v/>
      </c>
      <c r="AB6" s="61"/>
      <c r="AC6" s="62" t="str">
        <f t="shared" si="23"/>
        <v/>
      </c>
      <c r="AD6" s="63"/>
      <c r="AE6" s="64">
        <f t="shared" si="59"/>
        <v>0</v>
      </c>
      <c r="AF6" s="65"/>
      <c r="AG6" s="65"/>
      <c r="AH6" s="65"/>
      <c r="AI6" s="65"/>
      <c r="AJ6" s="65"/>
      <c r="AK6" s="66"/>
      <c r="AL6" s="67"/>
      <c r="AM6" s="68" t="str">
        <f t="shared" si="25"/>
        <v/>
      </c>
      <c r="AN6" s="70"/>
      <c r="AO6" s="71"/>
      <c r="AP6" s="61"/>
      <c r="AQ6" s="62" t="str">
        <f t="shared" si="26"/>
        <v/>
      </c>
      <c r="AR6" s="61"/>
      <c r="AS6" s="62" t="str">
        <f t="shared" si="27"/>
        <v/>
      </c>
      <c r="AT6" s="61"/>
      <c r="AU6" s="62" t="str">
        <f t="shared" si="28"/>
        <v/>
      </c>
      <c r="AV6" s="61"/>
      <c r="AW6" s="62" t="str">
        <f t="shared" si="29"/>
        <v/>
      </c>
      <c r="AX6" s="63"/>
      <c r="AY6" s="64">
        <f t="shared" si="60"/>
        <v>0</v>
      </c>
      <c r="AZ6" s="65"/>
      <c r="BA6" s="65"/>
      <c r="BB6" s="65"/>
      <c r="BC6" s="65"/>
      <c r="BD6" s="65"/>
      <c r="BE6" s="66"/>
      <c r="BF6" s="67"/>
      <c r="BG6" s="68" t="str">
        <f t="shared" si="31"/>
        <v/>
      </c>
      <c r="BH6" s="70"/>
      <c r="BI6" s="71"/>
      <c r="BJ6" s="61"/>
      <c r="BK6" s="62" t="str">
        <f t="shared" si="32"/>
        <v/>
      </c>
      <c r="BL6" s="61"/>
      <c r="BM6" s="62" t="str">
        <f t="shared" si="33"/>
        <v/>
      </c>
      <c r="BN6" s="61"/>
      <c r="BO6" s="62" t="str">
        <f t="shared" si="34"/>
        <v/>
      </c>
      <c r="BP6" s="61"/>
      <c r="BQ6" s="62" t="str">
        <f t="shared" si="35"/>
        <v/>
      </c>
      <c r="BR6" s="63"/>
      <c r="BS6" s="64">
        <f t="shared" si="61"/>
        <v>0</v>
      </c>
      <c r="BT6" s="65"/>
      <c r="BU6" s="65"/>
      <c r="BV6" s="65"/>
      <c r="BW6" s="65"/>
      <c r="BX6" s="65"/>
      <c r="BY6" s="66"/>
      <c r="BZ6" s="67"/>
      <c r="CA6" s="68" t="str">
        <f t="shared" si="37"/>
        <v/>
      </c>
      <c r="CB6" s="70"/>
      <c r="CC6" s="71"/>
      <c r="CD6" s="61"/>
      <c r="CE6" s="62" t="str">
        <f t="shared" si="38"/>
        <v/>
      </c>
      <c r="CF6" s="61"/>
      <c r="CG6" s="62" t="str">
        <f t="shared" si="39"/>
        <v/>
      </c>
      <c r="CH6" s="61"/>
      <c r="CI6" s="62" t="str">
        <f t="shared" si="40"/>
        <v/>
      </c>
      <c r="CJ6" s="61"/>
      <c r="CK6" s="62" t="str">
        <f t="shared" si="41"/>
        <v/>
      </c>
      <c r="CL6" s="63"/>
      <c r="CM6" s="64">
        <f t="shared" si="62"/>
        <v>0</v>
      </c>
      <c r="CN6" s="65"/>
      <c r="CO6" s="65"/>
      <c r="CP6" s="65"/>
      <c r="CQ6" s="65"/>
      <c r="CR6" s="65"/>
      <c r="CS6" s="66"/>
      <c r="CT6" s="67"/>
      <c r="CU6" s="68" t="str">
        <f t="shared" si="43"/>
        <v/>
      </c>
      <c r="CV6" s="72"/>
      <c r="CW6" s="71"/>
      <c r="CX6" s="61"/>
      <c r="CY6" s="62" t="str">
        <f t="shared" si="44"/>
        <v/>
      </c>
      <c r="CZ6" s="61"/>
      <c r="DA6" s="62" t="str">
        <f t="shared" si="45"/>
        <v/>
      </c>
      <c r="DB6" s="61"/>
      <c r="DC6" s="62" t="str">
        <f t="shared" si="46"/>
        <v/>
      </c>
      <c r="DD6" s="61"/>
      <c r="DE6" s="62" t="str">
        <f t="shared" si="47"/>
        <v/>
      </c>
      <c r="DF6" s="63"/>
      <c r="DG6" s="64">
        <f t="shared" si="63"/>
        <v>0</v>
      </c>
      <c r="DH6" s="65"/>
      <c r="DI6" s="65"/>
      <c r="DJ6" s="65"/>
      <c r="DK6" s="65"/>
      <c r="DL6" s="65"/>
      <c r="DM6" s="66"/>
      <c r="DN6" s="67"/>
      <c r="DO6" s="68" t="str">
        <f t="shared" si="49"/>
        <v/>
      </c>
      <c r="DP6" s="72"/>
      <c r="DQ6" s="71"/>
      <c r="DR6" s="61"/>
      <c r="DS6" s="62" t="str">
        <f t="shared" si="50"/>
        <v/>
      </c>
      <c r="DT6" s="61"/>
      <c r="DU6" s="62" t="str">
        <f t="shared" si="51"/>
        <v/>
      </c>
      <c r="DV6" s="61"/>
      <c r="DW6" s="62" t="str">
        <f t="shared" si="52"/>
        <v/>
      </c>
      <c r="DX6" s="61"/>
      <c r="DY6" s="62" t="str">
        <f t="shared" si="53"/>
        <v/>
      </c>
      <c r="DZ6" s="63"/>
      <c r="EA6" s="64">
        <f t="shared" si="64"/>
        <v>0</v>
      </c>
      <c r="EB6" s="65"/>
      <c r="EC6" s="65"/>
      <c r="ED6" s="65"/>
      <c r="EE6" s="65"/>
      <c r="EF6" s="65"/>
      <c r="EG6" s="66"/>
      <c r="EH6" s="67"/>
      <c r="EI6" s="68" t="str">
        <f t="shared" si="55"/>
        <v/>
      </c>
      <c r="EJ6" s="72"/>
    </row>
    <row r="7" ht="15.75" hidden="1" customHeight="1" outlineLevel="1">
      <c r="A7" s="60">
        <f>A9+1</f>
        <v>45533</v>
      </c>
      <c r="B7" s="61">
        <f t="shared" si="8"/>
        <v>0</v>
      </c>
      <c r="C7" s="62" t="str">
        <f t="shared" si="9"/>
        <v/>
      </c>
      <c r="D7" s="61">
        <f t="shared" si="10"/>
        <v>0</v>
      </c>
      <c r="E7" s="62" t="str">
        <f t="shared" si="11"/>
        <v/>
      </c>
      <c r="F7" s="61">
        <f t="shared" si="12"/>
        <v>0</v>
      </c>
      <c r="G7" s="62" t="str">
        <f t="shared" si="13"/>
        <v/>
      </c>
      <c r="H7" s="61">
        <f t="shared" si="14"/>
        <v>0</v>
      </c>
      <c r="I7" s="62" t="str">
        <f t="shared" si="15"/>
        <v/>
      </c>
      <c r="J7" s="63">
        <f t="shared" ref="J7:P7" si="65">SUM(AD7,AX7,BR7,CL7,DF7)</f>
        <v>0</v>
      </c>
      <c r="K7" s="64">
        <f t="shared" si="65"/>
        <v>0</v>
      </c>
      <c r="L7" s="65">
        <f t="shared" si="65"/>
        <v>0</v>
      </c>
      <c r="M7" s="65">
        <f t="shared" si="65"/>
        <v>0</v>
      </c>
      <c r="N7" s="65">
        <f t="shared" si="65"/>
        <v>0</v>
      </c>
      <c r="O7" s="65">
        <f t="shared" si="65"/>
        <v>0</v>
      </c>
      <c r="P7" s="65">
        <f t="shared" si="65"/>
        <v>0</v>
      </c>
      <c r="Q7" s="66" t="str">
        <f t="shared" si="17"/>
        <v/>
      </c>
      <c r="R7" s="67">
        <f t="shared" si="18"/>
        <v>0</v>
      </c>
      <c r="S7" s="68" t="str">
        <f t="shared" si="19"/>
        <v/>
      </c>
      <c r="T7" s="55"/>
      <c r="U7" s="69"/>
      <c r="V7" s="61"/>
      <c r="W7" s="62" t="str">
        <f t="shared" si="20"/>
        <v/>
      </c>
      <c r="X7" s="61"/>
      <c r="Y7" s="62" t="str">
        <f t="shared" si="21"/>
        <v/>
      </c>
      <c r="Z7" s="61"/>
      <c r="AA7" s="62" t="str">
        <f t="shared" si="22"/>
        <v/>
      </c>
      <c r="AB7" s="61"/>
      <c r="AC7" s="62" t="str">
        <f t="shared" si="23"/>
        <v/>
      </c>
      <c r="AD7" s="63"/>
      <c r="AE7" s="64">
        <f t="shared" si="59"/>
        <v>0</v>
      </c>
      <c r="AF7" s="65"/>
      <c r="AG7" s="65"/>
      <c r="AH7" s="65"/>
      <c r="AI7" s="65"/>
      <c r="AJ7" s="65"/>
      <c r="AK7" s="66"/>
      <c r="AL7" s="67"/>
      <c r="AM7" s="68" t="str">
        <f t="shared" si="25"/>
        <v/>
      </c>
      <c r="AN7" s="70"/>
      <c r="AO7" s="71"/>
      <c r="AP7" s="61"/>
      <c r="AQ7" s="62" t="str">
        <f t="shared" si="26"/>
        <v/>
      </c>
      <c r="AR7" s="61"/>
      <c r="AS7" s="62" t="str">
        <f t="shared" si="27"/>
        <v/>
      </c>
      <c r="AT7" s="61"/>
      <c r="AU7" s="62" t="str">
        <f t="shared" si="28"/>
        <v/>
      </c>
      <c r="AV7" s="61"/>
      <c r="AW7" s="62" t="str">
        <f t="shared" si="29"/>
        <v/>
      </c>
      <c r="AX7" s="63"/>
      <c r="AY7" s="64">
        <f t="shared" si="60"/>
        <v>0</v>
      </c>
      <c r="AZ7" s="65"/>
      <c r="BA7" s="65"/>
      <c r="BB7" s="65"/>
      <c r="BC7" s="65"/>
      <c r="BD7" s="65"/>
      <c r="BE7" s="66"/>
      <c r="BF7" s="67"/>
      <c r="BG7" s="68" t="str">
        <f t="shared" si="31"/>
        <v/>
      </c>
      <c r="BH7" s="70"/>
      <c r="BI7" s="71"/>
      <c r="BJ7" s="61"/>
      <c r="BK7" s="62" t="str">
        <f t="shared" si="32"/>
        <v/>
      </c>
      <c r="BL7" s="61"/>
      <c r="BM7" s="62" t="str">
        <f t="shared" si="33"/>
        <v/>
      </c>
      <c r="BN7" s="61"/>
      <c r="BO7" s="62" t="str">
        <f t="shared" si="34"/>
        <v/>
      </c>
      <c r="BP7" s="61"/>
      <c r="BQ7" s="62" t="str">
        <f t="shared" si="35"/>
        <v/>
      </c>
      <c r="BR7" s="63"/>
      <c r="BS7" s="64">
        <f t="shared" si="61"/>
        <v>0</v>
      </c>
      <c r="BT7" s="65"/>
      <c r="BU7" s="65"/>
      <c r="BV7" s="65"/>
      <c r="BW7" s="65"/>
      <c r="BX7" s="65"/>
      <c r="BY7" s="66"/>
      <c r="BZ7" s="67"/>
      <c r="CA7" s="68" t="str">
        <f t="shared" si="37"/>
        <v/>
      </c>
      <c r="CB7" s="70"/>
      <c r="CC7" s="71"/>
      <c r="CD7" s="61"/>
      <c r="CE7" s="62" t="str">
        <f t="shared" si="38"/>
        <v/>
      </c>
      <c r="CF7" s="61"/>
      <c r="CG7" s="62" t="str">
        <f t="shared" si="39"/>
        <v/>
      </c>
      <c r="CH7" s="61"/>
      <c r="CI7" s="62" t="str">
        <f t="shared" si="40"/>
        <v/>
      </c>
      <c r="CJ7" s="61"/>
      <c r="CK7" s="62" t="str">
        <f t="shared" si="41"/>
        <v/>
      </c>
      <c r="CL7" s="63"/>
      <c r="CM7" s="64">
        <f t="shared" si="62"/>
        <v>0</v>
      </c>
      <c r="CN7" s="65"/>
      <c r="CO7" s="65"/>
      <c r="CP7" s="65"/>
      <c r="CQ7" s="65"/>
      <c r="CR7" s="65"/>
      <c r="CS7" s="66"/>
      <c r="CT7" s="67"/>
      <c r="CU7" s="68" t="str">
        <f t="shared" si="43"/>
        <v/>
      </c>
      <c r="CV7" s="73"/>
      <c r="CW7" s="71"/>
      <c r="CX7" s="61"/>
      <c r="CY7" s="62" t="str">
        <f t="shared" si="44"/>
        <v/>
      </c>
      <c r="CZ7" s="61"/>
      <c r="DA7" s="62" t="str">
        <f t="shared" si="45"/>
        <v/>
      </c>
      <c r="DB7" s="61"/>
      <c r="DC7" s="62" t="str">
        <f t="shared" si="46"/>
        <v/>
      </c>
      <c r="DD7" s="61"/>
      <c r="DE7" s="62" t="str">
        <f t="shared" si="47"/>
        <v/>
      </c>
      <c r="DF7" s="63"/>
      <c r="DG7" s="64">
        <f t="shared" si="63"/>
        <v>0</v>
      </c>
      <c r="DH7" s="65"/>
      <c r="DI7" s="65"/>
      <c r="DJ7" s="65"/>
      <c r="DK7" s="65"/>
      <c r="DL7" s="65"/>
      <c r="DM7" s="66"/>
      <c r="DN7" s="67"/>
      <c r="DO7" s="68" t="str">
        <f t="shared" si="49"/>
        <v/>
      </c>
      <c r="DP7" s="73"/>
      <c r="DQ7" s="71"/>
      <c r="DR7" s="61"/>
      <c r="DS7" s="62" t="str">
        <f t="shared" si="50"/>
        <v/>
      </c>
      <c r="DT7" s="61"/>
      <c r="DU7" s="62" t="str">
        <f t="shared" si="51"/>
        <v/>
      </c>
      <c r="DV7" s="61"/>
      <c r="DW7" s="62" t="str">
        <f t="shared" si="52"/>
        <v/>
      </c>
      <c r="DX7" s="61"/>
      <c r="DY7" s="62" t="str">
        <f t="shared" si="53"/>
        <v/>
      </c>
      <c r="DZ7" s="63"/>
      <c r="EA7" s="64">
        <f t="shared" si="64"/>
        <v>0</v>
      </c>
      <c r="EB7" s="65"/>
      <c r="EC7" s="65"/>
      <c r="ED7" s="65"/>
      <c r="EE7" s="65"/>
      <c r="EF7" s="65"/>
      <c r="EG7" s="66"/>
      <c r="EH7" s="67"/>
      <c r="EI7" s="68" t="str">
        <f t="shared" si="55"/>
        <v/>
      </c>
      <c r="EJ7" s="73"/>
    </row>
    <row r="8" ht="15.75" customHeight="1" collapsed="1">
      <c r="A8" s="45" t="s">
        <v>39</v>
      </c>
      <c r="B8" s="46">
        <f t="shared" si="8"/>
        <v>0</v>
      </c>
      <c r="C8" s="47" t="str">
        <f t="shared" si="9"/>
        <v/>
      </c>
      <c r="D8" s="46">
        <f t="shared" si="10"/>
        <v>0</v>
      </c>
      <c r="E8" s="47" t="str">
        <f t="shared" si="11"/>
        <v/>
      </c>
      <c r="F8" s="46">
        <f t="shared" si="12"/>
        <v>0</v>
      </c>
      <c r="G8" s="47" t="str">
        <f t="shared" si="13"/>
        <v/>
      </c>
      <c r="H8" s="46">
        <f t="shared" si="14"/>
        <v>0</v>
      </c>
      <c r="I8" s="48" t="str">
        <f t="shared" si="15"/>
        <v/>
      </c>
      <c r="J8" s="49">
        <f t="shared" ref="J8:P8" si="66">SUM(AD8,AX8,BR8,CL8,DF8)</f>
        <v>0</v>
      </c>
      <c r="K8" s="50">
        <f t="shared" si="66"/>
        <v>0</v>
      </c>
      <c r="L8" s="51">
        <f t="shared" si="66"/>
        <v>0</v>
      </c>
      <c r="M8" s="51">
        <f t="shared" si="66"/>
        <v>0</v>
      </c>
      <c r="N8" s="51">
        <f t="shared" si="66"/>
        <v>0</v>
      </c>
      <c r="O8" s="51">
        <f t="shared" si="66"/>
        <v>0</v>
      </c>
      <c r="P8" s="51">
        <f t="shared" si="66"/>
        <v>0</v>
      </c>
      <c r="Q8" s="52" t="str">
        <f t="shared" si="17"/>
        <v/>
      </c>
      <c r="R8" s="53">
        <f t="shared" si="18"/>
        <v>0</v>
      </c>
      <c r="S8" s="54" t="str">
        <f t="shared" si="19"/>
        <v/>
      </c>
      <c r="T8" s="55"/>
      <c r="U8" s="56"/>
      <c r="V8" s="46">
        <v>0.0</v>
      </c>
      <c r="W8" s="47" t="str">
        <f t="shared" si="20"/>
        <v/>
      </c>
      <c r="X8" s="46">
        <v>0.0</v>
      </c>
      <c r="Y8" s="47" t="str">
        <f t="shared" si="21"/>
        <v/>
      </c>
      <c r="Z8" s="46">
        <v>0.0</v>
      </c>
      <c r="AA8" s="47" t="str">
        <f t="shared" si="22"/>
        <v/>
      </c>
      <c r="AB8" s="46">
        <v>0.0</v>
      </c>
      <c r="AC8" s="48" t="str">
        <f t="shared" si="23"/>
        <v/>
      </c>
      <c r="AD8" s="46">
        <v>0.0</v>
      </c>
      <c r="AE8" s="50">
        <f t="shared" ref="AE8:AJ8" si="67">SUM(AE9:AE15)</f>
        <v>0</v>
      </c>
      <c r="AF8" s="51">
        <f t="shared" si="67"/>
        <v>0</v>
      </c>
      <c r="AG8" s="51">
        <f t="shared" si="67"/>
        <v>0</v>
      </c>
      <c r="AH8" s="51">
        <f t="shared" si="67"/>
        <v>0</v>
      </c>
      <c r="AI8" s="51">
        <f t="shared" si="67"/>
        <v>0</v>
      </c>
      <c r="AJ8" s="51">
        <f t="shared" si="67"/>
        <v>0</v>
      </c>
      <c r="AK8" s="52"/>
      <c r="AL8" s="53">
        <f>SUM(AL9:AL15)</f>
        <v>0</v>
      </c>
      <c r="AM8" s="54" t="str">
        <f t="shared" si="25"/>
        <v/>
      </c>
      <c r="AN8" s="57"/>
      <c r="AO8" s="58"/>
      <c r="AP8" s="46">
        <v>0.0</v>
      </c>
      <c r="AQ8" s="47" t="str">
        <f t="shared" si="26"/>
        <v/>
      </c>
      <c r="AR8" s="46">
        <v>0.0</v>
      </c>
      <c r="AS8" s="47" t="str">
        <f t="shared" si="27"/>
        <v/>
      </c>
      <c r="AT8" s="46">
        <v>0.0</v>
      </c>
      <c r="AU8" s="47" t="str">
        <f t="shared" si="28"/>
        <v/>
      </c>
      <c r="AV8" s="46">
        <v>0.0</v>
      </c>
      <c r="AW8" s="48" t="str">
        <f t="shared" si="29"/>
        <v/>
      </c>
      <c r="AX8" s="46">
        <v>0.0</v>
      </c>
      <c r="AY8" s="50">
        <f t="shared" ref="AY8:BD8" si="68">SUM(AY9:AY15)</f>
        <v>0</v>
      </c>
      <c r="AZ8" s="51">
        <f t="shared" si="68"/>
        <v>0</v>
      </c>
      <c r="BA8" s="51">
        <f t="shared" si="68"/>
        <v>0</v>
      </c>
      <c r="BB8" s="51">
        <f t="shared" si="68"/>
        <v>0</v>
      </c>
      <c r="BC8" s="51">
        <f t="shared" si="68"/>
        <v>0</v>
      </c>
      <c r="BD8" s="51">
        <f t="shared" si="68"/>
        <v>0</v>
      </c>
      <c r="BE8" s="52"/>
      <c r="BF8" s="53">
        <f>SUM(BF9:BF15)</f>
        <v>0</v>
      </c>
      <c r="BG8" s="54" t="str">
        <f t="shared" si="31"/>
        <v/>
      </c>
      <c r="BH8" s="57"/>
      <c r="BI8" s="58"/>
      <c r="BJ8" s="46">
        <v>0.0</v>
      </c>
      <c r="BK8" s="47" t="str">
        <f t="shared" si="32"/>
        <v/>
      </c>
      <c r="BL8" s="46">
        <v>0.0</v>
      </c>
      <c r="BM8" s="47" t="str">
        <f t="shared" si="33"/>
        <v/>
      </c>
      <c r="BN8" s="46">
        <v>0.0</v>
      </c>
      <c r="BO8" s="47" t="str">
        <f t="shared" si="34"/>
        <v/>
      </c>
      <c r="BP8" s="46">
        <v>0.0</v>
      </c>
      <c r="BQ8" s="48" t="str">
        <f t="shared" si="35"/>
        <v/>
      </c>
      <c r="BR8" s="46">
        <v>0.0</v>
      </c>
      <c r="BS8" s="50">
        <f t="shared" ref="BS8:BX8" si="69">SUM(BS9:BS15)</f>
        <v>0</v>
      </c>
      <c r="BT8" s="51">
        <f t="shared" si="69"/>
        <v>0</v>
      </c>
      <c r="BU8" s="51">
        <f t="shared" si="69"/>
        <v>0</v>
      </c>
      <c r="BV8" s="51">
        <f t="shared" si="69"/>
        <v>0</v>
      </c>
      <c r="BW8" s="51">
        <f t="shared" si="69"/>
        <v>0</v>
      </c>
      <c r="BX8" s="51">
        <f t="shared" si="69"/>
        <v>0</v>
      </c>
      <c r="BY8" s="52"/>
      <c r="BZ8" s="53">
        <f>SUM(BZ9:BZ15)</f>
        <v>0</v>
      </c>
      <c r="CA8" s="54" t="str">
        <f t="shared" si="37"/>
        <v/>
      </c>
      <c r="CB8" s="57"/>
      <c r="CC8" s="58"/>
      <c r="CD8" s="46">
        <v>0.0</v>
      </c>
      <c r="CE8" s="47" t="str">
        <f t="shared" si="38"/>
        <v/>
      </c>
      <c r="CF8" s="46">
        <v>0.0</v>
      </c>
      <c r="CG8" s="47" t="str">
        <f t="shared" si="39"/>
        <v/>
      </c>
      <c r="CH8" s="46">
        <v>0.0</v>
      </c>
      <c r="CI8" s="47" t="str">
        <f t="shared" si="40"/>
        <v/>
      </c>
      <c r="CJ8" s="46">
        <v>0.0</v>
      </c>
      <c r="CK8" s="48" t="str">
        <f t="shared" si="41"/>
        <v/>
      </c>
      <c r="CL8" s="46">
        <v>0.0</v>
      </c>
      <c r="CM8" s="50">
        <f t="shared" ref="CM8:CR8" si="70">SUM(CM9:CM15)</f>
        <v>0</v>
      </c>
      <c r="CN8" s="51">
        <f t="shared" si="70"/>
        <v>0</v>
      </c>
      <c r="CO8" s="51">
        <f t="shared" si="70"/>
        <v>0</v>
      </c>
      <c r="CP8" s="51">
        <f t="shared" si="70"/>
        <v>0</v>
      </c>
      <c r="CQ8" s="51">
        <f t="shared" si="70"/>
        <v>0</v>
      </c>
      <c r="CR8" s="51">
        <f t="shared" si="70"/>
        <v>0</v>
      </c>
      <c r="CS8" s="52"/>
      <c r="CT8" s="53">
        <f>SUM(CT9:CT15)</f>
        <v>0</v>
      </c>
      <c r="CU8" s="54" t="str">
        <f t="shared" si="43"/>
        <v/>
      </c>
      <c r="CV8" s="59"/>
      <c r="CW8" s="58"/>
      <c r="CX8" s="46">
        <v>0.0</v>
      </c>
      <c r="CY8" s="47" t="str">
        <f t="shared" si="44"/>
        <v/>
      </c>
      <c r="CZ8" s="46">
        <v>0.0</v>
      </c>
      <c r="DA8" s="47" t="str">
        <f t="shared" si="45"/>
        <v/>
      </c>
      <c r="DB8" s="46">
        <v>0.0</v>
      </c>
      <c r="DC8" s="47" t="str">
        <f t="shared" si="46"/>
        <v/>
      </c>
      <c r="DD8" s="46">
        <v>0.0</v>
      </c>
      <c r="DE8" s="48" t="str">
        <f t="shared" si="47"/>
        <v/>
      </c>
      <c r="DF8" s="46">
        <v>0.0</v>
      </c>
      <c r="DG8" s="50">
        <f t="shared" ref="DG8:DL8" si="71">SUM(DG9:DG15)</f>
        <v>0</v>
      </c>
      <c r="DH8" s="51">
        <f t="shared" si="71"/>
        <v>0</v>
      </c>
      <c r="DI8" s="51">
        <f t="shared" si="71"/>
        <v>0</v>
      </c>
      <c r="DJ8" s="51">
        <f t="shared" si="71"/>
        <v>0</v>
      </c>
      <c r="DK8" s="51">
        <f t="shared" si="71"/>
        <v>0</v>
      </c>
      <c r="DL8" s="51">
        <f t="shared" si="71"/>
        <v>0</v>
      </c>
      <c r="DM8" s="52"/>
      <c r="DN8" s="53">
        <f>SUM(DN9:DN15)</f>
        <v>0</v>
      </c>
      <c r="DO8" s="54" t="str">
        <f t="shared" si="49"/>
        <v/>
      </c>
      <c r="DP8" s="59"/>
      <c r="DQ8" s="58"/>
      <c r="DR8" s="46">
        <v>0.0</v>
      </c>
      <c r="DS8" s="47" t="str">
        <f t="shared" si="50"/>
        <v/>
      </c>
      <c r="DT8" s="46">
        <v>0.0</v>
      </c>
      <c r="DU8" s="47" t="str">
        <f t="shared" si="51"/>
        <v/>
      </c>
      <c r="DV8" s="46">
        <v>0.0</v>
      </c>
      <c r="DW8" s="47" t="str">
        <f t="shared" si="52"/>
        <v/>
      </c>
      <c r="DX8" s="46">
        <v>0.0</v>
      </c>
      <c r="DY8" s="48" t="str">
        <f t="shared" si="53"/>
        <v/>
      </c>
      <c r="DZ8" s="46">
        <v>0.0</v>
      </c>
      <c r="EA8" s="50">
        <f t="shared" ref="EA8:EF8" si="72">SUM(EA9:EA15)</f>
        <v>0</v>
      </c>
      <c r="EB8" s="51">
        <f t="shared" si="72"/>
        <v>0</v>
      </c>
      <c r="EC8" s="51">
        <f t="shared" si="72"/>
        <v>0</v>
      </c>
      <c r="ED8" s="51">
        <f t="shared" si="72"/>
        <v>0</v>
      </c>
      <c r="EE8" s="51">
        <f t="shared" si="72"/>
        <v>0</v>
      </c>
      <c r="EF8" s="51">
        <f t="shared" si="72"/>
        <v>0</v>
      </c>
      <c r="EG8" s="52"/>
      <c r="EH8" s="53">
        <f>SUM(EH9:EH15)</f>
        <v>0</v>
      </c>
      <c r="EI8" s="54" t="str">
        <f t="shared" si="55"/>
        <v/>
      </c>
      <c r="EJ8" s="59"/>
    </row>
    <row r="9" ht="15.75" hidden="1" customHeight="1" outlineLevel="1">
      <c r="A9" s="60">
        <f t="shared" ref="A9:A14" si="74">A10+1</f>
        <v>45532</v>
      </c>
      <c r="B9" s="61">
        <f t="shared" si="8"/>
        <v>0</v>
      </c>
      <c r="C9" s="62" t="str">
        <f t="shared" si="9"/>
        <v/>
      </c>
      <c r="D9" s="61">
        <f t="shared" si="10"/>
        <v>0</v>
      </c>
      <c r="E9" s="62" t="str">
        <f t="shared" si="11"/>
        <v/>
      </c>
      <c r="F9" s="61">
        <f t="shared" si="12"/>
        <v>0</v>
      </c>
      <c r="G9" s="62" t="str">
        <f t="shared" si="13"/>
        <v/>
      </c>
      <c r="H9" s="61">
        <f t="shared" si="14"/>
        <v>0</v>
      </c>
      <c r="I9" s="62" t="str">
        <f t="shared" si="15"/>
        <v/>
      </c>
      <c r="J9" s="63">
        <f t="shared" ref="J9:P9" si="73">SUM(AD9,AX9,BR9,CL9,DF9)</f>
        <v>0</v>
      </c>
      <c r="K9" s="64">
        <f t="shared" si="73"/>
        <v>0</v>
      </c>
      <c r="L9" s="65">
        <f t="shared" si="73"/>
        <v>0</v>
      </c>
      <c r="M9" s="65">
        <f t="shared" si="73"/>
        <v>0</v>
      </c>
      <c r="N9" s="65">
        <f t="shared" si="73"/>
        <v>0</v>
      </c>
      <c r="O9" s="65">
        <f t="shared" si="73"/>
        <v>0</v>
      </c>
      <c r="P9" s="65">
        <f t="shared" si="73"/>
        <v>0</v>
      </c>
      <c r="Q9" s="66" t="str">
        <f t="shared" si="17"/>
        <v/>
      </c>
      <c r="R9" s="67">
        <f t="shared" si="18"/>
        <v>0</v>
      </c>
      <c r="S9" s="68" t="str">
        <f t="shared" si="19"/>
        <v/>
      </c>
      <c r="T9" s="55"/>
      <c r="U9" s="69"/>
      <c r="V9" s="61" t="s">
        <v>40</v>
      </c>
      <c r="W9" s="62" t="str">
        <f t="shared" si="20"/>
        <v/>
      </c>
      <c r="X9" s="61" t="s">
        <v>40</v>
      </c>
      <c r="Y9" s="62" t="str">
        <f t="shared" si="21"/>
        <v/>
      </c>
      <c r="Z9" s="61" t="s">
        <v>40</v>
      </c>
      <c r="AA9" s="62" t="str">
        <f t="shared" si="22"/>
        <v/>
      </c>
      <c r="AB9" s="61" t="s">
        <v>40</v>
      </c>
      <c r="AC9" s="62" t="str">
        <f t="shared" si="23"/>
        <v/>
      </c>
      <c r="AD9" s="63" t="s">
        <v>40</v>
      </c>
      <c r="AE9" s="64">
        <f t="shared" ref="AE9:AE15" si="76">SUM(AF9:AJ9)</f>
        <v>0</v>
      </c>
      <c r="AF9" s="65"/>
      <c r="AG9" s="65"/>
      <c r="AH9" s="65"/>
      <c r="AI9" s="65"/>
      <c r="AJ9" s="65"/>
      <c r="AK9" s="66"/>
      <c r="AL9" s="67"/>
      <c r="AM9" s="68" t="str">
        <f t="shared" si="25"/>
        <v/>
      </c>
      <c r="AN9" s="70"/>
      <c r="AO9" s="71"/>
      <c r="AP9" s="61">
        <v>0.0</v>
      </c>
      <c r="AQ9" s="62" t="str">
        <f t="shared" si="26"/>
        <v/>
      </c>
      <c r="AR9" s="61">
        <v>0.0</v>
      </c>
      <c r="AS9" s="62" t="str">
        <f t="shared" si="27"/>
        <v/>
      </c>
      <c r="AT9" s="61">
        <v>0.0</v>
      </c>
      <c r="AU9" s="62" t="str">
        <f t="shared" si="28"/>
        <v/>
      </c>
      <c r="AV9" s="61">
        <v>0.0</v>
      </c>
      <c r="AW9" s="62" t="str">
        <f t="shared" si="29"/>
        <v/>
      </c>
      <c r="AX9" s="61">
        <v>0.0</v>
      </c>
      <c r="AY9" s="64">
        <f t="shared" ref="AY9:AY15" si="77">SUM(AZ9:BD9)</f>
        <v>0</v>
      </c>
      <c r="AZ9" s="65"/>
      <c r="BA9" s="65"/>
      <c r="BB9" s="65"/>
      <c r="BC9" s="65"/>
      <c r="BD9" s="65"/>
      <c r="BE9" s="66"/>
      <c r="BF9" s="67"/>
      <c r="BG9" s="68" t="str">
        <f t="shared" si="31"/>
        <v/>
      </c>
      <c r="BH9" s="70"/>
      <c r="BI9" s="71"/>
      <c r="BJ9" s="61">
        <v>0.0</v>
      </c>
      <c r="BK9" s="62" t="str">
        <f t="shared" si="32"/>
        <v/>
      </c>
      <c r="BL9" s="61">
        <v>0.0</v>
      </c>
      <c r="BM9" s="62" t="str">
        <f t="shared" si="33"/>
        <v/>
      </c>
      <c r="BN9" s="61">
        <v>0.0</v>
      </c>
      <c r="BO9" s="62" t="str">
        <f t="shared" si="34"/>
        <v/>
      </c>
      <c r="BP9" s="61">
        <v>0.0</v>
      </c>
      <c r="BQ9" s="62" t="str">
        <f t="shared" si="35"/>
        <v/>
      </c>
      <c r="BR9" s="61">
        <v>0.0</v>
      </c>
      <c r="BS9" s="64">
        <f t="shared" ref="BS9:BS15" si="78">SUM(BT9:BX9)</f>
        <v>0</v>
      </c>
      <c r="BT9" s="65"/>
      <c r="BU9" s="65"/>
      <c r="BV9" s="65"/>
      <c r="BW9" s="65"/>
      <c r="BX9" s="65"/>
      <c r="BY9" s="66"/>
      <c r="BZ9" s="67"/>
      <c r="CA9" s="68" t="str">
        <f t="shared" si="37"/>
        <v/>
      </c>
      <c r="CB9" s="70"/>
      <c r="CC9" s="71"/>
      <c r="CD9" s="61">
        <v>0.0</v>
      </c>
      <c r="CE9" s="62" t="str">
        <f t="shared" si="38"/>
        <v/>
      </c>
      <c r="CF9" s="61">
        <v>0.0</v>
      </c>
      <c r="CG9" s="62" t="str">
        <f t="shared" si="39"/>
        <v/>
      </c>
      <c r="CH9" s="61">
        <v>0.0</v>
      </c>
      <c r="CI9" s="62" t="str">
        <f t="shared" si="40"/>
        <v/>
      </c>
      <c r="CJ9" s="61">
        <v>0.0</v>
      </c>
      <c r="CK9" s="62" t="str">
        <f t="shared" si="41"/>
        <v/>
      </c>
      <c r="CL9" s="61">
        <v>0.0</v>
      </c>
      <c r="CM9" s="64">
        <f t="shared" ref="CM9:CM15" si="79">SUM(CN9:CR9)</f>
        <v>0</v>
      </c>
      <c r="CN9" s="65"/>
      <c r="CO9" s="65"/>
      <c r="CP9" s="65"/>
      <c r="CQ9" s="65"/>
      <c r="CR9" s="65"/>
      <c r="CS9" s="66"/>
      <c r="CT9" s="67"/>
      <c r="CU9" s="68" t="str">
        <f t="shared" si="43"/>
        <v/>
      </c>
      <c r="CV9" s="73"/>
      <c r="CW9" s="71"/>
      <c r="CX9" s="61">
        <v>0.0</v>
      </c>
      <c r="CY9" s="62" t="str">
        <f t="shared" si="44"/>
        <v/>
      </c>
      <c r="CZ9" s="61">
        <v>0.0</v>
      </c>
      <c r="DA9" s="62" t="str">
        <f t="shared" si="45"/>
        <v/>
      </c>
      <c r="DB9" s="61">
        <v>0.0</v>
      </c>
      <c r="DC9" s="62" t="str">
        <f t="shared" si="46"/>
        <v/>
      </c>
      <c r="DD9" s="61">
        <v>0.0</v>
      </c>
      <c r="DE9" s="62" t="str">
        <f t="shared" si="47"/>
        <v/>
      </c>
      <c r="DF9" s="61">
        <v>0.0</v>
      </c>
      <c r="DG9" s="64">
        <f t="shared" ref="DG9:DG15" si="80">SUM(DH9:DL9)</f>
        <v>0</v>
      </c>
      <c r="DH9" s="65"/>
      <c r="DI9" s="65"/>
      <c r="DJ9" s="65"/>
      <c r="DK9" s="65"/>
      <c r="DL9" s="65"/>
      <c r="DM9" s="66"/>
      <c r="DN9" s="67"/>
      <c r="DO9" s="68" t="str">
        <f t="shared" si="49"/>
        <v/>
      </c>
      <c r="DP9" s="73"/>
      <c r="DQ9" s="71"/>
      <c r="DR9" s="61">
        <v>0.0</v>
      </c>
      <c r="DS9" s="62" t="str">
        <f t="shared" si="50"/>
        <v/>
      </c>
      <c r="DT9" s="61">
        <v>0.0</v>
      </c>
      <c r="DU9" s="62" t="str">
        <f t="shared" si="51"/>
        <v/>
      </c>
      <c r="DV9" s="61">
        <v>0.0</v>
      </c>
      <c r="DW9" s="62" t="str">
        <f t="shared" si="52"/>
        <v/>
      </c>
      <c r="DX9" s="61">
        <v>0.0</v>
      </c>
      <c r="DY9" s="62" t="str">
        <f t="shared" si="53"/>
        <v/>
      </c>
      <c r="DZ9" s="61">
        <v>0.0</v>
      </c>
      <c r="EA9" s="64">
        <f t="shared" ref="EA9:EA15" si="81">SUM(EB9:EF9)</f>
        <v>0</v>
      </c>
      <c r="EB9" s="65"/>
      <c r="EC9" s="65"/>
      <c r="ED9" s="65"/>
      <c r="EE9" s="65"/>
      <c r="EF9" s="65"/>
      <c r="EG9" s="66"/>
      <c r="EH9" s="67"/>
      <c r="EI9" s="68" t="str">
        <f t="shared" si="55"/>
        <v/>
      </c>
      <c r="EJ9" s="73"/>
    </row>
    <row r="10" ht="15.75" hidden="1" customHeight="1" outlineLevel="1">
      <c r="A10" s="60">
        <f t="shared" si="74"/>
        <v>45531</v>
      </c>
      <c r="B10" s="61">
        <f t="shared" si="8"/>
        <v>0</v>
      </c>
      <c r="C10" s="62" t="str">
        <f t="shared" si="9"/>
        <v/>
      </c>
      <c r="D10" s="61">
        <f t="shared" si="10"/>
        <v>0</v>
      </c>
      <c r="E10" s="62" t="str">
        <f t="shared" si="11"/>
        <v/>
      </c>
      <c r="F10" s="61">
        <f t="shared" si="12"/>
        <v>0</v>
      </c>
      <c r="G10" s="62" t="str">
        <f t="shared" si="13"/>
        <v/>
      </c>
      <c r="H10" s="61">
        <f t="shared" si="14"/>
        <v>0</v>
      </c>
      <c r="I10" s="62" t="str">
        <f t="shared" si="15"/>
        <v/>
      </c>
      <c r="J10" s="63">
        <f t="shared" ref="J10:P10" si="75">SUM(AD10,AX10,BR10,CL10,DF10)</f>
        <v>0</v>
      </c>
      <c r="K10" s="64">
        <f t="shared" si="75"/>
        <v>0</v>
      </c>
      <c r="L10" s="65">
        <f t="shared" si="75"/>
        <v>0</v>
      </c>
      <c r="M10" s="65">
        <f t="shared" si="75"/>
        <v>0</v>
      </c>
      <c r="N10" s="65">
        <f t="shared" si="75"/>
        <v>0</v>
      </c>
      <c r="O10" s="65">
        <f t="shared" si="75"/>
        <v>0</v>
      </c>
      <c r="P10" s="65">
        <f t="shared" si="75"/>
        <v>0</v>
      </c>
      <c r="Q10" s="66" t="str">
        <f t="shared" si="17"/>
        <v/>
      </c>
      <c r="R10" s="67">
        <f t="shared" si="18"/>
        <v>0</v>
      </c>
      <c r="S10" s="68" t="str">
        <f t="shared" si="19"/>
        <v/>
      </c>
      <c r="T10" s="55"/>
      <c r="U10" s="69"/>
      <c r="V10" s="61" t="s">
        <v>40</v>
      </c>
      <c r="W10" s="62" t="str">
        <f t="shared" si="20"/>
        <v/>
      </c>
      <c r="X10" s="61" t="s">
        <v>40</v>
      </c>
      <c r="Y10" s="62" t="str">
        <f t="shared" si="21"/>
        <v/>
      </c>
      <c r="Z10" s="61" t="s">
        <v>40</v>
      </c>
      <c r="AA10" s="62" t="str">
        <f t="shared" si="22"/>
        <v/>
      </c>
      <c r="AB10" s="61" t="s">
        <v>40</v>
      </c>
      <c r="AC10" s="62" t="str">
        <f t="shared" si="23"/>
        <v/>
      </c>
      <c r="AD10" s="63" t="s">
        <v>40</v>
      </c>
      <c r="AE10" s="64">
        <f t="shared" si="76"/>
        <v>0</v>
      </c>
      <c r="AF10" s="65"/>
      <c r="AG10" s="65"/>
      <c r="AH10" s="65"/>
      <c r="AI10" s="65"/>
      <c r="AJ10" s="65"/>
      <c r="AK10" s="66"/>
      <c r="AL10" s="67"/>
      <c r="AM10" s="68" t="str">
        <f t="shared" si="25"/>
        <v/>
      </c>
      <c r="AN10" s="70"/>
      <c r="AO10" s="71"/>
      <c r="AP10" s="61">
        <v>0.0</v>
      </c>
      <c r="AQ10" s="62" t="str">
        <f t="shared" si="26"/>
        <v/>
      </c>
      <c r="AR10" s="61">
        <v>0.0</v>
      </c>
      <c r="AS10" s="62" t="str">
        <f t="shared" si="27"/>
        <v/>
      </c>
      <c r="AT10" s="61">
        <v>0.0</v>
      </c>
      <c r="AU10" s="62" t="str">
        <f t="shared" si="28"/>
        <v/>
      </c>
      <c r="AV10" s="61">
        <v>0.0</v>
      </c>
      <c r="AW10" s="62" t="str">
        <f t="shared" si="29"/>
        <v/>
      </c>
      <c r="AX10" s="61">
        <v>0.0</v>
      </c>
      <c r="AY10" s="64">
        <f t="shared" si="77"/>
        <v>0</v>
      </c>
      <c r="AZ10" s="65"/>
      <c r="BA10" s="65"/>
      <c r="BB10" s="65"/>
      <c r="BC10" s="65"/>
      <c r="BD10" s="65"/>
      <c r="BE10" s="66"/>
      <c r="BF10" s="67"/>
      <c r="BG10" s="68" t="str">
        <f t="shared" si="31"/>
        <v/>
      </c>
      <c r="BH10" s="70"/>
      <c r="BI10" s="71"/>
      <c r="BJ10" s="61">
        <v>0.0</v>
      </c>
      <c r="BK10" s="62" t="str">
        <f t="shared" si="32"/>
        <v/>
      </c>
      <c r="BL10" s="61">
        <v>0.0</v>
      </c>
      <c r="BM10" s="62" t="str">
        <f t="shared" si="33"/>
        <v/>
      </c>
      <c r="BN10" s="61">
        <v>0.0</v>
      </c>
      <c r="BO10" s="62" t="str">
        <f t="shared" si="34"/>
        <v/>
      </c>
      <c r="BP10" s="61">
        <v>0.0</v>
      </c>
      <c r="BQ10" s="62" t="str">
        <f t="shared" si="35"/>
        <v/>
      </c>
      <c r="BR10" s="61">
        <v>0.0</v>
      </c>
      <c r="BS10" s="64">
        <f t="shared" si="78"/>
        <v>0</v>
      </c>
      <c r="BT10" s="65"/>
      <c r="BU10" s="65"/>
      <c r="BV10" s="65"/>
      <c r="BW10" s="65"/>
      <c r="BX10" s="65"/>
      <c r="BY10" s="66"/>
      <c r="BZ10" s="67"/>
      <c r="CA10" s="68" t="str">
        <f t="shared" si="37"/>
        <v/>
      </c>
      <c r="CB10" s="70"/>
      <c r="CC10" s="71"/>
      <c r="CD10" s="61">
        <v>0.0</v>
      </c>
      <c r="CE10" s="62" t="str">
        <f t="shared" si="38"/>
        <v/>
      </c>
      <c r="CF10" s="61">
        <v>0.0</v>
      </c>
      <c r="CG10" s="62" t="str">
        <f t="shared" si="39"/>
        <v/>
      </c>
      <c r="CH10" s="61">
        <v>0.0</v>
      </c>
      <c r="CI10" s="62" t="str">
        <f t="shared" si="40"/>
        <v/>
      </c>
      <c r="CJ10" s="61">
        <v>0.0</v>
      </c>
      <c r="CK10" s="62" t="str">
        <f t="shared" si="41"/>
        <v/>
      </c>
      <c r="CL10" s="61">
        <v>0.0</v>
      </c>
      <c r="CM10" s="64">
        <f t="shared" si="79"/>
        <v>0</v>
      </c>
      <c r="CN10" s="65"/>
      <c r="CO10" s="65"/>
      <c r="CP10" s="65"/>
      <c r="CQ10" s="65"/>
      <c r="CR10" s="65"/>
      <c r="CS10" s="66"/>
      <c r="CT10" s="67"/>
      <c r="CU10" s="68" t="str">
        <f t="shared" si="43"/>
        <v/>
      </c>
      <c r="CV10" s="73"/>
      <c r="CW10" s="71"/>
      <c r="CX10" s="61">
        <v>0.0</v>
      </c>
      <c r="CY10" s="62" t="str">
        <f t="shared" si="44"/>
        <v/>
      </c>
      <c r="CZ10" s="61">
        <v>0.0</v>
      </c>
      <c r="DA10" s="62" t="str">
        <f t="shared" si="45"/>
        <v/>
      </c>
      <c r="DB10" s="61">
        <v>0.0</v>
      </c>
      <c r="DC10" s="62" t="str">
        <f t="shared" si="46"/>
        <v/>
      </c>
      <c r="DD10" s="61">
        <v>0.0</v>
      </c>
      <c r="DE10" s="62" t="str">
        <f t="shared" si="47"/>
        <v/>
      </c>
      <c r="DF10" s="61">
        <v>0.0</v>
      </c>
      <c r="DG10" s="64">
        <f t="shared" si="80"/>
        <v>0</v>
      </c>
      <c r="DH10" s="65"/>
      <c r="DI10" s="65"/>
      <c r="DJ10" s="65"/>
      <c r="DK10" s="65"/>
      <c r="DL10" s="65"/>
      <c r="DM10" s="66"/>
      <c r="DN10" s="67"/>
      <c r="DO10" s="68" t="str">
        <f t="shared" si="49"/>
        <v/>
      </c>
      <c r="DP10" s="73"/>
      <c r="DQ10" s="71"/>
      <c r="DR10" s="61">
        <v>0.0</v>
      </c>
      <c r="DS10" s="62" t="str">
        <f t="shared" si="50"/>
        <v/>
      </c>
      <c r="DT10" s="61">
        <v>0.0</v>
      </c>
      <c r="DU10" s="62" t="str">
        <f t="shared" si="51"/>
        <v/>
      </c>
      <c r="DV10" s="61">
        <v>0.0</v>
      </c>
      <c r="DW10" s="62" t="str">
        <f t="shared" si="52"/>
        <v/>
      </c>
      <c r="DX10" s="61">
        <v>0.0</v>
      </c>
      <c r="DY10" s="62" t="str">
        <f t="shared" si="53"/>
        <v/>
      </c>
      <c r="DZ10" s="61">
        <v>0.0</v>
      </c>
      <c r="EA10" s="64">
        <f t="shared" si="81"/>
        <v>0</v>
      </c>
      <c r="EB10" s="65"/>
      <c r="EC10" s="65"/>
      <c r="ED10" s="65"/>
      <c r="EE10" s="65"/>
      <c r="EF10" s="65"/>
      <c r="EG10" s="66"/>
      <c r="EH10" s="67"/>
      <c r="EI10" s="68" t="str">
        <f t="shared" si="55"/>
        <v/>
      </c>
      <c r="EJ10" s="73"/>
    </row>
    <row r="11" ht="15.75" hidden="1" customHeight="1" outlineLevel="1">
      <c r="A11" s="60">
        <f t="shared" si="74"/>
        <v>45530</v>
      </c>
      <c r="B11" s="61">
        <f t="shared" si="8"/>
        <v>0</v>
      </c>
      <c r="C11" s="62" t="str">
        <f t="shared" si="9"/>
        <v/>
      </c>
      <c r="D11" s="61">
        <f t="shared" si="10"/>
        <v>0</v>
      </c>
      <c r="E11" s="62" t="str">
        <f t="shared" si="11"/>
        <v/>
      </c>
      <c r="F11" s="61">
        <f t="shared" si="12"/>
        <v>0</v>
      </c>
      <c r="G11" s="62" t="str">
        <f t="shared" si="13"/>
        <v/>
      </c>
      <c r="H11" s="61">
        <f t="shared" si="14"/>
        <v>0</v>
      </c>
      <c r="I11" s="62" t="str">
        <f t="shared" si="15"/>
        <v/>
      </c>
      <c r="J11" s="63">
        <f t="shared" ref="J11:P11" si="82">SUM(AD11,AX11,BR11,CL11,DF11)</f>
        <v>0</v>
      </c>
      <c r="K11" s="64">
        <f t="shared" si="82"/>
        <v>0</v>
      </c>
      <c r="L11" s="65">
        <f t="shared" si="82"/>
        <v>0</v>
      </c>
      <c r="M11" s="65">
        <f t="shared" si="82"/>
        <v>0</v>
      </c>
      <c r="N11" s="65">
        <f t="shared" si="82"/>
        <v>0</v>
      </c>
      <c r="O11" s="65">
        <f t="shared" si="82"/>
        <v>0</v>
      </c>
      <c r="P11" s="65">
        <f t="shared" si="82"/>
        <v>0</v>
      </c>
      <c r="Q11" s="66" t="str">
        <f t="shared" si="17"/>
        <v/>
      </c>
      <c r="R11" s="67">
        <f t="shared" si="18"/>
        <v>0</v>
      </c>
      <c r="S11" s="68" t="str">
        <f t="shared" si="19"/>
        <v/>
      </c>
      <c r="T11" s="55"/>
      <c r="U11" s="69"/>
      <c r="V11" s="61"/>
      <c r="W11" s="62" t="str">
        <f t="shared" si="20"/>
        <v/>
      </c>
      <c r="X11" s="61"/>
      <c r="Y11" s="62" t="str">
        <f t="shared" si="21"/>
        <v/>
      </c>
      <c r="Z11" s="61"/>
      <c r="AA11" s="62" t="str">
        <f t="shared" si="22"/>
        <v/>
      </c>
      <c r="AB11" s="61"/>
      <c r="AC11" s="62" t="str">
        <f t="shared" si="23"/>
        <v/>
      </c>
      <c r="AD11" s="63"/>
      <c r="AE11" s="64">
        <f t="shared" si="76"/>
        <v>0</v>
      </c>
      <c r="AF11" s="65"/>
      <c r="AG11" s="65"/>
      <c r="AH11" s="65"/>
      <c r="AI11" s="65"/>
      <c r="AJ11" s="65"/>
      <c r="AK11" s="66"/>
      <c r="AL11" s="67"/>
      <c r="AM11" s="68" t="str">
        <f t="shared" si="25"/>
        <v/>
      </c>
      <c r="AN11" s="70"/>
      <c r="AO11" s="71"/>
      <c r="AP11" s="61">
        <v>0.0</v>
      </c>
      <c r="AQ11" s="62" t="str">
        <f t="shared" si="26"/>
        <v/>
      </c>
      <c r="AR11" s="61">
        <v>0.0</v>
      </c>
      <c r="AS11" s="62" t="str">
        <f t="shared" si="27"/>
        <v/>
      </c>
      <c r="AT11" s="61">
        <v>0.0</v>
      </c>
      <c r="AU11" s="62" t="str">
        <f t="shared" si="28"/>
        <v/>
      </c>
      <c r="AV11" s="61">
        <v>0.0</v>
      </c>
      <c r="AW11" s="62" t="str">
        <f t="shared" si="29"/>
        <v/>
      </c>
      <c r="AX11" s="61">
        <v>0.0</v>
      </c>
      <c r="AY11" s="64">
        <f t="shared" si="77"/>
        <v>0</v>
      </c>
      <c r="AZ11" s="65"/>
      <c r="BA11" s="65"/>
      <c r="BB11" s="65"/>
      <c r="BC11" s="65"/>
      <c r="BD11" s="65"/>
      <c r="BE11" s="66"/>
      <c r="BF11" s="67"/>
      <c r="BG11" s="68" t="str">
        <f t="shared" si="31"/>
        <v/>
      </c>
      <c r="BH11" s="70"/>
      <c r="BI11" s="71"/>
      <c r="BJ11" s="61">
        <v>0.0</v>
      </c>
      <c r="BK11" s="62" t="str">
        <f t="shared" si="32"/>
        <v/>
      </c>
      <c r="BL11" s="61">
        <v>0.0</v>
      </c>
      <c r="BM11" s="62" t="str">
        <f t="shared" si="33"/>
        <v/>
      </c>
      <c r="BN11" s="61">
        <v>0.0</v>
      </c>
      <c r="BO11" s="62" t="str">
        <f t="shared" si="34"/>
        <v/>
      </c>
      <c r="BP11" s="61">
        <v>0.0</v>
      </c>
      <c r="BQ11" s="62" t="str">
        <f t="shared" si="35"/>
        <v/>
      </c>
      <c r="BR11" s="61">
        <v>0.0</v>
      </c>
      <c r="BS11" s="64">
        <f t="shared" si="78"/>
        <v>0</v>
      </c>
      <c r="BT11" s="65"/>
      <c r="BU11" s="65"/>
      <c r="BV11" s="65"/>
      <c r="BW11" s="65"/>
      <c r="BX11" s="65"/>
      <c r="BY11" s="66"/>
      <c r="BZ11" s="67"/>
      <c r="CA11" s="68" t="str">
        <f t="shared" si="37"/>
        <v/>
      </c>
      <c r="CB11" s="70"/>
      <c r="CC11" s="71"/>
      <c r="CD11" s="61">
        <v>0.0</v>
      </c>
      <c r="CE11" s="62" t="str">
        <f t="shared" si="38"/>
        <v/>
      </c>
      <c r="CF11" s="61">
        <v>0.0</v>
      </c>
      <c r="CG11" s="62" t="str">
        <f t="shared" si="39"/>
        <v/>
      </c>
      <c r="CH11" s="61">
        <v>0.0</v>
      </c>
      <c r="CI11" s="62" t="str">
        <f t="shared" si="40"/>
        <v/>
      </c>
      <c r="CJ11" s="61">
        <v>0.0</v>
      </c>
      <c r="CK11" s="62" t="str">
        <f t="shared" si="41"/>
        <v/>
      </c>
      <c r="CL11" s="61">
        <v>0.0</v>
      </c>
      <c r="CM11" s="64">
        <f t="shared" si="79"/>
        <v>0</v>
      </c>
      <c r="CN11" s="65"/>
      <c r="CO11" s="65"/>
      <c r="CP11" s="65"/>
      <c r="CQ11" s="65"/>
      <c r="CR11" s="65"/>
      <c r="CS11" s="66"/>
      <c r="CT11" s="67"/>
      <c r="CU11" s="68" t="str">
        <f t="shared" si="43"/>
        <v/>
      </c>
      <c r="CV11" s="73"/>
      <c r="CW11" s="71"/>
      <c r="CX11" s="61">
        <v>0.0</v>
      </c>
      <c r="CY11" s="62" t="str">
        <f t="shared" si="44"/>
        <v/>
      </c>
      <c r="CZ11" s="61">
        <v>0.0</v>
      </c>
      <c r="DA11" s="62" t="str">
        <f t="shared" si="45"/>
        <v/>
      </c>
      <c r="DB11" s="61">
        <v>0.0</v>
      </c>
      <c r="DC11" s="62" t="str">
        <f t="shared" si="46"/>
        <v/>
      </c>
      <c r="DD11" s="61">
        <v>0.0</v>
      </c>
      <c r="DE11" s="62" t="str">
        <f t="shared" si="47"/>
        <v/>
      </c>
      <c r="DF11" s="61">
        <v>0.0</v>
      </c>
      <c r="DG11" s="64">
        <f t="shared" si="80"/>
        <v>0</v>
      </c>
      <c r="DH11" s="65"/>
      <c r="DI11" s="65"/>
      <c r="DJ11" s="65"/>
      <c r="DK11" s="65"/>
      <c r="DL11" s="65"/>
      <c r="DM11" s="66"/>
      <c r="DN11" s="67"/>
      <c r="DO11" s="68" t="str">
        <f t="shared" si="49"/>
        <v/>
      </c>
      <c r="DP11" s="73"/>
      <c r="DQ11" s="71"/>
      <c r="DR11" s="61">
        <v>0.0</v>
      </c>
      <c r="DS11" s="62" t="str">
        <f t="shared" si="50"/>
        <v/>
      </c>
      <c r="DT11" s="61">
        <v>0.0</v>
      </c>
      <c r="DU11" s="62" t="str">
        <f t="shared" si="51"/>
        <v/>
      </c>
      <c r="DV11" s="61">
        <v>0.0</v>
      </c>
      <c r="DW11" s="62" t="str">
        <f t="shared" si="52"/>
        <v/>
      </c>
      <c r="DX11" s="61">
        <v>0.0</v>
      </c>
      <c r="DY11" s="62" t="str">
        <f t="shared" si="53"/>
        <v/>
      </c>
      <c r="DZ11" s="61">
        <v>0.0</v>
      </c>
      <c r="EA11" s="64">
        <f t="shared" si="81"/>
        <v>0</v>
      </c>
      <c r="EB11" s="65"/>
      <c r="EC11" s="65"/>
      <c r="ED11" s="65"/>
      <c r="EE11" s="65"/>
      <c r="EF11" s="65"/>
      <c r="EG11" s="66"/>
      <c r="EH11" s="67"/>
      <c r="EI11" s="68" t="str">
        <f t="shared" si="55"/>
        <v/>
      </c>
      <c r="EJ11" s="73"/>
    </row>
    <row r="12" ht="15.75" hidden="1" customHeight="1" outlineLevel="1">
      <c r="A12" s="60">
        <f t="shared" si="74"/>
        <v>45529</v>
      </c>
      <c r="B12" s="61">
        <f t="shared" si="8"/>
        <v>0</v>
      </c>
      <c r="C12" s="62" t="str">
        <f t="shared" si="9"/>
        <v/>
      </c>
      <c r="D12" s="61">
        <f t="shared" si="10"/>
        <v>0</v>
      </c>
      <c r="E12" s="62" t="str">
        <f t="shared" si="11"/>
        <v/>
      </c>
      <c r="F12" s="61">
        <f t="shared" si="12"/>
        <v>0</v>
      </c>
      <c r="G12" s="62" t="str">
        <f t="shared" si="13"/>
        <v/>
      </c>
      <c r="H12" s="61">
        <f t="shared" si="14"/>
        <v>0</v>
      </c>
      <c r="I12" s="62" t="str">
        <f t="shared" si="15"/>
        <v/>
      </c>
      <c r="J12" s="63">
        <f t="shared" ref="J12:P12" si="83">SUM(AD12,AX12,BR12,CL12,DF12)</f>
        <v>0</v>
      </c>
      <c r="K12" s="64">
        <f t="shared" si="83"/>
        <v>0</v>
      </c>
      <c r="L12" s="65">
        <f t="shared" si="83"/>
        <v>0</v>
      </c>
      <c r="M12" s="65">
        <f t="shared" si="83"/>
        <v>0</v>
      </c>
      <c r="N12" s="65">
        <f t="shared" si="83"/>
        <v>0</v>
      </c>
      <c r="O12" s="65">
        <f t="shared" si="83"/>
        <v>0</v>
      </c>
      <c r="P12" s="65">
        <f t="shared" si="83"/>
        <v>0</v>
      </c>
      <c r="Q12" s="66" t="str">
        <f t="shared" si="17"/>
        <v/>
      </c>
      <c r="R12" s="67">
        <f t="shared" si="18"/>
        <v>0</v>
      </c>
      <c r="S12" s="68" t="str">
        <f t="shared" si="19"/>
        <v/>
      </c>
      <c r="T12" s="55"/>
      <c r="U12" s="69"/>
      <c r="V12" s="61">
        <v>0.0</v>
      </c>
      <c r="W12" s="62" t="str">
        <f t="shared" si="20"/>
        <v/>
      </c>
      <c r="X12" s="61">
        <v>0.0</v>
      </c>
      <c r="Y12" s="62" t="str">
        <f t="shared" si="21"/>
        <v/>
      </c>
      <c r="Z12" s="61">
        <v>0.0</v>
      </c>
      <c r="AA12" s="62" t="str">
        <f t="shared" si="22"/>
        <v/>
      </c>
      <c r="AB12" s="61">
        <v>0.0</v>
      </c>
      <c r="AC12" s="62" t="str">
        <f t="shared" si="23"/>
        <v/>
      </c>
      <c r="AD12" s="63">
        <v>0.0</v>
      </c>
      <c r="AE12" s="64">
        <f t="shared" si="76"/>
        <v>0</v>
      </c>
      <c r="AF12" s="65"/>
      <c r="AG12" s="65"/>
      <c r="AH12" s="65"/>
      <c r="AI12" s="65"/>
      <c r="AJ12" s="65"/>
      <c r="AK12" s="66"/>
      <c r="AL12" s="67"/>
      <c r="AM12" s="68" t="str">
        <f t="shared" si="25"/>
        <v/>
      </c>
      <c r="AN12" s="70"/>
      <c r="AO12" s="71"/>
      <c r="AP12" s="61">
        <v>0.0</v>
      </c>
      <c r="AQ12" s="62" t="str">
        <f t="shared" si="26"/>
        <v/>
      </c>
      <c r="AR12" s="61">
        <v>0.0</v>
      </c>
      <c r="AS12" s="62" t="str">
        <f t="shared" si="27"/>
        <v/>
      </c>
      <c r="AT12" s="61">
        <v>0.0</v>
      </c>
      <c r="AU12" s="62" t="str">
        <f t="shared" si="28"/>
        <v/>
      </c>
      <c r="AV12" s="61">
        <v>0.0</v>
      </c>
      <c r="AW12" s="62" t="str">
        <f t="shared" si="29"/>
        <v/>
      </c>
      <c r="AX12" s="61">
        <v>0.0</v>
      </c>
      <c r="AY12" s="64">
        <f t="shared" si="77"/>
        <v>0</v>
      </c>
      <c r="AZ12" s="65"/>
      <c r="BA12" s="65"/>
      <c r="BB12" s="65"/>
      <c r="BC12" s="65"/>
      <c r="BD12" s="65"/>
      <c r="BE12" s="66"/>
      <c r="BF12" s="67"/>
      <c r="BG12" s="68" t="str">
        <f t="shared" si="31"/>
        <v/>
      </c>
      <c r="BH12" s="70"/>
      <c r="BI12" s="71"/>
      <c r="BJ12" s="61">
        <v>0.0</v>
      </c>
      <c r="BK12" s="62" t="str">
        <f t="shared" si="32"/>
        <v/>
      </c>
      <c r="BL12" s="61">
        <v>0.0</v>
      </c>
      <c r="BM12" s="62" t="str">
        <f t="shared" si="33"/>
        <v/>
      </c>
      <c r="BN12" s="61">
        <v>0.0</v>
      </c>
      <c r="BO12" s="62" t="str">
        <f t="shared" si="34"/>
        <v/>
      </c>
      <c r="BP12" s="61">
        <v>0.0</v>
      </c>
      <c r="BQ12" s="62" t="str">
        <f t="shared" si="35"/>
        <v/>
      </c>
      <c r="BR12" s="61">
        <v>0.0</v>
      </c>
      <c r="BS12" s="64">
        <f t="shared" si="78"/>
        <v>0</v>
      </c>
      <c r="BT12" s="65"/>
      <c r="BU12" s="65"/>
      <c r="BV12" s="65"/>
      <c r="BW12" s="65"/>
      <c r="BX12" s="65"/>
      <c r="BY12" s="66"/>
      <c r="BZ12" s="67"/>
      <c r="CA12" s="68" t="str">
        <f t="shared" si="37"/>
        <v/>
      </c>
      <c r="CB12" s="70"/>
      <c r="CC12" s="71"/>
      <c r="CD12" s="61">
        <v>0.0</v>
      </c>
      <c r="CE12" s="62" t="str">
        <f t="shared" si="38"/>
        <v/>
      </c>
      <c r="CF12" s="61">
        <v>0.0</v>
      </c>
      <c r="CG12" s="62" t="str">
        <f t="shared" si="39"/>
        <v/>
      </c>
      <c r="CH12" s="61">
        <v>0.0</v>
      </c>
      <c r="CI12" s="62" t="str">
        <f t="shared" si="40"/>
        <v/>
      </c>
      <c r="CJ12" s="61">
        <v>0.0</v>
      </c>
      <c r="CK12" s="62" t="str">
        <f t="shared" si="41"/>
        <v/>
      </c>
      <c r="CL12" s="61">
        <v>0.0</v>
      </c>
      <c r="CM12" s="64">
        <f t="shared" si="79"/>
        <v>0</v>
      </c>
      <c r="CN12" s="65"/>
      <c r="CO12" s="65"/>
      <c r="CP12" s="65"/>
      <c r="CQ12" s="65"/>
      <c r="CR12" s="65"/>
      <c r="CS12" s="66"/>
      <c r="CT12" s="67"/>
      <c r="CU12" s="68" t="str">
        <f t="shared" si="43"/>
        <v/>
      </c>
      <c r="CV12" s="73"/>
      <c r="CW12" s="71"/>
      <c r="CX12" s="61">
        <v>0.0</v>
      </c>
      <c r="CY12" s="62" t="str">
        <f t="shared" si="44"/>
        <v/>
      </c>
      <c r="CZ12" s="61">
        <v>0.0</v>
      </c>
      <c r="DA12" s="62" t="str">
        <f t="shared" si="45"/>
        <v/>
      </c>
      <c r="DB12" s="61">
        <v>0.0</v>
      </c>
      <c r="DC12" s="62" t="str">
        <f t="shared" si="46"/>
        <v/>
      </c>
      <c r="DD12" s="61">
        <v>0.0</v>
      </c>
      <c r="DE12" s="62" t="str">
        <f t="shared" si="47"/>
        <v/>
      </c>
      <c r="DF12" s="61">
        <v>0.0</v>
      </c>
      <c r="DG12" s="64">
        <f t="shared" si="80"/>
        <v>0</v>
      </c>
      <c r="DH12" s="65"/>
      <c r="DI12" s="65"/>
      <c r="DJ12" s="65"/>
      <c r="DK12" s="65"/>
      <c r="DL12" s="65"/>
      <c r="DM12" s="66"/>
      <c r="DN12" s="67"/>
      <c r="DO12" s="68" t="str">
        <f t="shared" si="49"/>
        <v/>
      </c>
      <c r="DP12" s="73"/>
      <c r="DQ12" s="71"/>
      <c r="DR12" s="61">
        <v>0.0</v>
      </c>
      <c r="DS12" s="62" t="str">
        <f t="shared" si="50"/>
        <v/>
      </c>
      <c r="DT12" s="61">
        <v>0.0</v>
      </c>
      <c r="DU12" s="62" t="str">
        <f t="shared" si="51"/>
        <v/>
      </c>
      <c r="DV12" s="61">
        <v>0.0</v>
      </c>
      <c r="DW12" s="62" t="str">
        <f t="shared" si="52"/>
        <v/>
      </c>
      <c r="DX12" s="61">
        <v>0.0</v>
      </c>
      <c r="DY12" s="62" t="str">
        <f t="shared" si="53"/>
        <v/>
      </c>
      <c r="DZ12" s="61">
        <v>0.0</v>
      </c>
      <c r="EA12" s="64">
        <f t="shared" si="81"/>
        <v>0</v>
      </c>
      <c r="EB12" s="65"/>
      <c r="EC12" s="65"/>
      <c r="ED12" s="65"/>
      <c r="EE12" s="65"/>
      <c r="EF12" s="65"/>
      <c r="EG12" s="66"/>
      <c r="EH12" s="67"/>
      <c r="EI12" s="68" t="str">
        <f t="shared" si="55"/>
        <v/>
      </c>
      <c r="EJ12" s="73"/>
    </row>
    <row r="13" ht="15.75" hidden="1" customHeight="1" outlineLevel="1">
      <c r="A13" s="60">
        <f t="shared" si="74"/>
        <v>45528</v>
      </c>
      <c r="B13" s="61">
        <f t="shared" si="8"/>
        <v>0</v>
      </c>
      <c r="C13" s="62" t="str">
        <f t="shared" si="9"/>
        <v/>
      </c>
      <c r="D13" s="61">
        <f t="shared" si="10"/>
        <v>0</v>
      </c>
      <c r="E13" s="62" t="str">
        <f t="shared" si="11"/>
        <v/>
      </c>
      <c r="F13" s="61">
        <f t="shared" si="12"/>
        <v>0</v>
      </c>
      <c r="G13" s="62" t="str">
        <f t="shared" si="13"/>
        <v/>
      </c>
      <c r="H13" s="61">
        <f t="shared" si="14"/>
        <v>0</v>
      </c>
      <c r="I13" s="62" t="str">
        <f t="shared" si="15"/>
        <v/>
      </c>
      <c r="J13" s="63">
        <f t="shared" ref="J13:P13" si="84">SUM(AD13,AX13,BR13,CL13,DF13)</f>
        <v>0</v>
      </c>
      <c r="K13" s="64">
        <f t="shared" si="84"/>
        <v>0</v>
      </c>
      <c r="L13" s="65">
        <f t="shared" si="84"/>
        <v>0</v>
      </c>
      <c r="M13" s="65">
        <f t="shared" si="84"/>
        <v>0</v>
      </c>
      <c r="N13" s="65">
        <f t="shared" si="84"/>
        <v>0</v>
      </c>
      <c r="O13" s="65">
        <f t="shared" si="84"/>
        <v>0</v>
      </c>
      <c r="P13" s="65">
        <f t="shared" si="84"/>
        <v>0</v>
      </c>
      <c r="Q13" s="66" t="str">
        <f t="shared" si="17"/>
        <v/>
      </c>
      <c r="R13" s="67">
        <f t="shared" si="18"/>
        <v>0</v>
      </c>
      <c r="S13" s="68" t="str">
        <f t="shared" si="19"/>
        <v/>
      </c>
      <c r="T13" s="55"/>
      <c r="U13" s="69"/>
      <c r="V13" s="61">
        <v>0.0</v>
      </c>
      <c r="W13" s="62" t="str">
        <f t="shared" si="20"/>
        <v/>
      </c>
      <c r="X13" s="61">
        <v>0.0</v>
      </c>
      <c r="Y13" s="62" t="str">
        <f t="shared" si="21"/>
        <v/>
      </c>
      <c r="Z13" s="61">
        <v>0.0</v>
      </c>
      <c r="AA13" s="62" t="str">
        <f t="shared" si="22"/>
        <v/>
      </c>
      <c r="AB13" s="61">
        <v>0.0</v>
      </c>
      <c r="AC13" s="62" t="str">
        <f t="shared" si="23"/>
        <v/>
      </c>
      <c r="AD13" s="63">
        <v>0.0</v>
      </c>
      <c r="AE13" s="64">
        <f t="shared" si="76"/>
        <v>0</v>
      </c>
      <c r="AF13" s="65"/>
      <c r="AG13" s="65"/>
      <c r="AH13" s="65"/>
      <c r="AI13" s="65"/>
      <c r="AJ13" s="65"/>
      <c r="AK13" s="66"/>
      <c r="AL13" s="67"/>
      <c r="AM13" s="68" t="str">
        <f t="shared" si="25"/>
        <v/>
      </c>
      <c r="AN13" s="70"/>
      <c r="AO13" s="71"/>
      <c r="AP13" s="61">
        <v>0.0</v>
      </c>
      <c r="AQ13" s="62" t="str">
        <f t="shared" si="26"/>
        <v/>
      </c>
      <c r="AR13" s="61">
        <v>0.0</v>
      </c>
      <c r="AS13" s="62" t="str">
        <f t="shared" si="27"/>
        <v/>
      </c>
      <c r="AT13" s="61">
        <v>0.0</v>
      </c>
      <c r="AU13" s="62" t="str">
        <f t="shared" si="28"/>
        <v/>
      </c>
      <c r="AV13" s="61">
        <v>0.0</v>
      </c>
      <c r="AW13" s="62" t="str">
        <f t="shared" si="29"/>
        <v/>
      </c>
      <c r="AX13" s="61">
        <v>0.0</v>
      </c>
      <c r="AY13" s="64">
        <f t="shared" si="77"/>
        <v>0</v>
      </c>
      <c r="AZ13" s="65"/>
      <c r="BA13" s="65"/>
      <c r="BB13" s="65"/>
      <c r="BC13" s="65"/>
      <c r="BD13" s="65"/>
      <c r="BE13" s="66"/>
      <c r="BF13" s="67"/>
      <c r="BG13" s="68" t="str">
        <f t="shared" si="31"/>
        <v/>
      </c>
      <c r="BH13" s="70"/>
      <c r="BI13" s="71"/>
      <c r="BJ13" s="61">
        <v>0.0</v>
      </c>
      <c r="BK13" s="62" t="str">
        <f t="shared" si="32"/>
        <v/>
      </c>
      <c r="BL13" s="61">
        <v>0.0</v>
      </c>
      <c r="BM13" s="62" t="str">
        <f t="shared" si="33"/>
        <v/>
      </c>
      <c r="BN13" s="61">
        <v>0.0</v>
      </c>
      <c r="BO13" s="62" t="str">
        <f t="shared" si="34"/>
        <v/>
      </c>
      <c r="BP13" s="61">
        <v>0.0</v>
      </c>
      <c r="BQ13" s="62" t="str">
        <f t="shared" si="35"/>
        <v/>
      </c>
      <c r="BR13" s="61">
        <v>0.0</v>
      </c>
      <c r="BS13" s="64">
        <f t="shared" si="78"/>
        <v>0</v>
      </c>
      <c r="BT13" s="65"/>
      <c r="BU13" s="65"/>
      <c r="BV13" s="65"/>
      <c r="BW13" s="65"/>
      <c r="BX13" s="65"/>
      <c r="BY13" s="66"/>
      <c r="BZ13" s="67"/>
      <c r="CA13" s="68" t="str">
        <f t="shared" si="37"/>
        <v/>
      </c>
      <c r="CB13" s="70"/>
      <c r="CC13" s="71"/>
      <c r="CD13" s="61">
        <v>0.0</v>
      </c>
      <c r="CE13" s="62" t="str">
        <f t="shared" si="38"/>
        <v/>
      </c>
      <c r="CF13" s="61">
        <v>0.0</v>
      </c>
      <c r="CG13" s="62" t="str">
        <f t="shared" si="39"/>
        <v/>
      </c>
      <c r="CH13" s="61">
        <v>0.0</v>
      </c>
      <c r="CI13" s="62" t="str">
        <f t="shared" si="40"/>
        <v/>
      </c>
      <c r="CJ13" s="61">
        <v>0.0</v>
      </c>
      <c r="CK13" s="62" t="str">
        <f t="shared" si="41"/>
        <v/>
      </c>
      <c r="CL13" s="61">
        <v>0.0</v>
      </c>
      <c r="CM13" s="64">
        <f t="shared" si="79"/>
        <v>0</v>
      </c>
      <c r="CN13" s="65"/>
      <c r="CO13" s="65"/>
      <c r="CP13" s="65"/>
      <c r="CQ13" s="65"/>
      <c r="CR13" s="65"/>
      <c r="CS13" s="66"/>
      <c r="CT13" s="67"/>
      <c r="CU13" s="68" t="str">
        <f t="shared" si="43"/>
        <v/>
      </c>
      <c r="CV13" s="73"/>
      <c r="CW13" s="71"/>
      <c r="CX13" s="61">
        <v>0.0</v>
      </c>
      <c r="CY13" s="62" t="str">
        <f t="shared" si="44"/>
        <v/>
      </c>
      <c r="CZ13" s="61">
        <v>0.0</v>
      </c>
      <c r="DA13" s="62" t="str">
        <f t="shared" si="45"/>
        <v/>
      </c>
      <c r="DB13" s="61">
        <v>0.0</v>
      </c>
      <c r="DC13" s="62" t="str">
        <f t="shared" si="46"/>
        <v/>
      </c>
      <c r="DD13" s="61">
        <v>0.0</v>
      </c>
      <c r="DE13" s="62" t="str">
        <f t="shared" si="47"/>
        <v/>
      </c>
      <c r="DF13" s="61">
        <v>0.0</v>
      </c>
      <c r="DG13" s="64">
        <f t="shared" si="80"/>
        <v>0</v>
      </c>
      <c r="DH13" s="65"/>
      <c r="DI13" s="65"/>
      <c r="DJ13" s="65"/>
      <c r="DK13" s="65"/>
      <c r="DL13" s="65"/>
      <c r="DM13" s="66"/>
      <c r="DN13" s="67"/>
      <c r="DO13" s="68" t="str">
        <f t="shared" si="49"/>
        <v/>
      </c>
      <c r="DP13" s="73"/>
      <c r="DQ13" s="71"/>
      <c r="DR13" s="61">
        <v>0.0</v>
      </c>
      <c r="DS13" s="62" t="str">
        <f t="shared" si="50"/>
        <v/>
      </c>
      <c r="DT13" s="61">
        <v>0.0</v>
      </c>
      <c r="DU13" s="62" t="str">
        <f t="shared" si="51"/>
        <v/>
      </c>
      <c r="DV13" s="61">
        <v>0.0</v>
      </c>
      <c r="DW13" s="62" t="str">
        <f t="shared" si="52"/>
        <v/>
      </c>
      <c r="DX13" s="61">
        <v>0.0</v>
      </c>
      <c r="DY13" s="62" t="str">
        <f t="shared" si="53"/>
        <v/>
      </c>
      <c r="DZ13" s="61">
        <v>0.0</v>
      </c>
      <c r="EA13" s="64">
        <f t="shared" si="81"/>
        <v>0</v>
      </c>
      <c r="EB13" s="65"/>
      <c r="EC13" s="65"/>
      <c r="ED13" s="65"/>
      <c r="EE13" s="65"/>
      <c r="EF13" s="65"/>
      <c r="EG13" s="66"/>
      <c r="EH13" s="67"/>
      <c r="EI13" s="68" t="str">
        <f t="shared" si="55"/>
        <v/>
      </c>
      <c r="EJ13" s="73"/>
    </row>
    <row r="14" ht="15.75" hidden="1" customHeight="1" outlineLevel="1">
      <c r="A14" s="60">
        <f t="shared" si="74"/>
        <v>45527</v>
      </c>
      <c r="B14" s="61">
        <f t="shared" si="8"/>
        <v>0</v>
      </c>
      <c r="C14" s="62" t="str">
        <f t="shared" si="9"/>
        <v/>
      </c>
      <c r="D14" s="61">
        <f t="shared" si="10"/>
        <v>0</v>
      </c>
      <c r="E14" s="62" t="str">
        <f t="shared" si="11"/>
        <v/>
      </c>
      <c r="F14" s="61">
        <f t="shared" si="12"/>
        <v>0</v>
      </c>
      <c r="G14" s="62" t="str">
        <f t="shared" si="13"/>
        <v/>
      </c>
      <c r="H14" s="61">
        <f t="shared" si="14"/>
        <v>0</v>
      </c>
      <c r="I14" s="62" t="str">
        <f t="shared" si="15"/>
        <v/>
      </c>
      <c r="J14" s="63">
        <f t="shared" ref="J14:P14" si="85">SUM(AD14,AX14,BR14,CL14,DF14)</f>
        <v>0</v>
      </c>
      <c r="K14" s="64">
        <f t="shared" si="85"/>
        <v>0</v>
      </c>
      <c r="L14" s="65">
        <f t="shared" si="85"/>
        <v>0</v>
      </c>
      <c r="M14" s="65">
        <f t="shared" si="85"/>
        <v>0</v>
      </c>
      <c r="N14" s="65">
        <f t="shared" si="85"/>
        <v>0</v>
      </c>
      <c r="O14" s="65">
        <f t="shared" si="85"/>
        <v>0</v>
      </c>
      <c r="P14" s="65">
        <f t="shared" si="85"/>
        <v>0</v>
      </c>
      <c r="Q14" s="66" t="str">
        <f t="shared" si="17"/>
        <v/>
      </c>
      <c r="R14" s="67">
        <f t="shared" si="18"/>
        <v>0</v>
      </c>
      <c r="S14" s="68" t="str">
        <f t="shared" si="19"/>
        <v/>
      </c>
      <c r="T14" s="55"/>
      <c r="U14" s="69"/>
      <c r="V14" s="61">
        <v>0.0</v>
      </c>
      <c r="W14" s="62" t="str">
        <f t="shared" si="20"/>
        <v/>
      </c>
      <c r="X14" s="61">
        <v>0.0</v>
      </c>
      <c r="Y14" s="62" t="str">
        <f t="shared" si="21"/>
        <v/>
      </c>
      <c r="Z14" s="61">
        <v>0.0</v>
      </c>
      <c r="AA14" s="62" t="str">
        <f t="shared" si="22"/>
        <v/>
      </c>
      <c r="AB14" s="61">
        <v>0.0</v>
      </c>
      <c r="AC14" s="62" t="str">
        <f t="shared" si="23"/>
        <v/>
      </c>
      <c r="AD14" s="63">
        <v>0.0</v>
      </c>
      <c r="AE14" s="64">
        <f t="shared" si="76"/>
        <v>0</v>
      </c>
      <c r="AF14" s="65"/>
      <c r="AG14" s="65"/>
      <c r="AH14" s="65"/>
      <c r="AI14" s="65"/>
      <c r="AJ14" s="65"/>
      <c r="AK14" s="66"/>
      <c r="AL14" s="67"/>
      <c r="AM14" s="68" t="str">
        <f t="shared" si="25"/>
        <v/>
      </c>
      <c r="AN14" s="70"/>
      <c r="AO14" s="71"/>
      <c r="AP14" s="61">
        <v>0.0</v>
      </c>
      <c r="AQ14" s="62" t="str">
        <f t="shared" si="26"/>
        <v/>
      </c>
      <c r="AR14" s="61">
        <v>0.0</v>
      </c>
      <c r="AS14" s="62" t="str">
        <f t="shared" si="27"/>
        <v/>
      </c>
      <c r="AT14" s="61">
        <v>0.0</v>
      </c>
      <c r="AU14" s="62" t="str">
        <f t="shared" si="28"/>
        <v/>
      </c>
      <c r="AV14" s="61">
        <v>0.0</v>
      </c>
      <c r="AW14" s="62" t="str">
        <f t="shared" si="29"/>
        <v/>
      </c>
      <c r="AX14" s="61">
        <v>0.0</v>
      </c>
      <c r="AY14" s="64">
        <f t="shared" si="77"/>
        <v>0</v>
      </c>
      <c r="AZ14" s="65"/>
      <c r="BA14" s="65"/>
      <c r="BB14" s="65"/>
      <c r="BC14" s="65"/>
      <c r="BD14" s="65"/>
      <c r="BE14" s="66"/>
      <c r="BF14" s="67"/>
      <c r="BG14" s="68" t="str">
        <f t="shared" si="31"/>
        <v/>
      </c>
      <c r="BH14" s="70"/>
      <c r="BI14" s="71"/>
      <c r="BJ14" s="61">
        <v>0.0</v>
      </c>
      <c r="BK14" s="62" t="str">
        <f t="shared" si="32"/>
        <v/>
      </c>
      <c r="BL14" s="61">
        <v>0.0</v>
      </c>
      <c r="BM14" s="62" t="str">
        <f t="shared" si="33"/>
        <v/>
      </c>
      <c r="BN14" s="61">
        <v>0.0</v>
      </c>
      <c r="BO14" s="62" t="str">
        <f t="shared" si="34"/>
        <v/>
      </c>
      <c r="BP14" s="61">
        <v>0.0</v>
      </c>
      <c r="BQ14" s="62" t="str">
        <f t="shared" si="35"/>
        <v/>
      </c>
      <c r="BR14" s="61">
        <v>0.0</v>
      </c>
      <c r="BS14" s="64">
        <f t="shared" si="78"/>
        <v>0</v>
      </c>
      <c r="BT14" s="65"/>
      <c r="BU14" s="65"/>
      <c r="BV14" s="65"/>
      <c r="BW14" s="65"/>
      <c r="BX14" s="65"/>
      <c r="BY14" s="66"/>
      <c r="BZ14" s="67"/>
      <c r="CA14" s="68" t="str">
        <f t="shared" si="37"/>
        <v/>
      </c>
      <c r="CB14" s="70"/>
      <c r="CC14" s="71"/>
      <c r="CD14" s="61">
        <v>0.0</v>
      </c>
      <c r="CE14" s="62" t="str">
        <f t="shared" si="38"/>
        <v/>
      </c>
      <c r="CF14" s="61">
        <v>0.0</v>
      </c>
      <c r="CG14" s="62" t="str">
        <f t="shared" si="39"/>
        <v/>
      </c>
      <c r="CH14" s="61">
        <v>0.0</v>
      </c>
      <c r="CI14" s="62" t="str">
        <f t="shared" si="40"/>
        <v/>
      </c>
      <c r="CJ14" s="61">
        <v>0.0</v>
      </c>
      <c r="CK14" s="62" t="str">
        <f t="shared" si="41"/>
        <v/>
      </c>
      <c r="CL14" s="61">
        <v>0.0</v>
      </c>
      <c r="CM14" s="64">
        <f t="shared" si="79"/>
        <v>0</v>
      </c>
      <c r="CN14" s="65"/>
      <c r="CO14" s="65"/>
      <c r="CP14" s="65"/>
      <c r="CQ14" s="65"/>
      <c r="CR14" s="65"/>
      <c r="CS14" s="66"/>
      <c r="CT14" s="67"/>
      <c r="CU14" s="68" t="str">
        <f t="shared" si="43"/>
        <v/>
      </c>
      <c r="CV14" s="73"/>
      <c r="CW14" s="71"/>
      <c r="CX14" s="61">
        <v>0.0</v>
      </c>
      <c r="CY14" s="62" t="str">
        <f t="shared" si="44"/>
        <v/>
      </c>
      <c r="CZ14" s="61">
        <v>0.0</v>
      </c>
      <c r="DA14" s="62" t="str">
        <f t="shared" si="45"/>
        <v/>
      </c>
      <c r="DB14" s="61">
        <v>0.0</v>
      </c>
      <c r="DC14" s="62" t="str">
        <f t="shared" si="46"/>
        <v/>
      </c>
      <c r="DD14" s="61">
        <v>0.0</v>
      </c>
      <c r="DE14" s="62" t="str">
        <f t="shared" si="47"/>
        <v/>
      </c>
      <c r="DF14" s="61">
        <v>0.0</v>
      </c>
      <c r="DG14" s="64">
        <f t="shared" si="80"/>
        <v>0</v>
      </c>
      <c r="DH14" s="65"/>
      <c r="DI14" s="65"/>
      <c r="DJ14" s="65"/>
      <c r="DK14" s="65"/>
      <c r="DL14" s="65"/>
      <c r="DM14" s="66"/>
      <c r="DN14" s="67"/>
      <c r="DO14" s="68" t="str">
        <f t="shared" si="49"/>
        <v/>
      </c>
      <c r="DP14" s="73"/>
      <c r="DQ14" s="71"/>
      <c r="DR14" s="61">
        <v>0.0</v>
      </c>
      <c r="DS14" s="62" t="str">
        <f t="shared" si="50"/>
        <v/>
      </c>
      <c r="DT14" s="61">
        <v>0.0</v>
      </c>
      <c r="DU14" s="62" t="str">
        <f t="shared" si="51"/>
        <v/>
      </c>
      <c r="DV14" s="61">
        <v>0.0</v>
      </c>
      <c r="DW14" s="62" t="str">
        <f t="shared" si="52"/>
        <v/>
      </c>
      <c r="DX14" s="61">
        <v>0.0</v>
      </c>
      <c r="DY14" s="62" t="str">
        <f t="shared" si="53"/>
        <v/>
      </c>
      <c r="DZ14" s="61">
        <v>0.0</v>
      </c>
      <c r="EA14" s="64">
        <f t="shared" si="81"/>
        <v>0</v>
      </c>
      <c r="EB14" s="65"/>
      <c r="EC14" s="65"/>
      <c r="ED14" s="65"/>
      <c r="EE14" s="65"/>
      <c r="EF14" s="65"/>
      <c r="EG14" s="66"/>
      <c r="EH14" s="67"/>
      <c r="EI14" s="68" t="str">
        <f t="shared" si="55"/>
        <v/>
      </c>
      <c r="EJ14" s="73"/>
    </row>
    <row r="15" ht="15.75" hidden="1" customHeight="1" outlineLevel="1">
      <c r="A15" s="60">
        <f>A17+1</f>
        <v>45526</v>
      </c>
      <c r="B15" s="61">
        <f t="shared" si="8"/>
        <v>0</v>
      </c>
      <c r="C15" s="62" t="str">
        <f t="shared" si="9"/>
        <v/>
      </c>
      <c r="D15" s="61">
        <f t="shared" si="10"/>
        <v>0</v>
      </c>
      <c r="E15" s="62" t="str">
        <f t="shared" si="11"/>
        <v/>
      </c>
      <c r="F15" s="61">
        <f t="shared" si="12"/>
        <v>0</v>
      </c>
      <c r="G15" s="62" t="str">
        <f t="shared" si="13"/>
        <v/>
      </c>
      <c r="H15" s="61">
        <f t="shared" si="14"/>
        <v>0</v>
      </c>
      <c r="I15" s="62" t="str">
        <f t="shared" si="15"/>
        <v/>
      </c>
      <c r="J15" s="63">
        <f t="shared" ref="J15:P15" si="86">SUM(AD15,AX15,BR15,CL15,DF15)</f>
        <v>0</v>
      </c>
      <c r="K15" s="64">
        <f t="shared" si="86"/>
        <v>0</v>
      </c>
      <c r="L15" s="65">
        <f t="shared" si="86"/>
        <v>0</v>
      </c>
      <c r="M15" s="65">
        <f t="shared" si="86"/>
        <v>0</v>
      </c>
      <c r="N15" s="65">
        <f t="shared" si="86"/>
        <v>0</v>
      </c>
      <c r="O15" s="65">
        <f t="shared" si="86"/>
        <v>0</v>
      </c>
      <c r="P15" s="65">
        <f t="shared" si="86"/>
        <v>0</v>
      </c>
      <c r="Q15" s="66" t="str">
        <f t="shared" si="17"/>
        <v/>
      </c>
      <c r="R15" s="67">
        <f t="shared" si="18"/>
        <v>0</v>
      </c>
      <c r="S15" s="68" t="str">
        <f t="shared" si="19"/>
        <v/>
      </c>
      <c r="T15" s="55"/>
      <c r="U15" s="69"/>
      <c r="V15" s="61">
        <v>0.0</v>
      </c>
      <c r="W15" s="62" t="str">
        <f t="shared" si="20"/>
        <v/>
      </c>
      <c r="X15" s="61">
        <v>0.0</v>
      </c>
      <c r="Y15" s="62" t="str">
        <f t="shared" si="21"/>
        <v/>
      </c>
      <c r="Z15" s="61">
        <v>0.0</v>
      </c>
      <c r="AA15" s="62" t="str">
        <f t="shared" si="22"/>
        <v/>
      </c>
      <c r="AB15" s="61">
        <v>0.0</v>
      </c>
      <c r="AC15" s="62" t="str">
        <f t="shared" si="23"/>
        <v/>
      </c>
      <c r="AD15" s="63">
        <v>0.0</v>
      </c>
      <c r="AE15" s="64">
        <f t="shared" si="76"/>
        <v>0</v>
      </c>
      <c r="AF15" s="65"/>
      <c r="AG15" s="65"/>
      <c r="AH15" s="65"/>
      <c r="AI15" s="65"/>
      <c r="AJ15" s="65"/>
      <c r="AK15" s="66"/>
      <c r="AL15" s="67"/>
      <c r="AM15" s="68" t="str">
        <f t="shared" si="25"/>
        <v/>
      </c>
      <c r="AN15" s="70"/>
      <c r="AO15" s="71"/>
      <c r="AP15" s="61">
        <v>0.0</v>
      </c>
      <c r="AQ15" s="62" t="str">
        <f t="shared" si="26"/>
        <v/>
      </c>
      <c r="AR15" s="61">
        <v>0.0</v>
      </c>
      <c r="AS15" s="62" t="str">
        <f t="shared" si="27"/>
        <v/>
      </c>
      <c r="AT15" s="61">
        <v>0.0</v>
      </c>
      <c r="AU15" s="62" t="str">
        <f t="shared" si="28"/>
        <v/>
      </c>
      <c r="AV15" s="61">
        <v>0.0</v>
      </c>
      <c r="AW15" s="62" t="str">
        <f t="shared" si="29"/>
        <v/>
      </c>
      <c r="AX15" s="61">
        <v>0.0</v>
      </c>
      <c r="AY15" s="64">
        <f t="shared" si="77"/>
        <v>0</v>
      </c>
      <c r="AZ15" s="65"/>
      <c r="BA15" s="65"/>
      <c r="BB15" s="65"/>
      <c r="BC15" s="65"/>
      <c r="BD15" s="65"/>
      <c r="BE15" s="66"/>
      <c r="BF15" s="67"/>
      <c r="BG15" s="68" t="str">
        <f t="shared" si="31"/>
        <v/>
      </c>
      <c r="BH15" s="70"/>
      <c r="BI15" s="71"/>
      <c r="BJ15" s="61">
        <v>0.0</v>
      </c>
      <c r="BK15" s="62" t="str">
        <f t="shared" si="32"/>
        <v/>
      </c>
      <c r="BL15" s="61">
        <v>0.0</v>
      </c>
      <c r="BM15" s="62" t="str">
        <f t="shared" si="33"/>
        <v/>
      </c>
      <c r="BN15" s="61">
        <v>0.0</v>
      </c>
      <c r="BO15" s="62" t="str">
        <f t="shared" si="34"/>
        <v/>
      </c>
      <c r="BP15" s="61">
        <v>0.0</v>
      </c>
      <c r="BQ15" s="62" t="str">
        <f t="shared" si="35"/>
        <v/>
      </c>
      <c r="BR15" s="61">
        <v>0.0</v>
      </c>
      <c r="BS15" s="64">
        <f t="shared" si="78"/>
        <v>0</v>
      </c>
      <c r="BT15" s="65"/>
      <c r="BU15" s="65"/>
      <c r="BV15" s="65"/>
      <c r="BW15" s="65"/>
      <c r="BX15" s="65"/>
      <c r="BY15" s="66"/>
      <c r="BZ15" s="67"/>
      <c r="CA15" s="68" t="str">
        <f t="shared" si="37"/>
        <v/>
      </c>
      <c r="CB15" s="70"/>
      <c r="CC15" s="71"/>
      <c r="CD15" s="61">
        <v>0.0</v>
      </c>
      <c r="CE15" s="62" t="str">
        <f t="shared" si="38"/>
        <v/>
      </c>
      <c r="CF15" s="61">
        <v>0.0</v>
      </c>
      <c r="CG15" s="62" t="str">
        <f t="shared" si="39"/>
        <v/>
      </c>
      <c r="CH15" s="61">
        <v>0.0</v>
      </c>
      <c r="CI15" s="62" t="str">
        <f t="shared" si="40"/>
        <v/>
      </c>
      <c r="CJ15" s="61">
        <v>0.0</v>
      </c>
      <c r="CK15" s="62" t="str">
        <f t="shared" si="41"/>
        <v/>
      </c>
      <c r="CL15" s="61">
        <v>0.0</v>
      </c>
      <c r="CM15" s="64">
        <f t="shared" si="79"/>
        <v>0</v>
      </c>
      <c r="CN15" s="65"/>
      <c r="CO15" s="65"/>
      <c r="CP15" s="65"/>
      <c r="CQ15" s="65"/>
      <c r="CR15" s="65"/>
      <c r="CS15" s="66"/>
      <c r="CT15" s="67"/>
      <c r="CU15" s="68" t="str">
        <f t="shared" si="43"/>
        <v/>
      </c>
      <c r="CV15" s="72"/>
      <c r="CW15" s="71"/>
      <c r="CX15" s="61">
        <v>0.0</v>
      </c>
      <c r="CY15" s="62" t="str">
        <f t="shared" si="44"/>
        <v/>
      </c>
      <c r="CZ15" s="61">
        <v>0.0</v>
      </c>
      <c r="DA15" s="62" t="str">
        <f t="shared" si="45"/>
        <v/>
      </c>
      <c r="DB15" s="61">
        <v>0.0</v>
      </c>
      <c r="DC15" s="62" t="str">
        <f t="shared" si="46"/>
        <v/>
      </c>
      <c r="DD15" s="61">
        <v>0.0</v>
      </c>
      <c r="DE15" s="62" t="str">
        <f t="shared" si="47"/>
        <v/>
      </c>
      <c r="DF15" s="61">
        <v>0.0</v>
      </c>
      <c r="DG15" s="64">
        <f t="shared" si="80"/>
        <v>0</v>
      </c>
      <c r="DH15" s="65"/>
      <c r="DI15" s="65"/>
      <c r="DJ15" s="65"/>
      <c r="DK15" s="65"/>
      <c r="DL15" s="65"/>
      <c r="DM15" s="66"/>
      <c r="DN15" s="67"/>
      <c r="DO15" s="68" t="str">
        <f t="shared" si="49"/>
        <v/>
      </c>
      <c r="DP15" s="72"/>
      <c r="DQ15" s="71"/>
      <c r="DR15" s="61">
        <v>0.0</v>
      </c>
      <c r="DS15" s="62" t="str">
        <f t="shared" si="50"/>
        <v/>
      </c>
      <c r="DT15" s="61">
        <v>0.0</v>
      </c>
      <c r="DU15" s="62" t="str">
        <f t="shared" si="51"/>
        <v/>
      </c>
      <c r="DV15" s="61">
        <v>0.0</v>
      </c>
      <c r="DW15" s="62" t="str">
        <f t="shared" si="52"/>
        <v/>
      </c>
      <c r="DX15" s="61">
        <v>0.0</v>
      </c>
      <c r="DY15" s="62" t="str">
        <f t="shared" si="53"/>
        <v/>
      </c>
      <c r="DZ15" s="61">
        <v>0.0</v>
      </c>
      <c r="EA15" s="64">
        <f t="shared" si="81"/>
        <v>0</v>
      </c>
      <c r="EB15" s="65"/>
      <c r="EC15" s="65"/>
      <c r="ED15" s="65"/>
      <c r="EE15" s="65"/>
      <c r="EF15" s="65"/>
      <c r="EG15" s="66"/>
      <c r="EH15" s="67"/>
      <c r="EI15" s="68" t="str">
        <f t="shared" si="55"/>
        <v/>
      </c>
      <c r="EJ15" s="72"/>
    </row>
    <row r="16" ht="15.75" customHeight="1" collapsed="1">
      <c r="A16" s="45" t="s">
        <v>41</v>
      </c>
      <c r="B16" s="46">
        <f t="shared" si="8"/>
        <v>0</v>
      </c>
      <c r="C16" s="47" t="str">
        <f t="shared" si="9"/>
        <v/>
      </c>
      <c r="D16" s="46">
        <f t="shared" si="10"/>
        <v>0</v>
      </c>
      <c r="E16" s="47" t="str">
        <f t="shared" si="11"/>
        <v/>
      </c>
      <c r="F16" s="46">
        <f t="shared" si="12"/>
        <v>0</v>
      </c>
      <c r="G16" s="47" t="str">
        <f t="shared" si="13"/>
        <v/>
      </c>
      <c r="H16" s="46">
        <f t="shared" si="14"/>
        <v>0</v>
      </c>
      <c r="I16" s="48" t="str">
        <f t="shared" si="15"/>
        <v/>
      </c>
      <c r="J16" s="49">
        <f t="shared" ref="J16:P16" si="87">SUM(AD16,AX16,BR16,CL16,DF16)</f>
        <v>0</v>
      </c>
      <c r="K16" s="50">
        <f t="shared" si="87"/>
        <v>0</v>
      </c>
      <c r="L16" s="51">
        <f t="shared" si="87"/>
        <v>0</v>
      </c>
      <c r="M16" s="51">
        <f t="shared" si="87"/>
        <v>0</v>
      </c>
      <c r="N16" s="51">
        <f t="shared" si="87"/>
        <v>0</v>
      </c>
      <c r="O16" s="51">
        <f t="shared" si="87"/>
        <v>0</v>
      </c>
      <c r="P16" s="51">
        <f t="shared" si="87"/>
        <v>0</v>
      </c>
      <c r="Q16" s="52" t="str">
        <f t="shared" si="17"/>
        <v/>
      </c>
      <c r="R16" s="53">
        <f t="shared" si="18"/>
        <v>0</v>
      </c>
      <c r="S16" s="54" t="str">
        <f t="shared" si="19"/>
        <v/>
      </c>
      <c r="T16" s="55"/>
      <c r="U16" s="56"/>
      <c r="V16" s="46">
        <v>0.0</v>
      </c>
      <c r="W16" s="47" t="str">
        <f t="shared" si="20"/>
        <v/>
      </c>
      <c r="X16" s="46">
        <v>0.0</v>
      </c>
      <c r="Y16" s="47" t="str">
        <f t="shared" si="21"/>
        <v/>
      </c>
      <c r="Z16" s="46">
        <v>0.0</v>
      </c>
      <c r="AA16" s="47" t="str">
        <f t="shared" si="22"/>
        <v/>
      </c>
      <c r="AB16" s="46">
        <v>0.0</v>
      </c>
      <c r="AC16" s="48" t="str">
        <f t="shared" si="23"/>
        <v/>
      </c>
      <c r="AD16" s="46">
        <v>0.0</v>
      </c>
      <c r="AE16" s="50">
        <f t="shared" ref="AE16:AJ16" si="88">SUM(AE17:AE23)</f>
        <v>0</v>
      </c>
      <c r="AF16" s="51">
        <f t="shared" si="88"/>
        <v>0</v>
      </c>
      <c r="AG16" s="51">
        <f t="shared" si="88"/>
        <v>0</v>
      </c>
      <c r="AH16" s="51">
        <f t="shared" si="88"/>
        <v>0</v>
      </c>
      <c r="AI16" s="51">
        <f t="shared" si="88"/>
        <v>0</v>
      </c>
      <c r="AJ16" s="51">
        <f t="shared" si="88"/>
        <v>0</v>
      </c>
      <c r="AK16" s="52"/>
      <c r="AL16" s="53">
        <f>SUM(AL17:AL23)</f>
        <v>0</v>
      </c>
      <c r="AM16" s="54" t="str">
        <f t="shared" si="25"/>
        <v/>
      </c>
      <c r="AN16" s="57"/>
      <c r="AO16" s="58"/>
      <c r="AP16" s="46">
        <v>0.0</v>
      </c>
      <c r="AQ16" s="47" t="str">
        <f t="shared" si="26"/>
        <v/>
      </c>
      <c r="AR16" s="46">
        <v>0.0</v>
      </c>
      <c r="AS16" s="47" t="str">
        <f t="shared" si="27"/>
        <v/>
      </c>
      <c r="AT16" s="46">
        <v>0.0</v>
      </c>
      <c r="AU16" s="47" t="str">
        <f t="shared" si="28"/>
        <v/>
      </c>
      <c r="AV16" s="46">
        <v>0.0</v>
      </c>
      <c r="AW16" s="48" t="str">
        <f t="shared" si="29"/>
        <v/>
      </c>
      <c r="AX16" s="46">
        <v>0.0</v>
      </c>
      <c r="AY16" s="50">
        <f t="shared" ref="AY16:BD16" si="89">SUM(AY17:AY23)</f>
        <v>0</v>
      </c>
      <c r="AZ16" s="51">
        <f t="shared" si="89"/>
        <v>0</v>
      </c>
      <c r="BA16" s="51">
        <f t="shared" si="89"/>
        <v>0</v>
      </c>
      <c r="BB16" s="51">
        <f t="shared" si="89"/>
        <v>0</v>
      </c>
      <c r="BC16" s="51">
        <f t="shared" si="89"/>
        <v>0</v>
      </c>
      <c r="BD16" s="51">
        <f t="shared" si="89"/>
        <v>0</v>
      </c>
      <c r="BE16" s="52"/>
      <c r="BF16" s="53">
        <f>SUM(BF17:BF23)</f>
        <v>0</v>
      </c>
      <c r="BG16" s="54" t="str">
        <f t="shared" si="31"/>
        <v/>
      </c>
      <c r="BH16" s="57"/>
      <c r="BI16" s="58"/>
      <c r="BJ16" s="46">
        <v>0.0</v>
      </c>
      <c r="BK16" s="47" t="str">
        <f t="shared" si="32"/>
        <v/>
      </c>
      <c r="BL16" s="46">
        <v>0.0</v>
      </c>
      <c r="BM16" s="47" t="str">
        <f t="shared" si="33"/>
        <v/>
      </c>
      <c r="BN16" s="46">
        <v>0.0</v>
      </c>
      <c r="BO16" s="47" t="str">
        <f t="shared" si="34"/>
        <v/>
      </c>
      <c r="BP16" s="46">
        <v>0.0</v>
      </c>
      <c r="BQ16" s="48" t="str">
        <f t="shared" si="35"/>
        <v/>
      </c>
      <c r="BR16" s="46">
        <v>0.0</v>
      </c>
      <c r="BS16" s="50">
        <f t="shared" ref="BS16:BX16" si="90">SUM(BS17:BS23)</f>
        <v>0</v>
      </c>
      <c r="BT16" s="51">
        <f t="shared" si="90"/>
        <v>0</v>
      </c>
      <c r="BU16" s="51">
        <f t="shared" si="90"/>
        <v>0</v>
      </c>
      <c r="BV16" s="51">
        <f t="shared" si="90"/>
        <v>0</v>
      </c>
      <c r="BW16" s="51">
        <f t="shared" si="90"/>
        <v>0</v>
      </c>
      <c r="BX16" s="51">
        <f t="shared" si="90"/>
        <v>0</v>
      </c>
      <c r="BY16" s="52"/>
      <c r="BZ16" s="53">
        <f>SUM(BZ17:BZ23)</f>
        <v>0</v>
      </c>
      <c r="CA16" s="54" t="str">
        <f t="shared" si="37"/>
        <v/>
      </c>
      <c r="CB16" s="57"/>
      <c r="CC16" s="58"/>
      <c r="CD16" s="46">
        <v>0.0</v>
      </c>
      <c r="CE16" s="47" t="str">
        <f t="shared" si="38"/>
        <v/>
      </c>
      <c r="CF16" s="46">
        <v>0.0</v>
      </c>
      <c r="CG16" s="47" t="str">
        <f t="shared" si="39"/>
        <v/>
      </c>
      <c r="CH16" s="46">
        <v>0.0</v>
      </c>
      <c r="CI16" s="47" t="str">
        <f t="shared" si="40"/>
        <v/>
      </c>
      <c r="CJ16" s="46">
        <v>0.0</v>
      </c>
      <c r="CK16" s="48" t="str">
        <f t="shared" si="41"/>
        <v/>
      </c>
      <c r="CL16" s="46">
        <v>0.0</v>
      </c>
      <c r="CM16" s="50">
        <f t="shared" ref="CM16:CR16" si="91">SUM(CM17:CM23)</f>
        <v>0</v>
      </c>
      <c r="CN16" s="51">
        <f t="shared" si="91"/>
        <v>0</v>
      </c>
      <c r="CO16" s="51">
        <f t="shared" si="91"/>
        <v>0</v>
      </c>
      <c r="CP16" s="51">
        <f t="shared" si="91"/>
        <v>0</v>
      </c>
      <c r="CQ16" s="51">
        <f t="shared" si="91"/>
        <v>0</v>
      </c>
      <c r="CR16" s="51">
        <f t="shared" si="91"/>
        <v>0</v>
      </c>
      <c r="CS16" s="52"/>
      <c r="CT16" s="53">
        <f>SUM(CT17:CT23)</f>
        <v>0</v>
      </c>
      <c r="CU16" s="54" t="str">
        <f t="shared" si="43"/>
        <v/>
      </c>
      <c r="CV16" s="59"/>
      <c r="CW16" s="58"/>
      <c r="CX16" s="46">
        <v>0.0</v>
      </c>
      <c r="CY16" s="47" t="str">
        <f t="shared" si="44"/>
        <v/>
      </c>
      <c r="CZ16" s="46">
        <v>0.0</v>
      </c>
      <c r="DA16" s="47" t="str">
        <f t="shared" si="45"/>
        <v/>
      </c>
      <c r="DB16" s="46">
        <v>0.0</v>
      </c>
      <c r="DC16" s="47" t="str">
        <f t="shared" si="46"/>
        <v/>
      </c>
      <c r="DD16" s="46">
        <v>0.0</v>
      </c>
      <c r="DE16" s="48" t="str">
        <f t="shared" si="47"/>
        <v/>
      </c>
      <c r="DF16" s="46">
        <v>0.0</v>
      </c>
      <c r="DG16" s="50">
        <f t="shared" ref="DG16:DL16" si="92">SUM(DG17:DG23)</f>
        <v>0</v>
      </c>
      <c r="DH16" s="51">
        <f t="shared" si="92"/>
        <v>0</v>
      </c>
      <c r="DI16" s="51">
        <f t="shared" si="92"/>
        <v>0</v>
      </c>
      <c r="DJ16" s="51">
        <f t="shared" si="92"/>
        <v>0</v>
      </c>
      <c r="DK16" s="51">
        <f t="shared" si="92"/>
        <v>0</v>
      </c>
      <c r="DL16" s="51">
        <f t="shared" si="92"/>
        <v>0</v>
      </c>
      <c r="DM16" s="52"/>
      <c r="DN16" s="53">
        <f>SUM(DN17:DN23)</f>
        <v>0</v>
      </c>
      <c r="DO16" s="54" t="str">
        <f t="shared" si="49"/>
        <v/>
      </c>
      <c r="DP16" s="59"/>
      <c r="DQ16" s="58"/>
      <c r="DR16" s="46">
        <v>0.0</v>
      </c>
      <c r="DS16" s="47" t="str">
        <f t="shared" si="50"/>
        <v/>
      </c>
      <c r="DT16" s="46">
        <v>0.0</v>
      </c>
      <c r="DU16" s="47" t="str">
        <f t="shared" si="51"/>
        <v/>
      </c>
      <c r="DV16" s="46">
        <v>0.0</v>
      </c>
      <c r="DW16" s="47" t="str">
        <f t="shared" si="52"/>
        <v/>
      </c>
      <c r="DX16" s="46">
        <v>0.0</v>
      </c>
      <c r="DY16" s="48" t="str">
        <f t="shared" si="53"/>
        <v/>
      </c>
      <c r="DZ16" s="46">
        <v>0.0</v>
      </c>
      <c r="EA16" s="50">
        <f t="shared" ref="EA16:EF16" si="93">SUM(EA17:EA23)</f>
        <v>0</v>
      </c>
      <c r="EB16" s="51">
        <f t="shared" si="93"/>
        <v>0</v>
      </c>
      <c r="EC16" s="51">
        <f t="shared" si="93"/>
        <v>0</v>
      </c>
      <c r="ED16" s="51">
        <f t="shared" si="93"/>
        <v>0</v>
      </c>
      <c r="EE16" s="51">
        <f t="shared" si="93"/>
        <v>0</v>
      </c>
      <c r="EF16" s="51">
        <f t="shared" si="93"/>
        <v>0</v>
      </c>
      <c r="EG16" s="52"/>
      <c r="EH16" s="53">
        <f>SUM(EH17:EH23)</f>
        <v>0</v>
      </c>
      <c r="EI16" s="54" t="str">
        <f t="shared" si="55"/>
        <v/>
      </c>
      <c r="EJ16" s="59"/>
    </row>
    <row r="17" ht="15.75" hidden="1" customHeight="1" outlineLevel="1">
      <c r="A17" s="60">
        <f t="shared" ref="A17:A22" si="95">A18+1</f>
        <v>45525</v>
      </c>
      <c r="B17" s="61">
        <f t="shared" si="8"/>
        <v>0</v>
      </c>
      <c r="C17" s="62" t="str">
        <f t="shared" si="9"/>
        <v/>
      </c>
      <c r="D17" s="61">
        <f t="shared" si="10"/>
        <v>0</v>
      </c>
      <c r="E17" s="62" t="str">
        <f t="shared" si="11"/>
        <v/>
      </c>
      <c r="F17" s="61">
        <f t="shared" si="12"/>
        <v>0</v>
      </c>
      <c r="G17" s="62" t="str">
        <f t="shared" si="13"/>
        <v/>
      </c>
      <c r="H17" s="61">
        <f t="shared" si="14"/>
        <v>0</v>
      </c>
      <c r="I17" s="62" t="str">
        <f t="shared" si="15"/>
        <v/>
      </c>
      <c r="J17" s="63">
        <f t="shared" ref="J17:P17" si="94">SUM(AD17,AX17,BR17,CL17,DF17)</f>
        <v>0</v>
      </c>
      <c r="K17" s="64">
        <f t="shared" si="94"/>
        <v>0</v>
      </c>
      <c r="L17" s="65">
        <f t="shared" si="94"/>
        <v>0</v>
      </c>
      <c r="M17" s="65">
        <f t="shared" si="94"/>
        <v>0</v>
      </c>
      <c r="N17" s="65">
        <f t="shared" si="94"/>
        <v>0</v>
      </c>
      <c r="O17" s="65">
        <f t="shared" si="94"/>
        <v>0</v>
      </c>
      <c r="P17" s="65">
        <f t="shared" si="94"/>
        <v>0</v>
      </c>
      <c r="Q17" s="66" t="str">
        <f t="shared" si="17"/>
        <v/>
      </c>
      <c r="R17" s="67">
        <f t="shared" si="18"/>
        <v>0</v>
      </c>
      <c r="S17" s="68" t="str">
        <f t="shared" si="19"/>
        <v/>
      </c>
      <c r="T17" s="55"/>
      <c r="U17" s="69"/>
      <c r="V17" s="61" t="s">
        <v>40</v>
      </c>
      <c r="W17" s="62" t="str">
        <f t="shared" si="20"/>
        <v/>
      </c>
      <c r="X17" s="61" t="s">
        <v>40</v>
      </c>
      <c r="Y17" s="62" t="str">
        <f t="shared" si="21"/>
        <v/>
      </c>
      <c r="Z17" s="61" t="s">
        <v>40</v>
      </c>
      <c r="AA17" s="62" t="str">
        <f t="shared" si="22"/>
        <v/>
      </c>
      <c r="AB17" s="61" t="s">
        <v>40</v>
      </c>
      <c r="AC17" s="62" t="str">
        <f t="shared" si="23"/>
        <v/>
      </c>
      <c r="AD17" s="63" t="s">
        <v>40</v>
      </c>
      <c r="AE17" s="64">
        <f t="shared" ref="AE17:AE23" si="97">SUM(AF17:AJ17)</f>
        <v>0</v>
      </c>
      <c r="AF17" s="68"/>
      <c r="AG17" s="68"/>
      <c r="AH17" s="68"/>
      <c r="AI17" s="68"/>
      <c r="AJ17" s="68"/>
      <c r="AK17" s="68" t="str">
        <f t="shared" ref="AK17:AK30" si="98">IFERROR(AL17/AE17,"")</f>
        <v/>
      </c>
      <c r="AL17" s="74"/>
      <c r="AM17" s="68" t="str">
        <f t="shared" si="25"/>
        <v/>
      </c>
      <c r="AN17" s="70"/>
      <c r="AO17" s="71"/>
      <c r="AP17" s="61">
        <v>0.0</v>
      </c>
      <c r="AQ17" s="62" t="str">
        <f t="shared" si="26"/>
        <v/>
      </c>
      <c r="AR17" s="61">
        <v>0.0</v>
      </c>
      <c r="AS17" s="62" t="str">
        <f t="shared" si="27"/>
        <v/>
      </c>
      <c r="AT17" s="61">
        <v>0.0</v>
      </c>
      <c r="AU17" s="62" t="str">
        <f t="shared" si="28"/>
        <v/>
      </c>
      <c r="AV17" s="61">
        <v>0.0</v>
      </c>
      <c r="AW17" s="62" t="str">
        <f t="shared" si="29"/>
        <v/>
      </c>
      <c r="AX17" s="61">
        <v>0.0</v>
      </c>
      <c r="AY17" s="64">
        <f t="shared" ref="AY17:AY23" si="99">SUM(AZ17:BD17)</f>
        <v>0</v>
      </c>
      <c r="AZ17" s="68"/>
      <c r="BA17" s="68"/>
      <c r="BB17" s="68"/>
      <c r="BC17" s="68"/>
      <c r="BD17" s="68"/>
      <c r="BE17" s="68" t="str">
        <f t="shared" ref="BE17:BE30" si="100">IFERROR(BF17/AY17,"")</f>
        <v/>
      </c>
      <c r="BF17" s="74"/>
      <c r="BG17" s="68" t="str">
        <f t="shared" si="31"/>
        <v/>
      </c>
      <c r="BH17" s="70"/>
      <c r="BI17" s="71"/>
      <c r="BJ17" s="61">
        <v>0.0</v>
      </c>
      <c r="BK17" s="62" t="str">
        <f t="shared" si="32"/>
        <v/>
      </c>
      <c r="BL17" s="61">
        <v>0.0</v>
      </c>
      <c r="BM17" s="62" t="str">
        <f t="shared" si="33"/>
        <v/>
      </c>
      <c r="BN17" s="61">
        <v>0.0</v>
      </c>
      <c r="BO17" s="62" t="str">
        <f t="shared" si="34"/>
        <v/>
      </c>
      <c r="BP17" s="61">
        <v>0.0</v>
      </c>
      <c r="BQ17" s="62" t="str">
        <f t="shared" si="35"/>
        <v/>
      </c>
      <c r="BR17" s="61">
        <v>0.0</v>
      </c>
      <c r="BS17" s="64">
        <f t="shared" ref="BS17:BS23" si="101">SUM(BT17:BX17)</f>
        <v>0</v>
      </c>
      <c r="BT17" s="68"/>
      <c r="BU17" s="68"/>
      <c r="BV17" s="68"/>
      <c r="BW17" s="68"/>
      <c r="BX17" s="68"/>
      <c r="BY17" s="68" t="str">
        <f t="shared" ref="BY17:BY39" si="102">IFERROR(BZ17/BS17,"")</f>
        <v/>
      </c>
      <c r="BZ17" s="74"/>
      <c r="CA17" s="68" t="str">
        <f t="shared" si="37"/>
        <v/>
      </c>
      <c r="CB17" s="70"/>
      <c r="CC17" s="71"/>
      <c r="CD17" s="61">
        <v>0.0</v>
      </c>
      <c r="CE17" s="62" t="str">
        <f t="shared" si="38"/>
        <v/>
      </c>
      <c r="CF17" s="61">
        <v>0.0</v>
      </c>
      <c r="CG17" s="62" t="str">
        <f t="shared" si="39"/>
        <v/>
      </c>
      <c r="CH17" s="61">
        <v>0.0</v>
      </c>
      <c r="CI17" s="62" t="str">
        <f t="shared" si="40"/>
        <v/>
      </c>
      <c r="CJ17" s="61">
        <v>0.0</v>
      </c>
      <c r="CK17" s="62" t="str">
        <f t="shared" si="41"/>
        <v/>
      </c>
      <c r="CL17" s="61">
        <v>0.0</v>
      </c>
      <c r="CM17" s="64">
        <f t="shared" ref="CM17:CM23" si="103">SUM(CN17:CR17)</f>
        <v>0</v>
      </c>
      <c r="CN17" s="68"/>
      <c r="CO17" s="68"/>
      <c r="CP17" s="68"/>
      <c r="CQ17" s="68"/>
      <c r="CR17" s="68"/>
      <c r="CS17" s="68" t="str">
        <f t="shared" ref="CS17:CS39" si="104">IFERROR(CT17/CM17,"")</f>
        <v/>
      </c>
      <c r="CT17" s="74"/>
      <c r="CU17" s="68" t="str">
        <f t="shared" si="43"/>
        <v/>
      </c>
      <c r="CV17" s="72"/>
      <c r="CW17" s="71"/>
      <c r="CX17" s="61">
        <v>0.0</v>
      </c>
      <c r="CY17" s="62" t="str">
        <f t="shared" si="44"/>
        <v/>
      </c>
      <c r="CZ17" s="61">
        <v>0.0</v>
      </c>
      <c r="DA17" s="62" t="str">
        <f t="shared" si="45"/>
        <v/>
      </c>
      <c r="DB17" s="61">
        <v>0.0</v>
      </c>
      <c r="DC17" s="62" t="str">
        <f t="shared" si="46"/>
        <v/>
      </c>
      <c r="DD17" s="61">
        <v>0.0</v>
      </c>
      <c r="DE17" s="62" t="str">
        <f t="shared" si="47"/>
        <v/>
      </c>
      <c r="DF17" s="61">
        <v>0.0</v>
      </c>
      <c r="DG17" s="64">
        <f t="shared" ref="DG17:DG23" si="105">SUM(DH17:DL17)</f>
        <v>0</v>
      </c>
      <c r="DH17" s="68"/>
      <c r="DI17" s="68"/>
      <c r="DJ17" s="68"/>
      <c r="DK17" s="68"/>
      <c r="DL17" s="68"/>
      <c r="DM17" s="68" t="str">
        <f t="shared" ref="DM17:DM39" si="106">IFERROR(DN17/DG17,"")</f>
        <v/>
      </c>
      <c r="DN17" s="74"/>
      <c r="DO17" s="68" t="str">
        <f t="shared" si="49"/>
        <v/>
      </c>
      <c r="DP17" s="72"/>
      <c r="DQ17" s="71"/>
      <c r="DR17" s="61">
        <v>0.0</v>
      </c>
      <c r="DS17" s="62" t="str">
        <f t="shared" si="50"/>
        <v/>
      </c>
      <c r="DT17" s="61">
        <v>0.0</v>
      </c>
      <c r="DU17" s="62" t="str">
        <f t="shared" si="51"/>
        <v/>
      </c>
      <c r="DV17" s="61">
        <v>0.0</v>
      </c>
      <c r="DW17" s="62" t="str">
        <f t="shared" si="52"/>
        <v/>
      </c>
      <c r="DX17" s="61">
        <v>0.0</v>
      </c>
      <c r="DY17" s="62" t="str">
        <f t="shared" si="53"/>
        <v/>
      </c>
      <c r="DZ17" s="61">
        <v>0.0</v>
      </c>
      <c r="EA17" s="64">
        <f t="shared" ref="EA17:EA23" si="107">SUM(EB17:EF17)</f>
        <v>0</v>
      </c>
      <c r="EB17" s="68"/>
      <c r="EC17" s="68"/>
      <c r="ED17" s="68"/>
      <c r="EE17" s="68"/>
      <c r="EF17" s="68"/>
      <c r="EG17" s="68" t="str">
        <f t="shared" ref="EG17:EG39" si="108">IFERROR(EH17/EA17,"")</f>
        <v/>
      </c>
      <c r="EH17" s="74"/>
      <c r="EI17" s="68" t="str">
        <f t="shared" si="55"/>
        <v/>
      </c>
      <c r="EJ17" s="72"/>
    </row>
    <row r="18" ht="15.75" hidden="1" customHeight="1" outlineLevel="1">
      <c r="A18" s="60">
        <f t="shared" si="95"/>
        <v>45524</v>
      </c>
      <c r="B18" s="61">
        <f t="shared" si="8"/>
        <v>0</v>
      </c>
      <c r="C18" s="62" t="str">
        <f t="shared" si="9"/>
        <v/>
      </c>
      <c r="D18" s="61">
        <f t="shared" si="10"/>
        <v>0</v>
      </c>
      <c r="E18" s="62" t="str">
        <f t="shared" si="11"/>
        <v/>
      </c>
      <c r="F18" s="61">
        <f t="shared" si="12"/>
        <v>0</v>
      </c>
      <c r="G18" s="62" t="str">
        <f t="shared" si="13"/>
        <v/>
      </c>
      <c r="H18" s="61">
        <f t="shared" si="14"/>
        <v>0</v>
      </c>
      <c r="I18" s="62" t="str">
        <f t="shared" si="15"/>
        <v/>
      </c>
      <c r="J18" s="63">
        <f t="shared" ref="J18:P18" si="96">SUM(AD18,AX18,BR18,CL18,DF18)</f>
        <v>0</v>
      </c>
      <c r="K18" s="64">
        <f t="shared" si="96"/>
        <v>0</v>
      </c>
      <c r="L18" s="65">
        <f t="shared" si="96"/>
        <v>0</v>
      </c>
      <c r="M18" s="65">
        <f t="shared" si="96"/>
        <v>0</v>
      </c>
      <c r="N18" s="65">
        <f t="shared" si="96"/>
        <v>0</v>
      </c>
      <c r="O18" s="65">
        <f t="shared" si="96"/>
        <v>0</v>
      </c>
      <c r="P18" s="65">
        <f t="shared" si="96"/>
        <v>0</v>
      </c>
      <c r="Q18" s="66" t="str">
        <f t="shared" si="17"/>
        <v/>
      </c>
      <c r="R18" s="67">
        <f t="shared" si="18"/>
        <v>0</v>
      </c>
      <c r="S18" s="68" t="str">
        <f t="shared" si="19"/>
        <v/>
      </c>
      <c r="T18" s="55"/>
      <c r="U18" s="69"/>
      <c r="V18" s="61" t="s">
        <v>40</v>
      </c>
      <c r="W18" s="62" t="str">
        <f t="shared" si="20"/>
        <v/>
      </c>
      <c r="X18" s="61" t="s">
        <v>40</v>
      </c>
      <c r="Y18" s="62" t="str">
        <f t="shared" si="21"/>
        <v/>
      </c>
      <c r="Z18" s="61" t="s">
        <v>40</v>
      </c>
      <c r="AA18" s="62" t="str">
        <f t="shared" si="22"/>
        <v/>
      </c>
      <c r="AB18" s="61" t="s">
        <v>40</v>
      </c>
      <c r="AC18" s="62" t="str">
        <f t="shared" si="23"/>
        <v/>
      </c>
      <c r="AD18" s="63" t="s">
        <v>40</v>
      </c>
      <c r="AE18" s="64">
        <f t="shared" si="97"/>
        <v>0</v>
      </c>
      <c r="AF18" s="68"/>
      <c r="AG18" s="68"/>
      <c r="AH18" s="68"/>
      <c r="AI18" s="68"/>
      <c r="AJ18" s="68"/>
      <c r="AK18" s="68" t="str">
        <f t="shared" si="98"/>
        <v/>
      </c>
      <c r="AL18" s="74"/>
      <c r="AM18" s="68" t="str">
        <f t="shared" si="25"/>
        <v/>
      </c>
      <c r="AN18" s="70"/>
      <c r="AO18" s="71"/>
      <c r="AP18" s="61">
        <v>0.0</v>
      </c>
      <c r="AQ18" s="62" t="str">
        <f t="shared" si="26"/>
        <v/>
      </c>
      <c r="AR18" s="61">
        <v>0.0</v>
      </c>
      <c r="AS18" s="62" t="str">
        <f t="shared" si="27"/>
        <v/>
      </c>
      <c r="AT18" s="61">
        <v>0.0</v>
      </c>
      <c r="AU18" s="62" t="str">
        <f t="shared" si="28"/>
        <v/>
      </c>
      <c r="AV18" s="61">
        <v>0.0</v>
      </c>
      <c r="AW18" s="62" t="str">
        <f t="shared" si="29"/>
        <v/>
      </c>
      <c r="AX18" s="61">
        <v>0.0</v>
      </c>
      <c r="AY18" s="64">
        <f t="shared" si="99"/>
        <v>0</v>
      </c>
      <c r="AZ18" s="68"/>
      <c r="BA18" s="68"/>
      <c r="BB18" s="68"/>
      <c r="BC18" s="68"/>
      <c r="BD18" s="68"/>
      <c r="BE18" s="68" t="str">
        <f t="shared" si="100"/>
        <v/>
      </c>
      <c r="BF18" s="74"/>
      <c r="BG18" s="68" t="str">
        <f t="shared" si="31"/>
        <v/>
      </c>
      <c r="BH18" s="70"/>
      <c r="BI18" s="71"/>
      <c r="BJ18" s="61">
        <v>0.0</v>
      </c>
      <c r="BK18" s="62" t="str">
        <f t="shared" si="32"/>
        <v/>
      </c>
      <c r="BL18" s="61">
        <v>0.0</v>
      </c>
      <c r="BM18" s="62" t="str">
        <f t="shared" si="33"/>
        <v/>
      </c>
      <c r="BN18" s="61">
        <v>0.0</v>
      </c>
      <c r="BO18" s="62" t="str">
        <f t="shared" si="34"/>
        <v/>
      </c>
      <c r="BP18" s="61">
        <v>0.0</v>
      </c>
      <c r="BQ18" s="62" t="str">
        <f t="shared" si="35"/>
        <v/>
      </c>
      <c r="BR18" s="61">
        <v>0.0</v>
      </c>
      <c r="BS18" s="64">
        <f t="shared" si="101"/>
        <v>0</v>
      </c>
      <c r="BT18" s="68"/>
      <c r="BU18" s="68"/>
      <c r="BV18" s="68"/>
      <c r="BW18" s="68"/>
      <c r="BX18" s="68"/>
      <c r="BY18" s="68" t="str">
        <f t="shared" si="102"/>
        <v/>
      </c>
      <c r="BZ18" s="74"/>
      <c r="CA18" s="68" t="str">
        <f t="shared" si="37"/>
        <v/>
      </c>
      <c r="CB18" s="70"/>
      <c r="CC18" s="71"/>
      <c r="CD18" s="61">
        <v>0.0</v>
      </c>
      <c r="CE18" s="62" t="str">
        <f t="shared" si="38"/>
        <v/>
      </c>
      <c r="CF18" s="61">
        <v>0.0</v>
      </c>
      <c r="CG18" s="62" t="str">
        <f t="shared" si="39"/>
        <v/>
      </c>
      <c r="CH18" s="61">
        <v>0.0</v>
      </c>
      <c r="CI18" s="62" t="str">
        <f t="shared" si="40"/>
        <v/>
      </c>
      <c r="CJ18" s="61">
        <v>0.0</v>
      </c>
      <c r="CK18" s="62" t="str">
        <f t="shared" si="41"/>
        <v/>
      </c>
      <c r="CL18" s="61">
        <v>0.0</v>
      </c>
      <c r="CM18" s="64">
        <f t="shared" si="103"/>
        <v>0</v>
      </c>
      <c r="CN18" s="68"/>
      <c r="CO18" s="68"/>
      <c r="CP18" s="68"/>
      <c r="CQ18" s="68"/>
      <c r="CR18" s="68"/>
      <c r="CS18" s="68" t="str">
        <f t="shared" si="104"/>
        <v/>
      </c>
      <c r="CT18" s="74"/>
      <c r="CU18" s="68" t="str">
        <f t="shared" si="43"/>
        <v/>
      </c>
      <c r="CV18" s="72"/>
      <c r="CW18" s="71"/>
      <c r="CX18" s="61">
        <v>0.0</v>
      </c>
      <c r="CY18" s="62" t="str">
        <f t="shared" si="44"/>
        <v/>
      </c>
      <c r="CZ18" s="61">
        <v>0.0</v>
      </c>
      <c r="DA18" s="62" t="str">
        <f t="shared" si="45"/>
        <v/>
      </c>
      <c r="DB18" s="61">
        <v>0.0</v>
      </c>
      <c r="DC18" s="62" t="str">
        <f t="shared" si="46"/>
        <v/>
      </c>
      <c r="DD18" s="61">
        <v>0.0</v>
      </c>
      <c r="DE18" s="62" t="str">
        <f t="shared" si="47"/>
        <v/>
      </c>
      <c r="DF18" s="61">
        <v>0.0</v>
      </c>
      <c r="DG18" s="64">
        <f t="shared" si="105"/>
        <v>0</v>
      </c>
      <c r="DH18" s="68"/>
      <c r="DI18" s="68"/>
      <c r="DJ18" s="68"/>
      <c r="DK18" s="68"/>
      <c r="DL18" s="68"/>
      <c r="DM18" s="68" t="str">
        <f t="shared" si="106"/>
        <v/>
      </c>
      <c r="DN18" s="74"/>
      <c r="DO18" s="68" t="str">
        <f t="shared" si="49"/>
        <v/>
      </c>
      <c r="DP18" s="72"/>
      <c r="DQ18" s="71"/>
      <c r="DR18" s="61">
        <v>0.0</v>
      </c>
      <c r="DS18" s="62" t="str">
        <f t="shared" si="50"/>
        <v/>
      </c>
      <c r="DT18" s="61">
        <v>0.0</v>
      </c>
      <c r="DU18" s="62" t="str">
        <f t="shared" si="51"/>
        <v/>
      </c>
      <c r="DV18" s="61">
        <v>0.0</v>
      </c>
      <c r="DW18" s="62" t="str">
        <f t="shared" si="52"/>
        <v/>
      </c>
      <c r="DX18" s="61">
        <v>0.0</v>
      </c>
      <c r="DY18" s="62" t="str">
        <f t="shared" si="53"/>
        <v/>
      </c>
      <c r="DZ18" s="61">
        <v>0.0</v>
      </c>
      <c r="EA18" s="64">
        <f t="shared" si="107"/>
        <v>0</v>
      </c>
      <c r="EB18" s="68"/>
      <c r="EC18" s="68"/>
      <c r="ED18" s="68"/>
      <c r="EE18" s="68"/>
      <c r="EF18" s="68"/>
      <c r="EG18" s="68" t="str">
        <f t="shared" si="108"/>
        <v/>
      </c>
      <c r="EH18" s="74"/>
      <c r="EI18" s="68" t="str">
        <f t="shared" si="55"/>
        <v/>
      </c>
      <c r="EJ18" s="72"/>
    </row>
    <row r="19" ht="15.75" hidden="1" customHeight="1" outlineLevel="1">
      <c r="A19" s="60">
        <f t="shared" si="95"/>
        <v>45523</v>
      </c>
      <c r="B19" s="61">
        <f t="shared" si="8"/>
        <v>0</v>
      </c>
      <c r="C19" s="62" t="str">
        <f t="shared" si="9"/>
        <v/>
      </c>
      <c r="D19" s="61">
        <f t="shared" si="10"/>
        <v>0</v>
      </c>
      <c r="E19" s="62" t="str">
        <f t="shared" si="11"/>
        <v/>
      </c>
      <c r="F19" s="61">
        <f t="shared" si="12"/>
        <v>0</v>
      </c>
      <c r="G19" s="62" t="str">
        <f t="shared" si="13"/>
        <v/>
      </c>
      <c r="H19" s="61">
        <f t="shared" si="14"/>
        <v>0</v>
      </c>
      <c r="I19" s="62" t="str">
        <f t="shared" si="15"/>
        <v/>
      </c>
      <c r="J19" s="63">
        <f t="shared" ref="J19:P19" si="109">SUM(AD19,AX19,BR19,CL19,DF19)</f>
        <v>0</v>
      </c>
      <c r="K19" s="64">
        <f t="shared" si="109"/>
        <v>0</v>
      </c>
      <c r="L19" s="65">
        <f t="shared" si="109"/>
        <v>0</v>
      </c>
      <c r="M19" s="65">
        <f t="shared" si="109"/>
        <v>0</v>
      </c>
      <c r="N19" s="65">
        <f t="shared" si="109"/>
        <v>0</v>
      </c>
      <c r="O19" s="65">
        <f t="shared" si="109"/>
        <v>0</v>
      </c>
      <c r="P19" s="65">
        <f t="shared" si="109"/>
        <v>0</v>
      </c>
      <c r="Q19" s="66" t="str">
        <f t="shared" si="17"/>
        <v/>
      </c>
      <c r="R19" s="67">
        <f t="shared" si="18"/>
        <v>0</v>
      </c>
      <c r="S19" s="68" t="str">
        <f t="shared" si="19"/>
        <v/>
      </c>
      <c r="T19" s="55"/>
      <c r="U19" s="69"/>
      <c r="V19" s="61">
        <v>0.0</v>
      </c>
      <c r="W19" s="62" t="str">
        <f t="shared" si="20"/>
        <v/>
      </c>
      <c r="X19" s="61">
        <v>0.0</v>
      </c>
      <c r="Y19" s="62" t="str">
        <f t="shared" si="21"/>
        <v/>
      </c>
      <c r="Z19" s="61">
        <v>0.0</v>
      </c>
      <c r="AA19" s="62" t="str">
        <f t="shared" si="22"/>
        <v/>
      </c>
      <c r="AB19" s="61">
        <v>0.0</v>
      </c>
      <c r="AC19" s="62" t="str">
        <f t="shared" si="23"/>
        <v/>
      </c>
      <c r="AD19" s="63">
        <v>0.0</v>
      </c>
      <c r="AE19" s="64">
        <f t="shared" si="97"/>
        <v>0</v>
      </c>
      <c r="AF19" s="68"/>
      <c r="AG19" s="68"/>
      <c r="AH19" s="68"/>
      <c r="AI19" s="68"/>
      <c r="AJ19" s="68"/>
      <c r="AK19" s="68" t="str">
        <f t="shared" si="98"/>
        <v/>
      </c>
      <c r="AL19" s="74"/>
      <c r="AM19" s="68" t="str">
        <f t="shared" si="25"/>
        <v/>
      </c>
      <c r="AN19" s="70"/>
      <c r="AO19" s="71"/>
      <c r="AP19" s="61">
        <v>0.0</v>
      </c>
      <c r="AQ19" s="62" t="str">
        <f t="shared" si="26"/>
        <v/>
      </c>
      <c r="AR19" s="61">
        <v>0.0</v>
      </c>
      <c r="AS19" s="62" t="str">
        <f t="shared" si="27"/>
        <v/>
      </c>
      <c r="AT19" s="61">
        <v>0.0</v>
      </c>
      <c r="AU19" s="62" t="str">
        <f t="shared" si="28"/>
        <v/>
      </c>
      <c r="AV19" s="61">
        <v>0.0</v>
      </c>
      <c r="AW19" s="62" t="str">
        <f t="shared" si="29"/>
        <v/>
      </c>
      <c r="AX19" s="61">
        <v>0.0</v>
      </c>
      <c r="AY19" s="64">
        <f t="shared" si="99"/>
        <v>0</v>
      </c>
      <c r="AZ19" s="68"/>
      <c r="BA19" s="68"/>
      <c r="BB19" s="68"/>
      <c r="BC19" s="68"/>
      <c r="BD19" s="68"/>
      <c r="BE19" s="68" t="str">
        <f t="shared" si="100"/>
        <v/>
      </c>
      <c r="BF19" s="74"/>
      <c r="BG19" s="68" t="str">
        <f t="shared" si="31"/>
        <v/>
      </c>
      <c r="BH19" s="70"/>
      <c r="BI19" s="71"/>
      <c r="BJ19" s="61">
        <v>0.0</v>
      </c>
      <c r="BK19" s="62" t="str">
        <f t="shared" si="32"/>
        <v/>
      </c>
      <c r="BL19" s="61">
        <v>0.0</v>
      </c>
      <c r="BM19" s="62" t="str">
        <f t="shared" si="33"/>
        <v/>
      </c>
      <c r="BN19" s="61">
        <v>0.0</v>
      </c>
      <c r="BO19" s="62" t="str">
        <f t="shared" si="34"/>
        <v/>
      </c>
      <c r="BP19" s="61">
        <v>0.0</v>
      </c>
      <c r="BQ19" s="62" t="str">
        <f t="shared" si="35"/>
        <v/>
      </c>
      <c r="BR19" s="61">
        <v>0.0</v>
      </c>
      <c r="BS19" s="64">
        <f t="shared" si="101"/>
        <v>0</v>
      </c>
      <c r="BT19" s="68"/>
      <c r="BU19" s="68"/>
      <c r="BV19" s="68"/>
      <c r="BW19" s="68"/>
      <c r="BX19" s="68"/>
      <c r="BY19" s="68" t="str">
        <f t="shared" si="102"/>
        <v/>
      </c>
      <c r="BZ19" s="74"/>
      <c r="CA19" s="68" t="str">
        <f t="shared" si="37"/>
        <v/>
      </c>
      <c r="CB19" s="70"/>
      <c r="CC19" s="71"/>
      <c r="CD19" s="61">
        <v>0.0</v>
      </c>
      <c r="CE19" s="62" t="str">
        <f t="shared" si="38"/>
        <v/>
      </c>
      <c r="CF19" s="61">
        <v>0.0</v>
      </c>
      <c r="CG19" s="62" t="str">
        <f t="shared" si="39"/>
        <v/>
      </c>
      <c r="CH19" s="61">
        <v>0.0</v>
      </c>
      <c r="CI19" s="62" t="str">
        <f t="shared" si="40"/>
        <v/>
      </c>
      <c r="CJ19" s="61">
        <v>0.0</v>
      </c>
      <c r="CK19" s="62" t="str">
        <f t="shared" si="41"/>
        <v/>
      </c>
      <c r="CL19" s="61">
        <v>0.0</v>
      </c>
      <c r="CM19" s="64">
        <f t="shared" si="103"/>
        <v>0</v>
      </c>
      <c r="CN19" s="68"/>
      <c r="CO19" s="68"/>
      <c r="CP19" s="68"/>
      <c r="CQ19" s="68"/>
      <c r="CR19" s="68"/>
      <c r="CS19" s="68" t="str">
        <f t="shared" si="104"/>
        <v/>
      </c>
      <c r="CT19" s="74"/>
      <c r="CU19" s="68" t="str">
        <f t="shared" si="43"/>
        <v/>
      </c>
      <c r="CV19" s="72"/>
      <c r="CW19" s="71"/>
      <c r="CX19" s="61">
        <v>0.0</v>
      </c>
      <c r="CY19" s="62" t="str">
        <f t="shared" si="44"/>
        <v/>
      </c>
      <c r="CZ19" s="61">
        <v>0.0</v>
      </c>
      <c r="DA19" s="62" t="str">
        <f t="shared" si="45"/>
        <v/>
      </c>
      <c r="DB19" s="61">
        <v>0.0</v>
      </c>
      <c r="DC19" s="62" t="str">
        <f t="shared" si="46"/>
        <v/>
      </c>
      <c r="DD19" s="61">
        <v>0.0</v>
      </c>
      <c r="DE19" s="62" t="str">
        <f t="shared" si="47"/>
        <v/>
      </c>
      <c r="DF19" s="61">
        <v>0.0</v>
      </c>
      <c r="DG19" s="64">
        <f t="shared" si="105"/>
        <v>0</v>
      </c>
      <c r="DH19" s="68"/>
      <c r="DI19" s="68"/>
      <c r="DJ19" s="68"/>
      <c r="DK19" s="68"/>
      <c r="DL19" s="68"/>
      <c r="DM19" s="68" t="str">
        <f t="shared" si="106"/>
        <v/>
      </c>
      <c r="DN19" s="74"/>
      <c r="DO19" s="68" t="str">
        <f t="shared" si="49"/>
        <v/>
      </c>
      <c r="DP19" s="72"/>
      <c r="DQ19" s="71"/>
      <c r="DR19" s="61">
        <v>0.0</v>
      </c>
      <c r="DS19" s="62" t="str">
        <f t="shared" si="50"/>
        <v/>
      </c>
      <c r="DT19" s="61">
        <v>0.0</v>
      </c>
      <c r="DU19" s="62" t="str">
        <f t="shared" si="51"/>
        <v/>
      </c>
      <c r="DV19" s="61">
        <v>0.0</v>
      </c>
      <c r="DW19" s="62" t="str">
        <f t="shared" si="52"/>
        <v/>
      </c>
      <c r="DX19" s="61">
        <v>0.0</v>
      </c>
      <c r="DY19" s="62" t="str">
        <f t="shared" si="53"/>
        <v/>
      </c>
      <c r="DZ19" s="61">
        <v>0.0</v>
      </c>
      <c r="EA19" s="64">
        <f t="shared" si="107"/>
        <v>0</v>
      </c>
      <c r="EB19" s="68"/>
      <c r="EC19" s="68"/>
      <c r="ED19" s="68"/>
      <c r="EE19" s="68"/>
      <c r="EF19" s="68"/>
      <c r="EG19" s="68" t="str">
        <f t="shared" si="108"/>
        <v/>
      </c>
      <c r="EH19" s="74"/>
      <c r="EI19" s="68" t="str">
        <f t="shared" si="55"/>
        <v/>
      </c>
      <c r="EJ19" s="72"/>
    </row>
    <row r="20" ht="15.75" hidden="1" customHeight="1" outlineLevel="1">
      <c r="A20" s="60">
        <f t="shared" si="95"/>
        <v>45522</v>
      </c>
      <c r="B20" s="61">
        <f t="shared" si="8"/>
        <v>0</v>
      </c>
      <c r="C20" s="62" t="str">
        <f t="shared" si="9"/>
        <v/>
      </c>
      <c r="D20" s="61">
        <f t="shared" si="10"/>
        <v>0</v>
      </c>
      <c r="E20" s="62" t="str">
        <f t="shared" si="11"/>
        <v/>
      </c>
      <c r="F20" s="61">
        <f t="shared" si="12"/>
        <v>0</v>
      </c>
      <c r="G20" s="62" t="str">
        <f t="shared" si="13"/>
        <v/>
      </c>
      <c r="H20" s="61">
        <f t="shared" si="14"/>
        <v>0</v>
      </c>
      <c r="I20" s="62" t="str">
        <f t="shared" si="15"/>
        <v/>
      </c>
      <c r="J20" s="63">
        <f t="shared" ref="J20:P20" si="110">SUM(AD20,AX20,BR20,CL20,DF20)</f>
        <v>0</v>
      </c>
      <c r="K20" s="64">
        <f t="shared" si="110"/>
        <v>0</v>
      </c>
      <c r="L20" s="65">
        <f t="shared" si="110"/>
        <v>0</v>
      </c>
      <c r="M20" s="65">
        <f t="shared" si="110"/>
        <v>0</v>
      </c>
      <c r="N20" s="65">
        <f t="shared" si="110"/>
        <v>0</v>
      </c>
      <c r="O20" s="65">
        <f t="shared" si="110"/>
        <v>0</v>
      </c>
      <c r="P20" s="65">
        <f t="shared" si="110"/>
        <v>0</v>
      </c>
      <c r="Q20" s="66" t="str">
        <f t="shared" si="17"/>
        <v/>
      </c>
      <c r="R20" s="67">
        <f t="shared" si="18"/>
        <v>0</v>
      </c>
      <c r="S20" s="68" t="str">
        <f t="shared" si="19"/>
        <v/>
      </c>
      <c r="T20" s="55"/>
      <c r="U20" s="69"/>
      <c r="V20" s="61">
        <v>0.0</v>
      </c>
      <c r="W20" s="62" t="str">
        <f t="shared" si="20"/>
        <v/>
      </c>
      <c r="X20" s="61">
        <v>0.0</v>
      </c>
      <c r="Y20" s="62" t="str">
        <f t="shared" si="21"/>
        <v/>
      </c>
      <c r="Z20" s="61">
        <v>0.0</v>
      </c>
      <c r="AA20" s="62" t="str">
        <f t="shared" si="22"/>
        <v/>
      </c>
      <c r="AB20" s="61">
        <v>0.0</v>
      </c>
      <c r="AC20" s="62" t="str">
        <f t="shared" si="23"/>
        <v/>
      </c>
      <c r="AD20" s="63">
        <v>0.0</v>
      </c>
      <c r="AE20" s="64">
        <f t="shared" si="97"/>
        <v>0</v>
      </c>
      <c r="AF20" s="68"/>
      <c r="AG20" s="68"/>
      <c r="AH20" s="68"/>
      <c r="AI20" s="68"/>
      <c r="AJ20" s="68"/>
      <c r="AK20" s="68" t="str">
        <f t="shared" si="98"/>
        <v/>
      </c>
      <c r="AL20" s="74"/>
      <c r="AM20" s="68" t="str">
        <f t="shared" si="25"/>
        <v/>
      </c>
      <c r="AN20" s="70"/>
      <c r="AO20" s="71"/>
      <c r="AP20" s="61">
        <v>0.0</v>
      </c>
      <c r="AQ20" s="62" t="str">
        <f t="shared" si="26"/>
        <v/>
      </c>
      <c r="AR20" s="61">
        <v>0.0</v>
      </c>
      <c r="AS20" s="62" t="str">
        <f t="shared" si="27"/>
        <v/>
      </c>
      <c r="AT20" s="61">
        <v>0.0</v>
      </c>
      <c r="AU20" s="62" t="str">
        <f t="shared" si="28"/>
        <v/>
      </c>
      <c r="AV20" s="61">
        <v>0.0</v>
      </c>
      <c r="AW20" s="62" t="str">
        <f t="shared" si="29"/>
        <v/>
      </c>
      <c r="AX20" s="61">
        <v>0.0</v>
      </c>
      <c r="AY20" s="64">
        <f t="shared" si="99"/>
        <v>0</v>
      </c>
      <c r="AZ20" s="68"/>
      <c r="BA20" s="68"/>
      <c r="BB20" s="68"/>
      <c r="BC20" s="68"/>
      <c r="BD20" s="68"/>
      <c r="BE20" s="68" t="str">
        <f t="shared" si="100"/>
        <v/>
      </c>
      <c r="BF20" s="74"/>
      <c r="BG20" s="68" t="str">
        <f t="shared" si="31"/>
        <v/>
      </c>
      <c r="BH20" s="70"/>
      <c r="BI20" s="71"/>
      <c r="BJ20" s="61">
        <v>0.0</v>
      </c>
      <c r="BK20" s="62" t="str">
        <f t="shared" si="32"/>
        <v/>
      </c>
      <c r="BL20" s="61">
        <v>0.0</v>
      </c>
      <c r="BM20" s="62" t="str">
        <f t="shared" si="33"/>
        <v/>
      </c>
      <c r="BN20" s="61">
        <v>0.0</v>
      </c>
      <c r="BO20" s="62" t="str">
        <f t="shared" si="34"/>
        <v/>
      </c>
      <c r="BP20" s="61">
        <v>0.0</v>
      </c>
      <c r="BQ20" s="62" t="str">
        <f t="shared" si="35"/>
        <v/>
      </c>
      <c r="BR20" s="61">
        <v>0.0</v>
      </c>
      <c r="BS20" s="64">
        <f t="shared" si="101"/>
        <v>0</v>
      </c>
      <c r="BT20" s="68"/>
      <c r="BU20" s="68"/>
      <c r="BV20" s="68"/>
      <c r="BW20" s="68"/>
      <c r="BX20" s="68"/>
      <c r="BY20" s="68" t="str">
        <f t="shared" si="102"/>
        <v/>
      </c>
      <c r="BZ20" s="74"/>
      <c r="CA20" s="68" t="str">
        <f t="shared" si="37"/>
        <v/>
      </c>
      <c r="CB20" s="70"/>
      <c r="CC20" s="71"/>
      <c r="CD20" s="61">
        <v>0.0</v>
      </c>
      <c r="CE20" s="62" t="str">
        <f t="shared" si="38"/>
        <v/>
      </c>
      <c r="CF20" s="61">
        <v>0.0</v>
      </c>
      <c r="CG20" s="62" t="str">
        <f t="shared" si="39"/>
        <v/>
      </c>
      <c r="CH20" s="61">
        <v>0.0</v>
      </c>
      <c r="CI20" s="62" t="str">
        <f t="shared" si="40"/>
        <v/>
      </c>
      <c r="CJ20" s="61">
        <v>0.0</v>
      </c>
      <c r="CK20" s="62" t="str">
        <f t="shared" si="41"/>
        <v/>
      </c>
      <c r="CL20" s="61">
        <v>0.0</v>
      </c>
      <c r="CM20" s="64">
        <f t="shared" si="103"/>
        <v>0</v>
      </c>
      <c r="CN20" s="68"/>
      <c r="CO20" s="68"/>
      <c r="CP20" s="68"/>
      <c r="CQ20" s="68"/>
      <c r="CR20" s="68"/>
      <c r="CS20" s="68" t="str">
        <f t="shared" si="104"/>
        <v/>
      </c>
      <c r="CT20" s="74"/>
      <c r="CU20" s="68" t="str">
        <f t="shared" si="43"/>
        <v/>
      </c>
      <c r="CV20" s="72"/>
      <c r="CW20" s="71"/>
      <c r="CX20" s="61">
        <v>0.0</v>
      </c>
      <c r="CY20" s="62" t="str">
        <f t="shared" si="44"/>
        <v/>
      </c>
      <c r="CZ20" s="61">
        <v>0.0</v>
      </c>
      <c r="DA20" s="62" t="str">
        <f t="shared" si="45"/>
        <v/>
      </c>
      <c r="DB20" s="61">
        <v>0.0</v>
      </c>
      <c r="DC20" s="62" t="str">
        <f t="shared" si="46"/>
        <v/>
      </c>
      <c r="DD20" s="61">
        <v>0.0</v>
      </c>
      <c r="DE20" s="62" t="str">
        <f t="shared" si="47"/>
        <v/>
      </c>
      <c r="DF20" s="61">
        <v>0.0</v>
      </c>
      <c r="DG20" s="64">
        <f t="shared" si="105"/>
        <v>0</v>
      </c>
      <c r="DH20" s="68"/>
      <c r="DI20" s="68"/>
      <c r="DJ20" s="68"/>
      <c r="DK20" s="68"/>
      <c r="DL20" s="68"/>
      <c r="DM20" s="68" t="str">
        <f t="shared" si="106"/>
        <v/>
      </c>
      <c r="DN20" s="74"/>
      <c r="DO20" s="68" t="str">
        <f t="shared" si="49"/>
        <v/>
      </c>
      <c r="DP20" s="72"/>
      <c r="DQ20" s="71"/>
      <c r="DR20" s="61">
        <v>0.0</v>
      </c>
      <c r="DS20" s="62" t="str">
        <f t="shared" si="50"/>
        <v/>
      </c>
      <c r="DT20" s="61">
        <v>0.0</v>
      </c>
      <c r="DU20" s="62" t="str">
        <f t="shared" si="51"/>
        <v/>
      </c>
      <c r="DV20" s="61">
        <v>0.0</v>
      </c>
      <c r="DW20" s="62" t="str">
        <f t="shared" si="52"/>
        <v/>
      </c>
      <c r="DX20" s="61">
        <v>0.0</v>
      </c>
      <c r="DY20" s="62" t="str">
        <f t="shared" si="53"/>
        <v/>
      </c>
      <c r="DZ20" s="61">
        <v>0.0</v>
      </c>
      <c r="EA20" s="64">
        <f t="shared" si="107"/>
        <v>0</v>
      </c>
      <c r="EB20" s="68"/>
      <c r="EC20" s="68"/>
      <c r="ED20" s="68"/>
      <c r="EE20" s="68"/>
      <c r="EF20" s="68"/>
      <c r="EG20" s="68" t="str">
        <f t="shared" si="108"/>
        <v/>
      </c>
      <c r="EH20" s="74"/>
      <c r="EI20" s="68" t="str">
        <f t="shared" si="55"/>
        <v/>
      </c>
      <c r="EJ20" s="72"/>
    </row>
    <row r="21" ht="15.75" hidden="1" customHeight="1" outlineLevel="1">
      <c r="A21" s="60">
        <f t="shared" si="95"/>
        <v>45521</v>
      </c>
      <c r="B21" s="61">
        <f t="shared" si="8"/>
        <v>0</v>
      </c>
      <c r="C21" s="62" t="str">
        <f t="shared" si="9"/>
        <v/>
      </c>
      <c r="D21" s="61">
        <f t="shared" si="10"/>
        <v>0</v>
      </c>
      <c r="E21" s="62" t="str">
        <f t="shared" si="11"/>
        <v/>
      </c>
      <c r="F21" s="61">
        <f t="shared" si="12"/>
        <v>0</v>
      </c>
      <c r="G21" s="62" t="str">
        <f t="shared" si="13"/>
        <v/>
      </c>
      <c r="H21" s="61">
        <f t="shared" si="14"/>
        <v>0</v>
      </c>
      <c r="I21" s="62" t="str">
        <f t="shared" si="15"/>
        <v/>
      </c>
      <c r="J21" s="63">
        <f t="shared" ref="J21:P21" si="111">SUM(AD21,AX21,BR21,CL21,DF21)</f>
        <v>0</v>
      </c>
      <c r="K21" s="64">
        <f t="shared" si="111"/>
        <v>0</v>
      </c>
      <c r="L21" s="65">
        <f t="shared" si="111"/>
        <v>0</v>
      </c>
      <c r="M21" s="65">
        <f t="shared" si="111"/>
        <v>0</v>
      </c>
      <c r="N21" s="65">
        <f t="shared" si="111"/>
        <v>0</v>
      </c>
      <c r="O21" s="65">
        <f t="shared" si="111"/>
        <v>0</v>
      </c>
      <c r="P21" s="65">
        <f t="shared" si="111"/>
        <v>0</v>
      </c>
      <c r="Q21" s="66" t="str">
        <f t="shared" si="17"/>
        <v/>
      </c>
      <c r="R21" s="67">
        <f t="shared" si="18"/>
        <v>0</v>
      </c>
      <c r="S21" s="68" t="str">
        <f t="shared" si="19"/>
        <v/>
      </c>
      <c r="T21" s="55"/>
      <c r="U21" s="69"/>
      <c r="V21" s="61">
        <v>0.0</v>
      </c>
      <c r="W21" s="62" t="str">
        <f t="shared" si="20"/>
        <v/>
      </c>
      <c r="X21" s="61">
        <v>0.0</v>
      </c>
      <c r="Y21" s="62" t="str">
        <f t="shared" si="21"/>
        <v/>
      </c>
      <c r="Z21" s="61">
        <v>0.0</v>
      </c>
      <c r="AA21" s="62" t="str">
        <f t="shared" si="22"/>
        <v/>
      </c>
      <c r="AB21" s="61">
        <v>0.0</v>
      </c>
      <c r="AC21" s="62" t="str">
        <f t="shared" si="23"/>
        <v/>
      </c>
      <c r="AD21" s="63">
        <v>0.0</v>
      </c>
      <c r="AE21" s="64">
        <f t="shared" si="97"/>
        <v>0</v>
      </c>
      <c r="AF21" s="68"/>
      <c r="AG21" s="68"/>
      <c r="AH21" s="68"/>
      <c r="AI21" s="68"/>
      <c r="AJ21" s="68"/>
      <c r="AK21" s="68" t="str">
        <f t="shared" si="98"/>
        <v/>
      </c>
      <c r="AL21" s="74"/>
      <c r="AM21" s="68" t="str">
        <f t="shared" si="25"/>
        <v/>
      </c>
      <c r="AN21" s="70"/>
      <c r="AO21" s="71"/>
      <c r="AP21" s="61">
        <v>0.0</v>
      </c>
      <c r="AQ21" s="62" t="str">
        <f t="shared" si="26"/>
        <v/>
      </c>
      <c r="AR21" s="61">
        <v>0.0</v>
      </c>
      <c r="AS21" s="62" t="str">
        <f t="shared" si="27"/>
        <v/>
      </c>
      <c r="AT21" s="61">
        <v>0.0</v>
      </c>
      <c r="AU21" s="62" t="str">
        <f t="shared" si="28"/>
        <v/>
      </c>
      <c r="AV21" s="61">
        <v>0.0</v>
      </c>
      <c r="AW21" s="62" t="str">
        <f t="shared" si="29"/>
        <v/>
      </c>
      <c r="AX21" s="61">
        <v>0.0</v>
      </c>
      <c r="AY21" s="64">
        <f t="shared" si="99"/>
        <v>0</v>
      </c>
      <c r="AZ21" s="68"/>
      <c r="BA21" s="68"/>
      <c r="BB21" s="68"/>
      <c r="BC21" s="68"/>
      <c r="BD21" s="68"/>
      <c r="BE21" s="68" t="str">
        <f t="shared" si="100"/>
        <v/>
      </c>
      <c r="BF21" s="74"/>
      <c r="BG21" s="68" t="str">
        <f t="shared" si="31"/>
        <v/>
      </c>
      <c r="BH21" s="70"/>
      <c r="BI21" s="71"/>
      <c r="BJ21" s="61">
        <v>0.0</v>
      </c>
      <c r="BK21" s="62" t="str">
        <f t="shared" si="32"/>
        <v/>
      </c>
      <c r="BL21" s="61">
        <v>0.0</v>
      </c>
      <c r="BM21" s="62" t="str">
        <f t="shared" si="33"/>
        <v/>
      </c>
      <c r="BN21" s="61">
        <v>0.0</v>
      </c>
      <c r="BO21" s="62" t="str">
        <f t="shared" si="34"/>
        <v/>
      </c>
      <c r="BP21" s="61">
        <v>0.0</v>
      </c>
      <c r="BQ21" s="62" t="str">
        <f t="shared" si="35"/>
        <v/>
      </c>
      <c r="BR21" s="61">
        <v>0.0</v>
      </c>
      <c r="BS21" s="64">
        <f t="shared" si="101"/>
        <v>0</v>
      </c>
      <c r="BT21" s="68"/>
      <c r="BU21" s="68"/>
      <c r="BV21" s="68"/>
      <c r="BW21" s="68"/>
      <c r="BX21" s="68"/>
      <c r="BY21" s="68" t="str">
        <f t="shared" si="102"/>
        <v/>
      </c>
      <c r="BZ21" s="74"/>
      <c r="CA21" s="68" t="str">
        <f t="shared" si="37"/>
        <v/>
      </c>
      <c r="CB21" s="70"/>
      <c r="CC21" s="71"/>
      <c r="CD21" s="61">
        <v>0.0</v>
      </c>
      <c r="CE21" s="62" t="str">
        <f t="shared" si="38"/>
        <v/>
      </c>
      <c r="CF21" s="61">
        <v>0.0</v>
      </c>
      <c r="CG21" s="62" t="str">
        <f t="shared" si="39"/>
        <v/>
      </c>
      <c r="CH21" s="61">
        <v>0.0</v>
      </c>
      <c r="CI21" s="62" t="str">
        <f t="shared" si="40"/>
        <v/>
      </c>
      <c r="CJ21" s="61">
        <v>0.0</v>
      </c>
      <c r="CK21" s="62" t="str">
        <f t="shared" si="41"/>
        <v/>
      </c>
      <c r="CL21" s="61">
        <v>0.0</v>
      </c>
      <c r="CM21" s="64">
        <f t="shared" si="103"/>
        <v>0</v>
      </c>
      <c r="CN21" s="68"/>
      <c r="CO21" s="68"/>
      <c r="CP21" s="68"/>
      <c r="CQ21" s="68"/>
      <c r="CR21" s="68"/>
      <c r="CS21" s="68" t="str">
        <f t="shared" si="104"/>
        <v/>
      </c>
      <c r="CT21" s="74"/>
      <c r="CU21" s="68" t="str">
        <f t="shared" si="43"/>
        <v/>
      </c>
      <c r="CV21" s="72"/>
      <c r="CW21" s="71"/>
      <c r="CX21" s="61">
        <v>0.0</v>
      </c>
      <c r="CY21" s="62" t="str">
        <f t="shared" si="44"/>
        <v/>
      </c>
      <c r="CZ21" s="61">
        <v>0.0</v>
      </c>
      <c r="DA21" s="62" t="str">
        <f t="shared" si="45"/>
        <v/>
      </c>
      <c r="DB21" s="61">
        <v>0.0</v>
      </c>
      <c r="DC21" s="62" t="str">
        <f t="shared" si="46"/>
        <v/>
      </c>
      <c r="DD21" s="61">
        <v>0.0</v>
      </c>
      <c r="DE21" s="62" t="str">
        <f t="shared" si="47"/>
        <v/>
      </c>
      <c r="DF21" s="61">
        <v>0.0</v>
      </c>
      <c r="DG21" s="64">
        <f t="shared" si="105"/>
        <v>0</v>
      </c>
      <c r="DH21" s="68"/>
      <c r="DI21" s="68"/>
      <c r="DJ21" s="68"/>
      <c r="DK21" s="68"/>
      <c r="DL21" s="68"/>
      <c r="DM21" s="68" t="str">
        <f t="shared" si="106"/>
        <v/>
      </c>
      <c r="DN21" s="74"/>
      <c r="DO21" s="68" t="str">
        <f t="shared" si="49"/>
        <v/>
      </c>
      <c r="DP21" s="72"/>
      <c r="DQ21" s="71"/>
      <c r="DR21" s="61">
        <v>0.0</v>
      </c>
      <c r="DS21" s="62" t="str">
        <f t="shared" si="50"/>
        <v/>
      </c>
      <c r="DT21" s="61">
        <v>0.0</v>
      </c>
      <c r="DU21" s="62" t="str">
        <f t="shared" si="51"/>
        <v/>
      </c>
      <c r="DV21" s="61">
        <v>0.0</v>
      </c>
      <c r="DW21" s="62" t="str">
        <f t="shared" si="52"/>
        <v/>
      </c>
      <c r="DX21" s="61">
        <v>0.0</v>
      </c>
      <c r="DY21" s="62" t="str">
        <f t="shared" si="53"/>
        <v/>
      </c>
      <c r="DZ21" s="61">
        <v>0.0</v>
      </c>
      <c r="EA21" s="64">
        <f t="shared" si="107"/>
        <v>0</v>
      </c>
      <c r="EB21" s="68"/>
      <c r="EC21" s="68"/>
      <c r="ED21" s="68"/>
      <c r="EE21" s="68"/>
      <c r="EF21" s="68"/>
      <c r="EG21" s="68" t="str">
        <f t="shared" si="108"/>
        <v/>
      </c>
      <c r="EH21" s="74"/>
      <c r="EI21" s="68" t="str">
        <f t="shared" si="55"/>
        <v/>
      </c>
      <c r="EJ21" s="72"/>
    </row>
    <row r="22" ht="15.75" hidden="1" customHeight="1" outlineLevel="1">
      <c r="A22" s="60">
        <f t="shared" si="95"/>
        <v>45520</v>
      </c>
      <c r="B22" s="61">
        <f t="shared" si="8"/>
        <v>0</v>
      </c>
      <c r="C22" s="62" t="str">
        <f t="shared" si="9"/>
        <v/>
      </c>
      <c r="D22" s="61">
        <f t="shared" si="10"/>
        <v>0</v>
      </c>
      <c r="E22" s="62" t="str">
        <f t="shared" si="11"/>
        <v/>
      </c>
      <c r="F22" s="61">
        <f t="shared" si="12"/>
        <v>0</v>
      </c>
      <c r="G22" s="62" t="str">
        <f t="shared" si="13"/>
        <v/>
      </c>
      <c r="H22" s="61">
        <f t="shared" si="14"/>
        <v>0</v>
      </c>
      <c r="I22" s="62" t="str">
        <f t="shared" si="15"/>
        <v/>
      </c>
      <c r="J22" s="63">
        <f t="shared" ref="J22:P22" si="112">SUM(AD22,AX22,BR22,CL22,DF22)</f>
        <v>0</v>
      </c>
      <c r="K22" s="64">
        <f t="shared" si="112"/>
        <v>0</v>
      </c>
      <c r="L22" s="65">
        <f t="shared" si="112"/>
        <v>0</v>
      </c>
      <c r="M22" s="65">
        <f t="shared" si="112"/>
        <v>0</v>
      </c>
      <c r="N22" s="65">
        <f t="shared" si="112"/>
        <v>0</v>
      </c>
      <c r="O22" s="65">
        <f t="shared" si="112"/>
        <v>0</v>
      </c>
      <c r="P22" s="65">
        <f t="shared" si="112"/>
        <v>0</v>
      </c>
      <c r="Q22" s="66" t="str">
        <f t="shared" si="17"/>
        <v/>
      </c>
      <c r="R22" s="67">
        <f t="shared" si="18"/>
        <v>0</v>
      </c>
      <c r="S22" s="68" t="str">
        <f t="shared" si="19"/>
        <v/>
      </c>
      <c r="T22" s="55"/>
      <c r="U22" s="69"/>
      <c r="V22" s="61">
        <v>0.0</v>
      </c>
      <c r="W22" s="62" t="str">
        <f t="shared" si="20"/>
        <v/>
      </c>
      <c r="X22" s="61">
        <v>0.0</v>
      </c>
      <c r="Y22" s="62" t="str">
        <f t="shared" si="21"/>
        <v/>
      </c>
      <c r="Z22" s="61">
        <v>0.0</v>
      </c>
      <c r="AA22" s="62" t="str">
        <f t="shared" si="22"/>
        <v/>
      </c>
      <c r="AB22" s="61">
        <v>0.0</v>
      </c>
      <c r="AC22" s="62" t="str">
        <f t="shared" si="23"/>
        <v/>
      </c>
      <c r="AD22" s="63">
        <v>0.0</v>
      </c>
      <c r="AE22" s="64">
        <f t="shared" si="97"/>
        <v>0</v>
      </c>
      <c r="AF22" s="68"/>
      <c r="AG22" s="68"/>
      <c r="AH22" s="68"/>
      <c r="AI22" s="68"/>
      <c r="AJ22" s="68"/>
      <c r="AK22" s="68" t="str">
        <f t="shared" si="98"/>
        <v/>
      </c>
      <c r="AL22" s="74"/>
      <c r="AM22" s="68" t="str">
        <f t="shared" si="25"/>
        <v/>
      </c>
      <c r="AN22" s="70"/>
      <c r="AO22" s="71"/>
      <c r="AP22" s="61">
        <v>0.0</v>
      </c>
      <c r="AQ22" s="62" t="str">
        <f t="shared" si="26"/>
        <v/>
      </c>
      <c r="AR22" s="61">
        <v>0.0</v>
      </c>
      <c r="AS22" s="62" t="str">
        <f t="shared" si="27"/>
        <v/>
      </c>
      <c r="AT22" s="61">
        <v>0.0</v>
      </c>
      <c r="AU22" s="62" t="str">
        <f t="shared" si="28"/>
        <v/>
      </c>
      <c r="AV22" s="61">
        <v>0.0</v>
      </c>
      <c r="AW22" s="62" t="str">
        <f t="shared" si="29"/>
        <v/>
      </c>
      <c r="AX22" s="61">
        <v>0.0</v>
      </c>
      <c r="AY22" s="64">
        <f t="shared" si="99"/>
        <v>0</v>
      </c>
      <c r="AZ22" s="68"/>
      <c r="BA22" s="68"/>
      <c r="BB22" s="68"/>
      <c r="BC22" s="68"/>
      <c r="BD22" s="68"/>
      <c r="BE22" s="68" t="str">
        <f t="shared" si="100"/>
        <v/>
      </c>
      <c r="BF22" s="74"/>
      <c r="BG22" s="68" t="str">
        <f t="shared" si="31"/>
        <v/>
      </c>
      <c r="BH22" s="70"/>
      <c r="BI22" s="71"/>
      <c r="BJ22" s="61">
        <v>0.0</v>
      </c>
      <c r="BK22" s="62" t="str">
        <f t="shared" si="32"/>
        <v/>
      </c>
      <c r="BL22" s="61">
        <v>0.0</v>
      </c>
      <c r="BM22" s="62" t="str">
        <f t="shared" si="33"/>
        <v/>
      </c>
      <c r="BN22" s="61">
        <v>0.0</v>
      </c>
      <c r="BO22" s="62" t="str">
        <f t="shared" si="34"/>
        <v/>
      </c>
      <c r="BP22" s="61">
        <v>0.0</v>
      </c>
      <c r="BQ22" s="62" t="str">
        <f t="shared" si="35"/>
        <v/>
      </c>
      <c r="BR22" s="61">
        <v>0.0</v>
      </c>
      <c r="BS22" s="64">
        <f t="shared" si="101"/>
        <v>0</v>
      </c>
      <c r="BT22" s="68"/>
      <c r="BU22" s="68"/>
      <c r="BV22" s="68"/>
      <c r="BW22" s="68"/>
      <c r="BX22" s="68"/>
      <c r="BY22" s="68" t="str">
        <f t="shared" si="102"/>
        <v/>
      </c>
      <c r="BZ22" s="74"/>
      <c r="CA22" s="68" t="str">
        <f t="shared" si="37"/>
        <v/>
      </c>
      <c r="CB22" s="70"/>
      <c r="CC22" s="71"/>
      <c r="CD22" s="61">
        <v>0.0</v>
      </c>
      <c r="CE22" s="62" t="str">
        <f t="shared" si="38"/>
        <v/>
      </c>
      <c r="CF22" s="61">
        <v>0.0</v>
      </c>
      <c r="CG22" s="62" t="str">
        <f t="shared" si="39"/>
        <v/>
      </c>
      <c r="CH22" s="61">
        <v>0.0</v>
      </c>
      <c r="CI22" s="62" t="str">
        <f t="shared" si="40"/>
        <v/>
      </c>
      <c r="CJ22" s="61">
        <v>0.0</v>
      </c>
      <c r="CK22" s="62" t="str">
        <f t="shared" si="41"/>
        <v/>
      </c>
      <c r="CL22" s="61">
        <v>0.0</v>
      </c>
      <c r="CM22" s="64">
        <f t="shared" si="103"/>
        <v>0</v>
      </c>
      <c r="CN22" s="68"/>
      <c r="CO22" s="68"/>
      <c r="CP22" s="68"/>
      <c r="CQ22" s="68"/>
      <c r="CR22" s="68"/>
      <c r="CS22" s="68" t="str">
        <f t="shared" si="104"/>
        <v/>
      </c>
      <c r="CT22" s="74"/>
      <c r="CU22" s="68" t="str">
        <f t="shared" si="43"/>
        <v/>
      </c>
      <c r="CV22" s="72"/>
      <c r="CW22" s="71"/>
      <c r="CX22" s="61">
        <v>0.0</v>
      </c>
      <c r="CY22" s="62" t="str">
        <f t="shared" si="44"/>
        <v/>
      </c>
      <c r="CZ22" s="61">
        <v>0.0</v>
      </c>
      <c r="DA22" s="62" t="str">
        <f t="shared" si="45"/>
        <v/>
      </c>
      <c r="DB22" s="61">
        <v>0.0</v>
      </c>
      <c r="DC22" s="62" t="str">
        <f t="shared" si="46"/>
        <v/>
      </c>
      <c r="DD22" s="61">
        <v>0.0</v>
      </c>
      <c r="DE22" s="62" t="str">
        <f t="shared" si="47"/>
        <v/>
      </c>
      <c r="DF22" s="61">
        <v>0.0</v>
      </c>
      <c r="DG22" s="64">
        <f t="shared" si="105"/>
        <v>0</v>
      </c>
      <c r="DH22" s="68"/>
      <c r="DI22" s="68"/>
      <c r="DJ22" s="68"/>
      <c r="DK22" s="68"/>
      <c r="DL22" s="68"/>
      <c r="DM22" s="68" t="str">
        <f t="shared" si="106"/>
        <v/>
      </c>
      <c r="DN22" s="74"/>
      <c r="DO22" s="68" t="str">
        <f t="shared" si="49"/>
        <v/>
      </c>
      <c r="DP22" s="72"/>
      <c r="DQ22" s="71"/>
      <c r="DR22" s="61">
        <v>0.0</v>
      </c>
      <c r="DS22" s="62" t="str">
        <f t="shared" si="50"/>
        <v/>
      </c>
      <c r="DT22" s="61">
        <v>0.0</v>
      </c>
      <c r="DU22" s="62" t="str">
        <f t="shared" si="51"/>
        <v/>
      </c>
      <c r="DV22" s="61">
        <v>0.0</v>
      </c>
      <c r="DW22" s="62" t="str">
        <f t="shared" si="52"/>
        <v/>
      </c>
      <c r="DX22" s="61">
        <v>0.0</v>
      </c>
      <c r="DY22" s="62" t="str">
        <f t="shared" si="53"/>
        <v/>
      </c>
      <c r="DZ22" s="61">
        <v>0.0</v>
      </c>
      <c r="EA22" s="64">
        <f t="shared" si="107"/>
        <v>0</v>
      </c>
      <c r="EB22" s="68"/>
      <c r="EC22" s="68"/>
      <c r="ED22" s="68"/>
      <c r="EE22" s="68"/>
      <c r="EF22" s="68"/>
      <c r="EG22" s="68" t="str">
        <f t="shared" si="108"/>
        <v/>
      </c>
      <c r="EH22" s="74"/>
      <c r="EI22" s="68" t="str">
        <f t="shared" si="55"/>
        <v/>
      </c>
      <c r="EJ22" s="72"/>
    </row>
    <row r="23" ht="15.75" hidden="1" customHeight="1" outlineLevel="1">
      <c r="A23" s="60">
        <f>A25+1</f>
        <v>45519</v>
      </c>
      <c r="B23" s="61">
        <f t="shared" si="8"/>
        <v>0</v>
      </c>
      <c r="C23" s="62" t="str">
        <f t="shared" si="9"/>
        <v/>
      </c>
      <c r="D23" s="61">
        <f t="shared" si="10"/>
        <v>0</v>
      </c>
      <c r="E23" s="62" t="str">
        <f t="shared" si="11"/>
        <v/>
      </c>
      <c r="F23" s="61">
        <f t="shared" si="12"/>
        <v>0</v>
      </c>
      <c r="G23" s="62" t="str">
        <f t="shared" si="13"/>
        <v/>
      </c>
      <c r="H23" s="61">
        <f t="shared" si="14"/>
        <v>0</v>
      </c>
      <c r="I23" s="62" t="str">
        <f t="shared" si="15"/>
        <v/>
      </c>
      <c r="J23" s="63">
        <f t="shared" ref="J23:P23" si="113">SUM(AD23,AX23,BR23,CL23,DF23)</f>
        <v>0</v>
      </c>
      <c r="K23" s="64">
        <f t="shared" si="113"/>
        <v>0</v>
      </c>
      <c r="L23" s="65">
        <f t="shared" si="113"/>
        <v>0</v>
      </c>
      <c r="M23" s="65">
        <f t="shared" si="113"/>
        <v>0</v>
      </c>
      <c r="N23" s="65">
        <f t="shared" si="113"/>
        <v>0</v>
      </c>
      <c r="O23" s="65">
        <f t="shared" si="113"/>
        <v>0</v>
      </c>
      <c r="P23" s="65">
        <f t="shared" si="113"/>
        <v>0</v>
      </c>
      <c r="Q23" s="66" t="str">
        <f t="shared" si="17"/>
        <v/>
      </c>
      <c r="R23" s="67">
        <f t="shared" si="18"/>
        <v>0</v>
      </c>
      <c r="S23" s="68" t="str">
        <f t="shared" si="19"/>
        <v/>
      </c>
      <c r="T23" s="55"/>
      <c r="U23" s="69"/>
      <c r="V23" s="61">
        <v>0.0</v>
      </c>
      <c r="W23" s="62" t="str">
        <f t="shared" si="20"/>
        <v/>
      </c>
      <c r="X23" s="61">
        <v>0.0</v>
      </c>
      <c r="Y23" s="62" t="str">
        <f t="shared" si="21"/>
        <v/>
      </c>
      <c r="Z23" s="61">
        <v>0.0</v>
      </c>
      <c r="AA23" s="62" t="str">
        <f t="shared" si="22"/>
        <v/>
      </c>
      <c r="AB23" s="61">
        <v>0.0</v>
      </c>
      <c r="AC23" s="62" t="str">
        <f t="shared" si="23"/>
        <v/>
      </c>
      <c r="AD23" s="63">
        <v>0.0</v>
      </c>
      <c r="AE23" s="64">
        <f t="shared" si="97"/>
        <v>0</v>
      </c>
      <c r="AF23" s="68"/>
      <c r="AG23" s="68"/>
      <c r="AH23" s="68"/>
      <c r="AI23" s="68"/>
      <c r="AJ23" s="68"/>
      <c r="AK23" s="68" t="str">
        <f t="shared" si="98"/>
        <v/>
      </c>
      <c r="AL23" s="74"/>
      <c r="AM23" s="68" t="str">
        <f t="shared" si="25"/>
        <v/>
      </c>
      <c r="AN23" s="70"/>
      <c r="AO23" s="71"/>
      <c r="AP23" s="61">
        <v>0.0</v>
      </c>
      <c r="AQ23" s="62" t="str">
        <f t="shared" si="26"/>
        <v/>
      </c>
      <c r="AR23" s="61">
        <v>0.0</v>
      </c>
      <c r="AS23" s="62" t="str">
        <f t="shared" si="27"/>
        <v/>
      </c>
      <c r="AT23" s="61">
        <v>0.0</v>
      </c>
      <c r="AU23" s="62" t="str">
        <f t="shared" si="28"/>
        <v/>
      </c>
      <c r="AV23" s="61">
        <v>0.0</v>
      </c>
      <c r="AW23" s="62" t="str">
        <f t="shared" si="29"/>
        <v/>
      </c>
      <c r="AX23" s="61">
        <v>0.0</v>
      </c>
      <c r="AY23" s="64">
        <f t="shared" si="99"/>
        <v>0</v>
      </c>
      <c r="AZ23" s="68"/>
      <c r="BA23" s="68"/>
      <c r="BB23" s="68"/>
      <c r="BC23" s="68"/>
      <c r="BD23" s="68"/>
      <c r="BE23" s="68" t="str">
        <f t="shared" si="100"/>
        <v/>
      </c>
      <c r="BF23" s="74"/>
      <c r="BG23" s="68" t="str">
        <f t="shared" si="31"/>
        <v/>
      </c>
      <c r="BH23" s="70"/>
      <c r="BI23" s="71"/>
      <c r="BJ23" s="61">
        <v>0.0</v>
      </c>
      <c r="BK23" s="62" t="str">
        <f t="shared" si="32"/>
        <v/>
      </c>
      <c r="BL23" s="61">
        <v>0.0</v>
      </c>
      <c r="BM23" s="62" t="str">
        <f t="shared" si="33"/>
        <v/>
      </c>
      <c r="BN23" s="61">
        <v>0.0</v>
      </c>
      <c r="BO23" s="62" t="str">
        <f t="shared" si="34"/>
        <v/>
      </c>
      <c r="BP23" s="61">
        <v>0.0</v>
      </c>
      <c r="BQ23" s="62" t="str">
        <f t="shared" si="35"/>
        <v/>
      </c>
      <c r="BR23" s="61">
        <v>0.0</v>
      </c>
      <c r="BS23" s="64">
        <f t="shared" si="101"/>
        <v>0</v>
      </c>
      <c r="BT23" s="68"/>
      <c r="BU23" s="68"/>
      <c r="BV23" s="68"/>
      <c r="BW23" s="68"/>
      <c r="BX23" s="68"/>
      <c r="BY23" s="68" t="str">
        <f t="shared" si="102"/>
        <v/>
      </c>
      <c r="BZ23" s="74"/>
      <c r="CA23" s="68" t="str">
        <f t="shared" si="37"/>
        <v/>
      </c>
      <c r="CB23" s="70"/>
      <c r="CC23" s="71"/>
      <c r="CD23" s="61">
        <v>0.0</v>
      </c>
      <c r="CE23" s="62" t="str">
        <f t="shared" si="38"/>
        <v/>
      </c>
      <c r="CF23" s="61">
        <v>0.0</v>
      </c>
      <c r="CG23" s="62" t="str">
        <f t="shared" si="39"/>
        <v/>
      </c>
      <c r="CH23" s="61">
        <v>0.0</v>
      </c>
      <c r="CI23" s="62" t="str">
        <f t="shared" si="40"/>
        <v/>
      </c>
      <c r="CJ23" s="61">
        <v>0.0</v>
      </c>
      <c r="CK23" s="62" t="str">
        <f t="shared" si="41"/>
        <v/>
      </c>
      <c r="CL23" s="61">
        <v>0.0</v>
      </c>
      <c r="CM23" s="64">
        <f t="shared" si="103"/>
        <v>0</v>
      </c>
      <c r="CN23" s="68"/>
      <c r="CO23" s="68"/>
      <c r="CP23" s="68"/>
      <c r="CQ23" s="68"/>
      <c r="CR23" s="68"/>
      <c r="CS23" s="68" t="str">
        <f t="shared" si="104"/>
        <v/>
      </c>
      <c r="CT23" s="74"/>
      <c r="CU23" s="68" t="str">
        <f t="shared" si="43"/>
        <v/>
      </c>
      <c r="CV23" s="72"/>
      <c r="CW23" s="71"/>
      <c r="CX23" s="61">
        <v>0.0</v>
      </c>
      <c r="CY23" s="62" t="str">
        <f t="shared" si="44"/>
        <v/>
      </c>
      <c r="CZ23" s="61">
        <v>0.0</v>
      </c>
      <c r="DA23" s="62" t="str">
        <f t="shared" si="45"/>
        <v/>
      </c>
      <c r="DB23" s="61">
        <v>0.0</v>
      </c>
      <c r="DC23" s="62" t="str">
        <f t="shared" si="46"/>
        <v/>
      </c>
      <c r="DD23" s="61">
        <v>0.0</v>
      </c>
      <c r="DE23" s="62" t="str">
        <f t="shared" si="47"/>
        <v/>
      </c>
      <c r="DF23" s="61">
        <v>0.0</v>
      </c>
      <c r="DG23" s="64">
        <f t="shared" si="105"/>
        <v>0</v>
      </c>
      <c r="DH23" s="68"/>
      <c r="DI23" s="68"/>
      <c r="DJ23" s="68"/>
      <c r="DK23" s="68"/>
      <c r="DL23" s="68"/>
      <c r="DM23" s="68" t="str">
        <f t="shared" si="106"/>
        <v/>
      </c>
      <c r="DN23" s="74"/>
      <c r="DO23" s="68" t="str">
        <f t="shared" si="49"/>
        <v/>
      </c>
      <c r="DP23" s="72"/>
      <c r="DQ23" s="71"/>
      <c r="DR23" s="61">
        <v>0.0</v>
      </c>
      <c r="DS23" s="62" t="str">
        <f t="shared" si="50"/>
        <v/>
      </c>
      <c r="DT23" s="61">
        <v>0.0</v>
      </c>
      <c r="DU23" s="62" t="str">
        <f t="shared" si="51"/>
        <v/>
      </c>
      <c r="DV23" s="61">
        <v>0.0</v>
      </c>
      <c r="DW23" s="62" t="str">
        <f t="shared" si="52"/>
        <v/>
      </c>
      <c r="DX23" s="61">
        <v>0.0</v>
      </c>
      <c r="DY23" s="62" t="str">
        <f t="shared" si="53"/>
        <v/>
      </c>
      <c r="DZ23" s="61">
        <v>0.0</v>
      </c>
      <c r="EA23" s="64">
        <f t="shared" si="107"/>
        <v>0</v>
      </c>
      <c r="EB23" s="68"/>
      <c r="EC23" s="68"/>
      <c r="ED23" s="68"/>
      <c r="EE23" s="68"/>
      <c r="EF23" s="68"/>
      <c r="EG23" s="68" t="str">
        <f t="shared" si="108"/>
        <v/>
      </c>
      <c r="EH23" s="74"/>
      <c r="EI23" s="68" t="str">
        <f t="shared" si="55"/>
        <v/>
      </c>
      <c r="EJ23" s="72"/>
    </row>
    <row r="24" ht="15.75" customHeight="1" collapsed="1">
      <c r="A24" s="45" t="s">
        <v>42</v>
      </c>
      <c r="B24" s="46">
        <f t="shared" si="8"/>
        <v>0</v>
      </c>
      <c r="C24" s="47" t="str">
        <f t="shared" si="9"/>
        <v/>
      </c>
      <c r="D24" s="46">
        <f t="shared" si="10"/>
        <v>0</v>
      </c>
      <c r="E24" s="47" t="str">
        <f t="shared" si="11"/>
        <v/>
      </c>
      <c r="F24" s="46">
        <f t="shared" si="12"/>
        <v>0</v>
      </c>
      <c r="G24" s="47" t="str">
        <f t="shared" si="13"/>
        <v/>
      </c>
      <c r="H24" s="46">
        <f t="shared" si="14"/>
        <v>0</v>
      </c>
      <c r="I24" s="48" t="str">
        <f t="shared" si="15"/>
        <v/>
      </c>
      <c r="J24" s="49">
        <f t="shared" ref="J24:P24" si="114">SUM(AD24,AX24,BR24,CL24,DF24)</f>
        <v>0</v>
      </c>
      <c r="K24" s="50">
        <f t="shared" si="114"/>
        <v>0</v>
      </c>
      <c r="L24" s="51">
        <f t="shared" si="114"/>
        <v>0</v>
      </c>
      <c r="M24" s="51">
        <f t="shared" si="114"/>
        <v>0</v>
      </c>
      <c r="N24" s="51">
        <f t="shared" si="114"/>
        <v>0</v>
      </c>
      <c r="O24" s="51">
        <f t="shared" si="114"/>
        <v>0</v>
      </c>
      <c r="P24" s="51">
        <f t="shared" si="114"/>
        <v>0</v>
      </c>
      <c r="Q24" s="52" t="str">
        <f t="shared" si="17"/>
        <v/>
      </c>
      <c r="R24" s="53">
        <f t="shared" si="18"/>
        <v>0</v>
      </c>
      <c r="S24" s="54" t="str">
        <f t="shared" si="19"/>
        <v/>
      </c>
      <c r="T24" s="55"/>
      <c r="U24" s="56"/>
      <c r="V24" s="46">
        <v>0.0</v>
      </c>
      <c r="W24" s="47" t="str">
        <f t="shared" si="20"/>
        <v/>
      </c>
      <c r="X24" s="46">
        <v>0.0</v>
      </c>
      <c r="Y24" s="47" t="str">
        <f t="shared" si="21"/>
        <v/>
      </c>
      <c r="Z24" s="46">
        <v>0.0</v>
      </c>
      <c r="AA24" s="47" t="str">
        <f t="shared" si="22"/>
        <v/>
      </c>
      <c r="AB24" s="46">
        <v>0.0</v>
      </c>
      <c r="AC24" s="48" t="str">
        <f t="shared" si="23"/>
        <v/>
      </c>
      <c r="AD24" s="49">
        <v>0.0</v>
      </c>
      <c r="AE24" s="50">
        <f>SUM(AE25:AE30)</f>
        <v>0</v>
      </c>
      <c r="AF24" s="51">
        <f t="shared" ref="AF24:AJ24" si="115">SUM(AF25:AF31)</f>
        <v>0</v>
      </c>
      <c r="AG24" s="51">
        <f t="shared" si="115"/>
        <v>0</v>
      </c>
      <c r="AH24" s="51">
        <f t="shared" si="115"/>
        <v>0</v>
      </c>
      <c r="AI24" s="51">
        <f t="shared" si="115"/>
        <v>0</v>
      </c>
      <c r="AJ24" s="51">
        <f t="shared" si="115"/>
        <v>0</v>
      </c>
      <c r="AK24" s="52" t="str">
        <f t="shared" si="98"/>
        <v/>
      </c>
      <c r="AL24" s="53">
        <f>SUM(AL25:AL31)</f>
        <v>0</v>
      </c>
      <c r="AM24" s="54" t="str">
        <f t="shared" si="25"/>
        <v/>
      </c>
      <c r="AN24" s="57"/>
      <c r="AO24" s="58"/>
      <c r="AP24" s="46">
        <v>0.0</v>
      </c>
      <c r="AQ24" s="47" t="str">
        <f t="shared" si="26"/>
        <v/>
      </c>
      <c r="AR24" s="46">
        <v>0.0</v>
      </c>
      <c r="AS24" s="47" t="str">
        <f t="shared" si="27"/>
        <v/>
      </c>
      <c r="AT24" s="46">
        <v>0.0</v>
      </c>
      <c r="AU24" s="47" t="str">
        <f t="shared" si="28"/>
        <v/>
      </c>
      <c r="AV24" s="46">
        <v>0.0</v>
      </c>
      <c r="AW24" s="48" t="str">
        <f t="shared" si="29"/>
        <v/>
      </c>
      <c r="AX24" s="49">
        <v>0.0</v>
      </c>
      <c r="AY24" s="50">
        <f t="shared" ref="AY24:BD24" si="116">SUM(AY25:AY31)</f>
        <v>0</v>
      </c>
      <c r="AZ24" s="51">
        <f t="shared" si="116"/>
        <v>0</v>
      </c>
      <c r="BA24" s="51">
        <f t="shared" si="116"/>
        <v>0</v>
      </c>
      <c r="BB24" s="51">
        <f t="shared" si="116"/>
        <v>0</v>
      </c>
      <c r="BC24" s="51">
        <f t="shared" si="116"/>
        <v>0</v>
      </c>
      <c r="BD24" s="51">
        <f t="shared" si="116"/>
        <v>0</v>
      </c>
      <c r="BE24" s="52" t="str">
        <f t="shared" si="100"/>
        <v/>
      </c>
      <c r="BF24" s="53">
        <f>SUM(BF25:BF31)</f>
        <v>0</v>
      </c>
      <c r="BG24" s="54" t="str">
        <f t="shared" si="31"/>
        <v/>
      </c>
      <c r="BH24" s="57"/>
      <c r="BI24" s="58"/>
      <c r="BJ24" s="46">
        <v>0.0</v>
      </c>
      <c r="BK24" s="47" t="str">
        <f t="shared" si="32"/>
        <v/>
      </c>
      <c r="BL24" s="46">
        <v>0.0</v>
      </c>
      <c r="BM24" s="47" t="str">
        <f t="shared" si="33"/>
        <v/>
      </c>
      <c r="BN24" s="46">
        <v>0.0</v>
      </c>
      <c r="BO24" s="47" t="str">
        <f t="shared" si="34"/>
        <v/>
      </c>
      <c r="BP24" s="46">
        <v>0.0</v>
      </c>
      <c r="BQ24" s="48" t="str">
        <f t="shared" si="35"/>
        <v/>
      </c>
      <c r="BR24" s="46">
        <v>0.0</v>
      </c>
      <c r="BS24" s="50">
        <f t="shared" ref="BS24:BX24" si="117">SUM(BS25:BS31)</f>
        <v>0</v>
      </c>
      <c r="BT24" s="51">
        <f t="shared" si="117"/>
        <v>0</v>
      </c>
      <c r="BU24" s="51">
        <f t="shared" si="117"/>
        <v>0</v>
      </c>
      <c r="BV24" s="51">
        <f t="shared" si="117"/>
        <v>0</v>
      </c>
      <c r="BW24" s="51">
        <f t="shared" si="117"/>
        <v>0</v>
      </c>
      <c r="BX24" s="51">
        <f t="shared" si="117"/>
        <v>0</v>
      </c>
      <c r="BY24" s="52" t="str">
        <f t="shared" si="102"/>
        <v/>
      </c>
      <c r="BZ24" s="53">
        <f>SUM(BZ25:BZ31)</f>
        <v>0</v>
      </c>
      <c r="CA24" s="54" t="str">
        <f t="shared" si="37"/>
        <v/>
      </c>
      <c r="CB24" s="57"/>
      <c r="CC24" s="58"/>
      <c r="CD24" s="46">
        <v>0.0</v>
      </c>
      <c r="CE24" s="47" t="str">
        <f t="shared" si="38"/>
        <v/>
      </c>
      <c r="CF24" s="46">
        <v>0.0</v>
      </c>
      <c r="CG24" s="47" t="str">
        <f t="shared" si="39"/>
        <v/>
      </c>
      <c r="CH24" s="46">
        <v>0.0</v>
      </c>
      <c r="CI24" s="47" t="str">
        <f t="shared" si="40"/>
        <v/>
      </c>
      <c r="CJ24" s="46">
        <v>0.0</v>
      </c>
      <c r="CK24" s="48" t="str">
        <f t="shared" si="41"/>
        <v/>
      </c>
      <c r="CL24" s="46">
        <v>0.0</v>
      </c>
      <c r="CM24" s="50">
        <f t="shared" ref="CM24:CR24" si="118">SUM(CM25:CM31)</f>
        <v>0</v>
      </c>
      <c r="CN24" s="51">
        <f t="shared" si="118"/>
        <v>0</v>
      </c>
      <c r="CO24" s="51">
        <f t="shared" si="118"/>
        <v>0</v>
      </c>
      <c r="CP24" s="51">
        <f t="shared" si="118"/>
        <v>0</v>
      </c>
      <c r="CQ24" s="51">
        <f t="shared" si="118"/>
        <v>0</v>
      </c>
      <c r="CR24" s="51">
        <f t="shared" si="118"/>
        <v>0</v>
      </c>
      <c r="CS24" s="52" t="str">
        <f t="shared" si="104"/>
        <v/>
      </c>
      <c r="CT24" s="53">
        <f>SUM(CT25:CT31)</f>
        <v>0</v>
      </c>
      <c r="CU24" s="54" t="str">
        <f t="shared" si="43"/>
        <v/>
      </c>
      <c r="CV24" s="59"/>
      <c r="CW24" s="58"/>
      <c r="CX24" s="46">
        <v>0.0</v>
      </c>
      <c r="CY24" s="47" t="str">
        <f t="shared" si="44"/>
        <v/>
      </c>
      <c r="CZ24" s="46">
        <v>0.0</v>
      </c>
      <c r="DA24" s="47" t="str">
        <f t="shared" si="45"/>
        <v/>
      </c>
      <c r="DB24" s="46">
        <v>0.0</v>
      </c>
      <c r="DC24" s="47" t="str">
        <f t="shared" si="46"/>
        <v/>
      </c>
      <c r="DD24" s="46">
        <v>0.0</v>
      </c>
      <c r="DE24" s="48" t="str">
        <f t="shared" si="47"/>
        <v/>
      </c>
      <c r="DF24" s="46">
        <v>0.0</v>
      </c>
      <c r="DG24" s="50">
        <f t="shared" ref="DG24:DL24" si="119">SUM(DG25:DG31)</f>
        <v>0</v>
      </c>
      <c r="DH24" s="51">
        <f t="shared" si="119"/>
        <v>0</v>
      </c>
      <c r="DI24" s="51">
        <f t="shared" si="119"/>
        <v>0</v>
      </c>
      <c r="DJ24" s="51">
        <f t="shared" si="119"/>
        <v>0</v>
      </c>
      <c r="DK24" s="51">
        <f t="shared" si="119"/>
        <v>0</v>
      </c>
      <c r="DL24" s="51">
        <f t="shared" si="119"/>
        <v>0</v>
      </c>
      <c r="DM24" s="52" t="str">
        <f t="shared" si="106"/>
        <v/>
      </c>
      <c r="DN24" s="53">
        <f>SUM(DN25:DN31)</f>
        <v>0</v>
      </c>
      <c r="DO24" s="54" t="str">
        <f t="shared" si="49"/>
        <v/>
      </c>
      <c r="DP24" s="59"/>
      <c r="DQ24" s="58"/>
      <c r="DR24" s="46">
        <v>0.0</v>
      </c>
      <c r="DS24" s="47" t="str">
        <f t="shared" si="50"/>
        <v/>
      </c>
      <c r="DT24" s="46">
        <v>0.0</v>
      </c>
      <c r="DU24" s="47" t="str">
        <f t="shared" si="51"/>
        <v/>
      </c>
      <c r="DV24" s="46">
        <v>0.0</v>
      </c>
      <c r="DW24" s="47" t="str">
        <f t="shared" si="52"/>
        <v/>
      </c>
      <c r="DX24" s="46">
        <v>0.0</v>
      </c>
      <c r="DY24" s="48" t="str">
        <f t="shared" si="53"/>
        <v/>
      </c>
      <c r="DZ24" s="46">
        <v>0.0</v>
      </c>
      <c r="EA24" s="50">
        <f t="shared" ref="EA24:EF24" si="120">SUM(EA25:EA31)</f>
        <v>0</v>
      </c>
      <c r="EB24" s="51">
        <f t="shared" si="120"/>
        <v>0</v>
      </c>
      <c r="EC24" s="51">
        <f t="shared" si="120"/>
        <v>0</v>
      </c>
      <c r="ED24" s="51">
        <f t="shared" si="120"/>
        <v>0</v>
      </c>
      <c r="EE24" s="51">
        <f t="shared" si="120"/>
        <v>0</v>
      </c>
      <c r="EF24" s="51">
        <f t="shared" si="120"/>
        <v>0</v>
      </c>
      <c r="EG24" s="52" t="str">
        <f t="shared" si="108"/>
        <v/>
      </c>
      <c r="EH24" s="53">
        <f>SUM(EH25:EH31)</f>
        <v>0</v>
      </c>
      <c r="EI24" s="54" t="str">
        <f t="shared" si="55"/>
        <v/>
      </c>
      <c r="EJ24" s="59"/>
    </row>
    <row r="25" ht="15.75" hidden="1" customHeight="1" outlineLevel="1">
      <c r="A25" s="75">
        <f t="shared" ref="A25:A30" si="122">A26+1</f>
        <v>45518</v>
      </c>
      <c r="B25" s="61">
        <f t="shared" si="8"/>
        <v>0</v>
      </c>
      <c r="C25" s="62" t="str">
        <f t="shared" si="9"/>
        <v/>
      </c>
      <c r="D25" s="61">
        <f t="shared" si="10"/>
        <v>0</v>
      </c>
      <c r="E25" s="62" t="str">
        <f t="shared" si="11"/>
        <v/>
      </c>
      <c r="F25" s="61">
        <f t="shared" si="12"/>
        <v>0</v>
      </c>
      <c r="G25" s="62" t="str">
        <f t="shared" si="13"/>
        <v/>
      </c>
      <c r="H25" s="61">
        <f t="shared" si="14"/>
        <v>0</v>
      </c>
      <c r="I25" s="62" t="str">
        <f t="shared" si="15"/>
        <v/>
      </c>
      <c r="J25" s="63">
        <f t="shared" ref="J25:P25" si="121">SUM(AD25,AX25,BR25,CL25,DF25)</f>
        <v>0</v>
      </c>
      <c r="K25" s="64">
        <f t="shared" si="121"/>
        <v>0</v>
      </c>
      <c r="L25" s="65">
        <f t="shared" si="121"/>
        <v>0</v>
      </c>
      <c r="M25" s="65">
        <f t="shared" si="121"/>
        <v>0</v>
      </c>
      <c r="N25" s="65">
        <f t="shared" si="121"/>
        <v>0</v>
      </c>
      <c r="O25" s="65">
        <f t="shared" si="121"/>
        <v>0</v>
      </c>
      <c r="P25" s="65">
        <f t="shared" si="121"/>
        <v>0</v>
      </c>
      <c r="Q25" s="66" t="str">
        <f t="shared" si="17"/>
        <v/>
      </c>
      <c r="R25" s="67">
        <f t="shared" si="18"/>
        <v>0</v>
      </c>
      <c r="S25" s="68" t="str">
        <f t="shared" si="19"/>
        <v/>
      </c>
      <c r="T25" s="55"/>
      <c r="U25" s="76"/>
      <c r="V25" s="61" t="s">
        <v>40</v>
      </c>
      <c r="W25" s="62" t="str">
        <f t="shared" si="20"/>
        <v/>
      </c>
      <c r="X25" s="61" t="s">
        <v>40</v>
      </c>
      <c r="Y25" s="62" t="str">
        <f t="shared" si="21"/>
        <v/>
      </c>
      <c r="Z25" s="61" t="s">
        <v>40</v>
      </c>
      <c r="AA25" s="62" t="str">
        <f t="shared" si="22"/>
        <v/>
      </c>
      <c r="AB25" s="61" t="s">
        <v>40</v>
      </c>
      <c r="AC25" s="62" t="str">
        <f t="shared" si="23"/>
        <v/>
      </c>
      <c r="AD25" s="61" t="s">
        <v>40</v>
      </c>
      <c r="AE25" s="64">
        <f t="shared" ref="AE25:AE30" si="124">SUM(AF25:AJ25)</f>
        <v>0</v>
      </c>
      <c r="AF25" s="68"/>
      <c r="AG25" s="68"/>
      <c r="AH25" s="68"/>
      <c r="AI25" s="68"/>
      <c r="AJ25" s="68"/>
      <c r="AK25" s="68" t="str">
        <f t="shared" si="98"/>
        <v/>
      </c>
      <c r="AL25" s="74"/>
      <c r="AM25" s="68" t="str">
        <f t="shared" si="25"/>
        <v/>
      </c>
      <c r="AO25" s="77"/>
      <c r="AP25" s="61">
        <v>0.0</v>
      </c>
      <c r="AQ25" s="62" t="str">
        <f t="shared" si="26"/>
        <v/>
      </c>
      <c r="AR25" s="61">
        <v>0.0</v>
      </c>
      <c r="AS25" s="62" t="str">
        <f t="shared" si="27"/>
        <v/>
      </c>
      <c r="AT25" s="61">
        <v>0.0</v>
      </c>
      <c r="AU25" s="62" t="str">
        <f t="shared" si="28"/>
        <v/>
      </c>
      <c r="AV25" s="61">
        <v>0.0</v>
      </c>
      <c r="AW25" s="62" t="str">
        <f t="shared" si="29"/>
        <v/>
      </c>
      <c r="AX25" s="61">
        <v>0.0</v>
      </c>
      <c r="AY25" s="64">
        <f t="shared" ref="AY25:AY30" si="125">SUM(AZ25:BD25)</f>
        <v>0</v>
      </c>
      <c r="AZ25" s="68"/>
      <c r="BA25" s="68"/>
      <c r="BB25" s="68"/>
      <c r="BC25" s="68"/>
      <c r="BD25" s="68"/>
      <c r="BE25" s="68" t="str">
        <f t="shared" si="100"/>
        <v/>
      </c>
      <c r="BF25" s="74"/>
      <c r="BG25" s="68" t="str">
        <f t="shared" si="31"/>
        <v/>
      </c>
      <c r="BI25" s="77"/>
      <c r="BJ25" s="61">
        <v>0.0</v>
      </c>
      <c r="BK25" s="62" t="str">
        <f t="shared" si="32"/>
        <v/>
      </c>
      <c r="BL25" s="61">
        <v>0.0</v>
      </c>
      <c r="BM25" s="62" t="str">
        <f t="shared" si="33"/>
        <v/>
      </c>
      <c r="BN25" s="61">
        <v>0.0</v>
      </c>
      <c r="BO25" s="62" t="str">
        <f t="shared" si="34"/>
        <v/>
      </c>
      <c r="BP25" s="61">
        <v>0.0</v>
      </c>
      <c r="BQ25" s="62" t="str">
        <f t="shared" si="35"/>
        <v/>
      </c>
      <c r="BR25" s="61">
        <v>0.0</v>
      </c>
      <c r="BS25" s="64">
        <f t="shared" ref="BS25:BS31" si="126">SUM(BT25:BX25)</f>
        <v>0</v>
      </c>
      <c r="BT25" s="68"/>
      <c r="BU25" s="68"/>
      <c r="BV25" s="68"/>
      <c r="BW25" s="68"/>
      <c r="BX25" s="68"/>
      <c r="BY25" s="68" t="str">
        <f t="shared" si="102"/>
        <v/>
      </c>
      <c r="BZ25" s="74"/>
      <c r="CA25" s="68" t="str">
        <f t="shared" si="37"/>
        <v/>
      </c>
      <c r="CC25" s="77"/>
      <c r="CD25" s="61">
        <v>0.0</v>
      </c>
      <c r="CE25" s="62" t="str">
        <f t="shared" si="38"/>
        <v/>
      </c>
      <c r="CF25" s="61">
        <v>0.0</v>
      </c>
      <c r="CG25" s="62" t="str">
        <f t="shared" si="39"/>
        <v/>
      </c>
      <c r="CH25" s="61">
        <v>0.0</v>
      </c>
      <c r="CI25" s="62" t="str">
        <f t="shared" si="40"/>
        <v/>
      </c>
      <c r="CJ25" s="61">
        <v>0.0</v>
      </c>
      <c r="CK25" s="62" t="str">
        <f t="shared" si="41"/>
        <v/>
      </c>
      <c r="CL25" s="61">
        <v>0.0</v>
      </c>
      <c r="CM25" s="64">
        <f t="shared" ref="CM25:CM31" si="127">SUM(CN25:CR25)</f>
        <v>0</v>
      </c>
      <c r="CN25" s="68"/>
      <c r="CO25" s="68"/>
      <c r="CP25" s="68"/>
      <c r="CQ25" s="68"/>
      <c r="CR25" s="68"/>
      <c r="CS25" s="68" t="str">
        <f t="shared" si="104"/>
        <v/>
      </c>
      <c r="CT25" s="74"/>
      <c r="CU25" s="68" t="str">
        <f t="shared" si="43"/>
        <v/>
      </c>
      <c r="CV25" s="78"/>
      <c r="CW25" s="77"/>
      <c r="CX25" s="61">
        <v>0.0</v>
      </c>
      <c r="CY25" s="62" t="str">
        <f t="shared" si="44"/>
        <v/>
      </c>
      <c r="CZ25" s="61">
        <v>0.0</v>
      </c>
      <c r="DA25" s="62" t="str">
        <f t="shared" si="45"/>
        <v/>
      </c>
      <c r="DB25" s="61">
        <v>0.0</v>
      </c>
      <c r="DC25" s="62" t="str">
        <f t="shared" si="46"/>
        <v/>
      </c>
      <c r="DD25" s="61">
        <v>0.0</v>
      </c>
      <c r="DE25" s="62" t="str">
        <f t="shared" si="47"/>
        <v/>
      </c>
      <c r="DF25" s="61">
        <v>0.0</v>
      </c>
      <c r="DG25" s="64">
        <f t="shared" ref="DG25:DG31" si="128">SUM(DH25:DL25)</f>
        <v>0</v>
      </c>
      <c r="DH25" s="68"/>
      <c r="DI25" s="68"/>
      <c r="DJ25" s="68"/>
      <c r="DK25" s="68"/>
      <c r="DL25" s="68"/>
      <c r="DM25" s="68" t="str">
        <f t="shared" si="106"/>
        <v/>
      </c>
      <c r="DN25" s="74"/>
      <c r="DO25" s="68" t="str">
        <f t="shared" si="49"/>
        <v/>
      </c>
      <c r="DP25" s="78"/>
      <c r="DQ25" s="77"/>
      <c r="DR25" s="61">
        <v>0.0</v>
      </c>
      <c r="DS25" s="62" t="str">
        <f t="shared" si="50"/>
        <v/>
      </c>
      <c r="DT25" s="61">
        <v>0.0</v>
      </c>
      <c r="DU25" s="62" t="str">
        <f t="shared" si="51"/>
        <v/>
      </c>
      <c r="DV25" s="61">
        <v>0.0</v>
      </c>
      <c r="DW25" s="62" t="str">
        <f t="shared" si="52"/>
        <v/>
      </c>
      <c r="DX25" s="61">
        <v>0.0</v>
      </c>
      <c r="DY25" s="62" t="str">
        <f t="shared" si="53"/>
        <v/>
      </c>
      <c r="DZ25" s="61">
        <v>0.0</v>
      </c>
      <c r="EA25" s="64">
        <f t="shared" ref="EA25:EA31" si="129">SUM(EB25:EF25)</f>
        <v>0</v>
      </c>
      <c r="EB25" s="68"/>
      <c r="EC25" s="68"/>
      <c r="ED25" s="68"/>
      <c r="EE25" s="68"/>
      <c r="EF25" s="68"/>
      <c r="EG25" s="68" t="str">
        <f t="shared" si="108"/>
        <v/>
      </c>
      <c r="EH25" s="74"/>
      <c r="EI25" s="68" t="str">
        <f t="shared" si="55"/>
        <v/>
      </c>
      <c r="EJ25" s="78"/>
    </row>
    <row r="26" ht="15.75" hidden="1" customHeight="1" outlineLevel="1">
      <c r="A26" s="75">
        <f t="shared" si="122"/>
        <v>45517</v>
      </c>
      <c r="B26" s="61">
        <f t="shared" si="8"/>
        <v>0</v>
      </c>
      <c r="C26" s="62" t="str">
        <f t="shared" si="9"/>
        <v/>
      </c>
      <c r="D26" s="61">
        <f t="shared" si="10"/>
        <v>0</v>
      </c>
      <c r="E26" s="62" t="str">
        <f t="shared" si="11"/>
        <v/>
      </c>
      <c r="F26" s="61">
        <f t="shared" si="12"/>
        <v>0</v>
      </c>
      <c r="G26" s="62" t="str">
        <f t="shared" si="13"/>
        <v/>
      </c>
      <c r="H26" s="61">
        <f t="shared" si="14"/>
        <v>0</v>
      </c>
      <c r="I26" s="62" t="str">
        <f t="shared" si="15"/>
        <v/>
      </c>
      <c r="J26" s="63">
        <f t="shared" ref="J26:P26" si="123">SUM(AD26,AX26,BR26,CL26,DF26)</f>
        <v>0</v>
      </c>
      <c r="K26" s="64">
        <f t="shared" si="123"/>
        <v>0</v>
      </c>
      <c r="L26" s="65">
        <f t="shared" si="123"/>
        <v>0</v>
      </c>
      <c r="M26" s="65">
        <f t="shared" si="123"/>
        <v>0</v>
      </c>
      <c r="N26" s="65">
        <f t="shared" si="123"/>
        <v>0</v>
      </c>
      <c r="O26" s="65">
        <f t="shared" si="123"/>
        <v>0</v>
      </c>
      <c r="P26" s="65">
        <f t="shared" si="123"/>
        <v>0</v>
      </c>
      <c r="Q26" s="66" t="str">
        <f t="shared" si="17"/>
        <v/>
      </c>
      <c r="R26" s="67">
        <f t="shared" si="18"/>
        <v>0</v>
      </c>
      <c r="S26" s="68" t="str">
        <f t="shared" si="19"/>
        <v/>
      </c>
      <c r="T26" s="55"/>
      <c r="U26" s="76"/>
      <c r="V26" s="61" t="s">
        <v>40</v>
      </c>
      <c r="W26" s="62" t="str">
        <f t="shared" si="20"/>
        <v/>
      </c>
      <c r="X26" s="61" t="s">
        <v>40</v>
      </c>
      <c r="Y26" s="62" t="str">
        <f t="shared" si="21"/>
        <v/>
      </c>
      <c r="Z26" s="61" t="s">
        <v>40</v>
      </c>
      <c r="AA26" s="62" t="str">
        <f t="shared" si="22"/>
        <v/>
      </c>
      <c r="AB26" s="61" t="s">
        <v>40</v>
      </c>
      <c r="AC26" s="62" t="str">
        <f t="shared" si="23"/>
        <v/>
      </c>
      <c r="AD26" s="61" t="s">
        <v>40</v>
      </c>
      <c r="AE26" s="64">
        <f t="shared" si="124"/>
        <v>0</v>
      </c>
      <c r="AF26" s="68"/>
      <c r="AG26" s="68"/>
      <c r="AH26" s="68"/>
      <c r="AI26" s="68"/>
      <c r="AJ26" s="68"/>
      <c r="AK26" s="68" t="str">
        <f t="shared" si="98"/>
        <v/>
      </c>
      <c r="AL26" s="74"/>
      <c r="AM26" s="68" t="str">
        <f t="shared" si="25"/>
        <v/>
      </c>
      <c r="AO26" s="77"/>
      <c r="AP26" s="61">
        <v>0.0</v>
      </c>
      <c r="AQ26" s="62" t="str">
        <f t="shared" si="26"/>
        <v/>
      </c>
      <c r="AR26" s="61">
        <v>0.0</v>
      </c>
      <c r="AS26" s="62" t="str">
        <f t="shared" si="27"/>
        <v/>
      </c>
      <c r="AT26" s="61">
        <v>0.0</v>
      </c>
      <c r="AU26" s="62" t="str">
        <f t="shared" si="28"/>
        <v/>
      </c>
      <c r="AV26" s="61">
        <v>0.0</v>
      </c>
      <c r="AW26" s="62" t="str">
        <f t="shared" si="29"/>
        <v/>
      </c>
      <c r="AX26" s="61">
        <v>0.0</v>
      </c>
      <c r="AY26" s="64">
        <f t="shared" si="125"/>
        <v>0</v>
      </c>
      <c r="AZ26" s="68"/>
      <c r="BA26" s="68"/>
      <c r="BB26" s="68"/>
      <c r="BC26" s="68"/>
      <c r="BD26" s="68"/>
      <c r="BE26" s="68" t="str">
        <f t="shared" si="100"/>
        <v/>
      </c>
      <c r="BF26" s="74"/>
      <c r="BG26" s="68" t="str">
        <f t="shared" si="31"/>
        <v/>
      </c>
      <c r="BI26" s="77"/>
      <c r="BJ26" s="61">
        <v>0.0</v>
      </c>
      <c r="BK26" s="62" t="str">
        <f t="shared" si="32"/>
        <v/>
      </c>
      <c r="BL26" s="61">
        <v>0.0</v>
      </c>
      <c r="BM26" s="62" t="str">
        <f t="shared" si="33"/>
        <v/>
      </c>
      <c r="BN26" s="61">
        <v>0.0</v>
      </c>
      <c r="BO26" s="62" t="str">
        <f t="shared" si="34"/>
        <v/>
      </c>
      <c r="BP26" s="61">
        <v>0.0</v>
      </c>
      <c r="BQ26" s="62" t="str">
        <f t="shared" si="35"/>
        <v/>
      </c>
      <c r="BR26" s="61">
        <v>0.0</v>
      </c>
      <c r="BS26" s="64">
        <f t="shared" si="126"/>
        <v>0</v>
      </c>
      <c r="BT26" s="68"/>
      <c r="BU26" s="68"/>
      <c r="BV26" s="68"/>
      <c r="BW26" s="68"/>
      <c r="BX26" s="68"/>
      <c r="BY26" s="68" t="str">
        <f t="shared" si="102"/>
        <v/>
      </c>
      <c r="BZ26" s="74"/>
      <c r="CA26" s="68" t="str">
        <f t="shared" si="37"/>
        <v/>
      </c>
      <c r="CC26" s="77"/>
      <c r="CD26" s="61">
        <v>0.0</v>
      </c>
      <c r="CE26" s="62" t="str">
        <f t="shared" si="38"/>
        <v/>
      </c>
      <c r="CF26" s="61">
        <v>0.0</v>
      </c>
      <c r="CG26" s="62" t="str">
        <f t="shared" si="39"/>
        <v/>
      </c>
      <c r="CH26" s="61">
        <v>0.0</v>
      </c>
      <c r="CI26" s="62" t="str">
        <f t="shared" si="40"/>
        <v/>
      </c>
      <c r="CJ26" s="61">
        <v>0.0</v>
      </c>
      <c r="CK26" s="62" t="str">
        <f t="shared" si="41"/>
        <v/>
      </c>
      <c r="CL26" s="61">
        <v>0.0</v>
      </c>
      <c r="CM26" s="64">
        <f t="shared" si="127"/>
        <v>0</v>
      </c>
      <c r="CN26" s="68"/>
      <c r="CO26" s="68"/>
      <c r="CP26" s="68"/>
      <c r="CQ26" s="68"/>
      <c r="CR26" s="68"/>
      <c r="CS26" s="68" t="str">
        <f t="shared" si="104"/>
        <v/>
      </c>
      <c r="CT26" s="74"/>
      <c r="CU26" s="68" t="str">
        <f t="shared" si="43"/>
        <v/>
      </c>
      <c r="CV26" s="78"/>
      <c r="CW26" s="77"/>
      <c r="CX26" s="61">
        <v>0.0</v>
      </c>
      <c r="CY26" s="62" t="str">
        <f t="shared" si="44"/>
        <v/>
      </c>
      <c r="CZ26" s="61">
        <v>0.0</v>
      </c>
      <c r="DA26" s="62" t="str">
        <f t="shared" si="45"/>
        <v/>
      </c>
      <c r="DB26" s="61">
        <v>0.0</v>
      </c>
      <c r="DC26" s="62" t="str">
        <f t="shared" si="46"/>
        <v/>
      </c>
      <c r="DD26" s="61">
        <v>0.0</v>
      </c>
      <c r="DE26" s="62" t="str">
        <f t="shared" si="47"/>
        <v/>
      </c>
      <c r="DF26" s="61">
        <v>0.0</v>
      </c>
      <c r="DG26" s="64">
        <f t="shared" si="128"/>
        <v>0</v>
      </c>
      <c r="DH26" s="68"/>
      <c r="DI26" s="68"/>
      <c r="DJ26" s="68"/>
      <c r="DK26" s="68"/>
      <c r="DL26" s="68"/>
      <c r="DM26" s="68" t="str">
        <f t="shared" si="106"/>
        <v/>
      </c>
      <c r="DN26" s="74"/>
      <c r="DO26" s="68" t="str">
        <f t="shared" si="49"/>
        <v/>
      </c>
      <c r="DP26" s="78"/>
      <c r="DQ26" s="77"/>
      <c r="DR26" s="61">
        <v>0.0</v>
      </c>
      <c r="DS26" s="62" t="str">
        <f t="shared" si="50"/>
        <v/>
      </c>
      <c r="DT26" s="61">
        <v>0.0</v>
      </c>
      <c r="DU26" s="62" t="str">
        <f t="shared" si="51"/>
        <v/>
      </c>
      <c r="DV26" s="61">
        <v>0.0</v>
      </c>
      <c r="DW26" s="62" t="str">
        <f t="shared" si="52"/>
        <v/>
      </c>
      <c r="DX26" s="61">
        <v>0.0</v>
      </c>
      <c r="DY26" s="62" t="str">
        <f t="shared" si="53"/>
        <v/>
      </c>
      <c r="DZ26" s="61">
        <v>0.0</v>
      </c>
      <c r="EA26" s="64">
        <f t="shared" si="129"/>
        <v>0</v>
      </c>
      <c r="EB26" s="68"/>
      <c r="EC26" s="68"/>
      <c r="ED26" s="68"/>
      <c r="EE26" s="68"/>
      <c r="EF26" s="68"/>
      <c r="EG26" s="68" t="str">
        <f t="shared" si="108"/>
        <v/>
      </c>
      <c r="EH26" s="74"/>
      <c r="EI26" s="68" t="str">
        <f t="shared" si="55"/>
        <v/>
      </c>
      <c r="EJ26" s="78"/>
    </row>
    <row r="27" ht="15.75" hidden="1" customHeight="1" outlineLevel="1">
      <c r="A27" s="75">
        <f t="shared" si="122"/>
        <v>45516</v>
      </c>
      <c r="B27" s="61">
        <f t="shared" si="8"/>
        <v>0</v>
      </c>
      <c r="C27" s="62" t="str">
        <f t="shared" si="9"/>
        <v/>
      </c>
      <c r="D27" s="61">
        <f t="shared" si="10"/>
        <v>0</v>
      </c>
      <c r="E27" s="62" t="str">
        <f t="shared" si="11"/>
        <v/>
      </c>
      <c r="F27" s="61">
        <f t="shared" si="12"/>
        <v>0</v>
      </c>
      <c r="G27" s="62" t="str">
        <f t="shared" si="13"/>
        <v/>
      </c>
      <c r="H27" s="61">
        <f t="shared" si="14"/>
        <v>0</v>
      </c>
      <c r="I27" s="62" t="str">
        <f t="shared" si="15"/>
        <v/>
      </c>
      <c r="J27" s="63">
        <f t="shared" ref="J27:P27" si="130">SUM(AD27,AX27,BR27,CL27,DF27)</f>
        <v>0</v>
      </c>
      <c r="K27" s="64">
        <f t="shared" si="130"/>
        <v>0</v>
      </c>
      <c r="L27" s="65">
        <f t="shared" si="130"/>
        <v>0</v>
      </c>
      <c r="M27" s="65">
        <f t="shared" si="130"/>
        <v>0</v>
      </c>
      <c r="N27" s="65">
        <f t="shared" si="130"/>
        <v>0</v>
      </c>
      <c r="O27" s="65">
        <f t="shared" si="130"/>
        <v>0</v>
      </c>
      <c r="P27" s="65">
        <f t="shared" si="130"/>
        <v>0</v>
      </c>
      <c r="Q27" s="66" t="str">
        <f t="shared" si="17"/>
        <v/>
      </c>
      <c r="R27" s="67">
        <f t="shared" si="18"/>
        <v>0</v>
      </c>
      <c r="S27" s="68" t="str">
        <f t="shared" si="19"/>
        <v/>
      </c>
      <c r="T27" s="55"/>
      <c r="U27" s="76"/>
      <c r="V27" s="61">
        <v>0.0</v>
      </c>
      <c r="W27" s="62" t="str">
        <f t="shared" si="20"/>
        <v/>
      </c>
      <c r="X27" s="61">
        <v>0.0</v>
      </c>
      <c r="Y27" s="62" t="str">
        <f t="shared" si="21"/>
        <v/>
      </c>
      <c r="Z27" s="61">
        <v>0.0</v>
      </c>
      <c r="AA27" s="62" t="str">
        <f t="shared" si="22"/>
        <v/>
      </c>
      <c r="AB27" s="61">
        <v>0.0</v>
      </c>
      <c r="AC27" s="62" t="str">
        <f t="shared" si="23"/>
        <v/>
      </c>
      <c r="AD27" s="63">
        <v>0.0</v>
      </c>
      <c r="AE27" s="64">
        <f t="shared" si="124"/>
        <v>0</v>
      </c>
      <c r="AF27" s="68"/>
      <c r="AG27" s="68"/>
      <c r="AH27" s="68"/>
      <c r="AI27" s="68"/>
      <c r="AJ27" s="68"/>
      <c r="AK27" s="68" t="str">
        <f t="shared" si="98"/>
        <v/>
      </c>
      <c r="AL27" s="74"/>
      <c r="AM27" s="68" t="str">
        <f t="shared" si="25"/>
        <v/>
      </c>
      <c r="AO27" s="77"/>
      <c r="AP27" s="61">
        <v>0.0</v>
      </c>
      <c r="AQ27" s="62" t="str">
        <f t="shared" si="26"/>
        <v/>
      </c>
      <c r="AR27" s="61">
        <v>0.0</v>
      </c>
      <c r="AS27" s="62" t="str">
        <f t="shared" si="27"/>
        <v/>
      </c>
      <c r="AT27" s="61">
        <v>0.0</v>
      </c>
      <c r="AU27" s="62" t="str">
        <f t="shared" si="28"/>
        <v/>
      </c>
      <c r="AV27" s="61">
        <v>0.0</v>
      </c>
      <c r="AW27" s="62" t="str">
        <f t="shared" si="29"/>
        <v/>
      </c>
      <c r="AX27" s="61">
        <v>0.0</v>
      </c>
      <c r="AY27" s="64">
        <f t="shared" si="125"/>
        <v>0</v>
      </c>
      <c r="AZ27" s="68"/>
      <c r="BA27" s="68"/>
      <c r="BB27" s="68"/>
      <c r="BC27" s="68"/>
      <c r="BD27" s="68"/>
      <c r="BE27" s="68" t="str">
        <f t="shared" si="100"/>
        <v/>
      </c>
      <c r="BF27" s="74"/>
      <c r="BG27" s="68" t="str">
        <f t="shared" si="31"/>
        <v/>
      </c>
      <c r="BI27" s="77"/>
      <c r="BJ27" s="61">
        <v>0.0</v>
      </c>
      <c r="BK27" s="62" t="str">
        <f t="shared" si="32"/>
        <v/>
      </c>
      <c r="BL27" s="61">
        <v>0.0</v>
      </c>
      <c r="BM27" s="62" t="str">
        <f t="shared" si="33"/>
        <v/>
      </c>
      <c r="BN27" s="61">
        <v>0.0</v>
      </c>
      <c r="BO27" s="62" t="str">
        <f t="shared" si="34"/>
        <v/>
      </c>
      <c r="BP27" s="61">
        <v>0.0</v>
      </c>
      <c r="BQ27" s="62" t="str">
        <f t="shared" si="35"/>
        <v/>
      </c>
      <c r="BR27" s="61">
        <v>0.0</v>
      </c>
      <c r="BS27" s="64">
        <f t="shared" si="126"/>
        <v>0</v>
      </c>
      <c r="BT27" s="68"/>
      <c r="BU27" s="68"/>
      <c r="BV27" s="68"/>
      <c r="BW27" s="68"/>
      <c r="BX27" s="68"/>
      <c r="BY27" s="68" t="str">
        <f t="shared" si="102"/>
        <v/>
      </c>
      <c r="BZ27" s="74"/>
      <c r="CA27" s="68" t="str">
        <f t="shared" si="37"/>
        <v/>
      </c>
      <c r="CC27" s="77"/>
      <c r="CD27" s="61">
        <v>0.0</v>
      </c>
      <c r="CE27" s="62" t="str">
        <f t="shared" si="38"/>
        <v/>
      </c>
      <c r="CF27" s="61">
        <v>0.0</v>
      </c>
      <c r="CG27" s="62" t="str">
        <f t="shared" si="39"/>
        <v/>
      </c>
      <c r="CH27" s="61">
        <v>0.0</v>
      </c>
      <c r="CI27" s="62" t="str">
        <f t="shared" si="40"/>
        <v/>
      </c>
      <c r="CJ27" s="61">
        <v>0.0</v>
      </c>
      <c r="CK27" s="62" t="str">
        <f t="shared" si="41"/>
        <v/>
      </c>
      <c r="CL27" s="61">
        <v>0.0</v>
      </c>
      <c r="CM27" s="64">
        <f t="shared" si="127"/>
        <v>0</v>
      </c>
      <c r="CN27" s="68"/>
      <c r="CO27" s="68"/>
      <c r="CP27" s="68"/>
      <c r="CQ27" s="68"/>
      <c r="CR27" s="68"/>
      <c r="CS27" s="68" t="str">
        <f t="shared" si="104"/>
        <v/>
      </c>
      <c r="CT27" s="74"/>
      <c r="CU27" s="68" t="str">
        <f t="shared" si="43"/>
        <v/>
      </c>
      <c r="CV27" s="78"/>
      <c r="CW27" s="77"/>
      <c r="CX27" s="61">
        <v>0.0</v>
      </c>
      <c r="CY27" s="62" t="str">
        <f t="shared" si="44"/>
        <v/>
      </c>
      <c r="CZ27" s="61">
        <v>0.0</v>
      </c>
      <c r="DA27" s="62" t="str">
        <f t="shared" si="45"/>
        <v/>
      </c>
      <c r="DB27" s="61">
        <v>0.0</v>
      </c>
      <c r="DC27" s="62" t="str">
        <f t="shared" si="46"/>
        <v/>
      </c>
      <c r="DD27" s="61">
        <v>0.0</v>
      </c>
      <c r="DE27" s="62" t="str">
        <f t="shared" si="47"/>
        <v/>
      </c>
      <c r="DF27" s="61">
        <v>0.0</v>
      </c>
      <c r="DG27" s="64">
        <f t="shared" si="128"/>
        <v>0</v>
      </c>
      <c r="DH27" s="68"/>
      <c r="DI27" s="68"/>
      <c r="DJ27" s="68"/>
      <c r="DK27" s="68"/>
      <c r="DL27" s="68"/>
      <c r="DM27" s="68" t="str">
        <f t="shared" si="106"/>
        <v/>
      </c>
      <c r="DN27" s="74"/>
      <c r="DO27" s="68" t="str">
        <f t="shared" si="49"/>
        <v/>
      </c>
      <c r="DP27" s="78"/>
      <c r="DQ27" s="77"/>
      <c r="DR27" s="61">
        <v>0.0</v>
      </c>
      <c r="DS27" s="62" t="str">
        <f t="shared" si="50"/>
        <v/>
      </c>
      <c r="DT27" s="61">
        <v>0.0</v>
      </c>
      <c r="DU27" s="62" t="str">
        <f t="shared" si="51"/>
        <v/>
      </c>
      <c r="DV27" s="61">
        <v>0.0</v>
      </c>
      <c r="DW27" s="62" t="str">
        <f t="shared" si="52"/>
        <v/>
      </c>
      <c r="DX27" s="61">
        <v>0.0</v>
      </c>
      <c r="DY27" s="62" t="str">
        <f t="shared" si="53"/>
        <v/>
      </c>
      <c r="DZ27" s="61">
        <v>0.0</v>
      </c>
      <c r="EA27" s="64">
        <f t="shared" si="129"/>
        <v>0</v>
      </c>
      <c r="EB27" s="68"/>
      <c r="EC27" s="68"/>
      <c r="ED27" s="68"/>
      <c r="EE27" s="68"/>
      <c r="EF27" s="68"/>
      <c r="EG27" s="68" t="str">
        <f t="shared" si="108"/>
        <v/>
      </c>
      <c r="EH27" s="74"/>
      <c r="EI27" s="68" t="str">
        <f t="shared" si="55"/>
        <v/>
      </c>
      <c r="EJ27" s="78"/>
    </row>
    <row r="28" ht="15.75" hidden="1" customHeight="1" outlineLevel="1">
      <c r="A28" s="75">
        <f t="shared" si="122"/>
        <v>45515</v>
      </c>
      <c r="B28" s="61">
        <f t="shared" si="8"/>
        <v>0</v>
      </c>
      <c r="C28" s="62" t="str">
        <f t="shared" si="9"/>
        <v/>
      </c>
      <c r="D28" s="61">
        <f t="shared" si="10"/>
        <v>0</v>
      </c>
      <c r="E28" s="62" t="str">
        <f t="shared" si="11"/>
        <v/>
      </c>
      <c r="F28" s="61">
        <f t="shared" si="12"/>
        <v>0</v>
      </c>
      <c r="G28" s="62" t="str">
        <f t="shared" si="13"/>
        <v/>
      </c>
      <c r="H28" s="61">
        <f t="shared" si="14"/>
        <v>0</v>
      </c>
      <c r="I28" s="62" t="str">
        <f t="shared" si="15"/>
        <v/>
      </c>
      <c r="J28" s="63">
        <f t="shared" ref="J28:P28" si="131">SUM(AD28,AX28,BR28,CL28,DF28)</f>
        <v>0</v>
      </c>
      <c r="K28" s="64">
        <f t="shared" si="131"/>
        <v>0</v>
      </c>
      <c r="L28" s="65">
        <f t="shared" si="131"/>
        <v>0</v>
      </c>
      <c r="M28" s="65">
        <f t="shared" si="131"/>
        <v>0</v>
      </c>
      <c r="N28" s="65">
        <f t="shared" si="131"/>
        <v>0</v>
      </c>
      <c r="O28" s="65">
        <f t="shared" si="131"/>
        <v>0</v>
      </c>
      <c r="P28" s="65">
        <f t="shared" si="131"/>
        <v>0</v>
      </c>
      <c r="Q28" s="66" t="str">
        <f t="shared" si="17"/>
        <v/>
      </c>
      <c r="R28" s="67">
        <f t="shared" si="18"/>
        <v>0</v>
      </c>
      <c r="S28" s="68" t="str">
        <f t="shared" si="19"/>
        <v/>
      </c>
      <c r="T28" s="55"/>
      <c r="U28" s="76"/>
      <c r="V28" s="61">
        <v>0.0</v>
      </c>
      <c r="W28" s="62" t="str">
        <f t="shared" si="20"/>
        <v/>
      </c>
      <c r="X28" s="61">
        <v>0.0</v>
      </c>
      <c r="Y28" s="62" t="str">
        <f t="shared" si="21"/>
        <v/>
      </c>
      <c r="Z28" s="61">
        <v>0.0</v>
      </c>
      <c r="AA28" s="62" t="str">
        <f t="shared" si="22"/>
        <v/>
      </c>
      <c r="AB28" s="61">
        <v>0.0</v>
      </c>
      <c r="AC28" s="62" t="str">
        <f t="shared" si="23"/>
        <v/>
      </c>
      <c r="AD28" s="63">
        <v>0.0</v>
      </c>
      <c r="AE28" s="64">
        <f t="shared" si="124"/>
        <v>0</v>
      </c>
      <c r="AF28" s="68"/>
      <c r="AG28" s="68"/>
      <c r="AH28" s="68"/>
      <c r="AI28" s="68"/>
      <c r="AJ28" s="68"/>
      <c r="AK28" s="68" t="str">
        <f t="shared" si="98"/>
        <v/>
      </c>
      <c r="AL28" s="74"/>
      <c r="AM28" s="68" t="str">
        <f t="shared" si="25"/>
        <v/>
      </c>
      <c r="AO28" s="77"/>
      <c r="AP28" s="61">
        <v>0.0</v>
      </c>
      <c r="AQ28" s="62" t="str">
        <f t="shared" si="26"/>
        <v/>
      </c>
      <c r="AR28" s="61">
        <v>0.0</v>
      </c>
      <c r="AS28" s="62" t="str">
        <f t="shared" si="27"/>
        <v/>
      </c>
      <c r="AT28" s="61">
        <v>0.0</v>
      </c>
      <c r="AU28" s="62" t="str">
        <f t="shared" si="28"/>
        <v/>
      </c>
      <c r="AV28" s="61">
        <v>0.0</v>
      </c>
      <c r="AW28" s="62" t="str">
        <f t="shared" si="29"/>
        <v/>
      </c>
      <c r="AX28" s="61">
        <v>0.0</v>
      </c>
      <c r="AY28" s="64">
        <f t="shared" si="125"/>
        <v>0</v>
      </c>
      <c r="AZ28" s="68"/>
      <c r="BA28" s="68"/>
      <c r="BB28" s="68"/>
      <c r="BC28" s="68"/>
      <c r="BD28" s="68"/>
      <c r="BE28" s="68" t="str">
        <f t="shared" si="100"/>
        <v/>
      </c>
      <c r="BF28" s="74"/>
      <c r="BG28" s="68" t="str">
        <f t="shared" si="31"/>
        <v/>
      </c>
      <c r="BI28" s="77"/>
      <c r="BJ28" s="61">
        <v>0.0</v>
      </c>
      <c r="BK28" s="62" t="str">
        <f t="shared" si="32"/>
        <v/>
      </c>
      <c r="BL28" s="61">
        <v>0.0</v>
      </c>
      <c r="BM28" s="62" t="str">
        <f t="shared" si="33"/>
        <v/>
      </c>
      <c r="BN28" s="61">
        <v>0.0</v>
      </c>
      <c r="BO28" s="62" t="str">
        <f t="shared" si="34"/>
        <v/>
      </c>
      <c r="BP28" s="61">
        <v>0.0</v>
      </c>
      <c r="BQ28" s="62" t="str">
        <f t="shared" si="35"/>
        <v/>
      </c>
      <c r="BR28" s="61">
        <v>0.0</v>
      </c>
      <c r="BS28" s="64">
        <f t="shared" si="126"/>
        <v>0</v>
      </c>
      <c r="BT28" s="68"/>
      <c r="BU28" s="68"/>
      <c r="BV28" s="68"/>
      <c r="BW28" s="68"/>
      <c r="BX28" s="68"/>
      <c r="BY28" s="68" t="str">
        <f t="shared" si="102"/>
        <v/>
      </c>
      <c r="BZ28" s="74"/>
      <c r="CA28" s="68" t="str">
        <f t="shared" si="37"/>
        <v/>
      </c>
      <c r="CC28" s="77"/>
      <c r="CD28" s="61">
        <v>0.0</v>
      </c>
      <c r="CE28" s="62" t="str">
        <f t="shared" si="38"/>
        <v/>
      </c>
      <c r="CF28" s="61">
        <v>0.0</v>
      </c>
      <c r="CG28" s="62" t="str">
        <f t="shared" si="39"/>
        <v/>
      </c>
      <c r="CH28" s="61">
        <v>0.0</v>
      </c>
      <c r="CI28" s="62" t="str">
        <f t="shared" si="40"/>
        <v/>
      </c>
      <c r="CJ28" s="61">
        <v>0.0</v>
      </c>
      <c r="CK28" s="62" t="str">
        <f t="shared" si="41"/>
        <v/>
      </c>
      <c r="CL28" s="61">
        <v>0.0</v>
      </c>
      <c r="CM28" s="64">
        <f t="shared" si="127"/>
        <v>0</v>
      </c>
      <c r="CN28" s="68"/>
      <c r="CO28" s="68"/>
      <c r="CP28" s="68"/>
      <c r="CQ28" s="68"/>
      <c r="CR28" s="68"/>
      <c r="CS28" s="68" t="str">
        <f t="shared" si="104"/>
        <v/>
      </c>
      <c r="CT28" s="74"/>
      <c r="CU28" s="68" t="str">
        <f t="shared" si="43"/>
        <v/>
      </c>
      <c r="CV28" s="78"/>
      <c r="CW28" s="77"/>
      <c r="CX28" s="61">
        <v>0.0</v>
      </c>
      <c r="CY28" s="62" t="str">
        <f t="shared" si="44"/>
        <v/>
      </c>
      <c r="CZ28" s="61">
        <v>0.0</v>
      </c>
      <c r="DA28" s="62" t="str">
        <f t="shared" si="45"/>
        <v/>
      </c>
      <c r="DB28" s="61">
        <v>0.0</v>
      </c>
      <c r="DC28" s="62" t="str">
        <f t="shared" si="46"/>
        <v/>
      </c>
      <c r="DD28" s="61">
        <v>0.0</v>
      </c>
      <c r="DE28" s="62" t="str">
        <f t="shared" si="47"/>
        <v/>
      </c>
      <c r="DF28" s="61">
        <v>0.0</v>
      </c>
      <c r="DG28" s="64">
        <f t="shared" si="128"/>
        <v>0</v>
      </c>
      <c r="DH28" s="68"/>
      <c r="DI28" s="68"/>
      <c r="DJ28" s="68"/>
      <c r="DK28" s="68"/>
      <c r="DL28" s="68"/>
      <c r="DM28" s="68" t="str">
        <f t="shared" si="106"/>
        <v/>
      </c>
      <c r="DN28" s="74"/>
      <c r="DO28" s="68" t="str">
        <f t="shared" si="49"/>
        <v/>
      </c>
      <c r="DP28" s="78"/>
      <c r="DQ28" s="77"/>
      <c r="DR28" s="61">
        <v>0.0</v>
      </c>
      <c r="DS28" s="62" t="str">
        <f t="shared" si="50"/>
        <v/>
      </c>
      <c r="DT28" s="61">
        <v>0.0</v>
      </c>
      <c r="DU28" s="62" t="str">
        <f t="shared" si="51"/>
        <v/>
      </c>
      <c r="DV28" s="61">
        <v>0.0</v>
      </c>
      <c r="DW28" s="62" t="str">
        <f t="shared" si="52"/>
        <v/>
      </c>
      <c r="DX28" s="61">
        <v>0.0</v>
      </c>
      <c r="DY28" s="62" t="str">
        <f t="shared" si="53"/>
        <v/>
      </c>
      <c r="DZ28" s="61">
        <v>0.0</v>
      </c>
      <c r="EA28" s="64">
        <f t="shared" si="129"/>
        <v>0</v>
      </c>
      <c r="EB28" s="68"/>
      <c r="EC28" s="68"/>
      <c r="ED28" s="68"/>
      <c r="EE28" s="68"/>
      <c r="EF28" s="68"/>
      <c r="EG28" s="68" t="str">
        <f t="shared" si="108"/>
        <v/>
      </c>
      <c r="EH28" s="74"/>
      <c r="EI28" s="68" t="str">
        <f t="shared" si="55"/>
        <v/>
      </c>
      <c r="EJ28" s="78"/>
    </row>
    <row r="29" ht="15.75" hidden="1" customHeight="1" outlineLevel="1">
      <c r="A29" s="75">
        <f t="shared" si="122"/>
        <v>45514</v>
      </c>
      <c r="B29" s="61">
        <f t="shared" si="8"/>
        <v>0</v>
      </c>
      <c r="C29" s="62" t="str">
        <f t="shared" si="9"/>
        <v/>
      </c>
      <c r="D29" s="61">
        <f t="shared" si="10"/>
        <v>0</v>
      </c>
      <c r="E29" s="62" t="str">
        <f t="shared" si="11"/>
        <v/>
      </c>
      <c r="F29" s="61">
        <f t="shared" si="12"/>
        <v>0</v>
      </c>
      <c r="G29" s="62" t="str">
        <f t="shared" si="13"/>
        <v/>
      </c>
      <c r="H29" s="61">
        <f t="shared" si="14"/>
        <v>0</v>
      </c>
      <c r="I29" s="62" t="str">
        <f t="shared" si="15"/>
        <v/>
      </c>
      <c r="J29" s="63">
        <f t="shared" ref="J29:P29" si="132">SUM(AD29,AX29,BR29,CL29,DF29)</f>
        <v>0</v>
      </c>
      <c r="K29" s="64">
        <f t="shared" si="132"/>
        <v>0</v>
      </c>
      <c r="L29" s="65">
        <f t="shared" si="132"/>
        <v>0</v>
      </c>
      <c r="M29" s="65">
        <f t="shared" si="132"/>
        <v>0</v>
      </c>
      <c r="N29" s="65">
        <f t="shared" si="132"/>
        <v>0</v>
      </c>
      <c r="O29" s="65">
        <f t="shared" si="132"/>
        <v>0</v>
      </c>
      <c r="P29" s="65">
        <f t="shared" si="132"/>
        <v>0</v>
      </c>
      <c r="Q29" s="66" t="str">
        <f t="shared" si="17"/>
        <v/>
      </c>
      <c r="R29" s="67">
        <f t="shared" si="18"/>
        <v>0</v>
      </c>
      <c r="S29" s="68" t="str">
        <f t="shared" si="19"/>
        <v/>
      </c>
      <c r="T29" s="55"/>
      <c r="U29" s="76"/>
      <c r="V29" s="61">
        <v>0.0</v>
      </c>
      <c r="W29" s="62" t="str">
        <f t="shared" si="20"/>
        <v/>
      </c>
      <c r="X29" s="61">
        <v>0.0</v>
      </c>
      <c r="Y29" s="62" t="str">
        <f t="shared" si="21"/>
        <v/>
      </c>
      <c r="Z29" s="61">
        <v>0.0</v>
      </c>
      <c r="AA29" s="62" t="str">
        <f t="shared" si="22"/>
        <v/>
      </c>
      <c r="AB29" s="61">
        <v>0.0</v>
      </c>
      <c r="AC29" s="62" t="str">
        <f t="shared" si="23"/>
        <v/>
      </c>
      <c r="AD29" s="63">
        <v>0.0</v>
      </c>
      <c r="AE29" s="64">
        <f t="shared" si="124"/>
        <v>0</v>
      </c>
      <c r="AF29" s="68"/>
      <c r="AG29" s="68"/>
      <c r="AH29" s="68"/>
      <c r="AI29" s="68"/>
      <c r="AJ29" s="68"/>
      <c r="AK29" s="68" t="str">
        <f t="shared" si="98"/>
        <v/>
      </c>
      <c r="AL29" s="74"/>
      <c r="AM29" s="68" t="str">
        <f t="shared" si="25"/>
        <v/>
      </c>
      <c r="AO29" s="77"/>
      <c r="AP29" s="61">
        <v>0.0</v>
      </c>
      <c r="AQ29" s="62" t="str">
        <f t="shared" si="26"/>
        <v/>
      </c>
      <c r="AR29" s="61">
        <v>0.0</v>
      </c>
      <c r="AS29" s="62" t="str">
        <f t="shared" si="27"/>
        <v/>
      </c>
      <c r="AT29" s="61">
        <v>0.0</v>
      </c>
      <c r="AU29" s="62" t="str">
        <f t="shared" si="28"/>
        <v/>
      </c>
      <c r="AV29" s="61">
        <v>0.0</v>
      </c>
      <c r="AW29" s="62" t="str">
        <f t="shared" si="29"/>
        <v/>
      </c>
      <c r="AX29" s="61">
        <v>0.0</v>
      </c>
      <c r="AY29" s="64">
        <f t="shared" si="125"/>
        <v>0</v>
      </c>
      <c r="AZ29" s="68"/>
      <c r="BA29" s="68"/>
      <c r="BB29" s="68"/>
      <c r="BC29" s="68"/>
      <c r="BD29" s="68"/>
      <c r="BE29" s="68" t="str">
        <f t="shared" si="100"/>
        <v/>
      </c>
      <c r="BF29" s="74"/>
      <c r="BG29" s="68" t="str">
        <f t="shared" si="31"/>
        <v/>
      </c>
      <c r="BI29" s="77"/>
      <c r="BJ29" s="61">
        <v>0.0</v>
      </c>
      <c r="BK29" s="62" t="str">
        <f t="shared" si="32"/>
        <v/>
      </c>
      <c r="BL29" s="61">
        <v>0.0</v>
      </c>
      <c r="BM29" s="62" t="str">
        <f t="shared" si="33"/>
        <v/>
      </c>
      <c r="BN29" s="61">
        <v>0.0</v>
      </c>
      <c r="BO29" s="62" t="str">
        <f t="shared" si="34"/>
        <v/>
      </c>
      <c r="BP29" s="61">
        <v>0.0</v>
      </c>
      <c r="BQ29" s="62" t="str">
        <f t="shared" si="35"/>
        <v/>
      </c>
      <c r="BR29" s="61">
        <v>0.0</v>
      </c>
      <c r="BS29" s="64">
        <f t="shared" si="126"/>
        <v>0</v>
      </c>
      <c r="BT29" s="68"/>
      <c r="BU29" s="68"/>
      <c r="BV29" s="68"/>
      <c r="BW29" s="68"/>
      <c r="BX29" s="68"/>
      <c r="BY29" s="68" t="str">
        <f t="shared" si="102"/>
        <v/>
      </c>
      <c r="BZ29" s="74"/>
      <c r="CA29" s="68" t="str">
        <f t="shared" si="37"/>
        <v/>
      </c>
      <c r="CC29" s="77"/>
      <c r="CD29" s="61">
        <v>0.0</v>
      </c>
      <c r="CE29" s="62" t="str">
        <f t="shared" si="38"/>
        <v/>
      </c>
      <c r="CF29" s="61">
        <v>0.0</v>
      </c>
      <c r="CG29" s="62" t="str">
        <f t="shared" si="39"/>
        <v/>
      </c>
      <c r="CH29" s="61">
        <v>0.0</v>
      </c>
      <c r="CI29" s="62" t="str">
        <f t="shared" si="40"/>
        <v/>
      </c>
      <c r="CJ29" s="61">
        <v>0.0</v>
      </c>
      <c r="CK29" s="62" t="str">
        <f t="shared" si="41"/>
        <v/>
      </c>
      <c r="CL29" s="61">
        <v>0.0</v>
      </c>
      <c r="CM29" s="64">
        <f t="shared" si="127"/>
        <v>0</v>
      </c>
      <c r="CN29" s="68"/>
      <c r="CO29" s="68"/>
      <c r="CP29" s="68"/>
      <c r="CQ29" s="68"/>
      <c r="CR29" s="68"/>
      <c r="CS29" s="68" t="str">
        <f t="shared" si="104"/>
        <v/>
      </c>
      <c r="CT29" s="74"/>
      <c r="CU29" s="68" t="str">
        <f t="shared" si="43"/>
        <v/>
      </c>
      <c r="CV29" s="78"/>
      <c r="CW29" s="77"/>
      <c r="CX29" s="61">
        <v>0.0</v>
      </c>
      <c r="CY29" s="62" t="str">
        <f t="shared" si="44"/>
        <v/>
      </c>
      <c r="CZ29" s="61">
        <v>0.0</v>
      </c>
      <c r="DA29" s="62" t="str">
        <f t="shared" si="45"/>
        <v/>
      </c>
      <c r="DB29" s="61">
        <v>0.0</v>
      </c>
      <c r="DC29" s="62" t="str">
        <f t="shared" si="46"/>
        <v/>
      </c>
      <c r="DD29" s="61">
        <v>0.0</v>
      </c>
      <c r="DE29" s="62" t="str">
        <f t="shared" si="47"/>
        <v/>
      </c>
      <c r="DF29" s="61">
        <v>0.0</v>
      </c>
      <c r="DG29" s="64">
        <f t="shared" si="128"/>
        <v>0</v>
      </c>
      <c r="DH29" s="68"/>
      <c r="DI29" s="68"/>
      <c r="DJ29" s="68"/>
      <c r="DK29" s="68"/>
      <c r="DL29" s="68"/>
      <c r="DM29" s="68" t="str">
        <f t="shared" si="106"/>
        <v/>
      </c>
      <c r="DN29" s="74"/>
      <c r="DO29" s="68" t="str">
        <f t="shared" si="49"/>
        <v/>
      </c>
      <c r="DP29" s="78"/>
      <c r="DQ29" s="77"/>
      <c r="DR29" s="61">
        <v>0.0</v>
      </c>
      <c r="DS29" s="62" t="str">
        <f t="shared" si="50"/>
        <v/>
      </c>
      <c r="DT29" s="61">
        <v>0.0</v>
      </c>
      <c r="DU29" s="62" t="str">
        <f t="shared" si="51"/>
        <v/>
      </c>
      <c r="DV29" s="61">
        <v>0.0</v>
      </c>
      <c r="DW29" s="62" t="str">
        <f t="shared" si="52"/>
        <v/>
      </c>
      <c r="DX29" s="61">
        <v>0.0</v>
      </c>
      <c r="DY29" s="62" t="str">
        <f t="shared" si="53"/>
        <v/>
      </c>
      <c r="DZ29" s="61">
        <v>0.0</v>
      </c>
      <c r="EA29" s="64">
        <f t="shared" si="129"/>
        <v>0</v>
      </c>
      <c r="EB29" s="68"/>
      <c r="EC29" s="68"/>
      <c r="ED29" s="68"/>
      <c r="EE29" s="68"/>
      <c r="EF29" s="68"/>
      <c r="EG29" s="68" t="str">
        <f t="shared" si="108"/>
        <v/>
      </c>
      <c r="EH29" s="74"/>
      <c r="EI29" s="68" t="str">
        <f t="shared" si="55"/>
        <v/>
      </c>
      <c r="EJ29" s="78"/>
    </row>
    <row r="30" ht="15.75" hidden="1" customHeight="1" outlineLevel="1">
      <c r="A30" s="79">
        <f t="shared" si="122"/>
        <v>45513</v>
      </c>
      <c r="B30" s="61">
        <f t="shared" si="8"/>
        <v>0</v>
      </c>
      <c r="C30" s="62" t="str">
        <f t="shared" si="9"/>
        <v/>
      </c>
      <c r="D30" s="61">
        <f t="shared" si="10"/>
        <v>0</v>
      </c>
      <c r="E30" s="62" t="str">
        <f t="shared" si="11"/>
        <v/>
      </c>
      <c r="F30" s="61">
        <f t="shared" si="12"/>
        <v>0</v>
      </c>
      <c r="G30" s="62" t="str">
        <f t="shared" si="13"/>
        <v/>
      </c>
      <c r="H30" s="61">
        <f t="shared" si="14"/>
        <v>0</v>
      </c>
      <c r="I30" s="62" t="str">
        <f t="shared" si="15"/>
        <v/>
      </c>
      <c r="J30" s="63">
        <f t="shared" ref="J30:P30" si="133">SUM(AD30,AX30,BR30,CL30,DF30)</f>
        <v>0</v>
      </c>
      <c r="K30" s="64">
        <f t="shared" si="133"/>
        <v>0</v>
      </c>
      <c r="L30" s="65">
        <f t="shared" si="133"/>
        <v>0</v>
      </c>
      <c r="M30" s="65">
        <f t="shared" si="133"/>
        <v>0</v>
      </c>
      <c r="N30" s="65">
        <f t="shared" si="133"/>
        <v>0</v>
      </c>
      <c r="O30" s="65">
        <f t="shared" si="133"/>
        <v>0</v>
      </c>
      <c r="P30" s="65">
        <f t="shared" si="133"/>
        <v>0</v>
      </c>
      <c r="Q30" s="66" t="str">
        <f t="shared" si="17"/>
        <v/>
      </c>
      <c r="R30" s="67">
        <f t="shared" si="18"/>
        <v>0</v>
      </c>
      <c r="S30" s="68" t="str">
        <f t="shared" si="19"/>
        <v/>
      </c>
      <c r="T30" s="55"/>
      <c r="U30" s="76"/>
      <c r="V30" s="61">
        <v>0.0</v>
      </c>
      <c r="W30" s="62" t="str">
        <f t="shared" si="20"/>
        <v/>
      </c>
      <c r="X30" s="61">
        <v>0.0</v>
      </c>
      <c r="Y30" s="62" t="str">
        <f t="shared" si="21"/>
        <v/>
      </c>
      <c r="Z30" s="61">
        <v>0.0</v>
      </c>
      <c r="AA30" s="62" t="str">
        <f t="shared" si="22"/>
        <v/>
      </c>
      <c r="AB30" s="61">
        <v>0.0</v>
      </c>
      <c r="AC30" s="62" t="str">
        <f t="shared" si="23"/>
        <v/>
      </c>
      <c r="AD30" s="63">
        <v>0.0</v>
      </c>
      <c r="AE30" s="64">
        <f t="shared" si="124"/>
        <v>0</v>
      </c>
      <c r="AF30" s="68"/>
      <c r="AG30" s="68"/>
      <c r="AH30" s="68"/>
      <c r="AI30" s="68"/>
      <c r="AJ30" s="68"/>
      <c r="AK30" s="68" t="str">
        <f t="shared" si="98"/>
        <v/>
      </c>
      <c r="AL30" s="74"/>
      <c r="AM30" s="68" t="str">
        <f t="shared" si="25"/>
        <v/>
      </c>
      <c r="AO30" s="77"/>
      <c r="AP30" s="61">
        <v>0.0</v>
      </c>
      <c r="AQ30" s="62" t="str">
        <f t="shared" si="26"/>
        <v/>
      </c>
      <c r="AR30" s="61">
        <v>0.0</v>
      </c>
      <c r="AS30" s="62" t="str">
        <f t="shared" si="27"/>
        <v/>
      </c>
      <c r="AT30" s="61">
        <v>0.0</v>
      </c>
      <c r="AU30" s="62" t="str">
        <f t="shared" si="28"/>
        <v/>
      </c>
      <c r="AV30" s="61">
        <v>0.0</v>
      </c>
      <c r="AW30" s="62" t="str">
        <f t="shared" si="29"/>
        <v/>
      </c>
      <c r="AX30" s="61">
        <v>0.0</v>
      </c>
      <c r="AY30" s="64">
        <f t="shared" si="125"/>
        <v>0</v>
      </c>
      <c r="AZ30" s="68"/>
      <c r="BA30" s="68"/>
      <c r="BB30" s="68"/>
      <c r="BC30" s="68"/>
      <c r="BD30" s="68"/>
      <c r="BE30" s="68" t="str">
        <f t="shared" si="100"/>
        <v/>
      </c>
      <c r="BF30" s="74"/>
      <c r="BG30" s="68" t="str">
        <f t="shared" si="31"/>
        <v/>
      </c>
      <c r="BI30" s="77"/>
      <c r="BJ30" s="61">
        <v>0.0</v>
      </c>
      <c r="BK30" s="62" t="str">
        <f t="shared" si="32"/>
        <v/>
      </c>
      <c r="BL30" s="61">
        <v>0.0</v>
      </c>
      <c r="BM30" s="62" t="str">
        <f t="shared" si="33"/>
        <v/>
      </c>
      <c r="BN30" s="61">
        <v>0.0</v>
      </c>
      <c r="BO30" s="62" t="str">
        <f t="shared" si="34"/>
        <v/>
      </c>
      <c r="BP30" s="61">
        <v>0.0</v>
      </c>
      <c r="BQ30" s="62" t="str">
        <f t="shared" si="35"/>
        <v/>
      </c>
      <c r="BR30" s="61">
        <v>0.0</v>
      </c>
      <c r="BS30" s="64">
        <f t="shared" si="126"/>
        <v>0</v>
      </c>
      <c r="BT30" s="68"/>
      <c r="BU30" s="68"/>
      <c r="BV30" s="68"/>
      <c r="BW30" s="68"/>
      <c r="BX30" s="68"/>
      <c r="BY30" s="68" t="str">
        <f t="shared" si="102"/>
        <v/>
      </c>
      <c r="BZ30" s="74"/>
      <c r="CA30" s="68" t="str">
        <f t="shared" si="37"/>
        <v/>
      </c>
      <c r="CC30" s="77"/>
      <c r="CD30" s="61">
        <v>0.0</v>
      </c>
      <c r="CE30" s="62" t="str">
        <f t="shared" si="38"/>
        <v/>
      </c>
      <c r="CF30" s="61">
        <v>0.0</v>
      </c>
      <c r="CG30" s="62" t="str">
        <f t="shared" si="39"/>
        <v/>
      </c>
      <c r="CH30" s="61">
        <v>0.0</v>
      </c>
      <c r="CI30" s="62" t="str">
        <f t="shared" si="40"/>
        <v/>
      </c>
      <c r="CJ30" s="61">
        <v>0.0</v>
      </c>
      <c r="CK30" s="62" t="str">
        <f t="shared" si="41"/>
        <v/>
      </c>
      <c r="CL30" s="61">
        <v>0.0</v>
      </c>
      <c r="CM30" s="64">
        <f t="shared" si="127"/>
        <v>0</v>
      </c>
      <c r="CN30" s="68"/>
      <c r="CO30" s="68"/>
      <c r="CP30" s="68"/>
      <c r="CQ30" s="68"/>
      <c r="CR30" s="68"/>
      <c r="CS30" s="68" t="str">
        <f t="shared" si="104"/>
        <v/>
      </c>
      <c r="CT30" s="74"/>
      <c r="CU30" s="68" t="str">
        <f t="shared" si="43"/>
        <v/>
      </c>
      <c r="CV30" s="78"/>
      <c r="CW30" s="77"/>
      <c r="CX30" s="61">
        <v>0.0</v>
      </c>
      <c r="CY30" s="62" t="str">
        <f t="shared" si="44"/>
        <v/>
      </c>
      <c r="CZ30" s="61">
        <v>0.0</v>
      </c>
      <c r="DA30" s="62" t="str">
        <f t="shared" si="45"/>
        <v/>
      </c>
      <c r="DB30" s="61">
        <v>0.0</v>
      </c>
      <c r="DC30" s="62" t="str">
        <f t="shared" si="46"/>
        <v/>
      </c>
      <c r="DD30" s="61">
        <v>0.0</v>
      </c>
      <c r="DE30" s="62" t="str">
        <f t="shared" si="47"/>
        <v/>
      </c>
      <c r="DF30" s="61">
        <v>0.0</v>
      </c>
      <c r="DG30" s="64">
        <f t="shared" si="128"/>
        <v>0</v>
      </c>
      <c r="DH30" s="68"/>
      <c r="DI30" s="68"/>
      <c r="DJ30" s="68"/>
      <c r="DK30" s="68"/>
      <c r="DL30" s="68"/>
      <c r="DM30" s="68" t="str">
        <f t="shared" si="106"/>
        <v/>
      </c>
      <c r="DN30" s="74"/>
      <c r="DO30" s="68" t="str">
        <f t="shared" si="49"/>
        <v/>
      </c>
      <c r="DP30" s="78"/>
      <c r="DQ30" s="77"/>
      <c r="DR30" s="61">
        <v>0.0</v>
      </c>
      <c r="DS30" s="62" t="str">
        <f t="shared" si="50"/>
        <v/>
      </c>
      <c r="DT30" s="61">
        <v>0.0</v>
      </c>
      <c r="DU30" s="62" t="str">
        <f t="shared" si="51"/>
        <v/>
      </c>
      <c r="DV30" s="61">
        <v>0.0</v>
      </c>
      <c r="DW30" s="62" t="str">
        <f t="shared" si="52"/>
        <v/>
      </c>
      <c r="DX30" s="61">
        <v>0.0</v>
      </c>
      <c r="DY30" s="62" t="str">
        <f t="shared" si="53"/>
        <v/>
      </c>
      <c r="DZ30" s="61">
        <v>0.0</v>
      </c>
      <c r="EA30" s="64">
        <f t="shared" si="129"/>
        <v>0</v>
      </c>
      <c r="EB30" s="68"/>
      <c r="EC30" s="68"/>
      <c r="ED30" s="68"/>
      <c r="EE30" s="68"/>
      <c r="EF30" s="68"/>
      <c r="EG30" s="68" t="str">
        <f t="shared" si="108"/>
        <v/>
      </c>
      <c r="EH30" s="74"/>
      <c r="EI30" s="68" t="str">
        <f t="shared" si="55"/>
        <v/>
      </c>
      <c r="EJ30" s="78"/>
    </row>
    <row r="31" ht="15.75" hidden="1" customHeight="1" outlineLevel="1">
      <c r="A31" s="79">
        <f>A33+1</f>
        <v>45512</v>
      </c>
      <c r="B31" s="61">
        <f t="shared" si="8"/>
        <v>0</v>
      </c>
      <c r="C31" s="62" t="str">
        <f t="shared" si="9"/>
        <v/>
      </c>
      <c r="D31" s="61">
        <f t="shared" si="10"/>
        <v>0</v>
      </c>
      <c r="E31" s="62" t="str">
        <f t="shared" si="11"/>
        <v/>
      </c>
      <c r="F31" s="61">
        <f t="shared" si="12"/>
        <v>0</v>
      </c>
      <c r="G31" s="62" t="str">
        <f t="shared" si="13"/>
        <v/>
      </c>
      <c r="H31" s="61">
        <f t="shared" si="14"/>
        <v>0</v>
      </c>
      <c r="I31" s="62" t="str">
        <f t="shared" si="15"/>
        <v/>
      </c>
      <c r="J31" s="63">
        <f t="shared" ref="J31:P31" si="134">SUM(AD31,AX31,BR31,CL31,DF31)</f>
        <v>0</v>
      </c>
      <c r="K31" s="64">
        <f t="shared" si="134"/>
        <v>0</v>
      </c>
      <c r="L31" s="65">
        <f t="shared" si="134"/>
        <v>0</v>
      </c>
      <c r="M31" s="65">
        <f t="shared" si="134"/>
        <v>0</v>
      </c>
      <c r="N31" s="65">
        <f t="shared" si="134"/>
        <v>0</v>
      </c>
      <c r="O31" s="65">
        <f t="shared" si="134"/>
        <v>0</v>
      </c>
      <c r="P31" s="65">
        <f t="shared" si="134"/>
        <v>0</v>
      </c>
      <c r="Q31" s="66" t="str">
        <f t="shared" si="17"/>
        <v/>
      </c>
      <c r="R31" s="67">
        <f t="shared" si="18"/>
        <v>0</v>
      </c>
      <c r="S31" s="68" t="str">
        <f t="shared" si="19"/>
        <v/>
      </c>
      <c r="T31" s="55"/>
      <c r="U31" s="76"/>
      <c r="V31" s="61">
        <v>0.0</v>
      </c>
      <c r="W31" s="62"/>
      <c r="X31" s="61"/>
      <c r="Y31" s="62" t="str">
        <f t="shared" ref="Y31:Y39" si="136">IFERROR(Z31/V31,"")</f>
        <v/>
      </c>
      <c r="Z31" s="61">
        <v>0.0</v>
      </c>
      <c r="AA31" s="62" t="str">
        <f t="shared" si="22"/>
        <v/>
      </c>
      <c r="AB31" s="61">
        <v>0.0</v>
      </c>
      <c r="AC31" s="62" t="str">
        <f t="shared" si="23"/>
        <v/>
      </c>
      <c r="AD31" s="63">
        <v>0.0</v>
      </c>
      <c r="AE31" s="64">
        <v>0.0</v>
      </c>
      <c r="AF31" s="68"/>
      <c r="AG31" s="68"/>
      <c r="AH31" s="68"/>
      <c r="AI31" s="68"/>
      <c r="AJ31" s="68"/>
      <c r="AK31" s="68"/>
      <c r="AL31" s="74"/>
      <c r="AM31" s="68" t="str">
        <f t="shared" si="25"/>
        <v/>
      </c>
      <c r="AO31" s="77"/>
      <c r="AP31" s="61">
        <v>0.0</v>
      </c>
      <c r="AQ31" s="62" t="str">
        <f t="shared" si="26"/>
        <v/>
      </c>
      <c r="AR31" s="61">
        <v>0.0</v>
      </c>
      <c r="AS31" s="62" t="str">
        <f t="shared" si="27"/>
        <v/>
      </c>
      <c r="AT31" s="61">
        <v>0.0</v>
      </c>
      <c r="AU31" s="62" t="str">
        <f t="shared" si="28"/>
        <v/>
      </c>
      <c r="AV31" s="61">
        <v>0.0</v>
      </c>
      <c r="AW31" s="62" t="str">
        <f t="shared" si="29"/>
        <v/>
      </c>
      <c r="AX31" s="61">
        <v>0.0</v>
      </c>
      <c r="AY31" s="64">
        <v>0.0</v>
      </c>
      <c r="AZ31" s="68"/>
      <c r="BA31" s="68"/>
      <c r="BB31" s="68"/>
      <c r="BC31" s="68"/>
      <c r="BD31" s="68"/>
      <c r="BE31" s="68"/>
      <c r="BF31" s="74"/>
      <c r="BG31" s="68" t="str">
        <f t="shared" si="31"/>
        <v/>
      </c>
      <c r="BI31" s="77"/>
      <c r="BJ31" s="61">
        <v>0.0</v>
      </c>
      <c r="BK31" s="62" t="str">
        <f t="shared" si="32"/>
        <v/>
      </c>
      <c r="BL31" s="61">
        <v>0.0</v>
      </c>
      <c r="BM31" s="62" t="str">
        <f t="shared" si="33"/>
        <v/>
      </c>
      <c r="BN31" s="61">
        <v>0.0</v>
      </c>
      <c r="BO31" s="62" t="str">
        <f t="shared" si="34"/>
        <v/>
      </c>
      <c r="BP31" s="61">
        <v>0.0</v>
      </c>
      <c r="BQ31" s="62" t="str">
        <f t="shared" si="35"/>
        <v/>
      </c>
      <c r="BR31" s="61">
        <v>0.0</v>
      </c>
      <c r="BS31" s="64">
        <f t="shared" si="126"/>
        <v>0</v>
      </c>
      <c r="BT31" s="68"/>
      <c r="BU31" s="68"/>
      <c r="BV31" s="68"/>
      <c r="BW31" s="68"/>
      <c r="BX31" s="68"/>
      <c r="BY31" s="68" t="str">
        <f t="shared" si="102"/>
        <v/>
      </c>
      <c r="BZ31" s="74"/>
      <c r="CA31" s="68" t="str">
        <f t="shared" si="37"/>
        <v/>
      </c>
      <c r="CC31" s="77"/>
      <c r="CD31" s="61">
        <v>0.0</v>
      </c>
      <c r="CE31" s="62" t="str">
        <f t="shared" si="38"/>
        <v/>
      </c>
      <c r="CF31" s="61">
        <v>0.0</v>
      </c>
      <c r="CG31" s="62" t="str">
        <f t="shared" si="39"/>
        <v/>
      </c>
      <c r="CH31" s="61">
        <v>0.0</v>
      </c>
      <c r="CI31" s="62" t="str">
        <f t="shared" si="40"/>
        <v/>
      </c>
      <c r="CJ31" s="61">
        <v>0.0</v>
      </c>
      <c r="CK31" s="62" t="str">
        <f t="shared" si="41"/>
        <v/>
      </c>
      <c r="CL31" s="61">
        <v>0.0</v>
      </c>
      <c r="CM31" s="64">
        <f t="shared" si="127"/>
        <v>0</v>
      </c>
      <c r="CN31" s="68"/>
      <c r="CO31" s="68"/>
      <c r="CP31" s="68"/>
      <c r="CQ31" s="68"/>
      <c r="CR31" s="68"/>
      <c r="CS31" s="68" t="str">
        <f t="shared" si="104"/>
        <v/>
      </c>
      <c r="CT31" s="74"/>
      <c r="CU31" s="68" t="str">
        <f t="shared" si="43"/>
        <v/>
      </c>
      <c r="CV31" s="78"/>
      <c r="CW31" s="77"/>
      <c r="CX31" s="61">
        <v>0.0</v>
      </c>
      <c r="CY31" s="62" t="str">
        <f t="shared" si="44"/>
        <v/>
      </c>
      <c r="CZ31" s="61">
        <v>0.0</v>
      </c>
      <c r="DA31" s="62" t="str">
        <f t="shared" si="45"/>
        <v/>
      </c>
      <c r="DB31" s="61">
        <v>0.0</v>
      </c>
      <c r="DC31" s="62" t="str">
        <f t="shared" si="46"/>
        <v/>
      </c>
      <c r="DD31" s="61">
        <v>0.0</v>
      </c>
      <c r="DE31" s="62" t="str">
        <f t="shared" si="47"/>
        <v/>
      </c>
      <c r="DF31" s="61">
        <v>0.0</v>
      </c>
      <c r="DG31" s="64">
        <f t="shared" si="128"/>
        <v>0</v>
      </c>
      <c r="DH31" s="68"/>
      <c r="DI31" s="68"/>
      <c r="DJ31" s="68"/>
      <c r="DK31" s="68"/>
      <c r="DL31" s="68"/>
      <c r="DM31" s="68" t="str">
        <f t="shared" si="106"/>
        <v/>
      </c>
      <c r="DN31" s="74"/>
      <c r="DO31" s="68" t="str">
        <f t="shared" si="49"/>
        <v/>
      </c>
      <c r="DP31" s="78"/>
      <c r="DQ31" s="77"/>
      <c r="DR31" s="61">
        <v>0.0</v>
      </c>
      <c r="DS31" s="62" t="str">
        <f t="shared" si="50"/>
        <v/>
      </c>
      <c r="DT31" s="61">
        <v>0.0</v>
      </c>
      <c r="DU31" s="62" t="str">
        <f t="shared" si="51"/>
        <v/>
      </c>
      <c r="DV31" s="61">
        <v>0.0</v>
      </c>
      <c r="DW31" s="62" t="str">
        <f t="shared" si="52"/>
        <v/>
      </c>
      <c r="DX31" s="61">
        <v>0.0</v>
      </c>
      <c r="DY31" s="62" t="str">
        <f t="shared" si="53"/>
        <v/>
      </c>
      <c r="DZ31" s="61">
        <v>0.0</v>
      </c>
      <c r="EA31" s="64">
        <f t="shared" si="129"/>
        <v>0</v>
      </c>
      <c r="EB31" s="68"/>
      <c r="EC31" s="68"/>
      <c r="ED31" s="68"/>
      <c r="EE31" s="68"/>
      <c r="EF31" s="68"/>
      <c r="EG31" s="68" t="str">
        <f t="shared" si="108"/>
        <v/>
      </c>
      <c r="EH31" s="74"/>
      <c r="EI31" s="68" t="str">
        <f t="shared" si="55"/>
        <v/>
      </c>
      <c r="EJ31" s="78"/>
    </row>
    <row r="32" ht="15.75" customHeight="1" collapsed="1">
      <c r="A32" s="45" t="s">
        <v>43</v>
      </c>
      <c r="B32" s="46">
        <f t="shared" si="8"/>
        <v>0</v>
      </c>
      <c r="C32" s="47" t="str">
        <f t="shared" si="9"/>
        <v/>
      </c>
      <c r="D32" s="46">
        <f t="shared" si="10"/>
        <v>0</v>
      </c>
      <c r="E32" s="47" t="str">
        <f t="shared" si="11"/>
        <v/>
      </c>
      <c r="F32" s="46">
        <f t="shared" si="12"/>
        <v>0</v>
      </c>
      <c r="G32" s="47" t="str">
        <f t="shared" si="13"/>
        <v/>
      </c>
      <c r="H32" s="46">
        <f t="shared" si="14"/>
        <v>0</v>
      </c>
      <c r="I32" s="48" t="str">
        <f t="shared" si="15"/>
        <v/>
      </c>
      <c r="J32" s="49">
        <f t="shared" ref="J32:P32" si="135">SUM(AD32,AX32,BR32,CL32,DF32)</f>
        <v>0</v>
      </c>
      <c r="K32" s="50">
        <f t="shared" si="135"/>
        <v>0</v>
      </c>
      <c r="L32" s="51">
        <f t="shared" si="135"/>
        <v>0</v>
      </c>
      <c r="M32" s="51">
        <f t="shared" si="135"/>
        <v>0</v>
      </c>
      <c r="N32" s="51">
        <f t="shared" si="135"/>
        <v>0</v>
      </c>
      <c r="O32" s="51">
        <f t="shared" si="135"/>
        <v>0</v>
      </c>
      <c r="P32" s="51">
        <f t="shared" si="135"/>
        <v>0</v>
      </c>
      <c r="Q32" s="52" t="str">
        <f t="shared" si="17"/>
        <v/>
      </c>
      <c r="R32" s="53">
        <f t="shared" si="18"/>
        <v>0</v>
      </c>
      <c r="S32" s="54" t="str">
        <f t="shared" si="19"/>
        <v/>
      </c>
      <c r="T32" s="55"/>
      <c r="U32" s="56"/>
      <c r="V32" s="46">
        <v>0.0</v>
      </c>
      <c r="W32" s="47"/>
      <c r="X32" s="46">
        <f>SUM(X33:X39)</f>
        <v>0</v>
      </c>
      <c r="Y32" s="47" t="str">
        <f t="shared" si="136"/>
        <v/>
      </c>
      <c r="Z32" s="46">
        <v>0.0</v>
      </c>
      <c r="AA32" s="47" t="str">
        <f t="shared" si="22"/>
        <v/>
      </c>
      <c r="AB32" s="46">
        <v>0.0</v>
      </c>
      <c r="AC32" s="48" t="str">
        <f t="shared" si="23"/>
        <v/>
      </c>
      <c r="AD32" s="49">
        <v>0.0</v>
      </c>
      <c r="AE32" s="50">
        <v>0.0</v>
      </c>
      <c r="AF32" s="51">
        <f t="shared" ref="AF32:AI32" si="137">SUM(AF33:AF39)</f>
        <v>0</v>
      </c>
      <c r="AG32" s="51">
        <f t="shared" si="137"/>
        <v>0</v>
      </c>
      <c r="AH32" s="51">
        <f t="shared" si="137"/>
        <v>0</v>
      </c>
      <c r="AI32" s="51">
        <f t="shared" si="137"/>
        <v>0</v>
      </c>
      <c r="AJ32" s="51" t="str">
        <f>IFERROR(AK32/AE32,"")</f>
        <v/>
      </c>
      <c r="AK32" s="52">
        <f t="shared" ref="AK32:AL32" si="138">SUM(AK33:AK39)</f>
        <v>0</v>
      </c>
      <c r="AL32" s="51">
        <f t="shared" si="138"/>
        <v>0</v>
      </c>
      <c r="AM32" s="54" t="str">
        <f t="shared" si="25"/>
        <v/>
      </c>
      <c r="AN32" s="57"/>
      <c r="AO32" s="58"/>
      <c r="AP32" s="46">
        <v>0.0</v>
      </c>
      <c r="AQ32" s="47"/>
      <c r="AR32" s="46">
        <v>0.0</v>
      </c>
      <c r="AS32" s="47" t="str">
        <f>IFERROR(AT32/AQ32,"")</f>
        <v/>
      </c>
      <c r="AT32" s="46">
        <v>0.0</v>
      </c>
      <c r="AU32" s="47" t="str">
        <f t="shared" si="28"/>
        <v/>
      </c>
      <c r="AV32" s="46">
        <v>0.0</v>
      </c>
      <c r="AW32" s="48" t="str">
        <f t="shared" si="29"/>
        <v/>
      </c>
      <c r="AX32" s="49">
        <v>0.0</v>
      </c>
      <c r="AY32" s="50">
        <f t="shared" ref="AY32:BC32" si="139">SUM(AY33:AY39)</f>
        <v>0</v>
      </c>
      <c r="AZ32" s="51">
        <f t="shared" si="139"/>
        <v>0</v>
      </c>
      <c r="BA32" s="51">
        <f t="shared" si="139"/>
        <v>0</v>
      </c>
      <c r="BB32" s="51">
        <f t="shared" si="139"/>
        <v>0</v>
      </c>
      <c r="BC32" s="51">
        <f t="shared" si="139"/>
        <v>0</v>
      </c>
      <c r="BD32" s="51" t="str">
        <f>IFERROR(BE32/AX32,"")</f>
        <v/>
      </c>
      <c r="BE32" s="52">
        <f>SUM(BE33:BE39)</f>
        <v>0</v>
      </c>
      <c r="BF32" s="53"/>
      <c r="BG32" s="54" t="str">
        <f t="shared" si="31"/>
        <v/>
      </c>
      <c r="BH32" s="57"/>
      <c r="BI32" s="58"/>
      <c r="BJ32" s="46">
        <v>0.0</v>
      </c>
      <c r="BK32" s="47" t="str">
        <f t="shared" si="32"/>
        <v/>
      </c>
      <c r="BL32" s="46">
        <v>0.0</v>
      </c>
      <c r="BM32" s="47" t="str">
        <f t="shared" si="33"/>
        <v/>
      </c>
      <c r="BN32" s="46">
        <v>0.0</v>
      </c>
      <c r="BO32" s="47" t="str">
        <f t="shared" si="34"/>
        <v/>
      </c>
      <c r="BP32" s="46">
        <v>0.0</v>
      </c>
      <c r="BQ32" s="48" t="str">
        <f t="shared" si="35"/>
        <v/>
      </c>
      <c r="BR32" s="46">
        <v>0.0</v>
      </c>
      <c r="BS32" s="50">
        <f t="shared" ref="BS32:BX32" si="140">SUM(BS33:BS39)</f>
        <v>0</v>
      </c>
      <c r="BT32" s="51">
        <f t="shared" si="140"/>
        <v>0</v>
      </c>
      <c r="BU32" s="51">
        <f t="shared" si="140"/>
        <v>0</v>
      </c>
      <c r="BV32" s="51">
        <f t="shared" si="140"/>
        <v>0</v>
      </c>
      <c r="BW32" s="51">
        <f t="shared" si="140"/>
        <v>0</v>
      </c>
      <c r="BX32" s="51">
        <f t="shared" si="140"/>
        <v>0</v>
      </c>
      <c r="BY32" s="52" t="str">
        <f t="shared" si="102"/>
        <v/>
      </c>
      <c r="BZ32" s="53">
        <f>SUM(BZ33:BZ39)</f>
        <v>0</v>
      </c>
      <c r="CA32" s="54" t="str">
        <f t="shared" si="37"/>
        <v/>
      </c>
      <c r="CB32" s="57"/>
      <c r="CC32" s="58"/>
      <c r="CD32" s="46">
        <v>0.0</v>
      </c>
      <c r="CE32" s="47" t="str">
        <f t="shared" si="38"/>
        <v/>
      </c>
      <c r="CF32" s="46">
        <v>0.0</v>
      </c>
      <c r="CG32" s="47" t="str">
        <f t="shared" si="39"/>
        <v/>
      </c>
      <c r="CH32" s="46">
        <v>0.0</v>
      </c>
      <c r="CI32" s="47" t="str">
        <f t="shared" si="40"/>
        <v/>
      </c>
      <c r="CJ32" s="46">
        <v>0.0</v>
      </c>
      <c r="CK32" s="48" t="str">
        <f t="shared" si="41"/>
        <v/>
      </c>
      <c r="CL32" s="46">
        <v>0.0</v>
      </c>
      <c r="CM32" s="50">
        <f t="shared" ref="CM32:CR32" si="141">SUM(CM33:CM39)</f>
        <v>0</v>
      </c>
      <c r="CN32" s="51">
        <f t="shared" si="141"/>
        <v>0</v>
      </c>
      <c r="CO32" s="51">
        <f t="shared" si="141"/>
        <v>0</v>
      </c>
      <c r="CP32" s="51">
        <f t="shared" si="141"/>
        <v>0</v>
      </c>
      <c r="CQ32" s="51">
        <f t="shared" si="141"/>
        <v>0</v>
      </c>
      <c r="CR32" s="51">
        <f t="shared" si="141"/>
        <v>0</v>
      </c>
      <c r="CS32" s="52" t="str">
        <f t="shared" si="104"/>
        <v/>
      </c>
      <c r="CT32" s="53">
        <f>SUM(CT33:CT39)</f>
        <v>0</v>
      </c>
      <c r="CU32" s="54" t="str">
        <f t="shared" si="43"/>
        <v/>
      </c>
      <c r="CV32" s="59"/>
      <c r="CW32" s="58"/>
      <c r="CX32" s="46">
        <v>0.0</v>
      </c>
      <c r="CY32" s="47" t="str">
        <f t="shared" si="44"/>
        <v/>
      </c>
      <c r="CZ32" s="46">
        <v>0.0</v>
      </c>
      <c r="DA32" s="47" t="str">
        <f t="shared" si="45"/>
        <v/>
      </c>
      <c r="DB32" s="46">
        <v>0.0</v>
      </c>
      <c r="DC32" s="47" t="str">
        <f t="shared" si="46"/>
        <v/>
      </c>
      <c r="DD32" s="46">
        <v>0.0</v>
      </c>
      <c r="DE32" s="48" t="str">
        <f t="shared" si="47"/>
        <v/>
      </c>
      <c r="DF32" s="46">
        <v>0.0</v>
      </c>
      <c r="DG32" s="50">
        <f t="shared" ref="DG32:DL32" si="142">SUM(DG33:DG39)</f>
        <v>0</v>
      </c>
      <c r="DH32" s="51">
        <f t="shared" si="142"/>
        <v>0</v>
      </c>
      <c r="DI32" s="51">
        <f t="shared" si="142"/>
        <v>0</v>
      </c>
      <c r="DJ32" s="51">
        <f t="shared" si="142"/>
        <v>0</v>
      </c>
      <c r="DK32" s="51">
        <f t="shared" si="142"/>
        <v>0</v>
      </c>
      <c r="DL32" s="51">
        <f t="shared" si="142"/>
        <v>0</v>
      </c>
      <c r="DM32" s="52" t="str">
        <f t="shared" si="106"/>
        <v/>
      </c>
      <c r="DN32" s="53">
        <f>SUM(DN33:DN39)</f>
        <v>0</v>
      </c>
      <c r="DO32" s="54" t="str">
        <f t="shared" si="49"/>
        <v/>
      </c>
      <c r="DP32" s="59"/>
      <c r="DQ32" s="58"/>
      <c r="DR32" s="46">
        <v>0.0</v>
      </c>
      <c r="DS32" s="47" t="str">
        <f t="shared" si="50"/>
        <v/>
      </c>
      <c r="DT32" s="46">
        <v>0.0</v>
      </c>
      <c r="DU32" s="47" t="str">
        <f t="shared" si="51"/>
        <v/>
      </c>
      <c r="DV32" s="46">
        <v>0.0</v>
      </c>
      <c r="DW32" s="47" t="str">
        <f t="shared" si="52"/>
        <v/>
      </c>
      <c r="DX32" s="46">
        <v>0.0</v>
      </c>
      <c r="DY32" s="48" t="str">
        <f t="shared" si="53"/>
        <v/>
      </c>
      <c r="DZ32" s="46">
        <v>0.0</v>
      </c>
      <c r="EA32" s="50">
        <f t="shared" ref="EA32:EF32" si="143">SUM(EA33:EA39)</f>
        <v>0</v>
      </c>
      <c r="EB32" s="51">
        <f t="shared" si="143"/>
        <v>0</v>
      </c>
      <c r="EC32" s="51">
        <f t="shared" si="143"/>
        <v>0</v>
      </c>
      <c r="ED32" s="51">
        <f t="shared" si="143"/>
        <v>0</v>
      </c>
      <c r="EE32" s="51">
        <f t="shared" si="143"/>
        <v>0</v>
      </c>
      <c r="EF32" s="51">
        <f t="shared" si="143"/>
        <v>0</v>
      </c>
      <c r="EG32" s="52" t="str">
        <f t="shared" si="108"/>
        <v/>
      </c>
      <c r="EH32" s="53">
        <f>SUM(EH33:EH39)</f>
        <v>0</v>
      </c>
      <c r="EI32" s="54" t="str">
        <f t="shared" si="55"/>
        <v/>
      </c>
      <c r="EJ32" s="59"/>
    </row>
    <row r="33" ht="15.75" hidden="1" customHeight="1" outlineLevel="1">
      <c r="A33" s="79">
        <f t="shared" ref="A33:A38" si="145">A34+1</f>
        <v>45511</v>
      </c>
      <c r="B33" s="61">
        <v>25.0</v>
      </c>
      <c r="C33" s="62">
        <f t="shared" si="9"/>
        <v>80</v>
      </c>
      <c r="D33" s="61">
        <v>2000.0</v>
      </c>
      <c r="E33" s="62">
        <f t="shared" si="11"/>
        <v>0</v>
      </c>
      <c r="F33" s="61">
        <f t="shared" si="12"/>
        <v>0</v>
      </c>
      <c r="G33" s="62" t="str">
        <f t="shared" si="13"/>
        <v/>
      </c>
      <c r="H33" s="61">
        <f t="shared" si="14"/>
        <v>0</v>
      </c>
      <c r="I33" s="62" t="str">
        <f t="shared" si="15"/>
        <v/>
      </c>
      <c r="J33" s="63">
        <f t="shared" ref="J33:P33" si="144">SUM(AD33,AX33,BR33,CL33,DF33)</f>
        <v>0</v>
      </c>
      <c r="K33" s="64">
        <f t="shared" si="144"/>
        <v>0</v>
      </c>
      <c r="L33" s="65">
        <f t="shared" si="144"/>
        <v>0</v>
      </c>
      <c r="M33" s="65">
        <f t="shared" si="144"/>
        <v>0</v>
      </c>
      <c r="N33" s="65">
        <f t="shared" si="144"/>
        <v>0</v>
      </c>
      <c r="O33" s="65">
        <f t="shared" si="144"/>
        <v>0</v>
      </c>
      <c r="P33" s="65">
        <f t="shared" si="144"/>
        <v>0</v>
      </c>
      <c r="Q33" s="66" t="str">
        <f t="shared" si="17"/>
        <v/>
      </c>
      <c r="R33" s="67">
        <f t="shared" si="18"/>
        <v>0</v>
      </c>
      <c r="S33" s="68" t="str">
        <f t="shared" si="19"/>
        <v/>
      </c>
      <c r="T33" s="13"/>
      <c r="U33" s="76"/>
      <c r="V33" s="61"/>
      <c r="W33" s="62"/>
      <c r="X33" s="61"/>
      <c r="Y33" s="62" t="str">
        <f t="shared" si="136"/>
        <v/>
      </c>
      <c r="Z33" s="61"/>
      <c r="AA33" s="62" t="str">
        <f t="shared" si="22"/>
        <v/>
      </c>
      <c r="AB33" s="61"/>
      <c r="AC33" s="62" t="str">
        <f t="shared" si="23"/>
        <v/>
      </c>
      <c r="AD33" s="63"/>
      <c r="AE33" s="74">
        <f t="shared" ref="AE33:AE34" si="147">SUM(AF33:AJ33)</f>
        <v>0</v>
      </c>
      <c r="AF33" s="68"/>
      <c r="AG33" s="68"/>
      <c r="AH33" s="68"/>
      <c r="AI33" s="68"/>
      <c r="AJ33" s="68"/>
      <c r="AK33" s="68"/>
      <c r="AL33" s="74"/>
      <c r="AM33" s="68" t="str">
        <f t="shared" si="25"/>
        <v/>
      </c>
      <c r="AO33" s="77"/>
      <c r="AP33" s="61">
        <v>0.0</v>
      </c>
      <c r="AQ33" s="62" t="str">
        <f t="shared" ref="AQ33:AQ39" si="148">IFERROR(AR33/AP33,"")</f>
        <v/>
      </c>
      <c r="AR33" s="61">
        <v>0.0</v>
      </c>
      <c r="AS33" s="62" t="str">
        <f t="shared" ref="AS33:AS39" si="149">IFERROR(AT33/AR33,"")</f>
        <v/>
      </c>
      <c r="AT33" s="61">
        <v>0.0</v>
      </c>
      <c r="AU33" s="62" t="str">
        <f t="shared" si="28"/>
        <v/>
      </c>
      <c r="AV33" s="61" t="s">
        <v>40</v>
      </c>
      <c r="AW33" s="62" t="str">
        <f t="shared" si="29"/>
        <v/>
      </c>
      <c r="AX33" s="63" t="s">
        <v>40</v>
      </c>
      <c r="AY33" s="74"/>
      <c r="AZ33" s="68"/>
      <c r="BA33" s="68"/>
      <c r="BB33" s="68"/>
      <c r="BC33" s="68"/>
      <c r="BD33" s="68"/>
      <c r="BE33" s="68"/>
      <c r="BF33" s="74"/>
      <c r="BG33" s="68" t="str">
        <f t="shared" si="31"/>
        <v/>
      </c>
      <c r="BH33" s="13"/>
      <c r="BI33" s="77"/>
      <c r="BJ33" s="61" t="s">
        <v>40</v>
      </c>
      <c r="BK33" s="62" t="str">
        <f t="shared" si="32"/>
        <v/>
      </c>
      <c r="BL33" s="61" t="s">
        <v>40</v>
      </c>
      <c r="BM33" s="62" t="str">
        <f t="shared" si="33"/>
        <v/>
      </c>
      <c r="BN33" s="61" t="s">
        <v>40</v>
      </c>
      <c r="BO33" s="62" t="str">
        <f t="shared" si="34"/>
        <v/>
      </c>
      <c r="BP33" s="61" t="s">
        <v>40</v>
      </c>
      <c r="BQ33" s="62" t="str">
        <f t="shared" si="35"/>
        <v/>
      </c>
      <c r="BR33" s="63" t="s">
        <v>40</v>
      </c>
      <c r="BS33" s="74">
        <v>0.0</v>
      </c>
      <c r="BT33" s="68"/>
      <c r="BU33" s="68"/>
      <c r="BV33" s="68"/>
      <c r="BW33" s="68"/>
      <c r="BX33" s="68"/>
      <c r="BY33" s="68" t="str">
        <f t="shared" si="102"/>
        <v/>
      </c>
      <c r="BZ33" s="74"/>
      <c r="CA33" s="68" t="str">
        <f t="shared" si="37"/>
        <v/>
      </c>
      <c r="CB33" s="13"/>
      <c r="CC33" s="80"/>
      <c r="CD33" s="61" t="s">
        <v>40</v>
      </c>
      <c r="CE33" s="62" t="str">
        <f t="shared" si="38"/>
        <v/>
      </c>
      <c r="CF33" s="61" t="s">
        <v>40</v>
      </c>
      <c r="CG33" s="62" t="str">
        <f t="shared" si="39"/>
        <v/>
      </c>
      <c r="CH33" s="61" t="s">
        <v>40</v>
      </c>
      <c r="CI33" s="62" t="str">
        <f t="shared" si="40"/>
        <v/>
      </c>
      <c r="CJ33" s="61" t="s">
        <v>40</v>
      </c>
      <c r="CK33" s="62" t="str">
        <f t="shared" si="41"/>
        <v/>
      </c>
      <c r="CL33" s="63" t="s">
        <v>40</v>
      </c>
      <c r="CM33" s="74">
        <v>0.0</v>
      </c>
      <c r="CN33" s="68"/>
      <c r="CO33" s="68"/>
      <c r="CP33" s="68"/>
      <c r="CQ33" s="68"/>
      <c r="CR33" s="68"/>
      <c r="CS33" s="68" t="str">
        <f t="shared" si="104"/>
        <v/>
      </c>
      <c r="CT33" s="74"/>
      <c r="CU33" s="68" t="str">
        <f t="shared" si="43"/>
        <v/>
      </c>
      <c r="CV33" s="78"/>
      <c r="CW33" s="76"/>
      <c r="CX33" s="61" t="s">
        <v>40</v>
      </c>
      <c r="CY33" s="62" t="str">
        <f t="shared" si="44"/>
        <v/>
      </c>
      <c r="CZ33" s="61" t="s">
        <v>40</v>
      </c>
      <c r="DA33" s="62" t="str">
        <f t="shared" si="45"/>
        <v/>
      </c>
      <c r="DB33" s="61" t="s">
        <v>40</v>
      </c>
      <c r="DC33" s="62" t="str">
        <f t="shared" si="46"/>
        <v/>
      </c>
      <c r="DD33" s="61" t="s">
        <v>40</v>
      </c>
      <c r="DE33" s="62" t="str">
        <f t="shared" si="47"/>
        <v/>
      </c>
      <c r="DF33" s="63" t="s">
        <v>40</v>
      </c>
      <c r="DG33" s="74">
        <v>0.0</v>
      </c>
      <c r="DH33" s="68"/>
      <c r="DI33" s="68"/>
      <c r="DJ33" s="68"/>
      <c r="DK33" s="68"/>
      <c r="DL33" s="68"/>
      <c r="DM33" s="68" t="str">
        <f t="shared" si="106"/>
        <v/>
      </c>
      <c r="DN33" s="74"/>
      <c r="DO33" s="68" t="str">
        <f t="shared" si="49"/>
        <v/>
      </c>
      <c r="DP33" s="78"/>
      <c r="DQ33" s="76"/>
      <c r="DR33" s="61" t="s">
        <v>40</v>
      </c>
      <c r="DS33" s="62" t="str">
        <f t="shared" si="50"/>
        <v/>
      </c>
      <c r="DT33" s="61" t="s">
        <v>40</v>
      </c>
      <c r="DU33" s="62" t="str">
        <f t="shared" si="51"/>
        <v/>
      </c>
      <c r="DV33" s="61" t="s">
        <v>40</v>
      </c>
      <c r="DW33" s="62" t="str">
        <f t="shared" si="52"/>
        <v/>
      </c>
      <c r="DX33" s="61" t="s">
        <v>40</v>
      </c>
      <c r="DY33" s="62" t="str">
        <f t="shared" si="53"/>
        <v/>
      </c>
      <c r="DZ33" s="63" t="s">
        <v>40</v>
      </c>
      <c r="EA33" s="74">
        <v>0.0</v>
      </c>
      <c r="EB33" s="68"/>
      <c r="EC33" s="68"/>
      <c r="ED33" s="68"/>
      <c r="EE33" s="68"/>
      <c r="EF33" s="68"/>
      <c r="EG33" s="68" t="str">
        <f t="shared" si="108"/>
        <v/>
      </c>
      <c r="EH33" s="74"/>
      <c r="EI33" s="68" t="str">
        <f t="shared" si="55"/>
        <v/>
      </c>
      <c r="EJ33" s="78"/>
    </row>
    <row r="34" ht="15.75" hidden="1" customHeight="1" outlineLevel="1">
      <c r="A34" s="79">
        <f t="shared" si="145"/>
        <v>45510</v>
      </c>
      <c r="B34" s="61">
        <f t="shared" ref="B34:B39" si="150">SUM(V34,AP34,BJ34,CD34,CX34)</f>
        <v>0</v>
      </c>
      <c r="C34" s="62" t="str">
        <f t="shared" si="9"/>
        <v/>
      </c>
      <c r="D34" s="61">
        <f t="shared" ref="D34:D39" si="151">SUM(X34,AR34,BL34,CF34,CZ34)</f>
        <v>0</v>
      </c>
      <c r="E34" s="62" t="str">
        <f t="shared" si="11"/>
        <v/>
      </c>
      <c r="F34" s="61">
        <f t="shared" si="12"/>
        <v>0</v>
      </c>
      <c r="G34" s="62" t="str">
        <f t="shared" si="13"/>
        <v/>
      </c>
      <c r="H34" s="61">
        <f t="shared" si="14"/>
        <v>0</v>
      </c>
      <c r="I34" s="62" t="str">
        <f t="shared" si="15"/>
        <v/>
      </c>
      <c r="J34" s="63">
        <f t="shared" ref="J34:P34" si="146">SUM(AD34,AX34,BR34,CL34,DF34)</f>
        <v>0</v>
      </c>
      <c r="K34" s="64">
        <f t="shared" si="146"/>
        <v>0</v>
      </c>
      <c r="L34" s="65">
        <f t="shared" si="146"/>
        <v>0</v>
      </c>
      <c r="M34" s="65">
        <f t="shared" si="146"/>
        <v>0</v>
      </c>
      <c r="N34" s="65">
        <f t="shared" si="146"/>
        <v>0</v>
      </c>
      <c r="O34" s="65">
        <f t="shared" si="146"/>
        <v>0</v>
      </c>
      <c r="P34" s="65">
        <f t="shared" si="146"/>
        <v>0</v>
      </c>
      <c r="Q34" s="66" t="str">
        <f t="shared" si="17"/>
        <v/>
      </c>
      <c r="R34" s="67">
        <f t="shared" si="18"/>
        <v>0</v>
      </c>
      <c r="S34" s="68" t="str">
        <f t="shared" si="19"/>
        <v/>
      </c>
      <c r="T34" s="13"/>
      <c r="U34" s="76"/>
      <c r="V34" s="61">
        <v>0.0</v>
      </c>
      <c r="W34" s="62"/>
      <c r="X34" s="61"/>
      <c r="Y34" s="62" t="str">
        <f t="shared" si="136"/>
        <v/>
      </c>
      <c r="Z34" s="61">
        <v>0.0</v>
      </c>
      <c r="AA34" s="62" t="str">
        <f t="shared" si="22"/>
        <v/>
      </c>
      <c r="AB34" s="61">
        <v>0.0</v>
      </c>
      <c r="AC34" s="62" t="str">
        <f t="shared" si="23"/>
        <v/>
      </c>
      <c r="AD34" s="63">
        <v>0.0</v>
      </c>
      <c r="AE34" s="74">
        <f t="shared" si="147"/>
        <v>0</v>
      </c>
      <c r="AF34" s="68"/>
      <c r="AG34" s="68"/>
      <c r="AH34" s="68"/>
      <c r="AI34" s="68"/>
      <c r="AJ34" s="68"/>
      <c r="AK34" s="68"/>
      <c r="AL34" s="74"/>
      <c r="AM34" s="68" t="str">
        <f t="shared" si="25"/>
        <v/>
      </c>
      <c r="AO34" s="77"/>
      <c r="AP34" s="61">
        <v>0.0</v>
      </c>
      <c r="AQ34" s="62" t="str">
        <f t="shared" si="148"/>
        <v/>
      </c>
      <c r="AR34" s="61"/>
      <c r="AS34" s="62" t="str">
        <f t="shared" si="149"/>
        <v/>
      </c>
      <c r="AT34" s="61">
        <v>0.0</v>
      </c>
      <c r="AU34" s="62" t="str">
        <f t="shared" si="28"/>
        <v/>
      </c>
      <c r="AV34" s="61">
        <v>0.0</v>
      </c>
      <c r="AW34" s="62" t="str">
        <f t="shared" si="29"/>
        <v/>
      </c>
      <c r="AX34" s="63">
        <v>0.0</v>
      </c>
      <c r="AY34" s="74">
        <f t="shared" ref="AY34:AY39" si="153">SUM(AZ34:BD34)</f>
        <v>0</v>
      </c>
      <c r="AZ34" s="68"/>
      <c r="BA34" s="68"/>
      <c r="BB34" s="68"/>
      <c r="BC34" s="68"/>
      <c r="BD34" s="68"/>
      <c r="BE34" s="68"/>
      <c r="BF34" s="74"/>
      <c r="BG34" s="68" t="str">
        <f t="shared" si="31"/>
        <v/>
      </c>
      <c r="BH34" s="13"/>
      <c r="BI34" s="77"/>
      <c r="BJ34" s="61" t="s">
        <v>40</v>
      </c>
      <c r="BK34" s="62" t="str">
        <f t="shared" si="32"/>
        <v/>
      </c>
      <c r="BL34" s="61" t="s">
        <v>40</v>
      </c>
      <c r="BM34" s="62" t="str">
        <f t="shared" si="33"/>
        <v/>
      </c>
      <c r="BN34" s="61" t="s">
        <v>40</v>
      </c>
      <c r="BO34" s="62" t="str">
        <f t="shared" si="34"/>
        <v/>
      </c>
      <c r="BP34" s="61" t="s">
        <v>40</v>
      </c>
      <c r="BQ34" s="62" t="str">
        <f t="shared" si="35"/>
        <v/>
      </c>
      <c r="BR34" s="63" t="s">
        <v>40</v>
      </c>
      <c r="BS34" s="74">
        <v>0.0</v>
      </c>
      <c r="BT34" s="68"/>
      <c r="BU34" s="68"/>
      <c r="BV34" s="68"/>
      <c r="BW34" s="68"/>
      <c r="BX34" s="68"/>
      <c r="BY34" s="68" t="str">
        <f t="shared" si="102"/>
        <v/>
      </c>
      <c r="BZ34" s="74"/>
      <c r="CA34" s="68" t="str">
        <f t="shared" si="37"/>
        <v/>
      </c>
      <c r="CB34" s="13"/>
      <c r="CC34" s="80"/>
      <c r="CD34" s="61" t="s">
        <v>40</v>
      </c>
      <c r="CE34" s="62" t="str">
        <f t="shared" si="38"/>
        <v/>
      </c>
      <c r="CF34" s="61" t="s">
        <v>40</v>
      </c>
      <c r="CG34" s="62" t="str">
        <f t="shared" si="39"/>
        <v/>
      </c>
      <c r="CH34" s="61" t="s">
        <v>40</v>
      </c>
      <c r="CI34" s="62" t="str">
        <f t="shared" si="40"/>
        <v/>
      </c>
      <c r="CJ34" s="61" t="s">
        <v>40</v>
      </c>
      <c r="CK34" s="62" t="str">
        <f t="shared" si="41"/>
        <v/>
      </c>
      <c r="CL34" s="63" t="s">
        <v>40</v>
      </c>
      <c r="CM34" s="74">
        <v>0.0</v>
      </c>
      <c r="CN34" s="68"/>
      <c r="CO34" s="68"/>
      <c r="CP34" s="68"/>
      <c r="CQ34" s="68"/>
      <c r="CR34" s="68"/>
      <c r="CS34" s="68" t="str">
        <f t="shared" si="104"/>
        <v/>
      </c>
      <c r="CT34" s="74"/>
      <c r="CU34" s="68" t="str">
        <f t="shared" si="43"/>
        <v/>
      </c>
      <c r="CV34" s="78"/>
      <c r="CW34" s="76"/>
      <c r="CX34" s="61" t="s">
        <v>40</v>
      </c>
      <c r="CY34" s="62" t="str">
        <f t="shared" si="44"/>
        <v/>
      </c>
      <c r="CZ34" s="61" t="s">
        <v>40</v>
      </c>
      <c r="DA34" s="62" t="str">
        <f t="shared" si="45"/>
        <v/>
      </c>
      <c r="DB34" s="61" t="s">
        <v>40</v>
      </c>
      <c r="DC34" s="62" t="str">
        <f t="shared" si="46"/>
        <v/>
      </c>
      <c r="DD34" s="61" t="s">
        <v>40</v>
      </c>
      <c r="DE34" s="62" t="str">
        <f t="shared" si="47"/>
        <v/>
      </c>
      <c r="DF34" s="63" t="s">
        <v>40</v>
      </c>
      <c r="DG34" s="74">
        <v>0.0</v>
      </c>
      <c r="DH34" s="68"/>
      <c r="DI34" s="68"/>
      <c r="DJ34" s="68"/>
      <c r="DK34" s="68"/>
      <c r="DL34" s="68"/>
      <c r="DM34" s="68" t="str">
        <f t="shared" si="106"/>
        <v/>
      </c>
      <c r="DN34" s="74"/>
      <c r="DO34" s="68" t="str">
        <f t="shared" si="49"/>
        <v/>
      </c>
      <c r="DP34" s="78"/>
      <c r="DQ34" s="76"/>
      <c r="DR34" s="61" t="s">
        <v>40</v>
      </c>
      <c r="DS34" s="62" t="str">
        <f t="shared" si="50"/>
        <v/>
      </c>
      <c r="DT34" s="61" t="s">
        <v>40</v>
      </c>
      <c r="DU34" s="62" t="str">
        <f t="shared" si="51"/>
        <v/>
      </c>
      <c r="DV34" s="61" t="s">
        <v>40</v>
      </c>
      <c r="DW34" s="62" t="str">
        <f t="shared" si="52"/>
        <v/>
      </c>
      <c r="DX34" s="61" t="s">
        <v>40</v>
      </c>
      <c r="DY34" s="62" t="str">
        <f t="shared" si="53"/>
        <v/>
      </c>
      <c r="DZ34" s="63" t="s">
        <v>40</v>
      </c>
      <c r="EA34" s="74">
        <v>0.0</v>
      </c>
      <c r="EB34" s="68"/>
      <c r="EC34" s="68"/>
      <c r="ED34" s="68"/>
      <c r="EE34" s="68"/>
      <c r="EF34" s="68"/>
      <c r="EG34" s="68" t="str">
        <f t="shared" si="108"/>
        <v/>
      </c>
      <c r="EH34" s="74"/>
      <c r="EI34" s="68" t="str">
        <f t="shared" si="55"/>
        <v/>
      </c>
      <c r="EJ34" s="78"/>
    </row>
    <row r="35" ht="15.75" hidden="1" customHeight="1" outlineLevel="1">
      <c r="A35" s="79">
        <f t="shared" si="145"/>
        <v>45509</v>
      </c>
      <c r="B35" s="61">
        <f t="shared" si="150"/>
        <v>0</v>
      </c>
      <c r="C35" s="62" t="str">
        <f t="shared" si="9"/>
        <v/>
      </c>
      <c r="D35" s="61">
        <f t="shared" si="151"/>
        <v>0</v>
      </c>
      <c r="E35" s="62" t="str">
        <f t="shared" si="11"/>
        <v/>
      </c>
      <c r="F35" s="61">
        <f t="shared" si="12"/>
        <v>0</v>
      </c>
      <c r="G35" s="62" t="str">
        <f t="shared" si="13"/>
        <v/>
      </c>
      <c r="H35" s="61">
        <f t="shared" si="14"/>
        <v>0</v>
      </c>
      <c r="I35" s="62" t="str">
        <f t="shared" si="15"/>
        <v/>
      </c>
      <c r="J35" s="63">
        <f t="shared" ref="J35:P35" si="152">SUM(AD35,AX35,BR35,CL35,DF35)</f>
        <v>0</v>
      </c>
      <c r="K35" s="64">
        <f t="shared" si="152"/>
        <v>0</v>
      </c>
      <c r="L35" s="65">
        <f t="shared" si="152"/>
        <v>0</v>
      </c>
      <c r="M35" s="65">
        <f t="shared" si="152"/>
        <v>0</v>
      </c>
      <c r="N35" s="65">
        <f t="shared" si="152"/>
        <v>0</v>
      </c>
      <c r="O35" s="65">
        <f t="shared" si="152"/>
        <v>0</v>
      </c>
      <c r="P35" s="65">
        <f t="shared" si="152"/>
        <v>0</v>
      </c>
      <c r="Q35" s="66" t="str">
        <f t="shared" si="17"/>
        <v/>
      </c>
      <c r="R35" s="67">
        <f t="shared" si="18"/>
        <v>0</v>
      </c>
      <c r="S35" s="68" t="str">
        <f t="shared" si="19"/>
        <v/>
      </c>
      <c r="T35" s="13"/>
      <c r="U35" s="76"/>
      <c r="V35" s="61">
        <v>0.0</v>
      </c>
      <c r="W35" s="62"/>
      <c r="X35" s="61"/>
      <c r="Y35" s="62" t="str">
        <f t="shared" si="136"/>
        <v/>
      </c>
      <c r="Z35" s="61">
        <v>0.0</v>
      </c>
      <c r="AA35" s="62" t="str">
        <f t="shared" si="22"/>
        <v/>
      </c>
      <c r="AB35" s="61">
        <v>0.0</v>
      </c>
      <c r="AC35" s="62" t="str">
        <f t="shared" si="23"/>
        <v/>
      </c>
      <c r="AD35" s="63">
        <v>0.0</v>
      </c>
      <c r="AE35" s="74">
        <v>0.0</v>
      </c>
      <c r="AF35" s="68"/>
      <c r="AG35" s="68"/>
      <c r="AH35" s="68"/>
      <c r="AI35" s="81"/>
      <c r="AJ35" s="68"/>
      <c r="AK35" s="68"/>
      <c r="AL35" s="74"/>
      <c r="AM35" s="68" t="str">
        <f t="shared" si="25"/>
        <v/>
      </c>
      <c r="AO35" s="77"/>
      <c r="AP35" s="61">
        <v>0.0</v>
      </c>
      <c r="AQ35" s="62" t="str">
        <f t="shared" si="148"/>
        <v/>
      </c>
      <c r="AR35" s="61"/>
      <c r="AS35" s="62" t="str">
        <f t="shared" si="149"/>
        <v/>
      </c>
      <c r="AT35" s="61">
        <v>0.0</v>
      </c>
      <c r="AU35" s="62" t="str">
        <f t="shared" si="28"/>
        <v/>
      </c>
      <c r="AV35" s="61">
        <v>0.0</v>
      </c>
      <c r="AW35" s="62" t="str">
        <f t="shared" si="29"/>
        <v/>
      </c>
      <c r="AX35" s="63">
        <v>0.0</v>
      </c>
      <c r="AY35" s="74">
        <f t="shared" si="153"/>
        <v>0</v>
      </c>
      <c r="AZ35" s="68"/>
      <c r="BA35" s="68"/>
      <c r="BB35" s="68"/>
      <c r="BC35" s="68"/>
      <c r="BD35" s="68"/>
      <c r="BE35" s="68"/>
      <c r="BF35" s="74"/>
      <c r="BG35" s="68" t="str">
        <f t="shared" si="31"/>
        <v/>
      </c>
      <c r="BH35" s="13"/>
      <c r="BI35" s="77"/>
      <c r="BJ35" s="61">
        <v>0.0</v>
      </c>
      <c r="BK35" s="62" t="str">
        <f t="shared" si="32"/>
        <v/>
      </c>
      <c r="BL35" s="61">
        <v>0.0</v>
      </c>
      <c r="BM35" s="62" t="str">
        <f t="shared" si="33"/>
        <v/>
      </c>
      <c r="BN35" s="61">
        <v>0.0</v>
      </c>
      <c r="BO35" s="62" t="str">
        <f t="shared" si="34"/>
        <v/>
      </c>
      <c r="BP35" s="61">
        <v>0.0</v>
      </c>
      <c r="BQ35" s="62" t="str">
        <f t="shared" si="35"/>
        <v/>
      </c>
      <c r="BR35" s="63">
        <v>0.0</v>
      </c>
      <c r="BS35" s="74">
        <v>0.0</v>
      </c>
      <c r="BT35" s="68"/>
      <c r="BU35" s="68"/>
      <c r="BV35" s="68"/>
      <c r="BW35" s="68"/>
      <c r="BX35" s="68"/>
      <c r="BY35" s="68" t="str">
        <f t="shared" si="102"/>
        <v/>
      </c>
      <c r="BZ35" s="74"/>
      <c r="CA35" s="68" t="str">
        <f t="shared" si="37"/>
        <v/>
      </c>
      <c r="CB35" s="13"/>
      <c r="CC35" s="80"/>
      <c r="CD35" s="61">
        <v>0.0</v>
      </c>
      <c r="CE35" s="62" t="str">
        <f t="shared" si="38"/>
        <v/>
      </c>
      <c r="CF35" s="61">
        <v>0.0</v>
      </c>
      <c r="CG35" s="62" t="str">
        <f t="shared" si="39"/>
        <v/>
      </c>
      <c r="CH35" s="61">
        <v>0.0</v>
      </c>
      <c r="CI35" s="62" t="str">
        <f t="shared" si="40"/>
        <v/>
      </c>
      <c r="CJ35" s="61">
        <v>0.0</v>
      </c>
      <c r="CK35" s="62" t="str">
        <f t="shared" si="41"/>
        <v/>
      </c>
      <c r="CL35" s="63">
        <v>0.0</v>
      </c>
      <c r="CM35" s="74">
        <v>0.0</v>
      </c>
      <c r="CN35" s="68"/>
      <c r="CO35" s="68"/>
      <c r="CP35" s="68"/>
      <c r="CQ35" s="68"/>
      <c r="CR35" s="68"/>
      <c r="CS35" s="68" t="str">
        <f t="shared" si="104"/>
        <v/>
      </c>
      <c r="CT35" s="74"/>
      <c r="CU35" s="68" t="str">
        <f t="shared" si="43"/>
        <v/>
      </c>
      <c r="CV35" s="78"/>
      <c r="CW35" s="76"/>
      <c r="CX35" s="61">
        <v>0.0</v>
      </c>
      <c r="CY35" s="62" t="str">
        <f t="shared" si="44"/>
        <v/>
      </c>
      <c r="CZ35" s="61">
        <v>0.0</v>
      </c>
      <c r="DA35" s="62" t="str">
        <f t="shared" si="45"/>
        <v/>
      </c>
      <c r="DB35" s="61">
        <v>0.0</v>
      </c>
      <c r="DC35" s="62" t="str">
        <f t="shared" si="46"/>
        <v/>
      </c>
      <c r="DD35" s="61">
        <v>0.0</v>
      </c>
      <c r="DE35" s="62" t="str">
        <f t="shared" si="47"/>
        <v/>
      </c>
      <c r="DF35" s="63">
        <v>0.0</v>
      </c>
      <c r="DG35" s="74">
        <v>0.0</v>
      </c>
      <c r="DH35" s="68"/>
      <c r="DI35" s="68"/>
      <c r="DJ35" s="68"/>
      <c r="DK35" s="68"/>
      <c r="DL35" s="68"/>
      <c r="DM35" s="68" t="str">
        <f t="shared" si="106"/>
        <v/>
      </c>
      <c r="DN35" s="74"/>
      <c r="DO35" s="68" t="str">
        <f t="shared" si="49"/>
        <v/>
      </c>
      <c r="DP35" s="78"/>
      <c r="DQ35" s="76"/>
      <c r="DR35" s="61">
        <v>0.0</v>
      </c>
      <c r="DS35" s="62" t="str">
        <f t="shared" si="50"/>
        <v/>
      </c>
      <c r="DT35" s="61">
        <v>0.0</v>
      </c>
      <c r="DU35" s="62" t="str">
        <f t="shared" si="51"/>
        <v/>
      </c>
      <c r="DV35" s="61">
        <v>0.0</v>
      </c>
      <c r="DW35" s="62" t="str">
        <f t="shared" si="52"/>
        <v/>
      </c>
      <c r="DX35" s="61">
        <v>0.0</v>
      </c>
      <c r="DY35" s="62" t="str">
        <f t="shared" si="53"/>
        <v/>
      </c>
      <c r="DZ35" s="63">
        <v>0.0</v>
      </c>
      <c r="EA35" s="74">
        <v>0.0</v>
      </c>
      <c r="EB35" s="68"/>
      <c r="EC35" s="68"/>
      <c r="ED35" s="68"/>
      <c r="EE35" s="68"/>
      <c r="EF35" s="68"/>
      <c r="EG35" s="68" t="str">
        <f t="shared" si="108"/>
        <v/>
      </c>
      <c r="EH35" s="74"/>
      <c r="EI35" s="68" t="str">
        <f t="shared" si="55"/>
        <v/>
      </c>
      <c r="EJ35" s="78"/>
    </row>
    <row r="36" ht="15.75" hidden="1" customHeight="1" outlineLevel="1">
      <c r="A36" s="79">
        <f t="shared" si="145"/>
        <v>45508</v>
      </c>
      <c r="B36" s="61">
        <f t="shared" si="150"/>
        <v>0</v>
      </c>
      <c r="C36" s="62" t="str">
        <f t="shared" si="9"/>
        <v/>
      </c>
      <c r="D36" s="61">
        <f t="shared" si="151"/>
        <v>0</v>
      </c>
      <c r="E36" s="62" t="str">
        <f t="shared" si="11"/>
        <v/>
      </c>
      <c r="F36" s="61">
        <f t="shared" si="12"/>
        <v>0</v>
      </c>
      <c r="G36" s="62" t="str">
        <f t="shared" si="13"/>
        <v/>
      </c>
      <c r="H36" s="61">
        <f t="shared" si="14"/>
        <v>0</v>
      </c>
      <c r="I36" s="62" t="str">
        <f t="shared" si="15"/>
        <v/>
      </c>
      <c r="J36" s="63">
        <f t="shared" ref="J36:P36" si="154">SUM(AD36,AX36,BR36,CL36,DF36)</f>
        <v>0</v>
      </c>
      <c r="K36" s="64">
        <f t="shared" si="154"/>
        <v>0</v>
      </c>
      <c r="L36" s="65">
        <f t="shared" si="154"/>
        <v>0</v>
      </c>
      <c r="M36" s="65">
        <f t="shared" si="154"/>
        <v>0</v>
      </c>
      <c r="N36" s="65">
        <f t="shared" si="154"/>
        <v>0</v>
      </c>
      <c r="O36" s="65">
        <f t="shared" si="154"/>
        <v>0</v>
      </c>
      <c r="P36" s="65">
        <f t="shared" si="154"/>
        <v>0</v>
      </c>
      <c r="Q36" s="66" t="str">
        <f t="shared" si="17"/>
        <v/>
      </c>
      <c r="R36" s="67">
        <f t="shared" si="18"/>
        <v>0</v>
      </c>
      <c r="S36" s="68" t="str">
        <f t="shared" si="19"/>
        <v/>
      </c>
      <c r="T36" s="13"/>
      <c r="U36" s="76"/>
      <c r="V36" s="61">
        <v>0.0</v>
      </c>
      <c r="W36" s="62"/>
      <c r="X36" s="61"/>
      <c r="Y36" s="62" t="str">
        <f t="shared" si="136"/>
        <v/>
      </c>
      <c r="Z36" s="61">
        <v>0.0</v>
      </c>
      <c r="AA36" s="62" t="str">
        <f t="shared" si="22"/>
        <v/>
      </c>
      <c r="AB36" s="61">
        <v>0.0</v>
      </c>
      <c r="AC36" s="62" t="str">
        <f t="shared" si="23"/>
        <v/>
      </c>
      <c r="AD36" s="63">
        <v>0.0</v>
      </c>
      <c r="AE36" s="74">
        <f t="shared" ref="AE36:AE38" si="156">SUM(AF36:AJ36)</f>
        <v>0</v>
      </c>
      <c r="AF36" s="68"/>
      <c r="AG36" s="68"/>
      <c r="AH36" s="68"/>
      <c r="AI36" s="68"/>
      <c r="AJ36" s="68"/>
      <c r="AK36" s="68"/>
      <c r="AL36" s="74"/>
      <c r="AM36" s="68" t="str">
        <f t="shared" si="25"/>
        <v/>
      </c>
      <c r="AO36" s="77"/>
      <c r="AP36" s="61">
        <v>0.0</v>
      </c>
      <c r="AQ36" s="62" t="str">
        <f t="shared" si="148"/>
        <v/>
      </c>
      <c r="AR36" s="61"/>
      <c r="AS36" s="62" t="str">
        <f t="shared" si="149"/>
        <v/>
      </c>
      <c r="AT36" s="61">
        <v>0.0</v>
      </c>
      <c r="AU36" s="62" t="str">
        <f t="shared" si="28"/>
        <v/>
      </c>
      <c r="AV36" s="61">
        <v>0.0</v>
      </c>
      <c r="AW36" s="62" t="str">
        <f t="shared" si="29"/>
        <v/>
      </c>
      <c r="AX36" s="63">
        <v>0.0</v>
      </c>
      <c r="AY36" s="74">
        <f t="shared" si="153"/>
        <v>0</v>
      </c>
      <c r="AZ36" s="68"/>
      <c r="BA36" s="68"/>
      <c r="BB36" s="68"/>
      <c r="BC36" s="68"/>
      <c r="BD36" s="68"/>
      <c r="BE36" s="68"/>
      <c r="BF36" s="74"/>
      <c r="BG36" s="68" t="str">
        <f t="shared" si="31"/>
        <v/>
      </c>
      <c r="BH36" s="13"/>
      <c r="BI36" s="77"/>
      <c r="BJ36" s="61">
        <v>0.0</v>
      </c>
      <c r="BK36" s="62" t="str">
        <f t="shared" si="32"/>
        <v/>
      </c>
      <c r="BL36" s="61">
        <v>0.0</v>
      </c>
      <c r="BM36" s="62" t="str">
        <f t="shared" si="33"/>
        <v/>
      </c>
      <c r="BN36" s="61">
        <v>0.0</v>
      </c>
      <c r="BO36" s="62" t="str">
        <f t="shared" si="34"/>
        <v/>
      </c>
      <c r="BP36" s="61">
        <v>0.0</v>
      </c>
      <c r="BQ36" s="62" t="str">
        <f t="shared" si="35"/>
        <v/>
      </c>
      <c r="BR36" s="63">
        <v>0.0</v>
      </c>
      <c r="BS36" s="74">
        <v>0.0</v>
      </c>
      <c r="BT36" s="68"/>
      <c r="BU36" s="68"/>
      <c r="BV36" s="68"/>
      <c r="BW36" s="68"/>
      <c r="BX36" s="68"/>
      <c r="BY36" s="68" t="str">
        <f t="shared" si="102"/>
        <v/>
      </c>
      <c r="BZ36" s="74"/>
      <c r="CA36" s="68" t="str">
        <f t="shared" si="37"/>
        <v/>
      </c>
      <c r="CB36" s="13"/>
      <c r="CC36" s="80"/>
      <c r="CD36" s="61">
        <v>0.0</v>
      </c>
      <c r="CE36" s="62" t="str">
        <f t="shared" si="38"/>
        <v/>
      </c>
      <c r="CF36" s="61">
        <v>0.0</v>
      </c>
      <c r="CG36" s="62" t="str">
        <f t="shared" si="39"/>
        <v/>
      </c>
      <c r="CH36" s="61">
        <v>0.0</v>
      </c>
      <c r="CI36" s="62" t="str">
        <f t="shared" si="40"/>
        <v/>
      </c>
      <c r="CJ36" s="61">
        <v>0.0</v>
      </c>
      <c r="CK36" s="62" t="str">
        <f t="shared" si="41"/>
        <v/>
      </c>
      <c r="CL36" s="63">
        <v>0.0</v>
      </c>
      <c r="CM36" s="74">
        <v>0.0</v>
      </c>
      <c r="CN36" s="68"/>
      <c r="CO36" s="68"/>
      <c r="CP36" s="68"/>
      <c r="CQ36" s="68"/>
      <c r="CR36" s="68"/>
      <c r="CS36" s="68" t="str">
        <f t="shared" si="104"/>
        <v/>
      </c>
      <c r="CT36" s="74"/>
      <c r="CU36" s="68" t="str">
        <f t="shared" si="43"/>
        <v/>
      </c>
      <c r="CV36" s="78"/>
      <c r="CW36" s="76"/>
      <c r="CX36" s="61">
        <v>0.0</v>
      </c>
      <c r="CY36" s="62" t="str">
        <f t="shared" si="44"/>
        <v/>
      </c>
      <c r="CZ36" s="61">
        <v>0.0</v>
      </c>
      <c r="DA36" s="62" t="str">
        <f t="shared" si="45"/>
        <v/>
      </c>
      <c r="DB36" s="61">
        <v>0.0</v>
      </c>
      <c r="DC36" s="62" t="str">
        <f t="shared" si="46"/>
        <v/>
      </c>
      <c r="DD36" s="61">
        <v>0.0</v>
      </c>
      <c r="DE36" s="62" t="str">
        <f t="shared" si="47"/>
        <v/>
      </c>
      <c r="DF36" s="63">
        <v>0.0</v>
      </c>
      <c r="DG36" s="74">
        <v>0.0</v>
      </c>
      <c r="DH36" s="68"/>
      <c r="DI36" s="68"/>
      <c r="DJ36" s="68"/>
      <c r="DK36" s="68"/>
      <c r="DL36" s="68"/>
      <c r="DM36" s="68" t="str">
        <f t="shared" si="106"/>
        <v/>
      </c>
      <c r="DN36" s="74"/>
      <c r="DO36" s="68" t="str">
        <f t="shared" si="49"/>
        <v/>
      </c>
      <c r="DP36" s="78"/>
      <c r="DQ36" s="76"/>
      <c r="DR36" s="61">
        <v>0.0</v>
      </c>
      <c r="DS36" s="62" t="str">
        <f t="shared" si="50"/>
        <v/>
      </c>
      <c r="DT36" s="61">
        <v>0.0</v>
      </c>
      <c r="DU36" s="62" t="str">
        <f t="shared" si="51"/>
        <v/>
      </c>
      <c r="DV36" s="61">
        <v>0.0</v>
      </c>
      <c r="DW36" s="62" t="str">
        <f t="shared" si="52"/>
        <v/>
      </c>
      <c r="DX36" s="61">
        <v>0.0</v>
      </c>
      <c r="DY36" s="62" t="str">
        <f t="shared" si="53"/>
        <v/>
      </c>
      <c r="DZ36" s="63">
        <v>0.0</v>
      </c>
      <c r="EA36" s="74">
        <v>0.0</v>
      </c>
      <c r="EB36" s="68"/>
      <c r="EC36" s="68"/>
      <c r="ED36" s="68"/>
      <c r="EE36" s="68"/>
      <c r="EF36" s="68"/>
      <c r="EG36" s="68" t="str">
        <f t="shared" si="108"/>
        <v/>
      </c>
      <c r="EH36" s="74"/>
      <c r="EI36" s="68" t="str">
        <f t="shared" si="55"/>
        <v/>
      </c>
      <c r="EJ36" s="78"/>
    </row>
    <row r="37" ht="15.75" hidden="1" customHeight="1" outlineLevel="1">
      <c r="A37" s="79">
        <f t="shared" si="145"/>
        <v>45507</v>
      </c>
      <c r="B37" s="61">
        <f t="shared" si="150"/>
        <v>0</v>
      </c>
      <c r="C37" s="62" t="str">
        <f t="shared" si="9"/>
        <v/>
      </c>
      <c r="D37" s="61">
        <f t="shared" si="151"/>
        <v>0</v>
      </c>
      <c r="E37" s="62" t="str">
        <f t="shared" si="11"/>
        <v/>
      </c>
      <c r="F37" s="61">
        <f t="shared" si="12"/>
        <v>0</v>
      </c>
      <c r="G37" s="62" t="str">
        <f t="shared" si="13"/>
        <v/>
      </c>
      <c r="H37" s="61">
        <f t="shared" si="14"/>
        <v>0</v>
      </c>
      <c r="I37" s="62" t="str">
        <f t="shared" si="15"/>
        <v/>
      </c>
      <c r="J37" s="63">
        <f t="shared" ref="J37:P37" si="155">SUM(AD37,AX37,BR37,CL37,DF37)</f>
        <v>0</v>
      </c>
      <c r="K37" s="64">
        <f t="shared" si="155"/>
        <v>0</v>
      </c>
      <c r="L37" s="65">
        <f t="shared" si="155"/>
        <v>0</v>
      </c>
      <c r="M37" s="65">
        <f t="shared" si="155"/>
        <v>0</v>
      </c>
      <c r="N37" s="65">
        <f t="shared" si="155"/>
        <v>0</v>
      </c>
      <c r="O37" s="65">
        <f t="shared" si="155"/>
        <v>0</v>
      </c>
      <c r="P37" s="65">
        <f t="shared" si="155"/>
        <v>0</v>
      </c>
      <c r="Q37" s="66" t="str">
        <f t="shared" si="17"/>
        <v/>
      </c>
      <c r="R37" s="67">
        <f t="shared" si="18"/>
        <v>0</v>
      </c>
      <c r="S37" s="68" t="str">
        <f t="shared" si="19"/>
        <v/>
      </c>
      <c r="T37" s="13"/>
      <c r="U37" s="76"/>
      <c r="V37" s="61">
        <v>0.0</v>
      </c>
      <c r="W37" s="62"/>
      <c r="X37" s="61"/>
      <c r="Y37" s="62" t="str">
        <f t="shared" si="136"/>
        <v/>
      </c>
      <c r="Z37" s="61">
        <v>0.0</v>
      </c>
      <c r="AA37" s="62" t="str">
        <f t="shared" si="22"/>
        <v/>
      </c>
      <c r="AB37" s="61">
        <v>0.0</v>
      </c>
      <c r="AC37" s="62" t="str">
        <f t="shared" si="23"/>
        <v/>
      </c>
      <c r="AD37" s="63">
        <v>0.0</v>
      </c>
      <c r="AE37" s="74">
        <f t="shared" si="156"/>
        <v>0</v>
      </c>
      <c r="AF37" s="68"/>
      <c r="AG37" s="68"/>
      <c r="AH37" s="68"/>
      <c r="AI37" s="68"/>
      <c r="AJ37" s="68"/>
      <c r="AK37" s="68"/>
      <c r="AL37" s="74"/>
      <c r="AM37" s="68" t="str">
        <f t="shared" si="25"/>
        <v/>
      </c>
      <c r="AO37" s="77"/>
      <c r="AP37" s="61">
        <v>0.0</v>
      </c>
      <c r="AQ37" s="62" t="str">
        <f t="shared" si="148"/>
        <v/>
      </c>
      <c r="AR37" s="61"/>
      <c r="AS37" s="62" t="str">
        <f t="shared" si="149"/>
        <v/>
      </c>
      <c r="AT37" s="61">
        <v>0.0</v>
      </c>
      <c r="AU37" s="62" t="str">
        <f t="shared" si="28"/>
        <v/>
      </c>
      <c r="AV37" s="61">
        <v>0.0</v>
      </c>
      <c r="AW37" s="62" t="str">
        <f t="shared" si="29"/>
        <v/>
      </c>
      <c r="AX37" s="63">
        <v>0.0</v>
      </c>
      <c r="AY37" s="74">
        <f t="shared" si="153"/>
        <v>0</v>
      </c>
      <c r="AZ37" s="68"/>
      <c r="BA37" s="68"/>
      <c r="BB37" s="68"/>
      <c r="BC37" s="68"/>
      <c r="BD37" s="68"/>
      <c r="BE37" s="68"/>
      <c r="BF37" s="74"/>
      <c r="BG37" s="68" t="str">
        <f t="shared" si="31"/>
        <v/>
      </c>
      <c r="BH37" s="13"/>
      <c r="BI37" s="77"/>
      <c r="BJ37" s="61">
        <v>0.0</v>
      </c>
      <c r="BK37" s="62" t="str">
        <f t="shared" si="32"/>
        <v/>
      </c>
      <c r="BL37" s="61">
        <v>0.0</v>
      </c>
      <c r="BM37" s="62" t="str">
        <f t="shared" si="33"/>
        <v/>
      </c>
      <c r="BN37" s="61">
        <v>0.0</v>
      </c>
      <c r="BO37" s="62" t="str">
        <f t="shared" si="34"/>
        <v/>
      </c>
      <c r="BP37" s="61">
        <v>0.0</v>
      </c>
      <c r="BQ37" s="62" t="str">
        <f t="shared" si="35"/>
        <v/>
      </c>
      <c r="BR37" s="63">
        <v>0.0</v>
      </c>
      <c r="BS37" s="74">
        <v>0.0</v>
      </c>
      <c r="BT37" s="68"/>
      <c r="BU37" s="68"/>
      <c r="BV37" s="68"/>
      <c r="BW37" s="68"/>
      <c r="BX37" s="68"/>
      <c r="BY37" s="68" t="str">
        <f t="shared" si="102"/>
        <v/>
      </c>
      <c r="BZ37" s="74"/>
      <c r="CA37" s="68" t="str">
        <f t="shared" si="37"/>
        <v/>
      </c>
      <c r="CB37" s="13"/>
      <c r="CC37" s="80"/>
      <c r="CD37" s="61">
        <v>0.0</v>
      </c>
      <c r="CE37" s="62" t="str">
        <f t="shared" si="38"/>
        <v/>
      </c>
      <c r="CF37" s="61">
        <v>0.0</v>
      </c>
      <c r="CG37" s="62" t="str">
        <f t="shared" si="39"/>
        <v/>
      </c>
      <c r="CH37" s="61">
        <v>0.0</v>
      </c>
      <c r="CI37" s="62" t="str">
        <f t="shared" si="40"/>
        <v/>
      </c>
      <c r="CJ37" s="61">
        <v>0.0</v>
      </c>
      <c r="CK37" s="62" t="str">
        <f t="shared" si="41"/>
        <v/>
      </c>
      <c r="CL37" s="63">
        <v>0.0</v>
      </c>
      <c r="CM37" s="74">
        <v>0.0</v>
      </c>
      <c r="CN37" s="68"/>
      <c r="CO37" s="68"/>
      <c r="CP37" s="68"/>
      <c r="CQ37" s="68"/>
      <c r="CR37" s="68"/>
      <c r="CS37" s="68" t="str">
        <f t="shared" si="104"/>
        <v/>
      </c>
      <c r="CT37" s="74"/>
      <c r="CU37" s="68" t="str">
        <f t="shared" si="43"/>
        <v/>
      </c>
      <c r="CV37" s="78"/>
      <c r="CW37" s="76"/>
      <c r="CX37" s="61">
        <v>0.0</v>
      </c>
      <c r="CY37" s="62" t="str">
        <f t="shared" si="44"/>
        <v/>
      </c>
      <c r="CZ37" s="61">
        <v>0.0</v>
      </c>
      <c r="DA37" s="62" t="str">
        <f t="shared" si="45"/>
        <v/>
      </c>
      <c r="DB37" s="61">
        <v>0.0</v>
      </c>
      <c r="DC37" s="62" t="str">
        <f t="shared" si="46"/>
        <v/>
      </c>
      <c r="DD37" s="61">
        <v>0.0</v>
      </c>
      <c r="DE37" s="62" t="str">
        <f t="shared" si="47"/>
        <v/>
      </c>
      <c r="DF37" s="63">
        <v>0.0</v>
      </c>
      <c r="DG37" s="74">
        <v>0.0</v>
      </c>
      <c r="DH37" s="68"/>
      <c r="DI37" s="68"/>
      <c r="DJ37" s="68"/>
      <c r="DK37" s="68"/>
      <c r="DL37" s="68"/>
      <c r="DM37" s="68" t="str">
        <f t="shared" si="106"/>
        <v/>
      </c>
      <c r="DN37" s="74"/>
      <c r="DO37" s="68" t="str">
        <f t="shared" si="49"/>
        <v/>
      </c>
      <c r="DP37" s="78"/>
      <c r="DQ37" s="76"/>
      <c r="DR37" s="61">
        <v>0.0</v>
      </c>
      <c r="DS37" s="62" t="str">
        <f t="shared" si="50"/>
        <v/>
      </c>
      <c r="DT37" s="61">
        <v>0.0</v>
      </c>
      <c r="DU37" s="62" t="str">
        <f t="shared" si="51"/>
        <v/>
      </c>
      <c r="DV37" s="61">
        <v>0.0</v>
      </c>
      <c r="DW37" s="62" t="str">
        <f t="shared" si="52"/>
        <v/>
      </c>
      <c r="DX37" s="61">
        <v>0.0</v>
      </c>
      <c r="DY37" s="62" t="str">
        <f t="shared" si="53"/>
        <v/>
      </c>
      <c r="DZ37" s="63">
        <v>0.0</v>
      </c>
      <c r="EA37" s="74">
        <v>0.0</v>
      </c>
      <c r="EB37" s="68"/>
      <c r="EC37" s="68"/>
      <c r="ED37" s="68"/>
      <c r="EE37" s="68"/>
      <c r="EF37" s="68"/>
      <c r="EG37" s="68" t="str">
        <f t="shared" si="108"/>
        <v/>
      </c>
      <c r="EH37" s="74"/>
      <c r="EI37" s="68" t="str">
        <f t="shared" si="55"/>
        <v/>
      </c>
      <c r="EJ37" s="78"/>
    </row>
    <row r="38" ht="15.75" hidden="1" customHeight="1" outlineLevel="1">
      <c r="A38" s="75">
        <f t="shared" si="145"/>
        <v>45506</v>
      </c>
      <c r="B38" s="61">
        <f t="shared" si="150"/>
        <v>0</v>
      </c>
      <c r="C38" s="62" t="str">
        <f t="shared" si="9"/>
        <v/>
      </c>
      <c r="D38" s="61">
        <f t="shared" si="151"/>
        <v>0</v>
      </c>
      <c r="E38" s="62" t="str">
        <f t="shared" si="11"/>
        <v/>
      </c>
      <c r="F38" s="61">
        <f t="shared" si="12"/>
        <v>0</v>
      </c>
      <c r="G38" s="62" t="str">
        <f t="shared" si="13"/>
        <v/>
      </c>
      <c r="H38" s="61">
        <f t="shared" si="14"/>
        <v>0</v>
      </c>
      <c r="I38" s="62" t="str">
        <f t="shared" si="15"/>
        <v/>
      </c>
      <c r="J38" s="63">
        <f t="shared" ref="J38:P38" si="157">SUM(AD38,AX38,BR38,CL38,DF38)</f>
        <v>0</v>
      </c>
      <c r="K38" s="64">
        <f t="shared" si="157"/>
        <v>0</v>
      </c>
      <c r="L38" s="65">
        <f t="shared" si="157"/>
        <v>0</v>
      </c>
      <c r="M38" s="65">
        <f t="shared" si="157"/>
        <v>0</v>
      </c>
      <c r="N38" s="65">
        <f t="shared" si="157"/>
        <v>0</v>
      </c>
      <c r="O38" s="65">
        <f t="shared" si="157"/>
        <v>0</v>
      </c>
      <c r="P38" s="65">
        <f t="shared" si="157"/>
        <v>0</v>
      </c>
      <c r="Q38" s="66" t="str">
        <f t="shared" si="17"/>
        <v/>
      </c>
      <c r="R38" s="67">
        <f t="shared" si="18"/>
        <v>0</v>
      </c>
      <c r="S38" s="68" t="str">
        <f t="shared" si="19"/>
        <v/>
      </c>
      <c r="T38" s="13"/>
      <c r="U38" s="76"/>
      <c r="V38" s="61">
        <v>0.0</v>
      </c>
      <c r="W38" s="62"/>
      <c r="X38" s="61"/>
      <c r="Y38" s="62" t="str">
        <f t="shared" si="136"/>
        <v/>
      </c>
      <c r="Z38" s="61">
        <v>0.0</v>
      </c>
      <c r="AA38" s="62" t="str">
        <f t="shared" si="22"/>
        <v/>
      </c>
      <c r="AB38" s="61">
        <v>0.0</v>
      </c>
      <c r="AC38" s="62" t="str">
        <f t="shared" si="23"/>
        <v/>
      </c>
      <c r="AD38" s="63">
        <v>0.0</v>
      </c>
      <c r="AE38" s="74">
        <f t="shared" si="156"/>
        <v>0</v>
      </c>
      <c r="AF38" s="68"/>
      <c r="AG38" s="68"/>
      <c r="AH38" s="68"/>
      <c r="AI38" s="68"/>
      <c r="AJ38" s="68"/>
      <c r="AK38" s="68"/>
      <c r="AL38" s="74"/>
      <c r="AM38" s="68" t="str">
        <f t="shared" si="25"/>
        <v/>
      </c>
      <c r="AO38" s="77"/>
      <c r="AP38" s="61">
        <v>0.0</v>
      </c>
      <c r="AQ38" s="62" t="str">
        <f t="shared" si="148"/>
        <v/>
      </c>
      <c r="AR38" s="61"/>
      <c r="AS38" s="62" t="str">
        <f t="shared" si="149"/>
        <v/>
      </c>
      <c r="AT38" s="61">
        <v>0.0</v>
      </c>
      <c r="AU38" s="62" t="str">
        <f t="shared" si="28"/>
        <v/>
      </c>
      <c r="AV38" s="61">
        <v>0.0</v>
      </c>
      <c r="AW38" s="62" t="str">
        <f t="shared" si="29"/>
        <v/>
      </c>
      <c r="AX38" s="63">
        <v>0.0</v>
      </c>
      <c r="AY38" s="74">
        <f t="shared" si="153"/>
        <v>0</v>
      </c>
      <c r="AZ38" s="68"/>
      <c r="BA38" s="68"/>
      <c r="BB38" s="68"/>
      <c r="BC38" s="68"/>
      <c r="BD38" s="68"/>
      <c r="BE38" s="68"/>
      <c r="BF38" s="74"/>
      <c r="BG38" s="68" t="str">
        <f t="shared" si="31"/>
        <v/>
      </c>
      <c r="BH38" s="13"/>
      <c r="BI38" s="77"/>
      <c r="BJ38" s="61">
        <v>0.0</v>
      </c>
      <c r="BK38" s="62" t="str">
        <f t="shared" si="32"/>
        <v/>
      </c>
      <c r="BL38" s="61">
        <v>0.0</v>
      </c>
      <c r="BM38" s="62" t="str">
        <f t="shared" si="33"/>
        <v/>
      </c>
      <c r="BN38" s="61">
        <v>0.0</v>
      </c>
      <c r="BO38" s="62" t="str">
        <f t="shared" si="34"/>
        <v/>
      </c>
      <c r="BP38" s="61">
        <v>0.0</v>
      </c>
      <c r="BQ38" s="62" t="str">
        <f t="shared" si="35"/>
        <v/>
      </c>
      <c r="BR38" s="63">
        <v>0.0</v>
      </c>
      <c r="BS38" s="74">
        <v>0.0</v>
      </c>
      <c r="BT38" s="68"/>
      <c r="BU38" s="68"/>
      <c r="BV38" s="68"/>
      <c r="BW38" s="68"/>
      <c r="BX38" s="68"/>
      <c r="BY38" s="68" t="str">
        <f t="shared" si="102"/>
        <v/>
      </c>
      <c r="BZ38" s="74"/>
      <c r="CA38" s="68" t="str">
        <f t="shared" si="37"/>
        <v/>
      </c>
      <c r="CB38" s="13"/>
      <c r="CC38" s="80"/>
      <c r="CD38" s="61">
        <v>0.0</v>
      </c>
      <c r="CE38" s="62" t="str">
        <f t="shared" si="38"/>
        <v/>
      </c>
      <c r="CF38" s="61">
        <v>0.0</v>
      </c>
      <c r="CG38" s="62" t="str">
        <f t="shared" si="39"/>
        <v/>
      </c>
      <c r="CH38" s="61">
        <v>0.0</v>
      </c>
      <c r="CI38" s="62" t="str">
        <f t="shared" si="40"/>
        <v/>
      </c>
      <c r="CJ38" s="61">
        <v>0.0</v>
      </c>
      <c r="CK38" s="62" t="str">
        <f t="shared" si="41"/>
        <v/>
      </c>
      <c r="CL38" s="63">
        <v>0.0</v>
      </c>
      <c r="CM38" s="74">
        <v>0.0</v>
      </c>
      <c r="CN38" s="68"/>
      <c r="CO38" s="68"/>
      <c r="CP38" s="68"/>
      <c r="CQ38" s="68"/>
      <c r="CR38" s="68"/>
      <c r="CS38" s="68" t="str">
        <f t="shared" si="104"/>
        <v/>
      </c>
      <c r="CT38" s="74"/>
      <c r="CU38" s="68" t="str">
        <f t="shared" si="43"/>
        <v/>
      </c>
      <c r="CV38" s="78"/>
      <c r="CW38" s="76"/>
      <c r="CX38" s="61">
        <v>0.0</v>
      </c>
      <c r="CY38" s="62" t="str">
        <f t="shared" si="44"/>
        <v/>
      </c>
      <c r="CZ38" s="61">
        <v>0.0</v>
      </c>
      <c r="DA38" s="62" t="str">
        <f t="shared" si="45"/>
        <v/>
      </c>
      <c r="DB38" s="61">
        <v>0.0</v>
      </c>
      <c r="DC38" s="62" t="str">
        <f t="shared" si="46"/>
        <v/>
      </c>
      <c r="DD38" s="61">
        <v>0.0</v>
      </c>
      <c r="DE38" s="62" t="str">
        <f t="shared" si="47"/>
        <v/>
      </c>
      <c r="DF38" s="63">
        <v>0.0</v>
      </c>
      <c r="DG38" s="74">
        <v>0.0</v>
      </c>
      <c r="DH38" s="68"/>
      <c r="DI38" s="68"/>
      <c r="DJ38" s="68"/>
      <c r="DK38" s="68"/>
      <c r="DL38" s="68"/>
      <c r="DM38" s="68" t="str">
        <f t="shared" si="106"/>
        <v/>
      </c>
      <c r="DN38" s="74"/>
      <c r="DO38" s="68" t="str">
        <f t="shared" si="49"/>
        <v/>
      </c>
      <c r="DP38" s="78"/>
      <c r="DQ38" s="76"/>
      <c r="DR38" s="61">
        <v>0.0</v>
      </c>
      <c r="DS38" s="62" t="str">
        <f t="shared" si="50"/>
        <v/>
      </c>
      <c r="DT38" s="61">
        <v>0.0</v>
      </c>
      <c r="DU38" s="62" t="str">
        <f t="shared" si="51"/>
        <v/>
      </c>
      <c r="DV38" s="61">
        <v>0.0</v>
      </c>
      <c r="DW38" s="62" t="str">
        <f t="shared" si="52"/>
        <v/>
      </c>
      <c r="DX38" s="61">
        <v>0.0</v>
      </c>
      <c r="DY38" s="62" t="str">
        <f t="shared" si="53"/>
        <v/>
      </c>
      <c r="DZ38" s="63">
        <v>0.0</v>
      </c>
      <c r="EA38" s="74">
        <v>0.0</v>
      </c>
      <c r="EB38" s="68"/>
      <c r="EC38" s="68"/>
      <c r="ED38" s="68"/>
      <c r="EE38" s="68"/>
      <c r="EF38" s="68"/>
      <c r="EG38" s="68" t="str">
        <f t="shared" si="108"/>
        <v/>
      </c>
      <c r="EH38" s="74"/>
      <c r="EI38" s="68" t="str">
        <f t="shared" si="55"/>
        <v/>
      </c>
      <c r="EJ38" s="78"/>
    </row>
    <row r="39" ht="15.75" hidden="1" customHeight="1" outlineLevel="1">
      <c r="A39" s="75">
        <v>45505.0</v>
      </c>
      <c r="B39" s="61">
        <f t="shared" si="150"/>
        <v>0</v>
      </c>
      <c r="C39" s="62" t="str">
        <f t="shared" si="9"/>
        <v/>
      </c>
      <c r="D39" s="61">
        <f t="shared" si="151"/>
        <v>0</v>
      </c>
      <c r="E39" s="62" t="str">
        <f t="shared" si="11"/>
        <v/>
      </c>
      <c r="F39" s="61">
        <f t="shared" si="12"/>
        <v>0</v>
      </c>
      <c r="G39" s="62" t="str">
        <f t="shared" si="13"/>
        <v/>
      </c>
      <c r="H39" s="61">
        <f t="shared" si="14"/>
        <v>0</v>
      </c>
      <c r="I39" s="62" t="str">
        <f t="shared" si="15"/>
        <v/>
      </c>
      <c r="J39" s="63">
        <f t="shared" ref="J39:P39" si="158">SUM(AD39,AX39,BR39,CL39,DF39)</f>
        <v>0</v>
      </c>
      <c r="K39" s="64">
        <f t="shared" si="158"/>
        <v>0</v>
      </c>
      <c r="L39" s="65">
        <f t="shared" si="158"/>
        <v>0</v>
      </c>
      <c r="M39" s="65">
        <f t="shared" si="158"/>
        <v>0</v>
      </c>
      <c r="N39" s="65">
        <f t="shared" si="158"/>
        <v>0</v>
      </c>
      <c r="O39" s="65">
        <f t="shared" si="158"/>
        <v>0</v>
      </c>
      <c r="P39" s="65">
        <f t="shared" si="158"/>
        <v>0</v>
      </c>
      <c r="Q39" s="66" t="str">
        <f t="shared" si="17"/>
        <v/>
      </c>
      <c r="R39" s="67">
        <f t="shared" si="18"/>
        <v>0</v>
      </c>
      <c r="S39" s="68" t="str">
        <f t="shared" si="19"/>
        <v/>
      </c>
      <c r="T39" s="13"/>
      <c r="U39" s="76"/>
      <c r="V39" s="61">
        <v>0.0</v>
      </c>
      <c r="W39" s="62"/>
      <c r="X39" s="61"/>
      <c r="Y39" s="62" t="str">
        <f t="shared" si="136"/>
        <v/>
      </c>
      <c r="Z39" s="61">
        <v>0.0</v>
      </c>
      <c r="AA39" s="62" t="str">
        <f t="shared" si="22"/>
        <v/>
      </c>
      <c r="AB39" s="61">
        <v>0.0</v>
      </c>
      <c r="AC39" s="62" t="str">
        <f t="shared" si="23"/>
        <v/>
      </c>
      <c r="AD39" s="63">
        <v>0.0</v>
      </c>
      <c r="AE39" s="74">
        <v>0.0</v>
      </c>
      <c r="AF39" s="68"/>
      <c r="AG39" s="68"/>
      <c r="AH39" s="68"/>
      <c r="AI39" s="68"/>
      <c r="AJ39" s="68"/>
      <c r="AK39" s="68"/>
      <c r="AL39" s="74"/>
      <c r="AM39" s="68" t="str">
        <f t="shared" si="25"/>
        <v/>
      </c>
      <c r="AO39" s="82"/>
      <c r="AP39" s="61">
        <v>0.0</v>
      </c>
      <c r="AQ39" s="62" t="str">
        <f t="shared" si="148"/>
        <v/>
      </c>
      <c r="AR39" s="61"/>
      <c r="AS39" s="62" t="str">
        <f t="shared" si="149"/>
        <v/>
      </c>
      <c r="AT39" s="61">
        <v>0.0</v>
      </c>
      <c r="AU39" s="62" t="str">
        <f t="shared" si="28"/>
        <v/>
      </c>
      <c r="AV39" s="61">
        <v>0.0</v>
      </c>
      <c r="AW39" s="62" t="str">
        <f t="shared" si="29"/>
        <v/>
      </c>
      <c r="AX39" s="63">
        <v>0.0</v>
      </c>
      <c r="AY39" s="74">
        <f t="shared" si="153"/>
        <v>0</v>
      </c>
      <c r="AZ39" s="68"/>
      <c r="BA39" s="68"/>
      <c r="BB39" s="68"/>
      <c r="BC39" s="68"/>
      <c r="BD39" s="68"/>
      <c r="BE39" s="68"/>
      <c r="BF39" s="74"/>
      <c r="BG39" s="68" t="str">
        <f t="shared" si="31"/>
        <v/>
      </c>
      <c r="BH39" s="13"/>
      <c r="BI39" s="82"/>
      <c r="BJ39" s="61">
        <v>0.0</v>
      </c>
      <c r="BK39" s="62" t="str">
        <f t="shared" si="32"/>
        <v/>
      </c>
      <c r="BL39" s="61">
        <v>0.0</v>
      </c>
      <c r="BM39" s="62" t="str">
        <f t="shared" si="33"/>
        <v/>
      </c>
      <c r="BN39" s="61">
        <v>0.0</v>
      </c>
      <c r="BO39" s="62" t="str">
        <f t="shared" si="34"/>
        <v/>
      </c>
      <c r="BP39" s="61">
        <v>0.0</v>
      </c>
      <c r="BQ39" s="62" t="str">
        <f t="shared" si="35"/>
        <v/>
      </c>
      <c r="BR39" s="63">
        <v>0.0</v>
      </c>
      <c r="BS39" s="74">
        <v>0.0</v>
      </c>
      <c r="BT39" s="68"/>
      <c r="BU39" s="68"/>
      <c r="BV39" s="68"/>
      <c r="BW39" s="68"/>
      <c r="BX39" s="68"/>
      <c r="BY39" s="68" t="str">
        <f t="shared" si="102"/>
        <v/>
      </c>
      <c r="BZ39" s="74"/>
      <c r="CA39" s="68" t="str">
        <f t="shared" si="37"/>
        <v/>
      </c>
      <c r="CB39" s="13"/>
      <c r="CC39" s="80"/>
      <c r="CD39" s="61">
        <v>0.0</v>
      </c>
      <c r="CE39" s="62" t="str">
        <f t="shared" si="38"/>
        <v/>
      </c>
      <c r="CF39" s="61">
        <v>0.0</v>
      </c>
      <c r="CG39" s="62" t="str">
        <f t="shared" si="39"/>
        <v/>
      </c>
      <c r="CH39" s="61">
        <v>0.0</v>
      </c>
      <c r="CI39" s="62" t="str">
        <f t="shared" si="40"/>
        <v/>
      </c>
      <c r="CJ39" s="61">
        <v>0.0</v>
      </c>
      <c r="CK39" s="62" t="str">
        <f t="shared" si="41"/>
        <v/>
      </c>
      <c r="CL39" s="63">
        <v>0.0</v>
      </c>
      <c r="CM39" s="74">
        <v>0.0</v>
      </c>
      <c r="CN39" s="68"/>
      <c r="CO39" s="68"/>
      <c r="CP39" s="68"/>
      <c r="CQ39" s="68"/>
      <c r="CR39" s="68"/>
      <c r="CS39" s="68" t="str">
        <f t="shared" si="104"/>
        <v/>
      </c>
      <c r="CT39" s="74"/>
      <c r="CU39" s="68" t="str">
        <f t="shared" si="43"/>
        <v/>
      </c>
      <c r="CV39" s="78"/>
      <c r="CW39" s="76"/>
      <c r="CX39" s="61">
        <v>0.0</v>
      </c>
      <c r="CY39" s="62" t="str">
        <f t="shared" si="44"/>
        <v/>
      </c>
      <c r="CZ39" s="61">
        <v>0.0</v>
      </c>
      <c r="DA39" s="62" t="str">
        <f t="shared" si="45"/>
        <v/>
      </c>
      <c r="DB39" s="61">
        <v>0.0</v>
      </c>
      <c r="DC39" s="62" t="str">
        <f t="shared" si="46"/>
        <v/>
      </c>
      <c r="DD39" s="61">
        <v>0.0</v>
      </c>
      <c r="DE39" s="62" t="str">
        <f t="shared" si="47"/>
        <v/>
      </c>
      <c r="DF39" s="63">
        <v>0.0</v>
      </c>
      <c r="DG39" s="74">
        <v>0.0</v>
      </c>
      <c r="DH39" s="68"/>
      <c r="DI39" s="68"/>
      <c r="DJ39" s="68"/>
      <c r="DK39" s="68"/>
      <c r="DL39" s="68"/>
      <c r="DM39" s="68" t="str">
        <f t="shared" si="106"/>
        <v/>
      </c>
      <c r="DN39" s="74"/>
      <c r="DO39" s="68" t="str">
        <f t="shared" si="49"/>
        <v/>
      </c>
      <c r="DP39" s="78"/>
      <c r="DQ39" s="76"/>
      <c r="DR39" s="61">
        <v>0.0</v>
      </c>
      <c r="DS39" s="62" t="str">
        <f t="shared" si="50"/>
        <v/>
      </c>
      <c r="DT39" s="61">
        <v>0.0</v>
      </c>
      <c r="DU39" s="62" t="str">
        <f t="shared" si="51"/>
        <v/>
      </c>
      <c r="DV39" s="61">
        <v>0.0</v>
      </c>
      <c r="DW39" s="62" t="str">
        <f t="shared" si="52"/>
        <v/>
      </c>
      <c r="DX39" s="61">
        <v>0.0</v>
      </c>
      <c r="DY39" s="62" t="str">
        <f t="shared" si="53"/>
        <v/>
      </c>
      <c r="DZ39" s="63">
        <v>0.0</v>
      </c>
      <c r="EA39" s="74">
        <v>0.0</v>
      </c>
      <c r="EB39" s="68"/>
      <c r="EC39" s="68"/>
      <c r="ED39" s="68"/>
      <c r="EE39" s="68"/>
      <c r="EF39" s="68"/>
      <c r="EG39" s="68" t="str">
        <f t="shared" si="108"/>
        <v/>
      </c>
      <c r="EH39" s="74"/>
      <c r="EI39" s="68" t="str">
        <f t="shared" si="55"/>
        <v/>
      </c>
      <c r="EJ39" s="7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</sheetData>
  <mergeCells count="7">
    <mergeCell ref="B1:R1"/>
    <mergeCell ref="V1:AK1"/>
    <mergeCell ref="AP1:BE1"/>
    <mergeCell ref="BJ1:CA1"/>
    <mergeCell ref="CD1:CU1"/>
    <mergeCell ref="CX1:DO1"/>
    <mergeCell ref="DR1:E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9.0" ySplit="3.0" topLeftCell="T4" activePane="bottomRight" state="frozen"/>
      <selection activeCell="T1" sqref="T1" pane="topRight"/>
      <selection activeCell="A4" sqref="A4" pane="bottomLeft"/>
      <selection activeCell="T4" sqref="T4" pane="bottomRight"/>
    </sheetView>
  </sheetViews>
  <sheetFormatPr customHeight="1" defaultColWidth="12.63" defaultRowHeight="15.0" outlineLevelCol="2" outlineLevelRow="1"/>
  <cols>
    <col customWidth="1" min="1" max="1" width="10.5"/>
    <col customWidth="1" min="2" max="2" width="6.38"/>
    <col customWidth="1" min="3" max="3" width="5.5"/>
    <col customWidth="1" min="4" max="4" width="5.25"/>
    <col customWidth="1" min="5" max="5" width="5.5"/>
    <col customWidth="1" min="6" max="6" width="7.38"/>
    <col customWidth="1" min="7" max="7" width="6.38"/>
    <col customWidth="1" min="8" max="8" width="10.75"/>
    <col customWidth="1" min="9" max="9" width="5.38"/>
    <col collapsed="1" customWidth="1" min="10" max="10" width="9.0"/>
    <col customWidth="1" hidden="1" min="11" max="11" width="8.5" outlineLevel="1"/>
    <col customWidth="1" hidden="1" min="12" max="14" width="6.38" outlineLevel="1"/>
    <col customWidth="1" hidden="1" min="15" max="15" width="8.75" outlineLevel="1"/>
    <col customWidth="1" hidden="1" min="16" max="17" width="6.38" outlineLevel="1"/>
    <col customWidth="1" min="18" max="18" width="8.75"/>
    <col customWidth="1" min="19" max="19" width="6.38"/>
    <col customWidth="1" min="20" max="20" width="2.5"/>
    <col customWidth="1" min="21" max="21" width="6.13"/>
    <col customWidth="1" hidden="1" min="22" max="22" width="6.5" outlineLevel="1"/>
    <col customWidth="1" hidden="1" min="23" max="23" width="4.63" outlineLevel="1"/>
    <col customWidth="1" hidden="1" min="24" max="24" width="6.0" outlineLevel="1"/>
    <col customWidth="1" hidden="1" min="25" max="25" width="4.25" outlineLevel="1"/>
    <col customWidth="1" hidden="1" min="26" max="26" width="12.13" outlineLevel="1"/>
    <col customWidth="1" hidden="1" min="27" max="27" width="6.5" outlineLevel="1"/>
    <col customWidth="1" hidden="1" min="28" max="28" width="8.5" outlineLevel="1"/>
    <col customWidth="1" hidden="1" min="29" max="29" width="6.5" outlineLevel="1"/>
    <col customWidth="1" hidden="1" min="30" max="30" width="9.75" outlineLevel="1"/>
    <col customWidth="1" hidden="1" min="31" max="31" width="8.75" outlineLevel="1"/>
    <col customWidth="1" hidden="1" min="32" max="34" width="6.5" outlineLevel="2"/>
    <col customWidth="1" hidden="1" min="35" max="35" width="11.0" outlineLevel="2"/>
    <col customWidth="1" hidden="1" min="36" max="37" width="6.5" outlineLevel="2"/>
    <col customWidth="1" hidden="1" min="38" max="38" width="8.25" outlineLevel="2"/>
    <col customWidth="1" hidden="1" min="39" max="39" width="6.5" outlineLevel="1"/>
    <col customWidth="1" min="40" max="40" width="2.38"/>
    <col customWidth="1" min="41" max="41" width="7.88"/>
    <col customWidth="1" hidden="1" min="42" max="42" width="6.5" outlineLevel="1"/>
    <col customWidth="1" hidden="1" min="43" max="43" width="4.25" outlineLevel="1"/>
    <col customWidth="1" hidden="1" min="44" max="44" width="6.63" outlineLevel="1"/>
    <col customWidth="1" hidden="1" min="45" max="45" width="4.25" outlineLevel="1"/>
    <col customWidth="1" hidden="1" min="46" max="46" width="8.38" outlineLevel="1"/>
    <col customWidth="1" hidden="1" min="47" max="47" width="6.5" outlineLevel="1"/>
    <col customWidth="1" hidden="1" min="48" max="48" width="7.5" outlineLevel="1"/>
    <col customWidth="1" hidden="1" min="49" max="49" width="6.5" outlineLevel="1"/>
    <col customWidth="1" hidden="1" min="50" max="50" width="8.88" outlineLevel="1"/>
    <col customWidth="1" hidden="1" min="51" max="51" width="8.0" outlineLevel="1"/>
    <col customWidth="1" hidden="1" min="52" max="58" width="6.5" outlineLevel="2"/>
    <col customWidth="1" hidden="1" min="59" max="59" width="6.5" outlineLevel="1"/>
    <col customWidth="1" min="60" max="60" width="2.38"/>
    <col customWidth="1" min="61" max="61" width="4.75"/>
    <col customWidth="1" hidden="1" min="62" max="62" width="6.5" outlineLevel="1"/>
    <col customWidth="1" hidden="1" min="63" max="63" width="4.88" outlineLevel="1"/>
    <col customWidth="1" hidden="1" min="64" max="64" width="6.88" outlineLevel="1"/>
    <col customWidth="1" hidden="1" min="65" max="65" width="5.0" outlineLevel="1"/>
    <col customWidth="1" hidden="1" min="66" max="66" width="9.25" outlineLevel="1"/>
    <col customWidth="1" hidden="1" min="67" max="67" width="5.5" outlineLevel="1"/>
    <col customWidth="1" hidden="1" min="68" max="68" width="9.13" outlineLevel="1"/>
    <col customWidth="1" hidden="1" min="69" max="69" width="5.88" outlineLevel="1"/>
    <col customWidth="1" hidden="1" min="70" max="70" width="9.63" outlineLevel="1"/>
    <col customWidth="1" hidden="1" min="71" max="71" width="8.0" outlineLevel="1"/>
    <col customWidth="1" hidden="1" min="72" max="78" width="6.5" outlineLevel="2"/>
    <col customWidth="1" hidden="1" min="79" max="79" width="6.5" outlineLevel="1"/>
    <col customWidth="1" min="80" max="80" width="2.38"/>
    <col customWidth="1" min="81" max="81" width="4.38"/>
    <col customWidth="1" hidden="1" min="82" max="85" width="6.0" outlineLevel="1"/>
    <col customWidth="1" hidden="1" min="86" max="86" width="8.0" outlineLevel="1"/>
    <col customWidth="1" hidden="1" min="87" max="87" width="6.0" outlineLevel="1"/>
    <col customWidth="1" hidden="1" min="88" max="88" width="8.0" outlineLevel="1"/>
    <col customWidth="1" hidden="1" min="89" max="90" width="6.0" outlineLevel="1"/>
    <col customWidth="1" hidden="1" min="91" max="91" width="8.13" outlineLevel="1"/>
    <col customWidth="1" hidden="1" min="92" max="98" width="6.0" outlineLevel="2"/>
    <col customWidth="1" hidden="1" min="99" max="99" width="6.0" outlineLevel="1"/>
    <col customWidth="1" min="100" max="100" width="2.63"/>
    <col customWidth="1" min="101" max="101" width="4.75"/>
    <col customWidth="1" hidden="1" min="102" max="110" width="6.25" outlineLevel="1"/>
    <col customWidth="1" hidden="1" min="111" max="111" width="8.0" outlineLevel="1"/>
    <col customWidth="1" hidden="1" min="112" max="118" width="6.25" outlineLevel="2"/>
    <col customWidth="1" hidden="1" min="119" max="119" width="6.25" outlineLevel="1"/>
    <col customWidth="1" min="120" max="120" width="2.63"/>
    <col customWidth="1" min="121" max="121" width="7.38"/>
    <col customWidth="1" hidden="1" min="122" max="130" width="6.25" outlineLevel="1"/>
    <col customWidth="1" hidden="1" min="131" max="131" width="8.0" outlineLevel="1"/>
    <col customWidth="1" hidden="1" min="132" max="138" width="6.25" outlineLevel="2"/>
    <col customWidth="1" hidden="1" min="139" max="139" width="6.25" outlineLevel="1"/>
    <col customWidth="1" min="140" max="140" width="2.63"/>
  </cols>
  <sheetData>
    <row r="1" ht="15.75" customHeight="1">
      <c r="A1" s="1"/>
      <c r="B1" s="2" t="s">
        <v>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6"/>
      <c r="U1" s="7" t="s">
        <v>1</v>
      </c>
      <c r="V1" s="8" t="s">
        <v>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9"/>
      <c r="AM1" s="9"/>
      <c r="AO1" s="10" t="s">
        <v>2</v>
      </c>
      <c r="AP1" s="8" t="s">
        <v>2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9"/>
      <c r="BG1" s="9"/>
      <c r="BI1" s="11" t="s">
        <v>3</v>
      </c>
      <c r="BJ1" s="12" t="s">
        <v>3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13"/>
      <c r="CC1" s="14" t="s">
        <v>4</v>
      </c>
      <c r="CD1" s="12" t="s">
        <v>5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4"/>
      <c r="CV1" s="15"/>
      <c r="CW1" s="11" t="s">
        <v>6</v>
      </c>
      <c r="CX1" s="12" t="s">
        <v>6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4"/>
      <c r="DP1" s="15"/>
      <c r="DQ1" s="14" t="s">
        <v>7</v>
      </c>
      <c r="DR1" s="12" t="s">
        <v>7</v>
      </c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4"/>
      <c r="EJ1" s="15"/>
    </row>
    <row r="2" ht="15.75" customHeight="1">
      <c r="A2" s="16"/>
      <c r="B2" s="17" t="s">
        <v>24</v>
      </c>
      <c r="C2" s="17" t="s">
        <v>45</v>
      </c>
      <c r="D2" s="17" t="s">
        <v>26</v>
      </c>
      <c r="E2" s="17" t="s">
        <v>45</v>
      </c>
      <c r="F2" s="17" t="s">
        <v>46</v>
      </c>
      <c r="G2" s="17" t="s">
        <v>45</v>
      </c>
      <c r="H2" s="17" t="s">
        <v>28</v>
      </c>
      <c r="I2" s="17" t="s">
        <v>25</v>
      </c>
      <c r="J2" s="17" t="s">
        <v>29</v>
      </c>
      <c r="K2" s="83" t="s">
        <v>47</v>
      </c>
      <c r="L2" s="21" t="s">
        <v>6</v>
      </c>
      <c r="M2" s="21" t="s">
        <v>3</v>
      </c>
      <c r="N2" s="21" t="s">
        <v>5</v>
      </c>
      <c r="O2" s="21" t="s">
        <v>31</v>
      </c>
      <c r="P2" s="21" t="s">
        <v>32</v>
      </c>
      <c r="Q2" s="22" t="s">
        <v>21</v>
      </c>
      <c r="R2" s="23" t="s">
        <v>22</v>
      </c>
      <c r="S2" s="23" t="s">
        <v>23</v>
      </c>
      <c r="T2" s="13"/>
      <c r="U2" s="24"/>
      <c r="V2" s="25" t="s">
        <v>24</v>
      </c>
      <c r="W2" s="25" t="s">
        <v>25</v>
      </c>
      <c r="X2" s="26" t="s">
        <v>26</v>
      </c>
      <c r="Y2" s="25" t="s">
        <v>25</v>
      </c>
      <c r="Z2" s="27" t="s">
        <v>46</v>
      </c>
      <c r="AA2" s="25" t="s">
        <v>25</v>
      </c>
      <c r="AB2" s="27" t="s">
        <v>28</v>
      </c>
      <c r="AC2" s="25" t="s">
        <v>25</v>
      </c>
      <c r="AD2" s="28" t="s">
        <v>29</v>
      </c>
      <c r="AE2" s="31" t="s">
        <v>36</v>
      </c>
      <c r="AF2" s="29" t="s">
        <v>6</v>
      </c>
      <c r="AG2" s="29" t="s">
        <v>3</v>
      </c>
      <c r="AH2" s="29" t="s">
        <v>5</v>
      </c>
      <c r="AI2" s="29" t="s">
        <v>31</v>
      </c>
      <c r="AJ2" s="29" t="s">
        <v>32</v>
      </c>
      <c r="AK2" s="29" t="s">
        <v>33</v>
      </c>
      <c r="AL2" s="23" t="s">
        <v>34</v>
      </c>
      <c r="AM2" s="23" t="s">
        <v>35</v>
      </c>
      <c r="AO2" s="30"/>
      <c r="AP2" s="25" t="s">
        <v>24</v>
      </c>
      <c r="AQ2" s="25" t="s">
        <v>25</v>
      </c>
      <c r="AR2" s="26" t="s">
        <v>26</v>
      </c>
      <c r="AS2" s="25" t="s">
        <v>25</v>
      </c>
      <c r="AT2" s="27" t="s">
        <v>46</v>
      </c>
      <c r="AU2" s="25" t="s">
        <v>25</v>
      </c>
      <c r="AV2" s="27" t="s">
        <v>28</v>
      </c>
      <c r="AW2" s="25" t="s">
        <v>25</v>
      </c>
      <c r="AX2" s="28" t="s">
        <v>29</v>
      </c>
      <c r="AY2" s="31" t="s">
        <v>36</v>
      </c>
      <c r="AZ2" s="29" t="s">
        <v>6</v>
      </c>
      <c r="BA2" s="29" t="s">
        <v>3</v>
      </c>
      <c r="BB2" s="29" t="s">
        <v>5</v>
      </c>
      <c r="BC2" s="29" t="s">
        <v>31</v>
      </c>
      <c r="BD2" s="29" t="s">
        <v>32</v>
      </c>
      <c r="BE2" s="29" t="s">
        <v>33</v>
      </c>
      <c r="BF2" s="23" t="s">
        <v>34</v>
      </c>
      <c r="BG2" s="23" t="s">
        <v>35</v>
      </c>
      <c r="BI2" s="30"/>
      <c r="BJ2" s="25" t="s">
        <v>24</v>
      </c>
      <c r="BK2" s="25" t="s">
        <v>25</v>
      </c>
      <c r="BL2" s="26" t="s">
        <v>26</v>
      </c>
      <c r="BM2" s="25" t="s">
        <v>25</v>
      </c>
      <c r="BN2" s="27" t="s">
        <v>46</v>
      </c>
      <c r="BO2" s="25" t="s">
        <v>25</v>
      </c>
      <c r="BP2" s="27" t="s">
        <v>28</v>
      </c>
      <c r="BQ2" s="25" t="s">
        <v>25</v>
      </c>
      <c r="BR2" s="28" t="s">
        <v>29</v>
      </c>
      <c r="BS2" s="31" t="s">
        <v>36</v>
      </c>
      <c r="BT2" s="29" t="s">
        <v>6</v>
      </c>
      <c r="BU2" s="29" t="s">
        <v>3</v>
      </c>
      <c r="BV2" s="29" t="s">
        <v>5</v>
      </c>
      <c r="BW2" s="29" t="s">
        <v>31</v>
      </c>
      <c r="BX2" s="29" t="s">
        <v>32</v>
      </c>
      <c r="BY2" s="29" t="s">
        <v>33</v>
      </c>
      <c r="BZ2" s="23" t="s">
        <v>34</v>
      </c>
      <c r="CA2" s="23" t="s">
        <v>35</v>
      </c>
      <c r="CB2" s="13"/>
      <c r="CC2" s="30"/>
      <c r="CD2" s="25" t="s">
        <v>24</v>
      </c>
      <c r="CE2" s="25" t="s">
        <v>25</v>
      </c>
      <c r="CF2" s="25" t="s">
        <v>26</v>
      </c>
      <c r="CG2" s="25" t="s">
        <v>25</v>
      </c>
      <c r="CH2" s="27" t="s">
        <v>46</v>
      </c>
      <c r="CI2" s="25" t="s">
        <v>25</v>
      </c>
      <c r="CJ2" s="25" t="s">
        <v>28</v>
      </c>
      <c r="CK2" s="25" t="s">
        <v>25</v>
      </c>
      <c r="CL2" s="32" t="s">
        <v>29</v>
      </c>
      <c r="CM2" s="33" t="s">
        <v>36</v>
      </c>
      <c r="CN2" s="29" t="s">
        <v>6</v>
      </c>
      <c r="CO2" s="29" t="s">
        <v>3</v>
      </c>
      <c r="CP2" s="29" t="s">
        <v>5</v>
      </c>
      <c r="CQ2" s="29" t="s">
        <v>31</v>
      </c>
      <c r="CR2" s="29" t="s">
        <v>32</v>
      </c>
      <c r="CS2" s="29" t="s">
        <v>33</v>
      </c>
      <c r="CT2" s="23" t="s">
        <v>34</v>
      </c>
      <c r="CU2" s="23" t="s">
        <v>35</v>
      </c>
      <c r="CV2" s="34"/>
      <c r="CW2" s="30"/>
      <c r="CX2" s="25" t="s">
        <v>24</v>
      </c>
      <c r="CY2" s="25" t="s">
        <v>25</v>
      </c>
      <c r="CZ2" s="25" t="s">
        <v>26</v>
      </c>
      <c r="DA2" s="25" t="s">
        <v>25</v>
      </c>
      <c r="DB2" s="25" t="s">
        <v>27</v>
      </c>
      <c r="DC2" s="25" t="s">
        <v>25</v>
      </c>
      <c r="DD2" s="25" t="s">
        <v>28</v>
      </c>
      <c r="DE2" s="25" t="s">
        <v>25</v>
      </c>
      <c r="DF2" s="32" t="s">
        <v>29</v>
      </c>
      <c r="DG2" s="33" t="s">
        <v>36</v>
      </c>
      <c r="DH2" s="29" t="s">
        <v>6</v>
      </c>
      <c r="DI2" s="29" t="s">
        <v>3</v>
      </c>
      <c r="DJ2" s="29" t="s">
        <v>5</v>
      </c>
      <c r="DK2" s="29" t="s">
        <v>31</v>
      </c>
      <c r="DL2" s="29" t="s">
        <v>32</v>
      </c>
      <c r="DM2" s="29" t="s">
        <v>33</v>
      </c>
      <c r="DN2" s="23" t="s">
        <v>34</v>
      </c>
      <c r="DO2" s="23" t="s">
        <v>35</v>
      </c>
      <c r="DP2" s="34"/>
      <c r="DQ2" s="30"/>
      <c r="DR2" s="25" t="s">
        <v>24</v>
      </c>
      <c r="DS2" s="25" t="s">
        <v>25</v>
      </c>
      <c r="DT2" s="25" t="s">
        <v>26</v>
      </c>
      <c r="DU2" s="25" t="s">
        <v>25</v>
      </c>
      <c r="DV2" s="25" t="s">
        <v>27</v>
      </c>
      <c r="DW2" s="25" t="s">
        <v>25</v>
      </c>
      <c r="DX2" s="25" t="s">
        <v>28</v>
      </c>
      <c r="DY2" s="25" t="s">
        <v>25</v>
      </c>
      <c r="DZ2" s="32" t="s">
        <v>29</v>
      </c>
      <c r="EA2" s="33" t="s">
        <v>36</v>
      </c>
      <c r="EB2" s="29" t="s">
        <v>6</v>
      </c>
      <c r="EC2" s="29" t="s">
        <v>3</v>
      </c>
      <c r="ED2" s="29" t="s">
        <v>5</v>
      </c>
      <c r="EE2" s="29" t="s">
        <v>31</v>
      </c>
      <c r="EF2" s="29" t="s">
        <v>32</v>
      </c>
      <c r="EG2" s="29" t="s">
        <v>33</v>
      </c>
      <c r="EH2" s="23" t="s">
        <v>34</v>
      </c>
      <c r="EI2" s="23" t="s">
        <v>35</v>
      </c>
      <c r="EJ2" s="34"/>
    </row>
    <row r="3" ht="15.75" customHeight="1">
      <c r="A3" s="35" t="s">
        <v>37</v>
      </c>
      <c r="B3" s="36">
        <f t="shared" ref="B3:B39" si="8">SUM(V3,AP3,BJ3,CD3,CX3)</f>
        <v>0</v>
      </c>
      <c r="C3" s="37" t="str">
        <f t="shared" ref="C3:C39" si="9">IFERROR(D3/B3,"")</f>
        <v/>
      </c>
      <c r="D3" s="38">
        <f t="shared" ref="D3:D39" si="10">SUM(X3,AR3,BL3,CF3,CZ3)</f>
        <v>68</v>
      </c>
      <c r="E3" s="84">
        <f t="shared" ref="E3:E39" si="11">IFERROR(F3/D3,"")</f>
        <v>0.2647058824</v>
      </c>
      <c r="F3" s="38">
        <f t="shared" ref="F3:F39" si="12">SUM(Z3,AT3,BN3,CH3,DB3)</f>
        <v>18</v>
      </c>
      <c r="G3" s="85">
        <f t="shared" ref="G3:G39" si="13">IFERROR(H3/F3,"")</f>
        <v>41.64501907</v>
      </c>
      <c r="H3" s="86">
        <f t="shared" ref="H3:H31" si="14">SUM(AB3,AV3,BP3,CJ3,DD3)</f>
        <v>749.6103433</v>
      </c>
      <c r="I3" s="37">
        <f t="shared" ref="I3:I39" si="15">IFERROR(J3/H3,"")</f>
        <v>0.7673462243</v>
      </c>
      <c r="J3" s="86">
        <f t="shared" ref="J3:P3" si="1">SUM(AD3,AX3,BR3,CL3,DF3)</f>
        <v>575.2106667</v>
      </c>
      <c r="K3" s="38">
        <f t="shared" si="1"/>
        <v>0</v>
      </c>
      <c r="L3" s="38">
        <f t="shared" si="1"/>
        <v>0</v>
      </c>
      <c r="M3" s="38">
        <f t="shared" si="1"/>
        <v>0</v>
      </c>
      <c r="N3" s="38">
        <f t="shared" si="1"/>
        <v>0</v>
      </c>
      <c r="O3" s="38">
        <f t="shared" si="1"/>
        <v>0</v>
      </c>
      <c r="P3" s="38">
        <f t="shared" si="1"/>
        <v>0</v>
      </c>
      <c r="Q3" s="87" t="str">
        <f t="shared" ref="Q3:Q39" si="17">IFERROR(R3/K3,"")</f>
        <v/>
      </c>
      <c r="R3" s="40">
        <f t="shared" ref="R3:R39" si="18">SUM(AL3,BF3,BZ3,CT3,DN3)</f>
        <v>0</v>
      </c>
      <c r="S3" s="42">
        <f t="shared" ref="S3:S39" si="19">IFERROR(J3/H3,"")</f>
        <v>0.7673462243</v>
      </c>
      <c r="T3" s="13"/>
      <c r="U3" s="43"/>
      <c r="V3" s="36">
        <f>V32+V24+V16+V8+V4</f>
        <v>0</v>
      </c>
      <c r="W3" s="37" t="str">
        <f t="shared" ref="W3:W30" si="20">IFERROR(X3/V3,"")</f>
        <v/>
      </c>
      <c r="X3" s="38">
        <f>X32+X24+X16+X8+X4</f>
        <v>57</v>
      </c>
      <c r="Y3" s="37">
        <f t="shared" ref="Y3:Y30" si="21">IFERROR(Z3/X3,"")</f>
        <v>0.2456140351</v>
      </c>
      <c r="Z3" s="38">
        <f>Z32+Z24+Z16+Z8+Z4</f>
        <v>14</v>
      </c>
      <c r="AA3" s="37">
        <f t="shared" ref="AA3:AA39" si="22">IFERROR(AB3/Z3,"")</f>
        <v>7.496274523</v>
      </c>
      <c r="AB3" s="86">
        <f>AB32+AB24+AB16+AB8+AB4</f>
        <v>104.9478433</v>
      </c>
      <c r="AC3" s="37">
        <f t="shared" ref="AC3:AC39" si="23">IFERROR(AD3/AB3,"")</f>
        <v>4.132844972</v>
      </c>
      <c r="AD3" s="86">
        <f t="shared" ref="AD3:AJ3" si="2">AD32+AD24+AD16+AD8+AD4</f>
        <v>433.7331667</v>
      </c>
      <c r="AE3" s="39">
        <f t="shared" si="2"/>
        <v>0</v>
      </c>
      <c r="AF3" s="40">
        <f t="shared" si="2"/>
        <v>0</v>
      </c>
      <c r="AG3" s="40">
        <f t="shared" si="2"/>
        <v>0</v>
      </c>
      <c r="AH3" s="40">
        <f t="shared" si="2"/>
        <v>0</v>
      </c>
      <c r="AI3" s="40">
        <f t="shared" si="2"/>
        <v>0</v>
      </c>
      <c r="AJ3" s="40">
        <f t="shared" si="2"/>
        <v>0</v>
      </c>
      <c r="AK3" s="41" t="str">
        <f>IFERROR(AL3/AE3,"")</f>
        <v/>
      </c>
      <c r="AL3" s="40">
        <f>AL32+AL24+AL16+AL8+AL4</f>
        <v>0</v>
      </c>
      <c r="AM3" s="42">
        <f t="shared" ref="AM3:AM39" si="25">IFERROR(AD3/AB3,"")</f>
        <v>4.132844972</v>
      </c>
      <c r="AO3" s="44"/>
      <c r="AP3" s="36">
        <f>AP32+AP24+AP16+AP8+AP4</f>
        <v>0</v>
      </c>
      <c r="AQ3" s="37" t="str">
        <f t="shared" ref="AQ3:AQ31" si="26">IFERROR(AR3/AP3,"")</f>
        <v/>
      </c>
      <c r="AR3" s="38">
        <f>AR32+AR24+AR16+AR8+AR4</f>
        <v>5</v>
      </c>
      <c r="AS3" s="37">
        <f t="shared" ref="AS3:AS31" si="27">IFERROR(AT3/AR3,"")</f>
        <v>0</v>
      </c>
      <c r="AT3" s="36">
        <f>AT32+AT24+AT16+AT8+AT4</f>
        <v>0</v>
      </c>
      <c r="AU3" s="37" t="str">
        <f t="shared" ref="AU3:AU39" si="28">IFERROR(AV3/AT3,"")</f>
        <v/>
      </c>
      <c r="AV3" s="86">
        <f>AV32+AV24+AV16+AV8+AV4</f>
        <v>442.57</v>
      </c>
      <c r="AW3" s="37">
        <f t="shared" ref="AW3:AW39" si="29">IFERROR(AX3/AV3,"")</f>
        <v>0</v>
      </c>
      <c r="AX3" s="38">
        <f t="shared" ref="AX3:BD3" si="3">AX32+AX24+AX16+AX8+AX4</f>
        <v>0</v>
      </c>
      <c r="AY3" s="39">
        <f t="shared" si="3"/>
        <v>0</v>
      </c>
      <c r="AZ3" s="40">
        <f t="shared" si="3"/>
        <v>0</v>
      </c>
      <c r="BA3" s="40">
        <f t="shared" si="3"/>
        <v>0</v>
      </c>
      <c r="BB3" s="40">
        <f t="shared" si="3"/>
        <v>0</v>
      </c>
      <c r="BC3" s="40">
        <f t="shared" si="3"/>
        <v>0</v>
      </c>
      <c r="BD3" s="40">
        <f t="shared" si="3"/>
        <v>0</v>
      </c>
      <c r="BE3" s="41" t="str">
        <f>IFERROR(BF3/AY3,"")</f>
        <v/>
      </c>
      <c r="BF3" s="39">
        <f>BF32+BF24+BF16+BF8+BF4</f>
        <v>0</v>
      </c>
      <c r="BG3" s="42">
        <f t="shared" ref="BG3:BG39" si="31">IFERROR(AX3/AV3,"")</f>
        <v>0</v>
      </c>
      <c r="BI3" s="44"/>
      <c r="BJ3" s="36">
        <f>BJ32+BJ24+BJ16+BJ8+BJ4</f>
        <v>0</v>
      </c>
      <c r="BK3" s="37" t="str">
        <f t="shared" ref="BK3:BK39" si="32">IFERROR(BL3/BJ3,"")</f>
        <v/>
      </c>
      <c r="BL3" s="38">
        <f>BL32+BL24+BL16+BL8+BL4</f>
        <v>4</v>
      </c>
      <c r="BM3" s="37">
        <f t="shared" ref="BM3:BM39" si="33">IFERROR(BN3/BL3,"")</f>
        <v>1</v>
      </c>
      <c r="BN3" s="36">
        <f>BN32+BN24+BN16+BN8+BN4</f>
        <v>4</v>
      </c>
      <c r="BO3" s="37">
        <f t="shared" ref="BO3:BO39" si="34">IFERROR(BP3/BN3,"")</f>
        <v>35.369375</v>
      </c>
      <c r="BP3" s="86">
        <f>BP32+BP24+BP16+BP8+BP4</f>
        <v>141.4775</v>
      </c>
      <c r="BQ3" s="37">
        <f t="shared" ref="BQ3:BQ39" si="35">IFERROR(BR3/BP3,"")</f>
        <v>1</v>
      </c>
      <c r="BR3" s="86">
        <f t="shared" ref="BR3:BX3" si="4">BR32+BR24+BR16+BR8+BR4</f>
        <v>141.4775</v>
      </c>
      <c r="BS3" s="39">
        <f t="shared" si="4"/>
        <v>0</v>
      </c>
      <c r="BT3" s="40">
        <f t="shared" si="4"/>
        <v>0</v>
      </c>
      <c r="BU3" s="40">
        <f t="shared" si="4"/>
        <v>0</v>
      </c>
      <c r="BV3" s="40">
        <f t="shared" si="4"/>
        <v>0</v>
      </c>
      <c r="BW3" s="40">
        <f t="shared" si="4"/>
        <v>0</v>
      </c>
      <c r="BX3" s="40">
        <f t="shared" si="4"/>
        <v>0</v>
      </c>
      <c r="BY3" s="41" t="str">
        <f>IFERROR(BZ3/BS3,"")</f>
        <v/>
      </c>
      <c r="BZ3" s="39">
        <f>BZ32+BZ24+BZ16+BZ8+BZ4</f>
        <v>0</v>
      </c>
      <c r="CA3" s="42">
        <f t="shared" ref="CA3:CA39" si="37">IFERROR(BR3/BP3,"")</f>
        <v>1</v>
      </c>
      <c r="CB3" s="13"/>
      <c r="CC3" s="44"/>
      <c r="CD3" s="36">
        <f>CD32+CD24+CD16+CD8+CD4</f>
        <v>0</v>
      </c>
      <c r="CE3" s="37" t="str">
        <f t="shared" ref="CE3:CE39" si="38">IFERROR(CF3/CD3,"")</f>
        <v/>
      </c>
      <c r="CF3" s="36">
        <f>CF32+CF24+CF16+CF8+CF4</f>
        <v>2</v>
      </c>
      <c r="CG3" s="37">
        <f t="shared" ref="CG3:CG39" si="39">IFERROR(CH3/CF3,"")</f>
        <v>0</v>
      </c>
      <c r="CH3" s="36">
        <f>CH32+CH24+CH16+CH8+CH4</f>
        <v>0</v>
      </c>
      <c r="CI3" s="37" t="str">
        <f t="shared" ref="CI3:CI39" si="40">IFERROR(CJ3/CH3,"")</f>
        <v/>
      </c>
      <c r="CJ3" s="86">
        <f>CJ32+CJ24+CJ16+CJ8+CJ4</f>
        <v>60.615</v>
      </c>
      <c r="CK3" s="37">
        <f t="shared" ref="CK3:CK39" si="41">IFERROR(CL3/CJ3,"")</f>
        <v>0</v>
      </c>
      <c r="CL3" s="38">
        <f t="shared" ref="CL3:CR3" si="5">CL32+CL24+CL16+CL8+CL4</f>
        <v>0</v>
      </c>
      <c r="CM3" s="39">
        <f t="shared" si="5"/>
        <v>0</v>
      </c>
      <c r="CN3" s="40">
        <f t="shared" si="5"/>
        <v>0</v>
      </c>
      <c r="CO3" s="40">
        <f t="shared" si="5"/>
        <v>0</v>
      </c>
      <c r="CP3" s="40">
        <f t="shared" si="5"/>
        <v>0</v>
      </c>
      <c r="CQ3" s="40">
        <f t="shared" si="5"/>
        <v>0</v>
      </c>
      <c r="CR3" s="40">
        <f t="shared" si="5"/>
        <v>0</v>
      </c>
      <c r="CS3" s="41" t="str">
        <f>IFERROR(CT3/CM3,"")</f>
        <v/>
      </c>
      <c r="CT3" s="39">
        <f>CT32+CT24+CT16+CT8+CT4</f>
        <v>0</v>
      </c>
      <c r="CU3" s="42">
        <f t="shared" ref="CU3:CU39" si="43">IFERROR(CL3/CJ3,"")</f>
        <v>0</v>
      </c>
      <c r="CV3" s="15"/>
      <c r="CW3" s="44"/>
      <c r="CX3" s="36">
        <f>CX32+CX24+CX16+CX8+CX4</f>
        <v>0</v>
      </c>
      <c r="CY3" s="37" t="str">
        <f t="shared" ref="CY3:CY39" si="44">IFERROR(CZ3/CX3,"")</f>
        <v/>
      </c>
      <c r="CZ3" s="36">
        <f>CZ32+CZ24+CZ16+CZ8+CZ4</f>
        <v>0</v>
      </c>
      <c r="DA3" s="37" t="str">
        <f t="shared" ref="DA3:DA39" si="45">IFERROR(DB3/CZ3,"")</f>
        <v/>
      </c>
      <c r="DB3" s="36">
        <f>DB32+DB24+DB16+DB8+DB4</f>
        <v>0</v>
      </c>
      <c r="DC3" s="37" t="str">
        <f t="shared" ref="DC3:DC39" si="46">IFERROR(DD3/DB3,"")</f>
        <v/>
      </c>
      <c r="DD3" s="36">
        <f>DD32+DD24+DD16+DD8+DD4</f>
        <v>0</v>
      </c>
      <c r="DE3" s="37" t="str">
        <f t="shared" ref="DE3:DE39" si="47">IFERROR(DF3/DD3,"")</f>
        <v/>
      </c>
      <c r="DF3" s="38">
        <f t="shared" ref="DF3:DL3" si="6">DF32+DF24+DF16+DF8+DF4</f>
        <v>0</v>
      </c>
      <c r="DG3" s="39">
        <f t="shared" si="6"/>
        <v>0</v>
      </c>
      <c r="DH3" s="40">
        <f t="shared" si="6"/>
        <v>0</v>
      </c>
      <c r="DI3" s="40">
        <f t="shared" si="6"/>
        <v>0</v>
      </c>
      <c r="DJ3" s="40">
        <f t="shared" si="6"/>
        <v>0</v>
      </c>
      <c r="DK3" s="40">
        <f t="shared" si="6"/>
        <v>0</v>
      </c>
      <c r="DL3" s="40">
        <f t="shared" si="6"/>
        <v>0</v>
      </c>
      <c r="DM3" s="41" t="str">
        <f>IFERROR(DN3/DG3,"")</f>
        <v/>
      </c>
      <c r="DN3" s="39">
        <f>DN32+DN24+DN16+DN8+DN4</f>
        <v>0</v>
      </c>
      <c r="DO3" s="42" t="str">
        <f t="shared" ref="DO3:DO39" si="49">IFERROR(DF3/DD3,"")</f>
        <v/>
      </c>
      <c r="DP3" s="15"/>
      <c r="DQ3" s="44"/>
      <c r="DR3" s="36">
        <f>DR32+DR24+DR16+DR8+DR4</f>
        <v>0</v>
      </c>
      <c r="DS3" s="37" t="str">
        <f t="shared" ref="DS3:DS39" si="50">IFERROR(DT3/DR3,"")</f>
        <v/>
      </c>
      <c r="DT3" s="36">
        <f>DT32+DT24+DT16+DT8+DT4</f>
        <v>0</v>
      </c>
      <c r="DU3" s="37" t="str">
        <f t="shared" ref="DU3:DU39" si="51">IFERROR(DV3/DT3,"")</f>
        <v/>
      </c>
      <c r="DV3" s="36">
        <f>DV32+DV24+DV16+DV8+DV4</f>
        <v>0</v>
      </c>
      <c r="DW3" s="37" t="str">
        <f t="shared" ref="DW3:DW39" si="52">IFERROR(DX3/DV3,"")</f>
        <v/>
      </c>
      <c r="DX3" s="36">
        <f>DX32+DX24+DX16+DX8+DX4</f>
        <v>0</v>
      </c>
      <c r="DY3" s="37" t="str">
        <f t="shared" ref="DY3:DY39" si="53">IFERROR(DZ3/DX3,"")</f>
        <v/>
      </c>
      <c r="DZ3" s="38">
        <f t="shared" ref="DZ3:EF3" si="7">DZ32+DZ24+DZ16+DZ8+DZ4</f>
        <v>0</v>
      </c>
      <c r="EA3" s="39">
        <f t="shared" si="7"/>
        <v>0</v>
      </c>
      <c r="EB3" s="40">
        <f t="shared" si="7"/>
        <v>0</v>
      </c>
      <c r="EC3" s="40">
        <f t="shared" si="7"/>
        <v>0</v>
      </c>
      <c r="ED3" s="40">
        <f t="shared" si="7"/>
        <v>0</v>
      </c>
      <c r="EE3" s="40">
        <f t="shared" si="7"/>
        <v>0</v>
      </c>
      <c r="EF3" s="40">
        <f t="shared" si="7"/>
        <v>0</v>
      </c>
      <c r="EG3" s="41" t="str">
        <f>IFERROR(EH3/EA3,"")</f>
        <v/>
      </c>
      <c r="EH3" s="39">
        <f>EH32+EH24+EH16+EH8+EH4</f>
        <v>0</v>
      </c>
      <c r="EI3" s="42" t="str">
        <f t="shared" ref="EI3:EI39" si="55">IFERROR(DZ3/DX3,"")</f>
        <v/>
      </c>
      <c r="EJ3" s="15"/>
    </row>
    <row r="4" ht="15.0" customHeight="1" collapsed="1">
      <c r="A4" s="45" t="s">
        <v>38</v>
      </c>
      <c r="B4" s="46">
        <f t="shared" si="8"/>
        <v>0</v>
      </c>
      <c r="C4" s="47" t="str">
        <f t="shared" si="9"/>
        <v/>
      </c>
      <c r="D4" s="46">
        <f t="shared" si="10"/>
        <v>0</v>
      </c>
      <c r="E4" s="88" t="str">
        <f t="shared" si="11"/>
        <v/>
      </c>
      <c r="F4" s="46">
        <f t="shared" si="12"/>
        <v>0</v>
      </c>
      <c r="G4" s="89" t="str">
        <f t="shared" si="13"/>
        <v/>
      </c>
      <c r="H4" s="46">
        <f t="shared" si="14"/>
        <v>0</v>
      </c>
      <c r="I4" s="48" t="str">
        <f t="shared" si="15"/>
        <v/>
      </c>
      <c r="J4" s="49">
        <f t="shared" ref="J4:P4" si="16">SUM(AD4,AX4,BR4,CL4,DF4)</f>
        <v>0</v>
      </c>
      <c r="K4" s="49">
        <f t="shared" si="16"/>
        <v>0</v>
      </c>
      <c r="L4" s="90">
        <f t="shared" si="16"/>
        <v>0</v>
      </c>
      <c r="M4" s="90">
        <f t="shared" si="16"/>
        <v>0</v>
      </c>
      <c r="N4" s="90">
        <f t="shared" si="16"/>
        <v>0</v>
      </c>
      <c r="O4" s="90">
        <f t="shared" si="16"/>
        <v>0</v>
      </c>
      <c r="P4" s="90">
        <f t="shared" si="16"/>
        <v>0</v>
      </c>
      <c r="Q4" s="90" t="str">
        <f t="shared" si="17"/>
        <v/>
      </c>
      <c r="R4" s="53">
        <f t="shared" si="18"/>
        <v>0</v>
      </c>
      <c r="S4" s="54" t="str">
        <f t="shared" si="19"/>
        <v/>
      </c>
      <c r="T4" s="55"/>
      <c r="U4" s="56"/>
      <c r="V4" s="46">
        <f>SUM(V5:V7)</f>
        <v>0</v>
      </c>
      <c r="W4" s="47" t="str">
        <f t="shared" si="20"/>
        <v/>
      </c>
      <c r="X4" s="46">
        <f>SUM(X5:X7)</f>
        <v>0</v>
      </c>
      <c r="Y4" s="47" t="str">
        <f t="shared" si="21"/>
        <v/>
      </c>
      <c r="Z4" s="46">
        <f>SUM(Z5:Z7)</f>
        <v>0</v>
      </c>
      <c r="AA4" s="47" t="str">
        <f t="shared" si="22"/>
        <v/>
      </c>
      <c r="AB4" s="46">
        <f>SUM(AB5:AB7)</f>
        <v>0</v>
      </c>
      <c r="AC4" s="48" t="str">
        <f t="shared" si="23"/>
        <v/>
      </c>
      <c r="AD4" s="49">
        <f t="shared" ref="AD4:AJ4" si="24">SUM(AD5:AD7)</f>
        <v>0</v>
      </c>
      <c r="AE4" s="50">
        <f t="shared" si="24"/>
        <v>0</v>
      </c>
      <c r="AF4" s="51">
        <f t="shared" si="24"/>
        <v>0</v>
      </c>
      <c r="AG4" s="51">
        <f t="shared" si="24"/>
        <v>0</v>
      </c>
      <c r="AH4" s="51">
        <f t="shared" si="24"/>
        <v>0</v>
      </c>
      <c r="AI4" s="51">
        <f t="shared" si="24"/>
        <v>0</v>
      </c>
      <c r="AJ4" s="51">
        <f t="shared" si="24"/>
        <v>0</v>
      </c>
      <c r="AK4" s="52"/>
      <c r="AL4" s="53">
        <f>SUM(AL5:AL11)</f>
        <v>0</v>
      </c>
      <c r="AM4" s="54" t="str">
        <f t="shared" si="25"/>
        <v/>
      </c>
      <c r="AN4" s="57"/>
      <c r="AO4" s="58"/>
      <c r="AP4" s="46">
        <f>SUM(AP5:AP7)</f>
        <v>0</v>
      </c>
      <c r="AQ4" s="47" t="str">
        <f t="shared" si="26"/>
        <v/>
      </c>
      <c r="AR4" s="46">
        <f>SUM(AR5:AR7)</f>
        <v>0</v>
      </c>
      <c r="AS4" s="47" t="str">
        <f t="shared" si="27"/>
        <v/>
      </c>
      <c r="AT4" s="46">
        <f>SUM(AT5:AT7)</f>
        <v>0</v>
      </c>
      <c r="AU4" s="47" t="str">
        <f t="shared" si="28"/>
        <v/>
      </c>
      <c r="AV4" s="46">
        <f>SUM(AV5:AV7)</f>
        <v>0</v>
      </c>
      <c r="AW4" s="48" t="str">
        <f t="shared" si="29"/>
        <v/>
      </c>
      <c r="AX4" s="46">
        <v>0.0</v>
      </c>
      <c r="AY4" s="50">
        <f t="shared" ref="AY4:BD4" si="30">SUM(AY5:AY7)</f>
        <v>0</v>
      </c>
      <c r="AZ4" s="51">
        <f t="shared" si="30"/>
        <v>0</v>
      </c>
      <c r="BA4" s="51">
        <f t="shared" si="30"/>
        <v>0</v>
      </c>
      <c r="BB4" s="51">
        <f t="shared" si="30"/>
        <v>0</v>
      </c>
      <c r="BC4" s="51">
        <f t="shared" si="30"/>
        <v>0</v>
      </c>
      <c r="BD4" s="51">
        <f t="shared" si="30"/>
        <v>0</v>
      </c>
      <c r="BE4" s="52"/>
      <c r="BF4" s="53">
        <f>SUM(BF5:BF11)</f>
        <v>0</v>
      </c>
      <c r="BG4" s="54" t="str">
        <f t="shared" si="31"/>
        <v/>
      </c>
      <c r="BH4" s="57"/>
      <c r="BI4" s="58"/>
      <c r="BJ4" s="46">
        <f>SUM(BJ5:BJ7)</f>
        <v>0</v>
      </c>
      <c r="BK4" s="47" t="str">
        <f t="shared" si="32"/>
        <v/>
      </c>
      <c r="BL4" s="46">
        <f>SUM(BL5:BL7)</f>
        <v>0</v>
      </c>
      <c r="BM4" s="47" t="str">
        <f t="shared" si="33"/>
        <v/>
      </c>
      <c r="BN4" s="46">
        <f>SUM(BN5:BN7)</f>
        <v>0</v>
      </c>
      <c r="BO4" s="47" t="str">
        <f t="shared" si="34"/>
        <v/>
      </c>
      <c r="BP4" s="46">
        <f>SUM(BP5:BP7)</f>
        <v>0</v>
      </c>
      <c r="BQ4" s="48" t="str">
        <f t="shared" si="35"/>
        <v/>
      </c>
      <c r="BR4" s="49">
        <f t="shared" ref="BR4:BX4" si="36">SUM(BR5:BR7)</f>
        <v>0</v>
      </c>
      <c r="BS4" s="50">
        <f t="shared" si="36"/>
        <v>0</v>
      </c>
      <c r="BT4" s="51">
        <f t="shared" si="36"/>
        <v>0</v>
      </c>
      <c r="BU4" s="51">
        <f t="shared" si="36"/>
        <v>0</v>
      </c>
      <c r="BV4" s="51">
        <f t="shared" si="36"/>
        <v>0</v>
      </c>
      <c r="BW4" s="51">
        <f t="shared" si="36"/>
        <v>0</v>
      </c>
      <c r="BX4" s="51">
        <f t="shared" si="36"/>
        <v>0</v>
      </c>
      <c r="BY4" s="52"/>
      <c r="BZ4" s="53">
        <f>SUM(BZ5:BZ11)</f>
        <v>0</v>
      </c>
      <c r="CA4" s="54" t="str">
        <f t="shared" si="37"/>
        <v/>
      </c>
      <c r="CB4" s="57"/>
      <c r="CC4" s="58"/>
      <c r="CD4" s="46">
        <f>SUM(CD5:CD7)</f>
        <v>0</v>
      </c>
      <c r="CE4" s="47" t="str">
        <f t="shared" si="38"/>
        <v/>
      </c>
      <c r="CF4" s="46">
        <f>SUM(CF5:CF7)</f>
        <v>0</v>
      </c>
      <c r="CG4" s="47" t="str">
        <f t="shared" si="39"/>
        <v/>
      </c>
      <c r="CH4" s="46">
        <f>SUM(CH5:CH7)</f>
        <v>0</v>
      </c>
      <c r="CI4" s="47" t="str">
        <f t="shared" si="40"/>
        <v/>
      </c>
      <c r="CJ4" s="46">
        <f>SUM(CJ5:CJ7)</f>
        <v>0</v>
      </c>
      <c r="CK4" s="48" t="str">
        <f t="shared" si="41"/>
        <v/>
      </c>
      <c r="CL4" s="49">
        <f t="shared" ref="CL4:CR4" si="42">SUM(CL5:CL7)</f>
        <v>0</v>
      </c>
      <c r="CM4" s="50">
        <f t="shared" si="42"/>
        <v>0</v>
      </c>
      <c r="CN4" s="51">
        <f t="shared" si="42"/>
        <v>0</v>
      </c>
      <c r="CO4" s="51">
        <f t="shared" si="42"/>
        <v>0</v>
      </c>
      <c r="CP4" s="51">
        <f t="shared" si="42"/>
        <v>0</v>
      </c>
      <c r="CQ4" s="51">
        <f t="shared" si="42"/>
        <v>0</v>
      </c>
      <c r="CR4" s="51">
        <f t="shared" si="42"/>
        <v>0</v>
      </c>
      <c r="CS4" s="52"/>
      <c r="CT4" s="53">
        <f>SUM(CT5:CT11)</f>
        <v>0</v>
      </c>
      <c r="CU4" s="54" t="str">
        <f t="shared" si="43"/>
        <v/>
      </c>
      <c r="CV4" s="59"/>
      <c r="CW4" s="58"/>
      <c r="CX4" s="46">
        <f>SUM(CX5:CX7)</f>
        <v>0</v>
      </c>
      <c r="CY4" s="47" t="str">
        <f t="shared" si="44"/>
        <v/>
      </c>
      <c r="CZ4" s="46">
        <f>SUM(CZ5:CZ7)</f>
        <v>0</v>
      </c>
      <c r="DA4" s="47" t="str">
        <f t="shared" si="45"/>
        <v/>
      </c>
      <c r="DB4" s="46">
        <f>SUM(DB5:DB7)</f>
        <v>0</v>
      </c>
      <c r="DC4" s="47" t="str">
        <f t="shared" si="46"/>
        <v/>
      </c>
      <c r="DD4" s="46">
        <f>SUM(DD5:DD7)</f>
        <v>0</v>
      </c>
      <c r="DE4" s="48" t="str">
        <f t="shared" si="47"/>
        <v/>
      </c>
      <c r="DF4" s="49">
        <f t="shared" ref="DF4:DL4" si="48">SUM(DF5:DF7)</f>
        <v>0</v>
      </c>
      <c r="DG4" s="50">
        <f t="shared" si="48"/>
        <v>0</v>
      </c>
      <c r="DH4" s="51">
        <f t="shared" si="48"/>
        <v>0</v>
      </c>
      <c r="DI4" s="51">
        <f t="shared" si="48"/>
        <v>0</v>
      </c>
      <c r="DJ4" s="51">
        <f t="shared" si="48"/>
        <v>0</v>
      </c>
      <c r="DK4" s="51">
        <f t="shared" si="48"/>
        <v>0</v>
      </c>
      <c r="DL4" s="51">
        <f t="shared" si="48"/>
        <v>0</v>
      </c>
      <c r="DM4" s="52"/>
      <c r="DN4" s="53">
        <f>SUM(DN5:DN11)</f>
        <v>0</v>
      </c>
      <c r="DO4" s="54" t="str">
        <f t="shared" si="49"/>
        <v/>
      </c>
      <c r="DP4" s="59"/>
      <c r="DQ4" s="58"/>
      <c r="DR4" s="46">
        <f>SUM(DR5:DR7)</f>
        <v>0</v>
      </c>
      <c r="DS4" s="47" t="str">
        <f t="shared" si="50"/>
        <v/>
      </c>
      <c r="DT4" s="46">
        <f>SUM(DT5:DT7)</f>
        <v>0</v>
      </c>
      <c r="DU4" s="47" t="str">
        <f t="shared" si="51"/>
        <v/>
      </c>
      <c r="DV4" s="46">
        <f>SUM(DV5:DV7)</f>
        <v>0</v>
      </c>
      <c r="DW4" s="47" t="str">
        <f t="shared" si="52"/>
        <v/>
      </c>
      <c r="DX4" s="46">
        <f>SUM(DX5:DX7)</f>
        <v>0</v>
      </c>
      <c r="DY4" s="48" t="str">
        <f t="shared" si="53"/>
        <v/>
      </c>
      <c r="DZ4" s="49">
        <f t="shared" ref="DZ4:EF4" si="54">SUM(DZ5:DZ7)</f>
        <v>0</v>
      </c>
      <c r="EA4" s="50">
        <f t="shared" si="54"/>
        <v>0</v>
      </c>
      <c r="EB4" s="51">
        <f t="shared" si="54"/>
        <v>0</v>
      </c>
      <c r="EC4" s="51">
        <f t="shared" si="54"/>
        <v>0</v>
      </c>
      <c r="ED4" s="51">
        <f t="shared" si="54"/>
        <v>0</v>
      </c>
      <c r="EE4" s="51">
        <f t="shared" si="54"/>
        <v>0</v>
      </c>
      <c r="EF4" s="51">
        <f t="shared" si="54"/>
        <v>0</v>
      </c>
      <c r="EG4" s="52"/>
      <c r="EH4" s="53">
        <f>SUM(EH5:EH11)</f>
        <v>0</v>
      </c>
      <c r="EI4" s="54" t="str">
        <f t="shared" si="55"/>
        <v/>
      </c>
      <c r="EJ4" s="59"/>
    </row>
    <row r="5" ht="15.75" hidden="1" customHeight="1" outlineLevel="1">
      <c r="A5" s="60">
        <f t="shared" ref="A5:A6" si="57">A6+1</f>
        <v>45535</v>
      </c>
      <c r="B5" s="61">
        <f t="shared" si="8"/>
        <v>0</v>
      </c>
      <c r="C5" s="62" t="str">
        <f t="shared" si="9"/>
        <v/>
      </c>
      <c r="D5" s="61">
        <f t="shared" si="10"/>
        <v>0</v>
      </c>
      <c r="E5" s="91" t="str">
        <f t="shared" si="11"/>
        <v/>
      </c>
      <c r="F5" s="61">
        <f t="shared" si="12"/>
        <v>0</v>
      </c>
      <c r="G5" s="92" t="str">
        <f t="shared" si="13"/>
        <v/>
      </c>
      <c r="H5" s="61">
        <f t="shared" si="14"/>
        <v>0</v>
      </c>
      <c r="I5" s="62" t="str">
        <f t="shared" si="15"/>
        <v/>
      </c>
      <c r="J5" s="63">
        <f t="shared" ref="J5:P5" si="56">SUM(AD5,AX5,BR5,CL5,DF5)</f>
        <v>0</v>
      </c>
      <c r="K5" s="93">
        <f t="shared" si="56"/>
        <v>0</v>
      </c>
      <c r="L5" s="94">
        <f t="shared" si="56"/>
        <v>0</v>
      </c>
      <c r="M5" s="94">
        <f t="shared" si="56"/>
        <v>0</v>
      </c>
      <c r="N5" s="94">
        <f t="shared" si="56"/>
        <v>0</v>
      </c>
      <c r="O5" s="94">
        <f t="shared" si="56"/>
        <v>0</v>
      </c>
      <c r="P5" s="94">
        <f t="shared" si="56"/>
        <v>0</v>
      </c>
      <c r="Q5" s="95" t="str">
        <f t="shared" si="17"/>
        <v/>
      </c>
      <c r="R5" s="67">
        <f t="shared" si="18"/>
        <v>0</v>
      </c>
      <c r="S5" s="68" t="str">
        <f t="shared" si="19"/>
        <v/>
      </c>
      <c r="T5" s="55"/>
      <c r="U5" s="69"/>
      <c r="V5" s="61"/>
      <c r="W5" s="62" t="str">
        <f t="shared" si="20"/>
        <v/>
      </c>
      <c r="X5" s="61"/>
      <c r="Y5" s="62" t="str">
        <f t="shared" si="21"/>
        <v/>
      </c>
      <c r="Z5" s="61"/>
      <c r="AA5" s="62" t="str">
        <f t="shared" si="22"/>
        <v/>
      </c>
      <c r="AB5" s="61"/>
      <c r="AC5" s="62" t="str">
        <f t="shared" si="23"/>
        <v/>
      </c>
      <c r="AD5" s="63"/>
      <c r="AE5" s="64">
        <f t="shared" ref="AE5:AE7" si="59">SUM(AF5:AJ5)</f>
        <v>0</v>
      </c>
      <c r="AF5" s="65"/>
      <c r="AG5" s="65"/>
      <c r="AH5" s="65"/>
      <c r="AI5" s="65"/>
      <c r="AJ5" s="65"/>
      <c r="AK5" s="66"/>
      <c r="AL5" s="67"/>
      <c r="AM5" s="68" t="str">
        <f t="shared" si="25"/>
        <v/>
      </c>
      <c r="AN5" s="70"/>
      <c r="AO5" s="71"/>
      <c r="AP5" s="61"/>
      <c r="AQ5" s="62" t="str">
        <f t="shared" si="26"/>
        <v/>
      </c>
      <c r="AR5" s="61"/>
      <c r="AS5" s="62" t="str">
        <f t="shared" si="27"/>
        <v/>
      </c>
      <c r="AT5" s="61"/>
      <c r="AU5" s="62" t="str">
        <f t="shared" si="28"/>
        <v/>
      </c>
      <c r="AV5" s="61"/>
      <c r="AW5" s="62" t="str">
        <f t="shared" si="29"/>
        <v/>
      </c>
      <c r="AX5" s="63"/>
      <c r="AY5" s="64">
        <f t="shared" ref="AY5:AY7" si="60">SUM(AZ5:BD5)</f>
        <v>0</v>
      </c>
      <c r="AZ5" s="65"/>
      <c r="BA5" s="65"/>
      <c r="BB5" s="65"/>
      <c r="BC5" s="65"/>
      <c r="BD5" s="65"/>
      <c r="BE5" s="66"/>
      <c r="BF5" s="67"/>
      <c r="BG5" s="68" t="str">
        <f t="shared" si="31"/>
        <v/>
      </c>
      <c r="BH5" s="70"/>
      <c r="BI5" s="71"/>
      <c r="BJ5" s="61"/>
      <c r="BK5" s="62" t="str">
        <f t="shared" si="32"/>
        <v/>
      </c>
      <c r="BL5" s="61"/>
      <c r="BM5" s="62" t="str">
        <f t="shared" si="33"/>
        <v/>
      </c>
      <c r="BN5" s="61"/>
      <c r="BO5" s="62" t="str">
        <f t="shared" si="34"/>
        <v/>
      </c>
      <c r="BP5" s="61"/>
      <c r="BQ5" s="62" t="str">
        <f t="shared" si="35"/>
        <v/>
      </c>
      <c r="BR5" s="63"/>
      <c r="BS5" s="64">
        <f t="shared" ref="BS5:BS7" si="61">SUM(BT5:BX5)</f>
        <v>0</v>
      </c>
      <c r="BT5" s="65"/>
      <c r="BU5" s="65"/>
      <c r="BV5" s="65"/>
      <c r="BW5" s="65"/>
      <c r="BX5" s="65"/>
      <c r="BY5" s="66"/>
      <c r="BZ5" s="67"/>
      <c r="CA5" s="68" t="str">
        <f t="shared" si="37"/>
        <v/>
      </c>
      <c r="CB5" s="70"/>
      <c r="CC5" s="71"/>
      <c r="CD5" s="61"/>
      <c r="CE5" s="62" t="str">
        <f t="shared" si="38"/>
        <v/>
      </c>
      <c r="CF5" s="61"/>
      <c r="CG5" s="62" t="str">
        <f t="shared" si="39"/>
        <v/>
      </c>
      <c r="CH5" s="61"/>
      <c r="CI5" s="62" t="str">
        <f t="shared" si="40"/>
        <v/>
      </c>
      <c r="CJ5" s="61"/>
      <c r="CK5" s="62" t="str">
        <f t="shared" si="41"/>
        <v/>
      </c>
      <c r="CL5" s="63"/>
      <c r="CM5" s="64">
        <f t="shared" ref="CM5:CM7" si="62">SUM(CN5:CR5)</f>
        <v>0</v>
      </c>
      <c r="CN5" s="65"/>
      <c r="CO5" s="65"/>
      <c r="CP5" s="65"/>
      <c r="CQ5" s="65"/>
      <c r="CR5" s="65"/>
      <c r="CS5" s="66"/>
      <c r="CT5" s="67"/>
      <c r="CU5" s="68" t="str">
        <f t="shared" si="43"/>
        <v/>
      </c>
      <c r="CV5" s="72"/>
      <c r="CW5" s="71"/>
      <c r="CX5" s="61"/>
      <c r="CY5" s="62" t="str">
        <f t="shared" si="44"/>
        <v/>
      </c>
      <c r="CZ5" s="61"/>
      <c r="DA5" s="62" t="str">
        <f t="shared" si="45"/>
        <v/>
      </c>
      <c r="DB5" s="61"/>
      <c r="DC5" s="62" t="str">
        <f t="shared" si="46"/>
        <v/>
      </c>
      <c r="DD5" s="61"/>
      <c r="DE5" s="62" t="str">
        <f t="shared" si="47"/>
        <v/>
      </c>
      <c r="DF5" s="63"/>
      <c r="DG5" s="64">
        <f t="shared" ref="DG5:DG7" si="63">SUM(DH5:DL5)</f>
        <v>0</v>
      </c>
      <c r="DH5" s="65"/>
      <c r="DI5" s="65"/>
      <c r="DJ5" s="65"/>
      <c r="DK5" s="65"/>
      <c r="DL5" s="65"/>
      <c r="DM5" s="66"/>
      <c r="DN5" s="67"/>
      <c r="DO5" s="68" t="str">
        <f t="shared" si="49"/>
        <v/>
      </c>
      <c r="DP5" s="72"/>
      <c r="DQ5" s="71"/>
      <c r="DR5" s="61"/>
      <c r="DS5" s="62" t="str">
        <f t="shared" si="50"/>
        <v/>
      </c>
      <c r="DT5" s="61"/>
      <c r="DU5" s="62" t="str">
        <f t="shared" si="51"/>
        <v/>
      </c>
      <c r="DV5" s="61"/>
      <c r="DW5" s="62" t="str">
        <f t="shared" si="52"/>
        <v/>
      </c>
      <c r="DX5" s="61"/>
      <c r="DY5" s="62" t="str">
        <f t="shared" si="53"/>
        <v/>
      </c>
      <c r="DZ5" s="63"/>
      <c r="EA5" s="64">
        <f t="shared" ref="EA5:EA7" si="64">SUM(EB5:EF5)</f>
        <v>0</v>
      </c>
      <c r="EB5" s="65"/>
      <c r="EC5" s="65"/>
      <c r="ED5" s="65"/>
      <c r="EE5" s="65"/>
      <c r="EF5" s="65"/>
      <c r="EG5" s="66"/>
      <c r="EH5" s="67"/>
      <c r="EI5" s="68" t="str">
        <f t="shared" si="55"/>
        <v/>
      </c>
      <c r="EJ5" s="72"/>
    </row>
    <row r="6" ht="15.75" hidden="1" customHeight="1" outlineLevel="1">
      <c r="A6" s="60">
        <f t="shared" si="57"/>
        <v>45534</v>
      </c>
      <c r="B6" s="61">
        <f t="shared" si="8"/>
        <v>0</v>
      </c>
      <c r="C6" s="62" t="str">
        <f t="shared" si="9"/>
        <v/>
      </c>
      <c r="D6" s="61">
        <f t="shared" si="10"/>
        <v>0</v>
      </c>
      <c r="E6" s="91" t="str">
        <f t="shared" si="11"/>
        <v/>
      </c>
      <c r="F6" s="61">
        <f t="shared" si="12"/>
        <v>0</v>
      </c>
      <c r="G6" s="92" t="str">
        <f t="shared" si="13"/>
        <v/>
      </c>
      <c r="H6" s="61">
        <f t="shared" si="14"/>
        <v>0</v>
      </c>
      <c r="I6" s="62" t="str">
        <f t="shared" si="15"/>
        <v/>
      </c>
      <c r="J6" s="63">
        <f t="shared" ref="J6:P6" si="58">SUM(AD6,AX6,BR6,CL6,DF6)</f>
        <v>0</v>
      </c>
      <c r="K6" s="93">
        <f t="shared" si="58"/>
        <v>0</v>
      </c>
      <c r="L6" s="94">
        <f t="shared" si="58"/>
        <v>0</v>
      </c>
      <c r="M6" s="94">
        <f t="shared" si="58"/>
        <v>0</v>
      </c>
      <c r="N6" s="94">
        <f t="shared" si="58"/>
        <v>0</v>
      </c>
      <c r="O6" s="94">
        <f t="shared" si="58"/>
        <v>0</v>
      </c>
      <c r="P6" s="94">
        <f t="shared" si="58"/>
        <v>0</v>
      </c>
      <c r="Q6" s="95" t="str">
        <f t="shared" si="17"/>
        <v/>
      </c>
      <c r="R6" s="67">
        <f t="shared" si="18"/>
        <v>0</v>
      </c>
      <c r="S6" s="68" t="str">
        <f t="shared" si="19"/>
        <v/>
      </c>
      <c r="T6" s="55"/>
      <c r="U6" s="69"/>
      <c r="V6" s="61"/>
      <c r="W6" s="62" t="str">
        <f t="shared" si="20"/>
        <v/>
      </c>
      <c r="X6" s="61"/>
      <c r="Y6" s="62" t="str">
        <f t="shared" si="21"/>
        <v/>
      </c>
      <c r="Z6" s="61"/>
      <c r="AA6" s="62" t="str">
        <f t="shared" si="22"/>
        <v/>
      </c>
      <c r="AB6" s="61"/>
      <c r="AC6" s="62" t="str">
        <f t="shared" si="23"/>
        <v/>
      </c>
      <c r="AD6" s="63"/>
      <c r="AE6" s="64">
        <f t="shared" si="59"/>
        <v>0</v>
      </c>
      <c r="AF6" s="65"/>
      <c r="AG6" s="65"/>
      <c r="AH6" s="65"/>
      <c r="AI6" s="65"/>
      <c r="AJ6" s="65"/>
      <c r="AK6" s="66"/>
      <c r="AL6" s="67"/>
      <c r="AM6" s="68" t="str">
        <f t="shared" si="25"/>
        <v/>
      </c>
      <c r="AN6" s="70"/>
      <c r="AO6" s="71"/>
      <c r="AP6" s="61"/>
      <c r="AQ6" s="62" t="str">
        <f t="shared" si="26"/>
        <v/>
      </c>
      <c r="AR6" s="61"/>
      <c r="AS6" s="62" t="str">
        <f t="shared" si="27"/>
        <v/>
      </c>
      <c r="AT6" s="61"/>
      <c r="AU6" s="62" t="str">
        <f t="shared" si="28"/>
        <v/>
      </c>
      <c r="AV6" s="61"/>
      <c r="AW6" s="62" t="str">
        <f t="shared" si="29"/>
        <v/>
      </c>
      <c r="AX6" s="63"/>
      <c r="AY6" s="64">
        <f t="shared" si="60"/>
        <v>0</v>
      </c>
      <c r="AZ6" s="65"/>
      <c r="BA6" s="65"/>
      <c r="BB6" s="65"/>
      <c r="BC6" s="65"/>
      <c r="BD6" s="65"/>
      <c r="BE6" s="66"/>
      <c r="BF6" s="67"/>
      <c r="BG6" s="68" t="str">
        <f t="shared" si="31"/>
        <v/>
      </c>
      <c r="BH6" s="70"/>
      <c r="BI6" s="71"/>
      <c r="BJ6" s="61"/>
      <c r="BK6" s="62" t="str">
        <f t="shared" si="32"/>
        <v/>
      </c>
      <c r="BL6" s="61"/>
      <c r="BM6" s="62" t="str">
        <f t="shared" si="33"/>
        <v/>
      </c>
      <c r="BN6" s="61"/>
      <c r="BO6" s="62" t="str">
        <f t="shared" si="34"/>
        <v/>
      </c>
      <c r="BP6" s="61"/>
      <c r="BQ6" s="62" t="str">
        <f t="shared" si="35"/>
        <v/>
      </c>
      <c r="BR6" s="63"/>
      <c r="BS6" s="64">
        <f t="shared" si="61"/>
        <v>0</v>
      </c>
      <c r="BT6" s="65"/>
      <c r="BU6" s="65"/>
      <c r="BV6" s="65"/>
      <c r="BW6" s="65"/>
      <c r="BX6" s="65"/>
      <c r="BY6" s="66"/>
      <c r="BZ6" s="67"/>
      <c r="CA6" s="68" t="str">
        <f t="shared" si="37"/>
        <v/>
      </c>
      <c r="CB6" s="70"/>
      <c r="CC6" s="71"/>
      <c r="CD6" s="61"/>
      <c r="CE6" s="62" t="str">
        <f t="shared" si="38"/>
        <v/>
      </c>
      <c r="CF6" s="61"/>
      <c r="CG6" s="62" t="str">
        <f t="shared" si="39"/>
        <v/>
      </c>
      <c r="CH6" s="61"/>
      <c r="CI6" s="62" t="str">
        <f t="shared" si="40"/>
        <v/>
      </c>
      <c r="CJ6" s="61"/>
      <c r="CK6" s="62" t="str">
        <f t="shared" si="41"/>
        <v/>
      </c>
      <c r="CL6" s="63"/>
      <c r="CM6" s="64">
        <f t="shared" si="62"/>
        <v>0</v>
      </c>
      <c r="CN6" s="65"/>
      <c r="CO6" s="65"/>
      <c r="CP6" s="65"/>
      <c r="CQ6" s="65"/>
      <c r="CR6" s="65"/>
      <c r="CS6" s="66"/>
      <c r="CT6" s="67"/>
      <c r="CU6" s="68" t="str">
        <f t="shared" si="43"/>
        <v/>
      </c>
      <c r="CV6" s="72"/>
      <c r="CW6" s="71"/>
      <c r="CX6" s="61"/>
      <c r="CY6" s="62" t="str">
        <f t="shared" si="44"/>
        <v/>
      </c>
      <c r="CZ6" s="61"/>
      <c r="DA6" s="62" t="str">
        <f t="shared" si="45"/>
        <v/>
      </c>
      <c r="DB6" s="61"/>
      <c r="DC6" s="62" t="str">
        <f t="shared" si="46"/>
        <v/>
      </c>
      <c r="DD6" s="61"/>
      <c r="DE6" s="62" t="str">
        <f t="shared" si="47"/>
        <v/>
      </c>
      <c r="DF6" s="63"/>
      <c r="DG6" s="64">
        <f t="shared" si="63"/>
        <v>0</v>
      </c>
      <c r="DH6" s="65"/>
      <c r="DI6" s="65"/>
      <c r="DJ6" s="65"/>
      <c r="DK6" s="65"/>
      <c r="DL6" s="65"/>
      <c r="DM6" s="66"/>
      <c r="DN6" s="67"/>
      <c r="DO6" s="68" t="str">
        <f t="shared" si="49"/>
        <v/>
      </c>
      <c r="DP6" s="72"/>
      <c r="DQ6" s="71"/>
      <c r="DR6" s="61"/>
      <c r="DS6" s="62" t="str">
        <f t="shared" si="50"/>
        <v/>
      </c>
      <c r="DT6" s="61"/>
      <c r="DU6" s="62" t="str">
        <f t="shared" si="51"/>
        <v/>
      </c>
      <c r="DV6" s="61"/>
      <c r="DW6" s="62" t="str">
        <f t="shared" si="52"/>
        <v/>
      </c>
      <c r="DX6" s="61"/>
      <c r="DY6" s="62" t="str">
        <f t="shared" si="53"/>
        <v/>
      </c>
      <c r="DZ6" s="63"/>
      <c r="EA6" s="64">
        <f t="shared" si="64"/>
        <v>0</v>
      </c>
      <c r="EB6" s="65"/>
      <c r="EC6" s="65"/>
      <c r="ED6" s="65"/>
      <c r="EE6" s="65"/>
      <c r="EF6" s="65"/>
      <c r="EG6" s="66"/>
      <c r="EH6" s="67"/>
      <c r="EI6" s="68" t="str">
        <f t="shared" si="55"/>
        <v/>
      </c>
      <c r="EJ6" s="72"/>
    </row>
    <row r="7" ht="15.75" hidden="1" customHeight="1" outlineLevel="1">
      <c r="A7" s="60">
        <f>A9+1</f>
        <v>45533</v>
      </c>
      <c r="B7" s="61">
        <f t="shared" si="8"/>
        <v>0</v>
      </c>
      <c r="C7" s="62" t="str">
        <f t="shared" si="9"/>
        <v/>
      </c>
      <c r="D7" s="61">
        <f t="shared" si="10"/>
        <v>0</v>
      </c>
      <c r="E7" s="91" t="str">
        <f t="shared" si="11"/>
        <v/>
      </c>
      <c r="F7" s="61">
        <f t="shared" si="12"/>
        <v>0</v>
      </c>
      <c r="G7" s="92" t="str">
        <f t="shared" si="13"/>
        <v/>
      </c>
      <c r="H7" s="61">
        <f t="shared" si="14"/>
        <v>0</v>
      </c>
      <c r="I7" s="62" t="str">
        <f t="shared" si="15"/>
        <v/>
      </c>
      <c r="J7" s="63">
        <f t="shared" ref="J7:P7" si="65">SUM(AD7,AX7,BR7,CL7,DF7)</f>
        <v>0</v>
      </c>
      <c r="K7" s="93">
        <f t="shared" si="65"/>
        <v>0</v>
      </c>
      <c r="L7" s="94">
        <f t="shared" si="65"/>
        <v>0</v>
      </c>
      <c r="M7" s="94">
        <f t="shared" si="65"/>
        <v>0</v>
      </c>
      <c r="N7" s="94">
        <f t="shared" si="65"/>
        <v>0</v>
      </c>
      <c r="O7" s="94">
        <f t="shared" si="65"/>
        <v>0</v>
      </c>
      <c r="P7" s="94">
        <f t="shared" si="65"/>
        <v>0</v>
      </c>
      <c r="Q7" s="95" t="str">
        <f t="shared" si="17"/>
        <v/>
      </c>
      <c r="R7" s="67">
        <f t="shared" si="18"/>
        <v>0</v>
      </c>
      <c r="S7" s="68" t="str">
        <f t="shared" si="19"/>
        <v/>
      </c>
      <c r="T7" s="55"/>
      <c r="U7" s="69"/>
      <c r="V7" s="61"/>
      <c r="W7" s="62" t="str">
        <f t="shared" si="20"/>
        <v/>
      </c>
      <c r="X7" s="61"/>
      <c r="Y7" s="62" t="str">
        <f t="shared" si="21"/>
        <v/>
      </c>
      <c r="Z7" s="61"/>
      <c r="AA7" s="62" t="str">
        <f t="shared" si="22"/>
        <v/>
      </c>
      <c r="AB7" s="61"/>
      <c r="AC7" s="62" t="str">
        <f t="shared" si="23"/>
        <v/>
      </c>
      <c r="AD7" s="63"/>
      <c r="AE7" s="64">
        <f t="shared" si="59"/>
        <v>0</v>
      </c>
      <c r="AF7" s="65"/>
      <c r="AG7" s="65"/>
      <c r="AH7" s="65"/>
      <c r="AI7" s="65"/>
      <c r="AJ7" s="65"/>
      <c r="AK7" s="66"/>
      <c r="AL7" s="67"/>
      <c r="AM7" s="68" t="str">
        <f t="shared" si="25"/>
        <v/>
      </c>
      <c r="AN7" s="70"/>
      <c r="AO7" s="71"/>
      <c r="AP7" s="61"/>
      <c r="AQ7" s="62" t="str">
        <f t="shared" si="26"/>
        <v/>
      </c>
      <c r="AR7" s="61"/>
      <c r="AS7" s="62" t="str">
        <f t="shared" si="27"/>
        <v/>
      </c>
      <c r="AT7" s="61"/>
      <c r="AU7" s="62" t="str">
        <f t="shared" si="28"/>
        <v/>
      </c>
      <c r="AV7" s="61"/>
      <c r="AW7" s="62" t="str">
        <f t="shared" si="29"/>
        <v/>
      </c>
      <c r="AX7" s="63"/>
      <c r="AY7" s="64">
        <f t="shared" si="60"/>
        <v>0</v>
      </c>
      <c r="AZ7" s="65"/>
      <c r="BA7" s="65"/>
      <c r="BB7" s="65"/>
      <c r="BC7" s="65"/>
      <c r="BD7" s="65"/>
      <c r="BE7" s="66"/>
      <c r="BF7" s="67"/>
      <c r="BG7" s="68" t="str">
        <f t="shared" si="31"/>
        <v/>
      </c>
      <c r="BH7" s="70"/>
      <c r="BI7" s="71"/>
      <c r="BJ7" s="61"/>
      <c r="BK7" s="62" t="str">
        <f t="shared" si="32"/>
        <v/>
      </c>
      <c r="BL7" s="61"/>
      <c r="BM7" s="62" t="str">
        <f t="shared" si="33"/>
        <v/>
      </c>
      <c r="BN7" s="61"/>
      <c r="BO7" s="62" t="str">
        <f t="shared" si="34"/>
        <v/>
      </c>
      <c r="BP7" s="61"/>
      <c r="BQ7" s="62" t="str">
        <f t="shared" si="35"/>
        <v/>
      </c>
      <c r="BR7" s="63"/>
      <c r="BS7" s="64">
        <f t="shared" si="61"/>
        <v>0</v>
      </c>
      <c r="BT7" s="65"/>
      <c r="BU7" s="65"/>
      <c r="BV7" s="65"/>
      <c r="BW7" s="65"/>
      <c r="BX7" s="65"/>
      <c r="BY7" s="66"/>
      <c r="BZ7" s="67"/>
      <c r="CA7" s="68" t="str">
        <f t="shared" si="37"/>
        <v/>
      </c>
      <c r="CB7" s="70"/>
      <c r="CC7" s="71"/>
      <c r="CD7" s="61"/>
      <c r="CE7" s="62" t="str">
        <f t="shared" si="38"/>
        <v/>
      </c>
      <c r="CF7" s="61"/>
      <c r="CG7" s="62" t="str">
        <f t="shared" si="39"/>
        <v/>
      </c>
      <c r="CH7" s="61"/>
      <c r="CI7" s="62" t="str">
        <f t="shared" si="40"/>
        <v/>
      </c>
      <c r="CJ7" s="61"/>
      <c r="CK7" s="62" t="str">
        <f t="shared" si="41"/>
        <v/>
      </c>
      <c r="CL7" s="63"/>
      <c r="CM7" s="64">
        <f t="shared" si="62"/>
        <v>0</v>
      </c>
      <c r="CN7" s="65"/>
      <c r="CO7" s="65"/>
      <c r="CP7" s="65"/>
      <c r="CQ7" s="65"/>
      <c r="CR7" s="65"/>
      <c r="CS7" s="66"/>
      <c r="CT7" s="67"/>
      <c r="CU7" s="68" t="str">
        <f t="shared" si="43"/>
        <v/>
      </c>
      <c r="CV7" s="73"/>
      <c r="CW7" s="71"/>
      <c r="CX7" s="61"/>
      <c r="CY7" s="62" t="str">
        <f t="shared" si="44"/>
        <v/>
      </c>
      <c r="CZ7" s="61"/>
      <c r="DA7" s="62" t="str">
        <f t="shared" si="45"/>
        <v/>
      </c>
      <c r="DB7" s="61"/>
      <c r="DC7" s="62" t="str">
        <f t="shared" si="46"/>
        <v/>
      </c>
      <c r="DD7" s="61"/>
      <c r="DE7" s="62" t="str">
        <f t="shared" si="47"/>
        <v/>
      </c>
      <c r="DF7" s="63"/>
      <c r="DG7" s="64">
        <f t="shared" si="63"/>
        <v>0</v>
      </c>
      <c r="DH7" s="65"/>
      <c r="DI7" s="65"/>
      <c r="DJ7" s="65"/>
      <c r="DK7" s="65"/>
      <c r="DL7" s="65"/>
      <c r="DM7" s="66"/>
      <c r="DN7" s="67"/>
      <c r="DO7" s="68" t="str">
        <f t="shared" si="49"/>
        <v/>
      </c>
      <c r="DP7" s="73"/>
      <c r="DQ7" s="71"/>
      <c r="DR7" s="61"/>
      <c r="DS7" s="62" t="str">
        <f t="shared" si="50"/>
        <v/>
      </c>
      <c r="DT7" s="61"/>
      <c r="DU7" s="62" t="str">
        <f t="shared" si="51"/>
        <v/>
      </c>
      <c r="DV7" s="61"/>
      <c r="DW7" s="62" t="str">
        <f t="shared" si="52"/>
        <v/>
      </c>
      <c r="DX7" s="61"/>
      <c r="DY7" s="62" t="str">
        <f t="shared" si="53"/>
        <v/>
      </c>
      <c r="DZ7" s="63"/>
      <c r="EA7" s="64">
        <f t="shared" si="64"/>
        <v>0</v>
      </c>
      <c r="EB7" s="65"/>
      <c r="EC7" s="65"/>
      <c r="ED7" s="65"/>
      <c r="EE7" s="65"/>
      <c r="EF7" s="65"/>
      <c r="EG7" s="66"/>
      <c r="EH7" s="67"/>
      <c r="EI7" s="68" t="str">
        <f t="shared" si="55"/>
        <v/>
      </c>
      <c r="EJ7" s="73"/>
    </row>
    <row r="8" ht="15.75" customHeight="1" collapsed="1">
      <c r="A8" s="45" t="s">
        <v>39</v>
      </c>
      <c r="B8" s="46">
        <f t="shared" si="8"/>
        <v>0</v>
      </c>
      <c r="C8" s="47" t="str">
        <f t="shared" si="9"/>
        <v/>
      </c>
      <c r="D8" s="46">
        <f t="shared" si="10"/>
        <v>0</v>
      </c>
      <c r="E8" s="88" t="str">
        <f t="shared" si="11"/>
        <v/>
      </c>
      <c r="F8" s="46">
        <f t="shared" si="12"/>
        <v>0</v>
      </c>
      <c r="G8" s="89" t="str">
        <f t="shared" si="13"/>
        <v/>
      </c>
      <c r="H8" s="46">
        <f t="shared" si="14"/>
        <v>0</v>
      </c>
      <c r="I8" s="48" t="str">
        <f t="shared" si="15"/>
        <v/>
      </c>
      <c r="J8" s="49">
        <f t="shared" ref="J8:P8" si="66">SUM(AD8,AX8,BR8,CL8,DF8)</f>
        <v>0</v>
      </c>
      <c r="K8" s="49">
        <f t="shared" si="66"/>
        <v>0</v>
      </c>
      <c r="L8" s="90">
        <f t="shared" si="66"/>
        <v>0</v>
      </c>
      <c r="M8" s="90">
        <f t="shared" si="66"/>
        <v>0</v>
      </c>
      <c r="N8" s="90">
        <f t="shared" si="66"/>
        <v>0</v>
      </c>
      <c r="O8" s="90">
        <f t="shared" si="66"/>
        <v>0</v>
      </c>
      <c r="P8" s="90">
        <f t="shared" si="66"/>
        <v>0</v>
      </c>
      <c r="Q8" s="90" t="str">
        <f t="shared" si="17"/>
        <v/>
      </c>
      <c r="R8" s="53">
        <f t="shared" si="18"/>
        <v>0</v>
      </c>
      <c r="S8" s="54" t="str">
        <f t="shared" si="19"/>
        <v/>
      </c>
      <c r="T8" s="55"/>
      <c r="U8" s="56"/>
      <c r="V8" s="46">
        <v>0.0</v>
      </c>
      <c r="W8" s="47" t="str">
        <f t="shared" si="20"/>
        <v/>
      </c>
      <c r="X8" s="46">
        <v>0.0</v>
      </c>
      <c r="Y8" s="47" t="str">
        <f t="shared" si="21"/>
        <v/>
      </c>
      <c r="Z8" s="46">
        <v>0.0</v>
      </c>
      <c r="AA8" s="47" t="str">
        <f t="shared" si="22"/>
        <v/>
      </c>
      <c r="AB8" s="46">
        <v>0.0</v>
      </c>
      <c r="AC8" s="48" t="str">
        <f t="shared" si="23"/>
        <v/>
      </c>
      <c r="AD8" s="46">
        <v>0.0</v>
      </c>
      <c r="AE8" s="50">
        <f t="shared" ref="AE8:AJ8" si="67">SUM(AE9:AE15)</f>
        <v>0</v>
      </c>
      <c r="AF8" s="51">
        <f t="shared" si="67"/>
        <v>0</v>
      </c>
      <c r="AG8" s="51">
        <f t="shared" si="67"/>
        <v>0</v>
      </c>
      <c r="AH8" s="51">
        <f t="shared" si="67"/>
        <v>0</v>
      </c>
      <c r="AI8" s="51">
        <f t="shared" si="67"/>
        <v>0</v>
      </c>
      <c r="AJ8" s="51">
        <f t="shared" si="67"/>
        <v>0</v>
      </c>
      <c r="AK8" s="52"/>
      <c r="AL8" s="53">
        <f>SUM(AL9:AL15)</f>
        <v>0</v>
      </c>
      <c r="AM8" s="54" t="str">
        <f t="shared" si="25"/>
        <v/>
      </c>
      <c r="AN8" s="57"/>
      <c r="AO8" s="58"/>
      <c r="AP8" s="46">
        <v>0.0</v>
      </c>
      <c r="AQ8" s="47" t="str">
        <f t="shared" si="26"/>
        <v/>
      </c>
      <c r="AR8" s="46">
        <v>0.0</v>
      </c>
      <c r="AS8" s="47" t="str">
        <f t="shared" si="27"/>
        <v/>
      </c>
      <c r="AT8" s="46">
        <v>0.0</v>
      </c>
      <c r="AU8" s="47" t="str">
        <f t="shared" si="28"/>
        <v/>
      </c>
      <c r="AV8" s="46">
        <v>0.0</v>
      </c>
      <c r="AW8" s="48" t="str">
        <f t="shared" si="29"/>
        <v/>
      </c>
      <c r="AX8" s="46">
        <v>0.0</v>
      </c>
      <c r="AY8" s="50">
        <f t="shared" ref="AY8:BD8" si="68">SUM(AY9:AY15)</f>
        <v>0</v>
      </c>
      <c r="AZ8" s="51">
        <f t="shared" si="68"/>
        <v>0</v>
      </c>
      <c r="BA8" s="51">
        <f t="shared" si="68"/>
        <v>0</v>
      </c>
      <c r="BB8" s="51">
        <f t="shared" si="68"/>
        <v>0</v>
      </c>
      <c r="BC8" s="51">
        <f t="shared" si="68"/>
        <v>0</v>
      </c>
      <c r="BD8" s="51">
        <f t="shared" si="68"/>
        <v>0</v>
      </c>
      <c r="BE8" s="52"/>
      <c r="BF8" s="53">
        <f>SUM(BF9:BF15)</f>
        <v>0</v>
      </c>
      <c r="BG8" s="54" t="str">
        <f t="shared" si="31"/>
        <v/>
      </c>
      <c r="BH8" s="57"/>
      <c r="BI8" s="58"/>
      <c r="BJ8" s="46">
        <v>0.0</v>
      </c>
      <c r="BK8" s="47" t="str">
        <f t="shared" si="32"/>
        <v/>
      </c>
      <c r="BL8" s="46">
        <v>0.0</v>
      </c>
      <c r="BM8" s="47" t="str">
        <f t="shared" si="33"/>
        <v/>
      </c>
      <c r="BN8" s="46">
        <v>0.0</v>
      </c>
      <c r="BO8" s="47" t="str">
        <f t="shared" si="34"/>
        <v/>
      </c>
      <c r="BP8" s="46">
        <v>0.0</v>
      </c>
      <c r="BQ8" s="48" t="str">
        <f t="shared" si="35"/>
        <v/>
      </c>
      <c r="BR8" s="46">
        <v>0.0</v>
      </c>
      <c r="BS8" s="50">
        <f t="shared" ref="BS8:BX8" si="69">SUM(BS9:BS15)</f>
        <v>0</v>
      </c>
      <c r="BT8" s="51">
        <f t="shared" si="69"/>
        <v>0</v>
      </c>
      <c r="BU8" s="51">
        <f t="shared" si="69"/>
        <v>0</v>
      </c>
      <c r="BV8" s="51">
        <f t="shared" si="69"/>
        <v>0</v>
      </c>
      <c r="BW8" s="51">
        <f t="shared" si="69"/>
        <v>0</v>
      </c>
      <c r="BX8" s="51">
        <f t="shared" si="69"/>
        <v>0</v>
      </c>
      <c r="BY8" s="52"/>
      <c r="BZ8" s="53">
        <f>SUM(BZ9:BZ15)</f>
        <v>0</v>
      </c>
      <c r="CA8" s="54" t="str">
        <f t="shared" si="37"/>
        <v/>
      </c>
      <c r="CB8" s="57"/>
      <c r="CC8" s="58"/>
      <c r="CD8" s="46">
        <v>0.0</v>
      </c>
      <c r="CE8" s="47" t="str">
        <f t="shared" si="38"/>
        <v/>
      </c>
      <c r="CF8" s="46">
        <v>0.0</v>
      </c>
      <c r="CG8" s="47" t="str">
        <f t="shared" si="39"/>
        <v/>
      </c>
      <c r="CH8" s="46">
        <v>0.0</v>
      </c>
      <c r="CI8" s="47" t="str">
        <f t="shared" si="40"/>
        <v/>
      </c>
      <c r="CJ8" s="46">
        <v>0.0</v>
      </c>
      <c r="CK8" s="48" t="str">
        <f t="shared" si="41"/>
        <v/>
      </c>
      <c r="CL8" s="46">
        <v>0.0</v>
      </c>
      <c r="CM8" s="50">
        <f t="shared" ref="CM8:CR8" si="70">SUM(CM9:CM15)</f>
        <v>0</v>
      </c>
      <c r="CN8" s="51">
        <f t="shared" si="70"/>
        <v>0</v>
      </c>
      <c r="CO8" s="51">
        <f t="shared" si="70"/>
        <v>0</v>
      </c>
      <c r="CP8" s="51">
        <f t="shared" si="70"/>
        <v>0</v>
      </c>
      <c r="CQ8" s="51">
        <f t="shared" si="70"/>
        <v>0</v>
      </c>
      <c r="CR8" s="51">
        <f t="shared" si="70"/>
        <v>0</v>
      </c>
      <c r="CS8" s="52"/>
      <c r="CT8" s="53">
        <f>SUM(CT9:CT15)</f>
        <v>0</v>
      </c>
      <c r="CU8" s="54" t="str">
        <f t="shared" si="43"/>
        <v/>
      </c>
      <c r="CV8" s="59"/>
      <c r="CW8" s="58"/>
      <c r="CX8" s="46">
        <v>0.0</v>
      </c>
      <c r="CY8" s="47" t="str">
        <f t="shared" si="44"/>
        <v/>
      </c>
      <c r="CZ8" s="46">
        <v>0.0</v>
      </c>
      <c r="DA8" s="47" t="str">
        <f t="shared" si="45"/>
        <v/>
      </c>
      <c r="DB8" s="46">
        <v>0.0</v>
      </c>
      <c r="DC8" s="47" t="str">
        <f t="shared" si="46"/>
        <v/>
      </c>
      <c r="DD8" s="46">
        <v>0.0</v>
      </c>
      <c r="DE8" s="48" t="str">
        <f t="shared" si="47"/>
        <v/>
      </c>
      <c r="DF8" s="46">
        <v>0.0</v>
      </c>
      <c r="DG8" s="50">
        <f t="shared" ref="DG8:DL8" si="71">SUM(DG9:DG15)</f>
        <v>0</v>
      </c>
      <c r="DH8" s="51">
        <f t="shared" si="71"/>
        <v>0</v>
      </c>
      <c r="DI8" s="51">
        <f t="shared" si="71"/>
        <v>0</v>
      </c>
      <c r="DJ8" s="51">
        <f t="shared" si="71"/>
        <v>0</v>
      </c>
      <c r="DK8" s="51">
        <f t="shared" si="71"/>
        <v>0</v>
      </c>
      <c r="DL8" s="51">
        <f t="shared" si="71"/>
        <v>0</v>
      </c>
      <c r="DM8" s="52"/>
      <c r="DN8" s="53">
        <f>SUM(DN9:DN15)</f>
        <v>0</v>
      </c>
      <c r="DO8" s="54" t="str">
        <f t="shared" si="49"/>
        <v/>
      </c>
      <c r="DP8" s="59"/>
      <c r="DQ8" s="58"/>
      <c r="DR8" s="46">
        <v>0.0</v>
      </c>
      <c r="DS8" s="47" t="str">
        <f t="shared" si="50"/>
        <v/>
      </c>
      <c r="DT8" s="46">
        <v>0.0</v>
      </c>
      <c r="DU8" s="47" t="str">
        <f t="shared" si="51"/>
        <v/>
      </c>
      <c r="DV8" s="46">
        <v>0.0</v>
      </c>
      <c r="DW8" s="47" t="str">
        <f t="shared" si="52"/>
        <v/>
      </c>
      <c r="DX8" s="46">
        <v>0.0</v>
      </c>
      <c r="DY8" s="48" t="str">
        <f t="shared" si="53"/>
        <v/>
      </c>
      <c r="DZ8" s="46">
        <v>0.0</v>
      </c>
      <c r="EA8" s="50">
        <f t="shared" ref="EA8:EF8" si="72">SUM(EA9:EA15)</f>
        <v>0</v>
      </c>
      <c r="EB8" s="51">
        <f t="shared" si="72"/>
        <v>0</v>
      </c>
      <c r="EC8" s="51">
        <f t="shared" si="72"/>
        <v>0</v>
      </c>
      <c r="ED8" s="51">
        <f t="shared" si="72"/>
        <v>0</v>
      </c>
      <c r="EE8" s="51">
        <f t="shared" si="72"/>
        <v>0</v>
      </c>
      <c r="EF8" s="51">
        <f t="shared" si="72"/>
        <v>0</v>
      </c>
      <c r="EG8" s="52"/>
      <c r="EH8" s="53">
        <f>SUM(EH9:EH15)</f>
        <v>0</v>
      </c>
      <c r="EI8" s="54" t="str">
        <f t="shared" si="55"/>
        <v/>
      </c>
      <c r="EJ8" s="59"/>
    </row>
    <row r="9" ht="15.75" hidden="1" customHeight="1" outlineLevel="1">
      <c r="A9" s="60">
        <f t="shared" ref="A9:A14" si="74">A10+1</f>
        <v>45532</v>
      </c>
      <c r="B9" s="61">
        <f t="shared" si="8"/>
        <v>0</v>
      </c>
      <c r="C9" s="62" t="str">
        <f t="shared" si="9"/>
        <v/>
      </c>
      <c r="D9" s="61">
        <f t="shared" si="10"/>
        <v>0</v>
      </c>
      <c r="E9" s="91" t="str">
        <f t="shared" si="11"/>
        <v/>
      </c>
      <c r="F9" s="61">
        <f t="shared" si="12"/>
        <v>0</v>
      </c>
      <c r="G9" s="92" t="str">
        <f t="shared" si="13"/>
        <v/>
      </c>
      <c r="H9" s="61">
        <f t="shared" si="14"/>
        <v>0</v>
      </c>
      <c r="I9" s="62" t="str">
        <f t="shared" si="15"/>
        <v/>
      </c>
      <c r="J9" s="63">
        <f t="shared" ref="J9:P9" si="73">SUM(AD9,AX9,BR9,CL9,DF9)</f>
        <v>0</v>
      </c>
      <c r="K9" s="93">
        <f t="shared" si="73"/>
        <v>0</v>
      </c>
      <c r="L9" s="94">
        <f t="shared" si="73"/>
        <v>0</v>
      </c>
      <c r="M9" s="94">
        <f t="shared" si="73"/>
        <v>0</v>
      </c>
      <c r="N9" s="94">
        <f t="shared" si="73"/>
        <v>0</v>
      </c>
      <c r="O9" s="94">
        <f t="shared" si="73"/>
        <v>0</v>
      </c>
      <c r="P9" s="94">
        <f t="shared" si="73"/>
        <v>0</v>
      </c>
      <c r="Q9" s="95" t="str">
        <f t="shared" si="17"/>
        <v/>
      </c>
      <c r="R9" s="67">
        <f t="shared" si="18"/>
        <v>0</v>
      </c>
      <c r="S9" s="68" t="str">
        <f t="shared" si="19"/>
        <v/>
      </c>
      <c r="T9" s="55"/>
      <c r="U9" s="69"/>
      <c r="V9" s="61" t="s">
        <v>40</v>
      </c>
      <c r="W9" s="62" t="str">
        <f t="shared" si="20"/>
        <v/>
      </c>
      <c r="X9" s="61" t="s">
        <v>40</v>
      </c>
      <c r="Y9" s="62" t="str">
        <f t="shared" si="21"/>
        <v/>
      </c>
      <c r="Z9" s="61" t="s">
        <v>40</v>
      </c>
      <c r="AA9" s="62" t="str">
        <f t="shared" si="22"/>
        <v/>
      </c>
      <c r="AB9" s="61" t="s">
        <v>40</v>
      </c>
      <c r="AC9" s="62" t="str">
        <f t="shared" si="23"/>
        <v/>
      </c>
      <c r="AD9" s="63" t="s">
        <v>40</v>
      </c>
      <c r="AE9" s="64">
        <f t="shared" ref="AE9:AE15" si="76">SUM(AF9:AJ9)</f>
        <v>0</v>
      </c>
      <c r="AF9" s="65"/>
      <c r="AG9" s="65"/>
      <c r="AH9" s="65"/>
      <c r="AI9" s="65"/>
      <c r="AJ9" s="65"/>
      <c r="AK9" s="66"/>
      <c r="AL9" s="67"/>
      <c r="AM9" s="68" t="str">
        <f t="shared" si="25"/>
        <v/>
      </c>
      <c r="AN9" s="70"/>
      <c r="AO9" s="71"/>
      <c r="AP9" s="61">
        <v>0.0</v>
      </c>
      <c r="AQ9" s="62" t="str">
        <f t="shared" si="26"/>
        <v/>
      </c>
      <c r="AR9" s="61">
        <v>0.0</v>
      </c>
      <c r="AS9" s="62" t="str">
        <f t="shared" si="27"/>
        <v/>
      </c>
      <c r="AT9" s="61">
        <v>0.0</v>
      </c>
      <c r="AU9" s="62" t="str">
        <f t="shared" si="28"/>
        <v/>
      </c>
      <c r="AV9" s="61">
        <v>0.0</v>
      </c>
      <c r="AW9" s="62" t="str">
        <f t="shared" si="29"/>
        <v/>
      </c>
      <c r="AX9" s="61">
        <v>0.0</v>
      </c>
      <c r="AY9" s="64">
        <f t="shared" ref="AY9:AY15" si="77">SUM(AZ9:BD9)</f>
        <v>0</v>
      </c>
      <c r="AZ9" s="65"/>
      <c r="BA9" s="65"/>
      <c r="BB9" s="65"/>
      <c r="BC9" s="65"/>
      <c r="BD9" s="65"/>
      <c r="BE9" s="66"/>
      <c r="BF9" s="67"/>
      <c r="BG9" s="68" t="str">
        <f t="shared" si="31"/>
        <v/>
      </c>
      <c r="BH9" s="70"/>
      <c r="BI9" s="71"/>
      <c r="BJ9" s="61">
        <v>0.0</v>
      </c>
      <c r="BK9" s="62" t="str">
        <f t="shared" si="32"/>
        <v/>
      </c>
      <c r="BL9" s="61">
        <v>0.0</v>
      </c>
      <c r="BM9" s="62" t="str">
        <f t="shared" si="33"/>
        <v/>
      </c>
      <c r="BN9" s="61">
        <v>0.0</v>
      </c>
      <c r="BO9" s="62" t="str">
        <f t="shared" si="34"/>
        <v/>
      </c>
      <c r="BP9" s="61">
        <v>0.0</v>
      </c>
      <c r="BQ9" s="62" t="str">
        <f t="shared" si="35"/>
        <v/>
      </c>
      <c r="BR9" s="61">
        <v>0.0</v>
      </c>
      <c r="BS9" s="64">
        <f t="shared" ref="BS9:BS15" si="78">SUM(BT9:BX9)</f>
        <v>0</v>
      </c>
      <c r="BT9" s="65"/>
      <c r="BU9" s="65"/>
      <c r="BV9" s="65"/>
      <c r="BW9" s="65"/>
      <c r="BX9" s="65"/>
      <c r="BY9" s="66"/>
      <c r="BZ9" s="67"/>
      <c r="CA9" s="68" t="str">
        <f t="shared" si="37"/>
        <v/>
      </c>
      <c r="CB9" s="70"/>
      <c r="CC9" s="71"/>
      <c r="CD9" s="61">
        <v>0.0</v>
      </c>
      <c r="CE9" s="62" t="str">
        <f t="shared" si="38"/>
        <v/>
      </c>
      <c r="CF9" s="61">
        <v>0.0</v>
      </c>
      <c r="CG9" s="62" t="str">
        <f t="shared" si="39"/>
        <v/>
      </c>
      <c r="CH9" s="61">
        <v>0.0</v>
      </c>
      <c r="CI9" s="62" t="str">
        <f t="shared" si="40"/>
        <v/>
      </c>
      <c r="CJ9" s="61">
        <v>0.0</v>
      </c>
      <c r="CK9" s="62" t="str">
        <f t="shared" si="41"/>
        <v/>
      </c>
      <c r="CL9" s="61">
        <v>0.0</v>
      </c>
      <c r="CM9" s="64">
        <f t="shared" ref="CM9:CM15" si="79">SUM(CN9:CR9)</f>
        <v>0</v>
      </c>
      <c r="CN9" s="65"/>
      <c r="CO9" s="65"/>
      <c r="CP9" s="65"/>
      <c r="CQ9" s="65"/>
      <c r="CR9" s="65"/>
      <c r="CS9" s="66"/>
      <c r="CT9" s="67"/>
      <c r="CU9" s="68" t="str">
        <f t="shared" si="43"/>
        <v/>
      </c>
      <c r="CV9" s="73"/>
      <c r="CW9" s="71"/>
      <c r="CX9" s="61">
        <v>0.0</v>
      </c>
      <c r="CY9" s="62" t="str">
        <f t="shared" si="44"/>
        <v/>
      </c>
      <c r="CZ9" s="61">
        <v>0.0</v>
      </c>
      <c r="DA9" s="62" t="str">
        <f t="shared" si="45"/>
        <v/>
      </c>
      <c r="DB9" s="61">
        <v>0.0</v>
      </c>
      <c r="DC9" s="62" t="str">
        <f t="shared" si="46"/>
        <v/>
      </c>
      <c r="DD9" s="61">
        <v>0.0</v>
      </c>
      <c r="DE9" s="62" t="str">
        <f t="shared" si="47"/>
        <v/>
      </c>
      <c r="DF9" s="61">
        <v>0.0</v>
      </c>
      <c r="DG9" s="64">
        <f t="shared" ref="DG9:DG15" si="80">SUM(DH9:DL9)</f>
        <v>0</v>
      </c>
      <c r="DH9" s="65"/>
      <c r="DI9" s="65"/>
      <c r="DJ9" s="65"/>
      <c r="DK9" s="65"/>
      <c r="DL9" s="65"/>
      <c r="DM9" s="66"/>
      <c r="DN9" s="67"/>
      <c r="DO9" s="68" t="str">
        <f t="shared" si="49"/>
        <v/>
      </c>
      <c r="DP9" s="73"/>
      <c r="DQ9" s="71"/>
      <c r="DR9" s="61">
        <v>0.0</v>
      </c>
      <c r="DS9" s="62" t="str">
        <f t="shared" si="50"/>
        <v/>
      </c>
      <c r="DT9" s="61">
        <v>0.0</v>
      </c>
      <c r="DU9" s="62" t="str">
        <f t="shared" si="51"/>
        <v/>
      </c>
      <c r="DV9" s="61">
        <v>0.0</v>
      </c>
      <c r="DW9" s="62" t="str">
        <f t="shared" si="52"/>
        <v/>
      </c>
      <c r="DX9" s="61">
        <v>0.0</v>
      </c>
      <c r="DY9" s="62" t="str">
        <f t="shared" si="53"/>
        <v/>
      </c>
      <c r="DZ9" s="61">
        <v>0.0</v>
      </c>
      <c r="EA9" s="64">
        <f t="shared" ref="EA9:EA15" si="81">SUM(EB9:EF9)</f>
        <v>0</v>
      </c>
      <c r="EB9" s="65"/>
      <c r="EC9" s="65"/>
      <c r="ED9" s="65"/>
      <c r="EE9" s="65"/>
      <c r="EF9" s="65"/>
      <c r="EG9" s="66"/>
      <c r="EH9" s="67"/>
      <c r="EI9" s="68" t="str">
        <f t="shared" si="55"/>
        <v/>
      </c>
      <c r="EJ9" s="73"/>
    </row>
    <row r="10" ht="15.75" hidden="1" customHeight="1" outlineLevel="1">
      <c r="A10" s="60">
        <f t="shared" si="74"/>
        <v>45531</v>
      </c>
      <c r="B10" s="61">
        <f t="shared" si="8"/>
        <v>0</v>
      </c>
      <c r="C10" s="62" t="str">
        <f t="shared" si="9"/>
        <v/>
      </c>
      <c r="D10" s="61">
        <f t="shared" si="10"/>
        <v>0</v>
      </c>
      <c r="E10" s="91" t="str">
        <f t="shared" si="11"/>
        <v/>
      </c>
      <c r="F10" s="61">
        <f t="shared" si="12"/>
        <v>0</v>
      </c>
      <c r="G10" s="92" t="str">
        <f t="shared" si="13"/>
        <v/>
      </c>
      <c r="H10" s="61">
        <f t="shared" si="14"/>
        <v>0</v>
      </c>
      <c r="I10" s="62" t="str">
        <f t="shared" si="15"/>
        <v/>
      </c>
      <c r="J10" s="63">
        <f t="shared" ref="J10:P10" si="75">SUM(AD10,AX10,BR10,CL10,DF10)</f>
        <v>0</v>
      </c>
      <c r="K10" s="93">
        <f t="shared" si="75"/>
        <v>0</v>
      </c>
      <c r="L10" s="94">
        <f t="shared" si="75"/>
        <v>0</v>
      </c>
      <c r="M10" s="94">
        <f t="shared" si="75"/>
        <v>0</v>
      </c>
      <c r="N10" s="94">
        <f t="shared" si="75"/>
        <v>0</v>
      </c>
      <c r="O10" s="94">
        <f t="shared" si="75"/>
        <v>0</v>
      </c>
      <c r="P10" s="94">
        <f t="shared" si="75"/>
        <v>0</v>
      </c>
      <c r="Q10" s="95" t="str">
        <f t="shared" si="17"/>
        <v/>
      </c>
      <c r="R10" s="67">
        <f t="shared" si="18"/>
        <v>0</v>
      </c>
      <c r="S10" s="68" t="str">
        <f t="shared" si="19"/>
        <v/>
      </c>
      <c r="T10" s="55"/>
      <c r="U10" s="69"/>
      <c r="V10" s="61" t="s">
        <v>40</v>
      </c>
      <c r="W10" s="62" t="str">
        <f t="shared" si="20"/>
        <v/>
      </c>
      <c r="X10" s="61" t="s">
        <v>40</v>
      </c>
      <c r="Y10" s="62" t="str">
        <f t="shared" si="21"/>
        <v/>
      </c>
      <c r="Z10" s="61" t="s">
        <v>40</v>
      </c>
      <c r="AA10" s="62" t="str">
        <f t="shared" si="22"/>
        <v/>
      </c>
      <c r="AB10" s="61" t="s">
        <v>40</v>
      </c>
      <c r="AC10" s="62" t="str">
        <f t="shared" si="23"/>
        <v/>
      </c>
      <c r="AD10" s="63" t="s">
        <v>40</v>
      </c>
      <c r="AE10" s="64">
        <f t="shared" si="76"/>
        <v>0</v>
      </c>
      <c r="AF10" s="65"/>
      <c r="AG10" s="65"/>
      <c r="AH10" s="65"/>
      <c r="AI10" s="65"/>
      <c r="AJ10" s="65"/>
      <c r="AK10" s="66"/>
      <c r="AL10" s="67"/>
      <c r="AM10" s="68" t="str">
        <f t="shared" si="25"/>
        <v/>
      </c>
      <c r="AN10" s="70"/>
      <c r="AO10" s="71"/>
      <c r="AP10" s="61">
        <v>0.0</v>
      </c>
      <c r="AQ10" s="62" t="str">
        <f t="shared" si="26"/>
        <v/>
      </c>
      <c r="AR10" s="61">
        <v>0.0</v>
      </c>
      <c r="AS10" s="62" t="str">
        <f t="shared" si="27"/>
        <v/>
      </c>
      <c r="AT10" s="61">
        <v>0.0</v>
      </c>
      <c r="AU10" s="62" t="str">
        <f t="shared" si="28"/>
        <v/>
      </c>
      <c r="AV10" s="61">
        <v>0.0</v>
      </c>
      <c r="AW10" s="62" t="str">
        <f t="shared" si="29"/>
        <v/>
      </c>
      <c r="AX10" s="61">
        <v>0.0</v>
      </c>
      <c r="AY10" s="64">
        <f t="shared" si="77"/>
        <v>0</v>
      </c>
      <c r="AZ10" s="65"/>
      <c r="BA10" s="65"/>
      <c r="BB10" s="65"/>
      <c r="BC10" s="65"/>
      <c r="BD10" s="65"/>
      <c r="BE10" s="66"/>
      <c r="BF10" s="67"/>
      <c r="BG10" s="68" t="str">
        <f t="shared" si="31"/>
        <v/>
      </c>
      <c r="BH10" s="70"/>
      <c r="BI10" s="71"/>
      <c r="BJ10" s="61">
        <v>0.0</v>
      </c>
      <c r="BK10" s="62" t="str">
        <f t="shared" si="32"/>
        <v/>
      </c>
      <c r="BL10" s="61">
        <v>0.0</v>
      </c>
      <c r="BM10" s="62" t="str">
        <f t="shared" si="33"/>
        <v/>
      </c>
      <c r="BN10" s="61">
        <v>0.0</v>
      </c>
      <c r="BO10" s="62" t="str">
        <f t="shared" si="34"/>
        <v/>
      </c>
      <c r="BP10" s="61">
        <v>0.0</v>
      </c>
      <c r="BQ10" s="62" t="str">
        <f t="shared" si="35"/>
        <v/>
      </c>
      <c r="BR10" s="61">
        <v>0.0</v>
      </c>
      <c r="BS10" s="64">
        <f t="shared" si="78"/>
        <v>0</v>
      </c>
      <c r="BT10" s="65"/>
      <c r="BU10" s="65"/>
      <c r="BV10" s="65"/>
      <c r="BW10" s="65"/>
      <c r="BX10" s="65"/>
      <c r="BY10" s="66"/>
      <c r="BZ10" s="67"/>
      <c r="CA10" s="68" t="str">
        <f t="shared" si="37"/>
        <v/>
      </c>
      <c r="CB10" s="70"/>
      <c r="CC10" s="71"/>
      <c r="CD10" s="61">
        <v>0.0</v>
      </c>
      <c r="CE10" s="62" t="str">
        <f t="shared" si="38"/>
        <v/>
      </c>
      <c r="CF10" s="61">
        <v>0.0</v>
      </c>
      <c r="CG10" s="62" t="str">
        <f t="shared" si="39"/>
        <v/>
      </c>
      <c r="CH10" s="61">
        <v>0.0</v>
      </c>
      <c r="CI10" s="62" t="str">
        <f t="shared" si="40"/>
        <v/>
      </c>
      <c r="CJ10" s="61">
        <v>0.0</v>
      </c>
      <c r="CK10" s="62" t="str">
        <f t="shared" si="41"/>
        <v/>
      </c>
      <c r="CL10" s="61">
        <v>0.0</v>
      </c>
      <c r="CM10" s="64">
        <f t="shared" si="79"/>
        <v>0</v>
      </c>
      <c r="CN10" s="65"/>
      <c r="CO10" s="65"/>
      <c r="CP10" s="65"/>
      <c r="CQ10" s="65"/>
      <c r="CR10" s="65"/>
      <c r="CS10" s="66"/>
      <c r="CT10" s="67"/>
      <c r="CU10" s="68" t="str">
        <f t="shared" si="43"/>
        <v/>
      </c>
      <c r="CV10" s="73"/>
      <c r="CW10" s="71"/>
      <c r="CX10" s="61">
        <v>0.0</v>
      </c>
      <c r="CY10" s="62" t="str">
        <f t="shared" si="44"/>
        <v/>
      </c>
      <c r="CZ10" s="61">
        <v>0.0</v>
      </c>
      <c r="DA10" s="62" t="str">
        <f t="shared" si="45"/>
        <v/>
      </c>
      <c r="DB10" s="61">
        <v>0.0</v>
      </c>
      <c r="DC10" s="62" t="str">
        <f t="shared" si="46"/>
        <v/>
      </c>
      <c r="DD10" s="61">
        <v>0.0</v>
      </c>
      <c r="DE10" s="62" t="str">
        <f t="shared" si="47"/>
        <v/>
      </c>
      <c r="DF10" s="61">
        <v>0.0</v>
      </c>
      <c r="DG10" s="64">
        <f t="shared" si="80"/>
        <v>0</v>
      </c>
      <c r="DH10" s="65"/>
      <c r="DI10" s="65"/>
      <c r="DJ10" s="65"/>
      <c r="DK10" s="65"/>
      <c r="DL10" s="65"/>
      <c r="DM10" s="66"/>
      <c r="DN10" s="67"/>
      <c r="DO10" s="68" t="str">
        <f t="shared" si="49"/>
        <v/>
      </c>
      <c r="DP10" s="73"/>
      <c r="DQ10" s="71"/>
      <c r="DR10" s="61">
        <v>0.0</v>
      </c>
      <c r="DS10" s="62" t="str">
        <f t="shared" si="50"/>
        <v/>
      </c>
      <c r="DT10" s="61">
        <v>0.0</v>
      </c>
      <c r="DU10" s="62" t="str">
        <f t="shared" si="51"/>
        <v/>
      </c>
      <c r="DV10" s="61">
        <v>0.0</v>
      </c>
      <c r="DW10" s="62" t="str">
        <f t="shared" si="52"/>
        <v/>
      </c>
      <c r="DX10" s="61">
        <v>0.0</v>
      </c>
      <c r="DY10" s="62" t="str">
        <f t="shared" si="53"/>
        <v/>
      </c>
      <c r="DZ10" s="61">
        <v>0.0</v>
      </c>
      <c r="EA10" s="64">
        <f t="shared" si="81"/>
        <v>0</v>
      </c>
      <c r="EB10" s="65"/>
      <c r="EC10" s="65"/>
      <c r="ED10" s="65"/>
      <c r="EE10" s="65"/>
      <c r="EF10" s="65"/>
      <c r="EG10" s="66"/>
      <c r="EH10" s="67"/>
      <c r="EI10" s="68" t="str">
        <f t="shared" si="55"/>
        <v/>
      </c>
      <c r="EJ10" s="73"/>
    </row>
    <row r="11" ht="15.75" hidden="1" customHeight="1" outlineLevel="1">
      <c r="A11" s="60">
        <f t="shared" si="74"/>
        <v>45530</v>
      </c>
      <c r="B11" s="61">
        <f t="shared" si="8"/>
        <v>0</v>
      </c>
      <c r="C11" s="62" t="str">
        <f t="shared" si="9"/>
        <v/>
      </c>
      <c r="D11" s="61">
        <f t="shared" si="10"/>
        <v>0</v>
      </c>
      <c r="E11" s="91" t="str">
        <f t="shared" si="11"/>
        <v/>
      </c>
      <c r="F11" s="61">
        <f t="shared" si="12"/>
        <v>0</v>
      </c>
      <c r="G11" s="92" t="str">
        <f t="shared" si="13"/>
        <v/>
      </c>
      <c r="H11" s="61">
        <f t="shared" si="14"/>
        <v>0</v>
      </c>
      <c r="I11" s="62" t="str">
        <f t="shared" si="15"/>
        <v/>
      </c>
      <c r="J11" s="63">
        <f t="shared" ref="J11:P11" si="82">SUM(AD11,AX11,BR11,CL11,DF11)</f>
        <v>0</v>
      </c>
      <c r="K11" s="93">
        <f t="shared" si="82"/>
        <v>0</v>
      </c>
      <c r="L11" s="94">
        <f t="shared" si="82"/>
        <v>0</v>
      </c>
      <c r="M11" s="94">
        <f t="shared" si="82"/>
        <v>0</v>
      </c>
      <c r="N11" s="94">
        <f t="shared" si="82"/>
        <v>0</v>
      </c>
      <c r="O11" s="94">
        <f t="shared" si="82"/>
        <v>0</v>
      </c>
      <c r="P11" s="94">
        <f t="shared" si="82"/>
        <v>0</v>
      </c>
      <c r="Q11" s="95" t="str">
        <f t="shared" si="17"/>
        <v/>
      </c>
      <c r="R11" s="67">
        <f t="shared" si="18"/>
        <v>0</v>
      </c>
      <c r="S11" s="68" t="str">
        <f t="shared" si="19"/>
        <v/>
      </c>
      <c r="T11" s="55"/>
      <c r="U11" s="69"/>
      <c r="V11" s="61"/>
      <c r="W11" s="62" t="str">
        <f t="shared" si="20"/>
        <v/>
      </c>
      <c r="X11" s="61"/>
      <c r="Y11" s="62" t="str">
        <f t="shared" si="21"/>
        <v/>
      </c>
      <c r="Z11" s="61"/>
      <c r="AA11" s="62" t="str">
        <f t="shared" si="22"/>
        <v/>
      </c>
      <c r="AB11" s="61"/>
      <c r="AC11" s="62" t="str">
        <f t="shared" si="23"/>
        <v/>
      </c>
      <c r="AD11" s="63"/>
      <c r="AE11" s="64">
        <f t="shared" si="76"/>
        <v>0</v>
      </c>
      <c r="AF11" s="65"/>
      <c r="AG11" s="65"/>
      <c r="AH11" s="65"/>
      <c r="AI11" s="65"/>
      <c r="AJ11" s="65"/>
      <c r="AK11" s="66"/>
      <c r="AL11" s="67"/>
      <c r="AM11" s="68" t="str">
        <f t="shared" si="25"/>
        <v/>
      </c>
      <c r="AN11" s="70"/>
      <c r="AO11" s="71"/>
      <c r="AP11" s="61">
        <v>0.0</v>
      </c>
      <c r="AQ11" s="62" t="str">
        <f t="shared" si="26"/>
        <v/>
      </c>
      <c r="AR11" s="61">
        <v>0.0</v>
      </c>
      <c r="AS11" s="62" t="str">
        <f t="shared" si="27"/>
        <v/>
      </c>
      <c r="AT11" s="61">
        <v>0.0</v>
      </c>
      <c r="AU11" s="62" t="str">
        <f t="shared" si="28"/>
        <v/>
      </c>
      <c r="AV11" s="61">
        <v>0.0</v>
      </c>
      <c r="AW11" s="62" t="str">
        <f t="shared" si="29"/>
        <v/>
      </c>
      <c r="AX11" s="61">
        <v>0.0</v>
      </c>
      <c r="AY11" s="64">
        <f t="shared" si="77"/>
        <v>0</v>
      </c>
      <c r="AZ11" s="65"/>
      <c r="BA11" s="65"/>
      <c r="BB11" s="65"/>
      <c r="BC11" s="65"/>
      <c r="BD11" s="65"/>
      <c r="BE11" s="66"/>
      <c r="BF11" s="67"/>
      <c r="BG11" s="68" t="str">
        <f t="shared" si="31"/>
        <v/>
      </c>
      <c r="BH11" s="70"/>
      <c r="BI11" s="71"/>
      <c r="BJ11" s="61">
        <v>0.0</v>
      </c>
      <c r="BK11" s="62" t="str">
        <f t="shared" si="32"/>
        <v/>
      </c>
      <c r="BL11" s="61">
        <v>0.0</v>
      </c>
      <c r="BM11" s="62" t="str">
        <f t="shared" si="33"/>
        <v/>
      </c>
      <c r="BN11" s="61">
        <v>0.0</v>
      </c>
      <c r="BO11" s="62" t="str">
        <f t="shared" si="34"/>
        <v/>
      </c>
      <c r="BP11" s="61">
        <v>0.0</v>
      </c>
      <c r="BQ11" s="62" t="str">
        <f t="shared" si="35"/>
        <v/>
      </c>
      <c r="BR11" s="61">
        <v>0.0</v>
      </c>
      <c r="BS11" s="64">
        <f t="shared" si="78"/>
        <v>0</v>
      </c>
      <c r="BT11" s="65"/>
      <c r="BU11" s="65"/>
      <c r="BV11" s="65"/>
      <c r="BW11" s="65"/>
      <c r="BX11" s="65"/>
      <c r="BY11" s="66"/>
      <c r="BZ11" s="67"/>
      <c r="CA11" s="68" t="str">
        <f t="shared" si="37"/>
        <v/>
      </c>
      <c r="CB11" s="70"/>
      <c r="CC11" s="71"/>
      <c r="CD11" s="61">
        <v>0.0</v>
      </c>
      <c r="CE11" s="62" t="str">
        <f t="shared" si="38"/>
        <v/>
      </c>
      <c r="CF11" s="61">
        <v>0.0</v>
      </c>
      <c r="CG11" s="62" t="str">
        <f t="shared" si="39"/>
        <v/>
      </c>
      <c r="CH11" s="61">
        <v>0.0</v>
      </c>
      <c r="CI11" s="62" t="str">
        <f t="shared" si="40"/>
        <v/>
      </c>
      <c r="CJ11" s="61">
        <v>0.0</v>
      </c>
      <c r="CK11" s="62" t="str">
        <f t="shared" si="41"/>
        <v/>
      </c>
      <c r="CL11" s="61">
        <v>0.0</v>
      </c>
      <c r="CM11" s="64">
        <f t="shared" si="79"/>
        <v>0</v>
      </c>
      <c r="CN11" s="65"/>
      <c r="CO11" s="65"/>
      <c r="CP11" s="65"/>
      <c r="CQ11" s="65"/>
      <c r="CR11" s="65"/>
      <c r="CS11" s="66"/>
      <c r="CT11" s="67"/>
      <c r="CU11" s="68" t="str">
        <f t="shared" si="43"/>
        <v/>
      </c>
      <c r="CV11" s="73"/>
      <c r="CW11" s="71"/>
      <c r="CX11" s="61">
        <v>0.0</v>
      </c>
      <c r="CY11" s="62" t="str">
        <f t="shared" si="44"/>
        <v/>
      </c>
      <c r="CZ11" s="61">
        <v>0.0</v>
      </c>
      <c r="DA11" s="62" t="str">
        <f t="shared" si="45"/>
        <v/>
      </c>
      <c r="DB11" s="61">
        <v>0.0</v>
      </c>
      <c r="DC11" s="62" t="str">
        <f t="shared" si="46"/>
        <v/>
      </c>
      <c r="DD11" s="61">
        <v>0.0</v>
      </c>
      <c r="DE11" s="62" t="str">
        <f t="shared" si="47"/>
        <v/>
      </c>
      <c r="DF11" s="61">
        <v>0.0</v>
      </c>
      <c r="DG11" s="64">
        <f t="shared" si="80"/>
        <v>0</v>
      </c>
      <c r="DH11" s="65"/>
      <c r="DI11" s="65"/>
      <c r="DJ11" s="65"/>
      <c r="DK11" s="65"/>
      <c r="DL11" s="65"/>
      <c r="DM11" s="66"/>
      <c r="DN11" s="67"/>
      <c r="DO11" s="68" t="str">
        <f t="shared" si="49"/>
        <v/>
      </c>
      <c r="DP11" s="73"/>
      <c r="DQ11" s="71"/>
      <c r="DR11" s="61">
        <v>0.0</v>
      </c>
      <c r="DS11" s="62" t="str">
        <f t="shared" si="50"/>
        <v/>
      </c>
      <c r="DT11" s="61">
        <v>0.0</v>
      </c>
      <c r="DU11" s="62" t="str">
        <f t="shared" si="51"/>
        <v/>
      </c>
      <c r="DV11" s="61">
        <v>0.0</v>
      </c>
      <c r="DW11" s="62" t="str">
        <f t="shared" si="52"/>
        <v/>
      </c>
      <c r="DX11" s="61">
        <v>0.0</v>
      </c>
      <c r="DY11" s="62" t="str">
        <f t="shared" si="53"/>
        <v/>
      </c>
      <c r="DZ11" s="61">
        <v>0.0</v>
      </c>
      <c r="EA11" s="64">
        <f t="shared" si="81"/>
        <v>0</v>
      </c>
      <c r="EB11" s="65"/>
      <c r="EC11" s="65"/>
      <c r="ED11" s="65"/>
      <c r="EE11" s="65"/>
      <c r="EF11" s="65"/>
      <c r="EG11" s="66"/>
      <c r="EH11" s="67"/>
      <c r="EI11" s="68" t="str">
        <f t="shared" si="55"/>
        <v/>
      </c>
      <c r="EJ11" s="73"/>
    </row>
    <row r="12" ht="15.75" hidden="1" customHeight="1" outlineLevel="1">
      <c r="A12" s="60">
        <f t="shared" si="74"/>
        <v>45529</v>
      </c>
      <c r="B12" s="61">
        <f t="shared" si="8"/>
        <v>0</v>
      </c>
      <c r="C12" s="62" t="str">
        <f t="shared" si="9"/>
        <v/>
      </c>
      <c r="D12" s="61">
        <f t="shared" si="10"/>
        <v>0</v>
      </c>
      <c r="E12" s="91" t="str">
        <f t="shared" si="11"/>
        <v/>
      </c>
      <c r="F12" s="61">
        <f t="shared" si="12"/>
        <v>0</v>
      </c>
      <c r="G12" s="92" t="str">
        <f t="shared" si="13"/>
        <v/>
      </c>
      <c r="H12" s="61">
        <f t="shared" si="14"/>
        <v>0</v>
      </c>
      <c r="I12" s="62" t="str">
        <f t="shared" si="15"/>
        <v/>
      </c>
      <c r="J12" s="63">
        <f t="shared" ref="J12:P12" si="83">SUM(AD12,AX12,BR12,CL12,DF12)</f>
        <v>0</v>
      </c>
      <c r="K12" s="93">
        <f t="shared" si="83"/>
        <v>0</v>
      </c>
      <c r="L12" s="94">
        <f t="shared" si="83"/>
        <v>0</v>
      </c>
      <c r="M12" s="94">
        <f t="shared" si="83"/>
        <v>0</v>
      </c>
      <c r="N12" s="94">
        <f t="shared" si="83"/>
        <v>0</v>
      </c>
      <c r="O12" s="94">
        <f t="shared" si="83"/>
        <v>0</v>
      </c>
      <c r="P12" s="94">
        <f t="shared" si="83"/>
        <v>0</v>
      </c>
      <c r="Q12" s="95" t="str">
        <f t="shared" si="17"/>
        <v/>
      </c>
      <c r="R12" s="67">
        <f t="shared" si="18"/>
        <v>0</v>
      </c>
      <c r="S12" s="68" t="str">
        <f t="shared" si="19"/>
        <v/>
      </c>
      <c r="T12" s="55"/>
      <c r="U12" s="69"/>
      <c r="V12" s="61">
        <v>0.0</v>
      </c>
      <c r="W12" s="62" t="str">
        <f t="shared" si="20"/>
        <v/>
      </c>
      <c r="X12" s="61">
        <v>0.0</v>
      </c>
      <c r="Y12" s="62" t="str">
        <f t="shared" si="21"/>
        <v/>
      </c>
      <c r="Z12" s="61">
        <v>0.0</v>
      </c>
      <c r="AA12" s="62" t="str">
        <f t="shared" si="22"/>
        <v/>
      </c>
      <c r="AB12" s="61">
        <v>0.0</v>
      </c>
      <c r="AC12" s="62" t="str">
        <f t="shared" si="23"/>
        <v/>
      </c>
      <c r="AD12" s="63">
        <v>0.0</v>
      </c>
      <c r="AE12" s="64">
        <f t="shared" si="76"/>
        <v>0</v>
      </c>
      <c r="AF12" s="65"/>
      <c r="AG12" s="65"/>
      <c r="AH12" s="65"/>
      <c r="AI12" s="65"/>
      <c r="AJ12" s="65"/>
      <c r="AK12" s="66"/>
      <c r="AL12" s="67"/>
      <c r="AM12" s="68" t="str">
        <f t="shared" si="25"/>
        <v/>
      </c>
      <c r="AN12" s="70"/>
      <c r="AO12" s="71"/>
      <c r="AP12" s="61">
        <v>0.0</v>
      </c>
      <c r="AQ12" s="62" t="str">
        <f t="shared" si="26"/>
        <v/>
      </c>
      <c r="AR12" s="61">
        <v>0.0</v>
      </c>
      <c r="AS12" s="62" t="str">
        <f t="shared" si="27"/>
        <v/>
      </c>
      <c r="AT12" s="61">
        <v>0.0</v>
      </c>
      <c r="AU12" s="62" t="str">
        <f t="shared" si="28"/>
        <v/>
      </c>
      <c r="AV12" s="61">
        <v>0.0</v>
      </c>
      <c r="AW12" s="62" t="str">
        <f t="shared" si="29"/>
        <v/>
      </c>
      <c r="AX12" s="61">
        <v>0.0</v>
      </c>
      <c r="AY12" s="64">
        <f t="shared" si="77"/>
        <v>0</v>
      </c>
      <c r="AZ12" s="65"/>
      <c r="BA12" s="65"/>
      <c r="BB12" s="65"/>
      <c r="BC12" s="65"/>
      <c r="BD12" s="65"/>
      <c r="BE12" s="66"/>
      <c r="BF12" s="67"/>
      <c r="BG12" s="68" t="str">
        <f t="shared" si="31"/>
        <v/>
      </c>
      <c r="BH12" s="70"/>
      <c r="BI12" s="71"/>
      <c r="BJ12" s="61">
        <v>0.0</v>
      </c>
      <c r="BK12" s="62" t="str">
        <f t="shared" si="32"/>
        <v/>
      </c>
      <c r="BL12" s="61">
        <v>0.0</v>
      </c>
      <c r="BM12" s="62" t="str">
        <f t="shared" si="33"/>
        <v/>
      </c>
      <c r="BN12" s="61">
        <v>0.0</v>
      </c>
      <c r="BO12" s="62" t="str">
        <f t="shared" si="34"/>
        <v/>
      </c>
      <c r="BP12" s="61">
        <v>0.0</v>
      </c>
      <c r="BQ12" s="62" t="str">
        <f t="shared" si="35"/>
        <v/>
      </c>
      <c r="BR12" s="61">
        <v>0.0</v>
      </c>
      <c r="BS12" s="64">
        <f t="shared" si="78"/>
        <v>0</v>
      </c>
      <c r="BT12" s="65"/>
      <c r="BU12" s="65"/>
      <c r="BV12" s="65"/>
      <c r="BW12" s="65"/>
      <c r="BX12" s="65"/>
      <c r="BY12" s="66"/>
      <c r="BZ12" s="67"/>
      <c r="CA12" s="68" t="str">
        <f t="shared" si="37"/>
        <v/>
      </c>
      <c r="CB12" s="70"/>
      <c r="CC12" s="71"/>
      <c r="CD12" s="61">
        <v>0.0</v>
      </c>
      <c r="CE12" s="62" t="str">
        <f t="shared" si="38"/>
        <v/>
      </c>
      <c r="CF12" s="61">
        <v>0.0</v>
      </c>
      <c r="CG12" s="62" t="str">
        <f t="shared" si="39"/>
        <v/>
      </c>
      <c r="CH12" s="61">
        <v>0.0</v>
      </c>
      <c r="CI12" s="62" t="str">
        <f t="shared" si="40"/>
        <v/>
      </c>
      <c r="CJ12" s="61">
        <v>0.0</v>
      </c>
      <c r="CK12" s="62" t="str">
        <f t="shared" si="41"/>
        <v/>
      </c>
      <c r="CL12" s="61">
        <v>0.0</v>
      </c>
      <c r="CM12" s="64">
        <f t="shared" si="79"/>
        <v>0</v>
      </c>
      <c r="CN12" s="65"/>
      <c r="CO12" s="65"/>
      <c r="CP12" s="65"/>
      <c r="CQ12" s="65"/>
      <c r="CR12" s="65"/>
      <c r="CS12" s="66"/>
      <c r="CT12" s="67"/>
      <c r="CU12" s="68" t="str">
        <f t="shared" si="43"/>
        <v/>
      </c>
      <c r="CV12" s="73"/>
      <c r="CW12" s="71"/>
      <c r="CX12" s="61">
        <v>0.0</v>
      </c>
      <c r="CY12" s="62" t="str">
        <f t="shared" si="44"/>
        <v/>
      </c>
      <c r="CZ12" s="61">
        <v>0.0</v>
      </c>
      <c r="DA12" s="62" t="str">
        <f t="shared" si="45"/>
        <v/>
      </c>
      <c r="DB12" s="61">
        <v>0.0</v>
      </c>
      <c r="DC12" s="62" t="str">
        <f t="shared" si="46"/>
        <v/>
      </c>
      <c r="DD12" s="61">
        <v>0.0</v>
      </c>
      <c r="DE12" s="62" t="str">
        <f t="shared" si="47"/>
        <v/>
      </c>
      <c r="DF12" s="61">
        <v>0.0</v>
      </c>
      <c r="DG12" s="64">
        <f t="shared" si="80"/>
        <v>0</v>
      </c>
      <c r="DH12" s="65"/>
      <c r="DI12" s="65"/>
      <c r="DJ12" s="65"/>
      <c r="DK12" s="65"/>
      <c r="DL12" s="65"/>
      <c r="DM12" s="66"/>
      <c r="DN12" s="67"/>
      <c r="DO12" s="68" t="str">
        <f t="shared" si="49"/>
        <v/>
      </c>
      <c r="DP12" s="73"/>
      <c r="DQ12" s="71"/>
      <c r="DR12" s="61">
        <v>0.0</v>
      </c>
      <c r="DS12" s="62" t="str">
        <f t="shared" si="50"/>
        <v/>
      </c>
      <c r="DT12" s="61">
        <v>0.0</v>
      </c>
      <c r="DU12" s="62" t="str">
        <f t="shared" si="51"/>
        <v/>
      </c>
      <c r="DV12" s="61">
        <v>0.0</v>
      </c>
      <c r="DW12" s="62" t="str">
        <f t="shared" si="52"/>
        <v/>
      </c>
      <c r="DX12" s="61">
        <v>0.0</v>
      </c>
      <c r="DY12" s="62" t="str">
        <f t="shared" si="53"/>
        <v/>
      </c>
      <c r="DZ12" s="61">
        <v>0.0</v>
      </c>
      <c r="EA12" s="64">
        <f t="shared" si="81"/>
        <v>0</v>
      </c>
      <c r="EB12" s="65"/>
      <c r="EC12" s="65"/>
      <c r="ED12" s="65"/>
      <c r="EE12" s="65"/>
      <c r="EF12" s="65"/>
      <c r="EG12" s="66"/>
      <c r="EH12" s="67"/>
      <c r="EI12" s="68" t="str">
        <f t="shared" si="55"/>
        <v/>
      </c>
      <c r="EJ12" s="73"/>
    </row>
    <row r="13" ht="15.75" hidden="1" customHeight="1" outlineLevel="1">
      <c r="A13" s="60">
        <f t="shared" si="74"/>
        <v>45528</v>
      </c>
      <c r="B13" s="61">
        <f t="shared" si="8"/>
        <v>0</v>
      </c>
      <c r="C13" s="62" t="str">
        <f t="shared" si="9"/>
        <v/>
      </c>
      <c r="D13" s="61">
        <f t="shared" si="10"/>
        <v>0</v>
      </c>
      <c r="E13" s="91" t="str">
        <f t="shared" si="11"/>
        <v/>
      </c>
      <c r="F13" s="61">
        <f t="shared" si="12"/>
        <v>0</v>
      </c>
      <c r="G13" s="92" t="str">
        <f t="shared" si="13"/>
        <v/>
      </c>
      <c r="H13" s="61">
        <f t="shared" si="14"/>
        <v>0</v>
      </c>
      <c r="I13" s="62" t="str">
        <f t="shared" si="15"/>
        <v/>
      </c>
      <c r="J13" s="63">
        <f t="shared" ref="J13:P13" si="84">SUM(AD13,AX13,BR13,CL13,DF13)</f>
        <v>0</v>
      </c>
      <c r="K13" s="93">
        <f t="shared" si="84"/>
        <v>0</v>
      </c>
      <c r="L13" s="94">
        <f t="shared" si="84"/>
        <v>0</v>
      </c>
      <c r="M13" s="94">
        <f t="shared" si="84"/>
        <v>0</v>
      </c>
      <c r="N13" s="94">
        <f t="shared" si="84"/>
        <v>0</v>
      </c>
      <c r="O13" s="94">
        <f t="shared" si="84"/>
        <v>0</v>
      </c>
      <c r="P13" s="94">
        <f t="shared" si="84"/>
        <v>0</v>
      </c>
      <c r="Q13" s="95" t="str">
        <f t="shared" si="17"/>
        <v/>
      </c>
      <c r="R13" s="67">
        <f t="shared" si="18"/>
        <v>0</v>
      </c>
      <c r="S13" s="68" t="str">
        <f t="shared" si="19"/>
        <v/>
      </c>
      <c r="T13" s="55"/>
      <c r="U13" s="69"/>
      <c r="V13" s="61">
        <v>0.0</v>
      </c>
      <c r="W13" s="62" t="str">
        <f t="shared" si="20"/>
        <v/>
      </c>
      <c r="X13" s="61">
        <v>0.0</v>
      </c>
      <c r="Y13" s="62" t="str">
        <f t="shared" si="21"/>
        <v/>
      </c>
      <c r="Z13" s="61">
        <v>0.0</v>
      </c>
      <c r="AA13" s="62" t="str">
        <f t="shared" si="22"/>
        <v/>
      </c>
      <c r="AB13" s="61">
        <v>0.0</v>
      </c>
      <c r="AC13" s="62" t="str">
        <f t="shared" si="23"/>
        <v/>
      </c>
      <c r="AD13" s="63">
        <v>0.0</v>
      </c>
      <c r="AE13" s="64">
        <f t="shared" si="76"/>
        <v>0</v>
      </c>
      <c r="AF13" s="65"/>
      <c r="AG13" s="65"/>
      <c r="AH13" s="65"/>
      <c r="AI13" s="65"/>
      <c r="AJ13" s="65"/>
      <c r="AK13" s="66"/>
      <c r="AL13" s="67"/>
      <c r="AM13" s="68" t="str">
        <f t="shared" si="25"/>
        <v/>
      </c>
      <c r="AN13" s="70"/>
      <c r="AO13" s="71"/>
      <c r="AP13" s="61">
        <v>0.0</v>
      </c>
      <c r="AQ13" s="62" t="str">
        <f t="shared" si="26"/>
        <v/>
      </c>
      <c r="AR13" s="61">
        <v>0.0</v>
      </c>
      <c r="AS13" s="62" t="str">
        <f t="shared" si="27"/>
        <v/>
      </c>
      <c r="AT13" s="61">
        <v>0.0</v>
      </c>
      <c r="AU13" s="62" t="str">
        <f t="shared" si="28"/>
        <v/>
      </c>
      <c r="AV13" s="61">
        <v>0.0</v>
      </c>
      <c r="AW13" s="62" t="str">
        <f t="shared" si="29"/>
        <v/>
      </c>
      <c r="AX13" s="61">
        <v>0.0</v>
      </c>
      <c r="AY13" s="64">
        <f t="shared" si="77"/>
        <v>0</v>
      </c>
      <c r="AZ13" s="65"/>
      <c r="BA13" s="65"/>
      <c r="BB13" s="65"/>
      <c r="BC13" s="65"/>
      <c r="BD13" s="65"/>
      <c r="BE13" s="66"/>
      <c r="BF13" s="67"/>
      <c r="BG13" s="68" t="str">
        <f t="shared" si="31"/>
        <v/>
      </c>
      <c r="BH13" s="70"/>
      <c r="BI13" s="71"/>
      <c r="BJ13" s="61">
        <v>0.0</v>
      </c>
      <c r="BK13" s="62" t="str">
        <f t="shared" si="32"/>
        <v/>
      </c>
      <c r="BL13" s="61">
        <v>0.0</v>
      </c>
      <c r="BM13" s="62" t="str">
        <f t="shared" si="33"/>
        <v/>
      </c>
      <c r="BN13" s="61">
        <v>0.0</v>
      </c>
      <c r="BO13" s="62" t="str">
        <f t="shared" si="34"/>
        <v/>
      </c>
      <c r="BP13" s="61">
        <v>0.0</v>
      </c>
      <c r="BQ13" s="62" t="str">
        <f t="shared" si="35"/>
        <v/>
      </c>
      <c r="BR13" s="61">
        <v>0.0</v>
      </c>
      <c r="BS13" s="64">
        <f t="shared" si="78"/>
        <v>0</v>
      </c>
      <c r="BT13" s="65"/>
      <c r="BU13" s="65"/>
      <c r="BV13" s="65"/>
      <c r="BW13" s="65"/>
      <c r="BX13" s="65"/>
      <c r="BY13" s="66"/>
      <c r="BZ13" s="67"/>
      <c r="CA13" s="68" t="str">
        <f t="shared" si="37"/>
        <v/>
      </c>
      <c r="CB13" s="70"/>
      <c r="CC13" s="71"/>
      <c r="CD13" s="61">
        <v>0.0</v>
      </c>
      <c r="CE13" s="62" t="str">
        <f t="shared" si="38"/>
        <v/>
      </c>
      <c r="CF13" s="61">
        <v>0.0</v>
      </c>
      <c r="CG13" s="62" t="str">
        <f t="shared" si="39"/>
        <v/>
      </c>
      <c r="CH13" s="61">
        <v>0.0</v>
      </c>
      <c r="CI13" s="62" t="str">
        <f t="shared" si="40"/>
        <v/>
      </c>
      <c r="CJ13" s="61">
        <v>0.0</v>
      </c>
      <c r="CK13" s="62" t="str">
        <f t="shared" si="41"/>
        <v/>
      </c>
      <c r="CL13" s="61">
        <v>0.0</v>
      </c>
      <c r="CM13" s="64">
        <f t="shared" si="79"/>
        <v>0</v>
      </c>
      <c r="CN13" s="65"/>
      <c r="CO13" s="65"/>
      <c r="CP13" s="65"/>
      <c r="CQ13" s="65"/>
      <c r="CR13" s="65"/>
      <c r="CS13" s="66"/>
      <c r="CT13" s="67"/>
      <c r="CU13" s="68" t="str">
        <f t="shared" si="43"/>
        <v/>
      </c>
      <c r="CV13" s="73"/>
      <c r="CW13" s="71"/>
      <c r="CX13" s="61">
        <v>0.0</v>
      </c>
      <c r="CY13" s="62" t="str">
        <f t="shared" si="44"/>
        <v/>
      </c>
      <c r="CZ13" s="61">
        <v>0.0</v>
      </c>
      <c r="DA13" s="62" t="str">
        <f t="shared" si="45"/>
        <v/>
      </c>
      <c r="DB13" s="61">
        <v>0.0</v>
      </c>
      <c r="DC13" s="62" t="str">
        <f t="shared" si="46"/>
        <v/>
      </c>
      <c r="DD13" s="61">
        <v>0.0</v>
      </c>
      <c r="DE13" s="62" t="str">
        <f t="shared" si="47"/>
        <v/>
      </c>
      <c r="DF13" s="61">
        <v>0.0</v>
      </c>
      <c r="DG13" s="64">
        <f t="shared" si="80"/>
        <v>0</v>
      </c>
      <c r="DH13" s="65"/>
      <c r="DI13" s="65"/>
      <c r="DJ13" s="65"/>
      <c r="DK13" s="65"/>
      <c r="DL13" s="65"/>
      <c r="DM13" s="66"/>
      <c r="DN13" s="67"/>
      <c r="DO13" s="68" t="str">
        <f t="shared" si="49"/>
        <v/>
      </c>
      <c r="DP13" s="73"/>
      <c r="DQ13" s="71"/>
      <c r="DR13" s="61">
        <v>0.0</v>
      </c>
      <c r="DS13" s="62" t="str">
        <f t="shared" si="50"/>
        <v/>
      </c>
      <c r="DT13" s="61">
        <v>0.0</v>
      </c>
      <c r="DU13" s="62" t="str">
        <f t="shared" si="51"/>
        <v/>
      </c>
      <c r="DV13" s="61">
        <v>0.0</v>
      </c>
      <c r="DW13" s="62" t="str">
        <f t="shared" si="52"/>
        <v/>
      </c>
      <c r="DX13" s="61">
        <v>0.0</v>
      </c>
      <c r="DY13" s="62" t="str">
        <f t="shared" si="53"/>
        <v/>
      </c>
      <c r="DZ13" s="61">
        <v>0.0</v>
      </c>
      <c r="EA13" s="64">
        <f t="shared" si="81"/>
        <v>0</v>
      </c>
      <c r="EB13" s="65"/>
      <c r="EC13" s="65"/>
      <c r="ED13" s="65"/>
      <c r="EE13" s="65"/>
      <c r="EF13" s="65"/>
      <c r="EG13" s="66"/>
      <c r="EH13" s="67"/>
      <c r="EI13" s="68" t="str">
        <f t="shared" si="55"/>
        <v/>
      </c>
      <c r="EJ13" s="73"/>
    </row>
    <row r="14" ht="15.75" hidden="1" customHeight="1" outlineLevel="1">
      <c r="A14" s="60">
        <f t="shared" si="74"/>
        <v>45527</v>
      </c>
      <c r="B14" s="61">
        <f t="shared" si="8"/>
        <v>0</v>
      </c>
      <c r="C14" s="62" t="str">
        <f t="shared" si="9"/>
        <v/>
      </c>
      <c r="D14" s="61">
        <f t="shared" si="10"/>
        <v>0</v>
      </c>
      <c r="E14" s="91" t="str">
        <f t="shared" si="11"/>
        <v/>
      </c>
      <c r="F14" s="61">
        <f t="shared" si="12"/>
        <v>0</v>
      </c>
      <c r="G14" s="92" t="str">
        <f t="shared" si="13"/>
        <v/>
      </c>
      <c r="H14" s="61">
        <f t="shared" si="14"/>
        <v>0</v>
      </c>
      <c r="I14" s="62" t="str">
        <f t="shared" si="15"/>
        <v/>
      </c>
      <c r="J14" s="63">
        <f t="shared" ref="J14:P14" si="85">SUM(AD14,AX14,BR14,CL14,DF14)</f>
        <v>0</v>
      </c>
      <c r="K14" s="93">
        <f t="shared" si="85"/>
        <v>0</v>
      </c>
      <c r="L14" s="94">
        <f t="shared" si="85"/>
        <v>0</v>
      </c>
      <c r="M14" s="94">
        <f t="shared" si="85"/>
        <v>0</v>
      </c>
      <c r="N14" s="94">
        <f t="shared" si="85"/>
        <v>0</v>
      </c>
      <c r="O14" s="94">
        <f t="shared" si="85"/>
        <v>0</v>
      </c>
      <c r="P14" s="94">
        <f t="shared" si="85"/>
        <v>0</v>
      </c>
      <c r="Q14" s="95" t="str">
        <f t="shared" si="17"/>
        <v/>
      </c>
      <c r="R14" s="67">
        <f t="shared" si="18"/>
        <v>0</v>
      </c>
      <c r="S14" s="68" t="str">
        <f t="shared" si="19"/>
        <v/>
      </c>
      <c r="T14" s="55"/>
      <c r="U14" s="69"/>
      <c r="V14" s="61">
        <v>0.0</v>
      </c>
      <c r="W14" s="62" t="str">
        <f t="shared" si="20"/>
        <v/>
      </c>
      <c r="X14" s="61">
        <v>0.0</v>
      </c>
      <c r="Y14" s="62" t="str">
        <f t="shared" si="21"/>
        <v/>
      </c>
      <c r="Z14" s="61">
        <v>0.0</v>
      </c>
      <c r="AA14" s="62" t="str">
        <f t="shared" si="22"/>
        <v/>
      </c>
      <c r="AB14" s="61">
        <v>0.0</v>
      </c>
      <c r="AC14" s="62" t="str">
        <f t="shared" si="23"/>
        <v/>
      </c>
      <c r="AD14" s="63">
        <v>0.0</v>
      </c>
      <c r="AE14" s="64">
        <f t="shared" si="76"/>
        <v>0</v>
      </c>
      <c r="AF14" s="65"/>
      <c r="AG14" s="65"/>
      <c r="AH14" s="65"/>
      <c r="AI14" s="65"/>
      <c r="AJ14" s="65"/>
      <c r="AK14" s="66"/>
      <c r="AL14" s="67"/>
      <c r="AM14" s="68" t="str">
        <f t="shared" si="25"/>
        <v/>
      </c>
      <c r="AN14" s="70"/>
      <c r="AO14" s="71"/>
      <c r="AP14" s="61">
        <v>0.0</v>
      </c>
      <c r="AQ14" s="62" t="str">
        <f t="shared" si="26"/>
        <v/>
      </c>
      <c r="AR14" s="61">
        <v>0.0</v>
      </c>
      <c r="AS14" s="62" t="str">
        <f t="shared" si="27"/>
        <v/>
      </c>
      <c r="AT14" s="61">
        <v>0.0</v>
      </c>
      <c r="AU14" s="62" t="str">
        <f t="shared" si="28"/>
        <v/>
      </c>
      <c r="AV14" s="61">
        <v>0.0</v>
      </c>
      <c r="AW14" s="62" t="str">
        <f t="shared" si="29"/>
        <v/>
      </c>
      <c r="AX14" s="61">
        <v>0.0</v>
      </c>
      <c r="AY14" s="64">
        <f t="shared" si="77"/>
        <v>0</v>
      </c>
      <c r="AZ14" s="65"/>
      <c r="BA14" s="65"/>
      <c r="BB14" s="65"/>
      <c r="BC14" s="65"/>
      <c r="BD14" s="65"/>
      <c r="BE14" s="66"/>
      <c r="BF14" s="67"/>
      <c r="BG14" s="68" t="str">
        <f t="shared" si="31"/>
        <v/>
      </c>
      <c r="BH14" s="70"/>
      <c r="BI14" s="71"/>
      <c r="BJ14" s="61">
        <v>0.0</v>
      </c>
      <c r="BK14" s="62" t="str">
        <f t="shared" si="32"/>
        <v/>
      </c>
      <c r="BL14" s="61">
        <v>0.0</v>
      </c>
      <c r="BM14" s="62" t="str">
        <f t="shared" si="33"/>
        <v/>
      </c>
      <c r="BN14" s="61">
        <v>0.0</v>
      </c>
      <c r="BO14" s="62" t="str">
        <f t="shared" si="34"/>
        <v/>
      </c>
      <c r="BP14" s="61">
        <v>0.0</v>
      </c>
      <c r="BQ14" s="62" t="str">
        <f t="shared" si="35"/>
        <v/>
      </c>
      <c r="BR14" s="61">
        <v>0.0</v>
      </c>
      <c r="BS14" s="64">
        <f t="shared" si="78"/>
        <v>0</v>
      </c>
      <c r="BT14" s="65"/>
      <c r="BU14" s="65"/>
      <c r="BV14" s="65"/>
      <c r="BW14" s="65"/>
      <c r="BX14" s="65"/>
      <c r="BY14" s="66"/>
      <c r="BZ14" s="67"/>
      <c r="CA14" s="68" t="str">
        <f t="shared" si="37"/>
        <v/>
      </c>
      <c r="CB14" s="70"/>
      <c r="CC14" s="71"/>
      <c r="CD14" s="61">
        <v>0.0</v>
      </c>
      <c r="CE14" s="62" t="str">
        <f t="shared" si="38"/>
        <v/>
      </c>
      <c r="CF14" s="61">
        <v>0.0</v>
      </c>
      <c r="CG14" s="62" t="str">
        <f t="shared" si="39"/>
        <v/>
      </c>
      <c r="CH14" s="61">
        <v>0.0</v>
      </c>
      <c r="CI14" s="62" t="str">
        <f t="shared" si="40"/>
        <v/>
      </c>
      <c r="CJ14" s="61">
        <v>0.0</v>
      </c>
      <c r="CK14" s="62" t="str">
        <f t="shared" si="41"/>
        <v/>
      </c>
      <c r="CL14" s="61">
        <v>0.0</v>
      </c>
      <c r="CM14" s="64">
        <f t="shared" si="79"/>
        <v>0</v>
      </c>
      <c r="CN14" s="65"/>
      <c r="CO14" s="65"/>
      <c r="CP14" s="65"/>
      <c r="CQ14" s="65"/>
      <c r="CR14" s="65"/>
      <c r="CS14" s="66"/>
      <c r="CT14" s="67"/>
      <c r="CU14" s="68" t="str">
        <f t="shared" si="43"/>
        <v/>
      </c>
      <c r="CV14" s="73"/>
      <c r="CW14" s="71"/>
      <c r="CX14" s="61">
        <v>0.0</v>
      </c>
      <c r="CY14" s="62" t="str">
        <f t="shared" si="44"/>
        <v/>
      </c>
      <c r="CZ14" s="61">
        <v>0.0</v>
      </c>
      <c r="DA14" s="62" t="str">
        <f t="shared" si="45"/>
        <v/>
      </c>
      <c r="DB14" s="61">
        <v>0.0</v>
      </c>
      <c r="DC14" s="62" t="str">
        <f t="shared" si="46"/>
        <v/>
      </c>
      <c r="DD14" s="61">
        <v>0.0</v>
      </c>
      <c r="DE14" s="62" t="str">
        <f t="shared" si="47"/>
        <v/>
      </c>
      <c r="DF14" s="61">
        <v>0.0</v>
      </c>
      <c r="DG14" s="64">
        <f t="shared" si="80"/>
        <v>0</v>
      </c>
      <c r="DH14" s="65"/>
      <c r="DI14" s="65"/>
      <c r="DJ14" s="65"/>
      <c r="DK14" s="65"/>
      <c r="DL14" s="65"/>
      <c r="DM14" s="66"/>
      <c r="DN14" s="67"/>
      <c r="DO14" s="68" t="str">
        <f t="shared" si="49"/>
        <v/>
      </c>
      <c r="DP14" s="73"/>
      <c r="DQ14" s="71"/>
      <c r="DR14" s="61">
        <v>0.0</v>
      </c>
      <c r="DS14" s="62" t="str">
        <f t="shared" si="50"/>
        <v/>
      </c>
      <c r="DT14" s="61">
        <v>0.0</v>
      </c>
      <c r="DU14" s="62" t="str">
        <f t="shared" si="51"/>
        <v/>
      </c>
      <c r="DV14" s="61">
        <v>0.0</v>
      </c>
      <c r="DW14" s="62" t="str">
        <f t="shared" si="52"/>
        <v/>
      </c>
      <c r="DX14" s="61">
        <v>0.0</v>
      </c>
      <c r="DY14" s="62" t="str">
        <f t="shared" si="53"/>
        <v/>
      </c>
      <c r="DZ14" s="61">
        <v>0.0</v>
      </c>
      <c r="EA14" s="64">
        <f t="shared" si="81"/>
        <v>0</v>
      </c>
      <c r="EB14" s="65"/>
      <c r="EC14" s="65"/>
      <c r="ED14" s="65"/>
      <c r="EE14" s="65"/>
      <c r="EF14" s="65"/>
      <c r="EG14" s="66"/>
      <c r="EH14" s="67"/>
      <c r="EI14" s="68" t="str">
        <f t="shared" si="55"/>
        <v/>
      </c>
      <c r="EJ14" s="73"/>
    </row>
    <row r="15" ht="15.75" hidden="1" customHeight="1" outlineLevel="1">
      <c r="A15" s="60">
        <f>A17+1</f>
        <v>45526</v>
      </c>
      <c r="B15" s="61">
        <f t="shared" si="8"/>
        <v>0</v>
      </c>
      <c r="C15" s="62" t="str">
        <f t="shared" si="9"/>
        <v/>
      </c>
      <c r="D15" s="61">
        <f t="shared" si="10"/>
        <v>0</v>
      </c>
      <c r="E15" s="91" t="str">
        <f t="shared" si="11"/>
        <v/>
      </c>
      <c r="F15" s="61">
        <f t="shared" si="12"/>
        <v>0</v>
      </c>
      <c r="G15" s="92" t="str">
        <f t="shared" si="13"/>
        <v/>
      </c>
      <c r="H15" s="61">
        <f t="shared" si="14"/>
        <v>0</v>
      </c>
      <c r="I15" s="62" t="str">
        <f t="shared" si="15"/>
        <v/>
      </c>
      <c r="J15" s="63">
        <f t="shared" ref="J15:P15" si="86">SUM(AD15,AX15,BR15,CL15,DF15)</f>
        <v>0</v>
      </c>
      <c r="K15" s="93">
        <f t="shared" si="86"/>
        <v>0</v>
      </c>
      <c r="L15" s="94">
        <f t="shared" si="86"/>
        <v>0</v>
      </c>
      <c r="M15" s="94">
        <f t="shared" si="86"/>
        <v>0</v>
      </c>
      <c r="N15" s="94">
        <f t="shared" si="86"/>
        <v>0</v>
      </c>
      <c r="O15" s="94">
        <f t="shared" si="86"/>
        <v>0</v>
      </c>
      <c r="P15" s="94">
        <f t="shared" si="86"/>
        <v>0</v>
      </c>
      <c r="Q15" s="95" t="str">
        <f t="shared" si="17"/>
        <v/>
      </c>
      <c r="R15" s="67">
        <f t="shared" si="18"/>
        <v>0</v>
      </c>
      <c r="S15" s="68" t="str">
        <f t="shared" si="19"/>
        <v/>
      </c>
      <c r="T15" s="55"/>
      <c r="U15" s="69"/>
      <c r="V15" s="61">
        <v>0.0</v>
      </c>
      <c r="W15" s="62" t="str">
        <f t="shared" si="20"/>
        <v/>
      </c>
      <c r="X15" s="61">
        <v>0.0</v>
      </c>
      <c r="Y15" s="62" t="str">
        <f t="shared" si="21"/>
        <v/>
      </c>
      <c r="Z15" s="61">
        <v>0.0</v>
      </c>
      <c r="AA15" s="62" t="str">
        <f t="shared" si="22"/>
        <v/>
      </c>
      <c r="AB15" s="61">
        <v>0.0</v>
      </c>
      <c r="AC15" s="62" t="str">
        <f t="shared" si="23"/>
        <v/>
      </c>
      <c r="AD15" s="63">
        <v>0.0</v>
      </c>
      <c r="AE15" s="64">
        <f t="shared" si="76"/>
        <v>0</v>
      </c>
      <c r="AF15" s="65"/>
      <c r="AG15" s="65"/>
      <c r="AH15" s="65"/>
      <c r="AI15" s="65"/>
      <c r="AJ15" s="65"/>
      <c r="AK15" s="66"/>
      <c r="AL15" s="67"/>
      <c r="AM15" s="68" t="str">
        <f t="shared" si="25"/>
        <v/>
      </c>
      <c r="AN15" s="70"/>
      <c r="AO15" s="71"/>
      <c r="AP15" s="61">
        <v>0.0</v>
      </c>
      <c r="AQ15" s="62" t="str">
        <f t="shared" si="26"/>
        <v/>
      </c>
      <c r="AR15" s="61">
        <v>0.0</v>
      </c>
      <c r="AS15" s="62" t="str">
        <f t="shared" si="27"/>
        <v/>
      </c>
      <c r="AT15" s="61">
        <v>0.0</v>
      </c>
      <c r="AU15" s="62" t="str">
        <f t="shared" si="28"/>
        <v/>
      </c>
      <c r="AV15" s="61">
        <v>0.0</v>
      </c>
      <c r="AW15" s="62" t="str">
        <f t="shared" si="29"/>
        <v/>
      </c>
      <c r="AX15" s="61">
        <v>0.0</v>
      </c>
      <c r="AY15" s="64">
        <f t="shared" si="77"/>
        <v>0</v>
      </c>
      <c r="AZ15" s="65"/>
      <c r="BA15" s="65"/>
      <c r="BB15" s="65"/>
      <c r="BC15" s="65"/>
      <c r="BD15" s="65"/>
      <c r="BE15" s="66"/>
      <c r="BF15" s="67"/>
      <c r="BG15" s="68" t="str">
        <f t="shared" si="31"/>
        <v/>
      </c>
      <c r="BH15" s="70"/>
      <c r="BI15" s="71"/>
      <c r="BJ15" s="61">
        <v>0.0</v>
      </c>
      <c r="BK15" s="62" t="str">
        <f t="shared" si="32"/>
        <v/>
      </c>
      <c r="BL15" s="61">
        <v>0.0</v>
      </c>
      <c r="BM15" s="62" t="str">
        <f t="shared" si="33"/>
        <v/>
      </c>
      <c r="BN15" s="61">
        <v>0.0</v>
      </c>
      <c r="BO15" s="62" t="str">
        <f t="shared" si="34"/>
        <v/>
      </c>
      <c r="BP15" s="61">
        <v>0.0</v>
      </c>
      <c r="BQ15" s="62" t="str">
        <f t="shared" si="35"/>
        <v/>
      </c>
      <c r="BR15" s="61">
        <v>0.0</v>
      </c>
      <c r="BS15" s="64">
        <f t="shared" si="78"/>
        <v>0</v>
      </c>
      <c r="BT15" s="65"/>
      <c r="BU15" s="65"/>
      <c r="BV15" s="65"/>
      <c r="BW15" s="65"/>
      <c r="BX15" s="65"/>
      <c r="BY15" s="66"/>
      <c r="BZ15" s="67"/>
      <c r="CA15" s="68" t="str">
        <f t="shared" si="37"/>
        <v/>
      </c>
      <c r="CB15" s="70"/>
      <c r="CC15" s="71"/>
      <c r="CD15" s="61">
        <v>0.0</v>
      </c>
      <c r="CE15" s="62" t="str">
        <f t="shared" si="38"/>
        <v/>
      </c>
      <c r="CF15" s="61">
        <v>0.0</v>
      </c>
      <c r="CG15" s="62" t="str">
        <f t="shared" si="39"/>
        <v/>
      </c>
      <c r="CH15" s="61">
        <v>0.0</v>
      </c>
      <c r="CI15" s="62" t="str">
        <f t="shared" si="40"/>
        <v/>
      </c>
      <c r="CJ15" s="61">
        <v>0.0</v>
      </c>
      <c r="CK15" s="62" t="str">
        <f t="shared" si="41"/>
        <v/>
      </c>
      <c r="CL15" s="61">
        <v>0.0</v>
      </c>
      <c r="CM15" s="64">
        <f t="shared" si="79"/>
        <v>0</v>
      </c>
      <c r="CN15" s="65"/>
      <c r="CO15" s="65"/>
      <c r="CP15" s="65"/>
      <c r="CQ15" s="65"/>
      <c r="CR15" s="65"/>
      <c r="CS15" s="66"/>
      <c r="CT15" s="67"/>
      <c r="CU15" s="68" t="str">
        <f t="shared" si="43"/>
        <v/>
      </c>
      <c r="CV15" s="72"/>
      <c r="CW15" s="71"/>
      <c r="CX15" s="61">
        <v>0.0</v>
      </c>
      <c r="CY15" s="62" t="str">
        <f t="shared" si="44"/>
        <v/>
      </c>
      <c r="CZ15" s="61">
        <v>0.0</v>
      </c>
      <c r="DA15" s="62" t="str">
        <f t="shared" si="45"/>
        <v/>
      </c>
      <c r="DB15" s="61">
        <v>0.0</v>
      </c>
      <c r="DC15" s="62" t="str">
        <f t="shared" si="46"/>
        <v/>
      </c>
      <c r="DD15" s="61">
        <v>0.0</v>
      </c>
      <c r="DE15" s="62" t="str">
        <f t="shared" si="47"/>
        <v/>
      </c>
      <c r="DF15" s="61">
        <v>0.0</v>
      </c>
      <c r="DG15" s="64">
        <f t="shared" si="80"/>
        <v>0</v>
      </c>
      <c r="DH15" s="65"/>
      <c r="DI15" s="65"/>
      <c r="DJ15" s="65"/>
      <c r="DK15" s="65"/>
      <c r="DL15" s="65"/>
      <c r="DM15" s="66"/>
      <c r="DN15" s="67"/>
      <c r="DO15" s="68" t="str">
        <f t="shared" si="49"/>
        <v/>
      </c>
      <c r="DP15" s="72"/>
      <c r="DQ15" s="71"/>
      <c r="DR15" s="61">
        <v>0.0</v>
      </c>
      <c r="DS15" s="62" t="str">
        <f t="shared" si="50"/>
        <v/>
      </c>
      <c r="DT15" s="61">
        <v>0.0</v>
      </c>
      <c r="DU15" s="62" t="str">
        <f t="shared" si="51"/>
        <v/>
      </c>
      <c r="DV15" s="61">
        <v>0.0</v>
      </c>
      <c r="DW15" s="62" t="str">
        <f t="shared" si="52"/>
        <v/>
      </c>
      <c r="DX15" s="61">
        <v>0.0</v>
      </c>
      <c r="DY15" s="62" t="str">
        <f t="shared" si="53"/>
        <v/>
      </c>
      <c r="DZ15" s="61">
        <v>0.0</v>
      </c>
      <c r="EA15" s="64">
        <f t="shared" si="81"/>
        <v>0</v>
      </c>
      <c r="EB15" s="65"/>
      <c r="EC15" s="65"/>
      <c r="ED15" s="65"/>
      <c r="EE15" s="65"/>
      <c r="EF15" s="65"/>
      <c r="EG15" s="66"/>
      <c r="EH15" s="67"/>
      <c r="EI15" s="68" t="str">
        <f t="shared" si="55"/>
        <v/>
      </c>
      <c r="EJ15" s="72"/>
    </row>
    <row r="16" ht="15.75" customHeight="1" collapsed="1">
      <c r="A16" s="45" t="s">
        <v>41</v>
      </c>
      <c r="B16" s="46">
        <f t="shared" si="8"/>
        <v>0</v>
      </c>
      <c r="C16" s="47" t="str">
        <f t="shared" si="9"/>
        <v/>
      </c>
      <c r="D16" s="46">
        <f t="shared" si="10"/>
        <v>0</v>
      </c>
      <c r="E16" s="88" t="str">
        <f t="shared" si="11"/>
        <v/>
      </c>
      <c r="F16" s="46">
        <f t="shared" si="12"/>
        <v>0</v>
      </c>
      <c r="G16" s="89" t="str">
        <f t="shared" si="13"/>
        <v/>
      </c>
      <c r="H16" s="46">
        <f t="shared" si="14"/>
        <v>0</v>
      </c>
      <c r="I16" s="48" t="str">
        <f t="shared" si="15"/>
        <v/>
      </c>
      <c r="J16" s="49">
        <f t="shared" ref="J16:P16" si="87">SUM(AD16,AX16,BR16,CL16,DF16)</f>
        <v>0</v>
      </c>
      <c r="K16" s="49">
        <f t="shared" si="87"/>
        <v>0</v>
      </c>
      <c r="L16" s="90">
        <f t="shared" si="87"/>
        <v>0</v>
      </c>
      <c r="M16" s="90">
        <f t="shared" si="87"/>
        <v>0</v>
      </c>
      <c r="N16" s="90">
        <f t="shared" si="87"/>
        <v>0</v>
      </c>
      <c r="O16" s="90">
        <f t="shared" si="87"/>
        <v>0</v>
      </c>
      <c r="P16" s="90">
        <f t="shared" si="87"/>
        <v>0</v>
      </c>
      <c r="Q16" s="90" t="str">
        <f t="shared" si="17"/>
        <v/>
      </c>
      <c r="R16" s="53">
        <f t="shared" si="18"/>
        <v>0</v>
      </c>
      <c r="S16" s="54" t="str">
        <f t="shared" si="19"/>
        <v/>
      </c>
      <c r="T16" s="55"/>
      <c r="U16" s="56"/>
      <c r="V16" s="46">
        <v>0.0</v>
      </c>
      <c r="W16" s="47" t="str">
        <f t="shared" si="20"/>
        <v/>
      </c>
      <c r="X16" s="46">
        <v>0.0</v>
      </c>
      <c r="Y16" s="47" t="str">
        <f t="shared" si="21"/>
        <v/>
      </c>
      <c r="Z16" s="46">
        <v>0.0</v>
      </c>
      <c r="AA16" s="47" t="str">
        <f t="shared" si="22"/>
        <v/>
      </c>
      <c r="AB16" s="46">
        <v>0.0</v>
      </c>
      <c r="AC16" s="48" t="str">
        <f t="shared" si="23"/>
        <v/>
      </c>
      <c r="AD16" s="46">
        <v>0.0</v>
      </c>
      <c r="AE16" s="50">
        <f t="shared" ref="AE16:AJ16" si="88">SUM(AE17:AE23)</f>
        <v>0</v>
      </c>
      <c r="AF16" s="51">
        <f t="shared" si="88"/>
        <v>0</v>
      </c>
      <c r="AG16" s="51">
        <f t="shared" si="88"/>
        <v>0</v>
      </c>
      <c r="AH16" s="51">
        <f t="shared" si="88"/>
        <v>0</v>
      </c>
      <c r="AI16" s="51">
        <f t="shared" si="88"/>
        <v>0</v>
      </c>
      <c r="AJ16" s="51">
        <f t="shared" si="88"/>
        <v>0</v>
      </c>
      <c r="AK16" s="52"/>
      <c r="AL16" s="53">
        <f>SUM(AL17:AL23)</f>
        <v>0</v>
      </c>
      <c r="AM16" s="54" t="str">
        <f t="shared" si="25"/>
        <v/>
      </c>
      <c r="AN16" s="57"/>
      <c r="AO16" s="58"/>
      <c r="AP16" s="46">
        <v>0.0</v>
      </c>
      <c r="AQ16" s="47" t="str">
        <f t="shared" si="26"/>
        <v/>
      </c>
      <c r="AR16" s="46">
        <v>0.0</v>
      </c>
      <c r="AS16" s="47" t="str">
        <f t="shared" si="27"/>
        <v/>
      </c>
      <c r="AT16" s="46">
        <v>0.0</v>
      </c>
      <c r="AU16" s="47" t="str">
        <f t="shared" si="28"/>
        <v/>
      </c>
      <c r="AV16" s="46">
        <v>0.0</v>
      </c>
      <c r="AW16" s="48" t="str">
        <f t="shared" si="29"/>
        <v/>
      </c>
      <c r="AX16" s="46">
        <v>0.0</v>
      </c>
      <c r="AY16" s="50">
        <f t="shared" ref="AY16:BD16" si="89">SUM(AY17:AY23)</f>
        <v>0</v>
      </c>
      <c r="AZ16" s="51">
        <f t="shared" si="89"/>
        <v>0</v>
      </c>
      <c r="BA16" s="51">
        <f t="shared" si="89"/>
        <v>0</v>
      </c>
      <c r="BB16" s="51">
        <f t="shared" si="89"/>
        <v>0</v>
      </c>
      <c r="BC16" s="51">
        <f t="shared" si="89"/>
        <v>0</v>
      </c>
      <c r="BD16" s="51">
        <f t="shared" si="89"/>
        <v>0</v>
      </c>
      <c r="BE16" s="52"/>
      <c r="BF16" s="53">
        <f>SUM(BF17:BF23)</f>
        <v>0</v>
      </c>
      <c r="BG16" s="54" t="str">
        <f t="shared" si="31"/>
        <v/>
      </c>
      <c r="BH16" s="57"/>
      <c r="BI16" s="58"/>
      <c r="BJ16" s="46">
        <v>0.0</v>
      </c>
      <c r="BK16" s="47" t="str">
        <f t="shared" si="32"/>
        <v/>
      </c>
      <c r="BL16" s="46">
        <v>0.0</v>
      </c>
      <c r="BM16" s="47" t="str">
        <f t="shared" si="33"/>
        <v/>
      </c>
      <c r="BN16" s="46">
        <v>0.0</v>
      </c>
      <c r="BO16" s="47" t="str">
        <f t="shared" si="34"/>
        <v/>
      </c>
      <c r="BP16" s="46">
        <v>0.0</v>
      </c>
      <c r="BQ16" s="48" t="str">
        <f t="shared" si="35"/>
        <v/>
      </c>
      <c r="BR16" s="46">
        <v>0.0</v>
      </c>
      <c r="BS16" s="50">
        <f t="shared" ref="BS16:BX16" si="90">SUM(BS17:BS23)</f>
        <v>0</v>
      </c>
      <c r="BT16" s="51">
        <f t="shared" si="90"/>
        <v>0</v>
      </c>
      <c r="BU16" s="51">
        <f t="shared" si="90"/>
        <v>0</v>
      </c>
      <c r="BV16" s="51">
        <f t="shared" si="90"/>
        <v>0</v>
      </c>
      <c r="BW16" s="51">
        <f t="shared" si="90"/>
        <v>0</v>
      </c>
      <c r="BX16" s="51">
        <f t="shared" si="90"/>
        <v>0</v>
      </c>
      <c r="BY16" s="52"/>
      <c r="BZ16" s="53">
        <f>SUM(BZ17:BZ23)</f>
        <v>0</v>
      </c>
      <c r="CA16" s="54" t="str">
        <f t="shared" si="37"/>
        <v/>
      </c>
      <c r="CB16" s="57"/>
      <c r="CC16" s="58"/>
      <c r="CD16" s="46">
        <v>0.0</v>
      </c>
      <c r="CE16" s="47" t="str">
        <f t="shared" si="38"/>
        <v/>
      </c>
      <c r="CF16" s="46">
        <v>0.0</v>
      </c>
      <c r="CG16" s="47" t="str">
        <f t="shared" si="39"/>
        <v/>
      </c>
      <c r="CH16" s="46">
        <v>0.0</v>
      </c>
      <c r="CI16" s="47" t="str">
        <f t="shared" si="40"/>
        <v/>
      </c>
      <c r="CJ16" s="46">
        <v>0.0</v>
      </c>
      <c r="CK16" s="48" t="str">
        <f t="shared" si="41"/>
        <v/>
      </c>
      <c r="CL16" s="46">
        <v>0.0</v>
      </c>
      <c r="CM16" s="50">
        <f t="shared" ref="CM16:CR16" si="91">SUM(CM17:CM23)</f>
        <v>0</v>
      </c>
      <c r="CN16" s="51">
        <f t="shared" si="91"/>
        <v>0</v>
      </c>
      <c r="CO16" s="51">
        <f t="shared" si="91"/>
        <v>0</v>
      </c>
      <c r="CP16" s="51">
        <f t="shared" si="91"/>
        <v>0</v>
      </c>
      <c r="CQ16" s="51">
        <f t="shared" si="91"/>
        <v>0</v>
      </c>
      <c r="CR16" s="51">
        <f t="shared" si="91"/>
        <v>0</v>
      </c>
      <c r="CS16" s="52"/>
      <c r="CT16" s="53">
        <f>SUM(CT17:CT23)</f>
        <v>0</v>
      </c>
      <c r="CU16" s="54" t="str">
        <f t="shared" si="43"/>
        <v/>
      </c>
      <c r="CV16" s="59"/>
      <c r="CW16" s="58"/>
      <c r="CX16" s="46">
        <v>0.0</v>
      </c>
      <c r="CY16" s="47" t="str">
        <f t="shared" si="44"/>
        <v/>
      </c>
      <c r="CZ16" s="46">
        <v>0.0</v>
      </c>
      <c r="DA16" s="47" t="str">
        <f t="shared" si="45"/>
        <v/>
      </c>
      <c r="DB16" s="46">
        <v>0.0</v>
      </c>
      <c r="DC16" s="47" t="str">
        <f t="shared" si="46"/>
        <v/>
      </c>
      <c r="DD16" s="46">
        <v>0.0</v>
      </c>
      <c r="DE16" s="48" t="str">
        <f t="shared" si="47"/>
        <v/>
      </c>
      <c r="DF16" s="46">
        <v>0.0</v>
      </c>
      <c r="DG16" s="50">
        <f t="shared" ref="DG16:DL16" si="92">SUM(DG17:DG23)</f>
        <v>0</v>
      </c>
      <c r="DH16" s="51">
        <f t="shared" si="92"/>
        <v>0</v>
      </c>
      <c r="DI16" s="51">
        <f t="shared" si="92"/>
        <v>0</v>
      </c>
      <c r="DJ16" s="51">
        <f t="shared" si="92"/>
        <v>0</v>
      </c>
      <c r="DK16" s="51">
        <f t="shared" si="92"/>
        <v>0</v>
      </c>
      <c r="DL16" s="51">
        <f t="shared" si="92"/>
        <v>0</v>
      </c>
      <c r="DM16" s="52"/>
      <c r="DN16" s="53">
        <f>SUM(DN17:DN23)</f>
        <v>0</v>
      </c>
      <c r="DO16" s="54" t="str">
        <f t="shared" si="49"/>
        <v/>
      </c>
      <c r="DP16" s="59"/>
      <c r="DQ16" s="58"/>
      <c r="DR16" s="46">
        <v>0.0</v>
      </c>
      <c r="DS16" s="47" t="str">
        <f t="shared" si="50"/>
        <v/>
      </c>
      <c r="DT16" s="46">
        <v>0.0</v>
      </c>
      <c r="DU16" s="47" t="str">
        <f t="shared" si="51"/>
        <v/>
      </c>
      <c r="DV16" s="46">
        <v>0.0</v>
      </c>
      <c r="DW16" s="47" t="str">
        <f t="shared" si="52"/>
        <v/>
      </c>
      <c r="DX16" s="46">
        <v>0.0</v>
      </c>
      <c r="DY16" s="48" t="str">
        <f t="shared" si="53"/>
        <v/>
      </c>
      <c r="DZ16" s="46">
        <v>0.0</v>
      </c>
      <c r="EA16" s="50">
        <f t="shared" ref="EA16:EF16" si="93">SUM(EA17:EA23)</f>
        <v>0</v>
      </c>
      <c r="EB16" s="51">
        <f t="shared" si="93"/>
        <v>0</v>
      </c>
      <c r="EC16" s="51">
        <f t="shared" si="93"/>
        <v>0</v>
      </c>
      <c r="ED16" s="51">
        <f t="shared" si="93"/>
        <v>0</v>
      </c>
      <c r="EE16" s="51">
        <f t="shared" si="93"/>
        <v>0</v>
      </c>
      <c r="EF16" s="51">
        <f t="shared" si="93"/>
        <v>0</v>
      </c>
      <c r="EG16" s="52"/>
      <c r="EH16" s="53">
        <f>SUM(EH17:EH23)</f>
        <v>0</v>
      </c>
      <c r="EI16" s="54" t="str">
        <f t="shared" si="55"/>
        <v/>
      </c>
      <c r="EJ16" s="59"/>
    </row>
    <row r="17" ht="15.75" hidden="1" customHeight="1" outlineLevel="1">
      <c r="A17" s="60">
        <f t="shared" ref="A17:A22" si="95">A18+1</f>
        <v>45525</v>
      </c>
      <c r="B17" s="61">
        <f t="shared" si="8"/>
        <v>0</v>
      </c>
      <c r="C17" s="62" t="str">
        <f t="shared" si="9"/>
        <v/>
      </c>
      <c r="D17" s="61">
        <f t="shared" si="10"/>
        <v>0</v>
      </c>
      <c r="E17" s="91" t="str">
        <f t="shared" si="11"/>
        <v/>
      </c>
      <c r="F17" s="61">
        <f t="shared" si="12"/>
        <v>0</v>
      </c>
      <c r="G17" s="92" t="str">
        <f t="shared" si="13"/>
        <v/>
      </c>
      <c r="H17" s="61">
        <f t="shared" si="14"/>
        <v>0</v>
      </c>
      <c r="I17" s="62" t="str">
        <f t="shared" si="15"/>
        <v/>
      </c>
      <c r="J17" s="63">
        <f t="shared" ref="J17:P17" si="94">SUM(AD17,AX17,BR17,CL17,DF17)</f>
        <v>0</v>
      </c>
      <c r="K17" s="93">
        <f t="shared" si="94"/>
        <v>0</v>
      </c>
      <c r="L17" s="94">
        <f t="shared" si="94"/>
        <v>0</v>
      </c>
      <c r="M17" s="94">
        <f t="shared" si="94"/>
        <v>0</v>
      </c>
      <c r="N17" s="94">
        <f t="shared" si="94"/>
        <v>0</v>
      </c>
      <c r="O17" s="94">
        <f t="shared" si="94"/>
        <v>0</v>
      </c>
      <c r="P17" s="94">
        <f t="shared" si="94"/>
        <v>0</v>
      </c>
      <c r="Q17" s="95" t="str">
        <f t="shared" si="17"/>
        <v/>
      </c>
      <c r="R17" s="67">
        <f t="shared" si="18"/>
        <v>0</v>
      </c>
      <c r="S17" s="68" t="str">
        <f t="shared" si="19"/>
        <v/>
      </c>
      <c r="T17" s="55"/>
      <c r="U17" s="69"/>
      <c r="V17" s="61" t="s">
        <v>40</v>
      </c>
      <c r="W17" s="62" t="str">
        <f t="shared" si="20"/>
        <v/>
      </c>
      <c r="X17" s="61" t="s">
        <v>40</v>
      </c>
      <c r="Y17" s="62" t="str">
        <f t="shared" si="21"/>
        <v/>
      </c>
      <c r="Z17" s="61" t="s">
        <v>40</v>
      </c>
      <c r="AA17" s="62" t="str">
        <f t="shared" si="22"/>
        <v/>
      </c>
      <c r="AB17" s="61" t="s">
        <v>40</v>
      </c>
      <c r="AC17" s="62" t="str">
        <f t="shared" si="23"/>
        <v/>
      </c>
      <c r="AD17" s="63" t="s">
        <v>40</v>
      </c>
      <c r="AE17" s="64">
        <f t="shared" ref="AE17:AE23" si="97">SUM(AF17:AJ17)</f>
        <v>0</v>
      </c>
      <c r="AF17" s="68"/>
      <c r="AG17" s="68"/>
      <c r="AH17" s="68"/>
      <c r="AI17" s="68"/>
      <c r="AJ17" s="68"/>
      <c r="AK17" s="68" t="str">
        <f t="shared" ref="AK17:AK30" si="98">IFERROR(AL17/AE17,"")</f>
        <v/>
      </c>
      <c r="AL17" s="74"/>
      <c r="AM17" s="68" t="str">
        <f t="shared" si="25"/>
        <v/>
      </c>
      <c r="AN17" s="70"/>
      <c r="AO17" s="71"/>
      <c r="AP17" s="61">
        <v>0.0</v>
      </c>
      <c r="AQ17" s="62" t="str">
        <f t="shared" si="26"/>
        <v/>
      </c>
      <c r="AR17" s="61">
        <v>0.0</v>
      </c>
      <c r="AS17" s="62" t="str">
        <f t="shared" si="27"/>
        <v/>
      </c>
      <c r="AT17" s="61">
        <v>0.0</v>
      </c>
      <c r="AU17" s="62" t="str">
        <f t="shared" si="28"/>
        <v/>
      </c>
      <c r="AV17" s="61">
        <v>0.0</v>
      </c>
      <c r="AW17" s="62" t="str">
        <f t="shared" si="29"/>
        <v/>
      </c>
      <c r="AX17" s="61">
        <v>0.0</v>
      </c>
      <c r="AY17" s="64">
        <f t="shared" ref="AY17:AY23" si="99">SUM(AZ17:BD17)</f>
        <v>0</v>
      </c>
      <c r="AZ17" s="68"/>
      <c r="BA17" s="68"/>
      <c r="BB17" s="68"/>
      <c r="BC17" s="68"/>
      <c r="BD17" s="68"/>
      <c r="BE17" s="68" t="str">
        <f t="shared" ref="BE17:BE30" si="100">IFERROR(BF17/AY17,"")</f>
        <v/>
      </c>
      <c r="BF17" s="74"/>
      <c r="BG17" s="68" t="str">
        <f t="shared" si="31"/>
        <v/>
      </c>
      <c r="BH17" s="70"/>
      <c r="BI17" s="71"/>
      <c r="BJ17" s="61">
        <v>0.0</v>
      </c>
      <c r="BK17" s="62" t="str">
        <f t="shared" si="32"/>
        <v/>
      </c>
      <c r="BL17" s="61">
        <v>0.0</v>
      </c>
      <c r="BM17" s="62" t="str">
        <f t="shared" si="33"/>
        <v/>
      </c>
      <c r="BN17" s="61">
        <v>0.0</v>
      </c>
      <c r="BO17" s="62" t="str">
        <f t="shared" si="34"/>
        <v/>
      </c>
      <c r="BP17" s="61">
        <v>0.0</v>
      </c>
      <c r="BQ17" s="62" t="str">
        <f t="shared" si="35"/>
        <v/>
      </c>
      <c r="BR17" s="61">
        <v>0.0</v>
      </c>
      <c r="BS17" s="64">
        <f t="shared" ref="BS17:BS23" si="101">SUM(BT17:BX17)</f>
        <v>0</v>
      </c>
      <c r="BT17" s="68"/>
      <c r="BU17" s="68"/>
      <c r="BV17" s="68"/>
      <c r="BW17" s="68"/>
      <c r="BX17" s="68"/>
      <c r="BY17" s="68" t="str">
        <f t="shared" ref="BY17:BY39" si="102">IFERROR(BZ17/BS17,"")</f>
        <v/>
      </c>
      <c r="BZ17" s="74"/>
      <c r="CA17" s="68" t="str">
        <f t="shared" si="37"/>
        <v/>
      </c>
      <c r="CB17" s="70"/>
      <c r="CC17" s="71"/>
      <c r="CD17" s="61">
        <v>0.0</v>
      </c>
      <c r="CE17" s="62" t="str">
        <f t="shared" si="38"/>
        <v/>
      </c>
      <c r="CF17" s="61">
        <v>0.0</v>
      </c>
      <c r="CG17" s="62" t="str">
        <f t="shared" si="39"/>
        <v/>
      </c>
      <c r="CH17" s="61">
        <v>0.0</v>
      </c>
      <c r="CI17" s="62" t="str">
        <f t="shared" si="40"/>
        <v/>
      </c>
      <c r="CJ17" s="61">
        <v>0.0</v>
      </c>
      <c r="CK17" s="62" t="str">
        <f t="shared" si="41"/>
        <v/>
      </c>
      <c r="CL17" s="61">
        <v>0.0</v>
      </c>
      <c r="CM17" s="64">
        <f t="shared" ref="CM17:CM23" si="103">SUM(CN17:CR17)</f>
        <v>0</v>
      </c>
      <c r="CN17" s="68"/>
      <c r="CO17" s="68"/>
      <c r="CP17" s="68"/>
      <c r="CQ17" s="68"/>
      <c r="CR17" s="68"/>
      <c r="CS17" s="68" t="str">
        <f t="shared" ref="CS17:CS39" si="104">IFERROR(CT17/CM17,"")</f>
        <v/>
      </c>
      <c r="CT17" s="74"/>
      <c r="CU17" s="68" t="str">
        <f t="shared" si="43"/>
        <v/>
      </c>
      <c r="CV17" s="72"/>
      <c r="CW17" s="71"/>
      <c r="CX17" s="61">
        <v>0.0</v>
      </c>
      <c r="CY17" s="62" t="str">
        <f t="shared" si="44"/>
        <v/>
      </c>
      <c r="CZ17" s="61">
        <v>0.0</v>
      </c>
      <c r="DA17" s="62" t="str">
        <f t="shared" si="45"/>
        <v/>
      </c>
      <c r="DB17" s="61">
        <v>0.0</v>
      </c>
      <c r="DC17" s="62" t="str">
        <f t="shared" si="46"/>
        <v/>
      </c>
      <c r="DD17" s="61">
        <v>0.0</v>
      </c>
      <c r="DE17" s="62" t="str">
        <f t="shared" si="47"/>
        <v/>
      </c>
      <c r="DF17" s="61">
        <v>0.0</v>
      </c>
      <c r="DG17" s="64">
        <f t="shared" ref="DG17:DG23" si="105">SUM(DH17:DL17)</f>
        <v>0</v>
      </c>
      <c r="DH17" s="68"/>
      <c r="DI17" s="68"/>
      <c r="DJ17" s="68"/>
      <c r="DK17" s="68"/>
      <c r="DL17" s="68"/>
      <c r="DM17" s="68" t="str">
        <f t="shared" ref="DM17:DM39" si="106">IFERROR(DN17/DG17,"")</f>
        <v/>
      </c>
      <c r="DN17" s="74"/>
      <c r="DO17" s="68" t="str">
        <f t="shared" si="49"/>
        <v/>
      </c>
      <c r="DP17" s="72"/>
      <c r="DQ17" s="71"/>
      <c r="DR17" s="61">
        <v>0.0</v>
      </c>
      <c r="DS17" s="62" t="str">
        <f t="shared" si="50"/>
        <v/>
      </c>
      <c r="DT17" s="61">
        <v>0.0</v>
      </c>
      <c r="DU17" s="62" t="str">
        <f t="shared" si="51"/>
        <v/>
      </c>
      <c r="DV17" s="61">
        <v>0.0</v>
      </c>
      <c r="DW17" s="62" t="str">
        <f t="shared" si="52"/>
        <v/>
      </c>
      <c r="DX17" s="61">
        <v>0.0</v>
      </c>
      <c r="DY17" s="62" t="str">
        <f t="shared" si="53"/>
        <v/>
      </c>
      <c r="DZ17" s="61">
        <v>0.0</v>
      </c>
      <c r="EA17" s="64">
        <f t="shared" ref="EA17:EA23" si="107">SUM(EB17:EF17)</f>
        <v>0</v>
      </c>
      <c r="EB17" s="68"/>
      <c r="EC17" s="68"/>
      <c r="ED17" s="68"/>
      <c r="EE17" s="68"/>
      <c r="EF17" s="68"/>
      <c r="EG17" s="68" t="str">
        <f t="shared" ref="EG17:EG39" si="108">IFERROR(EH17/EA17,"")</f>
        <v/>
      </c>
      <c r="EH17" s="74"/>
      <c r="EI17" s="68" t="str">
        <f t="shared" si="55"/>
        <v/>
      </c>
      <c r="EJ17" s="72"/>
    </row>
    <row r="18" ht="15.75" hidden="1" customHeight="1" outlineLevel="1">
      <c r="A18" s="60">
        <f t="shared" si="95"/>
        <v>45524</v>
      </c>
      <c r="B18" s="61">
        <f t="shared" si="8"/>
        <v>0</v>
      </c>
      <c r="C18" s="62" t="str">
        <f t="shared" si="9"/>
        <v/>
      </c>
      <c r="D18" s="61">
        <f t="shared" si="10"/>
        <v>0</v>
      </c>
      <c r="E18" s="91" t="str">
        <f t="shared" si="11"/>
        <v/>
      </c>
      <c r="F18" s="61">
        <f t="shared" si="12"/>
        <v>0</v>
      </c>
      <c r="G18" s="92" t="str">
        <f t="shared" si="13"/>
        <v/>
      </c>
      <c r="H18" s="61">
        <f t="shared" si="14"/>
        <v>0</v>
      </c>
      <c r="I18" s="62" t="str">
        <f t="shared" si="15"/>
        <v/>
      </c>
      <c r="J18" s="63">
        <f t="shared" ref="J18:P18" si="96">SUM(AD18,AX18,BR18,CL18,DF18)</f>
        <v>0</v>
      </c>
      <c r="K18" s="93">
        <f t="shared" si="96"/>
        <v>0</v>
      </c>
      <c r="L18" s="94">
        <f t="shared" si="96"/>
        <v>0</v>
      </c>
      <c r="M18" s="94">
        <f t="shared" si="96"/>
        <v>0</v>
      </c>
      <c r="N18" s="94">
        <f t="shared" si="96"/>
        <v>0</v>
      </c>
      <c r="O18" s="94">
        <f t="shared" si="96"/>
        <v>0</v>
      </c>
      <c r="P18" s="94">
        <f t="shared" si="96"/>
        <v>0</v>
      </c>
      <c r="Q18" s="95" t="str">
        <f t="shared" si="17"/>
        <v/>
      </c>
      <c r="R18" s="67">
        <f t="shared" si="18"/>
        <v>0</v>
      </c>
      <c r="S18" s="68" t="str">
        <f t="shared" si="19"/>
        <v/>
      </c>
      <c r="T18" s="55"/>
      <c r="U18" s="69"/>
      <c r="V18" s="61" t="s">
        <v>40</v>
      </c>
      <c r="W18" s="62" t="str">
        <f t="shared" si="20"/>
        <v/>
      </c>
      <c r="X18" s="61" t="s">
        <v>40</v>
      </c>
      <c r="Y18" s="62" t="str">
        <f t="shared" si="21"/>
        <v/>
      </c>
      <c r="Z18" s="61" t="s">
        <v>40</v>
      </c>
      <c r="AA18" s="62" t="str">
        <f t="shared" si="22"/>
        <v/>
      </c>
      <c r="AB18" s="61" t="s">
        <v>40</v>
      </c>
      <c r="AC18" s="62" t="str">
        <f t="shared" si="23"/>
        <v/>
      </c>
      <c r="AD18" s="63" t="s">
        <v>40</v>
      </c>
      <c r="AE18" s="64">
        <f t="shared" si="97"/>
        <v>0</v>
      </c>
      <c r="AF18" s="68"/>
      <c r="AG18" s="68"/>
      <c r="AH18" s="68"/>
      <c r="AI18" s="68"/>
      <c r="AJ18" s="68"/>
      <c r="AK18" s="68" t="str">
        <f t="shared" si="98"/>
        <v/>
      </c>
      <c r="AL18" s="74"/>
      <c r="AM18" s="68" t="str">
        <f t="shared" si="25"/>
        <v/>
      </c>
      <c r="AN18" s="70"/>
      <c r="AO18" s="71"/>
      <c r="AP18" s="61">
        <v>0.0</v>
      </c>
      <c r="AQ18" s="62" t="str">
        <f t="shared" si="26"/>
        <v/>
      </c>
      <c r="AR18" s="61">
        <v>0.0</v>
      </c>
      <c r="AS18" s="62" t="str">
        <f t="shared" si="27"/>
        <v/>
      </c>
      <c r="AT18" s="61">
        <v>0.0</v>
      </c>
      <c r="AU18" s="62" t="str">
        <f t="shared" si="28"/>
        <v/>
      </c>
      <c r="AV18" s="61">
        <v>0.0</v>
      </c>
      <c r="AW18" s="62" t="str">
        <f t="shared" si="29"/>
        <v/>
      </c>
      <c r="AX18" s="61">
        <v>0.0</v>
      </c>
      <c r="AY18" s="64">
        <f t="shared" si="99"/>
        <v>0</v>
      </c>
      <c r="AZ18" s="68"/>
      <c r="BA18" s="68"/>
      <c r="BB18" s="68"/>
      <c r="BC18" s="68"/>
      <c r="BD18" s="68"/>
      <c r="BE18" s="68" t="str">
        <f t="shared" si="100"/>
        <v/>
      </c>
      <c r="BF18" s="74"/>
      <c r="BG18" s="68" t="str">
        <f t="shared" si="31"/>
        <v/>
      </c>
      <c r="BH18" s="70"/>
      <c r="BI18" s="71"/>
      <c r="BJ18" s="61">
        <v>0.0</v>
      </c>
      <c r="BK18" s="62" t="str">
        <f t="shared" si="32"/>
        <v/>
      </c>
      <c r="BL18" s="61">
        <v>0.0</v>
      </c>
      <c r="BM18" s="62" t="str">
        <f t="shared" si="33"/>
        <v/>
      </c>
      <c r="BN18" s="61">
        <v>0.0</v>
      </c>
      <c r="BO18" s="62" t="str">
        <f t="shared" si="34"/>
        <v/>
      </c>
      <c r="BP18" s="61">
        <v>0.0</v>
      </c>
      <c r="BQ18" s="62" t="str">
        <f t="shared" si="35"/>
        <v/>
      </c>
      <c r="BR18" s="61">
        <v>0.0</v>
      </c>
      <c r="BS18" s="64">
        <f t="shared" si="101"/>
        <v>0</v>
      </c>
      <c r="BT18" s="68"/>
      <c r="BU18" s="68"/>
      <c r="BV18" s="68"/>
      <c r="BW18" s="68"/>
      <c r="BX18" s="68"/>
      <c r="BY18" s="68" t="str">
        <f t="shared" si="102"/>
        <v/>
      </c>
      <c r="BZ18" s="74"/>
      <c r="CA18" s="68" t="str">
        <f t="shared" si="37"/>
        <v/>
      </c>
      <c r="CB18" s="70"/>
      <c r="CC18" s="71"/>
      <c r="CD18" s="61">
        <v>0.0</v>
      </c>
      <c r="CE18" s="62" t="str">
        <f t="shared" si="38"/>
        <v/>
      </c>
      <c r="CF18" s="61">
        <v>0.0</v>
      </c>
      <c r="CG18" s="62" t="str">
        <f t="shared" si="39"/>
        <v/>
      </c>
      <c r="CH18" s="61">
        <v>0.0</v>
      </c>
      <c r="CI18" s="62" t="str">
        <f t="shared" si="40"/>
        <v/>
      </c>
      <c r="CJ18" s="61">
        <v>0.0</v>
      </c>
      <c r="CK18" s="62" t="str">
        <f t="shared" si="41"/>
        <v/>
      </c>
      <c r="CL18" s="61">
        <v>0.0</v>
      </c>
      <c r="CM18" s="64">
        <f t="shared" si="103"/>
        <v>0</v>
      </c>
      <c r="CN18" s="68"/>
      <c r="CO18" s="68"/>
      <c r="CP18" s="68"/>
      <c r="CQ18" s="68"/>
      <c r="CR18" s="68"/>
      <c r="CS18" s="68" t="str">
        <f t="shared" si="104"/>
        <v/>
      </c>
      <c r="CT18" s="74"/>
      <c r="CU18" s="68" t="str">
        <f t="shared" si="43"/>
        <v/>
      </c>
      <c r="CV18" s="72"/>
      <c r="CW18" s="71"/>
      <c r="CX18" s="61">
        <v>0.0</v>
      </c>
      <c r="CY18" s="62" t="str">
        <f t="shared" si="44"/>
        <v/>
      </c>
      <c r="CZ18" s="61">
        <v>0.0</v>
      </c>
      <c r="DA18" s="62" t="str">
        <f t="shared" si="45"/>
        <v/>
      </c>
      <c r="DB18" s="61">
        <v>0.0</v>
      </c>
      <c r="DC18" s="62" t="str">
        <f t="shared" si="46"/>
        <v/>
      </c>
      <c r="DD18" s="61">
        <v>0.0</v>
      </c>
      <c r="DE18" s="62" t="str">
        <f t="shared" si="47"/>
        <v/>
      </c>
      <c r="DF18" s="61">
        <v>0.0</v>
      </c>
      <c r="DG18" s="64">
        <f t="shared" si="105"/>
        <v>0</v>
      </c>
      <c r="DH18" s="68"/>
      <c r="DI18" s="68"/>
      <c r="DJ18" s="68"/>
      <c r="DK18" s="68"/>
      <c r="DL18" s="68"/>
      <c r="DM18" s="68" t="str">
        <f t="shared" si="106"/>
        <v/>
      </c>
      <c r="DN18" s="74"/>
      <c r="DO18" s="68" t="str">
        <f t="shared" si="49"/>
        <v/>
      </c>
      <c r="DP18" s="72"/>
      <c r="DQ18" s="71"/>
      <c r="DR18" s="61">
        <v>0.0</v>
      </c>
      <c r="DS18" s="62" t="str">
        <f t="shared" si="50"/>
        <v/>
      </c>
      <c r="DT18" s="61">
        <v>0.0</v>
      </c>
      <c r="DU18" s="62" t="str">
        <f t="shared" si="51"/>
        <v/>
      </c>
      <c r="DV18" s="61">
        <v>0.0</v>
      </c>
      <c r="DW18" s="62" t="str">
        <f t="shared" si="52"/>
        <v/>
      </c>
      <c r="DX18" s="61">
        <v>0.0</v>
      </c>
      <c r="DY18" s="62" t="str">
        <f t="shared" si="53"/>
        <v/>
      </c>
      <c r="DZ18" s="61">
        <v>0.0</v>
      </c>
      <c r="EA18" s="64">
        <f t="shared" si="107"/>
        <v>0</v>
      </c>
      <c r="EB18" s="68"/>
      <c r="EC18" s="68"/>
      <c r="ED18" s="68"/>
      <c r="EE18" s="68"/>
      <c r="EF18" s="68"/>
      <c r="EG18" s="68" t="str">
        <f t="shared" si="108"/>
        <v/>
      </c>
      <c r="EH18" s="74"/>
      <c r="EI18" s="68" t="str">
        <f t="shared" si="55"/>
        <v/>
      </c>
      <c r="EJ18" s="72"/>
    </row>
    <row r="19" ht="15.75" hidden="1" customHeight="1" outlineLevel="1">
      <c r="A19" s="60">
        <f t="shared" si="95"/>
        <v>45523</v>
      </c>
      <c r="B19" s="61">
        <f t="shared" si="8"/>
        <v>0</v>
      </c>
      <c r="C19" s="62" t="str">
        <f t="shared" si="9"/>
        <v/>
      </c>
      <c r="D19" s="61">
        <f t="shared" si="10"/>
        <v>0</v>
      </c>
      <c r="E19" s="91" t="str">
        <f t="shared" si="11"/>
        <v/>
      </c>
      <c r="F19" s="61">
        <f t="shared" si="12"/>
        <v>0</v>
      </c>
      <c r="G19" s="92" t="str">
        <f t="shared" si="13"/>
        <v/>
      </c>
      <c r="H19" s="61">
        <f t="shared" si="14"/>
        <v>0</v>
      </c>
      <c r="I19" s="62" t="str">
        <f t="shared" si="15"/>
        <v/>
      </c>
      <c r="J19" s="63">
        <f t="shared" ref="J19:P19" si="109">SUM(AD19,AX19,BR19,CL19,DF19)</f>
        <v>0</v>
      </c>
      <c r="K19" s="93">
        <f t="shared" si="109"/>
        <v>0</v>
      </c>
      <c r="L19" s="94">
        <f t="shared" si="109"/>
        <v>0</v>
      </c>
      <c r="M19" s="94">
        <f t="shared" si="109"/>
        <v>0</v>
      </c>
      <c r="N19" s="94">
        <f t="shared" si="109"/>
        <v>0</v>
      </c>
      <c r="O19" s="94">
        <f t="shared" si="109"/>
        <v>0</v>
      </c>
      <c r="P19" s="94">
        <f t="shared" si="109"/>
        <v>0</v>
      </c>
      <c r="Q19" s="95" t="str">
        <f t="shared" si="17"/>
        <v/>
      </c>
      <c r="R19" s="67">
        <f t="shared" si="18"/>
        <v>0</v>
      </c>
      <c r="S19" s="68" t="str">
        <f t="shared" si="19"/>
        <v/>
      </c>
      <c r="T19" s="55"/>
      <c r="U19" s="69"/>
      <c r="V19" s="61">
        <v>0.0</v>
      </c>
      <c r="W19" s="62" t="str">
        <f t="shared" si="20"/>
        <v/>
      </c>
      <c r="X19" s="61">
        <v>0.0</v>
      </c>
      <c r="Y19" s="62" t="str">
        <f t="shared" si="21"/>
        <v/>
      </c>
      <c r="Z19" s="61">
        <v>0.0</v>
      </c>
      <c r="AA19" s="62" t="str">
        <f t="shared" si="22"/>
        <v/>
      </c>
      <c r="AB19" s="61">
        <v>0.0</v>
      </c>
      <c r="AC19" s="62" t="str">
        <f t="shared" si="23"/>
        <v/>
      </c>
      <c r="AD19" s="63">
        <v>0.0</v>
      </c>
      <c r="AE19" s="64">
        <f t="shared" si="97"/>
        <v>0</v>
      </c>
      <c r="AF19" s="68"/>
      <c r="AG19" s="68"/>
      <c r="AH19" s="68"/>
      <c r="AI19" s="68"/>
      <c r="AJ19" s="68"/>
      <c r="AK19" s="68" t="str">
        <f t="shared" si="98"/>
        <v/>
      </c>
      <c r="AL19" s="74"/>
      <c r="AM19" s="68" t="str">
        <f t="shared" si="25"/>
        <v/>
      </c>
      <c r="AN19" s="70"/>
      <c r="AO19" s="71"/>
      <c r="AP19" s="61">
        <v>0.0</v>
      </c>
      <c r="AQ19" s="62" t="str">
        <f t="shared" si="26"/>
        <v/>
      </c>
      <c r="AR19" s="61">
        <v>0.0</v>
      </c>
      <c r="AS19" s="62" t="str">
        <f t="shared" si="27"/>
        <v/>
      </c>
      <c r="AT19" s="61">
        <v>0.0</v>
      </c>
      <c r="AU19" s="62" t="str">
        <f t="shared" si="28"/>
        <v/>
      </c>
      <c r="AV19" s="61">
        <v>0.0</v>
      </c>
      <c r="AW19" s="62" t="str">
        <f t="shared" si="29"/>
        <v/>
      </c>
      <c r="AX19" s="61">
        <v>0.0</v>
      </c>
      <c r="AY19" s="64">
        <f t="shared" si="99"/>
        <v>0</v>
      </c>
      <c r="AZ19" s="68"/>
      <c r="BA19" s="68"/>
      <c r="BB19" s="68"/>
      <c r="BC19" s="68"/>
      <c r="BD19" s="68"/>
      <c r="BE19" s="68" t="str">
        <f t="shared" si="100"/>
        <v/>
      </c>
      <c r="BF19" s="74"/>
      <c r="BG19" s="68" t="str">
        <f t="shared" si="31"/>
        <v/>
      </c>
      <c r="BH19" s="70"/>
      <c r="BI19" s="71"/>
      <c r="BJ19" s="61">
        <v>0.0</v>
      </c>
      <c r="BK19" s="62" t="str">
        <f t="shared" si="32"/>
        <v/>
      </c>
      <c r="BL19" s="61">
        <v>0.0</v>
      </c>
      <c r="BM19" s="62" t="str">
        <f t="shared" si="33"/>
        <v/>
      </c>
      <c r="BN19" s="61">
        <v>0.0</v>
      </c>
      <c r="BO19" s="62" t="str">
        <f t="shared" si="34"/>
        <v/>
      </c>
      <c r="BP19" s="61">
        <v>0.0</v>
      </c>
      <c r="BQ19" s="62" t="str">
        <f t="shared" si="35"/>
        <v/>
      </c>
      <c r="BR19" s="61">
        <v>0.0</v>
      </c>
      <c r="BS19" s="64">
        <f t="shared" si="101"/>
        <v>0</v>
      </c>
      <c r="BT19" s="68"/>
      <c r="BU19" s="68"/>
      <c r="BV19" s="68"/>
      <c r="BW19" s="68"/>
      <c r="BX19" s="68"/>
      <c r="BY19" s="68" t="str">
        <f t="shared" si="102"/>
        <v/>
      </c>
      <c r="BZ19" s="74"/>
      <c r="CA19" s="68" t="str">
        <f t="shared" si="37"/>
        <v/>
      </c>
      <c r="CB19" s="70"/>
      <c r="CC19" s="71"/>
      <c r="CD19" s="61">
        <v>0.0</v>
      </c>
      <c r="CE19" s="62" t="str">
        <f t="shared" si="38"/>
        <v/>
      </c>
      <c r="CF19" s="61">
        <v>0.0</v>
      </c>
      <c r="CG19" s="62" t="str">
        <f t="shared" si="39"/>
        <v/>
      </c>
      <c r="CH19" s="61">
        <v>0.0</v>
      </c>
      <c r="CI19" s="62" t="str">
        <f t="shared" si="40"/>
        <v/>
      </c>
      <c r="CJ19" s="61">
        <v>0.0</v>
      </c>
      <c r="CK19" s="62" t="str">
        <f t="shared" si="41"/>
        <v/>
      </c>
      <c r="CL19" s="61">
        <v>0.0</v>
      </c>
      <c r="CM19" s="64">
        <f t="shared" si="103"/>
        <v>0</v>
      </c>
      <c r="CN19" s="68"/>
      <c r="CO19" s="68"/>
      <c r="CP19" s="68"/>
      <c r="CQ19" s="68"/>
      <c r="CR19" s="68"/>
      <c r="CS19" s="68" t="str">
        <f t="shared" si="104"/>
        <v/>
      </c>
      <c r="CT19" s="74"/>
      <c r="CU19" s="68" t="str">
        <f t="shared" si="43"/>
        <v/>
      </c>
      <c r="CV19" s="72"/>
      <c r="CW19" s="71"/>
      <c r="CX19" s="61">
        <v>0.0</v>
      </c>
      <c r="CY19" s="62" t="str">
        <f t="shared" si="44"/>
        <v/>
      </c>
      <c r="CZ19" s="61">
        <v>0.0</v>
      </c>
      <c r="DA19" s="62" t="str">
        <f t="shared" si="45"/>
        <v/>
      </c>
      <c r="DB19" s="61">
        <v>0.0</v>
      </c>
      <c r="DC19" s="62" t="str">
        <f t="shared" si="46"/>
        <v/>
      </c>
      <c r="DD19" s="61">
        <v>0.0</v>
      </c>
      <c r="DE19" s="62" t="str">
        <f t="shared" si="47"/>
        <v/>
      </c>
      <c r="DF19" s="61">
        <v>0.0</v>
      </c>
      <c r="DG19" s="64">
        <f t="shared" si="105"/>
        <v>0</v>
      </c>
      <c r="DH19" s="68"/>
      <c r="DI19" s="68"/>
      <c r="DJ19" s="68"/>
      <c r="DK19" s="68"/>
      <c r="DL19" s="68"/>
      <c r="DM19" s="68" t="str">
        <f t="shared" si="106"/>
        <v/>
      </c>
      <c r="DN19" s="74"/>
      <c r="DO19" s="68" t="str">
        <f t="shared" si="49"/>
        <v/>
      </c>
      <c r="DP19" s="72"/>
      <c r="DQ19" s="71"/>
      <c r="DR19" s="61">
        <v>0.0</v>
      </c>
      <c r="DS19" s="62" t="str">
        <f t="shared" si="50"/>
        <v/>
      </c>
      <c r="DT19" s="61">
        <v>0.0</v>
      </c>
      <c r="DU19" s="62" t="str">
        <f t="shared" si="51"/>
        <v/>
      </c>
      <c r="DV19" s="61">
        <v>0.0</v>
      </c>
      <c r="DW19" s="62" t="str">
        <f t="shared" si="52"/>
        <v/>
      </c>
      <c r="DX19" s="61">
        <v>0.0</v>
      </c>
      <c r="DY19" s="62" t="str">
        <f t="shared" si="53"/>
        <v/>
      </c>
      <c r="DZ19" s="61">
        <v>0.0</v>
      </c>
      <c r="EA19" s="64">
        <f t="shared" si="107"/>
        <v>0</v>
      </c>
      <c r="EB19" s="68"/>
      <c r="EC19" s="68"/>
      <c r="ED19" s="68"/>
      <c r="EE19" s="68"/>
      <c r="EF19" s="68"/>
      <c r="EG19" s="68" t="str">
        <f t="shared" si="108"/>
        <v/>
      </c>
      <c r="EH19" s="74"/>
      <c r="EI19" s="68" t="str">
        <f t="shared" si="55"/>
        <v/>
      </c>
      <c r="EJ19" s="72"/>
    </row>
    <row r="20" ht="15.75" hidden="1" customHeight="1" outlineLevel="1">
      <c r="A20" s="60">
        <f t="shared" si="95"/>
        <v>45522</v>
      </c>
      <c r="B20" s="61">
        <f t="shared" si="8"/>
        <v>0</v>
      </c>
      <c r="C20" s="62" t="str">
        <f t="shared" si="9"/>
        <v/>
      </c>
      <c r="D20" s="61">
        <f t="shared" si="10"/>
        <v>0</v>
      </c>
      <c r="E20" s="91" t="str">
        <f t="shared" si="11"/>
        <v/>
      </c>
      <c r="F20" s="61">
        <f t="shared" si="12"/>
        <v>0</v>
      </c>
      <c r="G20" s="92" t="str">
        <f t="shared" si="13"/>
        <v/>
      </c>
      <c r="H20" s="61">
        <f t="shared" si="14"/>
        <v>0</v>
      </c>
      <c r="I20" s="62" t="str">
        <f t="shared" si="15"/>
        <v/>
      </c>
      <c r="J20" s="63">
        <f t="shared" ref="J20:P20" si="110">SUM(AD20,AX20,BR20,CL20,DF20)</f>
        <v>0</v>
      </c>
      <c r="K20" s="93">
        <f t="shared" si="110"/>
        <v>0</v>
      </c>
      <c r="L20" s="94">
        <f t="shared" si="110"/>
        <v>0</v>
      </c>
      <c r="M20" s="94">
        <f t="shared" si="110"/>
        <v>0</v>
      </c>
      <c r="N20" s="94">
        <f t="shared" si="110"/>
        <v>0</v>
      </c>
      <c r="O20" s="94">
        <f t="shared" si="110"/>
        <v>0</v>
      </c>
      <c r="P20" s="94">
        <f t="shared" si="110"/>
        <v>0</v>
      </c>
      <c r="Q20" s="95" t="str">
        <f t="shared" si="17"/>
        <v/>
      </c>
      <c r="R20" s="67">
        <f t="shared" si="18"/>
        <v>0</v>
      </c>
      <c r="S20" s="68" t="str">
        <f t="shared" si="19"/>
        <v/>
      </c>
      <c r="T20" s="55"/>
      <c r="U20" s="69"/>
      <c r="V20" s="61">
        <v>0.0</v>
      </c>
      <c r="W20" s="62" t="str">
        <f t="shared" si="20"/>
        <v/>
      </c>
      <c r="X20" s="61">
        <v>0.0</v>
      </c>
      <c r="Y20" s="62" t="str">
        <f t="shared" si="21"/>
        <v/>
      </c>
      <c r="Z20" s="61">
        <v>0.0</v>
      </c>
      <c r="AA20" s="62" t="str">
        <f t="shared" si="22"/>
        <v/>
      </c>
      <c r="AB20" s="61">
        <v>0.0</v>
      </c>
      <c r="AC20" s="62" t="str">
        <f t="shared" si="23"/>
        <v/>
      </c>
      <c r="AD20" s="63">
        <v>0.0</v>
      </c>
      <c r="AE20" s="64">
        <f t="shared" si="97"/>
        <v>0</v>
      </c>
      <c r="AF20" s="68"/>
      <c r="AG20" s="68"/>
      <c r="AH20" s="68"/>
      <c r="AI20" s="68"/>
      <c r="AJ20" s="68"/>
      <c r="AK20" s="68" t="str">
        <f t="shared" si="98"/>
        <v/>
      </c>
      <c r="AL20" s="74"/>
      <c r="AM20" s="68" t="str">
        <f t="shared" si="25"/>
        <v/>
      </c>
      <c r="AN20" s="70"/>
      <c r="AO20" s="71"/>
      <c r="AP20" s="61">
        <v>0.0</v>
      </c>
      <c r="AQ20" s="62" t="str">
        <f t="shared" si="26"/>
        <v/>
      </c>
      <c r="AR20" s="61">
        <v>0.0</v>
      </c>
      <c r="AS20" s="62" t="str">
        <f t="shared" si="27"/>
        <v/>
      </c>
      <c r="AT20" s="61">
        <v>0.0</v>
      </c>
      <c r="AU20" s="62" t="str">
        <f t="shared" si="28"/>
        <v/>
      </c>
      <c r="AV20" s="61">
        <v>0.0</v>
      </c>
      <c r="AW20" s="62" t="str">
        <f t="shared" si="29"/>
        <v/>
      </c>
      <c r="AX20" s="61">
        <v>0.0</v>
      </c>
      <c r="AY20" s="64">
        <f t="shared" si="99"/>
        <v>0</v>
      </c>
      <c r="AZ20" s="68"/>
      <c r="BA20" s="68"/>
      <c r="BB20" s="68"/>
      <c r="BC20" s="68"/>
      <c r="BD20" s="68"/>
      <c r="BE20" s="68" t="str">
        <f t="shared" si="100"/>
        <v/>
      </c>
      <c r="BF20" s="74"/>
      <c r="BG20" s="68" t="str">
        <f t="shared" si="31"/>
        <v/>
      </c>
      <c r="BH20" s="70"/>
      <c r="BI20" s="71"/>
      <c r="BJ20" s="61">
        <v>0.0</v>
      </c>
      <c r="BK20" s="62" t="str">
        <f t="shared" si="32"/>
        <v/>
      </c>
      <c r="BL20" s="61">
        <v>0.0</v>
      </c>
      <c r="BM20" s="62" t="str">
        <f t="shared" si="33"/>
        <v/>
      </c>
      <c r="BN20" s="61">
        <v>0.0</v>
      </c>
      <c r="BO20" s="62" t="str">
        <f t="shared" si="34"/>
        <v/>
      </c>
      <c r="BP20" s="61">
        <v>0.0</v>
      </c>
      <c r="BQ20" s="62" t="str">
        <f t="shared" si="35"/>
        <v/>
      </c>
      <c r="BR20" s="61">
        <v>0.0</v>
      </c>
      <c r="BS20" s="64">
        <f t="shared" si="101"/>
        <v>0</v>
      </c>
      <c r="BT20" s="68"/>
      <c r="BU20" s="68"/>
      <c r="BV20" s="68"/>
      <c r="BW20" s="68"/>
      <c r="BX20" s="68"/>
      <c r="BY20" s="68" t="str">
        <f t="shared" si="102"/>
        <v/>
      </c>
      <c r="BZ20" s="74"/>
      <c r="CA20" s="68" t="str">
        <f t="shared" si="37"/>
        <v/>
      </c>
      <c r="CB20" s="70"/>
      <c r="CC20" s="71"/>
      <c r="CD20" s="61">
        <v>0.0</v>
      </c>
      <c r="CE20" s="62" t="str">
        <f t="shared" si="38"/>
        <v/>
      </c>
      <c r="CF20" s="61">
        <v>0.0</v>
      </c>
      <c r="CG20" s="62" t="str">
        <f t="shared" si="39"/>
        <v/>
      </c>
      <c r="CH20" s="61">
        <v>0.0</v>
      </c>
      <c r="CI20" s="62" t="str">
        <f t="shared" si="40"/>
        <v/>
      </c>
      <c r="CJ20" s="61">
        <v>0.0</v>
      </c>
      <c r="CK20" s="62" t="str">
        <f t="shared" si="41"/>
        <v/>
      </c>
      <c r="CL20" s="61">
        <v>0.0</v>
      </c>
      <c r="CM20" s="64">
        <f t="shared" si="103"/>
        <v>0</v>
      </c>
      <c r="CN20" s="68"/>
      <c r="CO20" s="68"/>
      <c r="CP20" s="68"/>
      <c r="CQ20" s="68"/>
      <c r="CR20" s="68"/>
      <c r="CS20" s="68" t="str">
        <f t="shared" si="104"/>
        <v/>
      </c>
      <c r="CT20" s="74"/>
      <c r="CU20" s="68" t="str">
        <f t="shared" si="43"/>
        <v/>
      </c>
      <c r="CV20" s="72"/>
      <c r="CW20" s="71"/>
      <c r="CX20" s="61">
        <v>0.0</v>
      </c>
      <c r="CY20" s="62" t="str">
        <f t="shared" si="44"/>
        <v/>
      </c>
      <c r="CZ20" s="61">
        <v>0.0</v>
      </c>
      <c r="DA20" s="62" t="str">
        <f t="shared" si="45"/>
        <v/>
      </c>
      <c r="DB20" s="61">
        <v>0.0</v>
      </c>
      <c r="DC20" s="62" t="str">
        <f t="shared" si="46"/>
        <v/>
      </c>
      <c r="DD20" s="61">
        <v>0.0</v>
      </c>
      <c r="DE20" s="62" t="str">
        <f t="shared" si="47"/>
        <v/>
      </c>
      <c r="DF20" s="61">
        <v>0.0</v>
      </c>
      <c r="DG20" s="64">
        <f t="shared" si="105"/>
        <v>0</v>
      </c>
      <c r="DH20" s="68"/>
      <c r="DI20" s="68"/>
      <c r="DJ20" s="68"/>
      <c r="DK20" s="68"/>
      <c r="DL20" s="68"/>
      <c r="DM20" s="68" t="str">
        <f t="shared" si="106"/>
        <v/>
      </c>
      <c r="DN20" s="74"/>
      <c r="DO20" s="68" t="str">
        <f t="shared" si="49"/>
        <v/>
      </c>
      <c r="DP20" s="72"/>
      <c r="DQ20" s="71"/>
      <c r="DR20" s="61">
        <v>0.0</v>
      </c>
      <c r="DS20" s="62" t="str">
        <f t="shared" si="50"/>
        <v/>
      </c>
      <c r="DT20" s="61">
        <v>0.0</v>
      </c>
      <c r="DU20" s="62" t="str">
        <f t="shared" si="51"/>
        <v/>
      </c>
      <c r="DV20" s="61">
        <v>0.0</v>
      </c>
      <c r="DW20" s="62" t="str">
        <f t="shared" si="52"/>
        <v/>
      </c>
      <c r="DX20" s="61">
        <v>0.0</v>
      </c>
      <c r="DY20" s="62" t="str">
        <f t="shared" si="53"/>
        <v/>
      </c>
      <c r="DZ20" s="61">
        <v>0.0</v>
      </c>
      <c r="EA20" s="64">
        <f t="shared" si="107"/>
        <v>0</v>
      </c>
      <c r="EB20" s="68"/>
      <c r="EC20" s="68"/>
      <c r="ED20" s="68"/>
      <c r="EE20" s="68"/>
      <c r="EF20" s="68"/>
      <c r="EG20" s="68" t="str">
        <f t="shared" si="108"/>
        <v/>
      </c>
      <c r="EH20" s="74"/>
      <c r="EI20" s="68" t="str">
        <f t="shared" si="55"/>
        <v/>
      </c>
      <c r="EJ20" s="72"/>
    </row>
    <row r="21" ht="15.75" hidden="1" customHeight="1" outlineLevel="1">
      <c r="A21" s="60">
        <f t="shared" si="95"/>
        <v>45521</v>
      </c>
      <c r="B21" s="61">
        <f t="shared" si="8"/>
        <v>0</v>
      </c>
      <c r="C21" s="62" t="str">
        <f t="shared" si="9"/>
        <v/>
      </c>
      <c r="D21" s="61">
        <f t="shared" si="10"/>
        <v>0</v>
      </c>
      <c r="E21" s="91" t="str">
        <f t="shared" si="11"/>
        <v/>
      </c>
      <c r="F21" s="61">
        <f t="shared" si="12"/>
        <v>0</v>
      </c>
      <c r="G21" s="92" t="str">
        <f t="shared" si="13"/>
        <v/>
      </c>
      <c r="H21" s="61">
        <f t="shared" si="14"/>
        <v>0</v>
      </c>
      <c r="I21" s="62" t="str">
        <f t="shared" si="15"/>
        <v/>
      </c>
      <c r="J21" s="63">
        <f t="shared" ref="J21:P21" si="111">SUM(AD21,AX21,BR21,CL21,DF21)</f>
        <v>0</v>
      </c>
      <c r="K21" s="93">
        <f t="shared" si="111"/>
        <v>0</v>
      </c>
      <c r="L21" s="94">
        <f t="shared" si="111"/>
        <v>0</v>
      </c>
      <c r="M21" s="94">
        <f t="shared" si="111"/>
        <v>0</v>
      </c>
      <c r="N21" s="94">
        <f t="shared" si="111"/>
        <v>0</v>
      </c>
      <c r="O21" s="94">
        <f t="shared" si="111"/>
        <v>0</v>
      </c>
      <c r="P21" s="94">
        <f t="shared" si="111"/>
        <v>0</v>
      </c>
      <c r="Q21" s="95" t="str">
        <f t="shared" si="17"/>
        <v/>
      </c>
      <c r="R21" s="67">
        <f t="shared" si="18"/>
        <v>0</v>
      </c>
      <c r="S21" s="68" t="str">
        <f t="shared" si="19"/>
        <v/>
      </c>
      <c r="T21" s="55"/>
      <c r="U21" s="69"/>
      <c r="V21" s="61">
        <v>0.0</v>
      </c>
      <c r="W21" s="62" t="str">
        <f t="shared" si="20"/>
        <v/>
      </c>
      <c r="X21" s="61">
        <v>0.0</v>
      </c>
      <c r="Y21" s="62" t="str">
        <f t="shared" si="21"/>
        <v/>
      </c>
      <c r="Z21" s="61">
        <v>0.0</v>
      </c>
      <c r="AA21" s="62" t="str">
        <f t="shared" si="22"/>
        <v/>
      </c>
      <c r="AB21" s="61">
        <v>0.0</v>
      </c>
      <c r="AC21" s="62" t="str">
        <f t="shared" si="23"/>
        <v/>
      </c>
      <c r="AD21" s="63">
        <v>0.0</v>
      </c>
      <c r="AE21" s="64">
        <f t="shared" si="97"/>
        <v>0</v>
      </c>
      <c r="AF21" s="68"/>
      <c r="AG21" s="68"/>
      <c r="AH21" s="68"/>
      <c r="AI21" s="68"/>
      <c r="AJ21" s="68"/>
      <c r="AK21" s="68" t="str">
        <f t="shared" si="98"/>
        <v/>
      </c>
      <c r="AL21" s="74"/>
      <c r="AM21" s="68" t="str">
        <f t="shared" si="25"/>
        <v/>
      </c>
      <c r="AN21" s="70"/>
      <c r="AO21" s="71"/>
      <c r="AP21" s="61">
        <v>0.0</v>
      </c>
      <c r="AQ21" s="62" t="str">
        <f t="shared" si="26"/>
        <v/>
      </c>
      <c r="AR21" s="61">
        <v>0.0</v>
      </c>
      <c r="AS21" s="62" t="str">
        <f t="shared" si="27"/>
        <v/>
      </c>
      <c r="AT21" s="61">
        <v>0.0</v>
      </c>
      <c r="AU21" s="62" t="str">
        <f t="shared" si="28"/>
        <v/>
      </c>
      <c r="AV21" s="61">
        <v>0.0</v>
      </c>
      <c r="AW21" s="62" t="str">
        <f t="shared" si="29"/>
        <v/>
      </c>
      <c r="AX21" s="61">
        <v>0.0</v>
      </c>
      <c r="AY21" s="64">
        <f t="shared" si="99"/>
        <v>0</v>
      </c>
      <c r="AZ21" s="68"/>
      <c r="BA21" s="68"/>
      <c r="BB21" s="68"/>
      <c r="BC21" s="68"/>
      <c r="BD21" s="68"/>
      <c r="BE21" s="68" t="str">
        <f t="shared" si="100"/>
        <v/>
      </c>
      <c r="BF21" s="74"/>
      <c r="BG21" s="68" t="str">
        <f t="shared" si="31"/>
        <v/>
      </c>
      <c r="BH21" s="70"/>
      <c r="BI21" s="71"/>
      <c r="BJ21" s="61">
        <v>0.0</v>
      </c>
      <c r="BK21" s="62" t="str">
        <f t="shared" si="32"/>
        <v/>
      </c>
      <c r="BL21" s="61">
        <v>0.0</v>
      </c>
      <c r="BM21" s="62" t="str">
        <f t="shared" si="33"/>
        <v/>
      </c>
      <c r="BN21" s="61">
        <v>0.0</v>
      </c>
      <c r="BO21" s="62" t="str">
        <f t="shared" si="34"/>
        <v/>
      </c>
      <c r="BP21" s="61">
        <v>0.0</v>
      </c>
      <c r="BQ21" s="62" t="str">
        <f t="shared" si="35"/>
        <v/>
      </c>
      <c r="BR21" s="61">
        <v>0.0</v>
      </c>
      <c r="BS21" s="64">
        <f t="shared" si="101"/>
        <v>0</v>
      </c>
      <c r="BT21" s="68"/>
      <c r="BU21" s="68"/>
      <c r="BV21" s="68"/>
      <c r="BW21" s="68"/>
      <c r="BX21" s="68"/>
      <c r="BY21" s="68" t="str">
        <f t="shared" si="102"/>
        <v/>
      </c>
      <c r="BZ21" s="74"/>
      <c r="CA21" s="68" t="str">
        <f t="shared" si="37"/>
        <v/>
      </c>
      <c r="CB21" s="70"/>
      <c r="CC21" s="71"/>
      <c r="CD21" s="61">
        <v>0.0</v>
      </c>
      <c r="CE21" s="62" t="str">
        <f t="shared" si="38"/>
        <v/>
      </c>
      <c r="CF21" s="61">
        <v>0.0</v>
      </c>
      <c r="CG21" s="62" t="str">
        <f t="shared" si="39"/>
        <v/>
      </c>
      <c r="CH21" s="61">
        <v>0.0</v>
      </c>
      <c r="CI21" s="62" t="str">
        <f t="shared" si="40"/>
        <v/>
      </c>
      <c r="CJ21" s="61">
        <v>0.0</v>
      </c>
      <c r="CK21" s="62" t="str">
        <f t="shared" si="41"/>
        <v/>
      </c>
      <c r="CL21" s="61">
        <v>0.0</v>
      </c>
      <c r="CM21" s="64">
        <f t="shared" si="103"/>
        <v>0</v>
      </c>
      <c r="CN21" s="68"/>
      <c r="CO21" s="68"/>
      <c r="CP21" s="68"/>
      <c r="CQ21" s="68"/>
      <c r="CR21" s="68"/>
      <c r="CS21" s="68" t="str">
        <f t="shared" si="104"/>
        <v/>
      </c>
      <c r="CT21" s="74"/>
      <c r="CU21" s="68" t="str">
        <f t="shared" si="43"/>
        <v/>
      </c>
      <c r="CV21" s="72"/>
      <c r="CW21" s="71"/>
      <c r="CX21" s="61">
        <v>0.0</v>
      </c>
      <c r="CY21" s="62" t="str">
        <f t="shared" si="44"/>
        <v/>
      </c>
      <c r="CZ21" s="61">
        <v>0.0</v>
      </c>
      <c r="DA21" s="62" t="str">
        <f t="shared" si="45"/>
        <v/>
      </c>
      <c r="DB21" s="61">
        <v>0.0</v>
      </c>
      <c r="DC21" s="62" t="str">
        <f t="shared" si="46"/>
        <v/>
      </c>
      <c r="DD21" s="61">
        <v>0.0</v>
      </c>
      <c r="DE21" s="62" t="str">
        <f t="shared" si="47"/>
        <v/>
      </c>
      <c r="DF21" s="61">
        <v>0.0</v>
      </c>
      <c r="DG21" s="64">
        <f t="shared" si="105"/>
        <v>0</v>
      </c>
      <c r="DH21" s="68"/>
      <c r="DI21" s="68"/>
      <c r="DJ21" s="68"/>
      <c r="DK21" s="68"/>
      <c r="DL21" s="68"/>
      <c r="DM21" s="68" t="str">
        <f t="shared" si="106"/>
        <v/>
      </c>
      <c r="DN21" s="74"/>
      <c r="DO21" s="68" t="str">
        <f t="shared" si="49"/>
        <v/>
      </c>
      <c r="DP21" s="72"/>
      <c r="DQ21" s="71"/>
      <c r="DR21" s="61">
        <v>0.0</v>
      </c>
      <c r="DS21" s="62" t="str">
        <f t="shared" si="50"/>
        <v/>
      </c>
      <c r="DT21" s="61">
        <v>0.0</v>
      </c>
      <c r="DU21" s="62" t="str">
        <f t="shared" si="51"/>
        <v/>
      </c>
      <c r="DV21" s="61">
        <v>0.0</v>
      </c>
      <c r="DW21" s="62" t="str">
        <f t="shared" si="52"/>
        <v/>
      </c>
      <c r="DX21" s="61">
        <v>0.0</v>
      </c>
      <c r="DY21" s="62" t="str">
        <f t="shared" si="53"/>
        <v/>
      </c>
      <c r="DZ21" s="61">
        <v>0.0</v>
      </c>
      <c r="EA21" s="64">
        <f t="shared" si="107"/>
        <v>0</v>
      </c>
      <c r="EB21" s="68"/>
      <c r="EC21" s="68"/>
      <c r="ED21" s="68"/>
      <c r="EE21" s="68"/>
      <c r="EF21" s="68"/>
      <c r="EG21" s="68" t="str">
        <f t="shared" si="108"/>
        <v/>
      </c>
      <c r="EH21" s="74"/>
      <c r="EI21" s="68" t="str">
        <f t="shared" si="55"/>
        <v/>
      </c>
      <c r="EJ21" s="72"/>
    </row>
    <row r="22" ht="15.75" hidden="1" customHeight="1" outlineLevel="1">
      <c r="A22" s="60">
        <f t="shared" si="95"/>
        <v>45520</v>
      </c>
      <c r="B22" s="61">
        <f t="shared" si="8"/>
        <v>0</v>
      </c>
      <c r="C22" s="62" t="str">
        <f t="shared" si="9"/>
        <v/>
      </c>
      <c r="D22" s="61">
        <f t="shared" si="10"/>
        <v>0</v>
      </c>
      <c r="E22" s="91" t="str">
        <f t="shared" si="11"/>
        <v/>
      </c>
      <c r="F22" s="61">
        <f t="shared" si="12"/>
        <v>0</v>
      </c>
      <c r="G22" s="92" t="str">
        <f t="shared" si="13"/>
        <v/>
      </c>
      <c r="H22" s="61">
        <f t="shared" si="14"/>
        <v>0</v>
      </c>
      <c r="I22" s="62" t="str">
        <f t="shared" si="15"/>
        <v/>
      </c>
      <c r="J22" s="63">
        <f t="shared" ref="J22:P22" si="112">SUM(AD22,AX22,BR22,CL22,DF22)</f>
        <v>0</v>
      </c>
      <c r="K22" s="93">
        <f t="shared" si="112"/>
        <v>0</v>
      </c>
      <c r="L22" s="94">
        <f t="shared" si="112"/>
        <v>0</v>
      </c>
      <c r="M22" s="94">
        <f t="shared" si="112"/>
        <v>0</v>
      </c>
      <c r="N22" s="94">
        <f t="shared" si="112"/>
        <v>0</v>
      </c>
      <c r="O22" s="94">
        <f t="shared" si="112"/>
        <v>0</v>
      </c>
      <c r="P22" s="94">
        <f t="shared" si="112"/>
        <v>0</v>
      </c>
      <c r="Q22" s="95" t="str">
        <f t="shared" si="17"/>
        <v/>
      </c>
      <c r="R22" s="67">
        <f t="shared" si="18"/>
        <v>0</v>
      </c>
      <c r="S22" s="68" t="str">
        <f t="shared" si="19"/>
        <v/>
      </c>
      <c r="T22" s="55"/>
      <c r="U22" s="69"/>
      <c r="V22" s="61">
        <v>0.0</v>
      </c>
      <c r="W22" s="62" t="str">
        <f t="shared" si="20"/>
        <v/>
      </c>
      <c r="X22" s="61">
        <v>0.0</v>
      </c>
      <c r="Y22" s="62" t="str">
        <f t="shared" si="21"/>
        <v/>
      </c>
      <c r="Z22" s="61">
        <v>0.0</v>
      </c>
      <c r="AA22" s="62" t="str">
        <f t="shared" si="22"/>
        <v/>
      </c>
      <c r="AB22" s="61">
        <v>0.0</v>
      </c>
      <c r="AC22" s="62" t="str">
        <f t="shared" si="23"/>
        <v/>
      </c>
      <c r="AD22" s="63">
        <v>0.0</v>
      </c>
      <c r="AE22" s="64">
        <f t="shared" si="97"/>
        <v>0</v>
      </c>
      <c r="AF22" s="68"/>
      <c r="AG22" s="68"/>
      <c r="AH22" s="68"/>
      <c r="AI22" s="68"/>
      <c r="AJ22" s="68"/>
      <c r="AK22" s="68" t="str">
        <f t="shared" si="98"/>
        <v/>
      </c>
      <c r="AL22" s="74"/>
      <c r="AM22" s="68" t="str">
        <f t="shared" si="25"/>
        <v/>
      </c>
      <c r="AN22" s="70"/>
      <c r="AO22" s="71"/>
      <c r="AP22" s="61">
        <v>0.0</v>
      </c>
      <c r="AQ22" s="62" t="str">
        <f t="shared" si="26"/>
        <v/>
      </c>
      <c r="AR22" s="61">
        <v>0.0</v>
      </c>
      <c r="AS22" s="62" t="str">
        <f t="shared" si="27"/>
        <v/>
      </c>
      <c r="AT22" s="61">
        <v>0.0</v>
      </c>
      <c r="AU22" s="62" t="str">
        <f t="shared" si="28"/>
        <v/>
      </c>
      <c r="AV22" s="61">
        <v>0.0</v>
      </c>
      <c r="AW22" s="62" t="str">
        <f t="shared" si="29"/>
        <v/>
      </c>
      <c r="AX22" s="61">
        <v>0.0</v>
      </c>
      <c r="AY22" s="64">
        <f t="shared" si="99"/>
        <v>0</v>
      </c>
      <c r="AZ22" s="68"/>
      <c r="BA22" s="68"/>
      <c r="BB22" s="68"/>
      <c r="BC22" s="68"/>
      <c r="BD22" s="68"/>
      <c r="BE22" s="68" t="str">
        <f t="shared" si="100"/>
        <v/>
      </c>
      <c r="BF22" s="74"/>
      <c r="BG22" s="68" t="str">
        <f t="shared" si="31"/>
        <v/>
      </c>
      <c r="BH22" s="70"/>
      <c r="BI22" s="71"/>
      <c r="BJ22" s="61">
        <v>0.0</v>
      </c>
      <c r="BK22" s="62" t="str">
        <f t="shared" si="32"/>
        <v/>
      </c>
      <c r="BL22" s="61">
        <v>0.0</v>
      </c>
      <c r="BM22" s="62" t="str">
        <f t="shared" si="33"/>
        <v/>
      </c>
      <c r="BN22" s="61">
        <v>0.0</v>
      </c>
      <c r="BO22" s="62" t="str">
        <f t="shared" si="34"/>
        <v/>
      </c>
      <c r="BP22" s="61">
        <v>0.0</v>
      </c>
      <c r="BQ22" s="62" t="str">
        <f t="shared" si="35"/>
        <v/>
      </c>
      <c r="BR22" s="61">
        <v>0.0</v>
      </c>
      <c r="BS22" s="64">
        <f t="shared" si="101"/>
        <v>0</v>
      </c>
      <c r="BT22" s="68"/>
      <c r="BU22" s="68"/>
      <c r="BV22" s="68"/>
      <c r="BW22" s="68"/>
      <c r="BX22" s="68"/>
      <c r="BY22" s="68" t="str">
        <f t="shared" si="102"/>
        <v/>
      </c>
      <c r="BZ22" s="74"/>
      <c r="CA22" s="68" t="str">
        <f t="shared" si="37"/>
        <v/>
      </c>
      <c r="CB22" s="70"/>
      <c r="CC22" s="71"/>
      <c r="CD22" s="61">
        <v>0.0</v>
      </c>
      <c r="CE22" s="62" t="str">
        <f t="shared" si="38"/>
        <v/>
      </c>
      <c r="CF22" s="61">
        <v>0.0</v>
      </c>
      <c r="CG22" s="62" t="str">
        <f t="shared" si="39"/>
        <v/>
      </c>
      <c r="CH22" s="61">
        <v>0.0</v>
      </c>
      <c r="CI22" s="62" t="str">
        <f t="shared" si="40"/>
        <v/>
      </c>
      <c r="CJ22" s="61">
        <v>0.0</v>
      </c>
      <c r="CK22" s="62" t="str">
        <f t="shared" si="41"/>
        <v/>
      </c>
      <c r="CL22" s="61">
        <v>0.0</v>
      </c>
      <c r="CM22" s="64">
        <f t="shared" si="103"/>
        <v>0</v>
      </c>
      <c r="CN22" s="68"/>
      <c r="CO22" s="68"/>
      <c r="CP22" s="68"/>
      <c r="CQ22" s="68"/>
      <c r="CR22" s="68"/>
      <c r="CS22" s="68" t="str">
        <f t="shared" si="104"/>
        <v/>
      </c>
      <c r="CT22" s="74"/>
      <c r="CU22" s="68" t="str">
        <f t="shared" si="43"/>
        <v/>
      </c>
      <c r="CV22" s="72"/>
      <c r="CW22" s="71"/>
      <c r="CX22" s="61">
        <v>0.0</v>
      </c>
      <c r="CY22" s="62" t="str">
        <f t="shared" si="44"/>
        <v/>
      </c>
      <c r="CZ22" s="61">
        <v>0.0</v>
      </c>
      <c r="DA22" s="62" t="str">
        <f t="shared" si="45"/>
        <v/>
      </c>
      <c r="DB22" s="61">
        <v>0.0</v>
      </c>
      <c r="DC22" s="62" t="str">
        <f t="shared" si="46"/>
        <v/>
      </c>
      <c r="DD22" s="61">
        <v>0.0</v>
      </c>
      <c r="DE22" s="62" t="str">
        <f t="shared" si="47"/>
        <v/>
      </c>
      <c r="DF22" s="61">
        <v>0.0</v>
      </c>
      <c r="DG22" s="64">
        <f t="shared" si="105"/>
        <v>0</v>
      </c>
      <c r="DH22" s="68"/>
      <c r="DI22" s="68"/>
      <c r="DJ22" s="68"/>
      <c r="DK22" s="68"/>
      <c r="DL22" s="68"/>
      <c r="DM22" s="68" t="str">
        <f t="shared" si="106"/>
        <v/>
      </c>
      <c r="DN22" s="74"/>
      <c r="DO22" s="68" t="str">
        <f t="shared" si="49"/>
        <v/>
      </c>
      <c r="DP22" s="72"/>
      <c r="DQ22" s="71"/>
      <c r="DR22" s="61">
        <v>0.0</v>
      </c>
      <c r="DS22" s="62" t="str">
        <f t="shared" si="50"/>
        <v/>
      </c>
      <c r="DT22" s="61">
        <v>0.0</v>
      </c>
      <c r="DU22" s="62" t="str">
        <f t="shared" si="51"/>
        <v/>
      </c>
      <c r="DV22" s="61">
        <v>0.0</v>
      </c>
      <c r="DW22" s="62" t="str">
        <f t="shared" si="52"/>
        <v/>
      </c>
      <c r="DX22" s="61">
        <v>0.0</v>
      </c>
      <c r="DY22" s="62" t="str">
        <f t="shared" si="53"/>
        <v/>
      </c>
      <c r="DZ22" s="61">
        <v>0.0</v>
      </c>
      <c r="EA22" s="64">
        <f t="shared" si="107"/>
        <v>0</v>
      </c>
      <c r="EB22" s="68"/>
      <c r="EC22" s="68"/>
      <c r="ED22" s="68"/>
      <c r="EE22" s="68"/>
      <c r="EF22" s="68"/>
      <c r="EG22" s="68" t="str">
        <f t="shared" si="108"/>
        <v/>
      </c>
      <c r="EH22" s="74"/>
      <c r="EI22" s="68" t="str">
        <f t="shared" si="55"/>
        <v/>
      </c>
      <c r="EJ22" s="72"/>
    </row>
    <row r="23" ht="15.75" hidden="1" customHeight="1" outlineLevel="1">
      <c r="A23" s="60">
        <f>A25+1</f>
        <v>45519</v>
      </c>
      <c r="B23" s="61">
        <f t="shared" si="8"/>
        <v>0</v>
      </c>
      <c r="C23" s="62" t="str">
        <f t="shared" si="9"/>
        <v/>
      </c>
      <c r="D23" s="61">
        <f t="shared" si="10"/>
        <v>0</v>
      </c>
      <c r="E23" s="91" t="str">
        <f t="shared" si="11"/>
        <v/>
      </c>
      <c r="F23" s="61">
        <f t="shared" si="12"/>
        <v>0</v>
      </c>
      <c r="G23" s="92" t="str">
        <f t="shared" si="13"/>
        <v/>
      </c>
      <c r="H23" s="61">
        <f t="shared" si="14"/>
        <v>0</v>
      </c>
      <c r="I23" s="62" t="str">
        <f t="shared" si="15"/>
        <v/>
      </c>
      <c r="J23" s="63">
        <f t="shared" ref="J23:P23" si="113">SUM(AD23,AX23,BR23,CL23,DF23)</f>
        <v>0</v>
      </c>
      <c r="K23" s="93">
        <f t="shared" si="113"/>
        <v>0</v>
      </c>
      <c r="L23" s="94">
        <f t="shared" si="113"/>
        <v>0</v>
      </c>
      <c r="M23" s="94">
        <f t="shared" si="113"/>
        <v>0</v>
      </c>
      <c r="N23" s="94">
        <f t="shared" si="113"/>
        <v>0</v>
      </c>
      <c r="O23" s="94">
        <f t="shared" si="113"/>
        <v>0</v>
      </c>
      <c r="P23" s="94">
        <f t="shared" si="113"/>
        <v>0</v>
      </c>
      <c r="Q23" s="95" t="str">
        <f t="shared" si="17"/>
        <v/>
      </c>
      <c r="R23" s="67">
        <f t="shared" si="18"/>
        <v>0</v>
      </c>
      <c r="S23" s="68" t="str">
        <f t="shared" si="19"/>
        <v/>
      </c>
      <c r="T23" s="55"/>
      <c r="U23" s="69"/>
      <c r="V23" s="61">
        <v>0.0</v>
      </c>
      <c r="W23" s="62" t="str">
        <f t="shared" si="20"/>
        <v/>
      </c>
      <c r="X23" s="61">
        <v>0.0</v>
      </c>
      <c r="Y23" s="62" t="str">
        <f t="shared" si="21"/>
        <v/>
      </c>
      <c r="Z23" s="61">
        <v>0.0</v>
      </c>
      <c r="AA23" s="62" t="str">
        <f t="shared" si="22"/>
        <v/>
      </c>
      <c r="AB23" s="61">
        <v>0.0</v>
      </c>
      <c r="AC23" s="62" t="str">
        <f t="shared" si="23"/>
        <v/>
      </c>
      <c r="AD23" s="63">
        <v>0.0</v>
      </c>
      <c r="AE23" s="64">
        <f t="shared" si="97"/>
        <v>0</v>
      </c>
      <c r="AF23" s="68"/>
      <c r="AG23" s="68"/>
      <c r="AH23" s="68"/>
      <c r="AI23" s="68"/>
      <c r="AJ23" s="68"/>
      <c r="AK23" s="68" t="str">
        <f t="shared" si="98"/>
        <v/>
      </c>
      <c r="AL23" s="74"/>
      <c r="AM23" s="68" t="str">
        <f t="shared" si="25"/>
        <v/>
      </c>
      <c r="AN23" s="70"/>
      <c r="AO23" s="71"/>
      <c r="AP23" s="61">
        <v>0.0</v>
      </c>
      <c r="AQ23" s="62" t="str">
        <f t="shared" si="26"/>
        <v/>
      </c>
      <c r="AR23" s="61">
        <v>0.0</v>
      </c>
      <c r="AS23" s="62" t="str">
        <f t="shared" si="27"/>
        <v/>
      </c>
      <c r="AT23" s="61">
        <v>0.0</v>
      </c>
      <c r="AU23" s="62" t="str">
        <f t="shared" si="28"/>
        <v/>
      </c>
      <c r="AV23" s="61">
        <v>0.0</v>
      </c>
      <c r="AW23" s="62" t="str">
        <f t="shared" si="29"/>
        <v/>
      </c>
      <c r="AX23" s="61">
        <v>0.0</v>
      </c>
      <c r="AY23" s="64">
        <f t="shared" si="99"/>
        <v>0</v>
      </c>
      <c r="AZ23" s="68"/>
      <c r="BA23" s="68"/>
      <c r="BB23" s="68"/>
      <c r="BC23" s="68"/>
      <c r="BD23" s="68"/>
      <c r="BE23" s="68" t="str">
        <f t="shared" si="100"/>
        <v/>
      </c>
      <c r="BF23" s="74"/>
      <c r="BG23" s="68" t="str">
        <f t="shared" si="31"/>
        <v/>
      </c>
      <c r="BH23" s="70"/>
      <c r="BI23" s="71"/>
      <c r="BJ23" s="61">
        <v>0.0</v>
      </c>
      <c r="BK23" s="62" t="str">
        <f t="shared" si="32"/>
        <v/>
      </c>
      <c r="BL23" s="61">
        <v>0.0</v>
      </c>
      <c r="BM23" s="62" t="str">
        <f t="shared" si="33"/>
        <v/>
      </c>
      <c r="BN23" s="61">
        <v>0.0</v>
      </c>
      <c r="BO23" s="62" t="str">
        <f t="shared" si="34"/>
        <v/>
      </c>
      <c r="BP23" s="61">
        <v>0.0</v>
      </c>
      <c r="BQ23" s="62" t="str">
        <f t="shared" si="35"/>
        <v/>
      </c>
      <c r="BR23" s="61">
        <v>0.0</v>
      </c>
      <c r="BS23" s="64">
        <f t="shared" si="101"/>
        <v>0</v>
      </c>
      <c r="BT23" s="68"/>
      <c r="BU23" s="68"/>
      <c r="BV23" s="68"/>
      <c r="BW23" s="68"/>
      <c r="BX23" s="68"/>
      <c r="BY23" s="68" t="str">
        <f t="shared" si="102"/>
        <v/>
      </c>
      <c r="BZ23" s="74"/>
      <c r="CA23" s="68" t="str">
        <f t="shared" si="37"/>
        <v/>
      </c>
      <c r="CB23" s="70"/>
      <c r="CC23" s="71"/>
      <c r="CD23" s="61">
        <v>0.0</v>
      </c>
      <c r="CE23" s="62" t="str">
        <f t="shared" si="38"/>
        <v/>
      </c>
      <c r="CF23" s="61">
        <v>0.0</v>
      </c>
      <c r="CG23" s="62" t="str">
        <f t="shared" si="39"/>
        <v/>
      </c>
      <c r="CH23" s="61">
        <v>0.0</v>
      </c>
      <c r="CI23" s="62" t="str">
        <f t="shared" si="40"/>
        <v/>
      </c>
      <c r="CJ23" s="61">
        <v>0.0</v>
      </c>
      <c r="CK23" s="62" t="str">
        <f t="shared" si="41"/>
        <v/>
      </c>
      <c r="CL23" s="61">
        <v>0.0</v>
      </c>
      <c r="CM23" s="64">
        <f t="shared" si="103"/>
        <v>0</v>
      </c>
      <c r="CN23" s="68"/>
      <c r="CO23" s="68"/>
      <c r="CP23" s="68"/>
      <c r="CQ23" s="68"/>
      <c r="CR23" s="68"/>
      <c r="CS23" s="68" t="str">
        <f t="shared" si="104"/>
        <v/>
      </c>
      <c r="CT23" s="74"/>
      <c r="CU23" s="68" t="str">
        <f t="shared" si="43"/>
        <v/>
      </c>
      <c r="CV23" s="72"/>
      <c r="CW23" s="71"/>
      <c r="CX23" s="61">
        <v>0.0</v>
      </c>
      <c r="CY23" s="62" t="str">
        <f t="shared" si="44"/>
        <v/>
      </c>
      <c r="CZ23" s="61">
        <v>0.0</v>
      </c>
      <c r="DA23" s="62" t="str">
        <f t="shared" si="45"/>
        <v/>
      </c>
      <c r="DB23" s="61">
        <v>0.0</v>
      </c>
      <c r="DC23" s="62" t="str">
        <f t="shared" si="46"/>
        <v/>
      </c>
      <c r="DD23" s="61">
        <v>0.0</v>
      </c>
      <c r="DE23" s="62" t="str">
        <f t="shared" si="47"/>
        <v/>
      </c>
      <c r="DF23" s="61">
        <v>0.0</v>
      </c>
      <c r="DG23" s="64">
        <f t="shared" si="105"/>
        <v>0</v>
      </c>
      <c r="DH23" s="68"/>
      <c r="DI23" s="68"/>
      <c r="DJ23" s="68"/>
      <c r="DK23" s="68"/>
      <c r="DL23" s="68"/>
      <c r="DM23" s="68" t="str">
        <f t="shared" si="106"/>
        <v/>
      </c>
      <c r="DN23" s="74"/>
      <c r="DO23" s="68" t="str">
        <f t="shared" si="49"/>
        <v/>
      </c>
      <c r="DP23" s="72"/>
      <c r="DQ23" s="71"/>
      <c r="DR23" s="61">
        <v>0.0</v>
      </c>
      <c r="DS23" s="62" t="str">
        <f t="shared" si="50"/>
        <v/>
      </c>
      <c r="DT23" s="61">
        <v>0.0</v>
      </c>
      <c r="DU23" s="62" t="str">
        <f t="shared" si="51"/>
        <v/>
      </c>
      <c r="DV23" s="61">
        <v>0.0</v>
      </c>
      <c r="DW23" s="62" t="str">
        <f t="shared" si="52"/>
        <v/>
      </c>
      <c r="DX23" s="61">
        <v>0.0</v>
      </c>
      <c r="DY23" s="62" t="str">
        <f t="shared" si="53"/>
        <v/>
      </c>
      <c r="DZ23" s="61">
        <v>0.0</v>
      </c>
      <c r="EA23" s="64">
        <f t="shared" si="107"/>
        <v>0</v>
      </c>
      <c r="EB23" s="68"/>
      <c r="EC23" s="68"/>
      <c r="ED23" s="68"/>
      <c r="EE23" s="68"/>
      <c r="EF23" s="68"/>
      <c r="EG23" s="68" t="str">
        <f t="shared" si="108"/>
        <v/>
      </c>
      <c r="EH23" s="74"/>
      <c r="EI23" s="68" t="str">
        <f t="shared" si="55"/>
        <v/>
      </c>
      <c r="EJ23" s="72"/>
    </row>
    <row r="24" ht="15.75" customHeight="1" collapsed="1">
      <c r="A24" s="45" t="s">
        <v>42</v>
      </c>
      <c r="B24" s="46">
        <f t="shared" si="8"/>
        <v>0</v>
      </c>
      <c r="C24" s="47" t="str">
        <f t="shared" si="9"/>
        <v/>
      </c>
      <c r="D24" s="46">
        <f t="shared" si="10"/>
        <v>10</v>
      </c>
      <c r="E24" s="88">
        <f t="shared" si="11"/>
        <v>0.2</v>
      </c>
      <c r="F24" s="46">
        <f t="shared" si="12"/>
        <v>2</v>
      </c>
      <c r="G24" s="89">
        <f t="shared" si="13"/>
        <v>23.46977273</v>
      </c>
      <c r="H24" s="96">
        <f t="shared" si="14"/>
        <v>46.93954545</v>
      </c>
      <c r="I24" s="48">
        <f t="shared" si="15"/>
        <v>4.4</v>
      </c>
      <c r="J24" s="96">
        <f t="shared" ref="J24:P24" si="114">SUM(AD24,AX24,BR24,CL24,DF24)</f>
        <v>206.534</v>
      </c>
      <c r="K24" s="49">
        <f t="shared" si="114"/>
        <v>0</v>
      </c>
      <c r="L24" s="90">
        <f t="shared" si="114"/>
        <v>0</v>
      </c>
      <c r="M24" s="90">
        <f t="shared" si="114"/>
        <v>0</v>
      </c>
      <c r="N24" s="90">
        <f t="shared" si="114"/>
        <v>0</v>
      </c>
      <c r="O24" s="90">
        <f t="shared" si="114"/>
        <v>0</v>
      </c>
      <c r="P24" s="90">
        <f t="shared" si="114"/>
        <v>0</v>
      </c>
      <c r="Q24" s="90" t="str">
        <f t="shared" si="17"/>
        <v/>
      </c>
      <c r="R24" s="53">
        <f t="shared" si="18"/>
        <v>0</v>
      </c>
      <c r="S24" s="54">
        <f t="shared" si="19"/>
        <v>4.4</v>
      </c>
      <c r="T24" s="55"/>
      <c r="U24" s="56"/>
      <c r="V24" s="46">
        <v>0.0</v>
      </c>
      <c r="W24" s="47" t="str">
        <f t="shared" si="20"/>
        <v/>
      </c>
      <c r="X24" s="46">
        <f>SUM(X25:X31)</f>
        <v>10</v>
      </c>
      <c r="Y24" s="47">
        <f t="shared" si="21"/>
        <v>0.2</v>
      </c>
      <c r="Z24" s="46">
        <f>SUM(Z25:Z31)</f>
        <v>2</v>
      </c>
      <c r="AA24" s="47">
        <f t="shared" si="22"/>
        <v>23.46977273</v>
      </c>
      <c r="AB24" s="96">
        <f>IFERROR(__xludf.DUMMYFUNCTION("IMPORTRANGE(""https://docs.google.com/spreadsheets/d/1F91-dGdrbIN-cGEPuy2AXVlBs2CcNO6jHf43XcJyGK0/edit"",""Mentoria GR| FACEBOOK ADS!O329"")"),46.93954545454546)</f>
        <v>46.93954545</v>
      </c>
      <c r="AC24" s="48">
        <f t="shared" si="23"/>
        <v>4.4</v>
      </c>
      <c r="AD24" s="96">
        <f>IFERROR(__xludf.DUMMYFUNCTION("IMPORTRANGE(""https://docs.google.com/spreadsheets/d/1F91-dGdrbIN-cGEPuy2AXVlBs2CcNO6jHf43XcJyGK0/edit"",""Mentoria GR| FACEBOOK ADS!Q329"")"),206.53400000000002)</f>
        <v>206.534</v>
      </c>
      <c r="AE24" s="50">
        <f>SUM(AE25:AE30)</f>
        <v>0</v>
      </c>
      <c r="AF24" s="51">
        <f t="shared" ref="AF24:AJ24" si="115">SUM(AF25:AF31)</f>
        <v>0</v>
      </c>
      <c r="AG24" s="51">
        <f t="shared" si="115"/>
        <v>0</v>
      </c>
      <c r="AH24" s="51">
        <f t="shared" si="115"/>
        <v>0</v>
      </c>
      <c r="AI24" s="51">
        <f t="shared" si="115"/>
        <v>0</v>
      </c>
      <c r="AJ24" s="51">
        <f t="shared" si="115"/>
        <v>0</v>
      </c>
      <c r="AK24" s="52" t="str">
        <f t="shared" si="98"/>
        <v/>
      </c>
      <c r="AL24" s="53">
        <f>SUM(AL25:AL31)</f>
        <v>0</v>
      </c>
      <c r="AM24" s="54">
        <f t="shared" si="25"/>
        <v>4.4</v>
      </c>
      <c r="AN24" s="57"/>
      <c r="AO24" s="58"/>
      <c r="AP24" s="46">
        <v>0.0</v>
      </c>
      <c r="AQ24" s="47" t="str">
        <f t="shared" si="26"/>
        <v/>
      </c>
      <c r="AR24" s="46">
        <v>0.0</v>
      </c>
      <c r="AS24" s="47" t="str">
        <f t="shared" si="27"/>
        <v/>
      </c>
      <c r="AT24" s="46">
        <v>0.0</v>
      </c>
      <c r="AU24" s="47" t="str">
        <f t="shared" si="28"/>
        <v/>
      </c>
      <c r="AV24" s="46">
        <v>0.0</v>
      </c>
      <c r="AW24" s="48" t="str">
        <f t="shared" si="29"/>
        <v/>
      </c>
      <c r="AX24" s="49">
        <v>0.0</v>
      </c>
      <c r="AY24" s="50">
        <f t="shared" ref="AY24:BD24" si="116">SUM(AY25:AY31)</f>
        <v>0</v>
      </c>
      <c r="AZ24" s="51">
        <f t="shared" si="116"/>
        <v>0</v>
      </c>
      <c r="BA24" s="51">
        <f t="shared" si="116"/>
        <v>0</v>
      </c>
      <c r="BB24" s="51">
        <f t="shared" si="116"/>
        <v>0</v>
      </c>
      <c r="BC24" s="51">
        <f t="shared" si="116"/>
        <v>0</v>
      </c>
      <c r="BD24" s="51">
        <f t="shared" si="116"/>
        <v>0</v>
      </c>
      <c r="BE24" s="52" t="str">
        <f t="shared" si="100"/>
        <v/>
      </c>
      <c r="BF24" s="53">
        <f>SUM(BF25:BF31)</f>
        <v>0</v>
      </c>
      <c r="BG24" s="54" t="str">
        <f t="shared" si="31"/>
        <v/>
      </c>
      <c r="BH24" s="57"/>
      <c r="BI24" s="58"/>
      <c r="BJ24" s="46">
        <v>0.0</v>
      </c>
      <c r="BK24" s="47" t="str">
        <f t="shared" si="32"/>
        <v/>
      </c>
      <c r="BL24" s="46">
        <v>0.0</v>
      </c>
      <c r="BM24" s="47" t="str">
        <f t="shared" si="33"/>
        <v/>
      </c>
      <c r="BN24" s="46">
        <v>0.0</v>
      </c>
      <c r="BO24" s="47" t="str">
        <f t="shared" si="34"/>
        <v/>
      </c>
      <c r="BP24" s="46">
        <v>0.0</v>
      </c>
      <c r="BQ24" s="48" t="str">
        <f t="shared" si="35"/>
        <v/>
      </c>
      <c r="BR24" s="46">
        <v>0.0</v>
      </c>
      <c r="BS24" s="50">
        <f t="shared" ref="BS24:BX24" si="117">SUM(BS25:BS31)</f>
        <v>0</v>
      </c>
      <c r="BT24" s="51">
        <f t="shared" si="117"/>
        <v>0</v>
      </c>
      <c r="BU24" s="51">
        <f t="shared" si="117"/>
        <v>0</v>
      </c>
      <c r="BV24" s="51">
        <f t="shared" si="117"/>
        <v>0</v>
      </c>
      <c r="BW24" s="51">
        <f t="shared" si="117"/>
        <v>0</v>
      </c>
      <c r="BX24" s="51">
        <f t="shared" si="117"/>
        <v>0</v>
      </c>
      <c r="BY24" s="52" t="str">
        <f t="shared" si="102"/>
        <v/>
      </c>
      <c r="BZ24" s="53">
        <f>SUM(BZ25:BZ31)</f>
        <v>0</v>
      </c>
      <c r="CA24" s="54" t="str">
        <f t="shared" si="37"/>
        <v/>
      </c>
      <c r="CB24" s="57"/>
      <c r="CC24" s="58"/>
      <c r="CD24" s="46">
        <v>0.0</v>
      </c>
      <c r="CE24" s="47" t="str">
        <f t="shared" si="38"/>
        <v/>
      </c>
      <c r="CF24" s="46">
        <v>0.0</v>
      </c>
      <c r="CG24" s="47" t="str">
        <f t="shared" si="39"/>
        <v/>
      </c>
      <c r="CH24" s="46">
        <v>0.0</v>
      </c>
      <c r="CI24" s="47" t="str">
        <f t="shared" si="40"/>
        <v/>
      </c>
      <c r="CJ24" s="46">
        <v>0.0</v>
      </c>
      <c r="CK24" s="48" t="str">
        <f t="shared" si="41"/>
        <v/>
      </c>
      <c r="CL24" s="46">
        <v>0.0</v>
      </c>
      <c r="CM24" s="50">
        <f t="shared" ref="CM24:CR24" si="118">SUM(CM25:CM31)</f>
        <v>0</v>
      </c>
      <c r="CN24" s="51">
        <f t="shared" si="118"/>
        <v>0</v>
      </c>
      <c r="CO24" s="51">
        <f t="shared" si="118"/>
        <v>0</v>
      </c>
      <c r="CP24" s="51">
        <f t="shared" si="118"/>
        <v>0</v>
      </c>
      <c r="CQ24" s="51">
        <f t="shared" si="118"/>
        <v>0</v>
      </c>
      <c r="CR24" s="51">
        <f t="shared" si="118"/>
        <v>0</v>
      </c>
      <c r="CS24" s="52" t="str">
        <f t="shared" si="104"/>
        <v/>
      </c>
      <c r="CT24" s="53">
        <f>SUM(CT25:CT31)</f>
        <v>0</v>
      </c>
      <c r="CU24" s="54" t="str">
        <f t="shared" si="43"/>
        <v/>
      </c>
      <c r="CV24" s="59"/>
      <c r="CW24" s="58"/>
      <c r="CX24" s="46">
        <v>0.0</v>
      </c>
      <c r="CY24" s="47" t="str">
        <f t="shared" si="44"/>
        <v/>
      </c>
      <c r="CZ24" s="46">
        <v>0.0</v>
      </c>
      <c r="DA24" s="47" t="str">
        <f t="shared" si="45"/>
        <v/>
      </c>
      <c r="DB24" s="46">
        <v>0.0</v>
      </c>
      <c r="DC24" s="47" t="str">
        <f t="shared" si="46"/>
        <v/>
      </c>
      <c r="DD24" s="46">
        <v>0.0</v>
      </c>
      <c r="DE24" s="48" t="str">
        <f t="shared" si="47"/>
        <v/>
      </c>
      <c r="DF24" s="46">
        <v>0.0</v>
      </c>
      <c r="DG24" s="50">
        <f t="shared" ref="DG24:DL24" si="119">SUM(DG25:DG31)</f>
        <v>0</v>
      </c>
      <c r="DH24" s="51">
        <f t="shared" si="119"/>
        <v>0</v>
      </c>
      <c r="DI24" s="51">
        <f t="shared" si="119"/>
        <v>0</v>
      </c>
      <c r="DJ24" s="51">
        <f t="shared" si="119"/>
        <v>0</v>
      </c>
      <c r="DK24" s="51">
        <f t="shared" si="119"/>
        <v>0</v>
      </c>
      <c r="DL24" s="51">
        <f t="shared" si="119"/>
        <v>0</v>
      </c>
      <c r="DM24" s="52" t="str">
        <f t="shared" si="106"/>
        <v/>
      </c>
      <c r="DN24" s="53">
        <f>SUM(DN25:DN31)</f>
        <v>0</v>
      </c>
      <c r="DO24" s="54" t="str">
        <f t="shared" si="49"/>
        <v/>
      </c>
      <c r="DP24" s="59"/>
      <c r="DQ24" s="58"/>
      <c r="DR24" s="46">
        <v>0.0</v>
      </c>
      <c r="DS24" s="47" t="str">
        <f t="shared" si="50"/>
        <v/>
      </c>
      <c r="DT24" s="46">
        <v>0.0</v>
      </c>
      <c r="DU24" s="47" t="str">
        <f t="shared" si="51"/>
        <v/>
      </c>
      <c r="DV24" s="46">
        <v>0.0</v>
      </c>
      <c r="DW24" s="47" t="str">
        <f t="shared" si="52"/>
        <v/>
      </c>
      <c r="DX24" s="46">
        <v>0.0</v>
      </c>
      <c r="DY24" s="48" t="str">
        <f t="shared" si="53"/>
        <v/>
      </c>
      <c r="DZ24" s="46">
        <v>0.0</v>
      </c>
      <c r="EA24" s="50">
        <f t="shared" ref="EA24:EF24" si="120">SUM(EA25:EA31)</f>
        <v>0</v>
      </c>
      <c r="EB24" s="51">
        <f t="shared" si="120"/>
        <v>0</v>
      </c>
      <c r="EC24" s="51">
        <f t="shared" si="120"/>
        <v>0</v>
      </c>
      <c r="ED24" s="51">
        <f t="shared" si="120"/>
        <v>0</v>
      </c>
      <c r="EE24" s="51">
        <f t="shared" si="120"/>
        <v>0</v>
      </c>
      <c r="EF24" s="51">
        <f t="shared" si="120"/>
        <v>0</v>
      </c>
      <c r="EG24" s="52" t="str">
        <f t="shared" si="108"/>
        <v/>
      </c>
      <c r="EH24" s="53">
        <f>SUM(EH25:EH31)</f>
        <v>0</v>
      </c>
      <c r="EI24" s="54" t="str">
        <f t="shared" si="55"/>
        <v/>
      </c>
      <c r="EJ24" s="59"/>
    </row>
    <row r="25" ht="15.75" hidden="1" customHeight="1" outlineLevel="1">
      <c r="A25" s="75">
        <f t="shared" ref="A25:A30" si="122">A26+1</f>
        <v>45518</v>
      </c>
      <c r="B25" s="61">
        <f t="shared" si="8"/>
        <v>0</v>
      </c>
      <c r="C25" s="62" t="str">
        <f t="shared" si="9"/>
        <v/>
      </c>
      <c r="D25" s="61">
        <f t="shared" si="10"/>
        <v>0</v>
      </c>
      <c r="E25" s="91" t="str">
        <f t="shared" si="11"/>
        <v/>
      </c>
      <c r="F25" s="61">
        <f t="shared" si="12"/>
        <v>0</v>
      </c>
      <c r="G25" s="92" t="str">
        <f t="shared" si="13"/>
        <v/>
      </c>
      <c r="H25" s="61">
        <f t="shared" si="14"/>
        <v>0</v>
      </c>
      <c r="I25" s="62" t="str">
        <f t="shared" si="15"/>
        <v/>
      </c>
      <c r="J25" s="63">
        <f t="shared" ref="J25:P25" si="121">SUM(AD25,AX25,BR25,CL25,DF25)</f>
        <v>0</v>
      </c>
      <c r="K25" s="93">
        <f t="shared" si="121"/>
        <v>0</v>
      </c>
      <c r="L25" s="94">
        <f t="shared" si="121"/>
        <v>0</v>
      </c>
      <c r="M25" s="94">
        <f t="shared" si="121"/>
        <v>0</v>
      </c>
      <c r="N25" s="94">
        <f t="shared" si="121"/>
        <v>0</v>
      </c>
      <c r="O25" s="94">
        <f t="shared" si="121"/>
        <v>0</v>
      </c>
      <c r="P25" s="94">
        <f t="shared" si="121"/>
        <v>0</v>
      </c>
      <c r="Q25" s="95" t="str">
        <f t="shared" si="17"/>
        <v/>
      </c>
      <c r="R25" s="67">
        <f t="shared" si="18"/>
        <v>0</v>
      </c>
      <c r="S25" s="68" t="str">
        <f t="shared" si="19"/>
        <v/>
      </c>
      <c r="T25" s="55"/>
      <c r="U25" s="76"/>
      <c r="V25" s="61" t="s">
        <v>40</v>
      </c>
      <c r="W25" s="62" t="str">
        <f t="shared" si="20"/>
        <v/>
      </c>
      <c r="X25" s="61" t="s">
        <v>40</v>
      </c>
      <c r="Y25" s="62" t="str">
        <f t="shared" si="21"/>
        <v/>
      </c>
      <c r="Z25" s="61" t="s">
        <v>40</v>
      </c>
      <c r="AA25" s="62" t="str">
        <f t="shared" si="22"/>
        <v/>
      </c>
      <c r="AB25" s="61" t="s">
        <v>40</v>
      </c>
      <c r="AC25" s="62" t="str">
        <f t="shared" si="23"/>
        <v/>
      </c>
      <c r="AD25" s="61" t="s">
        <v>40</v>
      </c>
      <c r="AE25" s="64">
        <f t="shared" ref="AE25:AE30" si="124">SUM(AF25:AJ25)</f>
        <v>0</v>
      </c>
      <c r="AF25" s="68"/>
      <c r="AG25" s="68"/>
      <c r="AH25" s="68"/>
      <c r="AI25" s="68"/>
      <c r="AJ25" s="68"/>
      <c r="AK25" s="68" t="str">
        <f t="shared" si="98"/>
        <v/>
      </c>
      <c r="AL25" s="74"/>
      <c r="AM25" s="68" t="str">
        <f t="shared" si="25"/>
        <v/>
      </c>
      <c r="AO25" s="77"/>
      <c r="AP25" s="61">
        <v>0.0</v>
      </c>
      <c r="AQ25" s="62" t="str">
        <f t="shared" si="26"/>
        <v/>
      </c>
      <c r="AR25" s="61">
        <v>0.0</v>
      </c>
      <c r="AS25" s="62" t="str">
        <f t="shared" si="27"/>
        <v/>
      </c>
      <c r="AT25" s="61">
        <v>0.0</v>
      </c>
      <c r="AU25" s="62" t="str">
        <f t="shared" si="28"/>
        <v/>
      </c>
      <c r="AV25" s="61">
        <v>0.0</v>
      </c>
      <c r="AW25" s="62" t="str">
        <f t="shared" si="29"/>
        <v/>
      </c>
      <c r="AX25" s="61">
        <v>0.0</v>
      </c>
      <c r="AY25" s="64">
        <f t="shared" ref="AY25:AY30" si="125">SUM(AZ25:BD25)</f>
        <v>0</v>
      </c>
      <c r="AZ25" s="68"/>
      <c r="BA25" s="68"/>
      <c r="BB25" s="68"/>
      <c r="BC25" s="68"/>
      <c r="BD25" s="68"/>
      <c r="BE25" s="68" t="str">
        <f t="shared" si="100"/>
        <v/>
      </c>
      <c r="BF25" s="74"/>
      <c r="BG25" s="68" t="str">
        <f t="shared" si="31"/>
        <v/>
      </c>
      <c r="BI25" s="77"/>
      <c r="BJ25" s="61">
        <v>0.0</v>
      </c>
      <c r="BK25" s="62" t="str">
        <f t="shared" si="32"/>
        <v/>
      </c>
      <c r="BL25" s="61">
        <v>0.0</v>
      </c>
      <c r="BM25" s="62" t="str">
        <f t="shared" si="33"/>
        <v/>
      </c>
      <c r="BN25" s="61">
        <v>0.0</v>
      </c>
      <c r="BO25" s="62" t="str">
        <f t="shared" si="34"/>
        <v/>
      </c>
      <c r="BP25" s="61">
        <v>0.0</v>
      </c>
      <c r="BQ25" s="62" t="str">
        <f t="shared" si="35"/>
        <v/>
      </c>
      <c r="BR25" s="61">
        <v>0.0</v>
      </c>
      <c r="BS25" s="64">
        <f t="shared" ref="BS25:BS31" si="126">SUM(BT25:BX25)</f>
        <v>0</v>
      </c>
      <c r="BT25" s="68"/>
      <c r="BU25" s="68"/>
      <c r="BV25" s="68"/>
      <c r="BW25" s="68"/>
      <c r="BX25" s="68"/>
      <c r="BY25" s="68" t="str">
        <f t="shared" si="102"/>
        <v/>
      </c>
      <c r="BZ25" s="74"/>
      <c r="CA25" s="68" t="str">
        <f t="shared" si="37"/>
        <v/>
      </c>
      <c r="CC25" s="77"/>
      <c r="CD25" s="61">
        <v>0.0</v>
      </c>
      <c r="CE25" s="62" t="str">
        <f t="shared" si="38"/>
        <v/>
      </c>
      <c r="CF25" s="61">
        <v>0.0</v>
      </c>
      <c r="CG25" s="62" t="str">
        <f t="shared" si="39"/>
        <v/>
      </c>
      <c r="CH25" s="61">
        <v>0.0</v>
      </c>
      <c r="CI25" s="62" t="str">
        <f t="shared" si="40"/>
        <v/>
      </c>
      <c r="CJ25" s="61">
        <v>0.0</v>
      </c>
      <c r="CK25" s="62" t="str">
        <f t="shared" si="41"/>
        <v/>
      </c>
      <c r="CL25" s="61">
        <v>0.0</v>
      </c>
      <c r="CM25" s="64">
        <f t="shared" ref="CM25:CM31" si="127">SUM(CN25:CR25)</f>
        <v>0</v>
      </c>
      <c r="CN25" s="68"/>
      <c r="CO25" s="68"/>
      <c r="CP25" s="68"/>
      <c r="CQ25" s="68"/>
      <c r="CR25" s="68"/>
      <c r="CS25" s="68" t="str">
        <f t="shared" si="104"/>
        <v/>
      </c>
      <c r="CT25" s="74"/>
      <c r="CU25" s="68" t="str">
        <f t="shared" si="43"/>
        <v/>
      </c>
      <c r="CV25" s="78"/>
      <c r="CW25" s="77"/>
      <c r="CX25" s="61">
        <v>0.0</v>
      </c>
      <c r="CY25" s="62" t="str">
        <f t="shared" si="44"/>
        <v/>
      </c>
      <c r="CZ25" s="61">
        <v>0.0</v>
      </c>
      <c r="DA25" s="62" t="str">
        <f t="shared" si="45"/>
        <v/>
      </c>
      <c r="DB25" s="61">
        <v>0.0</v>
      </c>
      <c r="DC25" s="62" t="str">
        <f t="shared" si="46"/>
        <v/>
      </c>
      <c r="DD25" s="61">
        <v>0.0</v>
      </c>
      <c r="DE25" s="62" t="str">
        <f t="shared" si="47"/>
        <v/>
      </c>
      <c r="DF25" s="61">
        <v>0.0</v>
      </c>
      <c r="DG25" s="64">
        <f t="shared" ref="DG25:DG31" si="128">SUM(DH25:DL25)</f>
        <v>0</v>
      </c>
      <c r="DH25" s="68"/>
      <c r="DI25" s="68"/>
      <c r="DJ25" s="68"/>
      <c r="DK25" s="68"/>
      <c r="DL25" s="68"/>
      <c r="DM25" s="68" t="str">
        <f t="shared" si="106"/>
        <v/>
      </c>
      <c r="DN25" s="74"/>
      <c r="DO25" s="68" t="str">
        <f t="shared" si="49"/>
        <v/>
      </c>
      <c r="DP25" s="78"/>
      <c r="DQ25" s="77"/>
      <c r="DR25" s="61">
        <v>0.0</v>
      </c>
      <c r="DS25" s="62" t="str">
        <f t="shared" si="50"/>
        <v/>
      </c>
      <c r="DT25" s="61">
        <v>0.0</v>
      </c>
      <c r="DU25" s="62" t="str">
        <f t="shared" si="51"/>
        <v/>
      </c>
      <c r="DV25" s="61">
        <v>0.0</v>
      </c>
      <c r="DW25" s="62" t="str">
        <f t="shared" si="52"/>
        <v/>
      </c>
      <c r="DX25" s="61">
        <v>0.0</v>
      </c>
      <c r="DY25" s="62" t="str">
        <f t="shared" si="53"/>
        <v/>
      </c>
      <c r="DZ25" s="61">
        <v>0.0</v>
      </c>
      <c r="EA25" s="64">
        <f t="shared" ref="EA25:EA31" si="129">SUM(EB25:EF25)</f>
        <v>0</v>
      </c>
      <c r="EB25" s="68"/>
      <c r="EC25" s="68"/>
      <c r="ED25" s="68"/>
      <c r="EE25" s="68"/>
      <c r="EF25" s="68"/>
      <c r="EG25" s="68" t="str">
        <f t="shared" si="108"/>
        <v/>
      </c>
      <c r="EH25" s="74"/>
      <c r="EI25" s="68" t="str">
        <f t="shared" si="55"/>
        <v/>
      </c>
      <c r="EJ25" s="78"/>
    </row>
    <row r="26" ht="15.75" hidden="1" customHeight="1" outlineLevel="1">
      <c r="A26" s="75">
        <f t="shared" si="122"/>
        <v>45517</v>
      </c>
      <c r="B26" s="61">
        <f t="shared" si="8"/>
        <v>0</v>
      </c>
      <c r="C26" s="62" t="str">
        <f t="shared" si="9"/>
        <v/>
      </c>
      <c r="D26" s="61">
        <f t="shared" si="10"/>
        <v>0</v>
      </c>
      <c r="E26" s="91" t="str">
        <f t="shared" si="11"/>
        <v/>
      </c>
      <c r="F26" s="61">
        <f t="shared" si="12"/>
        <v>0</v>
      </c>
      <c r="G26" s="92" t="str">
        <f t="shared" si="13"/>
        <v/>
      </c>
      <c r="H26" s="61">
        <f t="shared" si="14"/>
        <v>0</v>
      </c>
      <c r="I26" s="62" t="str">
        <f t="shared" si="15"/>
        <v/>
      </c>
      <c r="J26" s="63">
        <f t="shared" ref="J26:P26" si="123">SUM(AD26,AX26,BR26,CL26,DF26)</f>
        <v>0</v>
      </c>
      <c r="K26" s="93">
        <f t="shared" si="123"/>
        <v>0</v>
      </c>
      <c r="L26" s="94">
        <f t="shared" si="123"/>
        <v>0</v>
      </c>
      <c r="M26" s="94">
        <f t="shared" si="123"/>
        <v>0</v>
      </c>
      <c r="N26" s="94">
        <f t="shared" si="123"/>
        <v>0</v>
      </c>
      <c r="O26" s="94">
        <f t="shared" si="123"/>
        <v>0</v>
      </c>
      <c r="P26" s="94">
        <f t="shared" si="123"/>
        <v>0</v>
      </c>
      <c r="Q26" s="95" t="str">
        <f t="shared" si="17"/>
        <v/>
      </c>
      <c r="R26" s="67">
        <f t="shared" si="18"/>
        <v>0</v>
      </c>
      <c r="S26" s="68" t="str">
        <f t="shared" si="19"/>
        <v/>
      </c>
      <c r="T26" s="55"/>
      <c r="U26" s="76"/>
      <c r="V26" s="61" t="s">
        <v>40</v>
      </c>
      <c r="W26" s="62" t="str">
        <f t="shared" si="20"/>
        <v/>
      </c>
      <c r="X26" s="61" t="s">
        <v>40</v>
      </c>
      <c r="Y26" s="62" t="str">
        <f t="shared" si="21"/>
        <v/>
      </c>
      <c r="Z26" s="61" t="s">
        <v>40</v>
      </c>
      <c r="AA26" s="62" t="str">
        <f t="shared" si="22"/>
        <v/>
      </c>
      <c r="AB26" s="61" t="s">
        <v>40</v>
      </c>
      <c r="AC26" s="62" t="str">
        <f t="shared" si="23"/>
        <v/>
      </c>
      <c r="AD26" s="61" t="s">
        <v>40</v>
      </c>
      <c r="AE26" s="64">
        <f t="shared" si="124"/>
        <v>0</v>
      </c>
      <c r="AF26" s="68"/>
      <c r="AG26" s="68"/>
      <c r="AH26" s="68"/>
      <c r="AI26" s="68"/>
      <c r="AJ26" s="68"/>
      <c r="AK26" s="68" t="str">
        <f t="shared" si="98"/>
        <v/>
      </c>
      <c r="AL26" s="74"/>
      <c r="AM26" s="68" t="str">
        <f t="shared" si="25"/>
        <v/>
      </c>
      <c r="AO26" s="77"/>
      <c r="AP26" s="61">
        <v>0.0</v>
      </c>
      <c r="AQ26" s="62" t="str">
        <f t="shared" si="26"/>
        <v/>
      </c>
      <c r="AR26" s="61">
        <v>0.0</v>
      </c>
      <c r="AS26" s="62" t="str">
        <f t="shared" si="27"/>
        <v/>
      </c>
      <c r="AT26" s="61">
        <v>0.0</v>
      </c>
      <c r="AU26" s="62" t="str">
        <f t="shared" si="28"/>
        <v/>
      </c>
      <c r="AV26" s="61">
        <v>0.0</v>
      </c>
      <c r="AW26" s="62" t="str">
        <f t="shared" si="29"/>
        <v/>
      </c>
      <c r="AX26" s="61">
        <v>0.0</v>
      </c>
      <c r="AY26" s="64">
        <f t="shared" si="125"/>
        <v>0</v>
      </c>
      <c r="AZ26" s="68"/>
      <c r="BA26" s="68"/>
      <c r="BB26" s="68"/>
      <c r="BC26" s="68"/>
      <c r="BD26" s="68"/>
      <c r="BE26" s="68" t="str">
        <f t="shared" si="100"/>
        <v/>
      </c>
      <c r="BF26" s="74"/>
      <c r="BG26" s="68" t="str">
        <f t="shared" si="31"/>
        <v/>
      </c>
      <c r="BI26" s="77"/>
      <c r="BJ26" s="61">
        <v>0.0</v>
      </c>
      <c r="BK26" s="62" t="str">
        <f t="shared" si="32"/>
        <v/>
      </c>
      <c r="BL26" s="61">
        <v>0.0</v>
      </c>
      <c r="BM26" s="62" t="str">
        <f t="shared" si="33"/>
        <v/>
      </c>
      <c r="BN26" s="61">
        <v>0.0</v>
      </c>
      <c r="BO26" s="62" t="str">
        <f t="shared" si="34"/>
        <v/>
      </c>
      <c r="BP26" s="61">
        <v>0.0</v>
      </c>
      <c r="BQ26" s="62" t="str">
        <f t="shared" si="35"/>
        <v/>
      </c>
      <c r="BR26" s="61">
        <v>0.0</v>
      </c>
      <c r="BS26" s="64">
        <f t="shared" si="126"/>
        <v>0</v>
      </c>
      <c r="BT26" s="68"/>
      <c r="BU26" s="68"/>
      <c r="BV26" s="68"/>
      <c r="BW26" s="68"/>
      <c r="BX26" s="68"/>
      <c r="BY26" s="68" t="str">
        <f t="shared" si="102"/>
        <v/>
      </c>
      <c r="BZ26" s="74"/>
      <c r="CA26" s="68" t="str">
        <f t="shared" si="37"/>
        <v/>
      </c>
      <c r="CC26" s="77"/>
      <c r="CD26" s="61">
        <v>0.0</v>
      </c>
      <c r="CE26" s="62" t="str">
        <f t="shared" si="38"/>
        <v/>
      </c>
      <c r="CF26" s="61">
        <v>0.0</v>
      </c>
      <c r="CG26" s="62" t="str">
        <f t="shared" si="39"/>
        <v/>
      </c>
      <c r="CH26" s="61">
        <v>0.0</v>
      </c>
      <c r="CI26" s="62" t="str">
        <f t="shared" si="40"/>
        <v/>
      </c>
      <c r="CJ26" s="61">
        <v>0.0</v>
      </c>
      <c r="CK26" s="62" t="str">
        <f t="shared" si="41"/>
        <v/>
      </c>
      <c r="CL26" s="61">
        <v>0.0</v>
      </c>
      <c r="CM26" s="64">
        <f t="shared" si="127"/>
        <v>0</v>
      </c>
      <c r="CN26" s="68"/>
      <c r="CO26" s="68"/>
      <c r="CP26" s="68"/>
      <c r="CQ26" s="68"/>
      <c r="CR26" s="68"/>
      <c r="CS26" s="68" t="str">
        <f t="shared" si="104"/>
        <v/>
      </c>
      <c r="CT26" s="74"/>
      <c r="CU26" s="68" t="str">
        <f t="shared" si="43"/>
        <v/>
      </c>
      <c r="CV26" s="78"/>
      <c r="CW26" s="77"/>
      <c r="CX26" s="61">
        <v>0.0</v>
      </c>
      <c r="CY26" s="62" t="str">
        <f t="shared" si="44"/>
        <v/>
      </c>
      <c r="CZ26" s="61">
        <v>0.0</v>
      </c>
      <c r="DA26" s="62" t="str">
        <f t="shared" si="45"/>
        <v/>
      </c>
      <c r="DB26" s="61">
        <v>0.0</v>
      </c>
      <c r="DC26" s="62" t="str">
        <f t="shared" si="46"/>
        <v/>
      </c>
      <c r="DD26" s="61">
        <v>0.0</v>
      </c>
      <c r="DE26" s="62" t="str">
        <f t="shared" si="47"/>
        <v/>
      </c>
      <c r="DF26" s="61">
        <v>0.0</v>
      </c>
      <c r="DG26" s="64">
        <f t="shared" si="128"/>
        <v>0</v>
      </c>
      <c r="DH26" s="68"/>
      <c r="DI26" s="68"/>
      <c r="DJ26" s="68"/>
      <c r="DK26" s="68"/>
      <c r="DL26" s="68"/>
      <c r="DM26" s="68" t="str">
        <f t="shared" si="106"/>
        <v/>
      </c>
      <c r="DN26" s="74"/>
      <c r="DO26" s="68" t="str">
        <f t="shared" si="49"/>
        <v/>
      </c>
      <c r="DP26" s="78"/>
      <c r="DQ26" s="77"/>
      <c r="DR26" s="61">
        <v>0.0</v>
      </c>
      <c r="DS26" s="62" t="str">
        <f t="shared" si="50"/>
        <v/>
      </c>
      <c r="DT26" s="61">
        <v>0.0</v>
      </c>
      <c r="DU26" s="62" t="str">
        <f t="shared" si="51"/>
        <v/>
      </c>
      <c r="DV26" s="61">
        <v>0.0</v>
      </c>
      <c r="DW26" s="62" t="str">
        <f t="shared" si="52"/>
        <v/>
      </c>
      <c r="DX26" s="61">
        <v>0.0</v>
      </c>
      <c r="DY26" s="62" t="str">
        <f t="shared" si="53"/>
        <v/>
      </c>
      <c r="DZ26" s="61">
        <v>0.0</v>
      </c>
      <c r="EA26" s="64">
        <f t="shared" si="129"/>
        <v>0</v>
      </c>
      <c r="EB26" s="68"/>
      <c r="EC26" s="68"/>
      <c r="ED26" s="68"/>
      <c r="EE26" s="68"/>
      <c r="EF26" s="68"/>
      <c r="EG26" s="68" t="str">
        <f t="shared" si="108"/>
        <v/>
      </c>
      <c r="EH26" s="74"/>
      <c r="EI26" s="68" t="str">
        <f t="shared" si="55"/>
        <v/>
      </c>
      <c r="EJ26" s="78"/>
    </row>
    <row r="27" ht="15.75" hidden="1" customHeight="1" outlineLevel="1">
      <c r="A27" s="75">
        <f t="shared" si="122"/>
        <v>45516</v>
      </c>
      <c r="B27" s="61">
        <f t="shared" si="8"/>
        <v>0</v>
      </c>
      <c r="C27" s="62" t="str">
        <f t="shared" si="9"/>
        <v/>
      </c>
      <c r="D27" s="61">
        <f t="shared" si="10"/>
        <v>0</v>
      </c>
      <c r="E27" s="91" t="str">
        <f t="shared" si="11"/>
        <v/>
      </c>
      <c r="F27" s="61">
        <f t="shared" si="12"/>
        <v>0</v>
      </c>
      <c r="G27" s="92" t="str">
        <f t="shared" si="13"/>
        <v/>
      </c>
      <c r="H27" s="61">
        <f t="shared" si="14"/>
        <v>0</v>
      </c>
      <c r="I27" s="62" t="str">
        <f t="shared" si="15"/>
        <v/>
      </c>
      <c r="J27" s="63">
        <f t="shared" ref="J27:P27" si="130">SUM(AD27,AX27,BR27,CL27,DF27)</f>
        <v>0</v>
      </c>
      <c r="K27" s="93">
        <f t="shared" si="130"/>
        <v>0</v>
      </c>
      <c r="L27" s="94">
        <f t="shared" si="130"/>
        <v>0</v>
      </c>
      <c r="M27" s="94">
        <f t="shared" si="130"/>
        <v>0</v>
      </c>
      <c r="N27" s="94">
        <f t="shared" si="130"/>
        <v>0</v>
      </c>
      <c r="O27" s="94">
        <f t="shared" si="130"/>
        <v>0</v>
      </c>
      <c r="P27" s="94">
        <f t="shared" si="130"/>
        <v>0</v>
      </c>
      <c r="Q27" s="95" t="str">
        <f t="shared" si="17"/>
        <v/>
      </c>
      <c r="R27" s="67">
        <f t="shared" si="18"/>
        <v>0</v>
      </c>
      <c r="S27" s="68" t="str">
        <f t="shared" si="19"/>
        <v/>
      </c>
      <c r="T27" s="55"/>
      <c r="U27" s="76"/>
      <c r="V27" s="61">
        <v>0.0</v>
      </c>
      <c r="W27" s="62" t="str">
        <f t="shared" si="20"/>
        <v/>
      </c>
      <c r="X27" s="61">
        <v>0.0</v>
      </c>
      <c r="Y27" s="62" t="str">
        <f t="shared" si="21"/>
        <v/>
      </c>
      <c r="Z27" s="61">
        <v>0.0</v>
      </c>
      <c r="AA27" s="62" t="str">
        <f t="shared" si="22"/>
        <v/>
      </c>
      <c r="AB27" s="61">
        <v>0.0</v>
      </c>
      <c r="AC27" s="62" t="str">
        <f t="shared" si="23"/>
        <v/>
      </c>
      <c r="AD27" s="63">
        <v>0.0</v>
      </c>
      <c r="AE27" s="64">
        <f t="shared" si="124"/>
        <v>0</v>
      </c>
      <c r="AF27" s="68"/>
      <c r="AG27" s="68"/>
      <c r="AH27" s="68"/>
      <c r="AI27" s="68"/>
      <c r="AJ27" s="68"/>
      <c r="AK27" s="68" t="str">
        <f t="shared" si="98"/>
        <v/>
      </c>
      <c r="AL27" s="74"/>
      <c r="AM27" s="68" t="str">
        <f t="shared" si="25"/>
        <v/>
      </c>
      <c r="AO27" s="77"/>
      <c r="AP27" s="61">
        <v>0.0</v>
      </c>
      <c r="AQ27" s="62" t="str">
        <f t="shared" si="26"/>
        <v/>
      </c>
      <c r="AR27" s="61">
        <v>0.0</v>
      </c>
      <c r="AS27" s="62" t="str">
        <f t="shared" si="27"/>
        <v/>
      </c>
      <c r="AT27" s="61">
        <v>0.0</v>
      </c>
      <c r="AU27" s="62" t="str">
        <f t="shared" si="28"/>
        <v/>
      </c>
      <c r="AV27" s="61">
        <v>0.0</v>
      </c>
      <c r="AW27" s="62" t="str">
        <f t="shared" si="29"/>
        <v/>
      </c>
      <c r="AX27" s="61">
        <v>0.0</v>
      </c>
      <c r="AY27" s="64">
        <f t="shared" si="125"/>
        <v>0</v>
      </c>
      <c r="AZ27" s="68"/>
      <c r="BA27" s="68"/>
      <c r="BB27" s="68"/>
      <c r="BC27" s="68"/>
      <c r="BD27" s="68"/>
      <c r="BE27" s="68" t="str">
        <f t="shared" si="100"/>
        <v/>
      </c>
      <c r="BF27" s="74"/>
      <c r="BG27" s="68" t="str">
        <f t="shared" si="31"/>
        <v/>
      </c>
      <c r="BI27" s="77"/>
      <c r="BJ27" s="61">
        <v>0.0</v>
      </c>
      <c r="BK27" s="62" t="str">
        <f t="shared" si="32"/>
        <v/>
      </c>
      <c r="BL27" s="61">
        <v>0.0</v>
      </c>
      <c r="BM27" s="62" t="str">
        <f t="shared" si="33"/>
        <v/>
      </c>
      <c r="BN27" s="61">
        <v>0.0</v>
      </c>
      <c r="BO27" s="62" t="str">
        <f t="shared" si="34"/>
        <v/>
      </c>
      <c r="BP27" s="61">
        <v>0.0</v>
      </c>
      <c r="BQ27" s="62" t="str">
        <f t="shared" si="35"/>
        <v/>
      </c>
      <c r="BR27" s="61">
        <v>0.0</v>
      </c>
      <c r="BS27" s="64">
        <f t="shared" si="126"/>
        <v>0</v>
      </c>
      <c r="BT27" s="68"/>
      <c r="BU27" s="68"/>
      <c r="BV27" s="68"/>
      <c r="BW27" s="68"/>
      <c r="BX27" s="68"/>
      <c r="BY27" s="68" t="str">
        <f t="shared" si="102"/>
        <v/>
      </c>
      <c r="BZ27" s="74"/>
      <c r="CA27" s="68" t="str">
        <f t="shared" si="37"/>
        <v/>
      </c>
      <c r="CC27" s="77"/>
      <c r="CD27" s="61">
        <v>0.0</v>
      </c>
      <c r="CE27" s="62" t="str">
        <f t="shared" si="38"/>
        <v/>
      </c>
      <c r="CF27" s="61">
        <v>0.0</v>
      </c>
      <c r="CG27" s="62" t="str">
        <f t="shared" si="39"/>
        <v/>
      </c>
      <c r="CH27" s="61">
        <v>0.0</v>
      </c>
      <c r="CI27" s="62" t="str">
        <f t="shared" si="40"/>
        <v/>
      </c>
      <c r="CJ27" s="61">
        <v>0.0</v>
      </c>
      <c r="CK27" s="62" t="str">
        <f t="shared" si="41"/>
        <v/>
      </c>
      <c r="CL27" s="61">
        <v>0.0</v>
      </c>
      <c r="CM27" s="64">
        <f t="shared" si="127"/>
        <v>0</v>
      </c>
      <c r="CN27" s="68"/>
      <c r="CO27" s="68"/>
      <c r="CP27" s="68"/>
      <c r="CQ27" s="68"/>
      <c r="CR27" s="68"/>
      <c r="CS27" s="68" t="str">
        <f t="shared" si="104"/>
        <v/>
      </c>
      <c r="CT27" s="74"/>
      <c r="CU27" s="68" t="str">
        <f t="shared" si="43"/>
        <v/>
      </c>
      <c r="CV27" s="78"/>
      <c r="CW27" s="77"/>
      <c r="CX27" s="61">
        <v>0.0</v>
      </c>
      <c r="CY27" s="62" t="str">
        <f t="shared" si="44"/>
        <v/>
      </c>
      <c r="CZ27" s="61">
        <v>0.0</v>
      </c>
      <c r="DA27" s="62" t="str">
        <f t="shared" si="45"/>
        <v/>
      </c>
      <c r="DB27" s="61">
        <v>0.0</v>
      </c>
      <c r="DC27" s="62" t="str">
        <f t="shared" si="46"/>
        <v/>
      </c>
      <c r="DD27" s="61">
        <v>0.0</v>
      </c>
      <c r="DE27" s="62" t="str">
        <f t="shared" si="47"/>
        <v/>
      </c>
      <c r="DF27" s="61">
        <v>0.0</v>
      </c>
      <c r="DG27" s="64">
        <f t="shared" si="128"/>
        <v>0</v>
      </c>
      <c r="DH27" s="68"/>
      <c r="DI27" s="68"/>
      <c r="DJ27" s="68"/>
      <c r="DK27" s="68"/>
      <c r="DL27" s="68"/>
      <c r="DM27" s="68" t="str">
        <f t="shared" si="106"/>
        <v/>
      </c>
      <c r="DN27" s="74"/>
      <c r="DO27" s="68" t="str">
        <f t="shared" si="49"/>
        <v/>
      </c>
      <c r="DP27" s="78"/>
      <c r="DQ27" s="77"/>
      <c r="DR27" s="61">
        <v>0.0</v>
      </c>
      <c r="DS27" s="62" t="str">
        <f t="shared" si="50"/>
        <v/>
      </c>
      <c r="DT27" s="61">
        <v>0.0</v>
      </c>
      <c r="DU27" s="62" t="str">
        <f t="shared" si="51"/>
        <v/>
      </c>
      <c r="DV27" s="61">
        <v>0.0</v>
      </c>
      <c r="DW27" s="62" t="str">
        <f t="shared" si="52"/>
        <v/>
      </c>
      <c r="DX27" s="61">
        <v>0.0</v>
      </c>
      <c r="DY27" s="62" t="str">
        <f t="shared" si="53"/>
        <v/>
      </c>
      <c r="DZ27" s="61">
        <v>0.0</v>
      </c>
      <c r="EA27" s="64">
        <f t="shared" si="129"/>
        <v>0</v>
      </c>
      <c r="EB27" s="68"/>
      <c r="EC27" s="68"/>
      <c r="ED27" s="68"/>
      <c r="EE27" s="68"/>
      <c r="EF27" s="68"/>
      <c r="EG27" s="68" t="str">
        <f t="shared" si="108"/>
        <v/>
      </c>
      <c r="EH27" s="74"/>
      <c r="EI27" s="68" t="str">
        <f t="shared" si="55"/>
        <v/>
      </c>
      <c r="EJ27" s="78"/>
    </row>
    <row r="28" ht="15.75" hidden="1" customHeight="1" outlineLevel="1">
      <c r="A28" s="75">
        <f t="shared" si="122"/>
        <v>45515</v>
      </c>
      <c r="B28" s="61">
        <f t="shared" si="8"/>
        <v>0</v>
      </c>
      <c r="C28" s="62" t="str">
        <f t="shared" si="9"/>
        <v/>
      </c>
      <c r="D28" s="61">
        <f t="shared" si="10"/>
        <v>0</v>
      </c>
      <c r="E28" s="91" t="str">
        <f t="shared" si="11"/>
        <v/>
      </c>
      <c r="F28" s="61">
        <f t="shared" si="12"/>
        <v>0</v>
      </c>
      <c r="G28" s="92" t="str">
        <f t="shared" si="13"/>
        <v/>
      </c>
      <c r="H28" s="61">
        <f t="shared" si="14"/>
        <v>0</v>
      </c>
      <c r="I28" s="62" t="str">
        <f t="shared" si="15"/>
        <v/>
      </c>
      <c r="J28" s="63">
        <f t="shared" ref="J28:P28" si="131">SUM(AD28,AX28,BR28,CL28,DF28)</f>
        <v>0</v>
      </c>
      <c r="K28" s="93">
        <f t="shared" si="131"/>
        <v>0</v>
      </c>
      <c r="L28" s="94">
        <f t="shared" si="131"/>
        <v>0</v>
      </c>
      <c r="M28" s="94">
        <f t="shared" si="131"/>
        <v>0</v>
      </c>
      <c r="N28" s="94">
        <f t="shared" si="131"/>
        <v>0</v>
      </c>
      <c r="O28" s="94">
        <f t="shared" si="131"/>
        <v>0</v>
      </c>
      <c r="P28" s="94">
        <f t="shared" si="131"/>
        <v>0</v>
      </c>
      <c r="Q28" s="95" t="str">
        <f t="shared" si="17"/>
        <v/>
      </c>
      <c r="R28" s="67">
        <f t="shared" si="18"/>
        <v>0</v>
      </c>
      <c r="S28" s="68" t="str">
        <f t="shared" si="19"/>
        <v/>
      </c>
      <c r="T28" s="55"/>
      <c r="U28" s="76"/>
      <c r="V28" s="61">
        <v>0.0</v>
      </c>
      <c r="W28" s="62" t="str">
        <f t="shared" si="20"/>
        <v/>
      </c>
      <c r="X28" s="61">
        <v>0.0</v>
      </c>
      <c r="Y28" s="62" t="str">
        <f t="shared" si="21"/>
        <v/>
      </c>
      <c r="Z28" s="61">
        <v>0.0</v>
      </c>
      <c r="AA28" s="62" t="str">
        <f t="shared" si="22"/>
        <v/>
      </c>
      <c r="AB28" s="61">
        <v>0.0</v>
      </c>
      <c r="AC28" s="62" t="str">
        <f t="shared" si="23"/>
        <v/>
      </c>
      <c r="AD28" s="63">
        <v>0.0</v>
      </c>
      <c r="AE28" s="64">
        <f t="shared" si="124"/>
        <v>0</v>
      </c>
      <c r="AF28" s="68"/>
      <c r="AG28" s="68"/>
      <c r="AH28" s="68"/>
      <c r="AI28" s="68"/>
      <c r="AJ28" s="68"/>
      <c r="AK28" s="68" t="str">
        <f t="shared" si="98"/>
        <v/>
      </c>
      <c r="AL28" s="74"/>
      <c r="AM28" s="68" t="str">
        <f t="shared" si="25"/>
        <v/>
      </c>
      <c r="AO28" s="77"/>
      <c r="AP28" s="61">
        <v>0.0</v>
      </c>
      <c r="AQ28" s="62" t="str">
        <f t="shared" si="26"/>
        <v/>
      </c>
      <c r="AR28" s="61">
        <v>0.0</v>
      </c>
      <c r="AS28" s="62" t="str">
        <f t="shared" si="27"/>
        <v/>
      </c>
      <c r="AT28" s="61">
        <v>0.0</v>
      </c>
      <c r="AU28" s="62" t="str">
        <f t="shared" si="28"/>
        <v/>
      </c>
      <c r="AV28" s="61">
        <v>0.0</v>
      </c>
      <c r="AW28" s="62" t="str">
        <f t="shared" si="29"/>
        <v/>
      </c>
      <c r="AX28" s="61">
        <v>0.0</v>
      </c>
      <c r="AY28" s="64">
        <f t="shared" si="125"/>
        <v>0</v>
      </c>
      <c r="AZ28" s="68"/>
      <c r="BA28" s="68"/>
      <c r="BB28" s="68"/>
      <c r="BC28" s="68"/>
      <c r="BD28" s="68"/>
      <c r="BE28" s="68" t="str">
        <f t="shared" si="100"/>
        <v/>
      </c>
      <c r="BF28" s="74"/>
      <c r="BG28" s="68" t="str">
        <f t="shared" si="31"/>
        <v/>
      </c>
      <c r="BI28" s="77"/>
      <c r="BJ28" s="61">
        <v>0.0</v>
      </c>
      <c r="BK28" s="62" t="str">
        <f t="shared" si="32"/>
        <v/>
      </c>
      <c r="BL28" s="61">
        <v>0.0</v>
      </c>
      <c r="BM28" s="62" t="str">
        <f t="shared" si="33"/>
        <v/>
      </c>
      <c r="BN28" s="61">
        <v>0.0</v>
      </c>
      <c r="BO28" s="62" t="str">
        <f t="shared" si="34"/>
        <v/>
      </c>
      <c r="BP28" s="61">
        <v>0.0</v>
      </c>
      <c r="BQ28" s="62" t="str">
        <f t="shared" si="35"/>
        <v/>
      </c>
      <c r="BR28" s="61">
        <v>0.0</v>
      </c>
      <c r="BS28" s="64">
        <f t="shared" si="126"/>
        <v>0</v>
      </c>
      <c r="BT28" s="68"/>
      <c r="BU28" s="68"/>
      <c r="BV28" s="68"/>
      <c r="BW28" s="68"/>
      <c r="BX28" s="68"/>
      <c r="BY28" s="68" t="str">
        <f t="shared" si="102"/>
        <v/>
      </c>
      <c r="BZ28" s="74"/>
      <c r="CA28" s="68" t="str">
        <f t="shared" si="37"/>
        <v/>
      </c>
      <c r="CC28" s="77"/>
      <c r="CD28" s="61">
        <v>0.0</v>
      </c>
      <c r="CE28" s="62" t="str">
        <f t="shared" si="38"/>
        <v/>
      </c>
      <c r="CF28" s="61">
        <v>0.0</v>
      </c>
      <c r="CG28" s="62" t="str">
        <f t="shared" si="39"/>
        <v/>
      </c>
      <c r="CH28" s="61">
        <v>0.0</v>
      </c>
      <c r="CI28" s="62" t="str">
        <f t="shared" si="40"/>
        <v/>
      </c>
      <c r="CJ28" s="61">
        <v>0.0</v>
      </c>
      <c r="CK28" s="62" t="str">
        <f t="shared" si="41"/>
        <v/>
      </c>
      <c r="CL28" s="61">
        <v>0.0</v>
      </c>
      <c r="CM28" s="64">
        <f t="shared" si="127"/>
        <v>0</v>
      </c>
      <c r="CN28" s="68"/>
      <c r="CO28" s="68"/>
      <c r="CP28" s="68"/>
      <c r="CQ28" s="68"/>
      <c r="CR28" s="68"/>
      <c r="CS28" s="68" t="str">
        <f t="shared" si="104"/>
        <v/>
      </c>
      <c r="CT28" s="74"/>
      <c r="CU28" s="68" t="str">
        <f t="shared" si="43"/>
        <v/>
      </c>
      <c r="CV28" s="78"/>
      <c r="CW28" s="77"/>
      <c r="CX28" s="61">
        <v>0.0</v>
      </c>
      <c r="CY28" s="62" t="str">
        <f t="shared" si="44"/>
        <v/>
      </c>
      <c r="CZ28" s="61">
        <v>0.0</v>
      </c>
      <c r="DA28" s="62" t="str">
        <f t="shared" si="45"/>
        <v/>
      </c>
      <c r="DB28" s="61">
        <v>0.0</v>
      </c>
      <c r="DC28" s="62" t="str">
        <f t="shared" si="46"/>
        <v/>
      </c>
      <c r="DD28" s="61">
        <v>0.0</v>
      </c>
      <c r="DE28" s="62" t="str">
        <f t="shared" si="47"/>
        <v/>
      </c>
      <c r="DF28" s="61">
        <v>0.0</v>
      </c>
      <c r="DG28" s="64">
        <f t="shared" si="128"/>
        <v>0</v>
      </c>
      <c r="DH28" s="68"/>
      <c r="DI28" s="68"/>
      <c r="DJ28" s="68"/>
      <c r="DK28" s="68"/>
      <c r="DL28" s="68"/>
      <c r="DM28" s="68" t="str">
        <f t="shared" si="106"/>
        <v/>
      </c>
      <c r="DN28" s="74"/>
      <c r="DO28" s="68" t="str">
        <f t="shared" si="49"/>
        <v/>
      </c>
      <c r="DP28" s="78"/>
      <c r="DQ28" s="77"/>
      <c r="DR28" s="61">
        <v>0.0</v>
      </c>
      <c r="DS28" s="62" t="str">
        <f t="shared" si="50"/>
        <v/>
      </c>
      <c r="DT28" s="61">
        <v>0.0</v>
      </c>
      <c r="DU28" s="62" t="str">
        <f t="shared" si="51"/>
        <v/>
      </c>
      <c r="DV28" s="61">
        <v>0.0</v>
      </c>
      <c r="DW28" s="62" t="str">
        <f t="shared" si="52"/>
        <v/>
      </c>
      <c r="DX28" s="61">
        <v>0.0</v>
      </c>
      <c r="DY28" s="62" t="str">
        <f t="shared" si="53"/>
        <v/>
      </c>
      <c r="DZ28" s="61">
        <v>0.0</v>
      </c>
      <c r="EA28" s="64">
        <f t="shared" si="129"/>
        <v>0</v>
      </c>
      <c r="EB28" s="68"/>
      <c r="EC28" s="68"/>
      <c r="ED28" s="68"/>
      <c r="EE28" s="68"/>
      <c r="EF28" s="68"/>
      <c r="EG28" s="68" t="str">
        <f t="shared" si="108"/>
        <v/>
      </c>
      <c r="EH28" s="74"/>
      <c r="EI28" s="68" t="str">
        <f t="shared" si="55"/>
        <v/>
      </c>
      <c r="EJ28" s="78"/>
    </row>
    <row r="29" ht="15.75" hidden="1" customHeight="1" outlineLevel="1">
      <c r="A29" s="75">
        <f t="shared" si="122"/>
        <v>45514</v>
      </c>
      <c r="B29" s="61">
        <f t="shared" si="8"/>
        <v>0</v>
      </c>
      <c r="C29" s="62" t="str">
        <f t="shared" si="9"/>
        <v/>
      </c>
      <c r="D29" s="61">
        <f t="shared" si="10"/>
        <v>0</v>
      </c>
      <c r="E29" s="91" t="str">
        <f t="shared" si="11"/>
        <v/>
      </c>
      <c r="F29" s="61">
        <f t="shared" si="12"/>
        <v>0</v>
      </c>
      <c r="G29" s="92" t="str">
        <f t="shared" si="13"/>
        <v/>
      </c>
      <c r="H29" s="61">
        <f t="shared" si="14"/>
        <v>0</v>
      </c>
      <c r="I29" s="62" t="str">
        <f t="shared" si="15"/>
        <v/>
      </c>
      <c r="J29" s="63">
        <f t="shared" ref="J29:P29" si="132">SUM(AD29,AX29,BR29,CL29,DF29)</f>
        <v>0</v>
      </c>
      <c r="K29" s="93">
        <f t="shared" si="132"/>
        <v>0</v>
      </c>
      <c r="L29" s="94">
        <f t="shared" si="132"/>
        <v>0</v>
      </c>
      <c r="M29" s="94">
        <f t="shared" si="132"/>
        <v>0</v>
      </c>
      <c r="N29" s="94">
        <f t="shared" si="132"/>
        <v>0</v>
      </c>
      <c r="O29" s="94">
        <f t="shared" si="132"/>
        <v>0</v>
      </c>
      <c r="P29" s="94">
        <f t="shared" si="132"/>
        <v>0</v>
      </c>
      <c r="Q29" s="95" t="str">
        <f t="shared" si="17"/>
        <v/>
      </c>
      <c r="R29" s="67">
        <f t="shared" si="18"/>
        <v>0</v>
      </c>
      <c r="S29" s="68" t="str">
        <f t="shared" si="19"/>
        <v/>
      </c>
      <c r="T29" s="55"/>
      <c r="U29" s="76"/>
      <c r="V29" s="61">
        <v>0.0</v>
      </c>
      <c r="W29" s="62" t="str">
        <f t="shared" si="20"/>
        <v/>
      </c>
      <c r="X29" s="61">
        <v>0.0</v>
      </c>
      <c r="Y29" s="62" t="str">
        <f t="shared" si="21"/>
        <v/>
      </c>
      <c r="Z29" s="61">
        <v>0.0</v>
      </c>
      <c r="AA29" s="62" t="str">
        <f t="shared" si="22"/>
        <v/>
      </c>
      <c r="AB29" s="61">
        <v>0.0</v>
      </c>
      <c r="AC29" s="62" t="str">
        <f t="shared" si="23"/>
        <v/>
      </c>
      <c r="AD29" s="63">
        <v>0.0</v>
      </c>
      <c r="AE29" s="64">
        <f t="shared" si="124"/>
        <v>0</v>
      </c>
      <c r="AF29" s="68"/>
      <c r="AG29" s="68"/>
      <c r="AH29" s="68"/>
      <c r="AI29" s="68"/>
      <c r="AJ29" s="68"/>
      <c r="AK29" s="68" t="str">
        <f t="shared" si="98"/>
        <v/>
      </c>
      <c r="AL29" s="74"/>
      <c r="AM29" s="68" t="str">
        <f t="shared" si="25"/>
        <v/>
      </c>
      <c r="AO29" s="77"/>
      <c r="AP29" s="61">
        <v>0.0</v>
      </c>
      <c r="AQ29" s="62" t="str">
        <f t="shared" si="26"/>
        <v/>
      </c>
      <c r="AR29" s="61">
        <v>0.0</v>
      </c>
      <c r="AS29" s="62" t="str">
        <f t="shared" si="27"/>
        <v/>
      </c>
      <c r="AT29" s="61">
        <v>0.0</v>
      </c>
      <c r="AU29" s="62" t="str">
        <f t="shared" si="28"/>
        <v/>
      </c>
      <c r="AV29" s="61">
        <v>0.0</v>
      </c>
      <c r="AW29" s="62" t="str">
        <f t="shared" si="29"/>
        <v/>
      </c>
      <c r="AX29" s="61">
        <v>0.0</v>
      </c>
      <c r="AY29" s="64">
        <f t="shared" si="125"/>
        <v>0</v>
      </c>
      <c r="AZ29" s="68"/>
      <c r="BA29" s="68"/>
      <c r="BB29" s="68"/>
      <c r="BC29" s="68"/>
      <c r="BD29" s="68"/>
      <c r="BE29" s="68" t="str">
        <f t="shared" si="100"/>
        <v/>
      </c>
      <c r="BF29" s="74"/>
      <c r="BG29" s="68" t="str">
        <f t="shared" si="31"/>
        <v/>
      </c>
      <c r="BI29" s="77"/>
      <c r="BJ29" s="61">
        <v>0.0</v>
      </c>
      <c r="BK29" s="62" t="str">
        <f t="shared" si="32"/>
        <v/>
      </c>
      <c r="BL29" s="61">
        <v>0.0</v>
      </c>
      <c r="BM29" s="62" t="str">
        <f t="shared" si="33"/>
        <v/>
      </c>
      <c r="BN29" s="61">
        <v>0.0</v>
      </c>
      <c r="BO29" s="62" t="str">
        <f t="shared" si="34"/>
        <v/>
      </c>
      <c r="BP29" s="61">
        <v>0.0</v>
      </c>
      <c r="BQ29" s="62" t="str">
        <f t="shared" si="35"/>
        <v/>
      </c>
      <c r="BR29" s="61">
        <v>0.0</v>
      </c>
      <c r="BS29" s="64">
        <f t="shared" si="126"/>
        <v>0</v>
      </c>
      <c r="BT29" s="68"/>
      <c r="BU29" s="68"/>
      <c r="BV29" s="68"/>
      <c r="BW29" s="68"/>
      <c r="BX29" s="68"/>
      <c r="BY29" s="68" t="str">
        <f t="shared" si="102"/>
        <v/>
      </c>
      <c r="BZ29" s="74"/>
      <c r="CA29" s="68" t="str">
        <f t="shared" si="37"/>
        <v/>
      </c>
      <c r="CC29" s="77"/>
      <c r="CD29" s="61">
        <v>0.0</v>
      </c>
      <c r="CE29" s="62" t="str">
        <f t="shared" si="38"/>
        <v/>
      </c>
      <c r="CF29" s="61">
        <v>0.0</v>
      </c>
      <c r="CG29" s="62" t="str">
        <f t="shared" si="39"/>
        <v/>
      </c>
      <c r="CH29" s="61">
        <v>0.0</v>
      </c>
      <c r="CI29" s="62" t="str">
        <f t="shared" si="40"/>
        <v/>
      </c>
      <c r="CJ29" s="61">
        <v>0.0</v>
      </c>
      <c r="CK29" s="62" t="str">
        <f t="shared" si="41"/>
        <v/>
      </c>
      <c r="CL29" s="61">
        <v>0.0</v>
      </c>
      <c r="CM29" s="64">
        <f t="shared" si="127"/>
        <v>0</v>
      </c>
      <c r="CN29" s="68"/>
      <c r="CO29" s="68"/>
      <c r="CP29" s="68"/>
      <c r="CQ29" s="68"/>
      <c r="CR29" s="68"/>
      <c r="CS29" s="68" t="str">
        <f t="shared" si="104"/>
        <v/>
      </c>
      <c r="CT29" s="74"/>
      <c r="CU29" s="68" t="str">
        <f t="shared" si="43"/>
        <v/>
      </c>
      <c r="CV29" s="78"/>
      <c r="CW29" s="77"/>
      <c r="CX29" s="61">
        <v>0.0</v>
      </c>
      <c r="CY29" s="62" t="str">
        <f t="shared" si="44"/>
        <v/>
      </c>
      <c r="CZ29" s="61">
        <v>0.0</v>
      </c>
      <c r="DA29" s="62" t="str">
        <f t="shared" si="45"/>
        <v/>
      </c>
      <c r="DB29" s="61">
        <v>0.0</v>
      </c>
      <c r="DC29" s="62" t="str">
        <f t="shared" si="46"/>
        <v/>
      </c>
      <c r="DD29" s="61">
        <v>0.0</v>
      </c>
      <c r="DE29" s="62" t="str">
        <f t="shared" si="47"/>
        <v/>
      </c>
      <c r="DF29" s="61">
        <v>0.0</v>
      </c>
      <c r="DG29" s="64">
        <f t="shared" si="128"/>
        <v>0</v>
      </c>
      <c r="DH29" s="68"/>
      <c r="DI29" s="68"/>
      <c r="DJ29" s="68"/>
      <c r="DK29" s="68"/>
      <c r="DL29" s="68"/>
      <c r="DM29" s="68" t="str">
        <f t="shared" si="106"/>
        <v/>
      </c>
      <c r="DN29" s="74"/>
      <c r="DO29" s="68" t="str">
        <f t="shared" si="49"/>
        <v/>
      </c>
      <c r="DP29" s="78"/>
      <c r="DQ29" s="77"/>
      <c r="DR29" s="61">
        <v>0.0</v>
      </c>
      <c r="DS29" s="62" t="str">
        <f t="shared" si="50"/>
        <v/>
      </c>
      <c r="DT29" s="61">
        <v>0.0</v>
      </c>
      <c r="DU29" s="62" t="str">
        <f t="shared" si="51"/>
        <v/>
      </c>
      <c r="DV29" s="61">
        <v>0.0</v>
      </c>
      <c r="DW29" s="62" t="str">
        <f t="shared" si="52"/>
        <v/>
      </c>
      <c r="DX29" s="61">
        <v>0.0</v>
      </c>
      <c r="DY29" s="62" t="str">
        <f t="shared" si="53"/>
        <v/>
      </c>
      <c r="DZ29" s="61">
        <v>0.0</v>
      </c>
      <c r="EA29" s="64">
        <f t="shared" si="129"/>
        <v>0</v>
      </c>
      <c r="EB29" s="68"/>
      <c r="EC29" s="68"/>
      <c r="ED29" s="68"/>
      <c r="EE29" s="68"/>
      <c r="EF29" s="68"/>
      <c r="EG29" s="68" t="str">
        <f t="shared" si="108"/>
        <v/>
      </c>
      <c r="EH29" s="74"/>
      <c r="EI29" s="68" t="str">
        <f t="shared" si="55"/>
        <v/>
      </c>
      <c r="EJ29" s="78"/>
    </row>
    <row r="30" ht="15.75" hidden="1" customHeight="1" outlineLevel="1">
      <c r="A30" s="79">
        <f t="shared" si="122"/>
        <v>45513</v>
      </c>
      <c r="B30" s="61">
        <f t="shared" si="8"/>
        <v>0</v>
      </c>
      <c r="C30" s="62" t="str">
        <f t="shared" si="9"/>
        <v/>
      </c>
      <c r="D30" s="61">
        <f t="shared" si="10"/>
        <v>0</v>
      </c>
      <c r="E30" s="91" t="str">
        <f t="shared" si="11"/>
        <v/>
      </c>
      <c r="F30" s="61">
        <f t="shared" si="12"/>
        <v>0</v>
      </c>
      <c r="G30" s="92" t="str">
        <f t="shared" si="13"/>
        <v/>
      </c>
      <c r="H30" s="61">
        <f t="shared" si="14"/>
        <v>0</v>
      </c>
      <c r="I30" s="62" t="str">
        <f t="shared" si="15"/>
        <v/>
      </c>
      <c r="J30" s="63">
        <f t="shared" ref="J30:P30" si="133">SUM(AD30,AX30,BR30,CL30,DF30)</f>
        <v>0</v>
      </c>
      <c r="K30" s="93">
        <f t="shared" si="133"/>
        <v>0</v>
      </c>
      <c r="L30" s="94">
        <f t="shared" si="133"/>
        <v>0</v>
      </c>
      <c r="M30" s="94">
        <f t="shared" si="133"/>
        <v>0</v>
      </c>
      <c r="N30" s="94">
        <f t="shared" si="133"/>
        <v>0</v>
      </c>
      <c r="O30" s="94">
        <f t="shared" si="133"/>
        <v>0</v>
      </c>
      <c r="P30" s="94">
        <f t="shared" si="133"/>
        <v>0</v>
      </c>
      <c r="Q30" s="95" t="str">
        <f t="shared" si="17"/>
        <v/>
      </c>
      <c r="R30" s="67">
        <f t="shared" si="18"/>
        <v>0</v>
      </c>
      <c r="S30" s="68" t="str">
        <f t="shared" si="19"/>
        <v/>
      </c>
      <c r="T30" s="55"/>
      <c r="U30" s="76"/>
      <c r="V30" s="61">
        <v>0.0</v>
      </c>
      <c r="W30" s="62" t="str">
        <f t="shared" si="20"/>
        <v/>
      </c>
      <c r="X30" s="61">
        <v>0.0</v>
      </c>
      <c r="Y30" s="62" t="str">
        <f t="shared" si="21"/>
        <v/>
      </c>
      <c r="Z30" s="61">
        <v>0.0</v>
      </c>
      <c r="AA30" s="62" t="str">
        <f t="shared" si="22"/>
        <v/>
      </c>
      <c r="AB30" s="61">
        <v>0.0</v>
      </c>
      <c r="AC30" s="62" t="str">
        <f t="shared" si="23"/>
        <v/>
      </c>
      <c r="AD30" s="63">
        <v>0.0</v>
      </c>
      <c r="AE30" s="64">
        <f t="shared" si="124"/>
        <v>0</v>
      </c>
      <c r="AF30" s="68"/>
      <c r="AG30" s="68"/>
      <c r="AH30" s="68"/>
      <c r="AI30" s="68"/>
      <c r="AJ30" s="68"/>
      <c r="AK30" s="68" t="str">
        <f t="shared" si="98"/>
        <v/>
      </c>
      <c r="AL30" s="74"/>
      <c r="AM30" s="68" t="str">
        <f t="shared" si="25"/>
        <v/>
      </c>
      <c r="AO30" s="77"/>
      <c r="AP30" s="61">
        <v>0.0</v>
      </c>
      <c r="AQ30" s="62" t="str">
        <f t="shared" si="26"/>
        <v/>
      </c>
      <c r="AR30" s="61">
        <v>0.0</v>
      </c>
      <c r="AS30" s="62" t="str">
        <f t="shared" si="27"/>
        <v/>
      </c>
      <c r="AT30" s="61">
        <v>0.0</v>
      </c>
      <c r="AU30" s="62" t="str">
        <f t="shared" si="28"/>
        <v/>
      </c>
      <c r="AV30" s="61">
        <v>0.0</v>
      </c>
      <c r="AW30" s="62" t="str">
        <f t="shared" si="29"/>
        <v/>
      </c>
      <c r="AX30" s="61">
        <v>0.0</v>
      </c>
      <c r="AY30" s="64">
        <f t="shared" si="125"/>
        <v>0</v>
      </c>
      <c r="AZ30" s="68"/>
      <c r="BA30" s="68"/>
      <c r="BB30" s="68"/>
      <c r="BC30" s="68"/>
      <c r="BD30" s="68"/>
      <c r="BE30" s="68" t="str">
        <f t="shared" si="100"/>
        <v/>
      </c>
      <c r="BF30" s="74"/>
      <c r="BG30" s="68" t="str">
        <f t="shared" si="31"/>
        <v/>
      </c>
      <c r="BI30" s="77"/>
      <c r="BJ30" s="61">
        <v>0.0</v>
      </c>
      <c r="BK30" s="62" t="str">
        <f t="shared" si="32"/>
        <v/>
      </c>
      <c r="BL30" s="61">
        <v>0.0</v>
      </c>
      <c r="BM30" s="62" t="str">
        <f t="shared" si="33"/>
        <v/>
      </c>
      <c r="BN30" s="61">
        <v>0.0</v>
      </c>
      <c r="BO30" s="62" t="str">
        <f t="shared" si="34"/>
        <v/>
      </c>
      <c r="BP30" s="61">
        <v>0.0</v>
      </c>
      <c r="BQ30" s="62" t="str">
        <f t="shared" si="35"/>
        <v/>
      </c>
      <c r="BR30" s="61">
        <v>0.0</v>
      </c>
      <c r="BS30" s="64">
        <f t="shared" si="126"/>
        <v>0</v>
      </c>
      <c r="BT30" s="68"/>
      <c r="BU30" s="68"/>
      <c r="BV30" s="68"/>
      <c r="BW30" s="68"/>
      <c r="BX30" s="68"/>
      <c r="BY30" s="68" t="str">
        <f t="shared" si="102"/>
        <v/>
      </c>
      <c r="BZ30" s="74"/>
      <c r="CA30" s="68" t="str">
        <f t="shared" si="37"/>
        <v/>
      </c>
      <c r="CC30" s="77"/>
      <c r="CD30" s="61">
        <v>0.0</v>
      </c>
      <c r="CE30" s="62" t="str">
        <f t="shared" si="38"/>
        <v/>
      </c>
      <c r="CF30" s="61">
        <v>0.0</v>
      </c>
      <c r="CG30" s="62" t="str">
        <f t="shared" si="39"/>
        <v/>
      </c>
      <c r="CH30" s="61">
        <v>0.0</v>
      </c>
      <c r="CI30" s="62" t="str">
        <f t="shared" si="40"/>
        <v/>
      </c>
      <c r="CJ30" s="61">
        <v>0.0</v>
      </c>
      <c r="CK30" s="62" t="str">
        <f t="shared" si="41"/>
        <v/>
      </c>
      <c r="CL30" s="61">
        <v>0.0</v>
      </c>
      <c r="CM30" s="64">
        <f t="shared" si="127"/>
        <v>0</v>
      </c>
      <c r="CN30" s="68"/>
      <c r="CO30" s="68"/>
      <c r="CP30" s="68"/>
      <c r="CQ30" s="68"/>
      <c r="CR30" s="68"/>
      <c r="CS30" s="68" t="str">
        <f t="shared" si="104"/>
        <v/>
      </c>
      <c r="CT30" s="74"/>
      <c r="CU30" s="68" t="str">
        <f t="shared" si="43"/>
        <v/>
      </c>
      <c r="CV30" s="78"/>
      <c r="CW30" s="77"/>
      <c r="CX30" s="61">
        <v>0.0</v>
      </c>
      <c r="CY30" s="62" t="str">
        <f t="shared" si="44"/>
        <v/>
      </c>
      <c r="CZ30" s="61">
        <v>0.0</v>
      </c>
      <c r="DA30" s="62" t="str">
        <f t="shared" si="45"/>
        <v/>
      </c>
      <c r="DB30" s="61">
        <v>0.0</v>
      </c>
      <c r="DC30" s="62" t="str">
        <f t="shared" si="46"/>
        <v/>
      </c>
      <c r="DD30" s="61">
        <v>0.0</v>
      </c>
      <c r="DE30" s="62" t="str">
        <f t="shared" si="47"/>
        <v/>
      </c>
      <c r="DF30" s="61">
        <v>0.0</v>
      </c>
      <c r="DG30" s="64">
        <f t="shared" si="128"/>
        <v>0</v>
      </c>
      <c r="DH30" s="68"/>
      <c r="DI30" s="68"/>
      <c r="DJ30" s="68"/>
      <c r="DK30" s="68"/>
      <c r="DL30" s="68"/>
      <c r="DM30" s="68" t="str">
        <f t="shared" si="106"/>
        <v/>
      </c>
      <c r="DN30" s="74"/>
      <c r="DO30" s="68" t="str">
        <f t="shared" si="49"/>
        <v/>
      </c>
      <c r="DP30" s="78"/>
      <c r="DQ30" s="77"/>
      <c r="DR30" s="61">
        <v>0.0</v>
      </c>
      <c r="DS30" s="62" t="str">
        <f t="shared" si="50"/>
        <v/>
      </c>
      <c r="DT30" s="61">
        <v>0.0</v>
      </c>
      <c r="DU30" s="62" t="str">
        <f t="shared" si="51"/>
        <v/>
      </c>
      <c r="DV30" s="61">
        <v>0.0</v>
      </c>
      <c r="DW30" s="62" t="str">
        <f t="shared" si="52"/>
        <v/>
      </c>
      <c r="DX30" s="61">
        <v>0.0</v>
      </c>
      <c r="DY30" s="62" t="str">
        <f t="shared" si="53"/>
        <v/>
      </c>
      <c r="DZ30" s="61">
        <v>0.0</v>
      </c>
      <c r="EA30" s="64">
        <f t="shared" si="129"/>
        <v>0</v>
      </c>
      <c r="EB30" s="68"/>
      <c r="EC30" s="68"/>
      <c r="ED30" s="68"/>
      <c r="EE30" s="68"/>
      <c r="EF30" s="68"/>
      <c r="EG30" s="68" t="str">
        <f t="shared" si="108"/>
        <v/>
      </c>
      <c r="EH30" s="74"/>
      <c r="EI30" s="68" t="str">
        <f t="shared" si="55"/>
        <v/>
      </c>
      <c r="EJ30" s="78"/>
    </row>
    <row r="31" ht="15.75" hidden="1" customHeight="1" outlineLevel="1">
      <c r="A31" s="79">
        <f>A33+1</f>
        <v>45512</v>
      </c>
      <c r="B31" s="61">
        <f t="shared" si="8"/>
        <v>0</v>
      </c>
      <c r="C31" s="62" t="str">
        <f t="shared" si="9"/>
        <v/>
      </c>
      <c r="D31" s="63">
        <f t="shared" si="10"/>
        <v>10</v>
      </c>
      <c r="E31" s="91">
        <f t="shared" si="11"/>
        <v>0.2</v>
      </c>
      <c r="F31" s="63">
        <f t="shared" si="12"/>
        <v>2</v>
      </c>
      <c r="G31" s="92">
        <f t="shared" si="13"/>
        <v>19.6125</v>
      </c>
      <c r="H31" s="81">
        <f t="shared" si="14"/>
        <v>39.225</v>
      </c>
      <c r="I31" s="62">
        <f t="shared" si="15"/>
        <v>5</v>
      </c>
      <c r="J31" s="63">
        <f t="shared" ref="J31:P31" si="134">SUM(AD31,AX31,BR31,CL31,DF31)</f>
        <v>196.125</v>
      </c>
      <c r="K31" s="93">
        <f t="shared" si="134"/>
        <v>0</v>
      </c>
      <c r="L31" s="94">
        <f t="shared" si="134"/>
        <v>0</v>
      </c>
      <c r="M31" s="94">
        <f t="shared" si="134"/>
        <v>0</v>
      </c>
      <c r="N31" s="94">
        <f t="shared" si="134"/>
        <v>0</v>
      </c>
      <c r="O31" s="94">
        <f t="shared" si="134"/>
        <v>0</v>
      </c>
      <c r="P31" s="94">
        <f t="shared" si="134"/>
        <v>0</v>
      </c>
      <c r="Q31" s="95" t="str">
        <f t="shared" si="17"/>
        <v/>
      </c>
      <c r="R31" s="67">
        <f t="shared" si="18"/>
        <v>0</v>
      </c>
      <c r="S31" s="68">
        <f t="shared" si="19"/>
        <v>5</v>
      </c>
      <c r="T31" s="55"/>
      <c r="U31" s="76"/>
      <c r="V31" s="61">
        <v>0.0</v>
      </c>
      <c r="W31" s="62"/>
      <c r="X31" s="63">
        <f>IFERROR(__xludf.DUMMYFUNCTION("IMPORTRANGE(""https://docs.google.com/spreadsheets/d/1F91-dGdrbIN-cGEPuy2AXVlBs2CcNO6jHf43XcJyGK0/edit"",""Mentoria GR| FACEBOOK ADS!n330"")"),10.0)</f>
        <v>10</v>
      </c>
      <c r="Y31" s="62" t="str">
        <f t="shared" ref="Y31:Y39" si="136">IFERROR(Z31/V31,"")</f>
        <v/>
      </c>
      <c r="Z31" s="63">
        <f>IFERROR(__xludf.DUMMYFUNCTION("IMPORTRANGE(""https://docs.google.com/spreadsheets/d/1F91-dGdrbIN-cGEPuy2AXVlBs2CcNO6jHf43XcJyGK0/edit"",""Mentoria GR| FACEBOOK ADS!P330"")"),2.0)</f>
        <v>2</v>
      </c>
      <c r="AA31" s="62">
        <f t="shared" si="22"/>
        <v>19.6125</v>
      </c>
      <c r="AB31" s="81">
        <f>IFERROR(__xludf.DUMMYFUNCTION("IMPORTRANGE(""https://docs.google.com/spreadsheets/d/1F91-dGdrbIN-cGEPuy2AXVlBs2CcNO6jHf43XcJyGK0/edit"",""Mentoria GR| FACEBOOK ADS!O330"")"),39.225)</f>
        <v>39.225</v>
      </c>
      <c r="AC31" s="62">
        <f t="shared" si="23"/>
        <v>5</v>
      </c>
      <c r="AD31" s="81">
        <f>IFERROR(__xludf.DUMMYFUNCTION("IMPORTRANGE(""https://docs.google.com/spreadsheets/d/1F91-dGdrbIN-cGEPuy2AXVlBs2CcNO6jHf43XcJyGK0/edit"",""Mentoria GR| FACEBOOK ADS!Q330"")"),196.125)</f>
        <v>196.125</v>
      </c>
      <c r="AE31" s="64">
        <v>0.0</v>
      </c>
      <c r="AF31" s="68"/>
      <c r="AG31" s="68"/>
      <c r="AH31" s="68"/>
      <c r="AI31" s="68"/>
      <c r="AJ31" s="68"/>
      <c r="AK31" s="68"/>
      <c r="AL31" s="74"/>
      <c r="AM31" s="68">
        <f t="shared" si="25"/>
        <v>5</v>
      </c>
      <c r="AO31" s="77"/>
      <c r="AP31" s="61">
        <v>0.0</v>
      </c>
      <c r="AQ31" s="62" t="str">
        <f t="shared" si="26"/>
        <v/>
      </c>
      <c r="AR31" s="61">
        <v>0.0</v>
      </c>
      <c r="AS31" s="62" t="str">
        <f t="shared" si="27"/>
        <v/>
      </c>
      <c r="AT31" s="61">
        <v>0.0</v>
      </c>
      <c r="AU31" s="62" t="str">
        <f t="shared" si="28"/>
        <v/>
      </c>
      <c r="AV31" s="61">
        <v>0.0</v>
      </c>
      <c r="AW31" s="62" t="str">
        <f t="shared" si="29"/>
        <v/>
      </c>
      <c r="AX31" s="61">
        <v>0.0</v>
      </c>
      <c r="AY31" s="64">
        <v>0.0</v>
      </c>
      <c r="AZ31" s="68"/>
      <c r="BA31" s="68"/>
      <c r="BB31" s="68"/>
      <c r="BC31" s="68"/>
      <c r="BD31" s="68"/>
      <c r="BE31" s="68"/>
      <c r="BF31" s="74"/>
      <c r="BG31" s="68" t="str">
        <f t="shared" si="31"/>
        <v/>
      </c>
      <c r="BI31" s="77"/>
      <c r="BJ31" s="61">
        <v>0.0</v>
      </c>
      <c r="BK31" s="62" t="str">
        <f t="shared" si="32"/>
        <v/>
      </c>
      <c r="BL31" s="61">
        <v>0.0</v>
      </c>
      <c r="BM31" s="62" t="str">
        <f t="shared" si="33"/>
        <v/>
      </c>
      <c r="BN31" s="61">
        <v>0.0</v>
      </c>
      <c r="BO31" s="62" t="str">
        <f t="shared" si="34"/>
        <v/>
      </c>
      <c r="BP31" s="61">
        <v>0.0</v>
      </c>
      <c r="BQ31" s="62" t="str">
        <f t="shared" si="35"/>
        <v/>
      </c>
      <c r="BR31" s="61">
        <v>0.0</v>
      </c>
      <c r="BS31" s="64">
        <f t="shared" si="126"/>
        <v>0</v>
      </c>
      <c r="BT31" s="68"/>
      <c r="BU31" s="68"/>
      <c r="BV31" s="68"/>
      <c r="BW31" s="68"/>
      <c r="BX31" s="68"/>
      <c r="BY31" s="68" t="str">
        <f t="shared" si="102"/>
        <v/>
      </c>
      <c r="BZ31" s="74"/>
      <c r="CA31" s="68" t="str">
        <f t="shared" si="37"/>
        <v/>
      </c>
      <c r="CC31" s="77"/>
      <c r="CD31" s="61">
        <v>0.0</v>
      </c>
      <c r="CE31" s="62" t="str">
        <f t="shared" si="38"/>
        <v/>
      </c>
      <c r="CF31" s="61">
        <v>0.0</v>
      </c>
      <c r="CG31" s="62" t="str">
        <f t="shared" si="39"/>
        <v/>
      </c>
      <c r="CH31" s="61">
        <v>0.0</v>
      </c>
      <c r="CI31" s="62" t="str">
        <f t="shared" si="40"/>
        <v/>
      </c>
      <c r="CJ31" s="61">
        <v>0.0</v>
      </c>
      <c r="CK31" s="62" t="str">
        <f t="shared" si="41"/>
        <v/>
      </c>
      <c r="CL31" s="61">
        <v>0.0</v>
      </c>
      <c r="CM31" s="64">
        <f t="shared" si="127"/>
        <v>0</v>
      </c>
      <c r="CN31" s="68"/>
      <c r="CO31" s="68"/>
      <c r="CP31" s="68"/>
      <c r="CQ31" s="68"/>
      <c r="CR31" s="68"/>
      <c r="CS31" s="68" t="str">
        <f t="shared" si="104"/>
        <v/>
      </c>
      <c r="CT31" s="74"/>
      <c r="CU31" s="68" t="str">
        <f t="shared" si="43"/>
        <v/>
      </c>
      <c r="CV31" s="78"/>
      <c r="CW31" s="77"/>
      <c r="CX31" s="61">
        <v>0.0</v>
      </c>
      <c r="CY31" s="62" t="str">
        <f t="shared" si="44"/>
        <v/>
      </c>
      <c r="CZ31" s="61">
        <v>0.0</v>
      </c>
      <c r="DA31" s="62" t="str">
        <f t="shared" si="45"/>
        <v/>
      </c>
      <c r="DB31" s="61">
        <v>0.0</v>
      </c>
      <c r="DC31" s="62" t="str">
        <f t="shared" si="46"/>
        <v/>
      </c>
      <c r="DD31" s="61">
        <v>0.0</v>
      </c>
      <c r="DE31" s="62" t="str">
        <f t="shared" si="47"/>
        <v/>
      </c>
      <c r="DF31" s="61">
        <v>0.0</v>
      </c>
      <c r="DG31" s="64">
        <f t="shared" si="128"/>
        <v>0</v>
      </c>
      <c r="DH31" s="68"/>
      <c r="DI31" s="68"/>
      <c r="DJ31" s="68"/>
      <c r="DK31" s="68"/>
      <c r="DL31" s="68"/>
      <c r="DM31" s="68" t="str">
        <f t="shared" si="106"/>
        <v/>
      </c>
      <c r="DN31" s="74"/>
      <c r="DO31" s="68" t="str">
        <f t="shared" si="49"/>
        <v/>
      </c>
      <c r="DP31" s="78"/>
      <c r="DQ31" s="77"/>
      <c r="DR31" s="61">
        <v>0.0</v>
      </c>
      <c r="DS31" s="62" t="str">
        <f t="shared" si="50"/>
        <v/>
      </c>
      <c r="DT31" s="61">
        <v>0.0</v>
      </c>
      <c r="DU31" s="62" t="str">
        <f t="shared" si="51"/>
        <v/>
      </c>
      <c r="DV31" s="61">
        <v>0.0</v>
      </c>
      <c r="DW31" s="62" t="str">
        <f t="shared" si="52"/>
        <v/>
      </c>
      <c r="DX31" s="61">
        <v>0.0</v>
      </c>
      <c r="DY31" s="62" t="str">
        <f t="shared" si="53"/>
        <v/>
      </c>
      <c r="DZ31" s="61">
        <v>0.0</v>
      </c>
      <c r="EA31" s="64">
        <f t="shared" si="129"/>
        <v>0</v>
      </c>
      <c r="EB31" s="68"/>
      <c r="EC31" s="68"/>
      <c r="ED31" s="68"/>
      <c r="EE31" s="68"/>
      <c r="EF31" s="68"/>
      <c r="EG31" s="68" t="str">
        <f t="shared" si="108"/>
        <v/>
      </c>
      <c r="EH31" s="74"/>
      <c r="EI31" s="68" t="str">
        <f t="shared" si="55"/>
        <v/>
      </c>
      <c r="EJ31" s="78"/>
    </row>
    <row r="32" ht="15.75" customHeight="1" collapsed="1">
      <c r="A32" s="45" t="s">
        <v>43</v>
      </c>
      <c r="B32" s="46">
        <f t="shared" si="8"/>
        <v>0</v>
      </c>
      <c r="C32" s="47" t="str">
        <f t="shared" si="9"/>
        <v/>
      </c>
      <c r="D32" s="49">
        <f t="shared" si="10"/>
        <v>58</v>
      </c>
      <c r="E32" s="88">
        <f t="shared" si="11"/>
        <v>0.275862069</v>
      </c>
      <c r="F32" s="49">
        <f t="shared" si="12"/>
        <v>16</v>
      </c>
      <c r="G32" s="89">
        <f t="shared" si="13"/>
        <v>3.7884375</v>
      </c>
      <c r="H32" s="96">
        <f>MEDIAN(AB32,AV32,BP32,CJ32,DD32)</f>
        <v>60.615</v>
      </c>
      <c r="I32" s="48">
        <f t="shared" si="15"/>
        <v>6.082267865</v>
      </c>
      <c r="J32" s="49">
        <f t="shared" ref="J32:P32" si="135">SUM(AD32,AX32,BR32,CL32,DF32)</f>
        <v>368.6766667</v>
      </c>
      <c r="K32" s="49">
        <f t="shared" si="135"/>
        <v>0</v>
      </c>
      <c r="L32" s="90">
        <f t="shared" si="135"/>
        <v>0</v>
      </c>
      <c r="M32" s="90">
        <f t="shared" si="135"/>
        <v>0</v>
      </c>
      <c r="N32" s="90">
        <f t="shared" si="135"/>
        <v>0</v>
      </c>
      <c r="O32" s="90">
        <f t="shared" si="135"/>
        <v>0</v>
      </c>
      <c r="P32" s="90">
        <f t="shared" si="135"/>
        <v>0</v>
      </c>
      <c r="Q32" s="90" t="str">
        <f t="shared" si="17"/>
        <v/>
      </c>
      <c r="R32" s="53">
        <f t="shared" si="18"/>
        <v>0</v>
      </c>
      <c r="S32" s="54">
        <f t="shared" si="19"/>
        <v>6.082267865</v>
      </c>
      <c r="T32" s="55"/>
      <c r="U32" s="56"/>
      <c r="V32" s="46">
        <v>0.0</v>
      </c>
      <c r="W32" s="47"/>
      <c r="X32" s="49">
        <f>SUM(X33:X39)</f>
        <v>47</v>
      </c>
      <c r="Y32" s="47" t="str">
        <f t="shared" si="136"/>
        <v/>
      </c>
      <c r="Z32" s="49">
        <f>SUM(Z33:Z39)</f>
        <v>12</v>
      </c>
      <c r="AA32" s="47">
        <f t="shared" si="22"/>
        <v>4.834024823</v>
      </c>
      <c r="AB32" s="96">
        <f>IFERROR(__xludf.DUMMYFUNCTION("IMPORTRANGE(""https://docs.google.com/spreadsheets/d/1F91-dGdrbIN-cGEPuy2AXVlBs2CcNO6jHf43XcJyGK0/edit"",""Mentoria GR| FACEBOOK ADS!o321"")"),58.00829787234042)</f>
        <v>58.00829787</v>
      </c>
      <c r="AC32" s="48">
        <f t="shared" si="23"/>
        <v>3.916666667</v>
      </c>
      <c r="AD32" s="96">
        <f>IFERROR(__xludf.DUMMYFUNCTION("IMPORTRANGE(""https://docs.google.com/spreadsheets/d/1F91-dGdrbIN-cGEPuy2AXVlBs2CcNO6jHf43XcJyGK0/edit"",""Mentoria GR| FACEBOOK ADS!q321"")"),227.19916666666666)</f>
        <v>227.1991667</v>
      </c>
      <c r="AE32" s="50">
        <v>0.0</v>
      </c>
      <c r="AF32" s="51">
        <f t="shared" ref="AF32:AI32" si="137">SUM(AF33:AF39)</f>
        <v>0</v>
      </c>
      <c r="AG32" s="51">
        <f t="shared" si="137"/>
        <v>0</v>
      </c>
      <c r="AH32" s="51">
        <f t="shared" si="137"/>
        <v>0</v>
      </c>
      <c r="AI32" s="51">
        <f t="shared" si="137"/>
        <v>0</v>
      </c>
      <c r="AJ32" s="51" t="str">
        <f>IFERROR(AK32/AE32,"")</f>
        <v/>
      </c>
      <c r="AK32" s="52">
        <f t="shared" ref="AK32:AL32" si="138">SUM(AK33:AK39)</f>
        <v>0</v>
      </c>
      <c r="AL32" s="51">
        <f t="shared" si="138"/>
        <v>0</v>
      </c>
      <c r="AM32" s="54">
        <f t="shared" si="25"/>
        <v>3.916666667</v>
      </c>
      <c r="AN32" s="57"/>
      <c r="AO32" s="58"/>
      <c r="AP32" s="46">
        <f>SUM(AP33:AP39)</f>
        <v>0</v>
      </c>
      <c r="AQ32" s="47"/>
      <c r="AR32" s="49">
        <f>SUM(AR33:AR39)</f>
        <v>5</v>
      </c>
      <c r="AS32" s="47" t="str">
        <f>IFERROR(AT32/AQ32,"")</f>
        <v/>
      </c>
      <c r="AT32" s="46">
        <f>SUM(AT33:AT39)</f>
        <v>0</v>
      </c>
      <c r="AU32" s="47" t="str">
        <f t="shared" si="28"/>
        <v/>
      </c>
      <c r="AV32" s="96">
        <f>IFERROR(__xludf.DUMMYFUNCTION("IMPORTRANGE(""https://docs.google.com/spreadsheets/d/1F91-dGdrbIN-cGEPuy2AXVlBs2CcNO6jHf43XcJyGK0/edit"",""ISCA TRILHA| FACEBOOK ADS!n131"")"),442.56999999999994)</f>
        <v>442.57</v>
      </c>
      <c r="AW32" s="48">
        <f t="shared" si="29"/>
        <v>0</v>
      </c>
      <c r="AX32" s="49">
        <v>0.0</v>
      </c>
      <c r="AY32" s="50">
        <f t="shared" ref="AY32:BC32" si="139">SUM(AY33:AY39)</f>
        <v>0</v>
      </c>
      <c r="AZ32" s="51">
        <f t="shared" si="139"/>
        <v>0</v>
      </c>
      <c r="BA32" s="51">
        <f t="shared" si="139"/>
        <v>0</v>
      </c>
      <c r="BB32" s="51">
        <f t="shared" si="139"/>
        <v>0</v>
      </c>
      <c r="BC32" s="51">
        <f t="shared" si="139"/>
        <v>0</v>
      </c>
      <c r="BD32" s="51" t="str">
        <f>IFERROR(BE32/AX32,"")</f>
        <v/>
      </c>
      <c r="BE32" s="52">
        <f>SUM(BE33:BE39)</f>
        <v>0</v>
      </c>
      <c r="BF32" s="53"/>
      <c r="BG32" s="54">
        <f t="shared" si="31"/>
        <v>0</v>
      </c>
      <c r="BH32" s="57"/>
      <c r="BI32" s="58"/>
      <c r="BJ32" s="46">
        <v>0.0</v>
      </c>
      <c r="BK32" s="47" t="str">
        <f t="shared" si="32"/>
        <v/>
      </c>
      <c r="BL32" s="49">
        <f>SUM(BL33:BL39)</f>
        <v>4</v>
      </c>
      <c r="BM32" s="47">
        <f t="shared" si="33"/>
        <v>1</v>
      </c>
      <c r="BN32" s="46">
        <f>SUM(BN33:BN39)</f>
        <v>4</v>
      </c>
      <c r="BO32" s="47">
        <f t="shared" si="34"/>
        <v>35.369375</v>
      </c>
      <c r="BP32" s="96">
        <f>IFERROR(__xludf.DUMMYFUNCTION("IMPORTRANGE(""https://docs.google.com/spreadsheets/d/1F91-dGdrbIN-cGEPuy2AXVlBs2CcNO6jHf43XcJyGK0/edit"",""IMERSÃO ESCALA SEM FORMULA| FACEBOOK ADS!o179"")"),141.4775)</f>
        <v>141.4775</v>
      </c>
      <c r="BQ32" s="48">
        <f t="shared" si="35"/>
        <v>1</v>
      </c>
      <c r="BR32" s="96">
        <f>IFERROR(__xludf.DUMMYFUNCTION("IMPORTRANGE(""https://docs.google.com/spreadsheets/d/1F91-dGdrbIN-cGEPuy2AXVlBs2CcNO6jHf43XcJyGK0/edit"",""IMERSÃO ESCALA SEM FORMULA| FACEBOOK ADS!q179"")"),141.4775)</f>
        <v>141.4775</v>
      </c>
      <c r="BS32" s="50">
        <f t="shared" ref="BS32:BX32" si="140">SUM(BS33:BS39)</f>
        <v>0</v>
      </c>
      <c r="BT32" s="51">
        <f t="shared" si="140"/>
        <v>0</v>
      </c>
      <c r="BU32" s="51">
        <f t="shared" si="140"/>
        <v>0</v>
      </c>
      <c r="BV32" s="51">
        <f t="shared" si="140"/>
        <v>0</v>
      </c>
      <c r="BW32" s="51">
        <f t="shared" si="140"/>
        <v>0</v>
      </c>
      <c r="BX32" s="51">
        <f t="shared" si="140"/>
        <v>0</v>
      </c>
      <c r="BY32" s="52" t="str">
        <f t="shared" si="102"/>
        <v/>
      </c>
      <c r="BZ32" s="53">
        <f>SUM(BZ33:BZ39)</f>
        <v>0</v>
      </c>
      <c r="CA32" s="54">
        <f t="shared" si="37"/>
        <v>1</v>
      </c>
      <c r="CB32" s="57"/>
      <c r="CC32" s="58"/>
      <c r="CD32" s="46">
        <v>0.0</v>
      </c>
      <c r="CE32" s="47" t="str">
        <f t="shared" si="38"/>
        <v/>
      </c>
      <c r="CF32" s="46">
        <f>SUM(CF33:CF39)</f>
        <v>2</v>
      </c>
      <c r="CG32" s="47">
        <f t="shared" si="39"/>
        <v>0</v>
      </c>
      <c r="CH32" s="46">
        <v>0.0</v>
      </c>
      <c r="CI32" s="47" t="str">
        <f t="shared" si="40"/>
        <v/>
      </c>
      <c r="CJ32" s="96">
        <f>IFERROR(__xludf.DUMMYFUNCTION("IMPORTRANGE(""https://docs.google.com/spreadsheets/d/1F91-dGdrbIN-cGEPuy2AXVlBs2CcNO6jHf43XcJyGK0/edit"",""ESF DAY| FACEBOOK ADS!n310"")"),60.615)</f>
        <v>60.615</v>
      </c>
      <c r="CK32" s="48">
        <f t="shared" si="41"/>
        <v>0</v>
      </c>
      <c r="CL32" s="46">
        <v>0.0</v>
      </c>
      <c r="CM32" s="50">
        <f t="shared" ref="CM32:CR32" si="141">SUM(CM33:CM39)</f>
        <v>0</v>
      </c>
      <c r="CN32" s="51">
        <f t="shared" si="141"/>
        <v>0</v>
      </c>
      <c r="CO32" s="51">
        <f t="shared" si="141"/>
        <v>0</v>
      </c>
      <c r="CP32" s="51">
        <f t="shared" si="141"/>
        <v>0</v>
      </c>
      <c r="CQ32" s="51">
        <f t="shared" si="141"/>
        <v>0</v>
      </c>
      <c r="CR32" s="51">
        <f t="shared" si="141"/>
        <v>0</v>
      </c>
      <c r="CS32" s="52" t="str">
        <f t="shared" si="104"/>
        <v/>
      </c>
      <c r="CT32" s="53">
        <f>SUM(CT33:CT39)</f>
        <v>0</v>
      </c>
      <c r="CU32" s="54">
        <f t="shared" si="43"/>
        <v>0</v>
      </c>
      <c r="CV32" s="59"/>
      <c r="CW32" s="58"/>
      <c r="CX32" s="46">
        <v>0.0</v>
      </c>
      <c r="CY32" s="47" t="str">
        <f t="shared" si="44"/>
        <v/>
      </c>
      <c r="CZ32" s="46">
        <v>0.0</v>
      </c>
      <c r="DA32" s="47" t="str">
        <f t="shared" si="45"/>
        <v/>
      </c>
      <c r="DB32" s="46">
        <v>0.0</v>
      </c>
      <c r="DC32" s="47" t="str">
        <f t="shared" si="46"/>
        <v/>
      </c>
      <c r="DD32" s="46">
        <v>0.0</v>
      </c>
      <c r="DE32" s="48" t="str">
        <f t="shared" si="47"/>
        <v/>
      </c>
      <c r="DF32" s="46">
        <v>0.0</v>
      </c>
      <c r="DG32" s="50">
        <f t="shared" ref="DG32:DL32" si="142">SUM(DG33:DG39)</f>
        <v>0</v>
      </c>
      <c r="DH32" s="51">
        <f t="shared" si="142"/>
        <v>0</v>
      </c>
      <c r="DI32" s="51">
        <f t="shared" si="142"/>
        <v>0</v>
      </c>
      <c r="DJ32" s="51">
        <f t="shared" si="142"/>
        <v>0</v>
      </c>
      <c r="DK32" s="51">
        <f t="shared" si="142"/>
        <v>0</v>
      </c>
      <c r="DL32" s="51">
        <f t="shared" si="142"/>
        <v>0</v>
      </c>
      <c r="DM32" s="52" t="str">
        <f t="shared" si="106"/>
        <v/>
      </c>
      <c r="DN32" s="53">
        <f>SUM(DN33:DN39)</f>
        <v>0</v>
      </c>
      <c r="DO32" s="54" t="str">
        <f t="shared" si="49"/>
        <v/>
      </c>
      <c r="DP32" s="59"/>
      <c r="DQ32" s="58"/>
      <c r="DR32" s="46">
        <v>0.0</v>
      </c>
      <c r="DS32" s="47" t="str">
        <f t="shared" si="50"/>
        <v/>
      </c>
      <c r="DT32" s="46">
        <v>0.0</v>
      </c>
      <c r="DU32" s="47" t="str">
        <f t="shared" si="51"/>
        <v/>
      </c>
      <c r="DV32" s="46">
        <v>0.0</v>
      </c>
      <c r="DW32" s="47" t="str">
        <f t="shared" si="52"/>
        <v/>
      </c>
      <c r="DX32" s="46">
        <v>0.0</v>
      </c>
      <c r="DY32" s="48" t="str">
        <f t="shared" si="53"/>
        <v/>
      </c>
      <c r="DZ32" s="46">
        <v>0.0</v>
      </c>
      <c r="EA32" s="50">
        <f t="shared" ref="EA32:EF32" si="143">SUM(EA33:EA39)</f>
        <v>0</v>
      </c>
      <c r="EB32" s="51">
        <f t="shared" si="143"/>
        <v>0</v>
      </c>
      <c r="EC32" s="51">
        <f t="shared" si="143"/>
        <v>0</v>
      </c>
      <c r="ED32" s="51">
        <f t="shared" si="143"/>
        <v>0</v>
      </c>
      <c r="EE32" s="51">
        <f t="shared" si="143"/>
        <v>0</v>
      </c>
      <c r="EF32" s="51">
        <f t="shared" si="143"/>
        <v>0</v>
      </c>
      <c r="EG32" s="52" t="str">
        <f t="shared" si="108"/>
        <v/>
      </c>
      <c r="EH32" s="53">
        <f>SUM(EH33:EH39)</f>
        <v>0</v>
      </c>
      <c r="EI32" s="54" t="str">
        <f t="shared" si="55"/>
        <v/>
      </c>
      <c r="EJ32" s="59"/>
    </row>
    <row r="33" ht="15.75" hidden="1" customHeight="1" outlineLevel="1">
      <c r="A33" s="79">
        <f t="shared" ref="A33:A38" si="145">A34+1</f>
        <v>45511</v>
      </c>
      <c r="B33" s="61">
        <f t="shared" si="8"/>
        <v>0</v>
      </c>
      <c r="C33" s="62" t="str">
        <f t="shared" si="9"/>
        <v/>
      </c>
      <c r="D33" s="63">
        <f t="shared" si="10"/>
        <v>14</v>
      </c>
      <c r="E33" s="97">
        <f t="shared" si="11"/>
        <v>0.2142857143</v>
      </c>
      <c r="F33" s="98">
        <f t="shared" si="12"/>
        <v>3</v>
      </c>
      <c r="G33" s="99">
        <f t="shared" si="13"/>
        <v>53.6075</v>
      </c>
      <c r="H33" s="100">
        <f t="shared" ref="H33:H39" si="146">SUM(AB33,AV33,BP33,CJ33,DD33)</f>
        <v>160.8225</v>
      </c>
      <c r="I33" s="101">
        <f t="shared" si="15"/>
        <v>1.16774705</v>
      </c>
      <c r="J33" s="98">
        <f t="shared" ref="J33:P33" si="144">SUM(AD33,AX33,BR33,CL33,DF33)</f>
        <v>187.8</v>
      </c>
      <c r="K33" s="93">
        <f t="shared" si="144"/>
        <v>0</v>
      </c>
      <c r="L33" s="94">
        <f t="shared" si="144"/>
        <v>0</v>
      </c>
      <c r="M33" s="94">
        <f t="shared" si="144"/>
        <v>0</v>
      </c>
      <c r="N33" s="94">
        <f t="shared" si="144"/>
        <v>0</v>
      </c>
      <c r="O33" s="94">
        <f t="shared" si="144"/>
        <v>0</v>
      </c>
      <c r="P33" s="94">
        <f t="shared" si="144"/>
        <v>0</v>
      </c>
      <c r="Q33" s="95" t="str">
        <f t="shared" si="17"/>
        <v/>
      </c>
      <c r="R33" s="67">
        <f t="shared" si="18"/>
        <v>0</v>
      </c>
      <c r="S33" s="68">
        <f t="shared" si="19"/>
        <v>1.16774705</v>
      </c>
      <c r="T33" s="13"/>
      <c r="U33" s="76"/>
      <c r="V33" s="61"/>
      <c r="W33" s="62"/>
      <c r="X33" s="63">
        <f>IFERROR(__xludf.DUMMYFUNCTION("IMPORTRANGE(""https://docs.google.com/spreadsheets/d/1F91-dGdrbIN-cGEPuy2AXVlBs2CcNO6jHf43XcJyGK0/edit"",""Mentoria GR| FACEBOOK ADS!n328"")"),10.0)</f>
        <v>10</v>
      </c>
      <c r="Y33" s="62" t="str">
        <f t="shared" si="136"/>
        <v/>
      </c>
      <c r="Z33" s="63">
        <f>IFERROR(__xludf.DUMMYFUNCTION("IMPORTRANGE(""https://docs.google.com/spreadsheets/d/1F91-dGdrbIN-cGEPuy2AXVlBs2CcNO6jHf43XcJyGK0/edit"",""Mentoria GR| FACEBOOK ADS!p328"")"),3.0)</f>
        <v>3</v>
      </c>
      <c r="AA33" s="62">
        <f t="shared" si="22"/>
        <v>18.78</v>
      </c>
      <c r="AB33" s="81">
        <f>IFERROR(__xludf.DUMMYFUNCTION("IMPORTRANGE(""https://docs.google.com/spreadsheets/d/1F91-dGdrbIN-cGEPuy2AXVlBs2CcNO6jHf43XcJyGK0/edit"",""Mentoria GR| FACEBOOK ADS!o328"")"),56.339999999999996)</f>
        <v>56.34</v>
      </c>
      <c r="AC33" s="62">
        <f t="shared" si="23"/>
        <v>3.333333333</v>
      </c>
      <c r="AD33" s="81">
        <f>IFERROR(__xludf.DUMMYFUNCTION("IMPORTRANGE(""https://docs.google.com/spreadsheets/d/1F91-dGdrbIN-cGEPuy2AXVlBs2CcNO6jHf43XcJyGK0/edit"",""Mentoria GR| FACEBOOK ADS!q328"")"),187.79999999999998)</f>
        <v>187.8</v>
      </c>
      <c r="AE33" s="74">
        <f t="shared" ref="AE33:AE34" si="148">SUM(AF33:AJ33)</f>
        <v>0</v>
      </c>
      <c r="AF33" s="68"/>
      <c r="AG33" s="68"/>
      <c r="AH33" s="68"/>
      <c r="AI33" s="68"/>
      <c r="AJ33" s="68"/>
      <c r="AK33" s="68"/>
      <c r="AL33" s="74"/>
      <c r="AM33" s="68">
        <f t="shared" si="25"/>
        <v>3.333333333</v>
      </c>
      <c r="AO33" s="77"/>
      <c r="AP33" s="61">
        <v>0.0</v>
      </c>
      <c r="AQ33" s="62" t="str">
        <f t="shared" ref="AQ33:AQ39" si="149">IFERROR(AR33/AP33,"")</f>
        <v/>
      </c>
      <c r="AR33" s="63">
        <f>IFERROR(__xludf.DUMMYFUNCTION("IMPORTRANGE(""https://docs.google.com/spreadsheets/d/1F91-dGdrbIN-cGEPuy2AXVlBs2CcNO6jHf43XcJyGK0/edit"",""ISCA TRILHA| FACEBOOK ADS!m138"")"),4.0)</f>
        <v>4</v>
      </c>
      <c r="AS33" s="62">
        <f t="shared" ref="AS33:AS39" si="150">IFERROR(AT33/AR33,"")</f>
        <v>0</v>
      </c>
      <c r="AT33" s="61">
        <v>0.0</v>
      </c>
      <c r="AU33" s="62" t="str">
        <f t="shared" si="28"/>
        <v/>
      </c>
      <c r="AV33" s="81">
        <f>IFERROR(__xludf.DUMMYFUNCTION("IMPORTRANGE(""https://docs.google.com/spreadsheets/d/1F91-dGdrbIN-cGEPuy2AXVlBs2CcNO6jHf43XcJyGK0/edit"",""ISCA TRILHA| FACEBOOK ADS!n138"")"),104.4825)</f>
        <v>104.4825</v>
      </c>
      <c r="AW33" s="62">
        <f t="shared" si="29"/>
        <v>0</v>
      </c>
      <c r="AX33" s="63">
        <f>IFERROR(__xludf.DUMMYFUNCTION("IMPORTRANGE(""https://docs.google.com/spreadsheets/d/1F91-dGdrbIN-cGEPuy2AXVlBs2CcNO6jHf43XcJyGK0/edit"",""ISCA TRILHA| FACEBOOK ADS!p138"")"),0.0)</f>
        <v>0</v>
      </c>
      <c r="AY33" s="74"/>
      <c r="AZ33" s="68"/>
      <c r="BA33" s="68"/>
      <c r="BB33" s="68"/>
      <c r="BC33" s="68"/>
      <c r="BD33" s="68"/>
      <c r="BE33" s="68"/>
      <c r="BF33" s="74"/>
      <c r="BG33" s="68">
        <f t="shared" si="31"/>
        <v>0</v>
      </c>
      <c r="BH33" s="13"/>
      <c r="BI33" s="77"/>
      <c r="BJ33" s="61" t="s">
        <v>40</v>
      </c>
      <c r="BK33" s="62" t="str">
        <f t="shared" si="32"/>
        <v/>
      </c>
      <c r="BL33" s="63">
        <f>IFERROR(__xludf.DUMMYFUNCTION("IMPORTRANGE(""https://docs.google.com/spreadsheets/d/1F91-dGdrbIN-cGEPuy2AXVlBs2CcNO6jHf43XcJyGK0/edit"",""IMERSÃO ESCALA SEM FORMULA| FACEBOOK ADS!n186"")"),0.0)</f>
        <v>0</v>
      </c>
      <c r="BM33" s="62" t="str">
        <f t="shared" si="33"/>
        <v/>
      </c>
      <c r="BN33" s="61">
        <f>IFERROR(__xludf.DUMMYFUNCTION("IMPORTRANGE(""https://docs.google.com/spreadsheets/d/1F91-dGdrbIN-cGEPuy2AXVlBs2CcNO6jHf43XcJyGK0/edit"",""IMERSÃO ESCALA SEM FORMULA| FACEBOOK ADS!p186"")"),0.0)</f>
        <v>0</v>
      </c>
      <c r="BO33" s="62" t="str">
        <f t="shared" si="34"/>
        <v/>
      </c>
      <c r="BP33" s="81" t="str">
        <f>IFERROR(__xludf.DUMMYFUNCTION("IMPORTRANGE(""https://docs.google.com/spreadsheets/d/1F91-dGdrbIN-cGEPuy2AXVlBs2CcNO6jHf43XcJyGK0/edit"",""IMERSÃO ESCALA SEM FORMULA| FACEBOOK ADS!o186"")"),"")</f>
        <v/>
      </c>
      <c r="BQ33" s="62" t="str">
        <f t="shared" si="35"/>
        <v/>
      </c>
      <c r="BR33" s="63" t="str">
        <f>IFERROR(__xludf.DUMMYFUNCTION("IMPORTRANGE(""https://docs.google.com/spreadsheets/d/1F91-dGdrbIN-cGEPuy2AXVlBs2CcNO6jHf43XcJyGK0/edit"",""IMERSÃO ESCALA SEM FORMULA| FACEBOOK ADS!q186"")"),"")</f>
        <v/>
      </c>
      <c r="BS33" s="74">
        <v>0.0</v>
      </c>
      <c r="BT33" s="68"/>
      <c r="BU33" s="68"/>
      <c r="BV33" s="68"/>
      <c r="BW33" s="68"/>
      <c r="BX33" s="68"/>
      <c r="BY33" s="68" t="str">
        <f t="shared" si="102"/>
        <v/>
      </c>
      <c r="BZ33" s="74"/>
      <c r="CA33" s="68" t="str">
        <f t="shared" si="37"/>
        <v/>
      </c>
      <c r="CB33" s="13"/>
      <c r="CC33" s="80"/>
      <c r="CD33" s="61" t="s">
        <v>40</v>
      </c>
      <c r="CE33" s="62" t="str">
        <f t="shared" si="38"/>
        <v/>
      </c>
      <c r="CF33" s="61" t="str">
        <f>IFERROR(__xludf.DUMMYFUNCTION("IMPORTRANGE(""https://docs.google.com/spreadsheets/d/1F91-dGdrbIN-cGEPuy2AXVlBs2CcNO6jHf43XcJyGK0/edit"",""ESF DAY| FACEBOOK ADS!m317"")"),"")</f>
        <v/>
      </c>
      <c r="CG33" s="62" t="str">
        <f t="shared" si="39"/>
        <v/>
      </c>
      <c r="CH33" s="61" t="s">
        <v>40</v>
      </c>
      <c r="CI33" s="62" t="str">
        <f t="shared" si="40"/>
        <v/>
      </c>
      <c r="CJ33" s="81">
        <f>IFERROR(__xludf.DUMMYFUNCTION("IMPORTRANGE(""https://docs.google.com/spreadsheets/d/1F91-dGdrbIN-cGEPuy2AXVlBs2CcNO6jHf43XcJyGK0/edit"",""ESF DAY| FACEBOOK ADS!n317"")"),0.0)</f>
        <v>0</v>
      </c>
      <c r="CK33" s="62" t="str">
        <f t="shared" si="41"/>
        <v/>
      </c>
      <c r="CL33" s="63" t="s">
        <v>40</v>
      </c>
      <c r="CM33" s="74">
        <v>0.0</v>
      </c>
      <c r="CN33" s="68"/>
      <c r="CO33" s="68"/>
      <c r="CP33" s="68"/>
      <c r="CQ33" s="68"/>
      <c r="CR33" s="68"/>
      <c r="CS33" s="68" t="str">
        <f t="shared" si="104"/>
        <v/>
      </c>
      <c r="CT33" s="74"/>
      <c r="CU33" s="68" t="str">
        <f t="shared" si="43"/>
        <v/>
      </c>
      <c r="CV33" s="78"/>
      <c r="CW33" s="76"/>
      <c r="CX33" s="61" t="s">
        <v>40</v>
      </c>
      <c r="CY33" s="62" t="str">
        <f t="shared" si="44"/>
        <v/>
      </c>
      <c r="CZ33" s="61" t="s">
        <v>40</v>
      </c>
      <c r="DA33" s="62" t="str">
        <f t="shared" si="45"/>
        <v/>
      </c>
      <c r="DB33" s="61" t="s">
        <v>40</v>
      </c>
      <c r="DC33" s="62" t="str">
        <f t="shared" si="46"/>
        <v/>
      </c>
      <c r="DD33" s="61" t="s">
        <v>40</v>
      </c>
      <c r="DE33" s="62" t="str">
        <f t="shared" si="47"/>
        <v/>
      </c>
      <c r="DF33" s="63" t="s">
        <v>40</v>
      </c>
      <c r="DG33" s="74">
        <v>0.0</v>
      </c>
      <c r="DH33" s="68"/>
      <c r="DI33" s="68"/>
      <c r="DJ33" s="68"/>
      <c r="DK33" s="68"/>
      <c r="DL33" s="68"/>
      <c r="DM33" s="68" t="str">
        <f t="shared" si="106"/>
        <v/>
      </c>
      <c r="DN33" s="74"/>
      <c r="DO33" s="68" t="str">
        <f t="shared" si="49"/>
        <v/>
      </c>
      <c r="DP33" s="78"/>
      <c r="DQ33" s="76"/>
      <c r="DR33" s="61" t="s">
        <v>40</v>
      </c>
      <c r="DS33" s="62" t="str">
        <f t="shared" si="50"/>
        <v/>
      </c>
      <c r="DT33" s="61" t="s">
        <v>40</v>
      </c>
      <c r="DU33" s="62" t="str">
        <f t="shared" si="51"/>
        <v/>
      </c>
      <c r="DV33" s="61" t="s">
        <v>40</v>
      </c>
      <c r="DW33" s="62" t="str">
        <f t="shared" si="52"/>
        <v/>
      </c>
      <c r="DX33" s="61" t="s">
        <v>40</v>
      </c>
      <c r="DY33" s="62" t="str">
        <f t="shared" si="53"/>
        <v/>
      </c>
      <c r="DZ33" s="63" t="s">
        <v>40</v>
      </c>
      <c r="EA33" s="74">
        <v>0.0</v>
      </c>
      <c r="EB33" s="68"/>
      <c r="EC33" s="68"/>
      <c r="ED33" s="68"/>
      <c r="EE33" s="68"/>
      <c r="EF33" s="68"/>
      <c r="EG33" s="68" t="str">
        <f t="shared" si="108"/>
        <v/>
      </c>
      <c r="EH33" s="74"/>
      <c r="EI33" s="68" t="str">
        <f t="shared" si="55"/>
        <v/>
      </c>
      <c r="EJ33" s="78"/>
    </row>
    <row r="34" ht="15.75" hidden="1" customHeight="1" outlineLevel="1">
      <c r="A34" s="79">
        <f t="shared" si="145"/>
        <v>45510</v>
      </c>
      <c r="B34" s="61">
        <f t="shared" si="8"/>
        <v>0</v>
      </c>
      <c r="C34" s="62" t="str">
        <f t="shared" si="9"/>
        <v/>
      </c>
      <c r="D34" s="63">
        <f t="shared" si="10"/>
        <v>4</v>
      </c>
      <c r="E34" s="97">
        <f t="shared" si="11"/>
        <v>0.75</v>
      </c>
      <c r="F34" s="98">
        <f t="shared" si="12"/>
        <v>3</v>
      </c>
      <c r="G34" s="99">
        <f t="shared" si="13"/>
        <v>91.70666667</v>
      </c>
      <c r="H34" s="100">
        <f t="shared" si="146"/>
        <v>275.12</v>
      </c>
      <c r="I34" s="101">
        <f t="shared" si="15"/>
        <v>1.696841378</v>
      </c>
      <c r="J34" s="98">
        <f t="shared" ref="J34:P34" si="147">SUM(AD34,AX34,BR34,CL34,DF34)</f>
        <v>466.835</v>
      </c>
      <c r="K34" s="93">
        <f t="shared" si="147"/>
        <v>0</v>
      </c>
      <c r="L34" s="94">
        <f t="shared" si="147"/>
        <v>0</v>
      </c>
      <c r="M34" s="94">
        <f t="shared" si="147"/>
        <v>0</v>
      </c>
      <c r="N34" s="94">
        <f t="shared" si="147"/>
        <v>0</v>
      </c>
      <c r="O34" s="94">
        <f t="shared" si="147"/>
        <v>0</v>
      </c>
      <c r="P34" s="94">
        <f t="shared" si="147"/>
        <v>0</v>
      </c>
      <c r="Q34" s="95" t="str">
        <f t="shared" si="17"/>
        <v/>
      </c>
      <c r="R34" s="67">
        <f t="shared" si="18"/>
        <v>0</v>
      </c>
      <c r="S34" s="68">
        <f t="shared" si="19"/>
        <v>1.696841378</v>
      </c>
      <c r="T34" s="13"/>
      <c r="U34" s="76"/>
      <c r="V34" s="61">
        <v>0.0</v>
      </c>
      <c r="W34" s="62"/>
      <c r="X34" s="63">
        <f>IFERROR(__xludf.DUMMYFUNCTION("IMPORTRANGE(""https://docs.google.com/spreadsheets/d/1F91-dGdrbIN-cGEPuy2AXVlBs2CcNO6jHf43XcJyGK0/edit"",""Mentoria GR| FACEBOOK ADS!n327"")"),2.0)</f>
        <v>2</v>
      </c>
      <c r="Y34" s="62" t="str">
        <f t="shared" si="136"/>
        <v/>
      </c>
      <c r="Z34" s="63">
        <f>IFERROR(__xludf.DUMMYFUNCTION("IMPORTRANGE(""https://docs.google.com/spreadsheets/d/1F91-dGdrbIN-cGEPuy2AXVlBs2CcNO6jHf43XcJyGK0/edit"",""Mentoria GR| FACEBOOK ADS!p327"")"),1.0)</f>
        <v>1</v>
      </c>
      <c r="AA34" s="62">
        <f t="shared" si="22"/>
        <v>191.715</v>
      </c>
      <c r="AB34" s="81">
        <f>IFERROR(__xludf.DUMMYFUNCTION("IMPORTRANGE(""https://docs.google.com/spreadsheets/d/1F91-dGdrbIN-cGEPuy2AXVlBs2CcNO6jHf43XcJyGK0/edit"",""Mentoria GR| FACEBOOK ADS!o327"")"),191.715)</f>
        <v>191.715</v>
      </c>
      <c r="AC34" s="62">
        <f t="shared" si="23"/>
        <v>2</v>
      </c>
      <c r="AD34" s="81">
        <f>IFERROR(__xludf.DUMMYFUNCTION("IMPORTRANGE(""https://docs.google.com/spreadsheets/d/1F91-dGdrbIN-cGEPuy2AXVlBs2CcNO6jHf43XcJyGK0/edit"",""Mentoria GR| FACEBOOK ADS!q327"")"),383.43)</f>
        <v>383.43</v>
      </c>
      <c r="AE34" s="74">
        <f t="shared" si="148"/>
        <v>0</v>
      </c>
      <c r="AF34" s="68"/>
      <c r="AG34" s="68"/>
      <c r="AH34" s="68"/>
      <c r="AI34" s="68"/>
      <c r="AJ34" s="68"/>
      <c r="AK34" s="68"/>
      <c r="AL34" s="74"/>
      <c r="AM34" s="68">
        <f t="shared" si="25"/>
        <v>2</v>
      </c>
      <c r="AO34" s="77"/>
      <c r="AP34" s="61">
        <v>0.0</v>
      </c>
      <c r="AQ34" s="62" t="str">
        <f t="shared" si="149"/>
        <v/>
      </c>
      <c r="AR34" s="61" t="str">
        <f>IFERROR(__xludf.DUMMYFUNCTION("IMPORTRANGE(""https://docs.google.com/spreadsheets/d/1F91-dGdrbIN-cGEPuy2AXVlBs2CcNO6jHf43XcJyGK0/edit"",""ISCA TRILHA| FACEBOOK ADS!m137"")"),"")</f>
        <v/>
      </c>
      <c r="AS34" s="62" t="str">
        <f t="shared" si="150"/>
        <v/>
      </c>
      <c r="AT34" s="61">
        <v>0.0</v>
      </c>
      <c r="AU34" s="62" t="str">
        <f t="shared" si="28"/>
        <v/>
      </c>
      <c r="AV34" s="81">
        <f>IFERROR(__xludf.DUMMYFUNCTION("IMPORTRANGE(""https://docs.google.com/spreadsheets/d/1F91-dGdrbIN-cGEPuy2AXVlBs2CcNO6jHf43XcJyGK0/edit"",""ISCA TRILHA| FACEBOOK ADS!n137"")"),0.0)</f>
        <v>0</v>
      </c>
      <c r="AW34" s="62" t="str">
        <f t="shared" si="29"/>
        <v/>
      </c>
      <c r="AX34" s="63">
        <f>IFERROR(__xludf.DUMMYFUNCTION("IMPORTRANGE(""https://docs.google.com/spreadsheets/d/1F91-dGdrbIN-cGEPuy2AXVlBs2CcNO6jHf43XcJyGK0/edit"",""ISCA TRILHA| FACEBOOK ADS!p137"")"),0.0)</f>
        <v>0</v>
      </c>
      <c r="AY34" s="74">
        <f t="shared" ref="AY34:AY39" si="152">SUM(AZ34:BD34)</f>
        <v>0</v>
      </c>
      <c r="AZ34" s="68"/>
      <c r="BA34" s="68"/>
      <c r="BB34" s="68"/>
      <c r="BC34" s="68"/>
      <c r="BD34" s="68"/>
      <c r="BE34" s="68"/>
      <c r="BF34" s="74"/>
      <c r="BG34" s="68" t="str">
        <f t="shared" si="31"/>
        <v/>
      </c>
      <c r="BH34" s="13"/>
      <c r="BI34" s="77"/>
      <c r="BJ34" s="61" t="s">
        <v>40</v>
      </c>
      <c r="BK34" s="62" t="str">
        <f t="shared" si="32"/>
        <v/>
      </c>
      <c r="BL34" s="63">
        <f>IFERROR(__xludf.DUMMYFUNCTION("IMPORTRANGE(""https://docs.google.com/spreadsheets/d/1F91-dGdrbIN-cGEPuy2AXVlBs2CcNO6jHf43XcJyGK0/edit"",""IMERSÃO ESCALA SEM FORMULA| FACEBOOK ADS!n185"")"),2.0)</f>
        <v>2</v>
      </c>
      <c r="BM34" s="62">
        <f t="shared" si="33"/>
        <v>1</v>
      </c>
      <c r="BN34" s="61">
        <f>IFERROR(__xludf.DUMMYFUNCTION("IMPORTRANGE(""https://docs.google.com/spreadsheets/d/1F91-dGdrbIN-cGEPuy2AXVlBs2CcNO6jHf43XcJyGK0/edit"",""IMERSÃO ESCALA SEM FORMULA| FACEBOOK ADS!p185"")"),2.0)</f>
        <v>2</v>
      </c>
      <c r="BO34" s="62">
        <f t="shared" si="34"/>
        <v>41.7025</v>
      </c>
      <c r="BP34" s="81">
        <f>IFERROR(__xludf.DUMMYFUNCTION("IMPORTRANGE(""https://docs.google.com/spreadsheets/d/1F91-dGdrbIN-cGEPuy2AXVlBs2CcNO6jHf43XcJyGK0/edit"",""IMERSÃO ESCALA SEM FORMULA| FACEBOOK ADS!o185"")"),83.405)</f>
        <v>83.405</v>
      </c>
      <c r="BQ34" s="62">
        <f t="shared" si="35"/>
        <v>1</v>
      </c>
      <c r="BR34" s="63">
        <f>IFERROR(__xludf.DUMMYFUNCTION("IMPORTRANGE(""https://docs.google.com/spreadsheets/d/1F91-dGdrbIN-cGEPuy2AXVlBs2CcNO6jHf43XcJyGK0/edit"",""IMERSÃO ESCALA SEM FORMULA| FACEBOOK ADS!q185"")"),83.405)</f>
        <v>83.405</v>
      </c>
      <c r="BS34" s="74">
        <v>0.0</v>
      </c>
      <c r="BT34" s="68"/>
      <c r="BU34" s="68"/>
      <c r="BV34" s="68"/>
      <c r="BW34" s="68"/>
      <c r="BX34" s="68"/>
      <c r="BY34" s="68" t="str">
        <f t="shared" si="102"/>
        <v/>
      </c>
      <c r="BZ34" s="74"/>
      <c r="CA34" s="68">
        <f t="shared" si="37"/>
        <v>1</v>
      </c>
      <c r="CB34" s="13"/>
      <c r="CC34" s="80"/>
      <c r="CD34" s="61" t="s">
        <v>40</v>
      </c>
      <c r="CE34" s="62" t="str">
        <f t="shared" si="38"/>
        <v/>
      </c>
      <c r="CF34" s="61" t="str">
        <f>IFERROR(__xludf.DUMMYFUNCTION("IMPORTRANGE(""https://docs.google.com/spreadsheets/d/1F91-dGdrbIN-cGEPuy2AXVlBs2CcNO6jHf43XcJyGK0/edit"",""ESF DAY| FACEBOOK ADS!m316"")"),"")</f>
        <v/>
      </c>
      <c r="CG34" s="62" t="str">
        <f t="shared" si="39"/>
        <v/>
      </c>
      <c r="CH34" s="61" t="s">
        <v>40</v>
      </c>
      <c r="CI34" s="62" t="str">
        <f t="shared" si="40"/>
        <v/>
      </c>
      <c r="CJ34" s="81">
        <f>IFERROR(__xludf.DUMMYFUNCTION("IMPORTRANGE(""https://docs.google.com/spreadsheets/d/1F91-dGdrbIN-cGEPuy2AXVlBs2CcNO6jHf43XcJyGK0/edit"",""ESF DAY| FACEBOOK ADS!n316"")"),0.0)</f>
        <v>0</v>
      </c>
      <c r="CK34" s="62" t="str">
        <f t="shared" si="41"/>
        <v/>
      </c>
      <c r="CL34" s="63" t="s">
        <v>40</v>
      </c>
      <c r="CM34" s="74">
        <v>0.0</v>
      </c>
      <c r="CN34" s="68"/>
      <c r="CO34" s="68"/>
      <c r="CP34" s="68"/>
      <c r="CQ34" s="68"/>
      <c r="CR34" s="68"/>
      <c r="CS34" s="68" t="str">
        <f t="shared" si="104"/>
        <v/>
      </c>
      <c r="CT34" s="74"/>
      <c r="CU34" s="68" t="str">
        <f t="shared" si="43"/>
        <v/>
      </c>
      <c r="CV34" s="78"/>
      <c r="CW34" s="76"/>
      <c r="CX34" s="61" t="s">
        <v>40</v>
      </c>
      <c r="CY34" s="62" t="str">
        <f t="shared" si="44"/>
        <v/>
      </c>
      <c r="CZ34" s="61" t="s">
        <v>40</v>
      </c>
      <c r="DA34" s="62" t="str">
        <f t="shared" si="45"/>
        <v/>
      </c>
      <c r="DB34" s="61" t="s">
        <v>40</v>
      </c>
      <c r="DC34" s="62" t="str">
        <f t="shared" si="46"/>
        <v/>
      </c>
      <c r="DD34" s="61" t="s">
        <v>40</v>
      </c>
      <c r="DE34" s="62" t="str">
        <f t="shared" si="47"/>
        <v/>
      </c>
      <c r="DF34" s="63" t="s">
        <v>40</v>
      </c>
      <c r="DG34" s="74">
        <v>0.0</v>
      </c>
      <c r="DH34" s="68"/>
      <c r="DI34" s="68"/>
      <c r="DJ34" s="68"/>
      <c r="DK34" s="68"/>
      <c r="DL34" s="68"/>
      <c r="DM34" s="68" t="str">
        <f t="shared" si="106"/>
        <v/>
      </c>
      <c r="DN34" s="74"/>
      <c r="DO34" s="68" t="str">
        <f t="shared" si="49"/>
        <v/>
      </c>
      <c r="DP34" s="78"/>
      <c r="DQ34" s="76"/>
      <c r="DR34" s="61" t="s">
        <v>40</v>
      </c>
      <c r="DS34" s="62" t="str">
        <f t="shared" si="50"/>
        <v/>
      </c>
      <c r="DT34" s="61" t="s">
        <v>40</v>
      </c>
      <c r="DU34" s="62" t="str">
        <f t="shared" si="51"/>
        <v/>
      </c>
      <c r="DV34" s="61" t="s">
        <v>40</v>
      </c>
      <c r="DW34" s="62" t="str">
        <f t="shared" si="52"/>
        <v/>
      </c>
      <c r="DX34" s="61" t="s">
        <v>40</v>
      </c>
      <c r="DY34" s="62" t="str">
        <f t="shared" si="53"/>
        <v/>
      </c>
      <c r="DZ34" s="63" t="s">
        <v>40</v>
      </c>
      <c r="EA34" s="74">
        <v>0.0</v>
      </c>
      <c r="EB34" s="68"/>
      <c r="EC34" s="68"/>
      <c r="ED34" s="68"/>
      <c r="EE34" s="68"/>
      <c r="EF34" s="68"/>
      <c r="EG34" s="68" t="str">
        <f t="shared" si="108"/>
        <v/>
      </c>
      <c r="EH34" s="74"/>
      <c r="EI34" s="68" t="str">
        <f t="shared" si="55"/>
        <v/>
      </c>
      <c r="EJ34" s="78"/>
    </row>
    <row r="35" ht="15.75" hidden="1" customHeight="1" outlineLevel="1">
      <c r="A35" s="79">
        <f t="shared" si="145"/>
        <v>45509</v>
      </c>
      <c r="B35" s="61">
        <f t="shared" si="8"/>
        <v>0</v>
      </c>
      <c r="C35" s="62" t="str">
        <f t="shared" si="9"/>
        <v/>
      </c>
      <c r="D35" s="63">
        <f t="shared" si="10"/>
        <v>5</v>
      </c>
      <c r="E35" s="97">
        <f t="shared" si="11"/>
        <v>0.8</v>
      </c>
      <c r="F35" s="98">
        <f t="shared" si="12"/>
        <v>4</v>
      </c>
      <c r="G35" s="99">
        <f t="shared" si="13"/>
        <v>62.65625</v>
      </c>
      <c r="H35" s="100">
        <f t="shared" si="146"/>
        <v>250.625</v>
      </c>
      <c r="I35" s="101">
        <f t="shared" si="15"/>
        <v>1.076322527</v>
      </c>
      <c r="J35" s="98">
        <f t="shared" ref="J35:P35" si="151">SUM(AD35,AX35,BR35,CL35,DF35)</f>
        <v>269.7533333</v>
      </c>
      <c r="K35" s="93">
        <f t="shared" si="151"/>
        <v>0</v>
      </c>
      <c r="L35" s="94">
        <f t="shared" si="151"/>
        <v>0</v>
      </c>
      <c r="M35" s="94">
        <f t="shared" si="151"/>
        <v>0</v>
      </c>
      <c r="N35" s="94">
        <f t="shared" si="151"/>
        <v>0</v>
      </c>
      <c r="O35" s="94">
        <f t="shared" si="151"/>
        <v>0</v>
      </c>
      <c r="P35" s="94">
        <f t="shared" si="151"/>
        <v>0</v>
      </c>
      <c r="Q35" s="95" t="str">
        <f t="shared" si="17"/>
        <v/>
      </c>
      <c r="R35" s="67">
        <f t="shared" si="18"/>
        <v>0</v>
      </c>
      <c r="S35" s="68">
        <f t="shared" si="19"/>
        <v>1.076322527</v>
      </c>
      <c r="T35" s="13"/>
      <c r="U35" s="76"/>
      <c r="V35" s="61">
        <v>0.0</v>
      </c>
      <c r="W35" s="62"/>
      <c r="X35" s="63">
        <f>IFERROR(__xludf.DUMMYFUNCTION("IMPORTRANGE(""https://docs.google.com/spreadsheets/d/1F91-dGdrbIN-cGEPuy2AXVlBs2CcNO6jHf43XcJyGK0/edit"",""Mentoria GR| FACEBOOK ADS!n326"")"),4.0)</f>
        <v>4</v>
      </c>
      <c r="Y35" s="62" t="str">
        <f t="shared" si="136"/>
        <v/>
      </c>
      <c r="Z35" s="63">
        <f>IFERROR(__xludf.DUMMYFUNCTION("IMPORTRANGE(""https://docs.google.com/spreadsheets/d/1F91-dGdrbIN-cGEPuy2AXVlBs2CcNO6jHf43XcJyGK0/edit"",""Mentoria GR| FACEBOOK ADS!p326"")"),3.0)</f>
        <v>3</v>
      </c>
      <c r="AA35" s="62">
        <f t="shared" si="22"/>
        <v>19.12833333</v>
      </c>
      <c r="AB35" s="81">
        <f>IFERROR(__xludf.DUMMYFUNCTION("IMPORTRANGE(""https://docs.google.com/spreadsheets/d/1F91-dGdrbIN-cGEPuy2AXVlBs2CcNO6jHf43XcJyGK0/edit"",""Mentoria GR| FACEBOOK ADS!o326"")"),57.385)</f>
        <v>57.385</v>
      </c>
      <c r="AC35" s="62">
        <f t="shared" si="23"/>
        <v>1.333333333</v>
      </c>
      <c r="AD35" s="81">
        <f>IFERROR(__xludf.DUMMYFUNCTION("IMPORTRANGE(""https://docs.google.com/spreadsheets/d/1F91-dGdrbIN-cGEPuy2AXVlBs2CcNO6jHf43XcJyGK0/edit"",""Mentoria GR| FACEBOOK ADS!q326"")"),76.51333333333334)</f>
        <v>76.51333333</v>
      </c>
      <c r="AE35" s="74">
        <v>0.0</v>
      </c>
      <c r="AF35" s="68"/>
      <c r="AG35" s="68"/>
      <c r="AH35" s="68"/>
      <c r="AI35" s="81"/>
      <c r="AJ35" s="68"/>
      <c r="AK35" s="68"/>
      <c r="AL35" s="74"/>
      <c r="AM35" s="68">
        <f t="shared" si="25"/>
        <v>1.333333333</v>
      </c>
      <c r="AO35" s="77"/>
      <c r="AP35" s="61">
        <v>0.0</v>
      </c>
      <c r="AQ35" s="62" t="str">
        <f t="shared" si="149"/>
        <v/>
      </c>
      <c r="AR35" s="61" t="str">
        <f>IFERROR(__xludf.DUMMYFUNCTION("IMPORTRANGE(""https://docs.google.com/spreadsheets/d/1F91-dGdrbIN-cGEPuy2AXVlBs2CcNO6jHf43XcJyGK0/edit"",""ISCA TRILHA| FACEBOOK ADS!m136"")"),"")</f>
        <v/>
      </c>
      <c r="AS35" s="62" t="str">
        <f t="shared" si="150"/>
        <v/>
      </c>
      <c r="AT35" s="61">
        <v>0.0</v>
      </c>
      <c r="AU35" s="62" t="str">
        <f t="shared" si="28"/>
        <v/>
      </c>
      <c r="AV35" s="81">
        <f>IFERROR(__xludf.DUMMYFUNCTION("IMPORTRANGE(""https://docs.google.com/spreadsheets/d/1F91-dGdrbIN-cGEPuy2AXVlBs2CcNO6jHf43XcJyGK0/edit"",""ISCA TRILHA| FACEBOOK ADS!n136"")"),0.0)</f>
        <v>0</v>
      </c>
      <c r="AW35" s="62" t="str">
        <f t="shared" si="29"/>
        <v/>
      </c>
      <c r="AX35" s="63">
        <f>IFERROR(__xludf.DUMMYFUNCTION("IMPORTRANGE(""https://docs.google.com/spreadsheets/d/1F91-dGdrbIN-cGEPuy2AXVlBs2CcNO6jHf43XcJyGK0/edit"",""ISCA TRILHA| FACEBOOK ADS!p136"")"),0.0)</f>
        <v>0</v>
      </c>
      <c r="AY35" s="74">
        <f t="shared" si="152"/>
        <v>0</v>
      </c>
      <c r="AZ35" s="68"/>
      <c r="BA35" s="68"/>
      <c r="BB35" s="68"/>
      <c r="BC35" s="68"/>
      <c r="BD35" s="68"/>
      <c r="BE35" s="68"/>
      <c r="BF35" s="74"/>
      <c r="BG35" s="68" t="str">
        <f t="shared" si="31"/>
        <v/>
      </c>
      <c r="BH35" s="13"/>
      <c r="BI35" s="77"/>
      <c r="BJ35" s="61">
        <v>0.0</v>
      </c>
      <c r="BK35" s="62" t="str">
        <f t="shared" si="32"/>
        <v/>
      </c>
      <c r="BL35" s="63">
        <f>IFERROR(__xludf.DUMMYFUNCTION("IMPORTRANGE(""https://docs.google.com/spreadsheets/d/1F91-dGdrbIN-cGEPuy2AXVlBs2CcNO6jHf43XcJyGK0/edit"",""IMERSÃO ESCALA SEM FORMULA| FACEBOOK ADS!n184"")"),1.0)</f>
        <v>1</v>
      </c>
      <c r="BM35" s="62">
        <f t="shared" si="33"/>
        <v>1</v>
      </c>
      <c r="BN35" s="61">
        <f>IFERROR(__xludf.DUMMYFUNCTION("IMPORTRANGE(""https://docs.google.com/spreadsheets/d/1F91-dGdrbIN-cGEPuy2AXVlBs2CcNO6jHf43XcJyGK0/edit"",""IMERSÃO ESCALA SEM FORMULA| FACEBOOK ADS!p184"")"),1.0)</f>
        <v>1</v>
      </c>
      <c r="BO35" s="62">
        <f t="shared" si="34"/>
        <v>193.24</v>
      </c>
      <c r="BP35" s="81">
        <f>IFERROR(__xludf.DUMMYFUNCTION("IMPORTRANGE(""https://docs.google.com/spreadsheets/d/1F91-dGdrbIN-cGEPuy2AXVlBs2CcNO6jHf43XcJyGK0/edit"",""IMERSÃO ESCALA SEM FORMULA| FACEBOOK ADS!o184"")"),193.24)</f>
        <v>193.24</v>
      </c>
      <c r="BQ35" s="62">
        <f t="shared" si="35"/>
        <v>1</v>
      </c>
      <c r="BR35" s="63">
        <f>IFERROR(__xludf.DUMMYFUNCTION("IMPORTRANGE(""https://docs.google.com/spreadsheets/d/1F91-dGdrbIN-cGEPuy2AXVlBs2CcNO6jHf43XcJyGK0/edit"",""IMERSÃO ESCALA SEM FORMULA| FACEBOOK ADS!q184"")"),193.24)</f>
        <v>193.24</v>
      </c>
      <c r="BS35" s="74">
        <v>0.0</v>
      </c>
      <c r="BT35" s="68"/>
      <c r="BU35" s="68"/>
      <c r="BV35" s="68"/>
      <c r="BW35" s="68"/>
      <c r="BX35" s="68"/>
      <c r="BY35" s="68" t="str">
        <f t="shared" si="102"/>
        <v/>
      </c>
      <c r="BZ35" s="74"/>
      <c r="CA35" s="68">
        <f t="shared" si="37"/>
        <v>1</v>
      </c>
      <c r="CB35" s="13"/>
      <c r="CC35" s="80"/>
      <c r="CD35" s="61">
        <v>0.0</v>
      </c>
      <c r="CE35" s="62" t="str">
        <f t="shared" si="38"/>
        <v/>
      </c>
      <c r="CF35" s="61" t="str">
        <f>IFERROR(__xludf.DUMMYFUNCTION("IMPORTRANGE(""https://docs.google.com/spreadsheets/d/1F91-dGdrbIN-cGEPuy2AXVlBs2CcNO6jHf43XcJyGK0/edit"",""ESF DAY| FACEBOOK ADS!m315"")"),"")</f>
        <v/>
      </c>
      <c r="CG35" s="62" t="str">
        <f t="shared" si="39"/>
        <v/>
      </c>
      <c r="CH35" s="61">
        <v>0.0</v>
      </c>
      <c r="CI35" s="62" t="str">
        <f t="shared" si="40"/>
        <v/>
      </c>
      <c r="CJ35" s="81">
        <f>IFERROR(__xludf.DUMMYFUNCTION("IMPORTRANGE(""https://docs.google.com/spreadsheets/d/1F91-dGdrbIN-cGEPuy2AXVlBs2CcNO6jHf43XcJyGK0/edit"",""ESF DAY| FACEBOOK ADS!n315"")"),0.0)</f>
        <v>0</v>
      </c>
      <c r="CK35" s="62" t="str">
        <f t="shared" si="41"/>
        <v/>
      </c>
      <c r="CL35" s="63">
        <v>0.0</v>
      </c>
      <c r="CM35" s="74">
        <v>0.0</v>
      </c>
      <c r="CN35" s="68"/>
      <c r="CO35" s="68"/>
      <c r="CP35" s="68"/>
      <c r="CQ35" s="68"/>
      <c r="CR35" s="68"/>
      <c r="CS35" s="68" t="str">
        <f t="shared" si="104"/>
        <v/>
      </c>
      <c r="CT35" s="74"/>
      <c r="CU35" s="68" t="str">
        <f t="shared" si="43"/>
        <v/>
      </c>
      <c r="CV35" s="78"/>
      <c r="CW35" s="76"/>
      <c r="CX35" s="61">
        <v>0.0</v>
      </c>
      <c r="CY35" s="62" t="str">
        <f t="shared" si="44"/>
        <v/>
      </c>
      <c r="CZ35" s="61">
        <v>0.0</v>
      </c>
      <c r="DA35" s="62" t="str">
        <f t="shared" si="45"/>
        <v/>
      </c>
      <c r="DB35" s="61">
        <v>0.0</v>
      </c>
      <c r="DC35" s="62" t="str">
        <f t="shared" si="46"/>
        <v/>
      </c>
      <c r="DD35" s="61">
        <v>0.0</v>
      </c>
      <c r="DE35" s="62" t="str">
        <f t="shared" si="47"/>
        <v/>
      </c>
      <c r="DF35" s="63">
        <v>0.0</v>
      </c>
      <c r="DG35" s="74">
        <v>0.0</v>
      </c>
      <c r="DH35" s="68"/>
      <c r="DI35" s="68"/>
      <c r="DJ35" s="68"/>
      <c r="DK35" s="68"/>
      <c r="DL35" s="68"/>
      <c r="DM35" s="68" t="str">
        <f t="shared" si="106"/>
        <v/>
      </c>
      <c r="DN35" s="74"/>
      <c r="DO35" s="68" t="str">
        <f t="shared" si="49"/>
        <v/>
      </c>
      <c r="DP35" s="78"/>
      <c r="DQ35" s="76"/>
      <c r="DR35" s="61">
        <v>0.0</v>
      </c>
      <c r="DS35" s="62" t="str">
        <f t="shared" si="50"/>
        <v/>
      </c>
      <c r="DT35" s="61">
        <v>0.0</v>
      </c>
      <c r="DU35" s="62" t="str">
        <f t="shared" si="51"/>
        <v/>
      </c>
      <c r="DV35" s="61">
        <v>0.0</v>
      </c>
      <c r="DW35" s="62" t="str">
        <f t="shared" si="52"/>
        <v/>
      </c>
      <c r="DX35" s="61">
        <v>0.0</v>
      </c>
      <c r="DY35" s="62" t="str">
        <f t="shared" si="53"/>
        <v/>
      </c>
      <c r="DZ35" s="63">
        <v>0.0</v>
      </c>
      <c r="EA35" s="74">
        <v>0.0</v>
      </c>
      <c r="EB35" s="68"/>
      <c r="EC35" s="68"/>
      <c r="ED35" s="68"/>
      <c r="EE35" s="68"/>
      <c r="EF35" s="68"/>
      <c r="EG35" s="68" t="str">
        <f t="shared" si="108"/>
        <v/>
      </c>
      <c r="EH35" s="74"/>
      <c r="EI35" s="68" t="str">
        <f t="shared" si="55"/>
        <v/>
      </c>
      <c r="EJ35" s="78"/>
    </row>
    <row r="36" ht="15.75" hidden="1" customHeight="1" outlineLevel="1">
      <c r="A36" s="79">
        <f t="shared" si="145"/>
        <v>45508</v>
      </c>
      <c r="B36" s="61">
        <f t="shared" si="8"/>
        <v>0</v>
      </c>
      <c r="C36" s="62" t="str">
        <f t="shared" si="9"/>
        <v/>
      </c>
      <c r="D36" s="63">
        <f t="shared" si="10"/>
        <v>6</v>
      </c>
      <c r="E36" s="97">
        <f t="shared" si="11"/>
        <v>0.1666666667</v>
      </c>
      <c r="F36" s="102">
        <f t="shared" si="12"/>
        <v>1</v>
      </c>
      <c r="G36" s="99">
        <f t="shared" si="13"/>
        <v>242.945</v>
      </c>
      <c r="H36" s="100">
        <f t="shared" si="146"/>
        <v>242.945</v>
      </c>
      <c r="I36" s="101">
        <f t="shared" si="15"/>
        <v>0.5330424582</v>
      </c>
      <c r="J36" s="98">
        <f t="shared" ref="J36:P36" si="153">SUM(AD36,AX36,BR36,CL36,DF36)</f>
        <v>129.5</v>
      </c>
      <c r="K36" s="93">
        <f t="shared" si="153"/>
        <v>0</v>
      </c>
      <c r="L36" s="94">
        <f t="shared" si="153"/>
        <v>0</v>
      </c>
      <c r="M36" s="94">
        <f t="shared" si="153"/>
        <v>0</v>
      </c>
      <c r="N36" s="94">
        <f t="shared" si="153"/>
        <v>0</v>
      </c>
      <c r="O36" s="94">
        <f t="shared" si="153"/>
        <v>0</v>
      </c>
      <c r="P36" s="94">
        <f t="shared" si="153"/>
        <v>0</v>
      </c>
      <c r="Q36" s="95" t="str">
        <f t="shared" si="17"/>
        <v/>
      </c>
      <c r="R36" s="67">
        <f t="shared" si="18"/>
        <v>0</v>
      </c>
      <c r="S36" s="68">
        <f t="shared" si="19"/>
        <v>0.5330424582</v>
      </c>
      <c r="T36" s="13"/>
      <c r="U36" s="76"/>
      <c r="V36" s="61">
        <v>0.0</v>
      </c>
      <c r="W36" s="62"/>
      <c r="X36" s="63">
        <f>IFERROR(__xludf.DUMMYFUNCTION("IMPORTRANGE(""https://docs.google.com/spreadsheets/d/1F91-dGdrbIN-cGEPuy2AXVlBs2CcNO6jHf43XcJyGK0/edit"",""Mentoria GR| FACEBOOK ADS!n325"")"),3.0)</f>
        <v>3</v>
      </c>
      <c r="Y36" s="62" t="str">
        <f t="shared" si="136"/>
        <v/>
      </c>
      <c r="Z36" s="61" t="str">
        <f>IFERROR(__xludf.DUMMYFUNCTION("IMPORTRANGE(""https://docs.google.com/spreadsheets/d/1F91-dGdrbIN-cGEPuy2AXVlBs2CcNO6jHf43XcJyGK0/edit"",""Mentoria GR| FACEBOOK ADS!p325"")"),"")</f>
        <v/>
      </c>
      <c r="AA36" s="62" t="str">
        <f t="shared" si="22"/>
        <v/>
      </c>
      <c r="AB36" s="81">
        <f>IFERROR(__xludf.DUMMYFUNCTION("IMPORTRANGE(""https://docs.google.com/spreadsheets/d/1F91-dGdrbIN-cGEPuy2AXVlBs2CcNO6jHf43XcJyGK0/edit"",""Mentoria GR| FACEBOOK ADS!o325"")"),52.830000000000005)</f>
        <v>52.83</v>
      </c>
      <c r="AC36" s="62">
        <f t="shared" si="23"/>
        <v>0</v>
      </c>
      <c r="AD36" s="81">
        <f>IFERROR(__xludf.DUMMYFUNCTION("IMPORTRANGE(""https://docs.google.com/spreadsheets/d/1F91-dGdrbIN-cGEPuy2AXVlBs2CcNO6jHf43XcJyGK0/edit"",""Mentoria GR| FACEBOOK ADS!q325"")"),0.0)</f>
        <v>0</v>
      </c>
      <c r="AE36" s="74">
        <f t="shared" ref="AE36:AE38" si="155">SUM(AF36:AJ36)</f>
        <v>0</v>
      </c>
      <c r="AF36" s="68"/>
      <c r="AG36" s="68"/>
      <c r="AH36" s="68"/>
      <c r="AI36" s="68"/>
      <c r="AJ36" s="68"/>
      <c r="AK36" s="68"/>
      <c r="AL36" s="74"/>
      <c r="AM36" s="68">
        <f t="shared" si="25"/>
        <v>0</v>
      </c>
      <c r="AO36" s="77"/>
      <c r="AP36" s="61">
        <v>0.0</v>
      </c>
      <c r="AQ36" s="62" t="str">
        <f t="shared" si="149"/>
        <v/>
      </c>
      <c r="AR36" s="61" t="str">
        <f>IFERROR(__xludf.DUMMYFUNCTION("IMPORTRANGE(""https://docs.google.com/spreadsheets/d/1F91-dGdrbIN-cGEPuy2AXVlBs2CcNO6jHf43XcJyGK0/edit"",""ISCA TRILHA| FACEBOOK ADS!m135"")"),"")</f>
        <v/>
      </c>
      <c r="AS36" s="62" t="str">
        <f t="shared" si="150"/>
        <v/>
      </c>
      <c r="AT36" s="61">
        <v>0.0</v>
      </c>
      <c r="AU36" s="62" t="str">
        <f t="shared" si="28"/>
        <v/>
      </c>
      <c r="AV36" s="81">
        <f>IFERROR(__xludf.DUMMYFUNCTION("IMPORTRANGE(""https://docs.google.com/spreadsheets/d/1F91-dGdrbIN-cGEPuy2AXVlBs2CcNO6jHf43XcJyGK0/edit"",""ISCA TRILHA| FACEBOOK ADS!n135"")"),0.0)</f>
        <v>0</v>
      </c>
      <c r="AW36" s="62" t="str">
        <f t="shared" si="29"/>
        <v/>
      </c>
      <c r="AX36" s="63">
        <f>IFERROR(__xludf.DUMMYFUNCTION("IMPORTRANGE(""https://docs.google.com/spreadsheets/d/1F91-dGdrbIN-cGEPuy2AXVlBs2CcNO6jHf43XcJyGK0/edit"",""ISCA TRILHA| FACEBOOK ADS!p135"")"),0.0)</f>
        <v>0</v>
      </c>
      <c r="AY36" s="74">
        <f t="shared" si="152"/>
        <v>0</v>
      </c>
      <c r="AZ36" s="68"/>
      <c r="BA36" s="68"/>
      <c r="BB36" s="68"/>
      <c r="BC36" s="68"/>
      <c r="BD36" s="68"/>
      <c r="BE36" s="68"/>
      <c r="BF36" s="74"/>
      <c r="BG36" s="68" t="str">
        <f t="shared" si="31"/>
        <v/>
      </c>
      <c r="BH36" s="13"/>
      <c r="BI36" s="77"/>
      <c r="BJ36" s="61">
        <v>0.0</v>
      </c>
      <c r="BK36" s="62" t="str">
        <f t="shared" si="32"/>
        <v/>
      </c>
      <c r="BL36" s="63">
        <f>IFERROR(__xludf.DUMMYFUNCTION("IMPORTRANGE(""https://docs.google.com/spreadsheets/d/1F91-dGdrbIN-cGEPuy2AXVlBs2CcNO6jHf43XcJyGK0/edit"",""IMERSÃO ESCALA SEM FORMULA| FACEBOOK ADS!n183"")"),1.0)</f>
        <v>1</v>
      </c>
      <c r="BM36" s="62">
        <f t="shared" si="33"/>
        <v>1</v>
      </c>
      <c r="BN36" s="61">
        <f>IFERROR(__xludf.DUMMYFUNCTION("IMPORTRANGE(""https://docs.google.com/spreadsheets/d/1F91-dGdrbIN-cGEPuy2AXVlBs2CcNO6jHf43XcJyGK0/edit"",""IMERSÃO ESCALA SEM FORMULA| FACEBOOK ADS!p183"")"),1.0)</f>
        <v>1</v>
      </c>
      <c r="BO36" s="62">
        <f t="shared" si="34"/>
        <v>129.5</v>
      </c>
      <c r="BP36" s="81">
        <f>IFERROR(__xludf.DUMMYFUNCTION("IMPORTRANGE(""https://docs.google.com/spreadsheets/d/1F91-dGdrbIN-cGEPuy2AXVlBs2CcNO6jHf43XcJyGK0/edit"",""IMERSÃO ESCALA SEM FORMULA| FACEBOOK ADS!o183"")"),129.5)</f>
        <v>129.5</v>
      </c>
      <c r="BQ36" s="62">
        <f t="shared" si="35"/>
        <v>1</v>
      </c>
      <c r="BR36" s="63">
        <f>IFERROR(__xludf.DUMMYFUNCTION("IMPORTRANGE(""https://docs.google.com/spreadsheets/d/1F91-dGdrbIN-cGEPuy2AXVlBs2CcNO6jHf43XcJyGK0/edit"",""IMERSÃO ESCALA SEM FORMULA| FACEBOOK ADS!q183"")"),129.5)</f>
        <v>129.5</v>
      </c>
      <c r="BS36" s="74">
        <v>0.0</v>
      </c>
      <c r="BT36" s="68"/>
      <c r="BU36" s="68"/>
      <c r="BV36" s="68"/>
      <c r="BW36" s="68"/>
      <c r="BX36" s="68"/>
      <c r="BY36" s="68" t="str">
        <f t="shared" si="102"/>
        <v/>
      </c>
      <c r="BZ36" s="74"/>
      <c r="CA36" s="68">
        <f t="shared" si="37"/>
        <v>1</v>
      </c>
      <c r="CB36" s="13"/>
      <c r="CC36" s="80"/>
      <c r="CD36" s="61">
        <v>0.0</v>
      </c>
      <c r="CE36" s="62" t="str">
        <f t="shared" si="38"/>
        <v/>
      </c>
      <c r="CF36" s="63">
        <f>IFERROR(__xludf.DUMMYFUNCTION("IMPORTRANGE(""https://docs.google.com/spreadsheets/d/1F91-dGdrbIN-cGEPuy2AXVlBs2CcNO6jHf43XcJyGK0/edit"",""ESF DAY| FACEBOOK ADS!m314"")"),2.0)</f>
        <v>2</v>
      </c>
      <c r="CG36" s="62">
        <f t="shared" si="39"/>
        <v>0</v>
      </c>
      <c r="CH36" s="61">
        <v>0.0</v>
      </c>
      <c r="CI36" s="62" t="str">
        <f t="shared" si="40"/>
        <v/>
      </c>
      <c r="CJ36" s="81">
        <f>IFERROR(__xludf.DUMMYFUNCTION("IMPORTRANGE(""https://docs.google.com/spreadsheets/d/1F91-dGdrbIN-cGEPuy2AXVlBs2CcNO6jHf43XcJyGK0/edit"",""ESF DAY| FACEBOOK ADS!n314"")"),60.615)</f>
        <v>60.615</v>
      </c>
      <c r="CK36" s="62">
        <f t="shared" si="41"/>
        <v>0</v>
      </c>
      <c r="CL36" s="63">
        <v>0.0</v>
      </c>
      <c r="CM36" s="74">
        <v>0.0</v>
      </c>
      <c r="CN36" s="68"/>
      <c r="CO36" s="68"/>
      <c r="CP36" s="68"/>
      <c r="CQ36" s="68"/>
      <c r="CR36" s="68"/>
      <c r="CS36" s="68" t="str">
        <f t="shared" si="104"/>
        <v/>
      </c>
      <c r="CT36" s="74"/>
      <c r="CU36" s="68">
        <f t="shared" si="43"/>
        <v>0</v>
      </c>
      <c r="CV36" s="78"/>
      <c r="CW36" s="76"/>
      <c r="CX36" s="61">
        <v>0.0</v>
      </c>
      <c r="CY36" s="62" t="str">
        <f t="shared" si="44"/>
        <v/>
      </c>
      <c r="CZ36" s="61">
        <v>0.0</v>
      </c>
      <c r="DA36" s="62" t="str">
        <f t="shared" si="45"/>
        <v/>
      </c>
      <c r="DB36" s="61">
        <v>0.0</v>
      </c>
      <c r="DC36" s="62" t="str">
        <f t="shared" si="46"/>
        <v/>
      </c>
      <c r="DD36" s="61">
        <v>0.0</v>
      </c>
      <c r="DE36" s="62" t="str">
        <f t="shared" si="47"/>
        <v/>
      </c>
      <c r="DF36" s="63">
        <v>0.0</v>
      </c>
      <c r="DG36" s="74">
        <v>0.0</v>
      </c>
      <c r="DH36" s="68"/>
      <c r="DI36" s="68"/>
      <c r="DJ36" s="68"/>
      <c r="DK36" s="68"/>
      <c r="DL36" s="68"/>
      <c r="DM36" s="68" t="str">
        <f t="shared" si="106"/>
        <v/>
      </c>
      <c r="DN36" s="74"/>
      <c r="DO36" s="68" t="str">
        <f t="shared" si="49"/>
        <v/>
      </c>
      <c r="DP36" s="78"/>
      <c r="DQ36" s="76"/>
      <c r="DR36" s="61">
        <v>0.0</v>
      </c>
      <c r="DS36" s="62" t="str">
        <f t="shared" si="50"/>
        <v/>
      </c>
      <c r="DT36" s="61">
        <v>0.0</v>
      </c>
      <c r="DU36" s="62" t="str">
        <f t="shared" si="51"/>
        <v/>
      </c>
      <c r="DV36" s="61">
        <v>0.0</v>
      </c>
      <c r="DW36" s="62" t="str">
        <f t="shared" si="52"/>
        <v/>
      </c>
      <c r="DX36" s="61">
        <v>0.0</v>
      </c>
      <c r="DY36" s="62" t="str">
        <f t="shared" si="53"/>
        <v/>
      </c>
      <c r="DZ36" s="63">
        <v>0.0</v>
      </c>
      <c r="EA36" s="74">
        <v>0.0</v>
      </c>
      <c r="EB36" s="68"/>
      <c r="EC36" s="68"/>
      <c r="ED36" s="68"/>
      <c r="EE36" s="68"/>
      <c r="EF36" s="68"/>
      <c r="EG36" s="68" t="str">
        <f t="shared" si="108"/>
        <v/>
      </c>
      <c r="EH36" s="74"/>
      <c r="EI36" s="68" t="str">
        <f t="shared" si="55"/>
        <v/>
      </c>
      <c r="EJ36" s="78"/>
    </row>
    <row r="37" ht="15.75" hidden="1" customHeight="1" outlineLevel="1">
      <c r="A37" s="79">
        <f t="shared" si="145"/>
        <v>45507</v>
      </c>
      <c r="B37" s="61">
        <f t="shared" si="8"/>
        <v>0</v>
      </c>
      <c r="C37" s="62" t="str">
        <f t="shared" si="9"/>
        <v/>
      </c>
      <c r="D37" s="63">
        <f t="shared" si="10"/>
        <v>13</v>
      </c>
      <c r="E37" s="97">
        <f t="shared" si="11"/>
        <v>0.07692307692</v>
      </c>
      <c r="F37" s="98">
        <f t="shared" si="12"/>
        <v>1</v>
      </c>
      <c r="G37" s="99">
        <f t="shared" si="13"/>
        <v>41.59692308</v>
      </c>
      <c r="H37" s="100">
        <f t="shared" si="146"/>
        <v>41.59692308</v>
      </c>
      <c r="I37" s="101">
        <f t="shared" si="15"/>
        <v>13</v>
      </c>
      <c r="J37" s="98">
        <f t="shared" ref="J37:P37" si="154">SUM(AD37,AX37,BR37,CL37,DF37)</f>
        <v>540.76</v>
      </c>
      <c r="K37" s="93">
        <f t="shared" si="154"/>
        <v>0</v>
      </c>
      <c r="L37" s="94">
        <f t="shared" si="154"/>
        <v>0</v>
      </c>
      <c r="M37" s="94">
        <f t="shared" si="154"/>
        <v>0</v>
      </c>
      <c r="N37" s="94">
        <f t="shared" si="154"/>
        <v>0</v>
      </c>
      <c r="O37" s="94">
        <f t="shared" si="154"/>
        <v>0</v>
      </c>
      <c r="P37" s="94">
        <f t="shared" si="154"/>
        <v>0</v>
      </c>
      <c r="Q37" s="95" t="str">
        <f t="shared" si="17"/>
        <v/>
      </c>
      <c r="R37" s="67">
        <f t="shared" si="18"/>
        <v>0</v>
      </c>
      <c r="S37" s="68">
        <f t="shared" si="19"/>
        <v>13</v>
      </c>
      <c r="T37" s="13"/>
      <c r="U37" s="76"/>
      <c r="V37" s="61">
        <v>0.0</v>
      </c>
      <c r="W37" s="62"/>
      <c r="X37" s="63">
        <f>IFERROR(__xludf.DUMMYFUNCTION("IMPORTRANGE(""https://docs.google.com/spreadsheets/d/1F91-dGdrbIN-cGEPuy2AXVlBs2CcNO6jHf43XcJyGK0/edit"",""Mentoria GR| FACEBOOK ADS!n324"")"),13.0)</f>
        <v>13</v>
      </c>
      <c r="Y37" s="62" t="str">
        <f t="shared" si="136"/>
        <v/>
      </c>
      <c r="Z37" s="63">
        <f>IFERROR(__xludf.DUMMYFUNCTION("IMPORTRANGE(""https://docs.google.com/spreadsheets/d/1F91-dGdrbIN-cGEPuy2AXVlBs2CcNO6jHf43XcJyGK0/edit"",""Mentoria GR| FACEBOOK ADS!p324"")"),1.0)</f>
        <v>1</v>
      </c>
      <c r="AA37" s="62">
        <f t="shared" si="22"/>
        <v>41.59692308</v>
      </c>
      <c r="AB37" s="81">
        <f>IFERROR(__xludf.DUMMYFUNCTION("IMPORTRANGE(""https://docs.google.com/spreadsheets/d/1F91-dGdrbIN-cGEPuy2AXVlBs2CcNO6jHf43XcJyGK0/edit"",""Mentoria GR| FACEBOOK ADS!o324"")"),41.596923076923076)</f>
        <v>41.59692308</v>
      </c>
      <c r="AC37" s="62">
        <f t="shared" si="23"/>
        <v>13</v>
      </c>
      <c r="AD37" s="81">
        <f>IFERROR(__xludf.DUMMYFUNCTION("IMPORTRANGE(""https://docs.google.com/spreadsheets/d/1F91-dGdrbIN-cGEPuy2AXVlBs2CcNO6jHf43XcJyGK0/edit"",""Mentoria GR| FACEBOOK ADS!q324"")"),540.76)</f>
        <v>540.76</v>
      </c>
      <c r="AE37" s="74">
        <f t="shared" si="155"/>
        <v>0</v>
      </c>
      <c r="AF37" s="68"/>
      <c r="AG37" s="68"/>
      <c r="AH37" s="68"/>
      <c r="AI37" s="68"/>
      <c r="AJ37" s="68"/>
      <c r="AK37" s="68"/>
      <c r="AL37" s="74"/>
      <c r="AM37" s="68">
        <f t="shared" si="25"/>
        <v>13</v>
      </c>
      <c r="AO37" s="77"/>
      <c r="AP37" s="61">
        <v>0.0</v>
      </c>
      <c r="AQ37" s="62" t="str">
        <f t="shared" si="149"/>
        <v/>
      </c>
      <c r="AR37" s="61" t="str">
        <f>IFERROR(__xludf.DUMMYFUNCTION("IMPORTRANGE(""https://docs.google.com/spreadsheets/d/1F91-dGdrbIN-cGEPuy2AXVlBs2CcNO6jHf43XcJyGK0/edit"",""ISCA TRILHA| FACEBOOK ADS!m134"")"),"")</f>
        <v/>
      </c>
      <c r="AS37" s="62" t="str">
        <f t="shared" si="150"/>
        <v/>
      </c>
      <c r="AT37" s="61">
        <v>0.0</v>
      </c>
      <c r="AU37" s="62" t="str">
        <f t="shared" si="28"/>
        <v/>
      </c>
      <c r="AV37" s="81">
        <f>IFERROR(__xludf.DUMMYFUNCTION("IMPORTRANGE(""https://docs.google.com/spreadsheets/d/1F91-dGdrbIN-cGEPuy2AXVlBs2CcNO6jHf43XcJyGK0/edit"",""ISCA TRILHA| FACEBOOK ADS!n134"")"),0.0)</f>
        <v>0</v>
      </c>
      <c r="AW37" s="62" t="str">
        <f t="shared" si="29"/>
        <v/>
      </c>
      <c r="AX37" s="63">
        <f>IFERROR(__xludf.DUMMYFUNCTION("IMPORTRANGE(""https://docs.google.com/spreadsheets/d/1F91-dGdrbIN-cGEPuy2AXVlBs2CcNO6jHf43XcJyGK0/edit"",""ISCA TRILHA| FACEBOOK ADS!p134"")"),0.0)</f>
        <v>0</v>
      </c>
      <c r="AY37" s="74">
        <f t="shared" si="152"/>
        <v>0</v>
      </c>
      <c r="AZ37" s="68"/>
      <c r="BA37" s="68"/>
      <c r="BB37" s="68"/>
      <c r="BC37" s="68"/>
      <c r="BD37" s="68"/>
      <c r="BE37" s="68"/>
      <c r="BF37" s="74"/>
      <c r="BG37" s="68" t="str">
        <f t="shared" si="31"/>
        <v/>
      </c>
      <c r="BH37" s="13"/>
      <c r="BI37" s="77"/>
      <c r="BJ37" s="61">
        <v>0.0</v>
      </c>
      <c r="BK37" s="62" t="str">
        <f t="shared" si="32"/>
        <v/>
      </c>
      <c r="BL37" s="63">
        <f>IFERROR(__xludf.DUMMYFUNCTION("IMPORTRANGE(""https://docs.google.com/spreadsheets/d/1F91-dGdrbIN-cGEPuy2AXVlBs2CcNO6jHf43XcJyGK0/edit"",""IMERSÃO ESCALA SEM FORMULA| FACEBOOK ADS!n182"")"),0.0)</f>
        <v>0</v>
      </c>
      <c r="BM37" s="62" t="str">
        <f t="shared" si="33"/>
        <v/>
      </c>
      <c r="BN37" s="61">
        <f>IFERROR(__xludf.DUMMYFUNCTION("IMPORTRANGE(""https://docs.google.com/spreadsheets/d/1F91-dGdrbIN-cGEPuy2AXVlBs2CcNO6jHf43XcJyGK0/edit"",""IMERSÃO ESCALA SEM FORMULA| FACEBOOK ADS!p182"")"),0.0)</f>
        <v>0</v>
      </c>
      <c r="BO37" s="62" t="str">
        <f t="shared" si="34"/>
        <v/>
      </c>
      <c r="BP37" s="81" t="str">
        <f>IFERROR(__xludf.DUMMYFUNCTION("IMPORTRANGE(""https://docs.google.com/spreadsheets/d/1F91-dGdrbIN-cGEPuy2AXVlBs2CcNO6jHf43XcJyGK0/edit"",""IMERSÃO ESCALA SEM FORMULA| FACEBOOK ADS!o182"")"),"")</f>
        <v/>
      </c>
      <c r="BQ37" s="62" t="str">
        <f t="shared" si="35"/>
        <v/>
      </c>
      <c r="BR37" s="63" t="str">
        <f>IFERROR(__xludf.DUMMYFUNCTION("IMPORTRANGE(""https://docs.google.com/spreadsheets/d/1F91-dGdrbIN-cGEPuy2AXVlBs2CcNO6jHf43XcJyGK0/edit"",""IMERSÃO ESCALA SEM FORMULA| FACEBOOK ADS!q182"")"),"")</f>
        <v/>
      </c>
      <c r="BS37" s="74">
        <v>0.0</v>
      </c>
      <c r="BT37" s="68"/>
      <c r="BU37" s="68"/>
      <c r="BV37" s="68"/>
      <c r="BW37" s="68"/>
      <c r="BX37" s="68"/>
      <c r="BY37" s="68" t="str">
        <f t="shared" si="102"/>
        <v/>
      </c>
      <c r="BZ37" s="74"/>
      <c r="CA37" s="68" t="str">
        <f t="shared" si="37"/>
        <v/>
      </c>
      <c r="CB37" s="13"/>
      <c r="CC37" s="80"/>
      <c r="CD37" s="61">
        <v>0.0</v>
      </c>
      <c r="CE37" s="62" t="str">
        <f t="shared" si="38"/>
        <v/>
      </c>
      <c r="CF37" s="61" t="str">
        <f>IFERROR(__xludf.DUMMYFUNCTION("IMPORTRANGE(""https://docs.google.com/spreadsheets/d/1F91-dGdrbIN-cGEPuy2AXVlBs2CcNO6jHf43XcJyGK0/edit"",""ESF DAY| FACEBOOK ADS!m313"")"),"")</f>
        <v/>
      </c>
      <c r="CG37" s="62" t="str">
        <f t="shared" si="39"/>
        <v/>
      </c>
      <c r="CH37" s="61">
        <v>0.0</v>
      </c>
      <c r="CI37" s="62" t="str">
        <f t="shared" si="40"/>
        <v/>
      </c>
      <c r="CJ37" s="81">
        <f>IFERROR(__xludf.DUMMYFUNCTION("IMPORTRANGE(""https://docs.google.com/spreadsheets/d/1F91-dGdrbIN-cGEPuy2AXVlBs2CcNO6jHf43XcJyGK0/edit"",""ESF DAY| FACEBOOK ADS!n313"")"),0.0)</f>
        <v>0</v>
      </c>
      <c r="CK37" s="62" t="str">
        <f t="shared" si="41"/>
        <v/>
      </c>
      <c r="CL37" s="63">
        <v>0.0</v>
      </c>
      <c r="CM37" s="74">
        <v>0.0</v>
      </c>
      <c r="CN37" s="68"/>
      <c r="CO37" s="68"/>
      <c r="CP37" s="68"/>
      <c r="CQ37" s="68"/>
      <c r="CR37" s="68"/>
      <c r="CS37" s="68" t="str">
        <f t="shared" si="104"/>
        <v/>
      </c>
      <c r="CT37" s="74"/>
      <c r="CU37" s="68" t="str">
        <f t="shared" si="43"/>
        <v/>
      </c>
      <c r="CV37" s="78"/>
      <c r="CW37" s="76"/>
      <c r="CX37" s="61">
        <v>0.0</v>
      </c>
      <c r="CY37" s="62" t="str">
        <f t="shared" si="44"/>
        <v/>
      </c>
      <c r="CZ37" s="61">
        <v>0.0</v>
      </c>
      <c r="DA37" s="62" t="str">
        <f t="shared" si="45"/>
        <v/>
      </c>
      <c r="DB37" s="61">
        <v>0.0</v>
      </c>
      <c r="DC37" s="62" t="str">
        <f t="shared" si="46"/>
        <v/>
      </c>
      <c r="DD37" s="61">
        <v>0.0</v>
      </c>
      <c r="DE37" s="62" t="str">
        <f t="shared" si="47"/>
        <v/>
      </c>
      <c r="DF37" s="63">
        <v>0.0</v>
      </c>
      <c r="DG37" s="74">
        <v>0.0</v>
      </c>
      <c r="DH37" s="68"/>
      <c r="DI37" s="68"/>
      <c r="DJ37" s="68"/>
      <c r="DK37" s="68"/>
      <c r="DL37" s="68"/>
      <c r="DM37" s="68" t="str">
        <f t="shared" si="106"/>
        <v/>
      </c>
      <c r="DN37" s="74"/>
      <c r="DO37" s="68" t="str">
        <f t="shared" si="49"/>
        <v/>
      </c>
      <c r="DP37" s="78"/>
      <c r="DQ37" s="76"/>
      <c r="DR37" s="61">
        <v>0.0</v>
      </c>
      <c r="DS37" s="62" t="str">
        <f t="shared" si="50"/>
        <v/>
      </c>
      <c r="DT37" s="61">
        <v>0.0</v>
      </c>
      <c r="DU37" s="62" t="str">
        <f t="shared" si="51"/>
        <v/>
      </c>
      <c r="DV37" s="61">
        <v>0.0</v>
      </c>
      <c r="DW37" s="62" t="str">
        <f t="shared" si="52"/>
        <v/>
      </c>
      <c r="DX37" s="61">
        <v>0.0</v>
      </c>
      <c r="DY37" s="62" t="str">
        <f t="shared" si="53"/>
        <v/>
      </c>
      <c r="DZ37" s="63">
        <v>0.0</v>
      </c>
      <c r="EA37" s="74">
        <v>0.0</v>
      </c>
      <c r="EB37" s="68"/>
      <c r="EC37" s="68"/>
      <c r="ED37" s="68"/>
      <c r="EE37" s="68"/>
      <c r="EF37" s="68"/>
      <c r="EG37" s="68" t="str">
        <f t="shared" si="108"/>
        <v/>
      </c>
      <c r="EH37" s="74"/>
      <c r="EI37" s="68" t="str">
        <f t="shared" si="55"/>
        <v/>
      </c>
      <c r="EJ37" s="78"/>
    </row>
    <row r="38" ht="15.75" hidden="1" customHeight="1" outlineLevel="1">
      <c r="A38" s="75">
        <f t="shared" si="145"/>
        <v>45506</v>
      </c>
      <c r="B38" s="61">
        <f t="shared" si="8"/>
        <v>0</v>
      </c>
      <c r="C38" s="62" t="str">
        <f t="shared" si="9"/>
        <v/>
      </c>
      <c r="D38" s="63">
        <f t="shared" si="10"/>
        <v>13</v>
      </c>
      <c r="E38" s="97">
        <f t="shared" si="11"/>
        <v>0.2307692308</v>
      </c>
      <c r="F38" s="98">
        <f t="shared" si="12"/>
        <v>3</v>
      </c>
      <c r="G38" s="99">
        <f t="shared" si="13"/>
        <v>35.4775</v>
      </c>
      <c r="H38" s="100">
        <f t="shared" si="146"/>
        <v>106.4325</v>
      </c>
      <c r="I38" s="101">
        <f t="shared" si="15"/>
        <v>2.223099147</v>
      </c>
      <c r="J38" s="98">
        <f t="shared" ref="J38:P38" si="156">SUM(AD38,AX38,BR38,CL38,DF38)</f>
        <v>236.61</v>
      </c>
      <c r="K38" s="93">
        <f t="shared" si="156"/>
        <v>0</v>
      </c>
      <c r="L38" s="94">
        <f t="shared" si="156"/>
        <v>0</v>
      </c>
      <c r="M38" s="94">
        <f t="shared" si="156"/>
        <v>0</v>
      </c>
      <c r="N38" s="94">
        <f t="shared" si="156"/>
        <v>0</v>
      </c>
      <c r="O38" s="94">
        <f t="shared" si="156"/>
        <v>0</v>
      </c>
      <c r="P38" s="94">
        <f t="shared" si="156"/>
        <v>0</v>
      </c>
      <c r="Q38" s="95" t="str">
        <f t="shared" si="17"/>
        <v/>
      </c>
      <c r="R38" s="67">
        <f t="shared" si="18"/>
        <v>0</v>
      </c>
      <c r="S38" s="68">
        <f t="shared" si="19"/>
        <v>2.223099147</v>
      </c>
      <c r="T38" s="13"/>
      <c r="U38" s="76"/>
      <c r="V38" s="61">
        <v>0.0</v>
      </c>
      <c r="W38" s="62"/>
      <c r="X38" s="63">
        <f>IFERROR(__xludf.DUMMYFUNCTION("IMPORTRANGE(""https://docs.google.com/spreadsheets/d/1F91-dGdrbIN-cGEPuy2AXVlBs2CcNO6jHf43XcJyGK0/edit"",""Mentoria GR| FACEBOOK ADS!n323"")"),12.0)</f>
        <v>12</v>
      </c>
      <c r="Y38" s="62" t="str">
        <f t="shared" si="136"/>
        <v/>
      </c>
      <c r="Z38" s="63">
        <f>IFERROR(__xludf.DUMMYFUNCTION("IMPORTRANGE(""https://docs.google.com/spreadsheets/d/1F91-dGdrbIN-cGEPuy2AXVlBs2CcNO6jHf43XcJyGK0/edit"",""Mentoria GR| FACEBOOK ADS!p323"")"),3.0)</f>
        <v>3</v>
      </c>
      <c r="AA38" s="62">
        <f t="shared" si="22"/>
        <v>14.46416667</v>
      </c>
      <c r="AB38" s="81">
        <f>IFERROR(__xludf.DUMMYFUNCTION("IMPORTRANGE(""https://docs.google.com/spreadsheets/d/1F91-dGdrbIN-cGEPuy2AXVlBs2CcNO6jHf43XcJyGK0/edit"",""Mentoria GR| FACEBOOK ADS!o323"")"),43.392500000000005)</f>
        <v>43.3925</v>
      </c>
      <c r="AC38" s="62">
        <f t="shared" si="23"/>
        <v>4</v>
      </c>
      <c r="AD38" s="81">
        <f>IFERROR(__xludf.DUMMYFUNCTION("IMPORTRANGE(""https://docs.google.com/spreadsheets/d/1F91-dGdrbIN-cGEPuy2AXVlBs2CcNO6jHf43XcJyGK0/edit"",""Mentoria GR| FACEBOOK ADS!q323"")"),173.57000000000002)</f>
        <v>173.57</v>
      </c>
      <c r="AE38" s="74">
        <f t="shared" si="155"/>
        <v>0</v>
      </c>
      <c r="AF38" s="68"/>
      <c r="AG38" s="68"/>
      <c r="AH38" s="68"/>
      <c r="AI38" s="68"/>
      <c r="AJ38" s="68"/>
      <c r="AK38" s="68"/>
      <c r="AL38" s="74"/>
      <c r="AM38" s="68">
        <f t="shared" si="25"/>
        <v>4</v>
      </c>
      <c r="AO38" s="77"/>
      <c r="AP38" s="61">
        <v>0.0</v>
      </c>
      <c r="AQ38" s="62" t="str">
        <f t="shared" si="149"/>
        <v/>
      </c>
      <c r="AR38" s="63">
        <f>IFERROR(__xludf.DUMMYFUNCTION("IMPORTRANGE(""https://docs.google.com/spreadsheets/d/1F91-dGdrbIN-cGEPuy2AXVlBs2CcNO6jHf43XcJyGK0/edit"",""ISCA TRILHA| FACEBOOK ADS!m133"")"),1.0)</f>
        <v>1</v>
      </c>
      <c r="AS38" s="62">
        <f t="shared" si="150"/>
        <v>0</v>
      </c>
      <c r="AT38" s="61">
        <v>0.0</v>
      </c>
      <c r="AU38" s="62" t="str">
        <f t="shared" si="28"/>
        <v/>
      </c>
      <c r="AV38" s="81">
        <f>IFERROR(__xludf.DUMMYFUNCTION("IMPORTRANGE(""https://docs.google.com/spreadsheets/d/1F91-dGdrbIN-cGEPuy2AXVlBs2CcNO6jHf43XcJyGK0/edit"",""ISCA TRILHA| FACEBOOK ADS!n133"")"),63.04)</f>
        <v>63.04</v>
      </c>
      <c r="AW38" s="62">
        <f t="shared" si="29"/>
        <v>1</v>
      </c>
      <c r="AX38" s="63">
        <f>IFERROR(__xludf.DUMMYFUNCTION("IMPORTRANGE(""https://docs.google.com/spreadsheets/d/1F91-dGdrbIN-cGEPuy2AXVlBs2CcNO6jHf43XcJyGK0/edit"",""ISCA TRILHA| FACEBOOK ADS!p133"")"),63.04)</f>
        <v>63.04</v>
      </c>
      <c r="AY38" s="74">
        <f t="shared" si="152"/>
        <v>0</v>
      </c>
      <c r="AZ38" s="68"/>
      <c r="BA38" s="68"/>
      <c r="BB38" s="68"/>
      <c r="BC38" s="68"/>
      <c r="BD38" s="68"/>
      <c r="BE38" s="68"/>
      <c r="BF38" s="74"/>
      <c r="BG38" s="68">
        <f t="shared" si="31"/>
        <v>1</v>
      </c>
      <c r="BH38" s="13"/>
      <c r="BI38" s="77"/>
      <c r="BJ38" s="61">
        <v>0.0</v>
      </c>
      <c r="BK38" s="62" t="str">
        <f t="shared" si="32"/>
        <v/>
      </c>
      <c r="BL38" s="63">
        <f>IFERROR(__xludf.DUMMYFUNCTION("IMPORTRANGE(""https://docs.google.com/spreadsheets/d/1F91-dGdrbIN-cGEPuy2AXVlBs2CcNO6jHf43XcJyGK0/edit"",""IMERSÃO ESCALA SEM FORMULA| FACEBOOK ADS!n181"")"),0.0)</f>
        <v>0</v>
      </c>
      <c r="BM38" s="62" t="str">
        <f t="shared" si="33"/>
        <v/>
      </c>
      <c r="BN38" s="61">
        <f>IFERROR(__xludf.DUMMYFUNCTION("IMPORTRANGE(""https://docs.google.com/spreadsheets/d/1F91-dGdrbIN-cGEPuy2AXVlBs2CcNO6jHf43XcJyGK0/edit"",""IMERSÃO ESCALA SEM FORMULA| FACEBOOK ADS!p181"")"),0.0)</f>
        <v>0</v>
      </c>
      <c r="BO38" s="62" t="str">
        <f t="shared" si="34"/>
        <v/>
      </c>
      <c r="BP38" s="81" t="str">
        <f>IFERROR(__xludf.DUMMYFUNCTION("IMPORTRANGE(""https://docs.google.com/spreadsheets/d/1F91-dGdrbIN-cGEPuy2AXVlBs2CcNO6jHf43XcJyGK0/edit"",""IMERSÃO ESCALA SEM FORMULA| FACEBOOK ADS!o181"")"),"")</f>
        <v/>
      </c>
      <c r="BQ38" s="62" t="str">
        <f t="shared" si="35"/>
        <v/>
      </c>
      <c r="BR38" s="63" t="str">
        <f>IFERROR(__xludf.DUMMYFUNCTION("IMPORTRANGE(""https://docs.google.com/spreadsheets/d/1F91-dGdrbIN-cGEPuy2AXVlBs2CcNO6jHf43XcJyGK0/edit"",""IMERSÃO ESCALA SEM FORMULA| FACEBOOK ADS!q181"")"),"")</f>
        <v/>
      </c>
      <c r="BS38" s="74">
        <v>0.0</v>
      </c>
      <c r="BT38" s="68"/>
      <c r="BU38" s="68"/>
      <c r="BV38" s="68"/>
      <c r="BW38" s="68"/>
      <c r="BX38" s="68"/>
      <c r="BY38" s="68" t="str">
        <f t="shared" si="102"/>
        <v/>
      </c>
      <c r="BZ38" s="74"/>
      <c r="CA38" s="68" t="str">
        <f t="shared" si="37"/>
        <v/>
      </c>
      <c r="CB38" s="13"/>
      <c r="CC38" s="80"/>
      <c r="CD38" s="61">
        <v>0.0</v>
      </c>
      <c r="CE38" s="62" t="str">
        <f t="shared" si="38"/>
        <v/>
      </c>
      <c r="CF38" s="61" t="str">
        <f>IFERROR(__xludf.DUMMYFUNCTION("IMPORTRANGE(""https://docs.google.com/spreadsheets/d/1F91-dGdrbIN-cGEPuy2AXVlBs2CcNO6jHf43XcJyGK0/edit"",""ESF DAY| FACEBOOK ADS!m312"")"),"")</f>
        <v/>
      </c>
      <c r="CG38" s="62" t="str">
        <f t="shared" si="39"/>
        <v/>
      </c>
      <c r="CH38" s="61">
        <v>0.0</v>
      </c>
      <c r="CI38" s="62" t="str">
        <f t="shared" si="40"/>
        <v/>
      </c>
      <c r="CJ38" s="81">
        <f>IFERROR(__xludf.DUMMYFUNCTION("IMPORTRANGE(""https://docs.google.com/spreadsheets/d/1F91-dGdrbIN-cGEPuy2AXVlBs2CcNO6jHf43XcJyGK0/edit"",""ESF DAY| FACEBOOK ADS!n312"")"),0.0)</f>
        <v>0</v>
      </c>
      <c r="CK38" s="62" t="str">
        <f t="shared" si="41"/>
        <v/>
      </c>
      <c r="CL38" s="63">
        <v>0.0</v>
      </c>
      <c r="CM38" s="74">
        <v>0.0</v>
      </c>
      <c r="CN38" s="68"/>
      <c r="CO38" s="68"/>
      <c r="CP38" s="68"/>
      <c r="CQ38" s="68"/>
      <c r="CR38" s="68"/>
      <c r="CS38" s="68" t="str">
        <f t="shared" si="104"/>
        <v/>
      </c>
      <c r="CT38" s="74"/>
      <c r="CU38" s="68" t="str">
        <f t="shared" si="43"/>
        <v/>
      </c>
      <c r="CV38" s="78"/>
      <c r="CW38" s="76"/>
      <c r="CX38" s="61">
        <v>0.0</v>
      </c>
      <c r="CY38" s="62" t="str">
        <f t="shared" si="44"/>
        <v/>
      </c>
      <c r="CZ38" s="61">
        <v>0.0</v>
      </c>
      <c r="DA38" s="62" t="str">
        <f t="shared" si="45"/>
        <v/>
      </c>
      <c r="DB38" s="61">
        <v>0.0</v>
      </c>
      <c r="DC38" s="62" t="str">
        <f t="shared" si="46"/>
        <v/>
      </c>
      <c r="DD38" s="61">
        <v>0.0</v>
      </c>
      <c r="DE38" s="62" t="str">
        <f t="shared" si="47"/>
        <v/>
      </c>
      <c r="DF38" s="63">
        <v>0.0</v>
      </c>
      <c r="DG38" s="74">
        <v>0.0</v>
      </c>
      <c r="DH38" s="68"/>
      <c r="DI38" s="68"/>
      <c r="DJ38" s="68"/>
      <c r="DK38" s="68"/>
      <c r="DL38" s="68"/>
      <c r="DM38" s="68" t="str">
        <f t="shared" si="106"/>
        <v/>
      </c>
      <c r="DN38" s="74"/>
      <c r="DO38" s="68" t="str">
        <f t="shared" si="49"/>
        <v/>
      </c>
      <c r="DP38" s="78"/>
      <c r="DQ38" s="76"/>
      <c r="DR38" s="61">
        <v>0.0</v>
      </c>
      <c r="DS38" s="62" t="str">
        <f t="shared" si="50"/>
        <v/>
      </c>
      <c r="DT38" s="61">
        <v>0.0</v>
      </c>
      <c r="DU38" s="62" t="str">
        <f t="shared" si="51"/>
        <v/>
      </c>
      <c r="DV38" s="61">
        <v>0.0</v>
      </c>
      <c r="DW38" s="62" t="str">
        <f t="shared" si="52"/>
        <v/>
      </c>
      <c r="DX38" s="61">
        <v>0.0</v>
      </c>
      <c r="DY38" s="62" t="str">
        <f t="shared" si="53"/>
        <v/>
      </c>
      <c r="DZ38" s="63">
        <v>0.0</v>
      </c>
      <c r="EA38" s="74">
        <v>0.0</v>
      </c>
      <c r="EB38" s="68"/>
      <c r="EC38" s="68"/>
      <c r="ED38" s="68"/>
      <c r="EE38" s="68"/>
      <c r="EF38" s="68"/>
      <c r="EG38" s="68" t="str">
        <f t="shared" si="108"/>
        <v/>
      </c>
      <c r="EH38" s="74"/>
      <c r="EI38" s="68" t="str">
        <f t="shared" si="55"/>
        <v/>
      </c>
      <c r="EJ38" s="78"/>
    </row>
    <row r="39" ht="15.75" hidden="1" customHeight="1" outlineLevel="1">
      <c r="A39" s="75">
        <v>45505.0</v>
      </c>
      <c r="B39" s="61">
        <f t="shared" si="8"/>
        <v>0</v>
      </c>
      <c r="C39" s="62" t="str">
        <f t="shared" si="9"/>
        <v/>
      </c>
      <c r="D39" s="63">
        <f t="shared" si="10"/>
        <v>3</v>
      </c>
      <c r="E39" s="97">
        <f t="shared" si="11"/>
        <v>0.3333333333</v>
      </c>
      <c r="F39" s="98">
        <f t="shared" si="12"/>
        <v>1</v>
      </c>
      <c r="G39" s="99">
        <f t="shared" si="13"/>
        <v>110.02</v>
      </c>
      <c r="H39" s="100">
        <f t="shared" si="146"/>
        <v>110.02</v>
      </c>
      <c r="I39" s="101">
        <f t="shared" si="15"/>
        <v>3</v>
      </c>
      <c r="J39" s="98">
        <f t="shared" ref="J39:P39" si="157">SUM(AD39,AX39,BR39,CL39,DF39)</f>
        <v>330.06</v>
      </c>
      <c r="K39" s="93">
        <f t="shared" si="157"/>
        <v>0</v>
      </c>
      <c r="L39" s="94">
        <f t="shared" si="157"/>
        <v>0</v>
      </c>
      <c r="M39" s="94">
        <f t="shared" si="157"/>
        <v>0</v>
      </c>
      <c r="N39" s="94">
        <f t="shared" si="157"/>
        <v>0</v>
      </c>
      <c r="O39" s="94">
        <f t="shared" si="157"/>
        <v>0</v>
      </c>
      <c r="P39" s="94">
        <f t="shared" si="157"/>
        <v>0</v>
      </c>
      <c r="Q39" s="95" t="str">
        <f t="shared" si="17"/>
        <v/>
      </c>
      <c r="R39" s="67">
        <f t="shared" si="18"/>
        <v>0</v>
      </c>
      <c r="S39" s="68">
        <f t="shared" si="19"/>
        <v>3</v>
      </c>
      <c r="T39" s="13"/>
      <c r="U39" s="76" t="s">
        <v>48</v>
      </c>
      <c r="V39" s="61">
        <v>0.0</v>
      </c>
      <c r="W39" s="62"/>
      <c r="X39" s="63">
        <f>IFERROR(__xludf.DUMMYFUNCTION("IMPORTRANGE(""https://docs.google.com/spreadsheets/d/1F91-dGdrbIN-cGEPuy2AXVlBs2CcNO6jHf43XcJyGK0/edit"",""Mentoria GR| FACEBOOK ADS!n322"")"),3.0)</f>
        <v>3</v>
      </c>
      <c r="Y39" s="62" t="str">
        <f t="shared" si="136"/>
        <v/>
      </c>
      <c r="Z39" s="63">
        <f>IFERROR(__xludf.DUMMYFUNCTION("IMPORTRANGE(""https://docs.google.com/spreadsheets/d/1F91-dGdrbIN-cGEPuy2AXVlBs2CcNO6jHf43XcJyGK0/edit"",""Mentoria GR| FACEBOOK ADS!p322"")"),1.0)</f>
        <v>1</v>
      </c>
      <c r="AA39" s="62">
        <f t="shared" si="22"/>
        <v>110.02</v>
      </c>
      <c r="AB39" s="81">
        <f>IFERROR(__xludf.DUMMYFUNCTION("IMPORTRANGE(""https://docs.google.com/spreadsheets/d/1F91-dGdrbIN-cGEPuy2AXVlBs2CcNO6jHf43XcJyGK0/edit"",""Mentoria GR| FACEBOOK ADS!o322"")"),110.02)</f>
        <v>110.02</v>
      </c>
      <c r="AC39" s="62">
        <f t="shared" si="23"/>
        <v>3</v>
      </c>
      <c r="AD39" s="81">
        <f>IFERROR(__xludf.DUMMYFUNCTION("IMPORTRANGE(""https://docs.google.com/spreadsheets/d/1F91-dGdrbIN-cGEPuy2AXVlBs2CcNO6jHf43XcJyGK0/edit"",""Mentoria GR| FACEBOOK ADS!q322"")"),330.06)</f>
        <v>330.06</v>
      </c>
      <c r="AE39" s="74">
        <v>0.0</v>
      </c>
      <c r="AF39" s="68"/>
      <c r="AG39" s="68"/>
      <c r="AH39" s="68"/>
      <c r="AI39" s="68"/>
      <c r="AJ39" s="68"/>
      <c r="AK39" s="68"/>
      <c r="AL39" s="74"/>
      <c r="AM39" s="68">
        <f t="shared" si="25"/>
        <v>3</v>
      </c>
      <c r="AO39" s="82"/>
      <c r="AP39" s="61">
        <v>0.0</v>
      </c>
      <c r="AQ39" s="62" t="str">
        <f t="shared" si="149"/>
        <v/>
      </c>
      <c r="AR39" s="61" t="str">
        <f>IFERROR(__xludf.DUMMYFUNCTION("IMPORTRANGE(""https://docs.google.com/spreadsheets/d/1F91-dGdrbIN-cGEPuy2AXVlBs2CcNO6jHf43XcJyGK0/edit"",""ISCA TRILHA| FACEBOOK ADS!m132"")"),"")</f>
        <v/>
      </c>
      <c r="AS39" s="62" t="str">
        <f t="shared" si="150"/>
        <v/>
      </c>
      <c r="AT39" s="61">
        <v>0.0</v>
      </c>
      <c r="AU39" s="62" t="str">
        <f t="shared" si="28"/>
        <v/>
      </c>
      <c r="AV39" s="81">
        <f>IFERROR(__xludf.DUMMYFUNCTION("IMPORTRANGE(""https://docs.google.com/spreadsheets/d/1F91-dGdrbIN-cGEPuy2AXVlBs2CcNO6jHf43XcJyGK0/edit"",""ISCA TRILHA| FACEBOOK ADS!n132"")"),0.0)</f>
        <v>0</v>
      </c>
      <c r="AW39" s="62" t="str">
        <f t="shared" si="29"/>
        <v/>
      </c>
      <c r="AX39" s="63">
        <f>IFERROR(__xludf.DUMMYFUNCTION("IMPORTRANGE(""https://docs.google.com/spreadsheets/d/1F91-dGdrbIN-cGEPuy2AXVlBs2CcNO6jHf43XcJyGK0/edit"",""ISCA TRILHA| FACEBOOK ADS!p132"")"),0.0)</f>
        <v>0</v>
      </c>
      <c r="AY39" s="74">
        <f t="shared" si="152"/>
        <v>0</v>
      </c>
      <c r="AZ39" s="68"/>
      <c r="BA39" s="68"/>
      <c r="BB39" s="68"/>
      <c r="BC39" s="68"/>
      <c r="BD39" s="68"/>
      <c r="BE39" s="68"/>
      <c r="BF39" s="74"/>
      <c r="BG39" s="68" t="str">
        <f t="shared" si="31"/>
        <v/>
      </c>
      <c r="BH39" s="13"/>
      <c r="BI39" s="82"/>
      <c r="BJ39" s="61">
        <v>0.0</v>
      </c>
      <c r="BK39" s="62" t="str">
        <f t="shared" si="32"/>
        <v/>
      </c>
      <c r="BL39" s="63">
        <f>IFERROR(__xludf.DUMMYFUNCTION("IMPORTRANGE(""https://docs.google.com/spreadsheets/d/1F91-dGdrbIN-cGEPuy2AXVlBs2CcNO6jHf43XcJyGK0/edit"",""IMERSÃO ESCALA SEM FORMULA| FACEBOOK ADS!n180"")"),0.0)</f>
        <v>0</v>
      </c>
      <c r="BM39" s="62" t="str">
        <f t="shared" si="33"/>
        <v/>
      </c>
      <c r="BN39" s="61">
        <f>IFERROR(__xludf.DUMMYFUNCTION("IMPORTRANGE(""https://docs.google.com/spreadsheets/d/1F91-dGdrbIN-cGEPuy2AXVlBs2CcNO6jHf43XcJyGK0/edit"",""IMERSÃO ESCALA SEM FORMULA| FACEBOOK ADS!p180"")"),0.0)</f>
        <v>0</v>
      </c>
      <c r="BO39" s="62" t="str">
        <f t="shared" si="34"/>
        <v/>
      </c>
      <c r="BP39" s="81" t="str">
        <f>IFERROR(__xludf.DUMMYFUNCTION("IMPORTRANGE(""https://docs.google.com/spreadsheets/d/1F91-dGdrbIN-cGEPuy2AXVlBs2CcNO6jHf43XcJyGK0/edit"",""IMERSÃO ESCALA SEM FORMULA| FACEBOOK ADS!o180"")"),"")</f>
        <v/>
      </c>
      <c r="BQ39" s="62" t="str">
        <f t="shared" si="35"/>
        <v/>
      </c>
      <c r="BR39" s="63" t="str">
        <f>IFERROR(__xludf.DUMMYFUNCTION("IMPORTRANGE(""https://docs.google.com/spreadsheets/d/1F91-dGdrbIN-cGEPuy2AXVlBs2CcNO6jHf43XcJyGK0/edit"",""IMERSÃO ESCALA SEM FORMULA| FACEBOOK ADS!q180"")"),"")</f>
        <v/>
      </c>
      <c r="BS39" s="74">
        <v>0.0</v>
      </c>
      <c r="BT39" s="68"/>
      <c r="BU39" s="68"/>
      <c r="BV39" s="68"/>
      <c r="BW39" s="68"/>
      <c r="BX39" s="68"/>
      <c r="BY39" s="68" t="str">
        <f t="shared" si="102"/>
        <v/>
      </c>
      <c r="BZ39" s="74"/>
      <c r="CA39" s="68" t="str">
        <f t="shared" si="37"/>
        <v/>
      </c>
      <c r="CB39" s="13"/>
      <c r="CC39" s="80"/>
      <c r="CD39" s="61">
        <v>0.0</v>
      </c>
      <c r="CE39" s="62" t="str">
        <f t="shared" si="38"/>
        <v/>
      </c>
      <c r="CF39" s="61" t="str">
        <f>IFERROR(__xludf.DUMMYFUNCTION("IMPORTRANGE(""https://docs.google.com/spreadsheets/d/1F91-dGdrbIN-cGEPuy2AXVlBs2CcNO6jHf43XcJyGK0/edit"",""ESF DAY| FACEBOOK ADS!m311"")"),"")</f>
        <v/>
      </c>
      <c r="CG39" s="62" t="str">
        <f t="shared" si="39"/>
        <v/>
      </c>
      <c r="CH39" s="61">
        <v>0.0</v>
      </c>
      <c r="CI39" s="62" t="str">
        <f t="shared" si="40"/>
        <v/>
      </c>
      <c r="CJ39" s="81">
        <f>IFERROR(__xludf.DUMMYFUNCTION("IMPORTRANGE(""https://docs.google.com/spreadsheets/d/1F91-dGdrbIN-cGEPuy2AXVlBs2CcNO6jHf43XcJyGK0/edit"",""ESF DAY| FACEBOOK ADS!n311"")"),0.0)</f>
        <v>0</v>
      </c>
      <c r="CK39" s="62" t="str">
        <f t="shared" si="41"/>
        <v/>
      </c>
      <c r="CL39" s="63">
        <v>0.0</v>
      </c>
      <c r="CM39" s="74">
        <v>0.0</v>
      </c>
      <c r="CN39" s="68"/>
      <c r="CO39" s="68"/>
      <c r="CP39" s="68"/>
      <c r="CQ39" s="68"/>
      <c r="CR39" s="68"/>
      <c r="CS39" s="68" t="str">
        <f t="shared" si="104"/>
        <v/>
      </c>
      <c r="CT39" s="74"/>
      <c r="CU39" s="68" t="str">
        <f t="shared" si="43"/>
        <v/>
      </c>
      <c r="CV39" s="78"/>
      <c r="CW39" s="76"/>
      <c r="CX39" s="61">
        <v>0.0</v>
      </c>
      <c r="CY39" s="62" t="str">
        <f t="shared" si="44"/>
        <v/>
      </c>
      <c r="CZ39" s="61">
        <v>0.0</v>
      </c>
      <c r="DA39" s="62" t="str">
        <f t="shared" si="45"/>
        <v/>
      </c>
      <c r="DB39" s="61">
        <v>0.0</v>
      </c>
      <c r="DC39" s="62" t="str">
        <f t="shared" si="46"/>
        <v/>
      </c>
      <c r="DD39" s="61">
        <v>0.0</v>
      </c>
      <c r="DE39" s="62" t="str">
        <f t="shared" si="47"/>
        <v/>
      </c>
      <c r="DF39" s="63">
        <v>0.0</v>
      </c>
      <c r="DG39" s="74">
        <v>0.0</v>
      </c>
      <c r="DH39" s="68"/>
      <c r="DI39" s="68"/>
      <c r="DJ39" s="68"/>
      <c r="DK39" s="68"/>
      <c r="DL39" s="68"/>
      <c r="DM39" s="68" t="str">
        <f t="shared" si="106"/>
        <v/>
      </c>
      <c r="DN39" s="74"/>
      <c r="DO39" s="68" t="str">
        <f t="shared" si="49"/>
        <v/>
      </c>
      <c r="DP39" s="78"/>
      <c r="DQ39" s="76"/>
      <c r="DR39" s="61">
        <v>0.0</v>
      </c>
      <c r="DS39" s="62" t="str">
        <f t="shared" si="50"/>
        <v/>
      </c>
      <c r="DT39" s="61">
        <v>0.0</v>
      </c>
      <c r="DU39" s="62" t="str">
        <f t="shared" si="51"/>
        <v/>
      </c>
      <c r="DV39" s="61">
        <v>0.0</v>
      </c>
      <c r="DW39" s="62" t="str">
        <f t="shared" si="52"/>
        <v/>
      </c>
      <c r="DX39" s="61">
        <v>0.0</v>
      </c>
      <c r="DY39" s="62" t="str">
        <f t="shared" si="53"/>
        <v/>
      </c>
      <c r="DZ39" s="63">
        <v>0.0</v>
      </c>
      <c r="EA39" s="74">
        <v>0.0</v>
      </c>
      <c r="EB39" s="68"/>
      <c r="EC39" s="68"/>
      <c r="ED39" s="68"/>
      <c r="EE39" s="68"/>
      <c r="EF39" s="68"/>
      <c r="EG39" s="68" t="str">
        <f t="shared" si="108"/>
        <v/>
      </c>
      <c r="EH39" s="74"/>
      <c r="EI39" s="68" t="str">
        <f t="shared" si="55"/>
        <v/>
      </c>
      <c r="EJ39" s="7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</sheetData>
  <mergeCells count="7">
    <mergeCell ref="B1:R1"/>
    <mergeCell ref="V1:AK1"/>
    <mergeCell ref="AP1:BE1"/>
    <mergeCell ref="BJ1:CA1"/>
    <mergeCell ref="CD1:CU1"/>
    <mergeCell ref="CX1:DO1"/>
    <mergeCell ref="DR1:E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2.63"/>
    <col customWidth="1" min="3" max="3" width="5.88"/>
    <col customWidth="1" min="4" max="6" width="12.63"/>
  </cols>
  <sheetData>
    <row r="1" ht="15.75" customHeight="1">
      <c r="A1" s="103"/>
      <c r="B1" s="104"/>
      <c r="C1" s="105"/>
      <c r="D1" s="106" t="s">
        <v>49</v>
      </c>
      <c r="E1" s="107" t="s">
        <v>50</v>
      </c>
      <c r="F1" s="108" t="s">
        <v>51</v>
      </c>
    </row>
    <row r="2" ht="15.75" customHeight="1">
      <c r="A2" s="109" t="s">
        <v>52</v>
      </c>
      <c r="B2" s="110" t="s">
        <v>53</v>
      </c>
      <c r="C2" s="111">
        <v>0.5</v>
      </c>
      <c r="D2" s="112">
        <f t="shared" ref="D2:D5" si="1">D3/C2</f>
        <v>266.6666667</v>
      </c>
      <c r="E2" s="112">
        <f t="shared" ref="E2:E5" si="2">E3/C2</f>
        <v>400</v>
      </c>
      <c r="F2" s="112">
        <f t="shared" ref="F2:F5" si="3">F3/C2</f>
        <v>800</v>
      </c>
    </row>
    <row r="3" ht="15.75" customHeight="1">
      <c r="A3" s="113"/>
      <c r="B3" s="110" t="s">
        <v>54</v>
      </c>
      <c r="C3" s="111">
        <v>0.5</v>
      </c>
      <c r="D3" s="112">
        <f t="shared" si="1"/>
        <v>133.3333333</v>
      </c>
      <c r="E3" s="112">
        <f t="shared" si="2"/>
        <v>200</v>
      </c>
      <c r="F3" s="112">
        <f t="shared" si="3"/>
        <v>400</v>
      </c>
    </row>
    <row r="4" ht="15.75" customHeight="1">
      <c r="A4" s="113"/>
      <c r="B4" s="110" t="s">
        <v>55</v>
      </c>
      <c r="C4" s="111">
        <v>0.6</v>
      </c>
      <c r="D4" s="112">
        <f t="shared" si="1"/>
        <v>66.66666667</v>
      </c>
      <c r="E4" s="112">
        <f t="shared" si="2"/>
        <v>100</v>
      </c>
      <c r="F4" s="112">
        <f t="shared" si="3"/>
        <v>200</v>
      </c>
    </row>
    <row r="5" ht="15.75" customHeight="1">
      <c r="A5" s="113"/>
      <c r="B5" s="110" t="s">
        <v>56</v>
      </c>
      <c r="C5" s="111">
        <v>0.25</v>
      </c>
      <c r="D5" s="112">
        <f t="shared" si="1"/>
        <v>40</v>
      </c>
      <c r="E5" s="112">
        <f t="shared" si="2"/>
        <v>60</v>
      </c>
      <c r="F5" s="112">
        <f t="shared" si="3"/>
        <v>120</v>
      </c>
    </row>
    <row r="6" ht="15.75" customHeight="1">
      <c r="A6" s="113"/>
      <c r="B6" s="114" t="s">
        <v>57</v>
      </c>
      <c r="C6" s="115"/>
      <c r="D6" s="116">
        <v>10.0</v>
      </c>
      <c r="E6" s="116">
        <v>15.0</v>
      </c>
      <c r="F6" s="116">
        <v>30.0</v>
      </c>
    </row>
    <row r="7" ht="15.75" customHeight="1">
      <c r="A7" s="113"/>
      <c r="B7" s="114" t="s">
        <v>58</v>
      </c>
      <c r="C7" s="115"/>
      <c r="D7" s="117">
        <v>18000.0</v>
      </c>
      <c r="E7" s="117">
        <v>18000.0</v>
      </c>
      <c r="F7" s="117">
        <v>18000.0</v>
      </c>
    </row>
    <row r="8" ht="15.75" customHeight="1">
      <c r="A8" s="118"/>
      <c r="B8" s="114" t="s">
        <v>59</v>
      </c>
      <c r="C8" s="115"/>
      <c r="D8" s="119">
        <f t="shared" ref="D8:F8" si="4">D6*D7</f>
        <v>180000</v>
      </c>
      <c r="E8" s="120">
        <f t="shared" si="4"/>
        <v>270000</v>
      </c>
      <c r="F8" s="121">
        <f t="shared" si="4"/>
        <v>540000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A2:A8"/>
    <mergeCell ref="B6:C6"/>
    <mergeCell ref="B7:C7"/>
    <mergeCell ref="B8:C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7.75"/>
    <col customWidth="1" min="3" max="6" width="12.63"/>
  </cols>
  <sheetData>
    <row r="1" ht="15.75" customHeight="1"/>
    <row r="2" ht="15.75" customHeight="1">
      <c r="B2" s="122" t="s">
        <v>60</v>
      </c>
      <c r="C2" s="123"/>
      <c r="D2" s="124"/>
    </row>
    <row r="3" ht="15.75" customHeight="1">
      <c r="B3" s="125" t="s">
        <v>61</v>
      </c>
      <c r="D3" s="126"/>
    </row>
    <row r="4" ht="15.75" customHeight="1">
      <c r="B4" s="127" t="s">
        <v>62</v>
      </c>
      <c r="C4" s="128">
        <v>100.0</v>
      </c>
      <c r="D4" s="129" t="s">
        <v>63</v>
      </c>
    </row>
    <row r="5" ht="15.75" customHeight="1">
      <c r="B5" s="130" t="s">
        <v>64</v>
      </c>
      <c r="C5" s="131">
        <v>20.0</v>
      </c>
      <c r="D5" s="132">
        <f t="shared" ref="D5:D13" si="1">IFERROR(C5/$C$4,"")</f>
        <v>0.2</v>
      </c>
    </row>
    <row r="6" ht="15.75" customHeight="1">
      <c r="B6" s="130" t="s">
        <v>65</v>
      </c>
      <c r="C6" s="131">
        <v>10.0</v>
      </c>
      <c r="D6" s="132">
        <f t="shared" si="1"/>
        <v>0.1</v>
      </c>
    </row>
    <row r="7" ht="15.75" customHeight="1">
      <c r="B7" s="130" t="s">
        <v>66</v>
      </c>
      <c r="C7" s="131">
        <v>33.0</v>
      </c>
      <c r="D7" s="132">
        <f t="shared" si="1"/>
        <v>0.33</v>
      </c>
    </row>
    <row r="8" ht="15.75" customHeight="1">
      <c r="B8" s="130" t="s">
        <v>67</v>
      </c>
      <c r="C8" s="131">
        <v>21.0</v>
      </c>
      <c r="D8" s="132">
        <f t="shared" si="1"/>
        <v>0.21</v>
      </c>
    </row>
    <row r="9" ht="15.75" customHeight="1">
      <c r="B9" s="130" t="s">
        <v>68</v>
      </c>
      <c r="C9" s="131">
        <v>1.0</v>
      </c>
      <c r="D9" s="132">
        <f t="shared" si="1"/>
        <v>0.01</v>
      </c>
    </row>
    <row r="10" ht="15.75" customHeight="1">
      <c r="B10" s="130" t="s">
        <v>69</v>
      </c>
      <c r="C10" s="131">
        <v>7.0</v>
      </c>
      <c r="D10" s="132">
        <f t="shared" si="1"/>
        <v>0.07</v>
      </c>
    </row>
    <row r="11" ht="15.75" customHeight="1">
      <c r="B11" s="130" t="s">
        <v>70</v>
      </c>
      <c r="C11" s="131">
        <v>2.0</v>
      </c>
      <c r="D11" s="132">
        <f t="shared" si="1"/>
        <v>0.02</v>
      </c>
    </row>
    <row r="12" ht="15.75" customHeight="1">
      <c r="B12" s="130" t="s">
        <v>71</v>
      </c>
      <c r="C12" s="131">
        <v>1.0</v>
      </c>
      <c r="D12" s="132">
        <f t="shared" si="1"/>
        <v>0.01</v>
      </c>
    </row>
    <row r="13" ht="15.75" customHeight="1">
      <c r="B13" s="130" t="s">
        <v>72</v>
      </c>
      <c r="C13" s="131">
        <v>5.0</v>
      </c>
      <c r="D13" s="132">
        <f t="shared" si="1"/>
        <v>0.05</v>
      </c>
    </row>
    <row r="14" ht="15.75" customHeight="1">
      <c r="B14" s="133" t="s">
        <v>73</v>
      </c>
      <c r="C14" s="134">
        <f t="shared" ref="C14:D14" si="2">SUM(C5:C13)</f>
        <v>100</v>
      </c>
      <c r="D14" s="135">
        <f t="shared" si="2"/>
        <v>1</v>
      </c>
    </row>
    <row r="15" ht="15.75" customHeight="1">
      <c r="B15" s="136" t="s">
        <v>74</v>
      </c>
      <c r="C15" s="137"/>
      <c r="D15" s="138"/>
    </row>
    <row r="16" ht="15.75" customHeight="1">
      <c r="B16" s="127" t="s">
        <v>75</v>
      </c>
      <c r="C16" s="128">
        <v>300.0</v>
      </c>
      <c r="D16" s="129" t="s">
        <v>63</v>
      </c>
    </row>
    <row r="17" ht="15.75" customHeight="1">
      <c r="B17" s="130" t="s">
        <v>76</v>
      </c>
      <c r="C17" s="131">
        <v>40.0</v>
      </c>
      <c r="D17" s="132">
        <f t="shared" ref="D17:D21" si="3">IFERROR(C17/$C$16,"")</f>
        <v>0.1333333333</v>
      </c>
    </row>
    <row r="18" ht="15.75" customHeight="1">
      <c r="B18" s="130" t="s">
        <v>77</v>
      </c>
      <c r="C18" s="131">
        <v>35.0</v>
      </c>
      <c r="D18" s="132">
        <f t="shared" si="3"/>
        <v>0.1166666667</v>
      </c>
    </row>
    <row r="19" ht="15.75" customHeight="1">
      <c r="B19" s="130" t="s">
        <v>78</v>
      </c>
      <c r="C19" s="131">
        <v>45.0</v>
      </c>
      <c r="D19" s="132">
        <f t="shared" si="3"/>
        <v>0.15</v>
      </c>
    </row>
    <row r="20" ht="15.75" customHeight="1">
      <c r="B20" s="130" t="s">
        <v>79</v>
      </c>
      <c r="C20" s="131">
        <v>130.0</v>
      </c>
      <c r="D20" s="132">
        <f t="shared" si="3"/>
        <v>0.4333333333</v>
      </c>
    </row>
    <row r="21" ht="15.75" customHeight="1">
      <c r="B21" s="130" t="s">
        <v>80</v>
      </c>
      <c r="C21" s="131">
        <v>50.0</v>
      </c>
      <c r="D21" s="132">
        <f t="shared" si="3"/>
        <v>0.1666666667</v>
      </c>
    </row>
    <row r="22" ht="15.75" customHeight="1">
      <c r="B22" s="133" t="s">
        <v>73</v>
      </c>
      <c r="C22" s="139">
        <f t="shared" ref="C22:D22" si="4">SUM(C17:C21)</f>
        <v>300</v>
      </c>
      <c r="D22" s="140">
        <f t="shared" si="4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B3:D3"/>
    <mergeCell ref="B15:D15"/>
  </mergeCells>
  <drawing r:id="rId1"/>
</worksheet>
</file>