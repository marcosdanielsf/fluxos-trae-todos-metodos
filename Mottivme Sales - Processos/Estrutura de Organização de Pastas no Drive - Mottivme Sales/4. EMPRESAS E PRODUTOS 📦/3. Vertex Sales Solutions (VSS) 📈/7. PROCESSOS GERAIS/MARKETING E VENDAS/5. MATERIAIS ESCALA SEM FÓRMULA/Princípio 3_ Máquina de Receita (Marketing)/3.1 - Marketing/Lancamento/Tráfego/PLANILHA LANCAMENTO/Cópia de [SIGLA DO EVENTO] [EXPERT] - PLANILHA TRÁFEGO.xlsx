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ça uma cópia para editar" sheetId="1" r:id="rId4"/>
    <sheet state="visible" name="1 - INÍCIO - PLANEJEMANTO VERBA" sheetId="2" r:id="rId5"/>
    <sheet state="visible" name="RESULTADOS DIRETOS" sheetId="3" r:id="rId6"/>
    <sheet state="visible" name="RESULTADOS MACROS" sheetId="4" r:id="rId7"/>
    <sheet state="visible" name="GERALZÃO - CAPTACAO" sheetId="5" r:id="rId8"/>
    <sheet state="visible" name="AQUECIMENTOANTECIPACAO" sheetId="6" r:id="rId9"/>
    <sheet state="visible" name="PLANILHAMENTO ADS" sheetId="7" r:id="rId10"/>
    <sheet state="visible" name="AUTO - QUENTE" sheetId="8" r:id="rId11"/>
    <sheet state="visible" name="AUTO - FRIO" sheetId="9" r:id="rId12"/>
    <sheet state="visible" name="FACE - QUENTE" sheetId="10" r:id="rId13"/>
    <sheet state="visible" name="FACE - FRIO" sheetId="11" r:id="rId14"/>
    <sheet state="visible" name="INSTA - QUENTE" sheetId="12" r:id="rId15"/>
    <sheet state="visible" name="INSTA - FRIO" sheetId="13" r:id="rId16"/>
    <sheet state="visible" name="GOOGLE - QUENTE" sheetId="14" r:id="rId17"/>
    <sheet state="visible" name="GOOGLE - FRIO" sheetId="15" r:id="rId18"/>
  </sheets>
  <definedNames/>
  <calcPr/>
</workbook>
</file>

<file path=xl/sharedStrings.xml><?xml version="1.0" encoding="utf-8"?>
<sst xmlns="http://schemas.openxmlformats.org/spreadsheetml/2006/main" count="518" uniqueCount="213">
  <si>
    <t>ORÇAMENTO DO LANÇAMENTO</t>
  </si>
  <si>
    <t>FATURAMENTO ACEITAVEL</t>
  </si>
  <si>
    <t>orçamento total do seu próximo lançamento</t>
  </si>
  <si>
    <t>meta % comparecimento</t>
  </si>
  <si>
    <t>meta lista de comparecimento</t>
  </si>
  <si>
    <t>% de investimento em lead no lançamento</t>
  </si>
  <si>
    <t>% de investimento em raiz/nutella</t>
  </si>
  <si>
    <t>meta % conversão</t>
  </si>
  <si>
    <t>% de investimento em remarketing</t>
  </si>
  <si>
    <t>meta conversão</t>
  </si>
  <si>
    <t>total de investimento em lead</t>
  </si>
  <si>
    <t>preço do produto principal</t>
  </si>
  <si>
    <t>meta de custo por lead</t>
  </si>
  <si>
    <t>meta faturamento</t>
  </si>
  <si>
    <t>meta de leads</t>
  </si>
  <si>
    <t>meta faturamento + order bump + upsell</t>
  </si>
  <si>
    <t>total de investimento em raiz/nutella (até lançamento)</t>
  </si>
  <si>
    <t>FATURAMENTO ÓTIMO</t>
  </si>
  <si>
    <t>quantidade de raiz/nutella (até lançamento)</t>
  </si>
  <si>
    <r>
      <rPr>
        <rFont val="Arial"/>
        <b/>
        <color theme="1"/>
        <sz val="10.0"/>
      </rPr>
      <t xml:space="preserve">quanto impulsionar por vídeo </t>
    </r>
    <r>
      <rPr>
        <rFont val="Arial"/>
        <b/>
        <color rgb="FF000000"/>
        <sz val="10.0"/>
      </rPr>
      <t>(durante 7 dias)</t>
    </r>
  </si>
  <si>
    <t>total de investimento em remarketing</t>
  </si>
  <si>
    <t>ORÇAMENTO REMARKETING</t>
  </si>
  <si>
    <t>Aquecimento</t>
  </si>
  <si>
    <t>Antecipação</t>
  </si>
  <si>
    <t>Cpls/Lives</t>
  </si>
  <si>
    <t>FATURAMENTO EXCELENTE</t>
  </si>
  <si>
    <t>Carrinho aberto</t>
  </si>
  <si>
    <t>Cpl</t>
  </si>
  <si>
    <t>CPL</t>
  </si>
  <si>
    <t>orçamento total do Evento Principal</t>
  </si>
  <si>
    <t>CPL 01</t>
  </si>
  <si>
    <t>CPL 02</t>
  </si>
  <si>
    <t>CPL 03</t>
  </si>
  <si>
    <t>CPL 04</t>
  </si>
  <si>
    <t>LEADS CAPTADOS</t>
  </si>
  <si>
    <t>LEADS DENTRO</t>
  </si>
  <si>
    <t>VALOR GASTO</t>
  </si>
  <si>
    <t>DENTRO DAS BM's</t>
  </si>
  <si>
    <t>DO ACTIVE</t>
  </si>
  <si>
    <t>TOTAL</t>
  </si>
  <si>
    <t>QUENTE</t>
  </si>
  <si>
    <t>ADS</t>
  </si>
  <si>
    <t>CAPTAÇÃO</t>
  </si>
  <si>
    <t>FRIO</t>
  </si>
  <si>
    <t>ORG TOTAL</t>
  </si>
  <si>
    <t>RMKT</t>
  </si>
  <si>
    <t>REMARKETING</t>
  </si>
  <si>
    <t>FONTES</t>
  </si>
  <si>
    <t>LEADS</t>
  </si>
  <si>
    <t>CUSTO P/ LEAD (CPL)</t>
  </si>
  <si>
    <t>VALOR</t>
  </si>
  <si>
    <t>VALOR PRA GASTAR</t>
  </si>
  <si>
    <t>[AUTO] [QUENTE]</t>
  </si>
  <si>
    <t>AQUECIMENTO</t>
  </si>
  <si>
    <t>[AUTO] [FRIO]</t>
  </si>
  <si>
    <t>[FACE] [QUENTE]</t>
  </si>
  <si>
    <t>ANTECIPAÇÃO</t>
  </si>
  <si>
    <t>[FACE] [FRIO]</t>
  </si>
  <si>
    <t>[INSTA] [QUENTE]</t>
  </si>
  <si>
    <t>LIVES/CPLS</t>
  </si>
  <si>
    <t>[INSTA] [FRIO]</t>
  </si>
  <si>
    <t>GOOGLE - QUENTE</t>
  </si>
  <si>
    <t>ABERTURA DE CARRINHO</t>
  </si>
  <si>
    <t>GOOGLE - FRIO</t>
  </si>
  <si>
    <t>CUSTO POR LEAD</t>
  </si>
  <si>
    <t>GASTO</t>
  </si>
  <si>
    <t>GASTO TOTAL</t>
  </si>
  <si>
    <t>AQUECIMENTO FB</t>
  </si>
  <si>
    <t>AQUECIMENTO GOOGLE</t>
  </si>
  <si>
    <t>META</t>
  </si>
  <si>
    <t>CAPTADOS</t>
  </si>
  <si>
    <t>ANTECIPAÇÃO FB</t>
  </si>
  <si>
    <t>VALOR PRA GASTAR:</t>
  </si>
  <si>
    <t xml:space="preserve">QUENTES </t>
  </si>
  <si>
    <t>ANTECIPAÇÃO GOOGLE</t>
  </si>
  <si>
    <t>CPL 1</t>
  </si>
  <si>
    <t>CPL 2</t>
  </si>
  <si>
    <t>CPL 3</t>
  </si>
  <si>
    <t>CPL 4</t>
  </si>
  <si>
    <t>FRIOS</t>
  </si>
  <si>
    <t>LIVES/CPLS FB</t>
  </si>
  <si>
    <t>GASTO FB</t>
  </si>
  <si>
    <t>LIVES/CPLS GOOGLE</t>
  </si>
  <si>
    <t>GASTO GG</t>
  </si>
  <si>
    <t>FALTA PARA A META QUENTE</t>
  </si>
  <si>
    <t>ABERTURA DE CARRINHO FB</t>
  </si>
  <si>
    <t>VALOR GASTO TOTAL:</t>
  </si>
  <si>
    <t>FALTA PARA A META FRIO</t>
  </si>
  <si>
    <t>ABERTURA DE CARRINHO GOOGLE</t>
  </si>
  <si>
    <t>TOTAL RMKT</t>
  </si>
  <si>
    <t>RESULTADOS REAIS</t>
  </si>
  <si>
    <t>TOTAL GASTO RMKT</t>
  </si>
  <si>
    <t>% DA VERBA GASTA</t>
  </si>
  <si>
    <t>% DOS LEADS ALCANÇADOS</t>
  </si>
  <si>
    <t>% DIFERENÇA DA %</t>
  </si>
  <si>
    <t>PREÇO POR LEAD GERAL</t>
  </si>
  <si>
    <t>DATA DE HOJE</t>
  </si>
  <si>
    <t>DATA FINAL</t>
  </si>
  <si>
    <t>QUANTOS DIAS FALTAM</t>
  </si>
  <si>
    <t>QUANTO FALTA PARA A META?</t>
  </si>
  <si>
    <t>LEADS/DIA PARA A META</t>
  </si>
  <si>
    <t>VERBA TOTAL</t>
  </si>
  <si>
    <t>VERBA RESTANTE</t>
  </si>
  <si>
    <t>GASTO DIARIO NECESSARIO</t>
  </si>
  <si>
    <t>CUSTO LEAD PARA A META</t>
  </si>
  <si>
    <t>DATA INÍCIO</t>
  </si>
  <si>
    <t>TOTAIS DE DIAS</t>
  </si>
  <si>
    <t>DIAS PASSADOS</t>
  </si>
  <si>
    <t>SCORE/DIA</t>
  </si>
  <si>
    <t>SCORE IDEAL TEÓRICO</t>
  </si>
  <si>
    <t>SCORE ATUAL PRÁTICA</t>
  </si>
  <si>
    <t>DIA</t>
  </si>
  <si>
    <t>IMPRESSÕES</t>
  </si>
  <si>
    <t>CTR %</t>
  </si>
  <si>
    <t>CLIQUE NO LINK</t>
  </si>
  <si>
    <t>VISUALIZAÇÃO DE PÁGINA</t>
  </si>
  <si>
    <t>PORCETAGEM DE VIEW PAGES</t>
  </si>
  <si>
    <t>NÚMERO DE LEADS</t>
  </si>
  <si>
    <t>CONVERSÃO EM LEADS</t>
  </si>
  <si>
    <t>MÉDIA</t>
  </si>
  <si>
    <t>AQUECIMENTO GASTO</t>
  </si>
  <si>
    <t>ANTECIPACAO GASTO</t>
  </si>
  <si>
    <t>AQC - FB</t>
  </si>
  <si>
    <t>AQC - GOOGLE</t>
  </si>
  <si>
    <t>ANT - FB</t>
  </si>
  <si>
    <t>ANT - GOOGLE</t>
  </si>
  <si>
    <t>-</t>
  </si>
  <si>
    <t>SOMA</t>
  </si>
  <si>
    <t>YOUTUBE</t>
  </si>
  <si>
    <t xml:space="preserve">FACEBOOK </t>
  </si>
  <si>
    <t xml:space="preserve">LINKS ADS </t>
  </si>
  <si>
    <t>ANUNCIO</t>
  </si>
  <si>
    <t>AD 01</t>
  </si>
  <si>
    <t>AD 02</t>
  </si>
  <si>
    <t>AD 03</t>
  </si>
  <si>
    <t>AD 04</t>
  </si>
  <si>
    <t>AD 05</t>
  </si>
  <si>
    <t>AD 06</t>
  </si>
  <si>
    <t>AD 07</t>
  </si>
  <si>
    <t>AD 08</t>
  </si>
  <si>
    <t>AD 09</t>
  </si>
  <si>
    <t>AD 10</t>
  </si>
  <si>
    <t>AD 11</t>
  </si>
  <si>
    <t>AD 12</t>
  </si>
  <si>
    <t>AD 13</t>
  </si>
  <si>
    <t>AD 14</t>
  </si>
  <si>
    <t>AD 15</t>
  </si>
  <si>
    <t>AD 16</t>
  </si>
  <si>
    <t>AD 17</t>
  </si>
  <si>
    <t>AD 18</t>
  </si>
  <si>
    <t>AD 19</t>
  </si>
  <si>
    <t>AD 20</t>
  </si>
  <si>
    <t>AD 21</t>
  </si>
  <si>
    <t>AD 22</t>
  </si>
  <si>
    <t>AD 23</t>
  </si>
  <si>
    <t>AD 24</t>
  </si>
  <si>
    <t>AD 25</t>
  </si>
  <si>
    <t>AD 26</t>
  </si>
  <si>
    <t>AD 27</t>
  </si>
  <si>
    <t>AD 28</t>
  </si>
  <si>
    <t>AD 29</t>
  </si>
  <si>
    <t>AD 30</t>
  </si>
  <si>
    <t>AD 31</t>
  </si>
  <si>
    <t>AD 32</t>
  </si>
  <si>
    <t>AD 33</t>
  </si>
  <si>
    <t>AD 34</t>
  </si>
  <si>
    <t>AD 35</t>
  </si>
  <si>
    <t>AD 36</t>
  </si>
  <si>
    <t>AD 37</t>
  </si>
  <si>
    <t>AD 38</t>
  </si>
  <si>
    <t>AD 39</t>
  </si>
  <si>
    <t>AD 40</t>
  </si>
  <si>
    <t>AD 41</t>
  </si>
  <si>
    <t>AD 42</t>
  </si>
  <si>
    <t>AD 43</t>
  </si>
  <si>
    <t>AD 44</t>
  </si>
  <si>
    <t>AD 45</t>
  </si>
  <si>
    <t>AD 46</t>
  </si>
  <si>
    <t>AD 47</t>
  </si>
  <si>
    <t>AD 48</t>
  </si>
  <si>
    <t>AD 49</t>
  </si>
  <si>
    <t>AD 50</t>
  </si>
  <si>
    <t>AD 51</t>
  </si>
  <si>
    <t>AD 52</t>
  </si>
  <si>
    <t>AD 53</t>
  </si>
  <si>
    <t>AD 54</t>
  </si>
  <si>
    <t>AD 55</t>
  </si>
  <si>
    <t>AD 56</t>
  </si>
  <si>
    <t>AD 57</t>
  </si>
  <si>
    <t>AD 58</t>
  </si>
  <si>
    <t>AD 59</t>
  </si>
  <si>
    <t>AD 60</t>
  </si>
  <si>
    <t>AD 61</t>
  </si>
  <si>
    <t>AD 62</t>
  </si>
  <si>
    <t>AD 63</t>
  </si>
  <si>
    <t>AD 64</t>
  </si>
  <si>
    <t>AD 65</t>
  </si>
  <si>
    <t>AD 66</t>
  </si>
  <si>
    <t>AD 67</t>
  </si>
  <si>
    <t>AD 68</t>
  </si>
  <si>
    <t>AD 69</t>
  </si>
  <si>
    <t>AD 70</t>
  </si>
  <si>
    <t>AD 71</t>
  </si>
  <si>
    <t>AD 72</t>
  </si>
  <si>
    <t>AD 73</t>
  </si>
  <si>
    <t>AD 74</t>
  </si>
  <si>
    <t>AD 75</t>
  </si>
  <si>
    <t>AD 76</t>
  </si>
  <si>
    <t>AD 77</t>
  </si>
  <si>
    <t>AD 78</t>
  </si>
  <si>
    <t>AD 79</t>
  </si>
  <si>
    <t>% DE VIEW PAGES/CLIQUE</t>
  </si>
  <si>
    <t>CONV DA PÁGINA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</si>
</sst>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[$R$ -416]#,##0"/>
    <numFmt numFmtId="165" formatCode="0.0%"/>
    <numFmt numFmtId="166" formatCode="[$R$ -416]#,##0.00"/>
    <numFmt numFmtId="167" formatCode="#,##0_);(#,##0)"/>
    <numFmt numFmtId="168" formatCode="0.000%"/>
    <numFmt numFmtId="169" formatCode="0.0000%"/>
    <numFmt numFmtId="170" formatCode="dd/mm"/>
    <numFmt numFmtId="171" formatCode="d/m"/>
    <numFmt numFmtId="172" formatCode="[$R$ -416]#,##0.0000"/>
    <numFmt numFmtId="173" formatCode="dd/mm/yyyy"/>
    <numFmt numFmtId="174" formatCode="dd/MM/yyyy"/>
  </numFmts>
  <fonts count="28">
    <font>
      <sz val="10.0"/>
      <color rgb="FF000000"/>
      <name val="Arial"/>
      <scheme val="minor"/>
    </font>
    <font>
      <b/>
      <color rgb="FFFFFFFF"/>
      <name val="Arial"/>
    </font>
    <font/>
    <font>
      <color theme="1"/>
      <name val="Arial"/>
    </font>
    <font>
      <b/>
      <color theme="1"/>
      <name val="Arial"/>
    </font>
    <font>
      <b/>
      <sz val="14.0"/>
      <color rgb="FFFFFFFF"/>
      <name val="Arial"/>
    </font>
    <font>
      <b/>
      <sz val="18.0"/>
      <color theme="1"/>
      <name val="Arial"/>
    </font>
    <font>
      <b/>
      <sz val="12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8.0"/>
      <color rgb="FFFFFFFF"/>
      <name val="Arial"/>
    </font>
    <font>
      <b/>
      <sz val="10.0"/>
      <color rgb="FFFFFFFF"/>
      <name val="Arial"/>
    </font>
    <font>
      <b/>
      <sz val="14.0"/>
      <color theme="1"/>
      <name val="Arial"/>
    </font>
    <font>
      <b/>
      <sz val="11.0"/>
      <color rgb="FFFFFFFF"/>
      <name val="Arial"/>
    </font>
    <font>
      <b/>
      <color rgb="FF000000"/>
      <name val="Arial"/>
    </font>
    <font>
      <sz val="10.0"/>
      <color rgb="FFFFFFFF"/>
      <name val="Arial"/>
    </font>
    <font>
      <color rgb="FF000000"/>
      <name val="Arial"/>
    </font>
    <font>
      <color rgb="FFFFFFFF"/>
      <name val="Arial"/>
    </font>
    <font>
      <sz val="10.0"/>
      <color rgb="FF000000"/>
      <name val="Arial"/>
    </font>
    <font>
      <u/>
      <color rgb="FFFFFFFF"/>
      <name val="Arial"/>
    </font>
    <font>
      <u/>
      <color rgb="FFFFFFFF"/>
      <name val="Arial"/>
    </font>
    <font>
      <b/>
      <sz val="10.0"/>
      <color rgb="FF000000"/>
      <name val="Arial"/>
    </font>
    <font>
      <u/>
      <color rgb="FF000000"/>
      <name val="Arial"/>
    </font>
    <font>
      <u/>
      <color rgb="FF1155CC"/>
      <name val="Arial"/>
    </font>
    <font>
      <u/>
      <sz val="10.0"/>
      <color rgb="FF1155CC"/>
      <name val="Arial"/>
    </font>
    <font>
      <sz val="9.0"/>
      <color rgb="FF1C1E21"/>
      <name val="Arial"/>
    </font>
    <font>
      <b/>
      <sz val="9.0"/>
      <color rgb="FF1C1E21"/>
      <name val="Arial"/>
    </font>
    <font>
      <sz val="10.0"/>
      <color rgb="FF1C1E2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073763"/>
        <bgColor rgb="FF073763"/>
      </patternFill>
    </fill>
    <fill>
      <patternFill patternType="solid">
        <fgColor rgb="FF1C4587"/>
        <bgColor rgb="FF1C4587"/>
      </patternFill>
    </fill>
    <fill>
      <patternFill patternType="solid">
        <fgColor rgb="FF0B5394"/>
        <bgColor rgb="FF0B5394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741B47"/>
        <bgColor rgb="FF741B47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0B83ED"/>
        <bgColor rgb="FF0B83ED"/>
      </patternFill>
    </fill>
    <fill>
      <patternFill patternType="solid">
        <fgColor rgb="FFFBBC05"/>
        <bgColor rgb="FFFBBC05"/>
      </patternFill>
    </fill>
  </fills>
  <borders count="22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vertical="bottom"/>
    </xf>
    <xf borderId="4" fillId="4" fontId="3" numFmtId="164" xfId="0" applyAlignment="1" applyBorder="1" applyFill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4" fillId="5" fontId="3" numFmtId="9" xfId="0" applyAlignment="1" applyBorder="1" applyFill="1" applyFont="1" applyNumberFormat="1">
      <alignment horizontal="right" vertical="bottom"/>
    </xf>
    <xf borderId="3" fillId="0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vertical="bottom"/>
    </xf>
    <xf borderId="4" fillId="0" fontId="3" numFmtId="3" xfId="0" applyAlignment="1" applyBorder="1" applyFont="1" applyNumberFormat="1">
      <alignment horizontal="right" vertical="bottom"/>
    </xf>
    <xf borderId="4" fillId="4" fontId="4" numFmtId="10" xfId="0" applyAlignment="1" applyBorder="1" applyFont="1" applyNumberFormat="1">
      <alignment horizontal="right" vertical="bottom"/>
    </xf>
    <xf borderId="4" fillId="0" fontId="3" numFmtId="3" xfId="0" applyAlignment="1" applyBorder="1" applyFont="1" applyNumberFormat="1">
      <alignment vertical="bottom"/>
    </xf>
    <xf borderId="4" fillId="4" fontId="4" numFmtId="9" xfId="0" applyAlignment="1" applyBorder="1" applyFont="1" applyNumberFormat="1">
      <alignment horizontal="right" vertical="bottom"/>
    </xf>
    <xf borderId="4" fillId="5" fontId="3" numFmtId="165" xfId="0" applyAlignment="1" applyBorder="1" applyFont="1" applyNumberFormat="1">
      <alignment horizontal="right" vertical="bottom"/>
    </xf>
    <xf borderId="4" fillId="0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vertical="bottom"/>
    </xf>
    <xf borderId="4" fillId="5" fontId="3" numFmtId="164" xfId="0" applyAlignment="1" applyBorder="1" applyFont="1" applyNumberFormat="1">
      <alignment horizontal="right" vertical="bottom"/>
    </xf>
    <xf borderId="4" fillId="5" fontId="3" numFmtId="166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vertical="bottom"/>
    </xf>
    <xf borderId="6" fillId="0" fontId="3" numFmtId="164" xfId="0" applyAlignment="1" applyBorder="1" applyFont="1" applyNumberFormat="1">
      <alignment horizontal="right" vertical="bottom"/>
    </xf>
    <xf borderId="4" fillId="5" fontId="3" numFmtId="0" xfId="0" applyAlignment="1" applyBorder="1" applyFont="1">
      <alignment horizontal="right" vertical="bottom"/>
    </xf>
    <xf borderId="4" fillId="0" fontId="3" numFmtId="166" xfId="0" applyAlignment="1" applyBorder="1" applyFont="1" applyNumberFormat="1">
      <alignment horizontal="right" vertical="bottom"/>
    </xf>
    <xf borderId="4" fillId="0" fontId="3" numFmtId="9" xfId="0" applyAlignment="1" applyBorder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0" fontId="3" numFmtId="9" xfId="0" applyAlignment="1" applyFont="1" applyNumberFormat="1">
      <alignment vertical="bottom"/>
    </xf>
    <xf borderId="0" fillId="2" fontId="1" numFmtId="0" xfId="0" applyAlignment="1" applyFont="1">
      <alignment horizontal="center" vertical="bottom"/>
    </xf>
    <xf borderId="7" fillId="3" fontId="4" numFmtId="0" xfId="0" applyAlignment="1" applyBorder="1" applyFont="1">
      <alignment vertical="bottom"/>
    </xf>
    <xf borderId="7" fillId="4" fontId="3" numFmtId="16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horizontal="center" vertical="bottom"/>
    </xf>
    <xf borderId="9" fillId="0" fontId="2" numFmtId="0" xfId="0" applyBorder="1" applyFont="1"/>
    <xf borderId="7" fillId="0" fontId="3" numFmtId="0" xfId="0" applyAlignment="1" applyBorder="1" applyFont="1">
      <alignment vertical="bottom"/>
    </xf>
    <xf borderId="7" fillId="4" fontId="4" numFmtId="10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horizontal="right" vertical="bottom"/>
    </xf>
    <xf borderId="7" fillId="0" fontId="3" numFmtId="164" xfId="0" applyAlignment="1" applyBorder="1" applyFont="1" applyNumberFormat="1">
      <alignment horizontal="right" vertical="bottom"/>
    </xf>
    <xf borderId="7" fillId="0" fontId="3" numFmtId="166" xfId="0" applyAlignment="1" applyBorder="1" applyFont="1" applyNumberFormat="1">
      <alignment vertical="bottom"/>
    </xf>
    <xf borderId="0" fillId="0" fontId="3" numFmtId="0" xfId="0" applyAlignment="1" applyFont="1">
      <alignment horizontal="center" vertical="bottom"/>
    </xf>
    <xf borderId="10" fillId="2" fontId="1" numFmtId="0" xfId="0" applyAlignment="1" applyBorder="1" applyFont="1">
      <alignment horizontal="center" vertical="bottom"/>
    </xf>
    <xf borderId="11" fillId="0" fontId="2" numFmtId="0" xfId="0" applyBorder="1" applyFont="1"/>
    <xf borderId="0" fillId="0" fontId="3" numFmtId="3" xfId="0" applyAlignment="1" applyFont="1" applyNumberFormat="1">
      <alignment horizontal="center" vertical="bottom"/>
    </xf>
    <xf borderId="10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10" xfId="0" applyAlignment="1" applyFont="1" applyNumberFormat="1">
      <alignment horizontal="right" vertical="bottom"/>
    </xf>
    <xf borderId="12" fillId="6" fontId="5" numFmtId="0" xfId="0" applyAlignment="1" applyBorder="1" applyFill="1" applyFont="1">
      <alignment horizontal="center"/>
    </xf>
    <xf borderId="0" fillId="0" fontId="3" numFmtId="0" xfId="0" applyFont="1"/>
    <xf borderId="13" fillId="6" fontId="5" numFmtId="0" xfId="0" applyAlignment="1" applyBorder="1" applyFont="1">
      <alignment horizontal="center"/>
    </xf>
    <xf borderId="13" fillId="0" fontId="6" numFmtId="167" xfId="0" applyAlignment="1" applyBorder="1" applyFont="1" applyNumberFormat="1">
      <alignment horizontal="center"/>
    </xf>
    <xf borderId="13" fillId="0" fontId="6" numFmtId="166" xfId="0" applyAlignment="1" applyBorder="1" applyFont="1" applyNumberFormat="1">
      <alignment horizontal="center"/>
    </xf>
    <xf borderId="14" fillId="0" fontId="2" numFmtId="0" xfId="0" applyBorder="1" applyFont="1"/>
    <xf borderId="12" fillId="7" fontId="7" numFmtId="0" xfId="0" applyAlignment="1" applyBorder="1" applyFill="1" applyFont="1">
      <alignment horizontal="center"/>
    </xf>
    <xf borderId="12" fillId="8" fontId="7" numFmtId="0" xfId="0" applyAlignment="1" applyBorder="1" applyFill="1" applyFont="1">
      <alignment horizontal="center"/>
    </xf>
    <xf borderId="12" fillId="9" fontId="7" numFmtId="0" xfId="0" applyAlignment="1" applyBorder="1" applyFill="1" applyFont="1">
      <alignment horizontal="center"/>
    </xf>
    <xf borderId="0" fillId="0" fontId="8" numFmtId="0" xfId="0" applyAlignment="1" applyFont="1">
      <alignment horizontal="center"/>
    </xf>
    <xf borderId="0" fillId="0" fontId="8" numFmtId="3" xfId="0" applyAlignment="1" applyFont="1" applyNumberFormat="1">
      <alignment horizontal="center"/>
    </xf>
    <xf borderId="0" fillId="0" fontId="8" numFmtId="166" xfId="0" applyAlignment="1" applyFont="1" applyNumberFormat="1">
      <alignment horizontal="center"/>
    </xf>
    <xf borderId="0" fillId="0" fontId="9" numFmtId="166" xfId="0" applyAlignment="1" applyFont="1" applyNumberFormat="1">
      <alignment horizontal="center"/>
    </xf>
    <xf borderId="0" fillId="0" fontId="8" numFmtId="0" xfId="0" applyAlignment="1" applyFont="1">
      <alignment horizontal="center" vertical="center"/>
    </xf>
    <xf borderId="0" fillId="2" fontId="10" numFmtId="0" xfId="0" applyAlignment="1" applyFont="1">
      <alignment horizontal="center" vertical="center"/>
    </xf>
    <xf borderId="0" fillId="0" fontId="8" numFmtId="166" xfId="0" applyAlignment="1" applyFont="1" applyNumberFormat="1">
      <alignment horizontal="center" vertical="center"/>
    </xf>
    <xf borderId="0" fillId="0" fontId="8" numFmtId="166" xfId="0" applyAlignment="1" applyFont="1" applyNumberFormat="1">
      <alignment horizontal="center" vertical="bottom"/>
    </xf>
    <xf borderId="0" fillId="2" fontId="11" numFmtId="0" xfId="0" applyAlignment="1" applyFont="1">
      <alignment horizontal="center"/>
    </xf>
    <xf borderId="0" fillId="0" fontId="12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15" fillId="2" fontId="11" numFmtId="0" xfId="0" applyAlignment="1" applyBorder="1" applyFont="1">
      <alignment horizontal="center" vertical="center"/>
    </xf>
    <xf borderId="16" fillId="2" fontId="11" numFmtId="3" xfId="0" applyAlignment="1" applyBorder="1" applyFont="1" applyNumberFormat="1">
      <alignment horizontal="center" vertical="center"/>
    </xf>
    <xf borderId="16" fillId="2" fontId="11" numFmtId="166" xfId="0" applyAlignment="1" applyBorder="1" applyFont="1" applyNumberFormat="1">
      <alignment horizontal="center" vertical="center"/>
    </xf>
    <xf borderId="0" fillId="2" fontId="11" numFmtId="0" xfId="0" applyAlignment="1" applyFont="1">
      <alignment horizontal="center" vertical="center"/>
    </xf>
    <xf borderId="0" fillId="2" fontId="11" numFmtId="166" xfId="0" applyAlignment="1" applyFont="1" applyNumberFormat="1">
      <alignment horizontal="center" vertical="center"/>
    </xf>
    <xf borderId="17" fillId="0" fontId="2" numFmtId="0" xfId="0" applyBorder="1" applyFont="1"/>
    <xf borderId="11" fillId="10" fontId="11" numFmtId="0" xfId="0" applyAlignment="1" applyBorder="1" applyFill="1" applyFont="1">
      <alignment horizontal="center"/>
    </xf>
    <xf borderId="7" fillId="10" fontId="11" numFmtId="3" xfId="0" applyAlignment="1" applyBorder="1" applyFont="1" applyNumberFormat="1">
      <alignment horizontal="center"/>
    </xf>
    <xf borderId="7" fillId="10" fontId="11" numFmtId="166" xfId="0" applyAlignment="1" applyBorder="1" applyFont="1" applyNumberFormat="1">
      <alignment horizontal="center"/>
    </xf>
    <xf borderId="16" fillId="11" fontId="11" numFmtId="0" xfId="0" applyAlignment="1" applyBorder="1" applyFill="1" applyFont="1">
      <alignment horizontal="center" vertical="center"/>
    </xf>
    <xf borderId="16" fillId="11" fontId="11" numFmtId="166" xfId="0" applyAlignment="1" applyBorder="1" applyFont="1" applyNumberFormat="1">
      <alignment horizontal="center"/>
    </xf>
    <xf borderId="11" fillId="12" fontId="11" numFmtId="0" xfId="0" applyAlignment="1" applyBorder="1" applyFill="1" applyFont="1">
      <alignment horizontal="center"/>
    </xf>
    <xf borderId="11" fillId="12" fontId="11" numFmtId="166" xfId="0" applyAlignment="1" applyBorder="1" applyFont="1" applyNumberFormat="1">
      <alignment horizontal="center"/>
    </xf>
    <xf borderId="16" fillId="13" fontId="11" numFmtId="0" xfId="0" applyAlignment="1" applyBorder="1" applyFill="1" applyFont="1">
      <alignment horizontal="center" vertical="center"/>
    </xf>
    <xf borderId="16" fillId="13" fontId="11" numFmtId="166" xfId="0" applyAlignment="1" applyBorder="1" applyFont="1" applyNumberFormat="1">
      <alignment horizontal="center"/>
    </xf>
    <xf borderId="7" fillId="12" fontId="11" numFmtId="3" xfId="0" applyAlignment="1" applyBorder="1" applyFont="1" applyNumberFormat="1">
      <alignment horizontal="center"/>
    </xf>
    <xf borderId="7" fillId="12" fontId="11" numFmtId="166" xfId="0" applyAlignment="1" applyBorder="1" applyFont="1" applyNumberFormat="1">
      <alignment horizontal="center"/>
    </xf>
    <xf borderId="11" fillId="10" fontId="11" numFmtId="166" xfId="0" applyAlignment="1" applyBorder="1" applyFont="1" applyNumberFormat="1">
      <alignment horizontal="center"/>
    </xf>
    <xf borderId="16" fillId="14" fontId="11" numFmtId="0" xfId="0" applyAlignment="1" applyBorder="1" applyFill="1" applyFont="1">
      <alignment horizontal="center" vertical="center"/>
    </xf>
    <xf borderId="16" fillId="14" fontId="11" numFmtId="166" xfId="0" applyAlignment="1" applyBorder="1" applyFont="1" applyNumberFormat="1">
      <alignment horizontal="center"/>
    </xf>
    <xf borderId="16" fillId="15" fontId="11" numFmtId="0" xfId="0" applyAlignment="1" applyBorder="1" applyFill="1" applyFont="1">
      <alignment horizontal="center" vertical="center"/>
    </xf>
    <xf borderId="16" fillId="15" fontId="11" numFmtId="166" xfId="0" applyAlignment="1" applyBorder="1" applyFont="1" applyNumberFormat="1">
      <alignment horizontal="center"/>
    </xf>
    <xf borderId="0" fillId="16" fontId="8" numFmtId="0" xfId="0" applyAlignment="1" applyFill="1" applyFont="1">
      <alignment horizontal="center"/>
    </xf>
    <xf borderId="0" fillId="2" fontId="11" numFmtId="3" xfId="0" applyAlignment="1" applyFont="1" applyNumberFormat="1">
      <alignment horizontal="center"/>
    </xf>
    <xf borderId="0" fillId="2" fontId="11" numFmtId="166" xfId="0" applyAlignment="1" applyFont="1" applyNumberFormat="1">
      <alignment horizontal="center"/>
    </xf>
    <xf borderId="0" fillId="16" fontId="8" numFmtId="166" xfId="0" applyAlignment="1" applyFont="1" applyNumberFormat="1">
      <alignment horizontal="center"/>
    </xf>
    <xf borderId="10" fillId="2" fontId="11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0" fillId="0" fontId="11" numFmtId="166" xfId="0" applyAlignment="1" applyFont="1" applyNumberFormat="1">
      <alignment horizontal="center"/>
    </xf>
    <xf borderId="7" fillId="10" fontId="1" numFmtId="0" xfId="0" applyAlignment="1" applyBorder="1" applyFont="1">
      <alignment horizontal="center" vertical="bottom"/>
    </xf>
    <xf borderId="7" fillId="10" fontId="1" numFmtId="3" xfId="0" applyAlignment="1" applyBorder="1" applyFont="1" applyNumberFormat="1">
      <alignment horizontal="center" vertical="bottom"/>
    </xf>
    <xf borderId="0" fillId="10" fontId="11" numFmtId="166" xfId="0" applyAlignment="1" applyFont="1" applyNumberFormat="1">
      <alignment horizontal="center"/>
    </xf>
    <xf borderId="7" fillId="12" fontId="1" numFmtId="0" xfId="0" applyAlignment="1" applyBorder="1" applyFont="1">
      <alignment horizontal="center" vertical="bottom"/>
    </xf>
    <xf borderId="7" fillId="12" fontId="1" numFmtId="3" xfId="0" applyAlignment="1" applyBorder="1" applyFont="1" applyNumberFormat="1">
      <alignment horizontal="center" vertical="bottom"/>
    </xf>
    <xf borderId="0" fillId="12" fontId="11" numFmtId="166" xfId="0" applyAlignment="1" applyFont="1" applyNumberFormat="1">
      <alignment horizontal="center"/>
    </xf>
    <xf borderId="7" fillId="11" fontId="11" numFmtId="0" xfId="0" applyAlignment="1" applyBorder="1" applyFont="1">
      <alignment horizontal="center"/>
    </xf>
    <xf borderId="7" fillId="11" fontId="11" numFmtId="166" xfId="0" applyAlignment="1" applyBorder="1" applyFont="1" applyNumberFormat="1">
      <alignment horizontal="center"/>
    </xf>
    <xf borderId="0" fillId="0" fontId="3" numFmtId="166" xfId="0" applyAlignment="1" applyFont="1" applyNumberFormat="1">
      <alignment vertical="bottom"/>
    </xf>
    <xf borderId="0" fillId="2" fontId="1" numFmtId="3" xfId="0" applyAlignment="1" applyFont="1" applyNumberFormat="1">
      <alignment horizontal="center" vertical="bottom"/>
    </xf>
    <xf borderId="0" fillId="0" fontId="11" numFmtId="3" xfId="0" applyAlignment="1" applyFont="1" applyNumberFormat="1">
      <alignment horizontal="center"/>
    </xf>
    <xf borderId="7" fillId="13" fontId="11" numFmtId="0" xfId="0" applyAlignment="1" applyBorder="1" applyFont="1">
      <alignment horizontal="center"/>
    </xf>
    <xf borderId="7" fillId="13" fontId="11" numFmtId="166" xfId="0" applyAlignment="1" applyBorder="1" applyFont="1" applyNumberFormat="1">
      <alignment horizontal="center"/>
    </xf>
    <xf borderId="10" fillId="10" fontId="1" numFmtId="3" xfId="0" applyAlignment="1" applyBorder="1" applyFont="1" applyNumberFormat="1">
      <alignment horizontal="center" vertical="bottom"/>
    </xf>
    <xf borderId="0" fillId="2" fontId="8" numFmtId="166" xfId="0" applyAlignment="1" applyFont="1" applyNumberFormat="1">
      <alignment horizontal="center"/>
    </xf>
    <xf borderId="7" fillId="14" fontId="1" numFmtId="166" xfId="0" applyAlignment="1" applyBorder="1" applyFont="1" applyNumberFormat="1">
      <alignment horizontal="center" vertical="bottom"/>
    </xf>
    <xf borderId="7" fillId="14" fontId="1" numFmtId="0" xfId="0" applyAlignment="1" applyBorder="1" applyFont="1">
      <alignment horizontal="center" vertical="bottom"/>
    </xf>
    <xf borderId="10" fillId="14" fontId="1" numFmtId="0" xfId="0" applyAlignment="1" applyBorder="1" applyFont="1">
      <alignment horizontal="center" vertical="bottom"/>
    </xf>
    <xf borderId="10" fillId="12" fontId="1" numFmtId="3" xfId="0" applyAlignment="1" applyBorder="1" applyFont="1" applyNumberFormat="1">
      <alignment horizontal="center" vertical="bottom"/>
    </xf>
    <xf borderId="7" fillId="14" fontId="11" numFmtId="0" xfId="0" applyAlignment="1" applyBorder="1" applyFont="1">
      <alignment horizontal="center"/>
    </xf>
    <xf borderId="7" fillId="14" fontId="11" numFmtId="166" xfId="0" applyAlignment="1" applyBorder="1" applyFont="1" applyNumberFormat="1">
      <alignment horizontal="center"/>
    </xf>
    <xf borderId="10" fillId="14" fontId="1" numFmtId="166" xfId="0" applyAlignment="1" applyBorder="1" applyFont="1" applyNumberFormat="1">
      <alignment horizontal="center" vertical="bottom"/>
    </xf>
    <xf borderId="7" fillId="2" fontId="1" numFmtId="3" xfId="0" applyAlignment="1" applyBorder="1" applyFont="1" applyNumberFormat="1">
      <alignment horizontal="center" vertical="bottom"/>
    </xf>
    <xf borderId="7" fillId="15" fontId="11" numFmtId="0" xfId="0" applyAlignment="1" applyBorder="1" applyFont="1">
      <alignment horizontal="center"/>
    </xf>
    <xf borderId="7" fillId="15" fontId="11" numFmtId="166" xfId="0" applyAlignment="1" applyBorder="1" applyFont="1" applyNumberFormat="1">
      <alignment horizontal="center"/>
    </xf>
    <xf borderId="0" fillId="2" fontId="1" numFmtId="166" xfId="0" applyAlignment="1" applyFont="1" applyNumberFormat="1">
      <alignment horizontal="center" vertical="bottom"/>
    </xf>
    <xf borderId="0" fillId="0" fontId="3" numFmtId="166" xfId="0" applyFont="1" applyNumberFormat="1"/>
    <xf borderId="7" fillId="2" fontId="11" numFmtId="0" xfId="0" applyAlignment="1" applyBorder="1" applyFont="1">
      <alignment horizontal="center"/>
    </xf>
    <xf borderId="7" fillId="2" fontId="13" numFmtId="166" xfId="0" applyAlignment="1" applyBorder="1" applyFont="1" applyNumberFormat="1">
      <alignment horizontal="center"/>
    </xf>
    <xf borderId="7" fillId="17" fontId="14" numFmtId="0" xfId="0" applyAlignment="1" applyBorder="1" applyFill="1" applyFont="1">
      <alignment horizontal="center" vertical="bottom"/>
    </xf>
    <xf borderId="7" fillId="17" fontId="14" numFmtId="3" xfId="0" applyAlignment="1" applyBorder="1" applyFont="1" applyNumberFormat="1">
      <alignment horizontal="center" vertical="bottom"/>
    </xf>
    <xf borderId="0" fillId="0" fontId="15" numFmtId="166" xfId="0" applyAlignment="1" applyFont="1" applyNumberFormat="1">
      <alignment horizontal="center"/>
    </xf>
    <xf borderId="7" fillId="0" fontId="14" numFmtId="0" xfId="0" applyAlignment="1" applyBorder="1" applyFont="1">
      <alignment horizontal="center" vertical="bottom"/>
    </xf>
    <xf borderId="7" fillId="0" fontId="14" numFmtId="166" xfId="0" applyAlignment="1" applyBorder="1" applyFont="1" applyNumberFormat="1">
      <alignment horizontal="center" vertical="bottom"/>
    </xf>
    <xf borderId="7" fillId="0" fontId="14" numFmtId="168" xfId="0" applyAlignment="1" applyBorder="1" applyFont="1" applyNumberFormat="1">
      <alignment horizontal="center" vertical="bottom"/>
    </xf>
    <xf borderId="7" fillId="0" fontId="14" numFmtId="169" xfId="0" applyAlignment="1" applyBorder="1" applyFont="1" applyNumberFormat="1">
      <alignment horizontal="center" vertical="bottom"/>
    </xf>
    <xf borderId="7" fillId="17" fontId="14" numFmtId="170" xfId="0" applyAlignment="1" applyBorder="1" applyFont="1" applyNumberFormat="1">
      <alignment horizontal="center" vertical="bottom"/>
    </xf>
    <xf borderId="7" fillId="0" fontId="14" numFmtId="171" xfId="0" applyAlignment="1" applyBorder="1" applyFont="1" applyNumberFormat="1">
      <alignment horizontal="center" vertical="bottom"/>
    </xf>
    <xf borderId="7" fillId="0" fontId="14" numFmtId="3" xfId="0" applyAlignment="1" applyBorder="1" applyFont="1" applyNumberFormat="1">
      <alignment horizontal="center" vertical="bottom"/>
    </xf>
    <xf borderId="0" fillId="0" fontId="1" numFmtId="3" xfId="0" applyAlignment="1" applyFont="1" applyNumberFormat="1">
      <alignment horizontal="center" vertical="bottom"/>
    </xf>
    <xf borderId="0" fillId="0" fontId="1" numFmtId="170" xfId="0" applyAlignment="1" applyFont="1" applyNumberFormat="1">
      <alignment horizontal="center" vertical="bottom"/>
    </xf>
    <xf borderId="0" fillId="0" fontId="1" numFmtId="171" xfId="0" applyAlignment="1" applyFont="1" applyNumberFormat="1">
      <alignment horizontal="center" vertical="bottom"/>
    </xf>
    <xf borderId="0" fillId="0" fontId="1" numFmtId="166" xfId="0" applyAlignment="1" applyFont="1" applyNumberFormat="1">
      <alignment horizontal="center" vertical="bottom"/>
    </xf>
    <xf borderId="0" fillId="0" fontId="16" numFmtId="171" xfId="0" applyAlignment="1" applyFont="1" applyNumberFormat="1">
      <alignment horizontal="center" vertical="bottom"/>
    </xf>
    <xf borderId="0" fillId="0" fontId="8" numFmtId="10" xfId="0" applyAlignment="1" applyFont="1" applyNumberFormat="1">
      <alignment horizontal="center"/>
    </xf>
    <xf borderId="7" fillId="2" fontId="1" numFmtId="0" xfId="0" applyAlignment="1" applyBorder="1" applyFont="1">
      <alignment horizontal="center" vertical="center"/>
    </xf>
    <xf borderId="7" fillId="2" fontId="1" numFmtId="10" xfId="0" applyAlignment="1" applyBorder="1" applyFont="1" applyNumberFormat="1">
      <alignment horizontal="center" vertical="center"/>
    </xf>
    <xf borderId="7" fillId="2" fontId="1" numFmtId="166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/>
    </xf>
    <xf borderId="0" fillId="0" fontId="4" numFmtId="170" xfId="0" applyAlignment="1" applyFont="1" applyNumberFormat="1">
      <alignment horizontal="center"/>
    </xf>
    <xf borderId="18" fillId="0" fontId="3" numFmtId="3" xfId="0" applyAlignment="1" applyBorder="1" applyFont="1" applyNumberFormat="1">
      <alignment horizontal="center"/>
    </xf>
    <xf borderId="18" fillId="0" fontId="3" numFmtId="10" xfId="0" applyAlignment="1" applyBorder="1" applyFont="1" applyNumberFormat="1">
      <alignment horizontal="center"/>
    </xf>
    <xf borderId="18" fillId="0" fontId="3" numFmtId="0" xfId="0" applyAlignment="1" applyBorder="1" applyFont="1">
      <alignment horizontal="center"/>
    </xf>
    <xf borderId="18" fillId="0" fontId="4" numFmtId="0" xfId="0" applyAlignment="1" applyBorder="1" applyFont="1">
      <alignment horizontal="center"/>
    </xf>
    <xf borderId="18" fillId="18" fontId="4" numFmtId="0" xfId="0" applyAlignment="1" applyBorder="1" applyFill="1" applyFont="1">
      <alignment horizontal="center"/>
    </xf>
    <xf borderId="18" fillId="18" fontId="4" numFmtId="166" xfId="0" applyAlignment="1" applyBorder="1" applyFont="1" applyNumberFormat="1">
      <alignment horizontal="center"/>
    </xf>
    <xf borderId="18" fillId="0" fontId="4" numFmtId="166" xfId="0" applyAlignment="1" applyBorder="1" applyFont="1" applyNumberFormat="1">
      <alignment horizontal="center"/>
    </xf>
    <xf borderId="18" fillId="0" fontId="4" numFmtId="10" xfId="0" applyAlignment="1" applyBorder="1" applyFont="1" applyNumberFormat="1">
      <alignment horizontal="center"/>
    </xf>
    <xf borderId="18" fillId="18" fontId="4" numFmtId="10" xfId="0" applyAlignment="1" applyBorder="1" applyFont="1" applyNumberFormat="1">
      <alignment horizontal="center"/>
    </xf>
    <xf borderId="18" fillId="18" fontId="4" numFmtId="3" xfId="0" applyAlignment="1" applyBorder="1" applyFont="1" applyNumberFormat="1">
      <alignment horizontal="center"/>
    </xf>
    <xf borderId="7" fillId="0" fontId="4" numFmtId="0" xfId="0" applyAlignment="1" applyBorder="1" applyFont="1">
      <alignment horizontal="center" vertical="center"/>
    </xf>
    <xf borderId="7" fillId="0" fontId="3" numFmtId="1" xfId="0" applyAlignment="1" applyBorder="1" applyFont="1" applyNumberFormat="1">
      <alignment horizontal="center"/>
    </xf>
    <xf borderId="7" fillId="0" fontId="3" numFmtId="10" xfId="0" applyAlignment="1" applyBorder="1" applyFont="1" applyNumberFormat="1">
      <alignment horizontal="center"/>
    </xf>
    <xf borderId="7" fillId="0" fontId="4" numFmtId="1" xfId="0" applyAlignment="1" applyBorder="1" applyFont="1" applyNumberFormat="1">
      <alignment horizontal="center"/>
    </xf>
    <xf borderId="7" fillId="0" fontId="4" numFmtId="0" xfId="0" applyAlignment="1" applyBorder="1" applyFont="1">
      <alignment horizontal="center"/>
    </xf>
    <xf borderId="7" fillId="0" fontId="4" numFmtId="166" xfId="0" applyAlignment="1" applyBorder="1" applyFont="1" applyNumberFormat="1">
      <alignment horizontal="center"/>
    </xf>
    <xf borderId="7" fillId="0" fontId="3" numFmtId="3" xfId="0" applyAlignment="1" applyBorder="1" applyFont="1" applyNumberFormat="1">
      <alignment horizontal="center"/>
    </xf>
    <xf borderId="7" fillId="0" fontId="3" numFmtId="0" xfId="0" applyAlignment="1" applyBorder="1" applyFont="1">
      <alignment horizontal="center"/>
    </xf>
    <xf borderId="0" fillId="0" fontId="4" numFmtId="10" xfId="0" applyAlignment="1" applyFont="1" applyNumberFormat="1">
      <alignment horizontal="center"/>
    </xf>
    <xf borderId="7" fillId="11" fontId="1" numFmtId="0" xfId="0" applyAlignment="1" applyBorder="1" applyFont="1">
      <alignment horizontal="center" vertical="bottom"/>
    </xf>
    <xf borderId="10" fillId="11" fontId="11" numFmtId="166" xfId="0" applyAlignment="1" applyBorder="1" applyFont="1" applyNumberFormat="1">
      <alignment horizontal="center" vertical="center"/>
    </xf>
    <xf borderId="19" fillId="0" fontId="2" numFmtId="0" xfId="0" applyBorder="1" applyFont="1"/>
    <xf borderId="0" fillId="16" fontId="17" numFmtId="0" xfId="0" applyAlignment="1" applyFont="1">
      <alignment horizontal="center" vertical="bottom"/>
    </xf>
    <xf borderId="7" fillId="13" fontId="1" numFmtId="0" xfId="0" applyAlignment="1" applyBorder="1" applyFont="1">
      <alignment horizontal="center" vertical="bottom"/>
    </xf>
    <xf borderId="10" fillId="13" fontId="11" numFmtId="166" xfId="0" applyAlignment="1" applyBorder="1" applyFont="1" applyNumberFormat="1">
      <alignment horizontal="center" vertical="center"/>
    </xf>
    <xf borderId="0" fillId="0" fontId="17" numFmtId="0" xfId="0" applyAlignment="1" applyFont="1">
      <alignment horizontal="center" vertical="bottom"/>
    </xf>
    <xf borderId="0" fillId="0" fontId="1" numFmtId="0" xfId="0" applyAlignment="1" applyFont="1">
      <alignment horizontal="center" vertical="center"/>
    </xf>
    <xf borderId="0" fillId="16" fontId="15" numFmtId="0" xfId="0" applyAlignment="1" applyFont="1">
      <alignment horizontal="center"/>
    </xf>
    <xf borderId="10" fillId="19" fontId="1" numFmtId="166" xfId="0" applyAlignment="1" applyBorder="1" applyFill="1" applyFont="1" applyNumberFormat="1">
      <alignment horizontal="center" vertical="bottom"/>
    </xf>
    <xf borderId="7" fillId="10" fontId="1" numFmtId="166" xfId="0" applyAlignment="1" applyBorder="1" applyFont="1" applyNumberFormat="1">
      <alignment horizontal="center" vertical="bottom"/>
    </xf>
    <xf borderId="0" fillId="16" fontId="15" numFmtId="0" xfId="0" applyAlignment="1" applyFont="1">
      <alignment horizontal="center" vertical="center"/>
    </xf>
    <xf borderId="7" fillId="11" fontId="1" numFmtId="170" xfId="0" applyAlignment="1" applyBorder="1" applyFont="1" applyNumberFormat="1">
      <alignment horizontal="center" vertical="bottom"/>
    </xf>
    <xf borderId="10" fillId="0" fontId="14" numFmtId="166" xfId="0" applyAlignment="1" applyBorder="1" applyFont="1" applyNumberFormat="1">
      <alignment horizontal="center" vertical="bottom"/>
    </xf>
    <xf borderId="7" fillId="16" fontId="18" numFmtId="166" xfId="0" applyAlignment="1" applyBorder="1" applyFont="1" applyNumberFormat="1">
      <alignment horizontal="center" vertical="bottom"/>
    </xf>
    <xf borderId="7" fillId="13" fontId="1" numFmtId="170" xfId="0" applyAlignment="1" applyBorder="1" applyFont="1" applyNumberFormat="1">
      <alignment horizontal="center" vertical="bottom"/>
    </xf>
    <xf borderId="7" fillId="16" fontId="16" numFmtId="166" xfId="0" applyAlignment="1" applyBorder="1" applyFont="1" applyNumberFormat="1">
      <alignment horizontal="center" vertical="bottom"/>
    </xf>
    <xf borderId="0" fillId="0" fontId="17" numFmtId="3" xfId="0" applyAlignment="1" applyFont="1" applyNumberFormat="1">
      <alignment horizontal="center" vertical="bottom"/>
    </xf>
    <xf borderId="0" fillId="16" fontId="18" numFmtId="0" xfId="0" applyAlignment="1" applyFont="1">
      <alignment horizontal="center"/>
    </xf>
    <xf borderId="0" fillId="16" fontId="17" numFmtId="3" xfId="0" applyAlignment="1" applyFont="1" applyNumberFormat="1">
      <alignment horizontal="center" vertical="bottom"/>
    </xf>
    <xf borderId="16" fillId="11" fontId="1" numFmtId="170" xfId="0" applyAlignment="1" applyBorder="1" applyFont="1" applyNumberFormat="1">
      <alignment horizontal="center" vertical="bottom"/>
    </xf>
    <xf borderId="16" fillId="11" fontId="1" numFmtId="0" xfId="0" applyAlignment="1" applyBorder="1" applyFont="1">
      <alignment horizontal="center" vertical="bottom"/>
    </xf>
    <xf borderId="0" fillId="0" fontId="16" numFmtId="3" xfId="0" applyAlignment="1" applyFont="1" applyNumberFormat="1">
      <alignment horizontal="center" vertical="bottom"/>
    </xf>
    <xf borderId="0" fillId="0" fontId="14" numFmtId="166" xfId="0" applyAlignment="1" applyFont="1" applyNumberFormat="1">
      <alignment horizontal="center" vertical="bottom"/>
    </xf>
    <xf borderId="0" fillId="0" fontId="16" numFmtId="166" xfId="0" applyAlignment="1" applyFont="1" applyNumberFormat="1">
      <alignment horizontal="center" vertical="bottom"/>
    </xf>
    <xf borderId="0" fillId="0" fontId="14" numFmtId="3" xfId="0" applyAlignment="1" applyFont="1" applyNumberFormat="1">
      <alignment horizontal="center" vertical="bottom"/>
    </xf>
    <xf borderId="0" fillId="0" fontId="3" numFmtId="0" xfId="0" applyAlignment="1" applyFont="1">
      <alignment horizontal="center"/>
    </xf>
    <xf borderId="0" fillId="16" fontId="17" numFmtId="166" xfId="0" applyAlignment="1" applyFont="1" applyNumberFormat="1">
      <alignment horizontal="center" vertical="bottom"/>
    </xf>
    <xf borderId="0" fillId="0" fontId="17" numFmtId="166" xfId="0" applyAlignment="1" applyFont="1" applyNumberFormat="1">
      <alignment horizontal="center" vertical="bottom"/>
    </xf>
    <xf borderId="0" fillId="0" fontId="19" numFmtId="0" xfId="0" applyAlignment="1" applyFont="1">
      <alignment horizontal="center" vertical="bottom"/>
    </xf>
    <xf borderId="0" fillId="0" fontId="20" numFmtId="0" xfId="0" applyAlignment="1" applyFont="1">
      <alignment horizontal="center" shrinkToFit="0" vertical="bottom" wrapText="0"/>
    </xf>
    <xf borderId="0" fillId="16" fontId="15" numFmtId="166" xfId="0" applyAlignment="1" applyFont="1" applyNumberFormat="1">
      <alignment horizontal="center"/>
    </xf>
    <xf borderId="0" fillId="16" fontId="11" numFmtId="166" xfId="0" applyAlignment="1" applyFont="1" applyNumberFormat="1">
      <alignment horizontal="center"/>
    </xf>
    <xf borderId="19" fillId="2" fontId="1" numFmtId="166" xfId="0" applyAlignment="1" applyBorder="1" applyFont="1" applyNumberFormat="1">
      <alignment horizontal="center" vertical="bottom"/>
    </xf>
    <xf borderId="11" fillId="2" fontId="1" numFmtId="166" xfId="0" applyAlignment="1" applyBorder="1" applyFont="1" applyNumberFormat="1">
      <alignment horizontal="center" vertical="bottom"/>
    </xf>
    <xf borderId="20" fillId="2" fontId="1" numFmtId="0" xfId="0" applyAlignment="1" applyBorder="1" applyFont="1">
      <alignment horizontal="center" vertical="center"/>
    </xf>
    <xf borderId="15" fillId="0" fontId="2" numFmtId="0" xfId="0" applyBorder="1" applyFont="1"/>
    <xf borderId="7" fillId="2" fontId="1" numFmtId="0" xfId="0" applyAlignment="1" applyBorder="1" applyFont="1">
      <alignment horizontal="center" vertical="bottom"/>
    </xf>
    <xf borderId="7" fillId="2" fontId="1" numFmtId="166" xfId="0" applyAlignment="1" applyBorder="1" applyFont="1" applyNumberFormat="1">
      <alignment horizontal="center" vertical="bottom"/>
    </xf>
    <xf borderId="21" fillId="0" fontId="2" numFmtId="0" xfId="0" applyBorder="1" applyFont="1"/>
    <xf borderId="7" fillId="16" fontId="21" numFmtId="3" xfId="0" applyAlignment="1" applyBorder="1" applyFont="1" applyNumberFormat="1">
      <alignment horizontal="center" vertical="bottom"/>
    </xf>
    <xf borderId="7" fillId="16" fontId="14" numFmtId="166" xfId="0" applyAlignment="1" applyBorder="1" applyFont="1" applyNumberFormat="1">
      <alignment horizontal="center" vertical="bottom"/>
    </xf>
    <xf borderId="7" fillId="0" fontId="16" numFmtId="3" xfId="0" applyAlignment="1" applyBorder="1" applyFont="1" applyNumberFormat="1">
      <alignment horizontal="center" vertical="bottom"/>
    </xf>
    <xf borderId="7" fillId="0" fontId="16" numFmtId="166" xfId="0" applyAlignment="1" applyBorder="1" applyFont="1" applyNumberFormat="1">
      <alignment horizontal="center" vertical="bottom"/>
    </xf>
    <xf borderId="7" fillId="0" fontId="22" numFmtId="0" xfId="0" applyAlignment="1" applyBorder="1" applyFont="1">
      <alignment horizontal="center" vertical="bottom"/>
    </xf>
    <xf borderId="7" fillId="16" fontId="16" numFmtId="3" xfId="0" applyAlignment="1" applyBorder="1" applyFont="1" applyNumberFormat="1">
      <alignment horizontal="center" vertical="bottom"/>
    </xf>
    <xf borderId="7" fillId="0" fontId="18" numFmtId="3" xfId="0" applyAlignment="1" applyBorder="1" applyFont="1" applyNumberFormat="1">
      <alignment horizontal="center" vertical="bottom"/>
    </xf>
    <xf borderId="7" fillId="0" fontId="18" numFmtId="166" xfId="0" applyAlignment="1" applyBorder="1" applyFont="1" applyNumberFormat="1">
      <alignment horizontal="center" vertical="bottom"/>
    </xf>
    <xf borderId="7" fillId="16" fontId="16" numFmtId="0" xfId="0" applyAlignment="1" applyBorder="1" applyFont="1">
      <alignment horizontal="center" vertical="bottom"/>
    </xf>
    <xf borderId="7" fillId="20" fontId="16" numFmtId="3" xfId="0" applyAlignment="1" applyBorder="1" applyFill="1" applyFont="1" applyNumberFormat="1">
      <alignment horizontal="center" vertical="bottom"/>
    </xf>
    <xf borderId="7" fillId="16" fontId="14" numFmtId="3" xfId="0" applyAlignment="1" applyBorder="1" applyFont="1" applyNumberFormat="1">
      <alignment horizontal="center" vertical="bottom"/>
    </xf>
    <xf borderId="7" fillId="0" fontId="23" numFmtId="0" xfId="0" applyAlignment="1" applyBorder="1" applyFont="1">
      <alignment horizontal="center" vertical="bottom"/>
    </xf>
    <xf borderId="7" fillId="16" fontId="14" numFmtId="0" xfId="0" applyAlignment="1" applyBorder="1" applyFont="1">
      <alignment horizontal="center" vertical="bottom"/>
    </xf>
    <xf borderId="7" fillId="16" fontId="18" numFmtId="0" xfId="0" applyAlignment="1" applyBorder="1" applyFont="1">
      <alignment horizontal="center"/>
    </xf>
    <xf borderId="7" fillId="16" fontId="24" numFmtId="0" xfId="0" applyAlignment="1" applyBorder="1" applyFont="1">
      <alignment horizontal="center"/>
    </xf>
    <xf borderId="7" fillId="0" fontId="16" numFmtId="4" xfId="0" applyAlignment="1" applyBorder="1" applyFont="1" applyNumberFormat="1">
      <alignment horizontal="center" vertical="bottom"/>
    </xf>
    <xf borderId="7" fillId="0" fontId="16" numFmtId="172" xfId="0" applyAlignment="1" applyBorder="1" applyFont="1" applyNumberFormat="1">
      <alignment horizontal="center" vertical="bottom"/>
    </xf>
    <xf borderId="0" fillId="16" fontId="3" numFmtId="0" xfId="0" applyAlignment="1" applyFont="1">
      <alignment horizontal="center"/>
    </xf>
    <xf borderId="7" fillId="16" fontId="17" numFmtId="3" xfId="0" applyAlignment="1" applyBorder="1" applyFont="1" applyNumberFormat="1">
      <alignment horizontal="center" vertical="bottom"/>
    </xf>
    <xf borderId="7" fillId="16" fontId="17" numFmtId="166" xfId="0" applyAlignment="1" applyBorder="1" applyFont="1" applyNumberFormat="1">
      <alignment horizontal="center" vertical="bottom"/>
    </xf>
    <xf borderId="0" fillId="16" fontId="15" numFmtId="3" xfId="0" applyAlignment="1" applyFont="1" applyNumberFormat="1">
      <alignment horizontal="center"/>
    </xf>
    <xf borderId="7" fillId="21" fontId="17" numFmtId="0" xfId="0" applyAlignment="1" applyBorder="1" applyFill="1" applyFont="1">
      <alignment horizontal="center" vertical="center"/>
    </xf>
    <xf borderId="7" fillId="21" fontId="17" numFmtId="10" xfId="0" applyAlignment="1" applyBorder="1" applyFont="1" applyNumberFormat="1">
      <alignment horizontal="center" vertical="center"/>
    </xf>
    <xf borderId="7" fillId="21" fontId="17" numFmtId="166" xfId="0" applyAlignment="1" applyBorder="1" applyFont="1" applyNumberFormat="1">
      <alignment horizontal="center" vertical="center"/>
    </xf>
    <xf borderId="7" fillId="0" fontId="3" numFmtId="173" xfId="0" applyAlignment="1" applyBorder="1" applyFont="1" applyNumberFormat="1">
      <alignment horizontal="center" vertical="center"/>
    </xf>
    <xf borderId="7" fillId="0" fontId="3" numFmtId="3" xfId="0" applyAlignment="1" applyBorder="1" applyFont="1" applyNumberFormat="1">
      <alignment horizontal="center" vertical="center"/>
    </xf>
    <xf borderId="7" fillId="0" fontId="3" numFmtId="10" xfId="0" applyAlignment="1" applyBorder="1" applyFont="1" applyNumberFormat="1">
      <alignment horizontal="center" vertical="center"/>
    </xf>
    <xf borderId="7" fillId="0" fontId="3" numFmtId="0" xfId="0" applyAlignment="1" applyBorder="1" applyFont="1">
      <alignment horizontal="center" vertical="center"/>
    </xf>
    <xf borderId="7" fillId="16" fontId="25" numFmtId="166" xfId="0" applyAlignment="1" applyBorder="1" applyFont="1" applyNumberFormat="1">
      <alignment horizontal="center" shrinkToFit="0" vertical="center" wrapText="0"/>
    </xf>
    <xf borderId="7" fillId="0" fontId="3" numFmtId="166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0" xfId="0" applyAlignment="1" applyFont="1" applyNumberForma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7" fillId="21" fontId="17" numFmtId="9" xfId="0" applyAlignment="1" applyBorder="1" applyFont="1" applyNumberFormat="1">
      <alignment horizontal="center" vertical="center"/>
    </xf>
    <xf borderId="7" fillId="0" fontId="3" numFmtId="9" xfId="0" applyAlignment="1" applyBorder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7" fillId="22" fontId="3" numFmtId="0" xfId="0" applyAlignment="1" applyBorder="1" applyFill="1" applyFont="1">
      <alignment horizontal="center"/>
    </xf>
    <xf borderId="7" fillId="22" fontId="3" numFmtId="10" xfId="0" applyAlignment="1" applyBorder="1" applyFont="1" applyNumberFormat="1">
      <alignment horizontal="center"/>
    </xf>
    <xf borderId="7" fillId="22" fontId="3" numFmtId="166" xfId="0" applyAlignment="1" applyBorder="1" applyFont="1" applyNumberFormat="1">
      <alignment horizontal="center"/>
    </xf>
    <xf borderId="7" fillId="22" fontId="8" numFmtId="166" xfId="0" applyAlignment="1" applyBorder="1" applyFont="1" applyNumberFormat="1">
      <alignment horizontal="center"/>
    </xf>
    <xf borderId="7" fillId="16" fontId="26" numFmtId="166" xfId="0" applyAlignment="1" applyBorder="1" applyFont="1" applyNumberFormat="1">
      <alignment horizontal="center" shrinkToFit="0" wrapText="0"/>
    </xf>
    <xf borderId="7" fillId="16" fontId="27" numFmtId="166" xfId="0" applyAlignment="1" applyBorder="1" applyFont="1" applyNumberFormat="1">
      <alignment horizontal="center" shrinkToFit="0" wrapText="0"/>
    </xf>
    <xf borderId="7" fillId="0" fontId="8" numFmtId="3" xfId="0" applyAlignment="1" applyBorder="1" applyFont="1" applyNumberFormat="1">
      <alignment horizontal="center"/>
    </xf>
    <xf borderId="7" fillId="0" fontId="8" numFmtId="10" xfId="0" applyAlignment="1" applyBorder="1" applyFont="1" applyNumberFormat="1">
      <alignment horizontal="center"/>
    </xf>
    <xf borderId="7" fillId="0" fontId="8" numFmtId="166" xfId="0" applyAlignment="1" applyBorder="1" applyFont="1" applyNumberFormat="1">
      <alignment horizontal="center"/>
    </xf>
    <xf borderId="7" fillId="0" fontId="3" numFmtId="166" xfId="0" applyAlignment="1" applyBorder="1" applyFont="1" applyNumberFormat="1">
      <alignment horizontal="center"/>
    </xf>
    <xf borderId="7" fillId="0" fontId="8" numFmtId="0" xfId="0" applyAlignment="1" applyBorder="1" applyFont="1">
      <alignment horizontal="center"/>
    </xf>
    <xf borderId="7" fillId="0" fontId="3" numFmtId="174" xfId="0" applyAlignment="1" applyBorder="1" applyFont="1" applyNumberFormat="1">
      <alignment horizontal="center"/>
    </xf>
    <xf borderId="0" fillId="0" fontId="3" numFmtId="174" xfId="0" applyFont="1" applyNumberFormat="1"/>
    <xf borderId="0" fillId="0" fontId="3" numFmtId="10" xfId="0" applyAlignment="1" applyFont="1" applyNumberFormat="1">
      <alignment horizontal="center"/>
    </xf>
    <xf borderId="0" fillId="0" fontId="8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2801600" cy="80010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75"/>
    <col customWidth="1" min="3" max="3" width="3.25"/>
    <col customWidth="1" min="4" max="4" width="19.0"/>
    <col customWidth="1" min="5" max="5" width="3.13"/>
    <col customWidth="1" min="6" max="6" width="22.1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F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38"/>
    <col customWidth="1" min="2" max="2" width="13.25"/>
    <col customWidth="1" min="3" max="3" width="2.63"/>
    <col customWidth="1" min="4" max="4" width="35.38"/>
    <col customWidth="1" min="5" max="5" width="19.63"/>
    <col customWidth="1" min="6" max="25" width="13.13"/>
  </cols>
  <sheetData>
    <row r="1" ht="15.75" customHeight="1">
      <c r="A1" s="1" t="s">
        <v>0</v>
      </c>
      <c r="B1" s="2"/>
      <c r="C1" s="3"/>
      <c r="D1" s="1" t="s">
        <v>1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2</v>
      </c>
      <c r="B2" s="5">
        <v>150000.0</v>
      </c>
      <c r="C2" s="3"/>
      <c r="D2" s="6" t="s">
        <v>3</v>
      </c>
      <c r="E2" s="7">
        <v>1.0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8"/>
      <c r="B3" s="9"/>
      <c r="C3" s="3"/>
      <c r="D3" s="8" t="s">
        <v>4</v>
      </c>
      <c r="E3" s="10">
        <f>B10*E2</f>
        <v>16071.42857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5</v>
      </c>
      <c r="B4" s="11">
        <v>0.75</v>
      </c>
      <c r="C4" s="3"/>
      <c r="D4" s="8"/>
      <c r="E4" s="1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8" t="s">
        <v>6</v>
      </c>
      <c r="B5" s="13">
        <v>0.0</v>
      </c>
      <c r="C5" s="3"/>
      <c r="D5" s="8" t="s">
        <v>7</v>
      </c>
      <c r="E5" s="14">
        <v>0.005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8" t="s">
        <v>8</v>
      </c>
      <c r="B6" s="11">
        <v>0.25</v>
      </c>
      <c r="C6" s="3"/>
      <c r="D6" s="8" t="s">
        <v>9</v>
      </c>
      <c r="E6" s="10">
        <f>E3*E5</f>
        <v>80.35714286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8"/>
      <c r="B7" s="15"/>
      <c r="C7" s="3"/>
      <c r="D7" s="8"/>
      <c r="E7" s="1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4" t="s">
        <v>10</v>
      </c>
      <c r="B8" s="16">
        <f>B2*B4</f>
        <v>112500</v>
      </c>
      <c r="C8" s="3"/>
      <c r="D8" s="8" t="s">
        <v>11</v>
      </c>
      <c r="E8" s="17">
        <v>1997.0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8" t="s">
        <v>12</v>
      </c>
      <c r="B9" s="18">
        <v>7.0</v>
      </c>
      <c r="C9" s="3"/>
      <c r="D9" s="8" t="s">
        <v>13</v>
      </c>
      <c r="E9" s="16">
        <f>E6*E8</f>
        <v>160473.2143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8" t="s">
        <v>14</v>
      </c>
      <c r="B10" s="10">
        <f>B8/B9</f>
        <v>16071.42857</v>
      </c>
      <c r="C10" s="3"/>
      <c r="D10" s="19" t="s">
        <v>15</v>
      </c>
      <c r="E10" s="20">
        <f>E9*1.2</f>
        <v>192567.8571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8"/>
      <c r="B11" s="1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4" t="s">
        <v>16</v>
      </c>
      <c r="B12" s="16">
        <f>B2*B5</f>
        <v>0</v>
      </c>
      <c r="C12" s="3"/>
      <c r="D12" s="1" t="s">
        <v>17</v>
      </c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8" t="s">
        <v>18</v>
      </c>
      <c r="B13" s="21"/>
      <c r="C13" s="3"/>
      <c r="D13" s="6" t="s">
        <v>3</v>
      </c>
      <c r="E13" s="7">
        <v>1.0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6" t="s">
        <v>19</v>
      </c>
      <c r="B14" s="22">
        <v>0.0</v>
      </c>
      <c r="C14" s="3"/>
      <c r="D14" s="8" t="s">
        <v>4</v>
      </c>
      <c r="E14" s="10">
        <f>B10*E13</f>
        <v>16071.42857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8"/>
      <c r="B15" s="23"/>
      <c r="C15" s="3"/>
      <c r="D15" s="8"/>
      <c r="E15" s="1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24" t="s">
        <v>20</v>
      </c>
      <c r="B16" s="20">
        <f>B2*B6</f>
        <v>37500</v>
      </c>
      <c r="C16" s="3"/>
      <c r="D16" s="8" t="s">
        <v>7</v>
      </c>
      <c r="E16" s="14">
        <v>0.01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25"/>
      <c r="C17" s="3"/>
      <c r="D17" s="8" t="s">
        <v>9</v>
      </c>
      <c r="E17" s="10">
        <f>E14*E16</f>
        <v>160.7142857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26" t="s">
        <v>21</v>
      </c>
      <c r="C18" s="3"/>
      <c r="D18" s="8"/>
      <c r="E18" s="1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27" t="s">
        <v>2</v>
      </c>
      <c r="B19" s="28">
        <f>B16</f>
        <v>37500</v>
      </c>
      <c r="C19" s="3"/>
      <c r="D19" s="8" t="s">
        <v>11</v>
      </c>
      <c r="E19" s="17">
        <v>1997.0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29"/>
      <c r="B20" s="30"/>
      <c r="C20" s="3"/>
      <c r="D20" s="8" t="s">
        <v>13</v>
      </c>
      <c r="E20" s="16">
        <f>E17*E19</f>
        <v>320946.4286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1" t="s">
        <v>22</v>
      </c>
      <c r="B21" s="32">
        <v>0.3</v>
      </c>
      <c r="C21" s="3"/>
      <c r="D21" s="19" t="s">
        <v>15</v>
      </c>
      <c r="E21" s="20">
        <f>E20*1.2</f>
        <v>385135.7143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1" t="s">
        <v>23</v>
      </c>
      <c r="B22" s="32">
        <v>0.2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1" t="s">
        <v>24</v>
      </c>
      <c r="B23" s="32">
        <v>0.4</v>
      </c>
      <c r="C23" s="3"/>
      <c r="D23" s="1" t="s">
        <v>25</v>
      </c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1" t="s">
        <v>26</v>
      </c>
      <c r="B24" s="32">
        <v>0.1</v>
      </c>
      <c r="C24" s="3"/>
      <c r="D24" s="6" t="s">
        <v>3</v>
      </c>
      <c r="E24" s="7">
        <v>1.0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0"/>
      <c r="C25" s="3"/>
      <c r="D25" s="8" t="s">
        <v>4</v>
      </c>
      <c r="E25" s="10">
        <f>B10*E24</f>
        <v>16071.42857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7" t="s">
        <v>22</v>
      </c>
      <c r="B26" s="34">
        <f>B19*B21</f>
        <v>11250</v>
      </c>
      <c r="C26" s="3"/>
      <c r="D26" s="8"/>
      <c r="E26" s="1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7" t="s">
        <v>23</v>
      </c>
      <c r="B27" s="34">
        <f>B22*B19</f>
        <v>7500</v>
      </c>
      <c r="C27" s="3"/>
      <c r="D27" s="8" t="s">
        <v>7</v>
      </c>
      <c r="E27" s="14">
        <v>0.02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7" t="s">
        <v>27</v>
      </c>
      <c r="B28" s="34">
        <f>B19*B23</f>
        <v>15000</v>
      </c>
      <c r="C28" s="3"/>
      <c r="D28" s="8" t="s">
        <v>9</v>
      </c>
      <c r="E28" s="10">
        <f>E25*E27</f>
        <v>321.4285714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7" t="s">
        <v>26</v>
      </c>
      <c r="B29" s="34">
        <f>B19*B24</f>
        <v>3750</v>
      </c>
      <c r="C29" s="3"/>
      <c r="D29" s="8"/>
      <c r="E29" s="1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1"/>
      <c r="B30" s="35"/>
      <c r="C30" s="36"/>
      <c r="D30" s="8" t="s">
        <v>11</v>
      </c>
      <c r="E30" s="17">
        <v>1997.0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7" t="s">
        <v>28</v>
      </c>
      <c r="B31" s="38"/>
      <c r="C31" s="36"/>
      <c r="D31" s="8" t="s">
        <v>13</v>
      </c>
      <c r="E31" s="16">
        <f>E28*E30</f>
        <v>641892.8571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7" t="s">
        <v>29</v>
      </c>
      <c r="B32" s="28">
        <f>B28</f>
        <v>15000</v>
      </c>
      <c r="C32" s="3"/>
      <c r="D32" s="19" t="s">
        <v>15</v>
      </c>
      <c r="E32" s="20">
        <f>E31*1.2</f>
        <v>770271.4286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3"/>
      <c r="B33" s="30"/>
      <c r="C33" s="39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1" t="s">
        <v>30</v>
      </c>
      <c r="B34" s="32">
        <v>0.35</v>
      </c>
      <c r="C34" s="39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1" t="s">
        <v>31</v>
      </c>
      <c r="B35" s="32">
        <v>0.2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1" t="s">
        <v>32</v>
      </c>
      <c r="B36" s="32">
        <v>0.15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0" t="s">
        <v>33</v>
      </c>
      <c r="B37" s="32">
        <v>0.3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1"/>
      <c r="B38" s="41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7" t="s">
        <v>30</v>
      </c>
      <c r="B39" s="34">
        <f>B32*B34</f>
        <v>5250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7" t="s">
        <v>31</v>
      </c>
      <c r="B40" s="34">
        <f>B35*B32</f>
        <v>3000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7" t="s">
        <v>32</v>
      </c>
      <c r="B41" s="34">
        <f>B32*B36</f>
        <v>2250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7" t="s">
        <v>33</v>
      </c>
      <c r="B42" s="34">
        <f>B32*B37</f>
        <v>4500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3"/>
      <c r="B45" s="4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46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46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3"/>
      <c r="B49" s="4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3"/>
      <c r="B50" s="4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31:B31"/>
    <mergeCell ref="A33:B33"/>
    <mergeCell ref="A44:B44"/>
    <mergeCell ref="A46:B46"/>
    <mergeCell ref="A1:B1"/>
    <mergeCell ref="D1:E1"/>
    <mergeCell ref="D12:E12"/>
    <mergeCell ref="A18:B18"/>
    <mergeCell ref="A20:B20"/>
    <mergeCell ref="D23:E23"/>
    <mergeCell ref="A25:B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75"/>
    <col customWidth="1" min="3" max="3" width="3.25"/>
    <col customWidth="1" min="4" max="4" width="19.0"/>
    <col customWidth="1" min="5" max="5" width="3.13"/>
    <col customWidth="1" min="6" max="6" width="22.13"/>
  </cols>
  <sheetData>
    <row r="1" ht="15.75" customHeight="1"/>
    <row r="2" ht="15.75" customHeight="1"/>
    <row r="3" ht="15.75" customHeight="1">
      <c r="B3" s="47" t="s">
        <v>34</v>
      </c>
      <c r="C3" s="48"/>
      <c r="D3" s="47" t="s">
        <v>35</v>
      </c>
      <c r="E3" s="48"/>
      <c r="F3" s="47" t="s">
        <v>36</v>
      </c>
    </row>
    <row r="4" ht="15.75" customHeight="1">
      <c r="B4" s="49" t="s">
        <v>37</v>
      </c>
      <c r="C4" s="48"/>
      <c r="D4" s="49" t="s">
        <v>38</v>
      </c>
      <c r="E4" s="48"/>
      <c r="F4" s="49" t="s">
        <v>39</v>
      </c>
    </row>
    <row r="5" ht="15.75" customHeight="1">
      <c r="B5" s="50">
        <f>'RESULTADOS MACROS'!C17</f>
        <v>0</v>
      </c>
      <c r="C5" s="48"/>
      <c r="D5" s="50">
        <f>'RESULTADOS MACROS'!C31</f>
        <v>0</v>
      </c>
      <c r="E5" s="48"/>
      <c r="F5" s="51">
        <f>F9+F13</f>
        <v>0</v>
      </c>
    </row>
    <row r="6" ht="15.75" customHeight="1">
      <c r="B6" s="52"/>
      <c r="C6" s="48"/>
      <c r="D6" s="52"/>
      <c r="E6" s="48"/>
      <c r="F6" s="52"/>
    </row>
    <row r="7" ht="15.75" customHeight="1">
      <c r="B7" s="48"/>
      <c r="C7" s="48"/>
      <c r="D7" s="48"/>
      <c r="E7" s="48"/>
      <c r="F7" s="48"/>
    </row>
    <row r="8" ht="15.75" customHeight="1">
      <c r="B8" s="53" t="s">
        <v>40</v>
      </c>
      <c r="C8" s="48"/>
      <c r="D8" s="54" t="s">
        <v>41</v>
      </c>
      <c r="E8" s="48"/>
      <c r="F8" s="54" t="s">
        <v>42</v>
      </c>
    </row>
    <row r="9" ht="15.75" customHeight="1">
      <c r="B9" s="50">
        <f>'RESULTADOS MACROS'!C20</f>
        <v>0</v>
      </c>
      <c r="C9" s="48"/>
      <c r="D9" s="50">
        <f>B5</f>
        <v>0</v>
      </c>
      <c r="E9" s="48"/>
      <c r="F9" s="51">
        <f>'RESULTADOS MACROS'!E17</f>
        <v>0</v>
      </c>
    </row>
    <row r="10" ht="15.75" customHeight="1">
      <c r="B10" s="52"/>
      <c r="C10" s="48"/>
      <c r="D10" s="52"/>
      <c r="E10" s="48"/>
      <c r="F10" s="52"/>
    </row>
    <row r="11" ht="15.75" customHeight="1">
      <c r="B11" s="48"/>
      <c r="C11" s="48"/>
      <c r="D11" s="48"/>
      <c r="E11" s="48"/>
      <c r="F11" s="48"/>
    </row>
    <row r="12" ht="15.75" customHeight="1">
      <c r="B12" s="55" t="s">
        <v>43</v>
      </c>
      <c r="C12" s="48"/>
      <c r="D12" s="55" t="s">
        <v>44</v>
      </c>
      <c r="E12" s="48"/>
      <c r="F12" s="55" t="s">
        <v>45</v>
      </c>
    </row>
    <row r="13" ht="15.75" customHeight="1">
      <c r="B13" s="50">
        <f>'RESULTADOS MACROS'!C21</f>
        <v>0</v>
      </c>
      <c r="C13" s="48"/>
      <c r="D13" s="50"/>
      <c r="E13" s="48"/>
      <c r="F13" s="51">
        <f>'RESULTADOS MACROS'!I17</f>
        <v>0</v>
      </c>
    </row>
    <row r="14" ht="15.75" customHeight="1">
      <c r="B14" s="52"/>
      <c r="C14" s="48"/>
      <c r="D14" s="52"/>
      <c r="E14" s="48"/>
      <c r="F14" s="5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13:D14"/>
    <mergeCell ref="F13:F14"/>
    <mergeCell ref="B5:B6"/>
    <mergeCell ref="D5:D6"/>
    <mergeCell ref="F5:F6"/>
    <mergeCell ref="B9:B10"/>
    <mergeCell ref="D9:D10"/>
    <mergeCell ref="F9:F10"/>
    <mergeCell ref="B13:B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63"/>
    <col customWidth="1" min="2" max="2" width="28.0"/>
    <col customWidth="1" min="3" max="3" width="12.5"/>
    <col customWidth="1" min="4" max="4" width="19.38"/>
    <col customWidth="1" min="5" max="5" width="16.38"/>
    <col customWidth="1" min="6" max="6" width="1.25"/>
    <col customWidth="1" min="7" max="7" width="37.75"/>
    <col customWidth="1" min="8" max="8" width="21.38"/>
    <col customWidth="1" min="9" max="9" width="21.5"/>
    <col customWidth="1" min="10" max="10" width="14.63"/>
    <col customWidth="1" min="11" max="11" width="15.88"/>
    <col customWidth="1" min="12" max="12" width="15.25"/>
    <col customWidth="1" min="13" max="13" width="16.13"/>
    <col customWidth="1" min="14" max="14" width="15.38"/>
    <col customWidth="1" min="15" max="15" width="14.88"/>
    <col customWidth="1" min="16" max="16" width="15.75"/>
    <col customWidth="1" min="17" max="17" width="16.13"/>
    <col customWidth="1" min="18" max="18" width="16.25"/>
    <col customWidth="1" min="19" max="19" width="14.75"/>
    <col customWidth="1" min="20" max="20" width="15.75"/>
  </cols>
  <sheetData>
    <row r="1" ht="15.75" customHeight="1">
      <c r="A1" s="56"/>
      <c r="B1" s="56"/>
      <c r="C1" s="57"/>
      <c r="D1" s="58"/>
      <c r="E1" s="58"/>
      <c r="F1" s="56"/>
      <c r="G1" s="56"/>
      <c r="H1" s="59"/>
      <c r="I1" s="58"/>
      <c r="J1" s="58"/>
      <c r="K1" s="56"/>
      <c r="L1" s="56"/>
      <c r="M1" s="56"/>
      <c r="N1" s="56"/>
      <c r="O1" s="56"/>
      <c r="P1" s="56"/>
      <c r="Q1" s="56"/>
      <c r="R1" s="56"/>
      <c r="S1" s="56"/>
      <c r="T1" s="58"/>
      <c r="U1" s="56"/>
      <c r="V1" s="56"/>
      <c r="W1" s="56"/>
    </row>
    <row r="2" ht="15.75" customHeight="1">
      <c r="A2" s="60"/>
      <c r="B2" s="61" t="s">
        <v>42</v>
      </c>
      <c r="G2" s="61" t="s">
        <v>46</v>
      </c>
      <c r="J2" s="62"/>
      <c r="K2" s="60"/>
      <c r="L2" s="60"/>
      <c r="M2" s="60"/>
      <c r="N2" s="60"/>
      <c r="O2" s="60"/>
      <c r="P2" s="60"/>
      <c r="Q2" s="60"/>
      <c r="R2" s="60"/>
      <c r="S2" s="60"/>
      <c r="T2" s="62"/>
      <c r="U2" s="60"/>
      <c r="V2" s="60"/>
      <c r="W2" s="60"/>
    </row>
    <row r="3" ht="15.75" customHeight="1">
      <c r="A3" s="60"/>
      <c r="J3" s="62"/>
      <c r="K3" s="60"/>
      <c r="L3" s="60"/>
      <c r="M3" s="60"/>
      <c r="N3" s="60"/>
      <c r="O3" s="60"/>
      <c r="P3" s="60"/>
      <c r="Q3" s="60"/>
      <c r="R3" s="60"/>
      <c r="S3" s="60"/>
      <c r="T3" s="62"/>
      <c r="U3" s="60"/>
      <c r="V3" s="60"/>
      <c r="W3" s="60"/>
    </row>
    <row r="4" ht="15.75" customHeight="1">
      <c r="A4" s="56"/>
      <c r="B4" s="56"/>
      <c r="G4" s="56"/>
      <c r="I4" s="63"/>
      <c r="J4" s="58"/>
      <c r="K4" s="56"/>
      <c r="L4" s="56"/>
      <c r="M4" s="56"/>
      <c r="N4" s="56"/>
      <c r="O4" s="56"/>
      <c r="P4" s="56"/>
      <c r="Q4" s="56"/>
      <c r="R4" s="56"/>
      <c r="S4" s="56"/>
      <c r="T4" s="58"/>
      <c r="U4" s="56"/>
      <c r="V4" s="56"/>
      <c r="W4" s="56"/>
    </row>
    <row r="5" ht="15.75" customHeight="1">
      <c r="A5" s="56"/>
      <c r="B5" s="64"/>
      <c r="G5" s="64"/>
      <c r="J5" s="58"/>
      <c r="K5" s="56"/>
      <c r="L5" s="56"/>
      <c r="M5" s="56"/>
      <c r="N5" s="56"/>
      <c r="O5" s="56"/>
      <c r="P5" s="56"/>
      <c r="Q5" s="56"/>
      <c r="R5" s="56"/>
      <c r="S5" s="56"/>
      <c r="T5" s="58"/>
      <c r="U5" s="56"/>
      <c r="V5" s="56"/>
      <c r="W5" s="56"/>
    </row>
    <row r="6" ht="15.75" customHeight="1">
      <c r="A6" s="56"/>
      <c r="B6" s="65"/>
      <c r="G6" s="66"/>
      <c r="J6" s="58"/>
      <c r="K6" s="56"/>
      <c r="L6" s="56"/>
      <c r="M6" s="56"/>
      <c r="N6" s="56"/>
      <c r="O6" s="56"/>
      <c r="P6" s="56"/>
      <c r="Q6" s="56"/>
      <c r="R6" s="56"/>
      <c r="S6" s="56"/>
      <c r="T6" s="58"/>
      <c r="U6" s="56"/>
      <c r="V6" s="56"/>
      <c r="W6" s="56"/>
    </row>
    <row r="7" ht="15.75" customHeight="1">
      <c r="A7" s="60"/>
      <c r="B7" s="67" t="s">
        <v>47</v>
      </c>
      <c r="C7" s="68" t="s">
        <v>48</v>
      </c>
      <c r="D7" s="69" t="s">
        <v>49</v>
      </c>
      <c r="E7" s="69" t="s">
        <v>50</v>
      </c>
      <c r="G7" s="70" t="s">
        <v>47</v>
      </c>
      <c r="H7" s="71" t="s">
        <v>51</v>
      </c>
      <c r="I7" s="71" t="s">
        <v>36</v>
      </c>
      <c r="J7" s="62"/>
      <c r="K7" s="60"/>
      <c r="L7" s="60"/>
      <c r="M7" s="60"/>
      <c r="N7" s="60"/>
      <c r="O7" s="60"/>
      <c r="P7" s="60"/>
      <c r="Q7" s="60"/>
      <c r="R7" s="60"/>
      <c r="S7" s="60"/>
      <c r="T7" s="62"/>
      <c r="U7" s="60"/>
      <c r="V7" s="60"/>
      <c r="W7" s="60"/>
    </row>
    <row r="8" ht="15.75" customHeight="1">
      <c r="A8" s="60"/>
      <c r="B8" s="30"/>
      <c r="C8" s="72"/>
      <c r="D8" s="72"/>
      <c r="E8" s="72"/>
      <c r="J8" s="62"/>
      <c r="K8" s="60"/>
      <c r="L8" s="60"/>
      <c r="M8" s="60"/>
      <c r="N8" s="60"/>
      <c r="O8" s="60"/>
      <c r="P8" s="60"/>
      <c r="Q8" s="60"/>
      <c r="R8" s="60"/>
      <c r="S8" s="60"/>
      <c r="T8" s="62"/>
      <c r="U8" s="60"/>
      <c r="V8" s="60"/>
      <c r="W8" s="60"/>
    </row>
    <row r="9" ht="15.75" customHeight="1">
      <c r="A9" s="56"/>
      <c r="B9" s="73" t="s">
        <v>52</v>
      </c>
      <c r="C9" s="74">
        <f>'AUTO - QUENTE'!G38</f>
        <v>0</v>
      </c>
      <c r="D9" s="75" t="str">
        <f t="shared" ref="D9:D17" si="1">E9/C9</f>
        <v>#DIV/0!</v>
      </c>
      <c r="E9" s="75">
        <f>'AUTO - QUENTE'!J38</f>
        <v>0</v>
      </c>
      <c r="G9" s="76" t="s">
        <v>53</v>
      </c>
      <c r="H9" s="77">
        <f>'1 - INÍCIO - PLANEJEMANTO VERBA'!B26</f>
        <v>11250</v>
      </c>
      <c r="I9" s="77">
        <f>AQUECIMENTOANTECIPACAO!B39</f>
        <v>0</v>
      </c>
      <c r="J9" s="58"/>
      <c r="K9" s="56"/>
      <c r="L9" s="56"/>
      <c r="M9" s="56"/>
      <c r="N9" s="56"/>
      <c r="O9" s="56"/>
      <c r="P9" s="56"/>
      <c r="Q9" s="56"/>
      <c r="R9" s="56"/>
      <c r="S9" s="56"/>
      <c r="T9" s="58"/>
      <c r="U9" s="56"/>
      <c r="V9" s="56"/>
      <c r="W9" s="56"/>
    </row>
    <row r="10" ht="15.75" customHeight="1">
      <c r="A10" s="56"/>
      <c r="B10" s="78" t="s">
        <v>54</v>
      </c>
      <c r="C10" s="78">
        <f>'AUTO - FRIO'!G38</f>
        <v>0</v>
      </c>
      <c r="D10" s="79" t="str">
        <f t="shared" si="1"/>
        <v>#DIV/0!</v>
      </c>
      <c r="E10" s="79">
        <f>'AUTO - FRIO'!J38</f>
        <v>0</v>
      </c>
      <c r="G10" s="72"/>
      <c r="H10" s="72"/>
      <c r="I10" s="72"/>
      <c r="J10" s="58"/>
      <c r="K10" s="56"/>
      <c r="L10" s="56"/>
      <c r="M10" s="56"/>
      <c r="N10" s="56"/>
      <c r="O10" s="56"/>
      <c r="P10" s="56"/>
      <c r="Q10" s="56"/>
      <c r="R10" s="56"/>
      <c r="S10" s="56"/>
      <c r="T10" s="58"/>
      <c r="U10" s="56"/>
      <c r="V10" s="56"/>
      <c r="W10" s="56"/>
    </row>
    <row r="11" ht="15.75" customHeight="1">
      <c r="A11" s="56"/>
      <c r="B11" s="73" t="s">
        <v>55</v>
      </c>
      <c r="C11" s="74">
        <f>'FACE - QUENTE'!G38</f>
        <v>0</v>
      </c>
      <c r="D11" s="75" t="str">
        <f t="shared" si="1"/>
        <v>#DIV/0!</v>
      </c>
      <c r="E11" s="75">
        <f>'FACE - QUENTE'!J38</f>
        <v>0</v>
      </c>
      <c r="G11" s="80" t="s">
        <v>56</v>
      </c>
      <c r="H11" s="81">
        <f>'1 - INÍCIO - PLANEJEMANTO VERBA'!B27</f>
        <v>7500</v>
      </c>
      <c r="I11" s="81">
        <f>AQUECIMENTOANTECIPACAO!G39</f>
        <v>0</v>
      </c>
      <c r="J11" s="58"/>
      <c r="K11" s="56"/>
      <c r="L11" s="56"/>
      <c r="M11" s="56"/>
      <c r="N11" s="56"/>
      <c r="O11" s="56"/>
      <c r="P11" s="56"/>
      <c r="Q11" s="56"/>
      <c r="R11" s="56"/>
      <c r="S11" s="56"/>
      <c r="T11" s="58"/>
      <c r="U11" s="56"/>
      <c r="V11" s="56"/>
      <c r="W11" s="56"/>
    </row>
    <row r="12" ht="15.75" customHeight="1">
      <c r="A12" s="56"/>
      <c r="B12" s="78" t="s">
        <v>57</v>
      </c>
      <c r="C12" s="82">
        <f>'FACE - FRIO'!G38</f>
        <v>0</v>
      </c>
      <c r="D12" s="83" t="str">
        <f t="shared" si="1"/>
        <v>#DIV/0!</v>
      </c>
      <c r="E12" s="83">
        <f>'FACE - FRIO'!J38</f>
        <v>0</v>
      </c>
      <c r="G12" s="72"/>
      <c r="H12" s="72"/>
      <c r="I12" s="72"/>
      <c r="J12" s="58"/>
      <c r="K12" s="56"/>
      <c r="L12" s="56"/>
      <c r="M12" s="56"/>
      <c r="N12" s="56"/>
      <c r="O12" s="56"/>
      <c r="P12" s="56"/>
      <c r="Q12" s="56"/>
      <c r="R12" s="56"/>
      <c r="S12" s="56"/>
      <c r="T12" s="58"/>
      <c r="U12" s="56"/>
      <c r="V12" s="56"/>
      <c r="W12" s="56"/>
    </row>
    <row r="13" ht="15.75" customHeight="1">
      <c r="A13" s="56"/>
      <c r="B13" s="73" t="s">
        <v>58</v>
      </c>
      <c r="C13" s="73">
        <f>'INSTA - QUENTE'!G38</f>
        <v>0</v>
      </c>
      <c r="D13" s="84" t="str">
        <f t="shared" si="1"/>
        <v>#DIV/0!</v>
      </c>
      <c r="E13" s="84">
        <f>'INSTA - QUENTE'!J38</f>
        <v>0</v>
      </c>
      <c r="G13" s="85" t="s">
        <v>59</v>
      </c>
      <c r="H13" s="86">
        <f>'1 - INÍCIO - PLANEJEMANTO VERBA'!B28</f>
        <v>15000</v>
      </c>
      <c r="I13" s="86">
        <v>0.0</v>
      </c>
      <c r="J13" s="58"/>
      <c r="L13" s="56"/>
      <c r="M13" s="56"/>
      <c r="N13" s="56"/>
      <c r="O13" s="56"/>
      <c r="P13" s="56"/>
      <c r="Q13" s="56"/>
      <c r="R13" s="56"/>
      <c r="S13" s="56"/>
      <c r="T13" s="58"/>
      <c r="U13" s="56"/>
      <c r="V13" s="56"/>
      <c r="W13" s="56"/>
    </row>
    <row r="14" ht="15.75" customHeight="1">
      <c r="A14" s="56"/>
      <c r="B14" s="78" t="s">
        <v>60</v>
      </c>
      <c r="C14" s="82">
        <f>'INSTA - FRIO'!G38</f>
        <v>0</v>
      </c>
      <c r="D14" s="83" t="str">
        <f t="shared" si="1"/>
        <v>#DIV/0!</v>
      </c>
      <c r="E14" s="83">
        <f>'INSTA - FRIO'!J38</f>
        <v>0</v>
      </c>
      <c r="G14" s="72"/>
      <c r="H14" s="72"/>
      <c r="I14" s="72"/>
      <c r="J14" s="58"/>
      <c r="K14" s="56"/>
      <c r="L14" s="56"/>
      <c r="M14" s="56"/>
      <c r="N14" s="56"/>
      <c r="O14" s="56"/>
      <c r="P14" s="56"/>
      <c r="Q14" s="56"/>
      <c r="R14" s="56"/>
      <c r="S14" s="56"/>
      <c r="T14" s="58"/>
      <c r="U14" s="56"/>
      <c r="V14" s="56"/>
      <c r="W14" s="56"/>
    </row>
    <row r="15" ht="15.75" customHeight="1">
      <c r="A15" s="56"/>
      <c r="B15" s="73" t="s">
        <v>61</v>
      </c>
      <c r="C15" s="73">
        <f>'GOOGLE - QUENTE'!G38</f>
        <v>0</v>
      </c>
      <c r="D15" s="84" t="str">
        <f t="shared" si="1"/>
        <v>#DIV/0!</v>
      </c>
      <c r="E15" s="84">
        <f>'GOOGLE - QUENTE'!J38</f>
        <v>0</v>
      </c>
      <c r="G15" s="87" t="s">
        <v>62</v>
      </c>
      <c r="H15" s="88">
        <f>'1 - INÍCIO - PLANEJEMANTO VERBA'!B29</f>
        <v>3750</v>
      </c>
      <c r="I15" s="88">
        <v>0.0</v>
      </c>
      <c r="J15" s="58"/>
      <c r="K15" s="56"/>
      <c r="L15" s="56"/>
      <c r="M15" s="56"/>
      <c r="N15" s="56"/>
      <c r="O15" s="56"/>
      <c r="P15" s="56"/>
      <c r="Q15" s="56"/>
      <c r="R15" s="56"/>
      <c r="S15" s="56"/>
      <c r="T15" s="58"/>
      <c r="U15" s="56"/>
      <c r="V15" s="56"/>
      <c r="W15" s="56"/>
    </row>
    <row r="16" ht="15.75" customHeight="1">
      <c r="A16" s="56"/>
      <c r="B16" s="78" t="s">
        <v>63</v>
      </c>
      <c r="C16" s="78">
        <f>'GOOGLE - FRIO'!G38</f>
        <v>0</v>
      </c>
      <c r="D16" s="79" t="str">
        <f t="shared" si="1"/>
        <v>#DIV/0!</v>
      </c>
      <c r="E16" s="79">
        <f>'GOOGLE - FRIO'!J38</f>
        <v>0</v>
      </c>
      <c r="G16" s="72"/>
      <c r="H16" s="72"/>
      <c r="I16" s="72"/>
      <c r="J16" s="58"/>
      <c r="K16" s="56"/>
      <c r="L16" s="56"/>
      <c r="M16" s="56"/>
      <c r="N16" s="56"/>
      <c r="O16" s="56"/>
      <c r="P16" s="56"/>
      <c r="Q16" s="56"/>
      <c r="R16" s="56"/>
      <c r="S16" s="56"/>
      <c r="T16" s="58"/>
      <c r="U16" s="56"/>
      <c r="V16" s="56"/>
      <c r="W16" s="56"/>
    </row>
    <row r="17" ht="15.75" customHeight="1">
      <c r="A17" s="89"/>
      <c r="B17" s="64" t="s">
        <v>39</v>
      </c>
      <c r="C17" s="90">
        <f>SUM(C9:C16)</f>
        <v>0</v>
      </c>
      <c r="D17" s="91" t="str">
        <f t="shared" si="1"/>
        <v>#DIV/0!</v>
      </c>
      <c r="E17" s="91">
        <f>SUM(E9:E16)</f>
        <v>0</v>
      </c>
      <c r="G17" s="64" t="s">
        <v>39</v>
      </c>
      <c r="H17" s="91">
        <f t="shared" ref="H17:I17" si="2">SUM(H9:H16)</f>
        <v>37500</v>
      </c>
      <c r="I17" s="91">
        <f t="shared" si="2"/>
        <v>0</v>
      </c>
      <c r="J17" s="92"/>
      <c r="K17" s="89"/>
      <c r="L17" s="89"/>
      <c r="M17" s="89"/>
      <c r="N17" s="89"/>
      <c r="O17" s="89"/>
      <c r="P17" s="89"/>
      <c r="Q17" s="56"/>
      <c r="R17" s="56"/>
      <c r="S17" s="56"/>
      <c r="T17" s="58"/>
      <c r="U17" s="56"/>
      <c r="V17" s="56"/>
      <c r="W17" s="56"/>
    </row>
    <row r="18" ht="15.75" customHeight="1">
      <c r="A18" s="56"/>
      <c r="B18" s="56"/>
      <c r="C18" s="57"/>
      <c r="D18" s="58"/>
      <c r="E18" s="58"/>
      <c r="F18" s="56"/>
      <c r="G18" s="56"/>
      <c r="H18" s="59"/>
      <c r="I18" s="58"/>
      <c r="J18" s="58"/>
      <c r="K18" s="56"/>
      <c r="L18" s="56"/>
      <c r="M18" s="56"/>
      <c r="N18" s="56"/>
      <c r="O18" s="56"/>
      <c r="P18" s="56"/>
      <c r="Q18" s="56"/>
      <c r="R18" s="56"/>
      <c r="S18" s="56"/>
      <c r="T18" s="58"/>
      <c r="U18" s="56"/>
      <c r="V18" s="56"/>
      <c r="W18" s="56"/>
    </row>
    <row r="19" ht="15.75" customHeight="1">
      <c r="A19" s="56"/>
      <c r="B19" s="93" t="s">
        <v>34</v>
      </c>
      <c r="C19" s="38"/>
      <c r="D19" s="91" t="s">
        <v>64</v>
      </c>
      <c r="E19" s="91" t="s">
        <v>65</v>
      </c>
      <c r="F19" s="56"/>
      <c r="G19" s="94"/>
      <c r="H19" s="95"/>
      <c r="I19" s="58"/>
      <c r="J19" s="58"/>
      <c r="K19" s="56"/>
      <c r="L19" s="56"/>
      <c r="M19" s="56"/>
      <c r="N19" s="56"/>
      <c r="O19" s="56"/>
      <c r="P19" s="56"/>
      <c r="Q19" s="56"/>
      <c r="R19" s="56"/>
      <c r="S19" s="56"/>
      <c r="T19" s="58"/>
      <c r="U19" s="56"/>
      <c r="V19" s="56"/>
      <c r="W19" s="56"/>
    </row>
    <row r="20" ht="15.75" customHeight="1">
      <c r="A20" s="56"/>
      <c r="B20" s="96" t="s">
        <v>40</v>
      </c>
      <c r="C20" s="97">
        <f>C11+C13+C9+C15</f>
        <v>0</v>
      </c>
      <c r="D20" s="98" t="str">
        <f t="shared" ref="D20:D21" si="3">E20/C20</f>
        <v>#DIV/0!</v>
      </c>
      <c r="E20" s="98">
        <f>E9+E10+E11+E16</f>
        <v>0</v>
      </c>
      <c r="F20" s="56"/>
      <c r="G20" s="64" t="s">
        <v>46</v>
      </c>
      <c r="H20" s="91" t="s">
        <v>66</v>
      </c>
      <c r="I20" s="58"/>
      <c r="J20" s="58"/>
      <c r="K20" s="56"/>
      <c r="L20" s="56"/>
      <c r="M20" s="56"/>
      <c r="N20" s="56"/>
      <c r="O20" s="56"/>
      <c r="P20" s="56"/>
      <c r="Q20" s="56"/>
      <c r="R20" s="56"/>
      <c r="S20" s="56"/>
      <c r="T20" s="58"/>
      <c r="U20" s="56"/>
      <c r="V20" s="56"/>
      <c r="W20" s="56"/>
    </row>
    <row r="21" ht="15.75" customHeight="1">
      <c r="A21" s="56"/>
      <c r="B21" s="99" t="s">
        <v>43</v>
      </c>
      <c r="C21" s="100">
        <f>C10+C12+C16+C14</f>
        <v>0</v>
      </c>
      <c r="D21" s="101" t="str">
        <f t="shared" si="3"/>
        <v>#DIV/0!</v>
      </c>
      <c r="E21" s="101">
        <f>E12+E13+E14+E15</f>
        <v>0</v>
      </c>
      <c r="F21" s="56"/>
      <c r="G21" s="102" t="s">
        <v>67</v>
      </c>
      <c r="H21" s="103">
        <f>AQUECIMENTOANTECIPACAO!B38</f>
        <v>0</v>
      </c>
      <c r="I21" s="58"/>
      <c r="J21" s="58"/>
      <c r="K21" s="56"/>
      <c r="L21" s="56"/>
      <c r="M21" s="56"/>
      <c r="N21" s="56"/>
      <c r="O21" s="56"/>
      <c r="P21" s="56"/>
      <c r="Q21" s="56"/>
      <c r="R21" s="56"/>
      <c r="S21" s="56"/>
      <c r="T21" s="58"/>
      <c r="U21" s="56"/>
      <c r="V21" s="56"/>
      <c r="W21" s="56"/>
    </row>
    <row r="22" ht="15.75" customHeight="1">
      <c r="A22" s="56"/>
      <c r="B22" s="3"/>
      <c r="C22" s="39"/>
      <c r="D22" s="58"/>
      <c r="E22" s="58"/>
      <c r="F22" s="56"/>
      <c r="G22" s="102" t="s">
        <v>68</v>
      </c>
      <c r="H22" s="103">
        <f>AQUECIMENTOANTECIPACAO!D38</f>
        <v>0</v>
      </c>
      <c r="I22" s="58"/>
      <c r="J22" s="104"/>
      <c r="K22" s="3"/>
      <c r="L22" s="3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</row>
    <row r="23" ht="15.75" customHeight="1">
      <c r="A23" s="56"/>
      <c r="B23" s="26" t="s">
        <v>69</v>
      </c>
      <c r="C23" s="105"/>
      <c r="D23" s="95"/>
      <c r="E23" s="106" t="s">
        <v>70</v>
      </c>
      <c r="F23" s="56"/>
      <c r="G23" s="107" t="s">
        <v>71</v>
      </c>
      <c r="H23" s="108">
        <f>AQUECIMENTOANTECIPACAO!G38</f>
        <v>0</v>
      </c>
      <c r="I23" s="91" t="s">
        <v>72</v>
      </c>
      <c r="J23" s="91">
        <f>'1 - INÍCIO - PLANEJEMANTO VERBA'!B39</f>
        <v>5250</v>
      </c>
      <c r="K23" s="91">
        <f>'1 - INÍCIO - PLANEJEMANTO VERBA'!B40</f>
        <v>3000</v>
      </c>
      <c r="L23" s="91">
        <f>'1 - INÍCIO - PLANEJEMANTO VERBA'!B41</f>
        <v>2250</v>
      </c>
      <c r="M23" s="91">
        <f>'1 - INÍCIO - PLANEJEMANTO VERBA'!B42</f>
        <v>4500</v>
      </c>
      <c r="N23" s="56"/>
      <c r="O23" s="56"/>
      <c r="P23" s="56"/>
      <c r="Q23" s="56"/>
      <c r="R23" s="56"/>
      <c r="S23" s="56"/>
      <c r="T23" s="56"/>
      <c r="U23" s="56"/>
      <c r="V23" s="56"/>
      <c r="W23" s="56"/>
    </row>
    <row r="24" ht="15.75" customHeight="1">
      <c r="A24" s="56"/>
      <c r="B24" s="96" t="s">
        <v>40</v>
      </c>
      <c r="C24" s="109">
        <v>8000.0</v>
      </c>
      <c r="D24" s="106" t="s">
        <v>73</v>
      </c>
      <c r="E24" s="106">
        <f t="shared" ref="E24:E25" si="4">C20</f>
        <v>0</v>
      </c>
      <c r="F24" s="56"/>
      <c r="G24" s="107" t="s">
        <v>74</v>
      </c>
      <c r="H24" s="108">
        <f>AQUECIMENTOANTECIPACAO!I38</f>
        <v>0</v>
      </c>
      <c r="I24" s="110"/>
      <c r="J24" s="111" t="s">
        <v>75</v>
      </c>
      <c r="K24" s="112" t="s">
        <v>76</v>
      </c>
      <c r="L24" s="113" t="s">
        <v>77</v>
      </c>
      <c r="M24" s="113" t="s">
        <v>78</v>
      </c>
      <c r="N24" s="56"/>
      <c r="O24" s="56"/>
      <c r="P24" s="56"/>
      <c r="Q24" s="56"/>
      <c r="R24" s="56"/>
      <c r="S24" s="56"/>
      <c r="T24" s="56"/>
      <c r="U24" s="56"/>
      <c r="V24" s="56"/>
      <c r="W24" s="56"/>
    </row>
    <row r="25" ht="15.75" customHeight="1">
      <c r="A25" s="56"/>
      <c r="B25" s="99" t="s">
        <v>43</v>
      </c>
      <c r="C25" s="114">
        <v>2000.0</v>
      </c>
      <c r="D25" s="106" t="s">
        <v>79</v>
      </c>
      <c r="E25" s="106">
        <f t="shared" si="4"/>
        <v>0</v>
      </c>
      <c r="F25" s="56"/>
      <c r="G25" s="115" t="s">
        <v>80</v>
      </c>
      <c r="H25" s="116">
        <f t="shared" ref="H25:H26" si="5">J25+K25+L25+M25</f>
        <v>0</v>
      </c>
      <c r="I25" s="91" t="s">
        <v>81</v>
      </c>
      <c r="J25" s="111"/>
      <c r="K25" s="111"/>
      <c r="L25" s="117"/>
      <c r="M25" s="117"/>
      <c r="N25" s="56"/>
      <c r="O25" s="56"/>
      <c r="P25" s="56"/>
      <c r="Q25" s="56"/>
      <c r="R25" s="56"/>
      <c r="S25" s="56"/>
      <c r="T25" s="56"/>
      <c r="U25" s="56"/>
      <c r="V25" s="56"/>
      <c r="W25" s="56"/>
    </row>
    <row r="26" ht="15.75" customHeight="1">
      <c r="A26" s="56"/>
      <c r="B26" s="3"/>
      <c r="C26" s="39"/>
      <c r="D26" s="58"/>
      <c r="E26" s="58"/>
      <c r="F26" s="56"/>
      <c r="G26" s="115" t="s">
        <v>82</v>
      </c>
      <c r="H26" s="116">
        <f t="shared" si="5"/>
        <v>0</v>
      </c>
      <c r="I26" s="91" t="s">
        <v>83</v>
      </c>
      <c r="J26" s="111"/>
      <c r="K26" s="111"/>
      <c r="L26" s="117"/>
      <c r="M26" s="117"/>
      <c r="N26" s="56"/>
      <c r="O26" s="56"/>
      <c r="P26" s="56"/>
      <c r="Q26" s="56"/>
      <c r="R26" s="56"/>
      <c r="S26" s="56"/>
      <c r="T26" s="56"/>
      <c r="U26" s="56"/>
      <c r="V26" s="56"/>
      <c r="W26" s="56"/>
    </row>
    <row r="27" ht="15.75" customHeight="1">
      <c r="A27" s="56"/>
      <c r="B27" s="96" t="s">
        <v>84</v>
      </c>
      <c r="C27" s="118">
        <f t="shared" ref="C27:C28" si="7">C24-C20</f>
        <v>8000</v>
      </c>
      <c r="D27" s="58"/>
      <c r="E27" s="58"/>
      <c r="F27" s="56"/>
      <c r="G27" s="119" t="s">
        <v>85</v>
      </c>
      <c r="H27" s="120"/>
      <c r="I27" s="91" t="s">
        <v>86</v>
      </c>
      <c r="J27" s="121">
        <f t="shared" ref="J27:M27" si="6">J25+J26</f>
        <v>0</v>
      </c>
      <c r="K27" s="121">
        <f t="shared" si="6"/>
        <v>0</v>
      </c>
      <c r="L27" s="121">
        <f t="shared" si="6"/>
        <v>0</v>
      </c>
      <c r="M27" s="121">
        <f t="shared" si="6"/>
        <v>0</v>
      </c>
      <c r="N27" s="56"/>
      <c r="O27" s="56"/>
      <c r="P27" s="56"/>
      <c r="Q27" s="56"/>
      <c r="R27" s="56"/>
      <c r="S27" s="56"/>
      <c r="T27" s="56"/>
      <c r="U27" s="56"/>
      <c r="V27" s="56"/>
      <c r="W27" s="56"/>
    </row>
    <row r="28" ht="15.75" customHeight="1">
      <c r="A28" s="56"/>
      <c r="B28" s="99" t="s">
        <v>87</v>
      </c>
      <c r="C28" s="118">
        <f t="shared" si="7"/>
        <v>2000</v>
      </c>
      <c r="D28" s="58"/>
      <c r="E28" s="58"/>
      <c r="F28" s="56"/>
      <c r="G28" s="119" t="s">
        <v>88</v>
      </c>
      <c r="H28" s="120"/>
      <c r="I28" s="58"/>
      <c r="J28" s="122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</row>
    <row r="29" ht="15.75" customHeight="1">
      <c r="A29" s="56"/>
      <c r="B29" s="3"/>
      <c r="C29" s="39"/>
      <c r="D29" s="58"/>
      <c r="E29" s="58"/>
      <c r="F29" s="56"/>
      <c r="G29" s="123" t="s">
        <v>89</v>
      </c>
      <c r="H29" s="124">
        <f>SUM(H21:H28)</f>
        <v>0</v>
      </c>
      <c r="I29" s="58"/>
      <c r="J29" s="122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</row>
    <row r="30" ht="15.75" customHeight="1">
      <c r="A30" s="56"/>
      <c r="B30" s="105" t="s">
        <v>90</v>
      </c>
      <c r="D30" s="58"/>
      <c r="E30" s="58"/>
      <c r="F30" s="56"/>
      <c r="G30" s="56"/>
      <c r="H30" s="59"/>
      <c r="I30" s="58"/>
      <c r="J30" s="122"/>
      <c r="M30" s="56"/>
      <c r="N30" s="56"/>
      <c r="O30" s="56"/>
      <c r="P30" s="56"/>
      <c r="Q30" s="56"/>
      <c r="R30" s="56"/>
      <c r="S30" s="56"/>
      <c r="T30" s="58"/>
      <c r="U30" s="56"/>
      <c r="V30" s="56"/>
      <c r="W30" s="56"/>
    </row>
    <row r="31" ht="15.75" customHeight="1">
      <c r="A31" s="56"/>
      <c r="B31" s="125" t="s">
        <v>34</v>
      </c>
      <c r="C31" s="126">
        <f>C17</f>
        <v>0</v>
      </c>
      <c r="D31" s="58"/>
      <c r="E31" s="127"/>
      <c r="F31" s="56"/>
      <c r="G31" s="94" t="s">
        <v>91</v>
      </c>
      <c r="H31" s="94"/>
      <c r="I31" s="58"/>
      <c r="J31" s="58"/>
      <c r="K31" s="56"/>
      <c r="L31" s="56"/>
      <c r="M31" s="56"/>
      <c r="N31" s="56"/>
      <c r="O31" s="56"/>
      <c r="P31" s="56"/>
      <c r="Q31" s="56"/>
      <c r="R31" s="56"/>
      <c r="S31" s="56"/>
      <c r="T31" s="58"/>
      <c r="U31" s="56"/>
      <c r="V31" s="56"/>
      <c r="W31" s="56"/>
    </row>
    <row r="32" ht="15.75" customHeight="1">
      <c r="A32" s="56"/>
      <c r="B32" s="128" t="s">
        <v>66</v>
      </c>
      <c r="C32" s="129">
        <f>E17</f>
        <v>0</v>
      </c>
      <c r="D32" s="58"/>
      <c r="E32" s="58"/>
      <c r="F32" s="56"/>
      <c r="G32" s="94"/>
      <c r="H32" s="94"/>
      <c r="I32" s="58"/>
      <c r="J32" s="58"/>
      <c r="K32" s="56"/>
      <c r="L32" s="56"/>
      <c r="M32" s="56"/>
      <c r="N32" s="56"/>
      <c r="O32" s="56"/>
      <c r="P32" s="56"/>
      <c r="Q32" s="56"/>
      <c r="R32" s="56"/>
      <c r="S32" s="56"/>
      <c r="T32" s="58"/>
      <c r="U32" s="56"/>
      <c r="V32" s="56"/>
      <c r="W32" s="56"/>
    </row>
    <row r="33" ht="15.75" customHeight="1">
      <c r="A33" s="56"/>
      <c r="B33" s="128" t="s">
        <v>92</v>
      </c>
      <c r="C33" s="130">
        <f>C32/C42</f>
        <v>0</v>
      </c>
      <c r="D33" s="58"/>
      <c r="E33" s="58"/>
      <c r="F33" s="56"/>
      <c r="G33" s="94"/>
      <c r="H33" s="94"/>
      <c r="I33" s="58"/>
      <c r="J33" s="58"/>
      <c r="K33" s="56"/>
      <c r="L33" s="56"/>
      <c r="M33" s="56"/>
      <c r="N33" s="56"/>
      <c r="O33" s="56"/>
      <c r="P33" s="56"/>
      <c r="Q33" s="56"/>
      <c r="R33" s="56"/>
      <c r="S33" s="56"/>
      <c r="T33" s="58"/>
      <c r="U33" s="56"/>
      <c r="V33" s="56"/>
      <c r="W33" s="56"/>
    </row>
    <row r="34" ht="15.75" customHeight="1">
      <c r="A34" s="56"/>
      <c r="B34" s="128" t="s">
        <v>93</v>
      </c>
      <c r="C34" s="130">
        <f>C31/'1 - INÍCIO - PLANEJEMANTO VERBA'!B10</f>
        <v>0</v>
      </c>
      <c r="E34" s="58"/>
      <c r="F34" s="56"/>
      <c r="G34" s="94"/>
      <c r="H34" s="94"/>
      <c r="I34" s="58"/>
      <c r="J34" s="58"/>
      <c r="K34" s="56"/>
      <c r="L34" s="56"/>
      <c r="M34" s="56"/>
      <c r="N34" s="56"/>
      <c r="O34" s="56"/>
      <c r="P34" s="56"/>
      <c r="Q34" s="56"/>
      <c r="R34" s="56"/>
      <c r="S34" s="56"/>
      <c r="T34" s="58"/>
      <c r="U34" s="56"/>
      <c r="V34" s="56"/>
      <c r="W34" s="56"/>
    </row>
    <row r="35" ht="15.75" customHeight="1">
      <c r="A35" s="56"/>
      <c r="B35" s="128" t="s">
        <v>94</v>
      </c>
      <c r="C35" s="131">
        <f>C33-C34</f>
        <v>0</v>
      </c>
      <c r="D35" s="58"/>
      <c r="E35" s="58"/>
      <c r="F35" s="56"/>
      <c r="G35" s="94"/>
      <c r="H35" s="94"/>
      <c r="I35" s="58"/>
      <c r="J35" s="58"/>
      <c r="K35" s="56"/>
      <c r="L35" s="56"/>
      <c r="M35" s="56"/>
      <c r="N35" s="56"/>
      <c r="O35" s="56"/>
      <c r="P35" s="56"/>
      <c r="Q35" s="56"/>
      <c r="R35" s="56"/>
      <c r="S35" s="56"/>
      <c r="T35" s="58"/>
      <c r="U35" s="56"/>
      <c r="V35" s="56"/>
      <c r="W35" s="56"/>
    </row>
    <row r="36" ht="15.75" customHeight="1">
      <c r="A36" s="56"/>
      <c r="B36" s="128" t="s">
        <v>95</v>
      </c>
      <c r="C36" s="129" t="str">
        <f>C32/C31</f>
        <v>#DIV/0!</v>
      </c>
      <c r="D36" s="58"/>
      <c r="E36" s="58"/>
      <c r="F36" s="56"/>
      <c r="I36" s="58"/>
      <c r="J36" s="58"/>
      <c r="K36" s="56"/>
      <c r="L36" s="56"/>
      <c r="M36" s="56"/>
      <c r="N36" s="56"/>
      <c r="O36" s="56"/>
      <c r="P36" s="56"/>
      <c r="Q36" s="56"/>
      <c r="R36" s="56"/>
      <c r="S36" s="56"/>
      <c r="T36" s="58"/>
      <c r="U36" s="56"/>
      <c r="V36" s="56"/>
      <c r="W36" s="56"/>
    </row>
    <row r="37" ht="15.75" customHeight="1">
      <c r="A37" s="56"/>
      <c r="B37" s="125" t="s">
        <v>96</v>
      </c>
      <c r="C37" s="132">
        <v>44767.0</v>
      </c>
      <c r="D37" s="58"/>
      <c r="E37" s="58"/>
      <c r="F37" s="56"/>
      <c r="I37" s="58"/>
      <c r="J37" s="58"/>
      <c r="K37" s="56"/>
      <c r="L37" s="56"/>
      <c r="M37" s="56"/>
      <c r="N37" s="56"/>
      <c r="O37" s="56"/>
      <c r="P37" s="56"/>
      <c r="Q37" s="56"/>
      <c r="R37" s="56"/>
      <c r="S37" s="56"/>
      <c r="T37" s="58"/>
      <c r="U37" s="56"/>
      <c r="V37" s="56"/>
      <c r="W37" s="56"/>
    </row>
    <row r="38" ht="15.75" customHeight="1">
      <c r="A38" s="56"/>
      <c r="B38" s="128" t="s">
        <v>97</v>
      </c>
      <c r="C38" s="133">
        <v>44783.0</v>
      </c>
      <c r="D38" s="58"/>
      <c r="E38" s="58"/>
      <c r="F38" s="56"/>
      <c r="I38" s="58"/>
      <c r="J38" s="58"/>
      <c r="K38" s="56"/>
      <c r="L38" s="56"/>
      <c r="M38" s="56"/>
      <c r="N38" s="56"/>
      <c r="O38" s="56"/>
      <c r="P38" s="56"/>
      <c r="Q38" s="56"/>
      <c r="R38" s="56"/>
      <c r="S38" s="56"/>
      <c r="T38" s="58"/>
      <c r="U38" s="56"/>
      <c r="V38" s="56"/>
      <c r="W38" s="56"/>
    </row>
    <row r="39" ht="15.75" customHeight="1">
      <c r="A39" s="56"/>
      <c r="B39" s="128" t="s">
        <v>98</v>
      </c>
      <c r="C39" s="134">
        <f>C38-C37</f>
        <v>16</v>
      </c>
      <c r="D39" s="58"/>
      <c r="E39" s="58"/>
      <c r="F39" s="56"/>
      <c r="I39" s="58"/>
      <c r="J39" s="58"/>
      <c r="K39" s="56"/>
      <c r="L39" s="56"/>
      <c r="M39" s="56"/>
      <c r="N39" s="56"/>
      <c r="O39" s="56"/>
      <c r="P39" s="56"/>
      <c r="Q39" s="56"/>
      <c r="R39" s="56"/>
      <c r="S39" s="56"/>
      <c r="T39" s="58"/>
      <c r="U39" s="56"/>
      <c r="V39" s="56"/>
      <c r="W39" s="56"/>
    </row>
    <row r="40" ht="15.75" customHeight="1">
      <c r="A40" s="56"/>
      <c r="B40" s="128" t="s">
        <v>99</v>
      </c>
      <c r="C40" s="134">
        <f>'1 - INÍCIO - PLANEJEMANTO VERBA'!B10-C31</f>
        <v>16071.42857</v>
      </c>
      <c r="D40" s="58"/>
      <c r="E40" s="58"/>
      <c r="F40" s="56"/>
      <c r="I40" s="58"/>
      <c r="J40" s="58"/>
      <c r="K40" s="56"/>
      <c r="L40" s="56"/>
      <c r="M40" s="56"/>
      <c r="N40" s="56"/>
      <c r="O40" s="56"/>
      <c r="P40" s="56"/>
      <c r="Q40" s="56"/>
      <c r="R40" s="56"/>
      <c r="S40" s="56"/>
      <c r="T40" s="58"/>
      <c r="U40" s="56"/>
      <c r="V40" s="56"/>
      <c r="W40" s="56"/>
    </row>
    <row r="41" ht="15.75" customHeight="1">
      <c r="A41" s="56"/>
      <c r="B41" s="128" t="s">
        <v>100</v>
      </c>
      <c r="C41" s="134">
        <f>C40/C39</f>
        <v>1004.464286</v>
      </c>
      <c r="D41" s="58"/>
      <c r="E41" s="58"/>
      <c r="F41" s="56"/>
      <c r="I41" s="58"/>
      <c r="J41" s="58"/>
      <c r="K41" s="56"/>
      <c r="L41" s="56"/>
      <c r="M41" s="56"/>
      <c r="N41" s="56"/>
      <c r="O41" s="56"/>
      <c r="P41" s="56"/>
      <c r="Q41" s="56"/>
      <c r="R41" s="56"/>
      <c r="S41" s="56"/>
      <c r="T41" s="58"/>
      <c r="U41" s="56"/>
      <c r="V41" s="56"/>
      <c r="W41" s="56"/>
    </row>
    <row r="42" ht="15.75" customHeight="1">
      <c r="A42" s="56"/>
      <c r="B42" s="128" t="s">
        <v>101</v>
      </c>
      <c r="C42" s="129">
        <f>'1 - INÍCIO - PLANEJEMANTO VERBA'!B8</f>
        <v>112500</v>
      </c>
      <c r="D42" s="58"/>
      <c r="E42" s="58"/>
      <c r="F42" s="56"/>
      <c r="I42" s="59"/>
      <c r="J42" s="58"/>
      <c r="K42" s="56"/>
      <c r="L42" s="56"/>
      <c r="M42" s="56"/>
      <c r="N42" s="56"/>
      <c r="O42" s="56"/>
      <c r="P42" s="56"/>
      <c r="Q42" s="56"/>
      <c r="R42" s="56"/>
      <c r="S42" s="56"/>
      <c r="T42" s="58"/>
      <c r="U42" s="56"/>
      <c r="V42" s="56"/>
      <c r="W42" s="56"/>
    </row>
    <row r="43" ht="15.75" customHeight="1">
      <c r="A43" s="56"/>
      <c r="B43" s="128" t="s">
        <v>102</v>
      </c>
      <c r="C43" s="129">
        <f>C42-C32</f>
        <v>112500</v>
      </c>
      <c r="D43" s="58"/>
      <c r="E43" s="58"/>
      <c r="F43" s="56"/>
      <c r="I43" s="58"/>
      <c r="J43" s="58"/>
      <c r="K43" s="56"/>
      <c r="L43" s="56"/>
      <c r="M43" s="56"/>
      <c r="N43" s="56"/>
      <c r="O43" s="56"/>
      <c r="P43" s="56"/>
      <c r="Q43" s="56"/>
      <c r="R43" s="56"/>
      <c r="S43" s="56"/>
      <c r="T43" s="58"/>
      <c r="U43" s="56"/>
      <c r="V43" s="56"/>
      <c r="W43" s="56"/>
    </row>
    <row r="44" ht="15.75" customHeight="1">
      <c r="A44" s="56"/>
      <c r="B44" s="128" t="s">
        <v>103</v>
      </c>
      <c r="C44" s="129">
        <f>C43/C39</f>
        <v>7031.25</v>
      </c>
      <c r="D44" s="58"/>
      <c r="E44" s="58"/>
      <c r="F44" s="56"/>
      <c r="I44" s="58"/>
      <c r="J44" s="58"/>
      <c r="K44" s="56"/>
      <c r="L44" s="56"/>
      <c r="M44" s="56"/>
      <c r="N44" s="56"/>
      <c r="O44" s="56"/>
      <c r="P44" s="56"/>
      <c r="Q44" s="56"/>
      <c r="R44" s="56"/>
      <c r="S44" s="56"/>
      <c r="T44" s="58"/>
      <c r="U44" s="56"/>
      <c r="V44" s="56"/>
      <c r="W44" s="56"/>
    </row>
    <row r="45" ht="15.75" customHeight="1">
      <c r="A45" s="56"/>
      <c r="B45" s="128" t="s">
        <v>104</v>
      </c>
      <c r="C45" s="129">
        <f>C43/C40</f>
        <v>7</v>
      </c>
      <c r="D45" s="58"/>
      <c r="E45" s="58"/>
      <c r="F45" s="56"/>
      <c r="I45" s="58"/>
      <c r="J45" s="58"/>
      <c r="K45" s="56"/>
      <c r="L45" s="56"/>
      <c r="M45" s="56"/>
      <c r="N45" s="56"/>
      <c r="O45" s="56"/>
      <c r="P45" s="56"/>
      <c r="Q45" s="56"/>
      <c r="R45" s="56"/>
      <c r="S45" s="56"/>
      <c r="T45" s="58"/>
      <c r="U45" s="56"/>
      <c r="V45" s="56"/>
      <c r="W45" s="56"/>
    </row>
    <row r="46" ht="15.75" customHeight="1">
      <c r="A46" s="56"/>
      <c r="B46" s="3"/>
      <c r="C46" s="39"/>
      <c r="D46" s="58"/>
      <c r="E46" s="58"/>
      <c r="F46" s="56"/>
      <c r="I46" s="58"/>
      <c r="J46" s="58"/>
      <c r="K46" s="56"/>
      <c r="L46" s="56"/>
      <c r="M46" s="56"/>
      <c r="N46" s="56"/>
      <c r="O46" s="56"/>
      <c r="P46" s="56"/>
      <c r="Q46" s="56"/>
      <c r="R46" s="56"/>
      <c r="S46" s="56"/>
      <c r="T46" s="58"/>
      <c r="U46" s="56"/>
      <c r="V46" s="56"/>
      <c r="W46" s="56"/>
    </row>
    <row r="47" ht="15.75" customHeight="1">
      <c r="A47" s="56"/>
      <c r="B47" s="135"/>
      <c r="D47" s="58"/>
      <c r="E47" s="58"/>
      <c r="F47" s="56"/>
      <c r="G47" s="56"/>
      <c r="H47" s="59"/>
      <c r="I47" s="58"/>
      <c r="J47" s="58"/>
      <c r="K47" s="56"/>
      <c r="L47" s="56"/>
      <c r="M47" s="56"/>
      <c r="N47" s="56"/>
      <c r="O47" s="56"/>
      <c r="P47" s="56"/>
      <c r="Q47" s="56"/>
      <c r="R47" s="56"/>
      <c r="S47" s="56"/>
      <c r="T47" s="58"/>
      <c r="U47" s="56"/>
      <c r="V47" s="56"/>
      <c r="W47" s="56"/>
    </row>
    <row r="48" ht="15.75" customHeight="1">
      <c r="A48" s="56"/>
      <c r="B48" s="42"/>
      <c r="C48" s="136"/>
      <c r="D48" s="58"/>
      <c r="E48" s="58"/>
      <c r="F48" s="56"/>
      <c r="G48" s="56"/>
      <c r="H48" s="59"/>
      <c r="I48" s="58"/>
      <c r="J48" s="58"/>
      <c r="K48" s="56"/>
      <c r="L48" s="56"/>
      <c r="M48" s="56"/>
      <c r="N48" s="56"/>
      <c r="O48" s="56"/>
      <c r="P48" s="56"/>
      <c r="Q48" s="56"/>
      <c r="R48" s="56"/>
      <c r="S48" s="56"/>
      <c r="T48" s="58"/>
      <c r="U48" s="56"/>
      <c r="V48" s="56"/>
      <c r="W48" s="56"/>
    </row>
    <row r="49" ht="15.75" customHeight="1">
      <c r="A49" s="56"/>
      <c r="B49" s="42"/>
      <c r="C49" s="137"/>
      <c r="D49" s="58"/>
      <c r="E49" s="58"/>
      <c r="F49" s="56"/>
      <c r="G49" s="56"/>
      <c r="H49" s="59"/>
      <c r="I49" s="58"/>
      <c r="J49" s="58"/>
      <c r="K49" s="56"/>
      <c r="L49" s="56"/>
      <c r="M49" s="56"/>
      <c r="N49" s="56"/>
      <c r="O49" s="56"/>
      <c r="P49" s="56"/>
      <c r="Q49" s="56"/>
      <c r="R49" s="56"/>
      <c r="S49" s="56"/>
      <c r="T49" s="58"/>
      <c r="U49" s="56"/>
      <c r="V49" s="56"/>
      <c r="W49" s="56"/>
    </row>
    <row r="50" ht="15.75" customHeight="1">
      <c r="A50" s="56"/>
      <c r="B50" s="42"/>
      <c r="C50" s="135"/>
      <c r="D50" s="58"/>
      <c r="E50" s="58"/>
      <c r="F50" s="56"/>
      <c r="G50" s="56"/>
      <c r="H50" s="59"/>
      <c r="I50" s="58"/>
      <c r="J50" s="58"/>
      <c r="K50" s="56"/>
      <c r="L50" s="56"/>
      <c r="M50" s="56"/>
      <c r="N50" s="56"/>
      <c r="O50" s="56"/>
      <c r="P50" s="56"/>
      <c r="Q50" s="56"/>
      <c r="R50" s="56"/>
      <c r="S50" s="56"/>
      <c r="T50" s="58"/>
      <c r="U50" s="56"/>
      <c r="V50" s="56"/>
      <c r="W50" s="56"/>
    </row>
    <row r="51" ht="15.75" customHeight="1">
      <c r="A51" s="56"/>
      <c r="B51" s="42"/>
      <c r="C51" s="138"/>
      <c r="D51" s="58"/>
      <c r="E51" s="58"/>
      <c r="F51" s="56"/>
      <c r="G51" s="56"/>
      <c r="H51" s="59"/>
      <c r="I51" s="58"/>
      <c r="J51" s="58"/>
      <c r="K51" s="56"/>
      <c r="L51" s="56"/>
      <c r="M51" s="56"/>
      <c r="N51" s="56"/>
      <c r="O51" s="56"/>
      <c r="P51" s="56"/>
      <c r="Q51" s="56"/>
      <c r="R51" s="56"/>
      <c r="S51" s="56"/>
      <c r="T51" s="58"/>
      <c r="U51" s="56"/>
      <c r="V51" s="56"/>
      <c r="W51" s="56"/>
    </row>
    <row r="52" ht="15.75" customHeight="1">
      <c r="A52" s="56"/>
      <c r="B52" s="42"/>
      <c r="C52" s="138"/>
      <c r="D52" s="58"/>
      <c r="E52" s="58"/>
      <c r="F52" s="56"/>
      <c r="G52" s="56"/>
      <c r="H52" s="59"/>
      <c r="I52" s="58"/>
      <c r="J52" s="58"/>
      <c r="K52" s="56"/>
      <c r="L52" s="56"/>
      <c r="M52" s="56"/>
      <c r="N52" s="56"/>
      <c r="O52" s="56"/>
      <c r="P52" s="56"/>
      <c r="Q52" s="56"/>
      <c r="R52" s="56"/>
      <c r="S52" s="56"/>
      <c r="T52" s="58"/>
      <c r="U52" s="56"/>
      <c r="V52" s="56"/>
      <c r="W52" s="56"/>
    </row>
    <row r="53" ht="15.75" customHeight="1">
      <c r="A53" s="56"/>
      <c r="B53" s="42"/>
      <c r="C53" s="138"/>
      <c r="D53" s="58"/>
      <c r="E53" s="58"/>
      <c r="F53" s="56"/>
      <c r="G53" s="56"/>
      <c r="H53" s="59"/>
      <c r="I53" s="58"/>
      <c r="J53" s="58"/>
      <c r="K53" s="56"/>
      <c r="L53" s="56"/>
      <c r="M53" s="56"/>
      <c r="N53" s="56"/>
      <c r="O53" s="56"/>
      <c r="P53" s="56"/>
      <c r="Q53" s="56"/>
      <c r="R53" s="56"/>
      <c r="S53" s="56"/>
      <c r="T53" s="58"/>
      <c r="U53" s="56"/>
      <c r="V53" s="56"/>
      <c r="W53" s="56"/>
    </row>
    <row r="54" ht="15.75" customHeight="1">
      <c r="A54" s="56"/>
      <c r="B54" s="56"/>
      <c r="C54" s="57"/>
      <c r="D54" s="58"/>
      <c r="E54" s="58"/>
      <c r="F54" s="56"/>
      <c r="G54" s="56"/>
      <c r="H54" s="59"/>
      <c r="I54" s="58"/>
      <c r="J54" s="58"/>
      <c r="K54" s="56"/>
      <c r="L54" s="56"/>
      <c r="M54" s="56"/>
      <c r="N54" s="56"/>
      <c r="O54" s="56"/>
      <c r="P54" s="56"/>
      <c r="Q54" s="56"/>
      <c r="R54" s="56"/>
      <c r="S54" s="56"/>
      <c r="T54" s="58"/>
      <c r="U54" s="56"/>
      <c r="V54" s="56"/>
      <c r="W54" s="56"/>
    </row>
    <row r="55" ht="15.75" customHeight="1">
      <c r="A55" s="56"/>
      <c r="B55" s="56"/>
      <c r="C55" s="57"/>
      <c r="D55" s="58"/>
      <c r="E55" s="58"/>
      <c r="F55" s="56"/>
      <c r="G55" s="56"/>
      <c r="H55" s="59"/>
      <c r="I55" s="58"/>
      <c r="J55" s="58"/>
      <c r="K55" s="56"/>
      <c r="L55" s="56"/>
      <c r="M55" s="56"/>
      <c r="N55" s="56"/>
      <c r="O55" s="56"/>
      <c r="P55" s="56"/>
      <c r="Q55" s="56"/>
      <c r="R55" s="56"/>
      <c r="S55" s="56"/>
      <c r="T55" s="58"/>
      <c r="U55" s="56"/>
      <c r="V55" s="56"/>
      <c r="W55" s="56"/>
    </row>
    <row r="56" ht="15.75" customHeight="1">
      <c r="A56" s="56"/>
      <c r="B56" s="56"/>
      <c r="C56" s="57"/>
      <c r="D56" s="58"/>
      <c r="E56" s="58"/>
      <c r="F56" s="56"/>
      <c r="G56" s="56"/>
      <c r="H56" s="59"/>
      <c r="I56" s="58"/>
      <c r="J56" s="58"/>
      <c r="K56" s="56"/>
      <c r="L56" s="56"/>
      <c r="M56" s="56"/>
      <c r="N56" s="56"/>
      <c r="O56" s="56"/>
      <c r="P56" s="56"/>
      <c r="Q56" s="56"/>
      <c r="R56" s="56"/>
      <c r="S56" s="56"/>
      <c r="T56" s="58"/>
      <c r="U56" s="56"/>
      <c r="V56" s="56"/>
      <c r="W56" s="56"/>
    </row>
    <row r="57" ht="15.75" customHeight="1">
      <c r="A57" s="56"/>
      <c r="B57" s="56"/>
      <c r="C57" s="57"/>
      <c r="D57" s="58"/>
      <c r="E57" s="58"/>
      <c r="F57" s="56"/>
      <c r="G57" s="56"/>
      <c r="H57" s="59"/>
      <c r="I57" s="58"/>
      <c r="J57" s="58"/>
      <c r="K57" s="56"/>
      <c r="L57" s="56"/>
      <c r="M57" s="56"/>
      <c r="N57" s="56"/>
      <c r="O57" s="56"/>
      <c r="P57" s="56"/>
      <c r="Q57" s="56"/>
      <c r="R57" s="56"/>
      <c r="S57" s="56"/>
      <c r="T57" s="58"/>
      <c r="U57" s="56"/>
      <c r="V57" s="56"/>
      <c r="W57" s="56"/>
    </row>
    <row r="58" ht="15.75" customHeight="1">
      <c r="A58" s="56"/>
      <c r="B58" s="56"/>
      <c r="C58" s="57"/>
      <c r="D58" s="58"/>
      <c r="E58" s="58"/>
      <c r="F58" s="56"/>
      <c r="G58" s="56"/>
      <c r="H58" s="59"/>
      <c r="I58" s="58"/>
      <c r="J58" s="58"/>
      <c r="K58" s="56"/>
      <c r="L58" s="56"/>
      <c r="M58" s="56"/>
      <c r="N58" s="56"/>
      <c r="O58" s="56"/>
      <c r="P58" s="56"/>
      <c r="Q58" s="56"/>
      <c r="R58" s="56"/>
      <c r="S58" s="56"/>
      <c r="T58" s="58"/>
      <c r="U58" s="56"/>
      <c r="V58" s="56"/>
      <c r="W58" s="56"/>
    </row>
    <row r="59" ht="15.75" customHeight="1">
      <c r="A59" s="56"/>
      <c r="B59" s="56"/>
      <c r="C59" s="57"/>
      <c r="D59" s="58"/>
      <c r="E59" s="58"/>
      <c r="F59" s="56"/>
      <c r="G59" s="56"/>
      <c r="H59" s="59"/>
      <c r="I59" s="58"/>
      <c r="J59" s="58"/>
      <c r="K59" s="56"/>
      <c r="L59" s="56"/>
      <c r="M59" s="56"/>
      <c r="N59" s="56"/>
      <c r="O59" s="56"/>
      <c r="P59" s="56"/>
      <c r="Q59" s="56"/>
      <c r="R59" s="56"/>
      <c r="S59" s="56"/>
      <c r="T59" s="58"/>
      <c r="U59" s="56"/>
      <c r="V59" s="56"/>
      <c r="W59" s="56"/>
    </row>
    <row r="60" ht="15.75" customHeight="1">
      <c r="A60" s="56"/>
      <c r="B60" s="56"/>
      <c r="C60" s="57"/>
      <c r="D60" s="58"/>
      <c r="E60" s="58"/>
      <c r="F60" s="56"/>
      <c r="G60" s="56"/>
      <c r="H60" s="59"/>
      <c r="I60" s="58"/>
      <c r="J60" s="58"/>
      <c r="K60" s="56"/>
      <c r="L60" s="56"/>
      <c r="M60" s="56"/>
      <c r="N60" s="56"/>
      <c r="O60" s="56"/>
      <c r="P60" s="56"/>
      <c r="Q60" s="56"/>
      <c r="R60" s="56"/>
      <c r="S60" s="56"/>
      <c r="T60" s="58"/>
      <c r="U60" s="56"/>
      <c r="V60" s="56"/>
      <c r="W60" s="56"/>
    </row>
    <row r="61" ht="15.75" customHeight="1">
      <c r="A61" s="56"/>
      <c r="B61" s="56"/>
      <c r="C61" s="57"/>
      <c r="D61" s="58"/>
      <c r="E61" s="58"/>
      <c r="F61" s="56"/>
      <c r="G61" s="56"/>
      <c r="H61" s="59"/>
      <c r="I61" s="58"/>
      <c r="J61" s="58"/>
      <c r="K61" s="56"/>
      <c r="L61" s="56"/>
      <c r="M61" s="56"/>
      <c r="N61" s="56"/>
      <c r="O61" s="56"/>
      <c r="P61" s="56"/>
      <c r="Q61" s="56"/>
      <c r="R61" s="56"/>
      <c r="S61" s="56"/>
      <c r="T61" s="58"/>
      <c r="U61" s="56"/>
      <c r="V61" s="56"/>
      <c r="W61" s="56"/>
    </row>
    <row r="62" ht="15.75" customHeight="1">
      <c r="A62" s="56"/>
      <c r="B62" s="56"/>
      <c r="C62" s="57"/>
      <c r="D62" s="58"/>
      <c r="E62" s="58"/>
      <c r="F62" s="56"/>
      <c r="G62" s="56"/>
      <c r="H62" s="59"/>
      <c r="I62" s="58"/>
      <c r="J62" s="58"/>
      <c r="K62" s="56"/>
      <c r="L62" s="56"/>
      <c r="M62" s="56"/>
      <c r="N62" s="56"/>
      <c r="O62" s="56"/>
      <c r="P62" s="56"/>
      <c r="Q62" s="56"/>
      <c r="R62" s="56"/>
      <c r="S62" s="56"/>
      <c r="T62" s="58"/>
      <c r="U62" s="56"/>
      <c r="V62" s="56"/>
      <c r="W62" s="56"/>
    </row>
    <row r="63" ht="15.75" customHeight="1">
      <c r="A63" s="56"/>
      <c r="B63" s="56"/>
      <c r="C63" s="57"/>
      <c r="D63" s="58"/>
      <c r="E63" s="58"/>
      <c r="F63" s="56"/>
      <c r="G63" s="56"/>
      <c r="H63" s="59"/>
      <c r="I63" s="58"/>
      <c r="J63" s="58"/>
      <c r="K63" s="56"/>
      <c r="L63" s="56"/>
      <c r="M63" s="56"/>
      <c r="N63" s="56"/>
      <c r="O63" s="56"/>
      <c r="P63" s="56"/>
      <c r="Q63" s="56"/>
      <c r="R63" s="56"/>
      <c r="S63" s="56"/>
      <c r="T63" s="58"/>
      <c r="U63" s="56"/>
      <c r="V63" s="56"/>
      <c r="W63" s="56"/>
    </row>
    <row r="64" ht="15.75" customHeight="1">
      <c r="A64" s="56"/>
      <c r="D64" s="58"/>
      <c r="E64" s="58"/>
      <c r="F64" s="56"/>
      <c r="G64" s="56"/>
      <c r="H64" s="59"/>
      <c r="I64" s="58"/>
      <c r="J64" s="58"/>
      <c r="K64" s="56"/>
      <c r="L64" s="56"/>
      <c r="M64" s="56"/>
      <c r="N64" s="56"/>
      <c r="O64" s="56"/>
      <c r="P64" s="56"/>
      <c r="Q64" s="56"/>
      <c r="R64" s="56"/>
      <c r="S64" s="56"/>
      <c r="T64" s="58"/>
      <c r="U64" s="56"/>
      <c r="V64" s="56"/>
      <c r="W64" s="56"/>
    </row>
    <row r="65" ht="15.75" customHeight="1">
      <c r="A65" s="56"/>
      <c r="B65" s="56" t="s">
        <v>105</v>
      </c>
      <c r="C65" s="139">
        <v>44229.0</v>
      </c>
      <c r="D65" s="58"/>
      <c r="E65" s="58"/>
      <c r="F65" s="56"/>
      <c r="G65" s="56"/>
      <c r="H65" s="59"/>
      <c r="I65" s="58"/>
      <c r="J65" s="58"/>
      <c r="K65" s="56"/>
      <c r="L65" s="56"/>
      <c r="M65" s="56"/>
      <c r="N65" s="56"/>
      <c r="O65" s="56"/>
      <c r="P65" s="56"/>
      <c r="Q65" s="56"/>
      <c r="R65" s="56"/>
      <c r="S65" s="56"/>
      <c r="T65" s="58"/>
      <c r="U65" s="56"/>
      <c r="V65" s="56"/>
      <c r="W65" s="56"/>
    </row>
    <row r="66" ht="15.75" customHeight="1">
      <c r="A66" s="56"/>
      <c r="B66" s="56" t="s">
        <v>106</v>
      </c>
      <c r="C66" s="57">
        <f>C38-C65</f>
        <v>554</v>
      </c>
      <c r="D66" s="58"/>
      <c r="E66" s="58"/>
      <c r="F66" s="56"/>
      <c r="G66" s="56"/>
      <c r="H66" s="59"/>
      <c r="I66" s="58"/>
      <c r="J66" s="58"/>
      <c r="K66" s="56"/>
      <c r="L66" s="56"/>
      <c r="M66" s="56"/>
      <c r="N66" s="56"/>
      <c r="O66" s="56"/>
      <c r="P66" s="56"/>
      <c r="Q66" s="56"/>
      <c r="R66" s="56"/>
      <c r="S66" s="56"/>
      <c r="T66" s="58"/>
      <c r="U66" s="56"/>
      <c r="V66" s="56"/>
      <c r="W66" s="56"/>
    </row>
    <row r="67" ht="15.75" customHeight="1">
      <c r="A67" s="56"/>
      <c r="B67" s="56" t="s">
        <v>107</v>
      </c>
      <c r="C67" s="57">
        <f>C37-C65</f>
        <v>538</v>
      </c>
      <c r="D67" s="58"/>
      <c r="E67" s="58"/>
      <c r="F67" s="56"/>
      <c r="G67" s="56"/>
      <c r="H67" s="59"/>
      <c r="I67" s="58"/>
      <c r="J67" s="58"/>
      <c r="K67" s="56"/>
      <c r="L67" s="56"/>
      <c r="M67" s="56"/>
      <c r="N67" s="56"/>
      <c r="O67" s="56"/>
      <c r="P67" s="56"/>
      <c r="Q67" s="56"/>
      <c r="R67" s="56"/>
      <c r="S67" s="56"/>
      <c r="T67" s="58"/>
      <c r="U67" s="56"/>
      <c r="V67" s="56"/>
      <c r="W67" s="56"/>
    </row>
    <row r="68" ht="15.75" customHeight="1">
      <c r="A68" s="56"/>
      <c r="D68" s="58"/>
      <c r="E68" s="58"/>
      <c r="F68" s="56"/>
      <c r="G68" s="56"/>
      <c r="H68" s="59"/>
      <c r="I68" s="58"/>
      <c r="J68" s="58"/>
      <c r="K68" s="56"/>
      <c r="L68" s="56"/>
      <c r="M68" s="56"/>
      <c r="N68" s="56"/>
      <c r="O68" s="56"/>
      <c r="P68" s="56"/>
      <c r="Q68" s="56"/>
      <c r="R68" s="56"/>
      <c r="S68" s="56"/>
      <c r="T68" s="58"/>
      <c r="U68" s="56"/>
      <c r="V68" s="56"/>
      <c r="W68" s="56"/>
    </row>
    <row r="69" ht="15.75" customHeight="1">
      <c r="A69" s="56"/>
      <c r="B69" s="56" t="s">
        <v>108</v>
      </c>
      <c r="C69" s="140">
        <f>1/C66</f>
        <v>0.001805054152</v>
      </c>
      <c r="D69" s="58"/>
      <c r="E69" s="58"/>
      <c r="F69" s="56"/>
      <c r="G69" s="56"/>
      <c r="H69" s="59"/>
      <c r="I69" s="58"/>
      <c r="J69" s="58"/>
      <c r="K69" s="56"/>
      <c r="L69" s="56"/>
      <c r="M69" s="56"/>
      <c r="N69" s="56"/>
      <c r="O69" s="56"/>
      <c r="P69" s="56"/>
      <c r="Q69" s="56"/>
      <c r="R69" s="56"/>
      <c r="S69" s="56"/>
      <c r="T69" s="58"/>
      <c r="U69" s="56"/>
      <c r="V69" s="56"/>
      <c r="W69" s="56"/>
    </row>
    <row r="70" ht="15.75" customHeight="1">
      <c r="A70" s="56"/>
      <c r="B70" s="56" t="s">
        <v>109</v>
      </c>
      <c r="C70" s="140">
        <f>C69*C67</f>
        <v>0.9711191336</v>
      </c>
      <c r="D70" s="58"/>
      <c r="E70" s="58"/>
      <c r="F70" s="56"/>
      <c r="G70" s="56"/>
      <c r="H70" s="59"/>
      <c r="I70" s="58"/>
      <c r="J70" s="58"/>
      <c r="K70" s="56"/>
      <c r="L70" s="56"/>
      <c r="M70" s="56"/>
      <c r="N70" s="56"/>
      <c r="O70" s="56"/>
      <c r="P70" s="56"/>
      <c r="Q70" s="56"/>
      <c r="R70" s="56"/>
      <c r="S70" s="56"/>
      <c r="T70" s="58"/>
      <c r="U70" s="56"/>
      <c r="V70" s="56"/>
      <c r="W70" s="56"/>
    </row>
    <row r="71" ht="15.75" customHeight="1">
      <c r="A71" s="56"/>
      <c r="B71" s="56" t="s">
        <v>110</v>
      </c>
      <c r="C71" s="140">
        <f>(C33+C34)/2</f>
        <v>0</v>
      </c>
      <c r="D71" s="58"/>
      <c r="E71" s="58"/>
      <c r="F71" s="56"/>
      <c r="G71" s="56"/>
      <c r="H71" s="59"/>
      <c r="I71" s="58"/>
      <c r="J71" s="58"/>
      <c r="K71" s="56"/>
      <c r="L71" s="56"/>
      <c r="M71" s="56"/>
      <c r="N71" s="56"/>
      <c r="O71" s="56"/>
      <c r="P71" s="56"/>
      <c r="Q71" s="56"/>
      <c r="R71" s="56"/>
      <c r="S71" s="56"/>
      <c r="T71" s="58"/>
      <c r="U71" s="56"/>
      <c r="V71" s="56"/>
      <c r="W71" s="56"/>
    </row>
    <row r="72" ht="15.75" customHeight="1">
      <c r="A72" s="56"/>
      <c r="D72" s="58"/>
      <c r="E72" s="58"/>
      <c r="F72" s="56"/>
      <c r="G72" s="56"/>
      <c r="H72" s="59"/>
      <c r="I72" s="58"/>
      <c r="J72" s="58"/>
      <c r="K72" s="56"/>
      <c r="L72" s="56"/>
      <c r="M72" s="56"/>
      <c r="N72" s="56"/>
      <c r="O72" s="56"/>
      <c r="P72" s="56"/>
      <c r="Q72" s="56"/>
      <c r="R72" s="56"/>
      <c r="S72" s="56"/>
      <c r="T72" s="58"/>
      <c r="U72" s="56"/>
      <c r="V72" s="56"/>
      <c r="W72" s="56"/>
    </row>
    <row r="73" ht="15.75" customHeight="1">
      <c r="A73" s="56"/>
      <c r="D73" s="58"/>
      <c r="E73" s="58"/>
      <c r="F73" s="56"/>
      <c r="G73" s="56"/>
      <c r="H73" s="59"/>
      <c r="I73" s="58"/>
      <c r="J73" s="58"/>
      <c r="K73" s="56"/>
      <c r="L73" s="56"/>
      <c r="M73" s="56"/>
      <c r="N73" s="56"/>
      <c r="O73" s="56"/>
      <c r="P73" s="56"/>
      <c r="Q73" s="56"/>
      <c r="R73" s="56"/>
      <c r="S73" s="56"/>
      <c r="T73" s="58"/>
      <c r="U73" s="56"/>
      <c r="V73" s="56"/>
      <c r="W73" s="56"/>
    </row>
    <row r="74" ht="15.75" customHeight="1">
      <c r="A74" s="56"/>
      <c r="B74" s="56"/>
      <c r="C74" s="57"/>
      <c r="D74" s="58"/>
      <c r="E74" s="58"/>
      <c r="F74" s="56"/>
      <c r="G74" s="56"/>
      <c r="H74" s="59"/>
      <c r="I74" s="58"/>
      <c r="J74" s="58"/>
      <c r="K74" s="56"/>
      <c r="L74" s="56"/>
      <c r="M74" s="56"/>
      <c r="N74" s="56"/>
      <c r="O74" s="56"/>
      <c r="P74" s="56"/>
      <c r="Q74" s="56"/>
      <c r="R74" s="56"/>
      <c r="S74" s="56"/>
      <c r="T74" s="58"/>
      <c r="U74" s="56"/>
      <c r="V74" s="56"/>
      <c r="W74" s="56"/>
    </row>
    <row r="75" ht="15.75" customHeight="1">
      <c r="A75" s="56"/>
      <c r="B75" s="56"/>
      <c r="C75" s="57"/>
      <c r="D75" s="58"/>
      <c r="E75" s="58"/>
      <c r="F75" s="56"/>
      <c r="G75" s="56"/>
      <c r="H75" s="59"/>
      <c r="I75" s="58"/>
      <c r="J75" s="58"/>
      <c r="K75" s="56"/>
      <c r="L75" s="56"/>
      <c r="M75" s="56"/>
      <c r="N75" s="56"/>
      <c r="O75" s="56"/>
      <c r="P75" s="56"/>
      <c r="Q75" s="56"/>
      <c r="R75" s="56"/>
      <c r="S75" s="56"/>
      <c r="T75" s="58"/>
      <c r="U75" s="56"/>
      <c r="V75" s="56"/>
      <c r="W75" s="56"/>
    </row>
    <row r="76" ht="15.75" customHeight="1">
      <c r="A76" s="56"/>
      <c r="B76" s="56"/>
      <c r="C76" s="57"/>
      <c r="D76" s="58"/>
      <c r="E76" s="58"/>
      <c r="F76" s="56"/>
      <c r="G76" s="56"/>
      <c r="H76" s="59"/>
      <c r="I76" s="58"/>
      <c r="J76" s="58"/>
      <c r="K76" s="56"/>
      <c r="L76" s="56"/>
      <c r="M76" s="56"/>
      <c r="N76" s="56"/>
      <c r="O76" s="56"/>
      <c r="P76" s="56"/>
      <c r="Q76" s="56"/>
      <c r="R76" s="56"/>
      <c r="S76" s="56"/>
      <c r="T76" s="58"/>
      <c r="U76" s="56"/>
      <c r="V76" s="56"/>
      <c r="W76" s="56"/>
    </row>
    <row r="77" ht="15.75" customHeight="1">
      <c r="A77" s="56"/>
      <c r="B77" s="56"/>
      <c r="C77" s="57"/>
      <c r="D77" s="58"/>
      <c r="E77" s="58"/>
      <c r="F77" s="56"/>
      <c r="G77" s="56"/>
      <c r="H77" s="59"/>
      <c r="I77" s="58"/>
      <c r="J77" s="58"/>
      <c r="K77" s="56"/>
      <c r="L77" s="56"/>
      <c r="M77" s="56"/>
      <c r="N77" s="56"/>
      <c r="O77" s="56"/>
      <c r="P77" s="56"/>
      <c r="Q77" s="56"/>
      <c r="R77" s="56"/>
      <c r="S77" s="56"/>
      <c r="T77" s="58"/>
      <c r="U77" s="56"/>
      <c r="V77" s="56"/>
      <c r="W77" s="56"/>
    </row>
    <row r="78" ht="15.75" customHeight="1">
      <c r="A78" s="56"/>
      <c r="B78" s="56"/>
      <c r="C78" s="57"/>
      <c r="D78" s="58"/>
      <c r="E78" s="58"/>
      <c r="F78" s="56"/>
      <c r="G78" s="56"/>
      <c r="H78" s="59"/>
      <c r="I78" s="58"/>
      <c r="J78" s="58"/>
      <c r="K78" s="56"/>
      <c r="L78" s="56"/>
      <c r="M78" s="56"/>
      <c r="N78" s="56"/>
      <c r="O78" s="56"/>
      <c r="P78" s="56"/>
      <c r="Q78" s="56"/>
      <c r="R78" s="56"/>
      <c r="S78" s="56"/>
      <c r="T78" s="58"/>
      <c r="U78" s="56"/>
      <c r="V78" s="56"/>
      <c r="W78" s="56"/>
    </row>
    <row r="79" ht="15.75" customHeight="1">
      <c r="A79" s="56"/>
      <c r="B79" s="56"/>
      <c r="C79" s="57"/>
      <c r="D79" s="58"/>
      <c r="E79" s="58"/>
      <c r="F79" s="56"/>
      <c r="G79" s="56"/>
      <c r="H79" s="59"/>
      <c r="I79" s="58"/>
      <c r="J79" s="58"/>
      <c r="K79" s="56"/>
      <c r="L79" s="56"/>
      <c r="M79" s="56"/>
      <c r="N79" s="56"/>
      <c r="O79" s="56"/>
      <c r="P79" s="56"/>
      <c r="Q79" s="56"/>
      <c r="R79" s="56"/>
      <c r="S79" s="56"/>
      <c r="T79" s="58"/>
      <c r="U79" s="56"/>
      <c r="V79" s="56"/>
      <c r="W79" s="56"/>
    </row>
    <row r="80" ht="15.75" customHeight="1">
      <c r="A80" s="56"/>
      <c r="B80" s="56"/>
      <c r="C80" s="57"/>
      <c r="D80" s="58"/>
      <c r="E80" s="58"/>
      <c r="F80" s="56"/>
      <c r="G80" s="56"/>
      <c r="H80" s="59"/>
      <c r="I80" s="58"/>
      <c r="J80" s="58"/>
      <c r="K80" s="56"/>
      <c r="L80" s="56"/>
      <c r="M80" s="56"/>
      <c r="N80" s="56"/>
      <c r="O80" s="56"/>
      <c r="P80" s="56"/>
      <c r="Q80" s="56"/>
      <c r="R80" s="56"/>
      <c r="S80" s="56"/>
      <c r="T80" s="58"/>
      <c r="U80" s="56"/>
      <c r="V80" s="56"/>
      <c r="W80" s="56"/>
    </row>
    <row r="81" ht="15.75" customHeight="1">
      <c r="A81" s="56"/>
      <c r="B81" s="56"/>
      <c r="C81" s="57"/>
      <c r="D81" s="58"/>
      <c r="E81" s="58"/>
      <c r="F81" s="56"/>
      <c r="G81" s="56"/>
      <c r="H81" s="59"/>
      <c r="I81" s="58"/>
      <c r="J81" s="58"/>
      <c r="K81" s="56"/>
      <c r="L81" s="56"/>
      <c r="M81" s="56"/>
      <c r="N81" s="56"/>
      <c r="O81" s="56"/>
      <c r="P81" s="56"/>
      <c r="Q81" s="56"/>
      <c r="R81" s="56"/>
      <c r="S81" s="56"/>
      <c r="T81" s="58"/>
      <c r="U81" s="56"/>
      <c r="V81" s="56"/>
      <c r="W81" s="56"/>
    </row>
    <row r="82" ht="15.75" customHeight="1">
      <c r="A82" s="56"/>
      <c r="B82" s="56"/>
      <c r="C82" s="57"/>
      <c r="D82" s="58"/>
      <c r="E82" s="58"/>
      <c r="F82" s="56"/>
      <c r="G82" s="56"/>
      <c r="H82" s="59"/>
      <c r="I82" s="58"/>
      <c r="J82" s="58"/>
      <c r="K82" s="56"/>
      <c r="L82" s="56"/>
      <c r="M82" s="56"/>
      <c r="N82" s="56"/>
      <c r="O82" s="56"/>
      <c r="P82" s="56"/>
      <c r="Q82" s="56"/>
      <c r="R82" s="56"/>
      <c r="S82" s="56"/>
      <c r="T82" s="58"/>
      <c r="U82" s="56"/>
      <c r="V82" s="56"/>
      <c r="W82" s="56"/>
    </row>
    <row r="83" ht="15.75" customHeight="1">
      <c r="A83" s="56"/>
      <c r="B83" s="56"/>
      <c r="C83" s="57"/>
      <c r="D83" s="58"/>
      <c r="E83" s="58"/>
      <c r="F83" s="56"/>
      <c r="G83" s="56"/>
      <c r="H83" s="59"/>
      <c r="I83" s="58"/>
      <c r="J83" s="58"/>
      <c r="K83" s="56"/>
      <c r="L83" s="56"/>
      <c r="M83" s="56"/>
      <c r="N83" s="56"/>
      <c r="O83" s="56"/>
      <c r="P83" s="56"/>
      <c r="Q83" s="56"/>
      <c r="R83" s="56"/>
      <c r="S83" s="56"/>
      <c r="T83" s="58"/>
      <c r="U83" s="56"/>
      <c r="V83" s="56"/>
      <c r="W83" s="56"/>
    </row>
    <row r="84" ht="15.75" customHeight="1">
      <c r="A84" s="56"/>
      <c r="B84" s="56"/>
      <c r="C84" s="57"/>
      <c r="D84" s="58"/>
      <c r="E84" s="58"/>
      <c r="F84" s="56"/>
      <c r="G84" s="56"/>
      <c r="H84" s="59"/>
      <c r="I84" s="58"/>
      <c r="J84" s="58"/>
      <c r="K84" s="56"/>
      <c r="L84" s="56"/>
      <c r="M84" s="56"/>
      <c r="N84" s="56"/>
      <c r="O84" s="56"/>
      <c r="P84" s="56"/>
      <c r="Q84" s="56"/>
      <c r="R84" s="56"/>
      <c r="S84" s="56"/>
      <c r="T84" s="58"/>
      <c r="U84" s="56"/>
      <c r="V84" s="56"/>
      <c r="W84" s="56"/>
    </row>
    <row r="85" ht="15.75" customHeight="1">
      <c r="A85" s="56"/>
      <c r="B85" s="56"/>
      <c r="C85" s="57"/>
      <c r="D85" s="58"/>
      <c r="E85" s="58"/>
      <c r="F85" s="56"/>
      <c r="G85" s="56"/>
      <c r="H85" s="59"/>
      <c r="I85" s="58"/>
      <c r="J85" s="58"/>
      <c r="K85" s="56"/>
      <c r="L85" s="56"/>
      <c r="M85" s="56"/>
      <c r="N85" s="56"/>
      <c r="O85" s="56"/>
      <c r="P85" s="56"/>
      <c r="Q85" s="56"/>
      <c r="R85" s="56"/>
      <c r="S85" s="56"/>
      <c r="T85" s="58"/>
      <c r="U85" s="56"/>
      <c r="V85" s="56"/>
      <c r="W85" s="56"/>
    </row>
    <row r="86" ht="15.75" customHeight="1">
      <c r="A86" s="56"/>
      <c r="B86" s="56"/>
      <c r="C86" s="57"/>
      <c r="D86" s="58"/>
      <c r="E86" s="58"/>
      <c r="F86" s="56"/>
      <c r="G86" s="56"/>
      <c r="H86" s="59"/>
      <c r="I86" s="58"/>
      <c r="J86" s="58"/>
      <c r="K86" s="56"/>
      <c r="L86" s="56"/>
      <c r="M86" s="56"/>
      <c r="N86" s="56"/>
      <c r="O86" s="56"/>
      <c r="P86" s="56"/>
      <c r="Q86" s="56"/>
      <c r="R86" s="56"/>
      <c r="S86" s="56"/>
      <c r="T86" s="58"/>
      <c r="U86" s="56"/>
      <c r="V86" s="56"/>
      <c r="W86" s="56"/>
    </row>
    <row r="87" ht="15.75" customHeight="1">
      <c r="A87" s="56"/>
      <c r="B87" s="56"/>
      <c r="C87" s="57"/>
      <c r="D87" s="58"/>
      <c r="E87" s="58"/>
      <c r="F87" s="56"/>
      <c r="G87" s="56"/>
      <c r="H87" s="59"/>
      <c r="I87" s="58"/>
      <c r="J87" s="58"/>
      <c r="K87" s="56"/>
      <c r="L87" s="56"/>
      <c r="M87" s="56"/>
      <c r="N87" s="56"/>
      <c r="O87" s="56"/>
      <c r="P87" s="56"/>
      <c r="Q87" s="56"/>
      <c r="R87" s="56"/>
      <c r="S87" s="56"/>
      <c r="T87" s="58"/>
      <c r="U87" s="56"/>
      <c r="V87" s="56"/>
      <c r="W87" s="56"/>
    </row>
    <row r="88" ht="15.75" customHeight="1">
      <c r="A88" s="56"/>
      <c r="B88" s="56"/>
      <c r="C88" s="57"/>
      <c r="D88" s="58"/>
      <c r="E88" s="58"/>
      <c r="F88" s="56"/>
      <c r="G88" s="56"/>
      <c r="H88" s="59"/>
      <c r="I88" s="58"/>
      <c r="J88" s="58"/>
      <c r="K88" s="56"/>
      <c r="L88" s="56"/>
      <c r="M88" s="56"/>
      <c r="N88" s="56"/>
      <c r="O88" s="56"/>
      <c r="P88" s="56"/>
      <c r="Q88" s="56"/>
      <c r="R88" s="56"/>
      <c r="S88" s="56"/>
      <c r="T88" s="58"/>
      <c r="U88" s="56"/>
      <c r="V88" s="56"/>
      <c r="W88" s="56"/>
    </row>
    <row r="89" ht="15.75" customHeight="1">
      <c r="A89" s="56"/>
      <c r="B89" s="56"/>
      <c r="C89" s="57"/>
      <c r="D89" s="58"/>
      <c r="E89" s="58"/>
      <c r="F89" s="56"/>
      <c r="G89" s="56"/>
      <c r="H89" s="59"/>
      <c r="I89" s="58"/>
      <c r="J89" s="58"/>
      <c r="K89" s="56"/>
      <c r="L89" s="56"/>
      <c r="M89" s="56"/>
      <c r="N89" s="56"/>
      <c r="O89" s="56"/>
      <c r="P89" s="56"/>
      <c r="Q89" s="56"/>
      <c r="R89" s="56"/>
      <c r="S89" s="56"/>
      <c r="T89" s="58"/>
      <c r="U89" s="56"/>
      <c r="V89" s="56"/>
      <c r="W89" s="56"/>
    </row>
    <row r="90" ht="15.75" customHeight="1">
      <c r="A90" s="56"/>
      <c r="B90" s="56"/>
      <c r="C90" s="57"/>
      <c r="D90" s="58"/>
      <c r="E90" s="58"/>
      <c r="F90" s="56"/>
      <c r="G90" s="56"/>
      <c r="H90" s="59"/>
      <c r="I90" s="58"/>
      <c r="J90" s="58"/>
      <c r="K90" s="56"/>
      <c r="L90" s="56"/>
      <c r="M90" s="56"/>
      <c r="N90" s="56"/>
      <c r="O90" s="56"/>
      <c r="P90" s="56"/>
      <c r="Q90" s="56"/>
      <c r="R90" s="56"/>
      <c r="S90" s="56"/>
      <c r="T90" s="58"/>
      <c r="U90" s="56"/>
      <c r="V90" s="56"/>
      <c r="W90" s="56"/>
    </row>
    <row r="91" ht="15.75" customHeight="1">
      <c r="A91" s="56"/>
      <c r="B91" s="56"/>
      <c r="C91" s="57"/>
      <c r="D91" s="58"/>
      <c r="E91" s="58"/>
      <c r="F91" s="56"/>
      <c r="G91" s="56"/>
      <c r="H91" s="59"/>
      <c r="I91" s="58"/>
      <c r="J91" s="58"/>
      <c r="K91" s="56"/>
      <c r="L91" s="56"/>
      <c r="M91" s="56"/>
      <c r="N91" s="56"/>
      <c r="O91" s="56"/>
      <c r="P91" s="56"/>
      <c r="Q91" s="56"/>
      <c r="R91" s="56"/>
      <c r="S91" s="56"/>
      <c r="T91" s="58"/>
      <c r="U91" s="56"/>
      <c r="V91" s="56"/>
      <c r="W91" s="56"/>
    </row>
    <row r="92" ht="15.75" customHeight="1">
      <c r="A92" s="56"/>
      <c r="B92" s="56"/>
      <c r="C92" s="57"/>
      <c r="D92" s="58"/>
      <c r="E92" s="58"/>
      <c r="F92" s="56"/>
      <c r="G92" s="56"/>
      <c r="H92" s="59"/>
      <c r="I92" s="58"/>
      <c r="J92" s="58"/>
      <c r="K92" s="56"/>
      <c r="L92" s="56"/>
      <c r="M92" s="56"/>
      <c r="N92" s="56"/>
      <c r="O92" s="56"/>
      <c r="P92" s="56"/>
      <c r="Q92" s="56"/>
      <c r="R92" s="56"/>
      <c r="S92" s="56"/>
      <c r="T92" s="58"/>
      <c r="U92" s="56"/>
      <c r="V92" s="56"/>
      <c r="W92" s="56"/>
    </row>
    <row r="93" ht="15.75" customHeight="1">
      <c r="A93" s="56"/>
      <c r="B93" s="56"/>
      <c r="C93" s="57"/>
      <c r="D93" s="58"/>
      <c r="E93" s="58"/>
      <c r="F93" s="56"/>
      <c r="G93" s="56"/>
      <c r="H93" s="59"/>
      <c r="I93" s="58"/>
      <c r="J93" s="58"/>
      <c r="K93" s="56"/>
      <c r="L93" s="56"/>
      <c r="M93" s="56"/>
      <c r="N93" s="56"/>
      <c r="O93" s="56"/>
      <c r="P93" s="56"/>
      <c r="Q93" s="56"/>
      <c r="R93" s="56"/>
      <c r="S93" s="56"/>
      <c r="T93" s="58"/>
      <c r="U93" s="56"/>
      <c r="V93" s="56"/>
      <c r="W93" s="56"/>
    </row>
    <row r="94" ht="15.75" customHeight="1">
      <c r="A94" s="56"/>
      <c r="B94" s="56"/>
      <c r="C94" s="57"/>
      <c r="D94" s="58"/>
      <c r="E94" s="58"/>
      <c r="F94" s="56"/>
      <c r="G94" s="56"/>
      <c r="H94" s="59"/>
      <c r="I94" s="58"/>
      <c r="J94" s="58"/>
      <c r="K94" s="56"/>
      <c r="L94" s="56"/>
      <c r="M94" s="56"/>
      <c r="N94" s="56"/>
      <c r="O94" s="56"/>
      <c r="P94" s="56"/>
      <c r="Q94" s="56"/>
      <c r="R94" s="56"/>
      <c r="S94" s="56"/>
      <c r="T94" s="58"/>
      <c r="U94" s="56"/>
      <c r="V94" s="56"/>
      <c r="W94" s="56"/>
    </row>
    <row r="95" ht="15.75" customHeight="1">
      <c r="A95" s="56"/>
      <c r="B95" s="56"/>
      <c r="C95" s="57"/>
      <c r="D95" s="58"/>
      <c r="E95" s="58"/>
      <c r="F95" s="56"/>
      <c r="G95" s="56"/>
      <c r="H95" s="59"/>
      <c r="I95" s="58"/>
      <c r="J95" s="58"/>
      <c r="K95" s="56"/>
      <c r="L95" s="56"/>
      <c r="M95" s="56"/>
      <c r="N95" s="56"/>
      <c r="O95" s="56"/>
      <c r="P95" s="56"/>
      <c r="Q95" s="56"/>
      <c r="R95" s="56"/>
      <c r="S95" s="56"/>
      <c r="T95" s="58"/>
      <c r="U95" s="56"/>
      <c r="V95" s="56"/>
      <c r="W95" s="56"/>
    </row>
    <row r="96" ht="15.75" customHeight="1">
      <c r="A96" s="56"/>
      <c r="B96" s="56"/>
      <c r="C96" s="57"/>
      <c r="D96" s="58"/>
      <c r="E96" s="58"/>
      <c r="F96" s="56"/>
      <c r="G96" s="56"/>
      <c r="H96" s="59"/>
      <c r="I96" s="58"/>
      <c r="J96" s="58"/>
      <c r="K96" s="56"/>
      <c r="L96" s="56"/>
      <c r="M96" s="56"/>
      <c r="N96" s="56"/>
      <c r="O96" s="56"/>
      <c r="P96" s="56"/>
      <c r="Q96" s="56"/>
      <c r="R96" s="56"/>
      <c r="S96" s="56"/>
      <c r="T96" s="58"/>
      <c r="U96" s="56"/>
      <c r="V96" s="56"/>
      <c r="W96" s="56"/>
    </row>
    <row r="97" ht="15.75" customHeight="1">
      <c r="A97" s="56"/>
      <c r="B97" s="56"/>
      <c r="C97" s="57"/>
      <c r="D97" s="58"/>
      <c r="E97" s="58"/>
      <c r="F97" s="56"/>
      <c r="G97" s="56"/>
      <c r="H97" s="59"/>
      <c r="I97" s="58"/>
      <c r="J97" s="58"/>
      <c r="K97" s="56"/>
      <c r="L97" s="56"/>
      <c r="M97" s="56"/>
      <c r="N97" s="56"/>
      <c r="O97" s="56"/>
      <c r="P97" s="56"/>
      <c r="Q97" s="56"/>
      <c r="R97" s="56"/>
      <c r="S97" s="56"/>
      <c r="T97" s="58"/>
      <c r="U97" s="56"/>
      <c r="V97" s="56"/>
      <c r="W97" s="56"/>
    </row>
    <row r="98" ht="15.75" customHeight="1">
      <c r="A98" s="56"/>
      <c r="B98" s="56"/>
      <c r="C98" s="57"/>
      <c r="D98" s="58"/>
      <c r="E98" s="58"/>
      <c r="F98" s="56"/>
      <c r="G98" s="56"/>
      <c r="H98" s="59"/>
      <c r="I98" s="58"/>
      <c r="J98" s="58"/>
      <c r="K98" s="56"/>
      <c r="L98" s="56"/>
      <c r="M98" s="56"/>
      <c r="N98" s="56"/>
      <c r="O98" s="56"/>
      <c r="P98" s="56"/>
      <c r="Q98" s="56"/>
      <c r="R98" s="56"/>
      <c r="S98" s="56"/>
      <c r="T98" s="58"/>
      <c r="U98" s="56"/>
      <c r="V98" s="56"/>
      <c r="W98" s="56"/>
    </row>
    <row r="99" ht="15.75" customHeight="1">
      <c r="A99" s="56"/>
      <c r="B99" s="56"/>
      <c r="C99" s="57"/>
      <c r="D99" s="58"/>
      <c r="E99" s="58"/>
      <c r="F99" s="56"/>
      <c r="G99" s="56"/>
      <c r="H99" s="59"/>
      <c r="I99" s="58"/>
      <c r="J99" s="58"/>
      <c r="K99" s="56"/>
      <c r="L99" s="56"/>
      <c r="M99" s="56"/>
      <c r="N99" s="56"/>
      <c r="O99" s="56"/>
      <c r="P99" s="56"/>
      <c r="Q99" s="56"/>
      <c r="R99" s="56"/>
      <c r="S99" s="56"/>
      <c r="T99" s="58"/>
      <c r="U99" s="56"/>
      <c r="V99" s="56"/>
      <c r="W99" s="56"/>
    </row>
    <row r="100" ht="15.75" customHeight="1">
      <c r="A100" s="56"/>
      <c r="B100" s="56"/>
      <c r="C100" s="57"/>
      <c r="D100" s="58"/>
      <c r="E100" s="58"/>
      <c r="F100" s="56"/>
      <c r="G100" s="56"/>
      <c r="H100" s="59"/>
      <c r="I100" s="58"/>
      <c r="J100" s="58"/>
      <c r="K100" s="56"/>
      <c r="L100" s="56"/>
      <c r="M100" s="56"/>
      <c r="N100" s="56"/>
      <c r="O100" s="56"/>
      <c r="P100" s="56"/>
      <c r="Q100" s="56"/>
      <c r="R100" s="56"/>
      <c r="S100" s="56"/>
      <c r="T100" s="58"/>
      <c r="U100" s="56"/>
      <c r="V100" s="56"/>
      <c r="W100" s="56"/>
    </row>
    <row r="101" ht="15.75" customHeight="1">
      <c r="A101" s="56"/>
      <c r="B101" s="56"/>
      <c r="C101" s="57"/>
      <c r="D101" s="58"/>
      <c r="E101" s="58"/>
      <c r="F101" s="56"/>
      <c r="G101" s="56"/>
      <c r="H101" s="59"/>
      <c r="I101" s="58"/>
      <c r="J101" s="58"/>
      <c r="K101" s="56"/>
      <c r="L101" s="56"/>
      <c r="M101" s="56"/>
      <c r="N101" s="56"/>
      <c r="O101" s="56"/>
      <c r="P101" s="56"/>
      <c r="Q101" s="56"/>
      <c r="R101" s="56"/>
      <c r="S101" s="56"/>
      <c r="T101" s="58"/>
      <c r="U101" s="56"/>
      <c r="V101" s="56"/>
      <c r="W101" s="56"/>
    </row>
    <row r="102" ht="15.75" customHeight="1">
      <c r="A102" s="56"/>
      <c r="B102" s="56"/>
      <c r="C102" s="57"/>
      <c r="D102" s="58"/>
      <c r="E102" s="58"/>
      <c r="F102" s="56"/>
      <c r="G102" s="56"/>
      <c r="H102" s="59"/>
      <c r="I102" s="58"/>
      <c r="J102" s="58"/>
      <c r="K102" s="56"/>
      <c r="L102" s="56"/>
      <c r="M102" s="56"/>
      <c r="N102" s="56"/>
      <c r="O102" s="56"/>
      <c r="P102" s="56"/>
      <c r="Q102" s="56"/>
      <c r="R102" s="56"/>
      <c r="S102" s="56"/>
      <c r="T102" s="58"/>
      <c r="U102" s="56"/>
      <c r="V102" s="56"/>
      <c r="W102" s="56"/>
    </row>
    <row r="103" ht="15.75" customHeight="1">
      <c r="A103" s="56"/>
      <c r="B103" s="56"/>
      <c r="C103" s="57"/>
      <c r="D103" s="58"/>
      <c r="E103" s="58"/>
      <c r="F103" s="56"/>
      <c r="G103" s="56"/>
      <c r="H103" s="59"/>
      <c r="I103" s="58"/>
      <c r="J103" s="58"/>
      <c r="K103" s="56"/>
      <c r="L103" s="56"/>
      <c r="M103" s="56"/>
      <c r="N103" s="56"/>
      <c r="O103" s="56"/>
      <c r="P103" s="56"/>
      <c r="Q103" s="56"/>
      <c r="R103" s="56"/>
      <c r="S103" s="56"/>
      <c r="T103" s="58"/>
      <c r="U103" s="56"/>
      <c r="V103" s="56"/>
      <c r="W103" s="56"/>
    </row>
    <row r="104" ht="15.75" customHeight="1">
      <c r="A104" s="56"/>
      <c r="B104" s="56"/>
      <c r="C104" s="57"/>
      <c r="D104" s="58"/>
      <c r="E104" s="58"/>
      <c r="F104" s="56"/>
      <c r="G104" s="56"/>
      <c r="H104" s="59"/>
      <c r="I104" s="58"/>
      <c r="J104" s="58"/>
      <c r="K104" s="56"/>
      <c r="L104" s="56"/>
      <c r="M104" s="56"/>
      <c r="N104" s="56"/>
      <c r="O104" s="56"/>
      <c r="P104" s="56"/>
      <c r="Q104" s="56"/>
      <c r="R104" s="56"/>
      <c r="S104" s="56"/>
      <c r="T104" s="58"/>
      <c r="U104" s="56"/>
      <c r="V104" s="56"/>
      <c r="W104" s="56"/>
    </row>
    <row r="105" ht="15.75" customHeight="1">
      <c r="A105" s="56"/>
      <c r="B105" s="56"/>
      <c r="C105" s="57"/>
      <c r="D105" s="58"/>
      <c r="E105" s="58"/>
      <c r="F105" s="56"/>
      <c r="G105" s="56"/>
      <c r="H105" s="59"/>
      <c r="I105" s="58"/>
      <c r="J105" s="58"/>
      <c r="K105" s="56"/>
      <c r="L105" s="56"/>
      <c r="M105" s="56"/>
      <c r="N105" s="56"/>
      <c r="O105" s="56"/>
      <c r="P105" s="56"/>
      <c r="Q105" s="56"/>
      <c r="R105" s="56"/>
      <c r="S105" s="56"/>
      <c r="T105" s="58"/>
      <c r="U105" s="56"/>
      <c r="V105" s="56"/>
      <c r="W105" s="56"/>
    </row>
    <row r="106" ht="15.75" customHeight="1">
      <c r="A106" s="56"/>
      <c r="B106" s="56"/>
      <c r="C106" s="57"/>
      <c r="D106" s="58"/>
      <c r="E106" s="58"/>
      <c r="F106" s="56"/>
      <c r="G106" s="56"/>
      <c r="H106" s="59"/>
      <c r="I106" s="58"/>
      <c r="J106" s="58"/>
      <c r="K106" s="56"/>
      <c r="L106" s="56"/>
      <c r="M106" s="56"/>
      <c r="N106" s="56"/>
      <c r="O106" s="56"/>
      <c r="P106" s="56"/>
      <c r="Q106" s="56"/>
      <c r="R106" s="56"/>
      <c r="S106" s="56"/>
      <c r="T106" s="58"/>
      <c r="U106" s="56"/>
      <c r="V106" s="56"/>
      <c r="W106" s="56"/>
    </row>
    <row r="107" ht="15.75" customHeight="1">
      <c r="A107" s="56"/>
      <c r="B107" s="56"/>
      <c r="C107" s="57"/>
      <c r="D107" s="58"/>
      <c r="E107" s="58"/>
      <c r="F107" s="56"/>
      <c r="G107" s="56"/>
      <c r="H107" s="59"/>
      <c r="I107" s="58"/>
      <c r="J107" s="58"/>
      <c r="K107" s="56"/>
      <c r="L107" s="56"/>
      <c r="M107" s="56"/>
      <c r="N107" s="56"/>
      <c r="O107" s="56"/>
      <c r="P107" s="56"/>
      <c r="Q107" s="56"/>
      <c r="R107" s="56"/>
      <c r="S107" s="56"/>
      <c r="T107" s="58"/>
      <c r="U107" s="56"/>
      <c r="V107" s="56"/>
      <c r="W107" s="56"/>
    </row>
    <row r="108" ht="15.75" customHeight="1">
      <c r="A108" s="56"/>
      <c r="B108" s="56"/>
      <c r="C108" s="57"/>
      <c r="D108" s="58"/>
      <c r="E108" s="58"/>
      <c r="F108" s="56"/>
      <c r="G108" s="56"/>
      <c r="H108" s="59"/>
      <c r="I108" s="58"/>
      <c r="J108" s="58"/>
      <c r="K108" s="56"/>
      <c r="L108" s="56"/>
      <c r="M108" s="56"/>
      <c r="N108" s="56"/>
      <c r="O108" s="56"/>
      <c r="P108" s="56"/>
      <c r="Q108" s="56"/>
      <c r="R108" s="56"/>
      <c r="S108" s="56"/>
      <c r="T108" s="58"/>
      <c r="U108" s="56"/>
      <c r="V108" s="56"/>
      <c r="W108" s="56"/>
    </row>
    <row r="109" ht="15.75" customHeight="1">
      <c r="A109" s="56"/>
      <c r="B109" s="56"/>
      <c r="C109" s="57"/>
      <c r="D109" s="58"/>
      <c r="E109" s="58"/>
      <c r="F109" s="56"/>
      <c r="G109" s="56"/>
      <c r="H109" s="59"/>
      <c r="I109" s="58"/>
      <c r="J109" s="58"/>
      <c r="K109" s="56"/>
      <c r="L109" s="56"/>
      <c r="M109" s="56"/>
      <c r="N109" s="56"/>
      <c r="O109" s="56"/>
      <c r="P109" s="56"/>
      <c r="Q109" s="56"/>
      <c r="R109" s="56"/>
      <c r="S109" s="56"/>
      <c r="T109" s="58"/>
      <c r="U109" s="56"/>
      <c r="V109" s="56"/>
      <c r="W109" s="56"/>
    </row>
    <row r="110" ht="15.75" customHeight="1">
      <c r="A110" s="56"/>
      <c r="B110" s="56"/>
      <c r="C110" s="57"/>
      <c r="D110" s="58"/>
      <c r="E110" s="58"/>
      <c r="F110" s="56"/>
      <c r="G110" s="56"/>
      <c r="H110" s="59"/>
      <c r="I110" s="58"/>
      <c r="J110" s="58"/>
      <c r="K110" s="56"/>
      <c r="L110" s="56"/>
      <c r="M110" s="56"/>
      <c r="N110" s="56"/>
      <c r="O110" s="56"/>
      <c r="P110" s="56"/>
      <c r="Q110" s="56"/>
      <c r="R110" s="56"/>
      <c r="S110" s="56"/>
      <c r="T110" s="58"/>
      <c r="U110" s="56"/>
      <c r="V110" s="56"/>
      <c r="W110" s="56"/>
    </row>
    <row r="111" ht="15.75" customHeight="1">
      <c r="A111" s="56"/>
      <c r="B111" s="56"/>
      <c r="C111" s="57"/>
      <c r="D111" s="58"/>
      <c r="E111" s="58"/>
      <c r="F111" s="56"/>
      <c r="G111" s="56"/>
      <c r="H111" s="59"/>
      <c r="I111" s="58"/>
      <c r="J111" s="58"/>
      <c r="K111" s="56"/>
      <c r="L111" s="56"/>
      <c r="M111" s="56"/>
      <c r="N111" s="56"/>
      <c r="O111" s="56"/>
      <c r="P111" s="56"/>
      <c r="Q111" s="56"/>
      <c r="R111" s="56"/>
      <c r="S111" s="56"/>
      <c r="T111" s="58"/>
      <c r="U111" s="56"/>
      <c r="V111" s="56"/>
      <c r="W111" s="56"/>
    </row>
    <row r="112" ht="15.75" customHeight="1">
      <c r="A112" s="56"/>
      <c r="B112" s="56"/>
      <c r="C112" s="57"/>
      <c r="D112" s="58"/>
      <c r="E112" s="58"/>
      <c r="F112" s="56"/>
      <c r="G112" s="56"/>
      <c r="H112" s="59"/>
      <c r="I112" s="58"/>
      <c r="J112" s="58"/>
      <c r="K112" s="56"/>
      <c r="L112" s="56"/>
      <c r="M112" s="56"/>
      <c r="N112" s="56"/>
      <c r="O112" s="56"/>
      <c r="P112" s="56"/>
      <c r="Q112" s="56"/>
      <c r="R112" s="56"/>
      <c r="S112" s="56"/>
      <c r="T112" s="58"/>
      <c r="U112" s="56"/>
      <c r="V112" s="56"/>
      <c r="W112" s="56"/>
    </row>
    <row r="113" ht="15.75" customHeight="1">
      <c r="A113" s="56"/>
      <c r="B113" s="56"/>
      <c r="C113" s="57"/>
      <c r="D113" s="58"/>
      <c r="E113" s="58"/>
      <c r="F113" s="56"/>
      <c r="G113" s="56"/>
      <c r="H113" s="59"/>
      <c r="I113" s="58"/>
      <c r="J113" s="58"/>
      <c r="K113" s="56"/>
      <c r="L113" s="56"/>
      <c r="M113" s="56"/>
      <c r="N113" s="56"/>
      <c r="O113" s="56"/>
      <c r="P113" s="56"/>
      <c r="Q113" s="56"/>
      <c r="R113" s="56"/>
      <c r="S113" s="56"/>
      <c r="T113" s="58"/>
      <c r="U113" s="56"/>
      <c r="V113" s="56"/>
      <c r="W113" s="56"/>
    </row>
    <row r="114" ht="15.75" customHeight="1">
      <c r="A114" s="56"/>
      <c r="B114" s="56"/>
      <c r="C114" s="57"/>
      <c r="D114" s="58"/>
      <c r="E114" s="58"/>
      <c r="F114" s="56"/>
      <c r="G114" s="56"/>
      <c r="H114" s="59"/>
      <c r="I114" s="58"/>
      <c r="J114" s="58"/>
      <c r="K114" s="56"/>
      <c r="L114" s="56"/>
      <c r="M114" s="56"/>
      <c r="N114" s="56"/>
      <c r="O114" s="56"/>
      <c r="P114" s="56"/>
      <c r="Q114" s="56"/>
      <c r="R114" s="56"/>
      <c r="S114" s="56"/>
      <c r="T114" s="58"/>
      <c r="U114" s="56"/>
      <c r="V114" s="56"/>
      <c r="W114" s="56"/>
    </row>
    <row r="115" ht="15.75" customHeight="1">
      <c r="A115" s="56"/>
      <c r="B115" s="56"/>
      <c r="C115" s="57"/>
      <c r="D115" s="58"/>
      <c r="E115" s="58"/>
      <c r="F115" s="56"/>
      <c r="G115" s="56"/>
      <c r="H115" s="59"/>
      <c r="I115" s="58"/>
      <c r="J115" s="58"/>
      <c r="K115" s="56"/>
      <c r="L115" s="56"/>
      <c r="M115" s="56"/>
      <c r="N115" s="56"/>
      <c r="O115" s="56"/>
      <c r="P115" s="56"/>
      <c r="Q115" s="56"/>
      <c r="R115" s="56"/>
      <c r="S115" s="56"/>
      <c r="T115" s="58"/>
      <c r="U115" s="56"/>
      <c r="V115" s="56"/>
      <c r="W115" s="56"/>
    </row>
    <row r="116" ht="15.75" customHeight="1">
      <c r="A116" s="56"/>
      <c r="B116" s="56"/>
      <c r="C116" s="57"/>
      <c r="D116" s="58"/>
      <c r="E116" s="58"/>
      <c r="F116" s="56"/>
      <c r="G116" s="56"/>
      <c r="H116" s="59"/>
      <c r="I116" s="58"/>
      <c r="J116" s="58"/>
      <c r="K116" s="56"/>
      <c r="L116" s="56"/>
      <c r="M116" s="56"/>
      <c r="N116" s="56"/>
      <c r="O116" s="56"/>
      <c r="P116" s="56"/>
      <c r="Q116" s="56"/>
      <c r="R116" s="56"/>
      <c r="S116" s="56"/>
      <c r="T116" s="58"/>
      <c r="U116" s="56"/>
      <c r="V116" s="56"/>
      <c r="W116" s="56"/>
    </row>
    <row r="117" ht="15.75" customHeight="1">
      <c r="A117" s="56"/>
      <c r="B117" s="56"/>
      <c r="C117" s="57"/>
      <c r="D117" s="58"/>
      <c r="E117" s="58"/>
      <c r="F117" s="56"/>
      <c r="G117" s="56"/>
      <c r="H117" s="59"/>
      <c r="I117" s="58"/>
      <c r="J117" s="58"/>
      <c r="K117" s="56"/>
      <c r="L117" s="56"/>
      <c r="M117" s="56"/>
      <c r="N117" s="56"/>
      <c r="O117" s="56"/>
      <c r="P117" s="56"/>
      <c r="Q117" s="56"/>
      <c r="R117" s="56"/>
      <c r="S117" s="56"/>
      <c r="T117" s="58"/>
      <c r="U117" s="56"/>
      <c r="V117" s="56"/>
      <c r="W117" s="56"/>
    </row>
    <row r="118" ht="15.75" customHeight="1">
      <c r="A118" s="56"/>
      <c r="B118" s="56"/>
      <c r="C118" s="57"/>
      <c r="D118" s="58"/>
      <c r="E118" s="58"/>
      <c r="F118" s="56"/>
      <c r="G118" s="56"/>
      <c r="H118" s="59"/>
      <c r="I118" s="58"/>
      <c r="J118" s="58"/>
      <c r="K118" s="56"/>
      <c r="L118" s="56"/>
      <c r="M118" s="56"/>
      <c r="N118" s="56"/>
      <c r="O118" s="56"/>
      <c r="P118" s="56"/>
      <c r="Q118" s="56"/>
      <c r="R118" s="56"/>
      <c r="S118" s="56"/>
      <c r="T118" s="58"/>
      <c r="U118" s="56"/>
      <c r="V118" s="56"/>
      <c r="W118" s="56"/>
    </row>
    <row r="119" ht="15.75" customHeight="1">
      <c r="A119" s="56"/>
      <c r="B119" s="56"/>
      <c r="C119" s="57"/>
      <c r="D119" s="58"/>
      <c r="E119" s="58"/>
      <c r="F119" s="56"/>
      <c r="G119" s="56"/>
      <c r="H119" s="59"/>
      <c r="I119" s="58"/>
      <c r="J119" s="58"/>
      <c r="K119" s="56"/>
      <c r="L119" s="56"/>
      <c r="M119" s="56"/>
      <c r="N119" s="56"/>
      <c r="O119" s="56"/>
      <c r="P119" s="56"/>
      <c r="Q119" s="56"/>
      <c r="R119" s="56"/>
      <c r="S119" s="56"/>
      <c r="T119" s="58"/>
      <c r="U119" s="56"/>
      <c r="V119" s="56"/>
      <c r="W119" s="56"/>
    </row>
    <row r="120" ht="15.75" customHeight="1">
      <c r="A120" s="56"/>
      <c r="B120" s="56"/>
      <c r="C120" s="57"/>
      <c r="D120" s="58"/>
      <c r="E120" s="58"/>
      <c r="F120" s="56"/>
      <c r="G120" s="56"/>
      <c r="H120" s="59"/>
      <c r="I120" s="58"/>
      <c r="J120" s="58"/>
      <c r="K120" s="56"/>
      <c r="L120" s="56"/>
      <c r="M120" s="56"/>
      <c r="N120" s="56"/>
      <c r="O120" s="56"/>
      <c r="P120" s="56"/>
      <c r="Q120" s="56"/>
      <c r="R120" s="56"/>
      <c r="S120" s="56"/>
      <c r="T120" s="58"/>
      <c r="U120" s="56"/>
      <c r="V120" s="56"/>
      <c r="W120" s="56"/>
    </row>
    <row r="121" ht="15.75" customHeight="1">
      <c r="A121" s="56"/>
      <c r="B121" s="56"/>
      <c r="C121" s="57"/>
      <c r="D121" s="58"/>
      <c r="E121" s="58"/>
      <c r="F121" s="56"/>
      <c r="G121" s="56"/>
      <c r="H121" s="59"/>
      <c r="I121" s="58"/>
      <c r="J121" s="58"/>
      <c r="K121" s="56"/>
      <c r="L121" s="56"/>
      <c r="M121" s="56"/>
      <c r="N121" s="56"/>
      <c r="O121" s="56"/>
      <c r="P121" s="56"/>
      <c r="Q121" s="56"/>
      <c r="R121" s="56"/>
      <c r="S121" s="56"/>
      <c r="T121" s="58"/>
      <c r="U121" s="56"/>
      <c r="V121" s="56"/>
      <c r="W121" s="56"/>
    </row>
    <row r="122" ht="15.75" customHeight="1">
      <c r="A122" s="56"/>
      <c r="B122" s="56"/>
      <c r="C122" s="57"/>
      <c r="D122" s="58"/>
      <c r="E122" s="58"/>
      <c r="F122" s="56"/>
      <c r="G122" s="56"/>
      <c r="H122" s="59"/>
      <c r="I122" s="58"/>
      <c r="J122" s="58"/>
      <c r="K122" s="56"/>
      <c r="L122" s="56"/>
      <c r="M122" s="56"/>
      <c r="N122" s="56"/>
      <c r="O122" s="56"/>
      <c r="P122" s="56"/>
      <c r="Q122" s="56"/>
      <c r="R122" s="56"/>
      <c r="S122" s="56"/>
      <c r="T122" s="58"/>
      <c r="U122" s="56"/>
      <c r="V122" s="56"/>
      <c r="W122" s="56"/>
    </row>
    <row r="123" ht="15.75" customHeight="1">
      <c r="A123" s="56"/>
      <c r="B123" s="56"/>
      <c r="C123" s="57"/>
      <c r="D123" s="58"/>
      <c r="E123" s="58"/>
      <c r="F123" s="56"/>
      <c r="G123" s="56"/>
      <c r="H123" s="59"/>
      <c r="I123" s="58"/>
      <c r="J123" s="58"/>
      <c r="K123" s="56"/>
      <c r="L123" s="56"/>
      <c r="M123" s="56"/>
      <c r="N123" s="56"/>
      <c r="O123" s="56"/>
      <c r="P123" s="56"/>
      <c r="Q123" s="56"/>
      <c r="R123" s="56"/>
      <c r="S123" s="56"/>
      <c r="T123" s="58"/>
      <c r="U123" s="56"/>
      <c r="V123" s="56"/>
      <c r="W123" s="56"/>
    </row>
    <row r="124" ht="15.75" customHeight="1">
      <c r="A124" s="56"/>
      <c r="B124" s="56"/>
      <c r="C124" s="57"/>
      <c r="D124" s="58"/>
      <c r="E124" s="58"/>
      <c r="F124" s="56"/>
      <c r="G124" s="56"/>
      <c r="H124" s="59"/>
      <c r="I124" s="58"/>
      <c r="J124" s="58"/>
      <c r="K124" s="56"/>
      <c r="L124" s="56"/>
      <c r="M124" s="56"/>
      <c r="N124" s="56"/>
      <c r="O124" s="56"/>
      <c r="P124" s="56"/>
      <c r="Q124" s="56"/>
      <c r="R124" s="56"/>
      <c r="S124" s="56"/>
      <c r="T124" s="58"/>
      <c r="U124" s="56"/>
      <c r="V124" s="56"/>
      <c r="W124" s="56"/>
    </row>
    <row r="125" ht="15.75" customHeight="1">
      <c r="A125" s="56"/>
      <c r="B125" s="56"/>
      <c r="C125" s="57"/>
      <c r="D125" s="58"/>
      <c r="E125" s="58"/>
      <c r="F125" s="56"/>
      <c r="G125" s="56"/>
      <c r="H125" s="59"/>
      <c r="I125" s="58"/>
      <c r="J125" s="58"/>
      <c r="K125" s="56"/>
      <c r="L125" s="56"/>
      <c r="M125" s="56"/>
      <c r="N125" s="56"/>
      <c r="O125" s="56"/>
      <c r="P125" s="56"/>
      <c r="Q125" s="56"/>
      <c r="R125" s="56"/>
      <c r="S125" s="56"/>
      <c r="T125" s="58"/>
      <c r="U125" s="56"/>
      <c r="V125" s="56"/>
      <c r="W125" s="56"/>
    </row>
    <row r="126" ht="15.75" customHeight="1">
      <c r="A126" s="56"/>
      <c r="B126" s="56"/>
      <c r="C126" s="57"/>
      <c r="D126" s="58"/>
      <c r="E126" s="58"/>
      <c r="F126" s="56"/>
      <c r="G126" s="56"/>
      <c r="H126" s="59"/>
      <c r="I126" s="58"/>
      <c r="J126" s="58"/>
      <c r="K126" s="56"/>
      <c r="L126" s="56"/>
      <c r="M126" s="56"/>
      <c r="N126" s="56"/>
      <c r="O126" s="56"/>
      <c r="P126" s="56"/>
      <c r="Q126" s="56"/>
      <c r="R126" s="56"/>
      <c r="S126" s="56"/>
      <c r="T126" s="58"/>
      <c r="U126" s="56"/>
      <c r="V126" s="56"/>
      <c r="W126" s="56"/>
    </row>
    <row r="127" ht="15.75" customHeight="1">
      <c r="A127" s="56"/>
      <c r="B127" s="56"/>
      <c r="C127" s="57"/>
      <c r="D127" s="58"/>
      <c r="E127" s="58"/>
      <c r="F127" s="56"/>
      <c r="G127" s="56"/>
      <c r="H127" s="59"/>
      <c r="I127" s="58"/>
      <c r="J127" s="58"/>
      <c r="K127" s="56"/>
      <c r="L127" s="56"/>
      <c r="M127" s="56"/>
      <c r="N127" s="56"/>
      <c r="O127" s="56"/>
      <c r="P127" s="56"/>
      <c r="Q127" s="56"/>
      <c r="R127" s="56"/>
      <c r="S127" s="56"/>
      <c r="T127" s="58"/>
      <c r="U127" s="56"/>
      <c r="V127" s="56"/>
      <c r="W127" s="56"/>
    </row>
    <row r="128" ht="15.75" customHeight="1">
      <c r="A128" s="56"/>
      <c r="B128" s="56"/>
      <c r="C128" s="57"/>
      <c r="D128" s="58"/>
      <c r="E128" s="58"/>
      <c r="F128" s="56"/>
      <c r="G128" s="56"/>
      <c r="H128" s="59"/>
      <c r="I128" s="58"/>
      <c r="J128" s="58"/>
      <c r="K128" s="56"/>
      <c r="L128" s="56"/>
      <c r="M128" s="56"/>
      <c r="N128" s="56"/>
      <c r="O128" s="56"/>
      <c r="P128" s="56"/>
      <c r="Q128" s="56"/>
      <c r="R128" s="56"/>
      <c r="S128" s="56"/>
      <c r="T128" s="58"/>
      <c r="U128" s="56"/>
      <c r="V128" s="56"/>
      <c r="W128" s="56"/>
    </row>
    <row r="129" ht="15.75" customHeight="1">
      <c r="A129" s="56"/>
      <c r="B129" s="56"/>
      <c r="C129" s="57"/>
      <c r="D129" s="58"/>
      <c r="E129" s="58"/>
      <c r="F129" s="56"/>
      <c r="G129" s="56"/>
      <c r="H129" s="59"/>
      <c r="I129" s="58"/>
      <c r="J129" s="58"/>
      <c r="K129" s="56"/>
      <c r="L129" s="56"/>
      <c r="M129" s="56"/>
      <c r="N129" s="56"/>
      <c r="O129" s="56"/>
      <c r="P129" s="56"/>
      <c r="Q129" s="56"/>
      <c r="R129" s="56"/>
      <c r="S129" s="56"/>
      <c r="T129" s="58"/>
      <c r="U129" s="56"/>
      <c r="V129" s="56"/>
      <c r="W129" s="56"/>
    </row>
    <row r="130" ht="15.75" customHeight="1">
      <c r="A130" s="56"/>
      <c r="B130" s="56"/>
      <c r="C130" s="57"/>
      <c r="D130" s="58"/>
      <c r="E130" s="58"/>
      <c r="F130" s="56"/>
      <c r="G130" s="56"/>
      <c r="H130" s="59"/>
      <c r="I130" s="58"/>
      <c r="J130" s="58"/>
      <c r="K130" s="56"/>
      <c r="L130" s="56"/>
      <c r="M130" s="56"/>
      <c r="N130" s="56"/>
      <c r="O130" s="56"/>
      <c r="P130" s="56"/>
      <c r="Q130" s="56"/>
      <c r="R130" s="56"/>
      <c r="S130" s="56"/>
      <c r="T130" s="58"/>
      <c r="U130" s="56"/>
      <c r="V130" s="56"/>
      <c r="W130" s="56"/>
    </row>
    <row r="131" ht="15.75" customHeight="1">
      <c r="A131" s="56"/>
      <c r="B131" s="56"/>
      <c r="C131" s="57"/>
      <c r="D131" s="58"/>
      <c r="E131" s="58"/>
      <c r="F131" s="56"/>
      <c r="G131" s="56"/>
      <c r="H131" s="59"/>
      <c r="I131" s="58"/>
      <c r="J131" s="58"/>
      <c r="K131" s="56"/>
      <c r="L131" s="56"/>
      <c r="M131" s="56"/>
      <c r="N131" s="56"/>
      <c r="O131" s="56"/>
      <c r="P131" s="56"/>
      <c r="Q131" s="56"/>
      <c r="R131" s="56"/>
      <c r="S131" s="56"/>
      <c r="T131" s="58"/>
      <c r="U131" s="56"/>
      <c r="V131" s="56"/>
      <c r="W131" s="56"/>
    </row>
    <row r="132" ht="15.75" customHeight="1">
      <c r="A132" s="56"/>
      <c r="B132" s="56"/>
      <c r="C132" s="57"/>
      <c r="D132" s="58"/>
      <c r="E132" s="58"/>
      <c r="F132" s="56"/>
      <c r="G132" s="56"/>
      <c r="H132" s="59"/>
      <c r="I132" s="58"/>
      <c r="J132" s="58"/>
      <c r="K132" s="56"/>
      <c r="L132" s="56"/>
      <c r="M132" s="56"/>
      <c r="N132" s="56"/>
      <c r="O132" s="56"/>
      <c r="P132" s="56"/>
      <c r="Q132" s="56"/>
      <c r="R132" s="56"/>
      <c r="S132" s="56"/>
      <c r="T132" s="58"/>
      <c r="U132" s="56"/>
      <c r="V132" s="56"/>
      <c r="W132" s="56"/>
    </row>
    <row r="133" ht="15.75" customHeight="1">
      <c r="A133" s="56"/>
      <c r="B133" s="56"/>
      <c r="C133" s="57"/>
      <c r="D133" s="58"/>
      <c r="E133" s="58"/>
      <c r="F133" s="56"/>
      <c r="G133" s="56"/>
      <c r="H133" s="59"/>
      <c r="I133" s="58"/>
      <c r="J133" s="58"/>
      <c r="K133" s="56"/>
      <c r="L133" s="56"/>
      <c r="M133" s="56"/>
      <c r="N133" s="56"/>
      <c r="O133" s="56"/>
      <c r="P133" s="56"/>
      <c r="Q133" s="56"/>
      <c r="R133" s="56"/>
      <c r="S133" s="56"/>
      <c r="T133" s="58"/>
      <c r="U133" s="56"/>
      <c r="V133" s="56"/>
      <c r="W133" s="56"/>
    </row>
    <row r="134" ht="15.75" customHeight="1">
      <c r="A134" s="56"/>
      <c r="B134" s="56"/>
      <c r="C134" s="57"/>
      <c r="D134" s="58"/>
      <c r="E134" s="58"/>
      <c r="F134" s="56"/>
      <c r="G134" s="56"/>
      <c r="H134" s="59"/>
      <c r="I134" s="58"/>
      <c r="J134" s="58"/>
      <c r="K134" s="56"/>
      <c r="L134" s="56"/>
      <c r="M134" s="56"/>
      <c r="N134" s="56"/>
      <c r="O134" s="56"/>
      <c r="P134" s="56"/>
      <c r="Q134" s="56"/>
      <c r="R134" s="56"/>
      <c r="S134" s="56"/>
      <c r="T134" s="58"/>
      <c r="U134" s="56"/>
      <c r="V134" s="56"/>
      <c r="W134" s="56"/>
    </row>
    <row r="135" ht="15.75" customHeight="1">
      <c r="A135" s="56"/>
      <c r="B135" s="56"/>
      <c r="C135" s="57"/>
      <c r="D135" s="58"/>
      <c r="E135" s="58"/>
      <c r="F135" s="56"/>
      <c r="G135" s="56"/>
      <c r="H135" s="59"/>
      <c r="I135" s="58"/>
      <c r="J135" s="58"/>
      <c r="K135" s="56"/>
      <c r="L135" s="56"/>
      <c r="M135" s="56"/>
      <c r="N135" s="56"/>
      <c r="O135" s="56"/>
      <c r="P135" s="56"/>
      <c r="Q135" s="56"/>
      <c r="R135" s="56"/>
      <c r="S135" s="56"/>
      <c r="T135" s="58"/>
      <c r="U135" s="56"/>
      <c r="V135" s="56"/>
      <c r="W135" s="56"/>
    </row>
    <row r="136" ht="15.75" customHeight="1">
      <c r="A136" s="56"/>
      <c r="B136" s="56"/>
      <c r="C136" s="57"/>
      <c r="D136" s="58"/>
      <c r="E136" s="58"/>
      <c r="F136" s="56"/>
      <c r="G136" s="56"/>
      <c r="H136" s="59"/>
      <c r="I136" s="58"/>
      <c r="J136" s="58"/>
      <c r="K136" s="56"/>
      <c r="L136" s="56"/>
      <c r="M136" s="56"/>
      <c r="N136" s="56"/>
      <c r="O136" s="56"/>
      <c r="P136" s="56"/>
      <c r="Q136" s="56"/>
      <c r="R136" s="56"/>
      <c r="S136" s="56"/>
      <c r="T136" s="58"/>
      <c r="U136" s="56"/>
      <c r="V136" s="56"/>
      <c r="W136" s="56"/>
    </row>
    <row r="137" ht="15.75" customHeight="1">
      <c r="A137" s="56"/>
      <c r="B137" s="56"/>
      <c r="C137" s="57"/>
      <c r="D137" s="58"/>
      <c r="E137" s="58"/>
      <c r="F137" s="56"/>
      <c r="G137" s="56"/>
      <c r="H137" s="59"/>
      <c r="I137" s="58"/>
      <c r="J137" s="58"/>
      <c r="K137" s="56"/>
      <c r="L137" s="56"/>
      <c r="M137" s="56"/>
      <c r="N137" s="56"/>
      <c r="O137" s="56"/>
      <c r="P137" s="56"/>
      <c r="Q137" s="56"/>
      <c r="R137" s="56"/>
      <c r="S137" s="56"/>
      <c r="T137" s="58"/>
      <c r="U137" s="56"/>
      <c r="V137" s="56"/>
      <c r="W137" s="56"/>
    </row>
    <row r="138" ht="15.75" customHeight="1">
      <c r="A138" s="56"/>
      <c r="B138" s="56"/>
      <c r="C138" s="57"/>
      <c r="D138" s="58"/>
      <c r="E138" s="58"/>
      <c r="F138" s="56"/>
      <c r="G138" s="56"/>
      <c r="H138" s="59"/>
      <c r="I138" s="58"/>
      <c r="J138" s="58"/>
      <c r="K138" s="56"/>
      <c r="L138" s="56"/>
      <c r="M138" s="56"/>
      <c r="N138" s="56"/>
      <c r="O138" s="56"/>
      <c r="P138" s="56"/>
      <c r="Q138" s="56"/>
      <c r="R138" s="56"/>
      <c r="S138" s="56"/>
      <c r="T138" s="58"/>
      <c r="U138" s="56"/>
      <c r="V138" s="56"/>
      <c r="W138" s="56"/>
    </row>
    <row r="139" ht="15.75" customHeight="1">
      <c r="A139" s="56"/>
      <c r="B139" s="56"/>
      <c r="C139" s="57"/>
      <c r="D139" s="58"/>
      <c r="E139" s="58"/>
      <c r="F139" s="56"/>
      <c r="G139" s="56"/>
      <c r="H139" s="59"/>
      <c r="I139" s="58"/>
      <c r="J139" s="58"/>
      <c r="K139" s="56"/>
      <c r="L139" s="56"/>
      <c r="M139" s="56"/>
      <c r="N139" s="56"/>
      <c r="O139" s="56"/>
      <c r="P139" s="56"/>
      <c r="Q139" s="56"/>
      <c r="R139" s="56"/>
      <c r="S139" s="56"/>
      <c r="T139" s="58"/>
      <c r="U139" s="56"/>
      <c r="V139" s="56"/>
      <c r="W139" s="56"/>
    </row>
    <row r="140" ht="15.75" customHeight="1">
      <c r="A140" s="56"/>
      <c r="B140" s="56"/>
      <c r="C140" s="57"/>
      <c r="D140" s="58"/>
      <c r="E140" s="58"/>
      <c r="F140" s="56"/>
      <c r="G140" s="56"/>
      <c r="H140" s="59"/>
      <c r="I140" s="58"/>
      <c r="J140" s="58"/>
      <c r="K140" s="56"/>
      <c r="L140" s="56"/>
      <c r="M140" s="56"/>
      <c r="N140" s="56"/>
      <c r="O140" s="56"/>
      <c r="P140" s="56"/>
      <c r="Q140" s="56"/>
      <c r="R140" s="56"/>
      <c r="S140" s="56"/>
      <c r="T140" s="58"/>
      <c r="U140" s="56"/>
      <c r="V140" s="56"/>
      <c r="W140" s="56"/>
    </row>
    <row r="141" ht="15.75" customHeight="1">
      <c r="A141" s="56"/>
      <c r="B141" s="56"/>
      <c r="C141" s="57"/>
      <c r="D141" s="58"/>
      <c r="E141" s="58"/>
      <c r="F141" s="56"/>
      <c r="G141" s="56"/>
      <c r="H141" s="59"/>
      <c r="I141" s="58"/>
      <c r="J141" s="58"/>
      <c r="K141" s="56"/>
      <c r="L141" s="56"/>
      <c r="M141" s="56"/>
      <c r="N141" s="56"/>
      <c r="O141" s="56"/>
      <c r="P141" s="56"/>
      <c r="Q141" s="56"/>
      <c r="R141" s="56"/>
      <c r="S141" s="56"/>
      <c r="T141" s="58"/>
      <c r="U141" s="56"/>
      <c r="V141" s="56"/>
      <c r="W141" s="56"/>
    </row>
    <row r="142" ht="15.75" customHeight="1">
      <c r="A142" s="56"/>
      <c r="B142" s="56"/>
      <c r="C142" s="57"/>
      <c r="D142" s="58"/>
      <c r="E142" s="58"/>
      <c r="F142" s="56"/>
      <c r="G142" s="56"/>
      <c r="H142" s="59"/>
      <c r="I142" s="58"/>
      <c r="J142" s="58"/>
      <c r="K142" s="56"/>
      <c r="L142" s="56"/>
      <c r="M142" s="56"/>
      <c r="N142" s="56"/>
      <c r="O142" s="56"/>
      <c r="P142" s="56"/>
      <c r="Q142" s="56"/>
      <c r="R142" s="56"/>
      <c r="S142" s="56"/>
      <c r="T142" s="58"/>
      <c r="U142" s="56"/>
      <c r="V142" s="56"/>
      <c r="W142" s="56"/>
    </row>
    <row r="143" ht="15.75" customHeight="1">
      <c r="A143" s="56"/>
      <c r="B143" s="56"/>
      <c r="C143" s="57"/>
      <c r="D143" s="58"/>
      <c r="E143" s="58"/>
      <c r="F143" s="56"/>
      <c r="G143" s="56"/>
      <c r="H143" s="59"/>
      <c r="I143" s="58"/>
      <c r="J143" s="58"/>
      <c r="K143" s="56"/>
      <c r="L143" s="56"/>
      <c r="M143" s="56"/>
      <c r="N143" s="56"/>
      <c r="O143" s="56"/>
      <c r="P143" s="56"/>
      <c r="Q143" s="56"/>
      <c r="R143" s="56"/>
      <c r="S143" s="56"/>
      <c r="T143" s="58"/>
      <c r="U143" s="56"/>
      <c r="V143" s="56"/>
      <c r="W143" s="56"/>
    </row>
    <row r="144" ht="15.75" customHeight="1">
      <c r="A144" s="56"/>
      <c r="B144" s="56"/>
      <c r="C144" s="57"/>
      <c r="D144" s="58"/>
      <c r="E144" s="58"/>
      <c r="F144" s="56"/>
      <c r="G144" s="56"/>
      <c r="H144" s="59"/>
      <c r="I144" s="58"/>
      <c r="J144" s="58"/>
      <c r="K144" s="56"/>
      <c r="L144" s="56"/>
      <c r="M144" s="56"/>
      <c r="N144" s="56"/>
      <c r="O144" s="56"/>
      <c r="P144" s="56"/>
      <c r="Q144" s="56"/>
      <c r="R144" s="56"/>
      <c r="S144" s="56"/>
      <c r="T144" s="58"/>
      <c r="U144" s="56"/>
      <c r="V144" s="56"/>
      <c r="W144" s="56"/>
    </row>
    <row r="145" ht="15.75" customHeight="1">
      <c r="A145" s="56"/>
      <c r="B145" s="56"/>
      <c r="C145" s="57"/>
      <c r="D145" s="58"/>
      <c r="E145" s="58"/>
      <c r="F145" s="56"/>
      <c r="G145" s="56"/>
      <c r="H145" s="59"/>
      <c r="I145" s="58"/>
      <c r="J145" s="58"/>
      <c r="K145" s="56"/>
      <c r="L145" s="56"/>
      <c r="M145" s="56"/>
      <c r="N145" s="56"/>
      <c r="O145" s="56"/>
      <c r="P145" s="56"/>
      <c r="Q145" s="56"/>
      <c r="R145" s="56"/>
      <c r="S145" s="56"/>
      <c r="T145" s="58"/>
      <c r="U145" s="56"/>
      <c r="V145" s="56"/>
      <c r="W145" s="56"/>
    </row>
    <row r="146" ht="15.75" customHeight="1">
      <c r="A146" s="56"/>
      <c r="B146" s="56"/>
      <c r="C146" s="57"/>
      <c r="D146" s="58"/>
      <c r="E146" s="58"/>
      <c r="F146" s="56"/>
      <c r="G146" s="56"/>
      <c r="H146" s="59"/>
      <c r="I146" s="58"/>
      <c r="J146" s="58"/>
      <c r="K146" s="56"/>
      <c r="L146" s="56"/>
      <c r="M146" s="56"/>
      <c r="N146" s="56"/>
      <c r="O146" s="56"/>
      <c r="P146" s="56"/>
      <c r="Q146" s="56"/>
      <c r="R146" s="56"/>
      <c r="S146" s="56"/>
      <c r="T146" s="58"/>
      <c r="U146" s="56"/>
      <c r="V146" s="56"/>
      <c r="W146" s="56"/>
    </row>
    <row r="147" ht="15.75" customHeight="1">
      <c r="A147" s="56"/>
      <c r="B147" s="56"/>
      <c r="C147" s="57"/>
      <c r="D147" s="58"/>
      <c r="E147" s="58"/>
      <c r="F147" s="56"/>
      <c r="G147" s="56"/>
      <c r="H147" s="59"/>
      <c r="I147" s="58"/>
      <c r="J147" s="58"/>
      <c r="K147" s="56"/>
      <c r="L147" s="56"/>
      <c r="M147" s="56"/>
      <c r="N147" s="56"/>
      <c r="O147" s="56"/>
      <c r="P147" s="56"/>
      <c r="Q147" s="56"/>
      <c r="R147" s="56"/>
      <c r="S147" s="56"/>
      <c r="T147" s="58"/>
      <c r="U147" s="56"/>
      <c r="V147" s="56"/>
      <c r="W147" s="56"/>
    </row>
    <row r="148" ht="15.75" customHeight="1">
      <c r="A148" s="56"/>
      <c r="B148" s="56"/>
      <c r="C148" s="57"/>
      <c r="D148" s="58"/>
      <c r="E148" s="58"/>
      <c r="F148" s="56"/>
      <c r="G148" s="56"/>
      <c r="H148" s="59"/>
      <c r="I148" s="58"/>
      <c r="J148" s="58"/>
      <c r="K148" s="56"/>
      <c r="L148" s="56"/>
      <c r="M148" s="56"/>
      <c r="N148" s="56"/>
      <c r="O148" s="56"/>
      <c r="P148" s="56"/>
      <c r="Q148" s="56"/>
      <c r="R148" s="56"/>
      <c r="S148" s="56"/>
      <c r="T148" s="58"/>
      <c r="U148" s="56"/>
      <c r="V148" s="56"/>
      <c r="W148" s="56"/>
    </row>
    <row r="149" ht="15.75" customHeight="1">
      <c r="A149" s="56"/>
      <c r="B149" s="56"/>
      <c r="C149" s="57"/>
      <c r="D149" s="58"/>
      <c r="E149" s="58"/>
      <c r="F149" s="56"/>
      <c r="G149" s="56"/>
      <c r="H149" s="59"/>
      <c r="I149" s="58"/>
      <c r="J149" s="58"/>
      <c r="K149" s="56"/>
      <c r="L149" s="56"/>
      <c r="M149" s="56"/>
      <c r="N149" s="56"/>
      <c r="O149" s="56"/>
      <c r="P149" s="56"/>
      <c r="Q149" s="56"/>
      <c r="R149" s="56"/>
      <c r="S149" s="56"/>
      <c r="T149" s="58"/>
      <c r="U149" s="56"/>
      <c r="V149" s="56"/>
      <c r="W149" s="56"/>
    </row>
    <row r="150" ht="15.75" customHeight="1">
      <c r="A150" s="56"/>
      <c r="B150" s="56"/>
      <c r="C150" s="57"/>
      <c r="D150" s="58"/>
      <c r="E150" s="58"/>
      <c r="F150" s="56"/>
      <c r="G150" s="56"/>
      <c r="H150" s="59"/>
      <c r="I150" s="58"/>
      <c r="J150" s="58"/>
      <c r="K150" s="56"/>
      <c r="L150" s="56"/>
      <c r="M150" s="56"/>
      <c r="N150" s="56"/>
      <c r="O150" s="56"/>
      <c r="P150" s="56"/>
      <c r="Q150" s="56"/>
      <c r="R150" s="56"/>
      <c r="S150" s="56"/>
      <c r="T150" s="58"/>
      <c r="U150" s="56"/>
      <c r="V150" s="56"/>
      <c r="W150" s="56"/>
    </row>
    <row r="151" ht="15.75" customHeight="1">
      <c r="A151" s="56"/>
      <c r="B151" s="56"/>
      <c r="C151" s="57"/>
      <c r="D151" s="58"/>
      <c r="E151" s="58"/>
      <c r="F151" s="56"/>
      <c r="G151" s="56"/>
      <c r="H151" s="59"/>
      <c r="I151" s="58"/>
      <c r="J151" s="58"/>
      <c r="K151" s="56"/>
      <c r="L151" s="56"/>
      <c r="M151" s="56"/>
      <c r="N151" s="56"/>
      <c r="O151" s="56"/>
      <c r="P151" s="56"/>
      <c r="Q151" s="56"/>
      <c r="R151" s="56"/>
      <c r="S151" s="56"/>
      <c r="T151" s="58"/>
      <c r="U151" s="56"/>
      <c r="V151" s="56"/>
      <c r="W151" s="56"/>
    </row>
    <row r="152" ht="15.75" customHeight="1">
      <c r="A152" s="56"/>
      <c r="B152" s="56"/>
      <c r="C152" s="57"/>
      <c r="D152" s="58"/>
      <c r="E152" s="58"/>
      <c r="F152" s="56"/>
      <c r="G152" s="56"/>
      <c r="H152" s="59"/>
      <c r="I152" s="58"/>
      <c r="J152" s="58"/>
      <c r="K152" s="56"/>
      <c r="L152" s="56"/>
      <c r="M152" s="56"/>
      <c r="N152" s="56"/>
      <c r="O152" s="56"/>
      <c r="P152" s="56"/>
      <c r="Q152" s="56"/>
      <c r="R152" s="56"/>
      <c r="S152" s="56"/>
      <c r="T152" s="58"/>
      <c r="U152" s="56"/>
      <c r="V152" s="56"/>
      <c r="W152" s="56"/>
    </row>
    <row r="153" ht="15.75" customHeight="1">
      <c r="A153" s="56"/>
      <c r="B153" s="56"/>
      <c r="C153" s="57"/>
      <c r="D153" s="58"/>
      <c r="E153" s="58"/>
      <c r="F153" s="56"/>
      <c r="G153" s="56"/>
      <c r="H153" s="59"/>
      <c r="I153" s="58"/>
      <c r="J153" s="58"/>
      <c r="K153" s="56"/>
      <c r="L153" s="56"/>
      <c r="M153" s="56"/>
      <c r="N153" s="56"/>
      <c r="O153" s="56"/>
      <c r="P153" s="56"/>
      <c r="Q153" s="56"/>
      <c r="R153" s="56"/>
      <c r="S153" s="56"/>
      <c r="T153" s="58"/>
      <c r="U153" s="56"/>
      <c r="V153" s="56"/>
      <c r="W153" s="56"/>
    </row>
    <row r="154" ht="15.75" customHeight="1">
      <c r="A154" s="56"/>
      <c r="B154" s="56"/>
      <c r="C154" s="57"/>
      <c r="D154" s="58"/>
      <c r="E154" s="58"/>
      <c r="F154" s="56"/>
      <c r="G154" s="56"/>
      <c r="H154" s="59"/>
      <c r="I154" s="58"/>
      <c r="J154" s="58"/>
      <c r="K154" s="56"/>
      <c r="L154" s="56"/>
      <c r="M154" s="56"/>
      <c r="N154" s="56"/>
      <c r="O154" s="56"/>
      <c r="P154" s="56"/>
      <c r="Q154" s="56"/>
      <c r="R154" s="56"/>
      <c r="S154" s="56"/>
      <c r="T154" s="58"/>
      <c r="U154" s="56"/>
      <c r="V154" s="56"/>
      <c r="W154" s="56"/>
    </row>
    <row r="155" ht="15.75" customHeight="1">
      <c r="A155" s="56"/>
      <c r="B155" s="56"/>
      <c r="C155" s="57"/>
      <c r="D155" s="58"/>
      <c r="E155" s="58"/>
      <c r="F155" s="56"/>
      <c r="G155" s="56"/>
      <c r="H155" s="59"/>
      <c r="I155" s="58"/>
      <c r="J155" s="58"/>
      <c r="K155" s="56"/>
      <c r="L155" s="56"/>
      <c r="M155" s="56"/>
      <c r="N155" s="56"/>
      <c r="O155" s="56"/>
      <c r="P155" s="56"/>
      <c r="Q155" s="56"/>
      <c r="R155" s="56"/>
      <c r="S155" s="56"/>
      <c r="T155" s="58"/>
      <c r="U155" s="56"/>
      <c r="V155" s="56"/>
      <c r="W155" s="56"/>
    </row>
    <row r="156" ht="15.75" customHeight="1">
      <c r="A156" s="56"/>
      <c r="B156" s="56"/>
      <c r="C156" s="57"/>
      <c r="D156" s="58"/>
      <c r="E156" s="58"/>
      <c r="F156" s="56"/>
      <c r="G156" s="56"/>
      <c r="H156" s="59"/>
      <c r="I156" s="58"/>
      <c r="J156" s="58"/>
      <c r="K156" s="56"/>
      <c r="L156" s="56"/>
      <c r="M156" s="56"/>
      <c r="N156" s="56"/>
      <c r="O156" s="56"/>
      <c r="P156" s="56"/>
      <c r="Q156" s="56"/>
      <c r="R156" s="56"/>
      <c r="S156" s="56"/>
      <c r="T156" s="58"/>
      <c r="U156" s="56"/>
      <c r="V156" s="56"/>
      <c r="W156" s="56"/>
    </row>
    <row r="157" ht="15.75" customHeight="1">
      <c r="A157" s="56"/>
      <c r="B157" s="56"/>
      <c r="C157" s="57"/>
      <c r="D157" s="58"/>
      <c r="E157" s="58"/>
      <c r="F157" s="56"/>
      <c r="G157" s="56"/>
      <c r="H157" s="59"/>
      <c r="I157" s="58"/>
      <c r="J157" s="58"/>
      <c r="K157" s="56"/>
      <c r="L157" s="56"/>
      <c r="M157" s="56"/>
      <c r="N157" s="56"/>
      <c r="O157" s="56"/>
      <c r="P157" s="56"/>
      <c r="Q157" s="56"/>
      <c r="R157" s="56"/>
      <c r="S157" s="56"/>
      <c r="T157" s="58"/>
      <c r="U157" s="56"/>
      <c r="V157" s="56"/>
      <c r="W157" s="56"/>
    </row>
    <row r="158" ht="15.75" customHeight="1">
      <c r="A158" s="56"/>
      <c r="B158" s="56"/>
      <c r="C158" s="57"/>
      <c r="D158" s="58"/>
      <c r="E158" s="58"/>
      <c r="F158" s="56"/>
      <c r="G158" s="56"/>
      <c r="H158" s="59"/>
      <c r="I158" s="58"/>
      <c r="J158" s="58"/>
      <c r="K158" s="56"/>
      <c r="L158" s="56"/>
      <c r="M158" s="56"/>
      <c r="N158" s="56"/>
      <c r="O158" s="56"/>
      <c r="P158" s="56"/>
      <c r="Q158" s="56"/>
      <c r="R158" s="56"/>
      <c r="S158" s="56"/>
      <c r="T158" s="58"/>
      <c r="U158" s="56"/>
      <c r="V158" s="56"/>
      <c r="W158" s="56"/>
    </row>
    <row r="159" ht="15.75" customHeight="1">
      <c r="A159" s="56"/>
      <c r="B159" s="56"/>
      <c r="C159" s="57"/>
      <c r="D159" s="58"/>
      <c r="E159" s="58"/>
      <c r="F159" s="56"/>
      <c r="G159" s="56"/>
      <c r="H159" s="59"/>
      <c r="I159" s="58"/>
      <c r="J159" s="58"/>
      <c r="K159" s="56"/>
      <c r="L159" s="56"/>
      <c r="M159" s="56"/>
      <c r="N159" s="56"/>
      <c r="O159" s="56"/>
      <c r="P159" s="56"/>
      <c r="Q159" s="56"/>
      <c r="R159" s="56"/>
      <c r="S159" s="56"/>
      <c r="T159" s="58"/>
      <c r="U159" s="56"/>
      <c r="V159" s="56"/>
      <c r="W159" s="56"/>
    </row>
    <row r="160" ht="15.75" customHeight="1">
      <c r="A160" s="56"/>
      <c r="B160" s="56"/>
      <c r="C160" s="57"/>
      <c r="D160" s="58"/>
      <c r="E160" s="58"/>
      <c r="F160" s="56"/>
      <c r="G160" s="56"/>
      <c r="H160" s="59"/>
      <c r="I160" s="58"/>
      <c r="J160" s="58"/>
      <c r="K160" s="56"/>
      <c r="L160" s="56"/>
      <c r="M160" s="56"/>
      <c r="N160" s="56"/>
      <c r="O160" s="56"/>
      <c r="P160" s="56"/>
      <c r="Q160" s="56"/>
      <c r="R160" s="56"/>
      <c r="S160" s="56"/>
      <c r="T160" s="58"/>
      <c r="U160" s="56"/>
      <c r="V160" s="56"/>
      <c r="W160" s="56"/>
    </row>
    <row r="161" ht="15.75" customHeight="1">
      <c r="A161" s="56"/>
      <c r="B161" s="56"/>
      <c r="C161" s="57"/>
      <c r="D161" s="58"/>
      <c r="E161" s="58"/>
      <c r="F161" s="56"/>
      <c r="G161" s="56"/>
      <c r="H161" s="59"/>
      <c r="I161" s="58"/>
      <c r="J161" s="58"/>
      <c r="K161" s="56"/>
      <c r="L161" s="56"/>
      <c r="M161" s="56"/>
      <c r="N161" s="56"/>
      <c r="O161" s="56"/>
      <c r="P161" s="56"/>
      <c r="Q161" s="56"/>
      <c r="R161" s="56"/>
      <c r="S161" s="56"/>
      <c r="T161" s="58"/>
      <c r="U161" s="56"/>
      <c r="V161" s="56"/>
      <c r="W161" s="56"/>
    </row>
    <row r="162" ht="15.75" customHeight="1">
      <c r="A162" s="56"/>
      <c r="B162" s="56"/>
      <c r="C162" s="57"/>
      <c r="D162" s="58"/>
      <c r="E162" s="58"/>
      <c r="F162" s="56"/>
      <c r="G162" s="56"/>
      <c r="H162" s="59"/>
      <c r="I162" s="58"/>
      <c r="J162" s="58"/>
      <c r="K162" s="56"/>
      <c r="L162" s="56"/>
      <c r="M162" s="56"/>
      <c r="N162" s="56"/>
      <c r="O162" s="56"/>
      <c r="P162" s="56"/>
      <c r="Q162" s="56"/>
      <c r="R162" s="56"/>
      <c r="S162" s="56"/>
      <c r="T162" s="58"/>
      <c r="U162" s="56"/>
      <c r="V162" s="56"/>
      <c r="W162" s="56"/>
    </row>
    <row r="163" ht="15.75" customHeight="1">
      <c r="A163" s="56"/>
      <c r="B163" s="56"/>
      <c r="C163" s="57"/>
      <c r="D163" s="58"/>
      <c r="E163" s="58"/>
      <c r="F163" s="56"/>
      <c r="G163" s="56"/>
      <c r="H163" s="59"/>
      <c r="I163" s="58"/>
      <c r="J163" s="58"/>
      <c r="K163" s="56"/>
      <c r="L163" s="56"/>
      <c r="M163" s="56"/>
      <c r="N163" s="56"/>
      <c r="O163" s="56"/>
      <c r="P163" s="56"/>
      <c r="Q163" s="56"/>
      <c r="R163" s="56"/>
      <c r="S163" s="56"/>
      <c r="T163" s="58"/>
      <c r="U163" s="56"/>
      <c r="V163" s="56"/>
      <c r="W163" s="56"/>
    </row>
    <row r="164" ht="15.75" customHeight="1">
      <c r="A164" s="56"/>
      <c r="B164" s="56"/>
      <c r="C164" s="57"/>
      <c r="D164" s="58"/>
      <c r="E164" s="58"/>
      <c r="F164" s="56"/>
      <c r="G164" s="56"/>
      <c r="H164" s="59"/>
      <c r="I164" s="58"/>
      <c r="J164" s="58"/>
      <c r="K164" s="56"/>
      <c r="L164" s="56"/>
      <c r="M164" s="56"/>
      <c r="N164" s="56"/>
      <c r="O164" s="56"/>
      <c r="P164" s="56"/>
      <c r="Q164" s="56"/>
      <c r="R164" s="56"/>
      <c r="S164" s="56"/>
      <c r="T164" s="58"/>
      <c r="U164" s="56"/>
      <c r="V164" s="56"/>
      <c r="W164" s="56"/>
    </row>
    <row r="165" ht="15.75" customHeight="1">
      <c r="A165" s="56"/>
      <c r="B165" s="56"/>
      <c r="C165" s="57"/>
      <c r="D165" s="58"/>
      <c r="E165" s="58"/>
      <c r="F165" s="56"/>
      <c r="G165" s="56"/>
      <c r="H165" s="59"/>
      <c r="I165" s="58"/>
      <c r="J165" s="58"/>
      <c r="K165" s="56"/>
      <c r="L165" s="56"/>
      <c r="M165" s="56"/>
      <c r="N165" s="56"/>
      <c r="O165" s="56"/>
      <c r="P165" s="56"/>
      <c r="Q165" s="56"/>
      <c r="R165" s="56"/>
      <c r="S165" s="56"/>
      <c r="T165" s="58"/>
      <c r="U165" s="56"/>
      <c r="V165" s="56"/>
      <c r="W165" s="56"/>
    </row>
    <row r="166" ht="15.75" customHeight="1">
      <c r="A166" s="56"/>
      <c r="B166" s="56"/>
      <c r="C166" s="57"/>
      <c r="D166" s="58"/>
      <c r="E166" s="58"/>
      <c r="F166" s="56"/>
      <c r="G166" s="56"/>
      <c r="H166" s="59"/>
      <c r="I166" s="58"/>
      <c r="J166" s="58"/>
      <c r="K166" s="56"/>
      <c r="L166" s="56"/>
      <c r="M166" s="56"/>
      <c r="N166" s="56"/>
      <c r="O166" s="56"/>
      <c r="P166" s="56"/>
      <c r="Q166" s="56"/>
      <c r="R166" s="56"/>
      <c r="S166" s="56"/>
      <c r="T166" s="58"/>
      <c r="U166" s="56"/>
      <c r="V166" s="56"/>
      <c r="W166" s="56"/>
    </row>
    <row r="167" ht="15.75" customHeight="1">
      <c r="A167" s="56"/>
      <c r="B167" s="56"/>
      <c r="C167" s="57"/>
      <c r="D167" s="58"/>
      <c r="E167" s="58"/>
      <c r="F167" s="56"/>
      <c r="G167" s="56"/>
      <c r="H167" s="59"/>
      <c r="I167" s="58"/>
      <c r="J167" s="58"/>
      <c r="K167" s="56"/>
      <c r="L167" s="56"/>
      <c r="M167" s="56"/>
      <c r="N167" s="56"/>
      <c r="O167" s="56"/>
      <c r="P167" s="56"/>
      <c r="Q167" s="56"/>
      <c r="R167" s="56"/>
      <c r="S167" s="56"/>
      <c r="T167" s="58"/>
      <c r="U167" s="56"/>
      <c r="V167" s="56"/>
      <c r="W167" s="56"/>
    </row>
    <row r="168" ht="15.75" customHeight="1">
      <c r="A168" s="56"/>
      <c r="B168" s="56"/>
      <c r="C168" s="57"/>
      <c r="D168" s="58"/>
      <c r="E168" s="58"/>
      <c r="F168" s="56"/>
      <c r="G168" s="56"/>
      <c r="H168" s="59"/>
      <c r="I168" s="58"/>
      <c r="J168" s="58"/>
      <c r="K168" s="56"/>
      <c r="L168" s="56"/>
      <c r="M168" s="56"/>
      <c r="N168" s="56"/>
      <c r="O168" s="56"/>
      <c r="P168" s="56"/>
      <c r="Q168" s="56"/>
      <c r="R168" s="56"/>
      <c r="S168" s="56"/>
      <c r="T168" s="58"/>
      <c r="U168" s="56"/>
      <c r="V168" s="56"/>
      <c r="W168" s="56"/>
    </row>
    <row r="169" ht="15.75" customHeight="1">
      <c r="A169" s="56"/>
      <c r="B169" s="56"/>
      <c r="C169" s="57"/>
      <c r="D169" s="58"/>
      <c r="E169" s="58"/>
      <c r="F169" s="56"/>
      <c r="G169" s="56"/>
      <c r="H169" s="59"/>
      <c r="I169" s="58"/>
      <c r="J169" s="58"/>
      <c r="K169" s="56"/>
      <c r="L169" s="56"/>
      <c r="M169" s="56"/>
      <c r="N169" s="56"/>
      <c r="O169" s="56"/>
      <c r="P169" s="56"/>
      <c r="Q169" s="56"/>
      <c r="R169" s="56"/>
      <c r="S169" s="56"/>
      <c r="T169" s="58"/>
      <c r="U169" s="56"/>
      <c r="V169" s="56"/>
      <c r="W169" s="56"/>
    </row>
    <row r="170" ht="15.75" customHeight="1">
      <c r="A170" s="56"/>
      <c r="B170" s="56"/>
      <c r="C170" s="57"/>
      <c r="D170" s="58"/>
      <c r="E170" s="58"/>
      <c r="F170" s="56"/>
      <c r="G170" s="56"/>
      <c r="H170" s="59"/>
      <c r="I170" s="58"/>
      <c r="J170" s="58"/>
      <c r="K170" s="56"/>
      <c r="L170" s="56"/>
      <c r="M170" s="56"/>
      <c r="N170" s="56"/>
      <c r="O170" s="56"/>
      <c r="P170" s="56"/>
      <c r="Q170" s="56"/>
      <c r="R170" s="56"/>
      <c r="S170" s="56"/>
      <c r="T170" s="58"/>
      <c r="U170" s="56"/>
      <c r="V170" s="56"/>
      <c r="W170" s="56"/>
    </row>
    <row r="171" ht="15.75" customHeight="1">
      <c r="A171" s="56"/>
      <c r="B171" s="56"/>
      <c r="C171" s="57"/>
      <c r="D171" s="58"/>
      <c r="E171" s="58"/>
      <c r="F171" s="56"/>
      <c r="G171" s="56"/>
      <c r="H171" s="59"/>
      <c r="I171" s="58"/>
      <c r="J171" s="58"/>
      <c r="K171" s="56"/>
      <c r="L171" s="56"/>
      <c r="M171" s="56"/>
      <c r="N171" s="56"/>
      <c r="O171" s="56"/>
      <c r="P171" s="56"/>
      <c r="Q171" s="56"/>
      <c r="R171" s="56"/>
      <c r="S171" s="56"/>
      <c r="T171" s="58"/>
      <c r="U171" s="56"/>
      <c r="V171" s="56"/>
      <c r="W171" s="56"/>
    </row>
    <row r="172" ht="15.75" customHeight="1">
      <c r="A172" s="56"/>
      <c r="B172" s="56"/>
      <c r="C172" s="57"/>
      <c r="D172" s="58"/>
      <c r="E172" s="58"/>
      <c r="F172" s="56"/>
      <c r="G172" s="56"/>
      <c r="H172" s="59"/>
      <c r="I172" s="58"/>
      <c r="J172" s="58"/>
      <c r="K172" s="56"/>
      <c r="L172" s="56"/>
      <c r="M172" s="56"/>
      <c r="N172" s="56"/>
      <c r="O172" s="56"/>
      <c r="P172" s="56"/>
      <c r="Q172" s="56"/>
      <c r="R172" s="56"/>
      <c r="S172" s="56"/>
      <c r="T172" s="58"/>
      <c r="U172" s="56"/>
      <c r="V172" s="56"/>
      <c r="W172" s="56"/>
    </row>
    <row r="173" ht="15.75" customHeight="1">
      <c r="A173" s="56"/>
      <c r="B173" s="56"/>
      <c r="C173" s="57"/>
      <c r="D173" s="58"/>
      <c r="E173" s="58"/>
      <c r="F173" s="56"/>
      <c r="G173" s="56"/>
      <c r="H173" s="59"/>
      <c r="I173" s="58"/>
      <c r="J173" s="58"/>
      <c r="K173" s="56"/>
      <c r="L173" s="56"/>
      <c r="M173" s="56"/>
      <c r="N173" s="56"/>
      <c r="O173" s="56"/>
      <c r="P173" s="56"/>
      <c r="Q173" s="56"/>
      <c r="R173" s="56"/>
      <c r="S173" s="56"/>
      <c r="T173" s="58"/>
      <c r="U173" s="56"/>
      <c r="V173" s="56"/>
      <c r="W173" s="56"/>
    </row>
    <row r="174" ht="15.75" customHeight="1">
      <c r="A174" s="56"/>
      <c r="B174" s="56"/>
      <c r="C174" s="57"/>
      <c r="D174" s="58"/>
      <c r="E174" s="58"/>
      <c r="F174" s="56"/>
      <c r="G174" s="56"/>
      <c r="H174" s="59"/>
      <c r="I174" s="58"/>
      <c r="J174" s="58"/>
      <c r="K174" s="56"/>
      <c r="L174" s="56"/>
      <c r="M174" s="56"/>
      <c r="N174" s="56"/>
      <c r="O174" s="56"/>
      <c r="P174" s="56"/>
      <c r="Q174" s="56"/>
      <c r="R174" s="56"/>
      <c r="S174" s="56"/>
      <c r="T174" s="58"/>
      <c r="U174" s="56"/>
      <c r="V174" s="56"/>
      <c r="W174" s="56"/>
    </row>
    <row r="175" ht="15.75" customHeight="1">
      <c r="A175" s="56"/>
      <c r="B175" s="56"/>
      <c r="C175" s="57"/>
      <c r="D175" s="58"/>
      <c r="E175" s="58"/>
      <c r="F175" s="56"/>
      <c r="G175" s="56"/>
      <c r="H175" s="59"/>
      <c r="I175" s="58"/>
      <c r="J175" s="58"/>
      <c r="K175" s="56"/>
      <c r="L175" s="56"/>
      <c r="M175" s="56"/>
      <c r="N175" s="56"/>
      <c r="O175" s="56"/>
      <c r="P175" s="56"/>
      <c r="Q175" s="56"/>
      <c r="R175" s="56"/>
      <c r="S175" s="56"/>
      <c r="T175" s="58"/>
      <c r="U175" s="56"/>
      <c r="V175" s="56"/>
      <c r="W175" s="56"/>
    </row>
    <row r="176" ht="15.75" customHeight="1">
      <c r="A176" s="56"/>
      <c r="B176" s="56"/>
      <c r="C176" s="57"/>
      <c r="D176" s="58"/>
      <c r="E176" s="58"/>
      <c r="F176" s="56"/>
      <c r="G176" s="56"/>
      <c r="H176" s="59"/>
      <c r="I176" s="58"/>
      <c r="J176" s="58"/>
      <c r="K176" s="56"/>
      <c r="L176" s="56"/>
      <c r="M176" s="56"/>
      <c r="N176" s="56"/>
      <c r="O176" s="56"/>
      <c r="P176" s="56"/>
      <c r="Q176" s="56"/>
      <c r="R176" s="56"/>
      <c r="S176" s="56"/>
      <c r="T176" s="58"/>
      <c r="U176" s="56"/>
      <c r="V176" s="56"/>
      <c r="W176" s="56"/>
    </row>
    <row r="177" ht="15.75" customHeight="1">
      <c r="A177" s="56"/>
      <c r="B177" s="56"/>
      <c r="C177" s="57"/>
      <c r="D177" s="58"/>
      <c r="E177" s="58"/>
      <c r="F177" s="56"/>
      <c r="G177" s="56"/>
      <c r="H177" s="59"/>
      <c r="I177" s="58"/>
      <c r="J177" s="58"/>
      <c r="K177" s="56"/>
      <c r="L177" s="56"/>
      <c r="M177" s="56"/>
      <c r="N177" s="56"/>
      <c r="O177" s="56"/>
      <c r="P177" s="56"/>
      <c r="Q177" s="56"/>
      <c r="R177" s="56"/>
      <c r="S177" s="56"/>
      <c r="T177" s="58"/>
      <c r="U177" s="56"/>
      <c r="V177" s="56"/>
      <c r="W177" s="56"/>
    </row>
    <row r="178" ht="15.75" customHeight="1">
      <c r="A178" s="56"/>
      <c r="B178" s="56"/>
      <c r="C178" s="57"/>
      <c r="D178" s="58"/>
      <c r="E178" s="58"/>
      <c r="F178" s="56"/>
      <c r="G178" s="56"/>
      <c r="H178" s="59"/>
      <c r="I178" s="58"/>
      <c r="J178" s="58"/>
      <c r="K178" s="56"/>
      <c r="L178" s="56"/>
      <c r="M178" s="56"/>
      <c r="N178" s="56"/>
      <c r="O178" s="56"/>
      <c r="P178" s="56"/>
      <c r="Q178" s="56"/>
      <c r="R178" s="56"/>
      <c r="S178" s="56"/>
      <c r="T178" s="58"/>
      <c r="U178" s="56"/>
      <c r="V178" s="56"/>
      <c r="W178" s="56"/>
    </row>
    <row r="179" ht="15.75" customHeight="1">
      <c r="A179" s="56"/>
      <c r="B179" s="56"/>
      <c r="C179" s="57"/>
      <c r="D179" s="58"/>
      <c r="E179" s="58"/>
      <c r="F179" s="56"/>
      <c r="G179" s="56"/>
      <c r="H179" s="59"/>
      <c r="I179" s="58"/>
      <c r="J179" s="58"/>
      <c r="K179" s="56"/>
      <c r="L179" s="56"/>
      <c r="M179" s="56"/>
      <c r="N179" s="56"/>
      <c r="O179" s="56"/>
      <c r="P179" s="56"/>
      <c r="Q179" s="56"/>
      <c r="R179" s="56"/>
      <c r="S179" s="56"/>
      <c r="T179" s="58"/>
      <c r="U179" s="56"/>
      <c r="V179" s="56"/>
      <c r="W179" s="56"/>
    </row>
    <row r="180" ht="15.75" customHeight="1">
      <c r="A180" s="56"/>
      <c r="B180" s="56"/>
      <c r="C180" s="57"/>
      <c r="D180" s="58"/>
      <c r="E180" s="58"/>
      <c r="F180" s="56"/>
      <c r="G180" s="56"/>
      <c r="H180" s="59"/>
      <c r="I180" s="58"/>
      <c r="J180" s="58"/>
      <c r="K180" s="56"/>
      <c r="L180" s="56"/>
      <c r="M180" s="56"/>
      <c r="N180" s="56"/>
      <c r="O180" s="56"/>
      <c r="P180" s="56"/>
      <c r="Q180" s="56"/>
      <c r="R180" s="56"/>
      <c r="S180" s="56"/>
      <c r="T180" s="58"/>
      <c r="U180" s="56"/>
      <c r="V180" s="56"/>
      <c r="W180" s="56"/>
    </row>
    <row r="181" ht="15.75" customHeight="1">
      <c r="A181" s="56"/>
      <c r="B181" s="56"/>
      <c r="C181" s="57"/>
      <c r="D181" s="58"/>
      <c r="E181" s="58"/>
      <c r="F181" s="56"/>
      <c r="G181" s="56"/>
      <c r="H181" s="59"/>
      <c r="I181" s="58"/>
      <c r="J181" s="58"/>
      <c r="K181" s="56"/>
      <c r="L181" s="56"/>
      <c r="M181" s="56"/>
      <c r="N181" s="56"/>
      <c r="O181" s="56"/>
      <c r="P181" s="56"/>
      <c r="Q181" s="56"/>
      <c r="R181" s="56"/>
      <c r="S181" s="56"/>
      <c r="T181" s="58"/>
      <c r="U181" s="56"/>
      <c r="V181" s="56"/>
      <c r="W181" s="56"/>
    </row>
    <row r="182" ht="15.75" customHeight="1">
      <c r="A182" s="56"/>
      <c r="B182" s="56"/>
      <c r="C182" s="57"/>
      <c r="D182" s="58"/>
      <c r="E182" s="58"/>
      <c r="F182" s="56"/>
      <c r="G182" s="56"/>
      <c r="H182" s="59"/>
      <c r="I182" s="58"/>
      <c r="J182" s="58"/>
      <c r="K182" s="56"/>
      <c r="L182" s="56"/>
      <c r="M182" s="56"/>
      <c r="N182" s="56"/>
      <c r="O182" s="56"/>
      <c r="P182" s="56"/>
      <c r="Q182" s="56"/>
      <c r="R182" s="56"/>
      <c r="S182" s="56"/>
      <c r="T182" s="58"/>
      <c r="U182" s="56"/>
      <c r="V182" s="56"/>
      <c r="W182" s="56"/>
    </row>
    <row r="183" ht="15.75" customHeight="1">
      <c r="A183" s="56"/>
      <c r="B183" s="56"/>
      <c r="C183" s="57"/>
      <c r="D183" s="58"/>
      <c r="E183" s="58"/>
      <c r="F183" s="56"/>
      <c r="G183" s="56"/>
      <c r="H183" s="59"/>
      <c r="I183" s="58"/>
      <c r="J183" s="58"/>
      <c r="K183" s="56"/>
      <c r="L183" s="56"/>
      <c r="M183" s="56"/>
      <c r="N183" s="56"/>
      <c r="O183" s="56"/>
      <c r="P183" s="56"/>
      <c r="Q183" s="56"/>
      <c r="R183" s="56"/>
      <c r="S183" s="56"/>
      <c r="T183" s="58"/>
      <c r="U183" s="56"/>
      <c r="V183" s="56"/>
      <c r="W183" s="56"/>
    </row>
    <row r="184" ht="15.75" customHeight="1">
      <c r="A184" s="56"/>
      <c r="B184" s="56"/>
      <c r="C184" s="57"/>
      <c r="D184" s="58"/>
      <c r="E184" s="58"/>
      <c r="F184" s="56"/>
      <c r="G184" s="56"/>
      <c r="H184" s="59"/>
      <c r="I184" s="58"/>
      <c r="J184" s="58"/>
      <c r="K184" s="56"/>
      <c r="L184" s="56"/>
      <c r="M184" s="56"/>
      <c r="N184" s="56"/>
      <c r="O184" s="56"/>
      <c r="P184" s="56"/>
      <c r="Q184" s="56"/>
      <c r="R184" s="56"/>
      <c r="S184" s="56"/>
      <c r="T184" s="58"/>
      <c r="U184" s="56"/>
      <c r="V184" s="56"/>
      <c r="W184" s="56"/>
    </row>
    <row r="185" ht="15.75" customHeight="1">
      <c r="A185" s="56"/>
      <c r="B185" s="56"/>
      <c r="C185" s="57"/>
      <c r="D185" s="58"/>
      <c r="E185" s="58"/>
      <c r="F185" s="56"/>
      <c r="G185" s="56"/>
      <c r="H185" s="59"/>
      <c r="I185" s="58"/>
      <c r="J185" s="58"/>
      <c r="K185" s="56"/>
      <c r="L185" s="56"/>
      <c r="M185" s="56"/>
      <c r="N185" s="56"/>
      <c r="O185" s="56"/>
      <c r="P185" s="56"/>
      <c r="Q185" s="56"/>
      <c r="R185" s="56"/>
      <c r="S185" s="56"/>
      <c r="T185" s="58"/>
      <c r="U185" s="56"/>
      <c r="V185" s="56"/>
      <c r="W185" s="56"/>
    </row>
    <row r="186" ht="15.75" customHeight="1">
      <c r="A186" s="56"/>
      <c r="B186" s="56"/>
      <c r="C186" s="57"/>
      <c r="D186" s="58"/>
      <c r="E186" s="58"/>
      <c r="F186" s="56"/>
      <c r="G186" s="56"/>
      <c r="H186" s="59"/>
      <c r="I186" s="58"/>
      <c r="J186" s="58"/>
      <c r="K186" s="56"/>
      <c r="L186" s="56"/>
      <c r="M186" s="56"/>
      <c r="N186" s="56"/>
      <c r="O186" s="56"/>
      <c r="P186" s="56"/>
      <c r="Q186" s="56"/>
      <c r="R186" s="56"/>
      <c r="S186" s="56"/>
      <c r="T186" s="58"/>
      <c r="U186" s="56"/>
      <c r="V186" s="56"/>
      <c r="W186" s="56"/>
    </row>
    <row r="187" ht="15.75" customHeight="1">
      <c r="A187" s="56"/>
      <c r="B187" s="56"/>
      <c r="C187" s="57"/>
      <c r="D187" s="58"/>
      <c r="E187" s="58"/>
      <c r="F187" s="56"/>
      <c r="G187" s="56"/>
      <c r="H187" s="59"/>
      <c r="I187" s="58"/>
      <c r="J187" s="58"/>
      <c r="K187" s="56"/>
      <c r="L187" s="56"/>
      <c r="M187" s="56"/>
      <c r="N187" s="56"/>
      <c r="O187" s="56"/>
      <c r="P187" s="56"/>
      <c r="Q187" s="56"/>
      <c r="R187" s="56"/>
      <c r="S187" s="56"/>
      <c r="T187" s="58"/>
      <c r="U187" s="56"/>
      <c r="V187" s="56"/>
      <c r="W187" s="56"/>
    </row>
    <row r="188" ht="15.75" customHeight="1">
      <c r="A188" s="56"/>
      <c r="B188" s="56"/>
      <c r="C188" s="57"/>
      <c r="D188" s="58"/>
      <c r="E188" s="58"/>
      <c r="F188" s="56"/>
      <c r="G188" s="56"/>
      <c r="H188" s="59"/>
      <c r="I188" s="58"/>
      <c r="J188" s="58"/>
      <c r="K188" s="56"/>
      <c r="L188" s="56"/>
      <c r="M188" s="56"/>
      <c r="N188" s="56"/>
      <c r="O188" s="56"/>
      <c r="P188" s="56"/>
      <c r="Q188" s="56"/>
      <c r="R188" s="56"/>
      <c r="S188" s="56"/>
      <c r="T188" s="58"/>
      <c r="U188" s="56"/>
      <c r="V188" s="56"/>
      <c r="W188" s="56"/>
    </row>
    <row r="189" ht="15.75" customHeight="1">
      <c r="A189" s="56"/>
      <c r="B189" s="56"/>
      <c r="C189" s="57"/>
      <c r="D189" s="58"/>
      <c r="E189" s="58"/>
      <c r="F189" s="56"/>
      <c r="G189" s="56"/>
      <c r="H189" s="59"/>
      <c r="I189" s="58"/>
      <c r="J189" s="58"/>
      <c r="K189" s="56"/>
      <c r="L189" s="56"/>
      <c r="M189" s="56"/>
      <c r="N189" s="56"/>
      <c r="O189" s="56"/>
      <c r="P189" s="56"/>
      <c r="Q189" s="56"/>
      <c r="R189" s="56"/>
      <c r="S189" s="56"/>
      <c r="T189" s="58"/>
      <c r="U189" s="56"/>
      <c r="V189" s="56"/>
      <c r="W189" s="56"/>
    </row>
    <row r="190" ht="15.75" customHeight="1">
      <c r="A190" s="56"/>
      <c r="B190" s="56"/>
      <c r="C190" s="57"/>
      <c r="D190" s="58"/>
      <c r="E190" s="58"/>
      <c r="F190" s="56"/>
      <c r="G190" s="56"/>
      <c r="H190" s="59"/>
      <c r="I190" s="58"/>
      <c r="J190" s="58"/>
      <c r="K190" s="56"/>
      <c r="L190" s="56"/>
      <c r="M190" s="56"/>
      <c r="N190" s="56"/>
      <c r="O190" s="56"/>
      <c r="P190" s="56"/>
      <c r="Q190" s="56"/>
      <c r="R190" s="56"/>
      <c r="S190" s="56"/>
      <c r="T190" s="58"/>
      <c r="U190" s="56"/>
      <c r="V190" s="56"/>
      <c r="W190" s="56"/>
    </row>
    <row r="191" ht="15.75" customHeight="1">
      <c r="A191" s="56"/>
      <c r="B191" s="56"/>
      <c r="C191" s="57"/>
      <c r="D191" s="58"/>
      <c r="E191" s="58"/>
      <c r="F191" s="56"/>
      <c r="G191" s="56"/>
      <c r="H191" s="59"/>
      <c r="I191" s="58"/>
      <c r="J191" s="58"/>
      <c r="K191" s="56"/>
      <c r="L191" s="56"/>
      <c r="M191" s="56"/>
      <c r="N191" s="56"/>
      <c r="O191" s="56"/>
      <c r="P191" s="56"/>
      <c r="Q191" s="56"/>
      <c r="R191" s="56"/>
      <c r="S191" s="56"/>
      <c r="T191" s="58"/>
      <c r="U191" s="56"/>
      <c r="V191" s="56"/>
      <c r="W191" s="56"/>
    </row>
    <row r="192" ht="15.75" customHeight="1">
      <c r="A192" s="56"/>
      <c r="B192" s="56"/>
      <c r="C192" s="57"/>
      <c r="D192" s="58"/>
      <c r="E192" s="58"/>
      <c r="F192" s="56"/>
      <c r="G192" s="56"/>
      <c r="H192" s="59"/>
      <c r="I192" s="58"/>
      <c r="J192" s="58"/>
      <c r="K192" s="56"/>
      <c r="L192" s="56"/>
      <c r="M192" s="56"/>
      <c r="N192" s="56"/>
      <c r="O192" s="56"/>
      <c r="P192" s="56"/>
      <c r="Q192" s="56"/>
      <c r="R192" s="56"/>
      <c r="S192" s="56"/>
      <c r="T192" s="58"/>
      <c r="U192" s="56"/>
      <c r="V192" s="56"/>
      <c r="W192" s="56"/>
    </row>
    <row r="193" ht="15.75" customHeight="1">
      <c r="A193" s="56"/>
      <c r="B193" s="56"/>
      <c r="C193" s="57"/>
      <c r="D193" s="58"/>
      <c r="E193" s="58"/>
      <c r="F193" s="56"/>
      <c r="G193" s="56"/>
      <c r="H193" s="59"/>
      <c r="I193" s="58"/>
      <c r="J193" s="58"/>
      <c r="K193" s="56"/>
      <c r="L193" s="56"/>
      <c r="M193" s="56"/>
      <c r="N193" s="56"/>
      <c r="O193" s="56"/>
      <c r="P193" s="56"/>
      <c r="Q193" s="56"/>
      <c r="R193" s="56"/>
      <c r="S193" s="56"/>
      <c r="T193" s="58"/>
      <c r="U193" s="56"/>
      <c r="V193" s="56"/>
      <c r="W193" s="56"/>
    </row>
    <row r="194" ht="15.75" customHeight="1">
      <c r="A194" s="56"/>
      <c r="B194" s="56"/>
      <c r="C194" s="57"/>
      <c r="D194" s="58"/>
      <c r="E194" s="58"/>
      <c r="F194" s="56"/>
      <c r="G194" s="56"/>
      <c r="H194" s="59"/>
      <c r="I194" s="58"/>
      <c r="J194" s="58"/>
      <c r="K194" s="56"/>
      <c r="L194" s="56"/>
      <c r="M194" s="56"/>
      <c r="N194" s="56"/>
      <c r="O194" s="56"/>
      <c r="P194" s="56"/>
      <c r="Q194" s="56"/>
      <c r="R194" s="56"/>
      <c r="S194" s="56"/>
      <c r="T194" s="58"/>
      <c r="U194" s="56"/>
      <c r="V194" s="56"/>
      <c r="W194" s="56"/>
    </row>
    <row r="195" ht="15.75" customHeight="1">
      <c r="A195" s="56"/>
      <c r="B195" s="56"/>
      <c r="C195" s="57"/>
      <c r="D195" s="58"/>
      <c r="E195" s="58"/>
      <c r="F195" s="56"/>
      <c r="G195" s="56"/>
      <c r="H195" s="59"/>
      <c r="I195" s="58"/>
      <c r="J195" s="58"/>
      <c r="K195" s="56"/>
      <c r="L195" s="56"/>
      <c r="M195" s="56"/>
      <c r="N195" s="56"/>
      <c r="O195" s="56"/>
      <c r="P195" s="56"/>
      <c r="Q195" s="56"/>
      <c r="R195" s="56"/>
      <c r="S195" s="56"/>
      <c r="T195" s="58"/>
      <c r="U195" s="56"/>
      <c r="V195" s="56"/>
      <c r="W195" s="56"/>
    </row>
    <row r="196" ht="15.75" customHeight="1">
      <c r="A196" s="56"/>
      <c r="B196" s="56"/>
      <c r="C196" s="57"/>
      <c r="D196" s="58"/>
      <c r="E196" s="58"/>
      <c r="F196" s="56"/>
      <c r="G196" s="56"/>
      <c r="H196" s="59"/>
      <c r="I196" s="58"/>
      <c r="J196" s="58"/>
      <c r="K196" s="56"/>
      <c r="L196" s="56"/>
      <c r="M196" s="56"/>
      <c r="N196" s="56"/>
      <c r="O196" s="56"/>
      <c r="P196" s="56"/>
      <c r="Q196" s="56"/>
      <c r="R196" s="56"/>
      <c r="S196" s="56"/>
      <c r="T196" s="58"/>
      <c r="U196" s="56"/>
      <c r="V196" s="56"/>
      <c r="W196" s="56"/>
    </row>
    <row r="197" ht="15.75" customHeight="1">
      <c r="A197" s="56"/>
      <c r="B197" s="56"/>
      <c r="C197" s="57"/>
      <c r="D197" s="58"/>
      <c r="E197" s="58"/>
      <c r="F197" s="56"/>
      <c r="G197" s="56"/>
      <c r="H197" s="59"/>
      <c r="I197" s="58"/>
      <c r="J197" s="58"/>
      <c r="K197" s="56"/>
      <c r="L197" s="56"/>
      <c r="M197" s="56"/>
      <c r="N197" s="56"/>
      <c r="O197" s="56"/>
      <c r="P197" s="56"/>
      <c r="Q197" s="56"/>
      <c r="R197" s="56"/>
      <c r="S197" s="56"/>
      <c r="T197" s="58"/>
      <c r="U197" s="56"/>
      <c r="V197" s="56"/>
      <c r="W197" s="56"/>
    </row>
    <row r="198" ht="15.75" customHeight="1">
      <c r="A198" s="56"/>
      <c r="B198" s="56"/>
      <c r="C198" s="57"/>
      <c r="D198" s="58"/>
      <c r="E198" s="58"/>
      <c r="F198" s="56"/>
      <c r="G198" s="56"/>
      <c r="H198" s="59"/>
      <c r="I198" s="58"/>
      <c r="J198" s="58"/>
      <c r="K198" s="56"/>
      <c r="L198" s="56"/>
      <c r="M198" s="56"/>
      <c r="N198" s="56"/>
      <c r="O198" s="56"/>
      <c r="P198" s="56"/>
      <c r="Q198" s="56"/>
      <c r="R198" s="56"/>
      <c r="S198" s="56"/>
      <c r="T198" s="58"/>
      <c r="U198" s="56"/>
      <c r="V198" s="56"/>
      <c r="W198" s="56"/>
    </row>
    <row r="199" ht="15.75" customHeight="1">
      <c r="A199" s="56"/>
      <c r="B199" s="56"/>
      <c r="C199" s="57"/>
      <c r="D199" s="58"/>
      <c r="E199" s="58"/>
      <c r="F199" s="56"/>
      <c r="G199" s="56"/>
      <c r="H199" s="59"/>
      <c r="I199" s="58"/>
      <c r="J199" s="58"/>
      <c r="K199" s="56"/>
      <c r="L199" s="56"/>
      <c r="M199" s="56"/>
      <c r="N199" s="56"/>
      <c r="O199" s="56"/>
      <c r="P199" s="56"/>
      <c r="Q199" s="56"/>
      <c r="R199" s="56"/>
      <c r="S199" s="56"/>
      <c r="T199" s="58"/>
      <c r="U199" s="56"/>
      <c r="V199" s="56"/>
      <c r="W199" s="56"/>
    </row>
    <row r="200" ht="15.75" customHeight="1">
      <c r="A200" s="56"/>
      <c r="B200" s="56"/>
      <c r="C200" s="57"/>
      <c r="D200" s="58"/>
      <c r="E200" s="58"/>
      <c r="F200" s="56"/>
      <c r="G200" s="56"/>
      <c r="H200" s="59"/>
      <c r="I200" s="58"/>
      <c r="J200" s="58"/>
      <c r="K200" s="56"/>
      <c r="L200" s="56"/>
      <c r="M200" s="56"/>
      <c r="N200" s="56"/>
      <c r="O200" s="56"/>
      <c r="P200" s="56"/>
      <c r="Q200" s="56"/>
      <c r="R200" s="56"/>
      <c r="S200" s="56"/>
      <c r="T200" s="58"/>
      <c r="U200" s="56"/>
      <c r="V200" s="56"/>
      <c r="W200" s="56"/>
    </row>
    <row r="201" ht="15.75" customHeight="1">
      <c r="A201" s="56"/>
      <c r="B201" s="56"/>
      <c r="C201" s="57"/>
      <c r="D201" s="58"/>
      <c r="E201" s="58"/>
      <c r="F201" s="56"/>
      <c r="G201" s="56"/>
      <c r="H201" s="59"/>
      <c r="I201" s="58"/>
      <c r="J201" s="58"/>
      <c r="K201" s="56"/>
      <c r="L201" s="56"/>
      <c r="M201" s="56"/>
      <c r="N201" s="56"/>
      <c r="O201" s="56"/>
      <c r="P201" s="56"/>
      <c r="Q201" s="56"/>
      <c r="R201" s="56"/>
      <c r="S201" s="56"/>
      <c r="T201" s="58"/>
      <c r="U201" s="56"/>
      <c r="V201" s="56"/>
      <c r="W201" s="56"/>
    </row>
    <row r="202" ht="15.75" customHeight="1">
      <c r="A202" s="56"/>
      <c r="B202" s="56"/>
      <c r="C202" s="57"/>
      <c r="D202" s="58"/>
      <c r="E202" s="58"/>
      <c r="F202" s="56"/>
      <c r="G202" s="56"/>
      <c r="H202" s="59"/>
      <c r="I202" s="58"/>
      <c r="J202" s="58"/>
      <c r="K202" s="56"/>
      <c r="L202" s="56"/>
      <c r="M202" s="56"/>
      <c r="N202" s="56"/>
      <c r="O202" s="56"/>
      <c r="P202" s="56"/>
      <c r="Q202" s="56"/>
      <c r="R202" s="56"/>
      <c r="S202" s="56"/>
      <c r="T202" s="58"/>
      <c r="U202" s="56"/>
      <c r="V202" s="56"/>
      <c r="W202" s="56"/>
    </row>
    <row r="203" ht="15.75" customHeight="1">
      <c r="A203" s="56"/>
      <c r="B203" s="56"/>
      <c r="C203" s="57"/>
      <c r="D203" s="58"/>
      <c r="E203" s="58"/>
      <c r="F203" s="56"/>
      <c r="G203" s="56"/>
      <c r="H203" s="59"/>
      <c r="I203" s="58"/>
      <c r="J203" s="58"/>
      <c r="K203" s="56"/>
      <c r="L203" s="56"/>
      <c r="M203" s="56"/>
      <c r="N203" s="56"/>
      <c r="O203" s="56"/>
      <c r="P203" s="56"/>
      <c r="Q203" s="56"/>
      <c r="R203" s="56"/>
      <c r="S203" s="56"/>
      <c r="T203" s="58"/>
      <c r="U203" s="56"/>
      <c r="V203" s="56"/>
      <c r="W203" s="56"/>
    </row>
    <row r="204" ht="15.75" customHeight="1">
      <c r="A204" s="56"/>
      <c r="B204" s="56"/>
      <c r="C204" s="57"/>
      <c r="D204" s="58"/>
      <c r="E204" s="58"/>
      <c r="F204" s="56"/>
      <c r="G204" s="56"/>
      <c r="H204" s="59"/>
      <c r="I204" s="58"/>
      <c r="J204" s="58"/>
      <c r="K204" s="56"/>
      <c r="L204" s="56"/>
      <c r="M204" s="56"/>
      <c r="N204" s="56"/>
      <c r="O204" s="56"/>
      <c r="P204" s="56"/>
      <c r="Q204" s="56"/>
      <c r="R204" s="56"/>
      <c r="S204" s="56"/>
      <c r="T204" s="58"/>
      <c r="U204" s="56"/>
      <c r="V204" s="56"/>
      <c r="W204" s="56"/>
    </row>
    <row r="205" ht="15.75" customHeight="1">
      <c r="A205" s="56"/>
      <c r="B205" s="56"/>
      <c r="C205" s="57"/>
      <c r="D205" s="58"/>
      <c r="E205" s="58"/>
      <c r="F205" s="56"/>
      <c r="G205" s="56"/>
      <c r="H205" s="59"/>
      <c r="I205" s="58"/>
      <c r="J205" s="58"/>
      <c r="K205" s="56"/>
      <c r="L205" s="56"/>
      <c r="M205" s="56"/>
      <c r="N205" s="56"/>
      <c r="O205" s="56"/>
      <c r="P205" s="56"/>
      <c r="Q205" s="56"/>
      <c r="R205" s="56"/>
      <c r="S205" s="56"/>
      <c r="T205" s="58"/>
      <c r="U205" s="56"/>
      <c r="V205" s="56"/>
      <c r="W205" s="56"/>
    </row>
    <row r="206" ht="15.75" customHeight="1">
      <c r="A206" s="56"/>
      <c r="B206" s="56"/>
      <c r="C206" s="57"/>
      <c r="D206" s="58"/>
      <c r="E206" s="58"/>
      <c r="F206" s="56"/>
      <c r="G206" s="56"/>
      <c r="H206" s="59"/>
      <c r="I206" s="58"/>
      <c r="J206" s="58"/>
      <c r="K206" s="56"/>
      <c r="L206" s="56"/>
      <c r="M206" s="56"/>
      <c r="N206" s="56"/>
      <c r="O206" s="56"/>
      <c r="P206" s="56"/>
      <c r="Q206" s="56"/>
      <c r="R206" s="56"/>
      <c r="S206" s="56"/>
      <c r="T206" s="58"/>
      <c r="U206" s="56"/>
      <c r="V206" s="56"/>
      <c r="W206" s="56"/>
    </row>
    <row r="207" ht="15.75" customHeight="1">
      <c r="A207" s="56"/>
      <c r="B207" s="56"/>
      <c r="C207" s="57"/>
      <c r="D207" s="58"/>
      <c r="E207" s="58"/>
      <c r="F207" s="56"/>
      <c r="G207" s="56"/>
      <c r="H207" s="59"/>
      <c r="I207" s="58"/>
      <c r="J207" s="58"/>
      <c r="K207" s="56"/>
      <c r="L207" s="56"/>
      <c r="M207" s="56"/>
      <c r="N207" s="56"/>
      <c r="O207" s="56"/>
      <c r="P207" s="56"/>
      <c r="Q207" s="56"/>
      <c r="R207" s="56"/>
      <c r="S207" s="56"/>
      <c r="T207" s="58"/>
      <c r="U207" s="56"/>
      <c r="V207" s="56"/>
      <c r="W207" s="56"/>
    </row>
    <row r="208" ht="15.75" customHeight="1">
      <c r="A208" s="56"/>
      <c r="B208" s="56"/>
      <c r="C208" s="57"/>
      <c r="D208" s="58"/>
      <c r="E208" s="58"/>
      <c r="F208" s="56"/>
      <c r="G208" s="56"/>
      <c r="H208" s="59"/>
      <c r="I208" s="58"/>
      <c r="J208" s="58"/>
      <c r="K208" s="56"/>
      <c r="L208" s="56"/>
      <c r="M208" s="56"/>
      <c r="N208" s="56"/>
      <c r="O208" s="56"/>
      <c r="P208" s="56"/>
      <c r="Q208" s="56"/>
      <c r="R208" s="56"/>
      <c r="S208" s="56"/>
      <c r="T208" s="58"/>
      <c r="U208" s="56"/>
      <c r="V208" s="56"/>
      <c r="W208" s="56"/>
    </row>
    <row r="209" ht="15.75" customHeight="1">
      <c r="A209" s="56"/>
      <c r="B209" s="56"/>
      <c r="C209" s="57"/>
      <c r="D209" s="58"/>
      <c r="E209" s="58"/>
      <c r="F209" s="56"/>
      <c r="G209" s="56"/>
      <c r="H209" s="59"/>
      <c r="I209" s="58"/>
      <c r="J209" s="58"/>
      <c r="K209" s="56"/>
      <c r="L209" s="56"/>
      <c r="M209" s="56"/>
      <c r="N209" s="56"/>
      <c r="O209" s="56"/>
      <c r="P209" s="56"/>
      <c r="Q209" s="56"/>
      <c r="R209" s="56"/>
      <c r="S209" s="56"/>
      <c r="T209" s="58"/>
      <c r="U209" s="56"/>
      <c r="V209" s="56"/>
      <c r="W209" s="56"/>
    </row>
    <row r="210" ht="15.75" customHeight="1">
      <c r="A210" s="56"/>
      <c r="B210" s="56"/>
      <c r="C210" s="57"/>
      <c r="D210" s="58"/>
      <c r="E210" s="58"/>
      <c r="F210" s="56"/>
      <c r="G210" s="56"/>
      <c r="H210" s="59"/>
      <c r="I210" s="58"/>
      <c r="J210" s="58"/>
      <c r="K210" s="56"/>
      <c r="L210" s="56"/>
      <c r="M210" s="56"/>
      <c r="N210" s="56"/>
      <c r="O210" s="56"/>
      <c r="P210" s="56"/>
      <c r="Q210" s="56"/>
      <c r="R210" s="56"/>
      <c r="S210" s="56"/>
      <c r="T210" s="58"/>
      <c r="U210" s="56"/>
      <c r="V210" s="56"/>
      <c r="W210" s="56"/>
    </row>
    <row r="211" ht="15.75" customHeight="1">
      <c r="A211" s="56"/>
      <c r="B211" s="56"/>
      <c r="C211" s="57"/>
      <c r="D211" s="58"/>
      <c r="E211" s="58"/>
      <c r="F211" s="56"/>
      <c r="G211" s="56"/>
      <c r="H211" s="59"/>
      <c r="I211" s="58"/>
      <c r="J211" s="58"/>
      <c r="K211" s="56"/>
      <c r="L211" s="56"/>
      <c r="M211" s="56"/>
      <c r="N211" s="56"/>
      <c r="O211" s="56"/>
      <c r="P211" s="56"/>
      <c r="Q211" s="56"/>
      <c r="R211" s="56"/>
      <c r="S211" s="56"/>
      <c r="T211" s="58"/>
      <c r="U211" s="56"/>
      <c r="V211" s="56"/>
      <c r="W211" s="56"/>
    </row>
    <row r="212" ht="15.75" customHeight="1">
      <c r="A212" s="56"/>
      <c r="B212" s="56"/>
      <c r="C212" s="57"/>
      <c r="D212" s="58"/>
      <c r="E212" s="58"/>
      <c r="F212" s="56"/>
      <c r="G212" s="56"/>
      <c r="H212" s="59"/>
      <c r="I212" s="58"/>
      <c r="J212" s="58"/>
      <c r="K212" s="56"/>
      <c r="L212" s="56"/>
      <c r="M212" s="56"/>
      <c r="N212" s="56"/>
      <c r="O212" s="56"/>
      <c r="P212" s="56"/>
      <c r="Q212" s="56"/>
      <c r="R212" s="56"/>
      <c r="S212" s="56"/>
      <c r="T212" s="58"/>
      <c r="U212" s="56"/>
      <c r="V212" s="56"/>
      <c r="W212" s="56"/>
    </row>
    <row r="213" ht="15.75" customHeight="1">
      <c r="A213" s="56"/>
      <c r="B213" s="56"/>
      <c r="C213" s="57"/>
      <c r="D213" s="58"/>
      <c r="E213" s="58"/>
      <c r="F213" s="56"/>
      <c r="G213" s="56"/>
      <c r="H213" s="59"/>
      <c r="I213" s="58"/>
      <c r="J213" s="58"/>
      <c r="K213" s="56"/>
      <c r="L213" s="56"/>
      <c r="M213" s="56"/>
      <c r="N213" s="56"/>
      <c r="O213" s="56"/>
      <c r="P213" s="56"/>
      <c r="Q213" s="56"/>
      <c r="R213" s="56"/>
      <c r="S213" s="56"/>
      <c r="T213" s="58"/>
      <c r="U213" s="56"/>
      <c r="V213" s="56"/>
      <c r="W213" s="56"/>
    </row>
    <row r="214" ht="15.75" customHeight="1">
      <c r="A214" s="56"/>
      <c r="B214" s="56"/>
      <c r="C214" s="57"/>
      <c r="D214" s="58"/>
      <c r="E214" s="58"/>
      <c r="F214" s="56"/>
      <c r="G214" s="56"/>
      <c r="H214" s="59"/>
      <c r="I214" s="58"/>
      <c r="J214" s="58"/>
      <c r="K214" s="56"/>
      <c r="L214" s="56"/>
      <c r="M214" s="56"/>
      <c r="N214" s="56"/>
      <c r="O214" s="56"/>
      <c r="P214" s="56"/>
      <c r="Q214" s="56"/>
      <c r="R214" s="56"/>
      <c r="S214" s="56"/>
      <c r="T214" s="58"/>
      <c r="U214" s="56"/>
      <c r="V214" s="56"/>
      <c r="W214" s="56"/>
    </row>
    <row r="215" ht="15.75" customHeight="1">
      <c r="A215" s="56"/>
      <c r="B215" s="56"/>
      <c r="C215" s="57"/>
      <c r="D215" s="58"/>
      <c r="E215" s="58"/>
      <c r="F215" s="56"/>
      <c r="G215" s="56"/>
      <c r="H215" s="59"/>
      <c r="I215" s="58"/>
      <c r="J215" s="58"/>
      <c r="K215" s="56"/>
      <c r="L215" s="56"/>
      <c r="M215" s="56"/>
      <c r="N215" s="56"/>
      <c r="O215" s="56"/>
      <c r="P215" s="56"/>
      <c r="Q215" s="56"/>
      <c r="R215" s="56"/>
      <c r="S215" s="56"/>
      <c r="T215" s="58"/>
      <c r="U215" s="56"/>
      <c r="V215" s="56"/>
      <c r="W215" s="56"/>
    </row>
    <row r="216" ht="15.75" customHeight="1">
      <c r="A216" s="56"/>
      <c r="B216" s="56"/>
      <c r="C216" s="57"/>
      <c r="D216" s="58"/>
      <c r="E216" s="58"/>
      <c r="F216" s="56"/>
      <c r="G216" s="56"/>
      <c r="H216" s="59"/>
      <c r="I216" s="58"/>
      <c r="J216" s="58"/>
      <c r="K216" s="56"/>
      <c r="L216" s="56"/>
      <c r="M216" s="56"/>
      <c r="N216" s="56"/>
      <c r="O216" s="56"/>
      <c r="P216" s="56"/>
      <c r="Q216" s="56"/>
      <c r="R216" s="56"/>
      <c r="S216" s="56"/>
      <c r="T216" s="58"/>
      <c r="U216" s="56"/>
      <c r="V216" s="56"/>
      <c r="W216" s="56"/>
    </row>
    <row r="217" ht="15.75" customHeight="1">
      <c r="A217" s="56"/>
      <c r="B217" s="56"/>
      <c r="C217" s="57"/>
      <c r="D217" s="58"/>
      <c r="E217" s="58"/>
      <c r="F217" s="56"/>
      <c r="G217" s="56"/>
      <c r="H217" s="59"/>
      <c r="I217" s="58"/>
      <c r="J217" s="58"/>
      <c r="K217" s="56"/>
      <c r="L217" s="56"/>
      <c r="M217" s="56"/>
      <c r="N217" s="56"/>
      <c r="O217" s="56"/>
      <c r="P217" s="56"/>
      <c r="Q217" s="56"/>
      <c r="R217" s="56"/>
      <c r="S217" s="56"/>
      <c r="T217" s="58"/>
      <c r="U217" s="56"/>
      <c r="V217" s="56"/>
      <c r="W217" s="56"/>
    </row>
    <row r="218" ht="15.75" customHeight="1">
      <c r="A218" s="56"/>
      <c r="B218" s="56"/>
      <c r="C218" s="57"/>
      <c r="D218" s="58"/>
      <c r="E218" s="58"/>
      <c r="F218" s="56"/>
      <c r="G218" s="56"/>
      <c r="H218" s="59"/>
      <c r="I218" s="58"/>
      <c r="J218" s="58"/>
      <c r="K218" s="56"/>
      <c r="L218" s="56"/>
      <c r="M218" s="56"/>
      <c r="N218" s="56"/>
      <c r="O218" s="56"/>
      <c r="P218" s="56"/>
      <c r="Q218" s="56"/>
      <c r="R218" s="56"/>
      <c r="S218" s="56"/>
      <c r="T218" s="58"/>
      <c r="U218" s="56"/>
      <c r="V218" s="56"/>
      <c r="W218" s="56"/>
    </row>
    <row r="219" ht="15.75" customHeight="1">
      <c r="A219" s="56"/>
      <c r="B219" s="56"/>
      <c r="C219" s="57"/>
      <c r="D219" s="58"/>
      <c r="E219" s="58"/>
      <c r="F219" s="56"/>
      <c r="G219" s="56"/>
      <c r="H219" s="59"/>
      <c r="I219" s="58"/>
      <c r="J219" s="58"/>
      <c r="K219" s="56"/>
      <c r="L219" s="56"/>
      <c r="M219" s="56"/>
      <c r="N219" s="56"/>
      <c r="O219" s="56"/>
      <c r="P219" s="56"/>
      <c r="Q219" s="56"/>
      <c r="R219" s="56"/>
      <c r="S219" s="56"/>
      <c r="T219" s="58"/>
      <c r="U219" s="56"/>
      <c r="V219" s="56"/>
      <c r="W219" s="56"/>
    </row>
    <row r="220" ht="15.75" customHeight="1">
      <c r="A220" s="56"/>
      <c r="B220" s="56"/>
      <c r="C220" s="57"/>
      <c r="D220" s="58"/>
      <c r="E220" s="58"/>
      <c r="F220" s="56"/>
      <c r="G220" s="56"/>
      <c r="H220" s="59"/>
      <c r="I220" s="58"/>
      <c r="J220" s="58"/>
      <c r="K220" s="56"/>
      <c r="L220" s="56"/>
      <c r="M220" s="56"/>
      <c r="N220" s="56"/>
      <c r="O220" s="56"/>
      <c r="P220" s="56"/>
      <c r="Q220" s="56"/>
      <c r="R220" s="56"/>
      <c r="S220" s="56"/>
      <c r="T220" s="58"/>
      <c r="U220" s="56"/>
      <c r="V220" s="56"/>
      <c r="W220" s="56"/>
    </row>
    <row r="221" ht="15.75" customHeight="1">
      <c r="A221" s="56"/>
      <c r="B221" s="56"/>
      <c r="C221" s="57"/>
      <c r="D221" s="58"/>
      <c r="E221" s="58"/>
      <c r="F221" s="56"/>
      <c r="G221" s="56"/>
      <c r="H221" s="59"/>
      <c r="I221" s="58"/>
      <c r="J221" s="58"/>
      <c r="K221" s="56"/>
      <c r="L221" s="56"/>
      <c r="M221" s="56"/>
      <c r="N221" s="56"/>
      <c r="O221" s="56"/>
      <c r="P221" s="56"/>
      <c r="Q221" s="56"/>
      <c r="R221" s="56"/>
      <c r="S221" s="56"/>
      <c r="T221" s="58"/>
      <c r="U221" s="56"/>
      <c r="V221" s="56"/>
      <c r="W221" s="56"/>
    </row>
    <row r="222" ht="15.75" customHeight="1">
      <c r="A222" s="56"/>
      <c r="B222" s="56"/>
      <c r="C222" s="57"/>
      <c r="D222" s="58"/>
      <c r="E222" s="58"/>
      <c r="F222" s="56"/>
      <c r="G222" s="56"/>
      <c r="H222" s="59"/>
      <c r="I222" s="58"/>
      <c r="J222" s="58"/>
      <c r="K222" s="56"/>
      <c r="L222" s="56"/>
      <c r="M222" s="56"/>
      <c r="N222" s="56"/>
      <c r="O222" s="56"/>
      <c r="P222" s="56"/>
      <c r="Q222" s="56"/>
      <c r="R222" s="56"/>
      <c r="S222" s="56"/>
      <c r="T222" s="58"/>
      <c r="U222" s="56"/>
      <c r="V222" s="56"/>
      <c r="W222" s="56"/>
    </row>
    <row r="223" ht="15.75" customHeight="1">
      <c r="A223" s="56"/>
      <c r="B223" s="56"/>
      <c r="C223" s="57"/>
      <c r="D223" s="58"/>
      <c r="E223" s="58"/>
      <c r="F223" s="56"/>
      <c r="G223" s="56"/>
      <c r="H223" s="59"/>
      <c r="I223" s="58"/>
      <c r="J223" s="58"/>
      <c r="K223" s="56"/>
      <c r="L223" s="56"/>
      <c r="M223" s="56"/>
      <c r="N223" s="56"/>
      <c r="O223" s="56"/>
      <c r="P223" s="56"/>
      <c r="Q223" s="56"/>
      <c r="R223" s="56"/>
      <c r="S223" s="56"/>
      <c r="T223" s="58"/>
      <c r="U223" s="56"/>
      <c r="V223" s="56"/>
      <c r="W223" s="56"/>
    </row>
    <row r="224" ht="15.75" customHeight="1">
      <c r="A224" s="56"/>
      <c r="B224" s="56"/>
      <c r="C224" s="57"/>
      <c r="D224" s="58"/>
      <c r="E224" s="58"/>
      <c r="F224" s="56"/>
      <c r="G224" s="56"/>
      <c r="H224" s="59"/>
      <c r="I224" s="58"/>
      <c r="J224" s="58"/>
      <c r="K224" s="56"/>
      <c r="L224" s="56"/>
      <c r="M224" s="56"/>
      <c r="N224" s="56"/>
      <c r="O224" s="56"/>
      <c r="P224" s="56"/>
      <c r="Q224" s="56"/>
      <c r="R224" s="56"/>
      <c r="S224" s="56"/>
      <c r="T224" s="58"/>
      <c r="U224" s="56"/>
      <c r="V224" s="56"/>
      <c r="W224" s="56"/>
    </row>
    <row r="225" ht="15.75" customHeight="1">
      <c r="A225" s="56"/>
      <c r="B225" s="56"/>
      <c r="C225" s="57"/>
      <c r="D225" s="58"/>
      <c r="E225" s="58"/>
      <c r="F225" s="56"/>
      <c r="G225" s="56"/>
      <c r="H225" s="59"/>
      <c r="I225" s="58"/>
      <c r="J225" s="58"/>
      <c r="K225" s="56"/>
      <c r="L225" s="56"/>
      <c r="M225" s="56"/>
      <c r="N225" s="56"/>
      <c r="O225" s="56"/>
      <c r="P225" s="56"/>
      <c r="Q225" s="56"/>
      <c r="R225" s="56"/>
      <c r="S225" s="56"/>
      <c r="T225" s="58"/>
      <c r="U225" s="56"/>
      <c r="V225" s="56"/>
      <c r="W225" s="56"/>
    </row>
    <row r="226" ht="15.75" customHeight="1">
      <c r="A226" s="56"/>
      <c r="B226" s="56"/>
      <c r="C226" s="57"/>
      <c r="D226" s="58"/>
      <c r="E226" s="58"/>
      <c r="F226" s="56"/>
      <c r="G226" s="56"/>
      <c r="H226" s="59"/>
      <c r="I226" s="58"/>
      <c r="J226" s="58"/>
      <c r="K226" s="56"/>
      <c r="L226" s="56"/>
      <c r="M226" s="56"/>
      <c r="N226" s="56"/>
      <c r="O226" s="56"/>
      <c r="P226" s="56"/>
      <c r="Q226" s="56"/>
      <c r="R226" s="56"/>
      <c r="S226" s="56"/>
      <c r="T226" s="58"/>
      <c r="U226" s="56"/>
      <c r="V226" s="56"/>
      <c r="W226" s="56"/>
    </row>
    <row r="227" ht="15.75" customHeight="1">
      <c r="A227" s="56"/>
      <c r="B227" s="56"/>
      <c r="C227" s="57"/>
      <c r="D227" s="58"/>
      <c r="E227" s="58"/>
      <c r="F227" s="56"/>
      <c r="G227" s="56"/>
      <c r="H227" s="59"/>
      <c r="I227" s="58"/>
      <c r="J227" s="58"/>
      <c r="K227" s="56"/>
      <c r="L227" s="56"/>
      <c r="M227" s="56"/>
      <c r="N227" s="56"/>
      <c r="O227" s="56"/>
      <c r="P227" s="56"/>
      <c r="Q227" s="56"/>
      <c r="R227" s="56"/>
      <c r="S227" s="56"/>
      <c r="T227" s="58"/>
      <c r="U227" s="56"/>
      <c r="V227" s="56"/>
      <c r="W227" s="56"/>
    </row>
    <row r="228" ht="15.75" customHeight="1">
      <c r="A228" s="56"/>
      <c r="B228" s="56"/>
      <c r="C228" s="57"/>
      <c r="D228" s="58"/>
      <c r="E228" s="58"/>
      <c r="F228" s="56"/>
      <c r="G228" s="56"/>
      <c r="H228" s="59"/>
      <c r="I228" s="58"/>
      <c r="J228" s="58"/>
      <c r="K228" s="56"/>
      <c r="L228" s="56"/>
      <c r="M228" s="56"/>
      <c r="N228" s="56"/>
      <c r="O228" s="56"/>
      <c r="P228" s="56"/>
      <c r="Q228" s="56"/>
      <c r="R228" s="56"/>
      <c r="S228" s="56"/>
      <c r="T228" s="58"/>
      <c r="U228" s="56"/>
      <c r="V228" s="56"/>
      <c r="W228" s="56"/>
    </row>
    <row r="229" ht="15.75" customHeight="1">
      <c r="A229" s="56"/>
      <c r="B229" s="56"/>
      <c r="C229" s="57"/>
      <c r="D229" s="58"/>
      <c r="E229" s="58"/>
      <c r="F229" s="56"/>
      <c r="G229" s="56"/>
      <c r="H229" s="59"/>
      <c r="I229" s="58"/>
      <c r="J229" s="58"/>
      <c r="K229" s="56"/>
      <c r="L229" s="56"/>
      <c r="M229" s="56"/>
      <c r="N229" s="56"/>
      <c r="O229" s="56"/>
      <c r="P229" s="56"/>
      <c r="Q229" s="56"/>
      <c r="R229" s="56"/>
      <c r="S229" s="56"/>
      <c r="T229" s="58"/>
      <c r="U229" s="56"/>
      <c r="V229" s="56"/>
      <c r="W229" s="56"/>
    </row>
    <row r="230" ht="15.75" customHeight="1">
      <c r="A230" s="56"/>
      <c r="B230" s="56"/>
      <c r="C230" s="57"/>
      <c r="D230" s="58"/>
      <c r="E230" s="58"/>
      <c r="F230" s="56"/>
      <c r="G230" s="56"/>
      <c r="H230" s="59"/>
      <c r="I230" s="58"/>
      <c r="J230" s="58"/>
      <c r="K230" s="56"/>
      <c r="L230" s="56"/>
      <c r="M230" s="56"/>
      <c r="N230" s="56"/>
      <c r="O230" s="56"/>
      <c r="P230" s="56"/>
      <c r="Q230" s="56"/>
      <c r="R230" s="56"/>
      <c r="S230" s="56"/>
      <c r="T230" s="58"/>
      <c r="U230" s="56"/>
      <c r="V230" s="56"/>
      <c r="W230" s="56"/>
    </row>
    <row r="231" ht="15.75" customHeight="1">
      <c r="A231" s="56"/>
      <c r="B231" s="56"/>
      <c r="C231" s="57"/>
      <c r="D231" s="58"/>
      <c r="E231" s="58"/>
      <c r="F231" s="56"/>
      <c r="G231" s="56"/>
      <c r="H231" s="59"/>
      <c r="I231" s="58"/>
      <c r="J231" s="58"/>
      <c r="K231" s="56"/>
      <c r="L231" s="56"/>
      <c r="M231" s="56"/>
      <c r="N231" s="56"/>
      <c r="O231" s="56"/>
      <c r="P231" s="56"/>
      <c r="Q231" s="56"/>
      <c r="R231" s="56"/>
      <c r="S231" s="56"/>
      <c r="T231" s="58"/>
      <c r="U231" s="56"/>
      <c r="V231" s="56"/>
      <c r="W231" s="56"/>
    </row>
    <row r="232" ht="15.75" customHeight="1">
      <c r="A232" s="56"/>
      <c r="B232" s="56"/>
      <c r="C232" s="57"/>
      <c r="D232" s="58"/>
      <c r="E232" s="58"/>
      <c r="F232" s="56"/>
      <c r="G232" s="56"/>
      <c r="H232" s="59"/>
      <c r="I232" s="58"/>
      <c r="J232" s="58"/>
      <c r="K232" s="56"/>
      <c r="L232" s="56"/>
      <c r="M232" s="56"/>
      <c r="N232" s="56"/>
      <c r="O232" s="56"/>
      <c r="P232" s="56"/>
      <c r="Q232" s="56"/>
      <c r="R232" s="56"/>
      <c r="S232" s="56"/>
      <c r="T232" s="58"/>
      <c r="U232" s="56"/>
      <c r="V232" s="56"/>
      <c r="W232" s="56"/>
    </row>
    <row r="233" ht="15.75" customHeight="1">
      <c r="A233" s="56"/>
      <c r="B233" s="56"/>
      <c r="C233" s="57"/>
      <c r="D233" s="58"/>
      <c r="E233" s="58"/>
      <c r="F233" s="56"/>
      <c r="G233" s="56"/>
      <c r="H233" s="59"/>
      <c r="I233" s="58"/>
      <c r="J233" s="58"/>
      <c r="K233" s="56"/>
      <c r="L233" s="56"/>
      <c r="M233" s="56"/>
      <c r="N233" s="56"/>
      <c r="O233" s="56"/>
      <c r="P233" s="56"/>
      <c r="Q233" s="56"/>
      <c r="R233" s="56"/>
      <c r="S233" s="56"/>
      <c r="T233" s="58"/>
      <c r="U233" s="56"/>
      <c r="V233" s="56"/>
      <c r="W233" s="56"/>
    </row>
    <row r="234" ht="15.75" customHeight="1">
      <c r="A234" s="56"/>
      <c r="B234" s="56"/>
      <c r="C234" s="57"/>
      <c r="D234" s="58"/>
      <c r="E234" s="58"/>
      <c r="F234" s="56"/>
      <c r="G234" s="56"/>
      <c r="H234" s="59"/>
      <c r="I234" s="58"/>
      <c r="J234" s="58"/>
      <c r="K234" s="56"/>
      <c r="L234" s="56"/>
      <c r="M234" s="56"/>
      <c r="N234" s="56"/>
      <c r="O234" s="56"/>
      <c r="P234" s="56"/>
      <c r="Q234" s="56"/>
      <c r="R234" s="56"/>
      <c r="S234" s="56"/>
      <c r="T234" s="58"/>
      <c r="U234" s="56"/>
      <c r="V234" s="56"/>
      <c r="W234" s="56"/>
    </row>
    <row r="235" ht="15.75" customHeight="1">
      <c r="A235" s="56"/>
      <c r="B235" s="56"/>
      <c r="C235" s="57"/>
      <c r="D235" s="58"/>
      <c r="E235" s="58"/>
      <c r="F235" s="56"/>
      <c r="G235" s="56"/>
      <c r="H235" s="59"/>
      <c r="I235" s="58"/>
      <c r="J235" s="58"/>
      <c r="K235" s="56"/>
      <c r="L235" s="56"/>
      <c r="M235" s="56"/>
      <c r="N235" s="56"/>
      <c r="O235" s="56"/>
      <c r="P235" s="56"/>
      <c r="Q235" s="56"/>
      <c r="R235" s="56"/>
      <c r="S235" s="56"/>
      <c r="T235" s="58"/>
      <c r="U235" s="56"/>
      <c r="V235" s="56"/>
      <c r="W235" s="56"/>
    </row>
    <row r="236" ht="15.75" customHeight="1">
      <c r="A236" s="56"/>
      <c r="B236" s="56"/>
      <c r="C236" s="57"/>
      <c r="D236" s="58"/>
      <c r="E236" s="58"/>
      <c r="F236" s="56"/>
      <c r="G236" s="56"/>
      <c r="H236" s="59"/>
      <c r="I236" s="58"/>
      <c r="J236" s="58"/>
      <c r="K236" s="56"/>
      <c r="L236" s="56"/>
      <c r="M236" s="56"/>
      <c r="N236" s="56"/>
      <c r="O236" s="56"/>
      <c r="P236" s="56"/>
      <c r="Q236" s="56"/>
      <c r="R236" s="56"/>
      <c r="S236" s="56"/>
      <c r="T236" s="58"/>
      <c r="U236" s="56"/>
      <c r="V236" s="56"/>
      <c r="W236" s="56"/>
    </row>
    <row r="237" ht="15.75" customHeight="1">
      <c r="A237" s="56"/>
      <c r="B237" s="56"/>
      <c r="C237" s="57"/>
      <c r="D237" s="58"/>
      <c r="E237" s="58"/>
      <c r="F237" s="56"/>
      <c r="G237" s="56"/>
      <c r="H237" s="59"/>
      <c r="I237" s="58"/>
      <c r="J237" s="58"/>
      <c r="K237" s="56"/>
      <c r="L237" s="56"/>
      <c r="M237" s="56"/>
      <c r="N237" s="56"/>
      <c r="O237" s="56"/>
      <c r="P237" s="56"/>
      <c r="Q237" s="56"/>
      <c r="R237" s="56"/>
      <c r="S237" s="56"/>
      <c r="T237" s="58"/>
      <c r="U237" s="56"/>
      <c r="V237" s="56"/>
      <c r="W237" s="56"/>
    </row>
    <row r="238" ht="15.75" customHeight="1">
      <c r="A238" s="56"/>
      <c r="B238" s="56"/>
      <c r="C238" s="57"/>
      <c r="D238" s="58"/>
      <c r="E238" s="58"/>
      <c r="F238" s="56"/>
      <c r="G238" s="56"/>
      <c r="H238" s="59"/>
      <c r="I238" s="58"/>
      <c r="J238" s="58"/>
      <c r="K238" s="56"/>
      <c r="L238" s="56"/>
      <c r="M238" s="56"/>
      <c r="N238" s="56"/>
      <c r="O238" s="56"/>
      <c r="P238" s="56"/>
      <c r="Q238" s="56"/>
      <c r="R238" s="56"/>
      <c r="S238" s="56"/>
      <c r="T238" s="58"/>
      <c r="U238" s="56"/>
      <c r="V238" s="56"/>
      <c r="W238" s="56"/>
    </row>
    <row r="239" ht="15.75" customHeight="1">
      <c r="A239" s="56"/>
      <c r="B239" s="56"/>
      <c r="C239" s="57"/>
      <c r="D239" s="58"/>
      <c r="E239" s="58"/>
      <c r="F239" s="56"/>
      <c r="G239" s="56"/>
      <c r="H239" s="59"/>
      <c r="I239" s="58"/>
      <c r="J239" s="58"/>
      <c r="K239" s="56"/>
      <c r="L239" s="56"/>
      <c r="M239" s="56"/>
      <c r="N239" s="56"/>
      <c r="O239" s="56"/>
      <c r="P239" s="56"/>
      <c r="Q239" s="56"/>
      <c r="R239" s="56"/>
      <c r="S239" s="56"/>
      <c r="T239" s="58"/>
      <c r="U239" s="56"/>
      <c r="V239" s="56"/>
      <c r="W239" s="56"/>
    </row>
    <row r="240" ht="15.75" customHeight="1">
      <c r="A240" s="56"/>
      <c r="B240" s="56"/>
      <c r="C240" s="57"/>
      <c r="D240" s="58"/>
      <c r="E240" s="58"/>
      <c r="F240" s="56"/>
      <c r="G240" s="56"/>
      <c r="H240" s="59"/>
      <c r="I240" s="58"/>
      <c r="J240" s="58"/>
      <c r="K240" s="56"/>
      <c r="L240" s="56"/>
      <c r="M240" s="56"/>
      <c r="N240" s="56"/>
      <c r="O240" s="56"/>
      <c r="P240" s="56"/>
      <c r="Q240" s="56"/>
      <c r="R240" s="56"/>
      <c r="S240" s="56"/>
      <c r="T240" s="58"/>
      <c r="U240" s="56"/>
      <c r="V240" s="56"/>
      <c r="W240" s="56"/>
    </row>
    <row r="241" ht="15.75" customHeight="1">
      <c r="A241" s="56"/>
      <c r="B241" s="56"/>
      <c r="C241" s="57"/>
      <c r="D241" s="58"/>
      <c r="E241" s="58"/>
      <c r="F241" s="56"/>
      <c r="G241" s="56"/>
      <c r="H241" s="59"/>
      <c r="I241" s="58"/>
      <c r="J241" s="58"/>
      <c r="K241" s="56"/>
      <c r="L241" s="56"/>
      <c r="M241" s="56"/>
      <c r="N241" s="56"/>
      <c r="O241" s="56"/>
      <c r="P241" s="56"/>
      <c r="Q241" s="56"/>
      <c r="R241" s="56"/>
      <c r="S241" s="56"/>
      <c r="T241" s="58"/>
      <c r="U241" s="56"/>
      <c r="V241" s="56"/>
      <c r="W241" s="56"/>
    </row>
    <row r="242" ht="15.75" customHeight="1">
      <c r="A242" s="56"/>
      <c r="B242" s="56"/>
      <c r="C242" s="57"/>
      <c r="D242" s="58"/>
      <c r="E242" s="58"/>
      <c r="F242" s="56"/>
      <c r="G242" s="56"/>
      <c r="H242" s="59"/>
      <c r="I242" s="58"/>
      <c r="J242" s="58"/>
      <c r="K242" s="56"/>
      <c r="L242" s="56"/>
      <c r="M242" s="56"/>
      <c r="N242" s="56"/>
      <c r="O242" s="56"/>
      <c r="P242" s="56"/>
      <c r="Q242" s="56"/>
      <c r="R242" s="56"/>
      <c r="S242" s="56"/>
      <c r="T242" s="58"/>
      <c r="U242" s="56"/>
      <c r="V242" s="56"/>
      <c r="W242" s="56"/>
    </row>
    <row r="243" ht="15.75" customHeight="1">
      <c r="A243" s="56"/>
      <c r="B243" s="56"/>
      <c r="C243" s="57"/>
      <c r="D243" s="58"/>
      <c r="E243" s="58"/>
      <c r="F243" s="56"/>
      <c r="G243" s="56"/>
      <c r="H243" s="59"/>
      <c r="I243" s="58"/>
      <c r="J243" s="58"/>
      <c r="K243" s="56"/>
      <c r="L243" s="56"/>
      <c r="M243" s="56"/>
      <c r="N243" s="56"/>
      <c r="O243" s="56"/>
      <c r="P243" s="56"/>
      <c r="Q243" s="56"/>
      <c r="R243" s="56"/>
      <c r="S243" s="56"/>
      <c r="T243" s="58"/>
      <c r="U243" s="56"/>
      <c r="V243" s="56"/>
      <c r="W243" s="56"/>
    </row>
    <row r="244" ht="15.75" customHeight="1">
      <c r="A244" s="56"/>
      <c r="B244" s="56"/>
      <c r="C244" s="57"/>
      <c r="D244" s="58"/>
      <c r="E244" s="58"/>
      <c r="F244" s="56"/>
      <c r="G244" s="56"/>
      <c r="H244" s="59"/>
      <c r="I244" s="58"/>
      <c r="J244" s="58"/>
      <c r="K244" s="56"/>
      <c r="L244" s="56"/>
      <c r="M244" s="56"/>
      <c r="N244" s="56"/>
      <c r="O244" s="56"/>
      <c r="P244" s="56"/>
      <c r="Q244" s="56"/>
      <c r="R244" s="56"/>
      <c r="S244" s="56"/>
      <c r="T244" s="58"/>
      <c r="U244" s="56"/>
      <c r="V244" s="56"/>
      <c r="W244" s="56"/>
    </row>
    <row r="245" ht="15.75" customHeight="1">
      <c r="A245" s="56"/>
      <c r="B245" s="56"/>
      <c r="C245" s="57"/>
      <c r="D245" s="58"/>
      <c r="E245" s="58"/>
      <c r="F245" s="56"/>
      <c r="G245" s="56"/>
      <c r="H245" s="59"/>
      <c r="I245" s="58"/>
      <c r="J245" s="58"/>
      <c r="K245" s="56"/>
      <c r="L245" s="56"/>
      <c r="M245" s="56"/>
      <c r="N245" s="56"/>
      <c r="O245" s="56"/>
      <c r="P245" s="56"/>
      <c r="Q245" s="56"/>
      <c r="R245" s="56"/>
      <c r="S245" s="56"/>
      <c r="T245" s="58"/>
      <c r="U245" s="56"/>
      <c r="V245" s="56"/>
      <c r="W245" s="56"/>
    </row>
    <row r="246" ht="15.75" customHeight="1">
      <c r="A246" s="56"/>
      <c r="B246" s="56"/>
      <c r="C246" s="57"/>
      <c r="D246" s="58"/>
      <c r="E246" s="58"/>
      <c r="F246" s="56"/>
      <c r="G246" s="56"/>
      <c r="H246" s="59"/>
      <c r="I246" s="58"/>
      <c r="J246" s="58"/>
      <c r="K246" s="56"/>
      <c r="L246" s="56"/>
      <c r="M246" s="56"/>
      <c r="N246" s="56"/>
      <c r="O246" s="56"/>
      <c r="P246" s="56"/>
      <c r="Q246" s="56"/>
      <c r="R246" s="56"/>
      <c r="S246" s="56"/>
      <c r="T246" s="58"/>
      <c r="U246" s="56"/>
      <c r="V246" s="56"/>
      <c r="W246" s="56"/>
    </row>
    <row r="247" ht="15.75" customHeight="1">
      <c r="A247" s="56"/>
      <c r="B247" s="56"/>
      <c r="C247" s="57"/>
      <c r="D247" s="58"/>
      <c r="E247" s="58"/>
      <c r="F247" s="56"/>
      <c r="G247" s="56"/>
      <c r="H247" s="59"/>
      <c r="I247" s="58"/>
      <c r="J247" s="58"/>
      <c r="K247" s="56"/>
      <c r="L247" s="56"/>
      <c r="M247" s="56"/>
      <c r="N247" s="56"/>
      <c r="O247" s="56"/>
      <c r="P247" s="56"/>
      <c r="Q247" s="56"/>
      <c r="R247" s="56"/>
      <c r="S247" s="56"/>
      <c r="T247" s="58"/>
      <c r="U247" s="56"/>
      <c r="V247" s="56"/>
      <c r="W247" s="56"/>
    </row>
    <row r="248" ht="15.75" customHeight="1">
      <c r="A248" s="56"/>
      <c r="B248" s="56"/>
      <c r="C248" s="57"/>
      <c r="D248" s="58"/>
      <c r="E248" s="58"/>
      <c r="F248" s="56"/>
      <c r="G248" s="56"/>
      <c r="H248" s="59"/>
      <c r="I248" s="58"/>
      <c r="J248" s="58"/>
      <c r="K248" s="56"/>
      <c r="L248" s="56"/>
      <c r="M248" s="56"/>
      <c r="N248" s="56"/>
      <c r="O248" s="56"/>
      <c r="P248" s="56"/>
      <c r="Q248" s="56"/>
      <c r="R248" s="56"/>
      <c r="S248" s="56"/>
      <c r="T248" s="58"/>
      <c r="U248" s="56"/>
      <c r="V248" s="56"/>
      <c r="W248" s="56"/>
    </row>
    <row r="249" ht="15.75" customHeight="1">
      <c r="A249" s="56"/>
      <c r="B249" s="56"/>
      <c r="C249" s="57"/>
      <c r="D249" s="58"/>
      <c r="E249" s="58"/>
      <c r="F249" s="56"/>
      <c r="G249" s="56"/>
      <c r="H249" s="59"/>
      <c r="I249" s="58"/>
      <c r="J249" s="58"/>
      <c r="K249" s="56"/>
      <c r="L249" s="56"/>
      <c r="M249" s="56"/>
      <c r="N249" s="56"/>
      <c r="O249" s="56"/>
      <c r="P249" s="56"/>
      <c r="Q249" s="56"/>
      <c r="R249" s="56"/>
      <c r="S249" s="56"/>
      <c r="T249" s="58"/>
      <c r="U249" s="56"/>
      <c r="V249" s="56"/>
      <c r="W249" s="56"/>
    </row>
    <row r="250" ht="15.75" customHeight="1">
      <c r="A250" s="56"/>
      <c r="B250" s="56"/>
      <c r="C250" s="57"/>
      <c r="D250" s="58"/>
      <c r="E250" s="58"/>
      <c r="F250" s="56"/>
      <c r="G250" s="56"/>
      <c r="H250" s="59"/>
      <c r="I250" s="58"/>
      <c r="J250" s="58"/>
      <c r="K250" s="56"/>
      <c r="L250" s="56"/>
      <c r="M250" s="56"/>
      <c r="N250" s="56"/>
      <c r="O250" s="56"/>
      <c r="P250" s="56"/>
      <c r="Q250" s="56"/>
      <c r="R250" s="56"/>
      <c r="S250" s="56"/>
      <c r="T250" s="58"/>
      <c r="U250" s="56"/>
      <c r="V250" s="56"/>
      <c r="W250" s="56"/>
    </row>
    <row r="251" ht="15.75" customHeight="1">
      <c r="A251" s="56"/>
      <c r="B251" s="56"/>
      <c r="C251" s="57"/>
      <c r="D251" s="58"/>
      <c r="E251" s="58"/>
      <c r="F251" s="56"/>
      <c r="G251" s="56"/>
      <c r="H251" s="59"/>
      <c r="I251" s="58"/>
      <c r="J251" s="58"/>
      <c r="K251" s="56"/>
      <c r="L251" s="56"/>
      <c r="M251" s="56"/>
      <c r="N251" s="56"/>
      <c r="O251" s="56"/>
      <c r="P251" s="56"/>
      <c r="Q251" s="56"/>
      <c r="R251" s="56"/>
      <c r="S251" s="56"/>
      <c r="T251" s="58"/>
      <c r="U251" s="56"/>
      <c r="V251" s="56"/>
      <c r="W251" s="56"/>
    </row>
    <row r="252" ht="15.75" customHeight="1">
      <c r="A252" s="56"/>
      <c r="B252" s="56"/>
      <c r="C252" s="57"/>
      <c r="D252" s="58"/>
      <c r="E252" s="58"/>
      <c r="F252" s="56"/>
      <c r="G252" s="56"/>
      <c r="H252" s="59"/>
      <c r="I252" s="58"/>
      <c r="J252" s="58"/>
      <c r="K252" s="56"/>
      <c r="L252" s="56"/>
      <c r="M252" s="56"/>
      <c r="N252" s="56"/>
      <c r="O252" s="56"/>
      <c r="P252" s="56"/>
      <c r="Q252" s="56"/>
      <c r="R252" s="56"/>
      <c r="S252" s="56"/>
      <c r="T252" s="58"/>
      <c r="U252" s="56"/>
      <c r="V252" s="56"/>
      <c r="W252" s="56"/>
    </row>
    <row r="253" ht="15.75" customHeight="1">
      <c r="A253" s="56"/>
      <c r="B253" s="56"/>
      <c r="C253" s="57"/>
      <c r="D253" s="58"/>
      <c r="E253" s="58"/>
      <c r="F253" s="56"/>
      <c r="G253" s="56"/>
      <c r="H253" s="59"/>
      <c r="I253" s="58"/>
      <c r="J253" s="58"/>
      <c r="K253" s="56"/>
      <c r="L253" s="56"/>
      <c r="M253" s="56"/>
      <c r="N253" s="56"/>
      <c r="O253" s="56"/>
      <c r="P253" s="56"/>
      <c r="Q253" s="56"/>
      <c r="R253" s="56"/>
      <c r="S253" s="56"/>
      <c r="T253" s="58"/>
      <c r="U253" s="56"/>
      <c r="V253" s="56"/>
      <c r="W253" s="56"/>
    </row>
    <row r="254" ht="15.75" customHeight="1">
      <c r="A254" s="56"/>
      <c r="B254" s="56"/>
      <c r="C254" s="57"/>
      <c r="D254" s="58"/>
      <c r="E254" s="58"/>
      <c r="F254" s="56"/>
      <c r="G254" s="56"/>
      <c r="H254" s="59"/>
      <c r="I254" s="58"/>
      <c r="J254" s="58"/>
      <c r="K254" s="56"/>
      <c r="L254" s="56"/>
      <c r="M254" s="56"/>
      <c r="N254" s="56"/>
      <c r="O254" s="56"/>
      <c r="P254" s="56"/>
      <c r="Q254" s="56"/>
      <c r="R254" s="56"/>
      <c r="S254" s="56"/>
      <c r="T254" s="58"/>
      <c r="U254" s="56"/>
      <c r="V254" s="56"/>
      <c r="W254" s="56"/>
    </row>
    <row r="255" ht="15.75" customHeight="1">
      <c r="A255" s="56"/>
      <c r="B255" s="56"/>
      <c r="C255" s="57"/>
      <c r="D255" s="58"/>
      <c r="E255" s="58"/>
      <c r="F255" s="56"/>
      <c r="G255" s="56"/>
      <c r="H255" s="59"/>
      <c r="I255" s="58"/>
      <c r="J255" s="58"/>
      <c r="K255" s="56"/>
      <c r="L255" s="56"/>
      <c r="M255" s="56"/>
      <c r="N255" s="56"/>
      <c r="O255" s="56"/>
      <c r="P255" s="56"/>
      <c r="Q255" s="56"/>
      <c r="R255" s="56"/>
      <c r="S255" s="56"/>
      <c r="T255" s="58"/>
      <c r="U255" s="56"/>
      <c r="V255" s="56"/>
      <c r="W255" s="56"/>
    </row>
    <row r="256" ht="15.75" customHeight="1">
      <c r="A256" s="56"/>
      <c r="B256" s="56"/>
      <c r="C256" s="57"/>
      <c r="D256" s="58"/>
      <c r="E256" s="58"/>
      <c r="F256" s="56"/>
      <c r="G256" s="56"/>
      <c r="H256" s="59"/>
      <c r="I256" s="58"/>
      <c r="J256" s="58"/>
      <c r="K256" s="56"/>
      <c r="L256" s="56"/>
      <c r="M256" s="56"/>
      <c r="N256" s="56"/>
      <c r="O256" s="56"/>
      <c r="P256" s="56"/>
      <c r="Q256" s="56"/>
      <c r="R256" s="56"/>
      <c r="S256" s="56"/>
      <c r="T256" s="58"/>
      <c r="U256" s="56"/>
      <c r="V256" s="56"/>
      <c r="W256" s="56"/>
    </row>
    <row r="257" ht="15.75" customHeight="1">
      <c r="A257" s="56"/>
      <c r="B257" s="56"/>
      <c r="C257" s="57"/>
      <c r="D257" s="58"/>
      <c r="E257" s="58"/>
      <c r="F257" s="56"/>
      <c r="G257" s="56"/>
      <c r="H257" s="59"/>
      <c r="I257" s="58"/>
      <c r="J257" s="58"/>
      <c r="K257" s="56"/>
      <c r="L257" s="56"/>
      <c r="M257" s="56"/>
      <c r="N257" s="56"/>
      <c r="O257" s="56"/>
      <c r="P257" s="56"/>
      <c r="Q257" s="56"/>
      <c r="R257" s="56"/>
      <c r="S257" s="56"/>
      <c r="T257" s="58"/>
      <c r="U257" s="56"/>
      <c r="V257" s="56"/>
      <c r="W257" s="56"/>
    </row>
    <row r="258" ht="15.75" customHeight="1">
      <c r="A258" s="56"/>
      <c r="B258" s="56"/>
      <c r="C258" s="57"/>
      <c r="D258" s="58"/>
      <c r="E258" s="58"/>
      <c r="F258" s="56"/>
      <c r="G258" s="56"/>
      <c r="H258" s="59"/>
      <c r="I258" s="58"/>
      <c r="J258" s="58"/>
      <c r="K258" s="56"/>
      <c r="L258" s="56"/>
      <c r="M258" s="56"/>
      <c r="N258" s="56"/>
      <c r="O258" s="56"/>
      <c r="P258" s="56"/>
      <c r="Q258" s="56"/>
      <c r="R258" s="56"/>
      <c r="S258" s="56"/>
      <c r="T258" s="58"/>
      <c r="U258" s="56"/>
      <c r="V258" s="56"/>
      <c r="W258" s="56"/>
    </row>
    <row r="259" ht="15.75" customHeight="1">
      <c r="A259" s="56"/>
      <c r="B259" s="56"/>
      <c r="C259" s="57"/>
      <c r="D259" s="58"/>
      <c r="E259" s="58"/>
      <c r="F259" s="56"/>
      <c r="G259" s="56"/>
      <c r="H259" s="59"/>
      <c r="I259" s="58"/>
      <c r="J259" s="58"/>
      <c r="K259" s="56"/>
      <c r="L259" s="56"/>
      <c r="M259" s="56"/>
      <c r="N259" s="56"/>
      <c r="O259" s="56"/>
      <c r="P259" s="56"/>
      <c r="Q259" s="56"/>
      <c r="R259" s="56"/>
      <c r="S259" s="56"/>
      <c r="T259" s="58"/>
      <c r="U259" s="56"/>
      <c r="V259" s="56"/>
      <c r="W259" s="56"/>
    </row>
    <row r="260" ht="15.75" customHeight="1">
      <c r="A260" s="56"/>
      <c r="B260" s="56"/>
      <c r="C260" s="57"/>
      <c r="D260" s="58"/>
      <c r="E260" s="58"/>
      <c r="F260" s="56"/>
      <c r="G260" s="56"/>
      <c r="H260" s="59"/>
      <c r="I260" s="58"/>
      <c r="J260" s="58"/>
      <c r="K260" s="56"/>
      <c r="L260" s="56"/>
      <c r="M260" s="56"/>
      <c r="N260" s="56"/>
      <c r="O260" s="56"/>
      <c r="P260" s="56"/>
      <c r="Q260" s="56"/>
      <c r="R260" s="56"/>
      <c r="S260" s="56"/>
      <c r="T260" s="58"/>
      <c r="U260" s="56"/>
      <c r="V260" s="56"/>
      <c r="W260" s="56"/>
    </row>
    <row r="261" ht="15.75" customHeight="1">
      <c r="A261" s="56"/>
      <c r="B261" s="56"/>
      <c r="C261" s="57"/>
      <c r="D261" s="58"/>
      <c r="E261" s="58"/>
      <c r="F261" s="56"/>
      <c r="G261" s="56"/>
      <c r="H261" s="59"/>
      <c r="I261" s="58"/>
      <c r="J261" s="58"/>
      <c r="K261" s="56"/>
      <c r="L261" s="56"/>
      <c r="M261" s="56"/>
      <c r="N261" s="56"/>
      <c r="O261" s="56"/>
      <c r="P261" s="56"/>
      <c r="Q261" s="56"/>
      <c r="R261" s="56"/>
      <c r="S261" s="56"/>
      <c r="T261" s="58"/>
      <c r="U261" s="56"/>
      <c r="V261" s="56"/>
      <c r="W261" s="56"/>
    </row>
    <row r="262" ht="15.75" customHeight="1">
      <c r="A262" s="56"/>
      <c r="B262" s="56"/>
      <c r="C262" s="57"/>
      <c r="D262" s="58"/>
      <c r="E262" s="58"/>
      <c r="F262" s="56"/>
      <c r="G262" s="56"/>
      <c r="H262" s="59"/>
      <c r="I262" s="58"/>
      <c r="J262" s="58"/>
      <c r="K262" s="56"/>
      <c r="L262" s="56"/>
      <c r="M262" s="56"/>
      <c r="N262" s="56"/>
      <c r="O262" s="56"/>
      <c r="P262" s="56"/>
      <c r="Q262" s="56"/>
      <c r="R262" s="56"/>
      <c r="S262" s="56"/>
      <c r="T262" s="58"/>
      <c r="U262" s="56"/>
      <c r="V262" s="56"/>
      <c r="W262" s="56"/>
    </row>
    <row r="263" ht="15.75" customHeight="1">
      <c r="A263" s="56"/>
      <c r="B263" s="56"/>
      <c r="C263" s="57"/>
      <c r="D263" s="58"/>
      <c r="E263" s="58"/>
      <c r="F263" s="56"/>
      <c r="G263" s="56"/>
      <c r="H263" s="59"/>
      <c r="I263" s="58"/>
      <c r="J263" s="58"/>
      <c r="K263" s="56"/>
      <c r="L263" s="56"/>
      <c r="M263" s="56"/>
      <c r="N263" s="56"/>
      <c r="O263" s="56"/>
      <c r="P263" s="56"/>
      <c r="Q263" s="56"/>
      <c r="R263" s="56"/>
      <c r="S263" s="56"/>
      <c r="T263" s="58"/>
      <c r="U263" s="56"/>
      <c r="V263" s="56"/>
      <c r="W263" s="56"/>
    </row>
    <row r="264" ht="15.75" customHeight="1">
      <c r="A264" s="56"/>
      <c r="B264" s="56"/>
      <c r="C264" s="57"/>
      <c r="D264" s="58"/>
      <c r="E264" s="58"/>
      <c r="F264" s="56"/>
      <c r="G264" s="56"/>
      <c r="H264" s="59"/>
      <c r="I264" s="58"/>
      <c r="J264" s="58"/>
      <c r="K264" s="56"/>
      <c r="L264" s="56"/>
      <c r="M264" s="56"/>
      <c r="N264" s="56"/>
      <c r="O264" s="56"/>
      <c r="P264" s="56"/>
      <c r="Q264" s="56"/>
      <c r="R264" s="56"/>
      <c r="S264" s="56"/>
      <c r="T264" s="58"/>
      <c r="U264" s="56"/>
      <c r="V264" s="56"/>
      <c r="W264" s="56"/>
    </row>
    <row r="265" ht="15.75" customHeight="1">
      <c r="A265" s="56"/>
      <c r="B265" s="56"/>
      <c r="C265" s="57"/>
      <c r="D265" s="58"/>
      <c r="E265" s="58"/>
      <c r="F265" s="56"/>
      <c r="G265" s="56"/>
      <c r="H265" s="59"/>
      <c r="I265" s="58"/>
      <c r="J265" s="58"/>
      <c r="K265" s="56"/>
      <c r="L265" s="56"/>
      <c r="M265" s="56"/>
      <c r="N265" s="56"/>
      <c r="O265" s="56"/>
      <c r="P265" s="56"/>
      <c r="Q265" s="56"/>
      <c r="R265" s="56"/>
      <c r="S265" s="56"/>
      <c r="T265" s="58"/>
      <c r="U265" s="56"/>
      <c r="V265" s="56"/>
      <c r="W265" s="56"/>
    </row>
    <row r="266" ht="15.75" customHeight="1">
      <c r="A266" s="56"/>
      <c r="B266" s="56"/>
      <c r="C266" s="57"/>
      <c r="D266" s="58"/>
      <c r="E266" s="58"/>
      <c r="F266" s="56"/>
      <c r="G266" s="56"/>
      <c r="H266" s="59"/>
      <c r="I266" s="58"/>
      <c r="J266" s="58"/>
      <c r="K266" s="56"/>
      <c r="L266" s="56"/>
      <c r="M266" s="56"/>
      <c r="N266" s="56"/>
      <c r="O266" s="56"/>
      <c r="P266" s="56"/>
      <c r="Q266" s="56"/>
      <c r="R266" s="56"/>
      <c r="S266" s="56"/>
      <c r="T266" s="58"/>
      <c r="U266" s="56"/>
      <c r="V266" s="56"/>
      <c r="W266" s="56"/>
    </row>
    <row r="267" ht="15.75" customHeight="1">
      <c r="A267" s="56"/>
      <c r="B267" s="56"/>
      <c r="C267" s="57"/>
      <c r="D267" s="58"/>
      <c r="E267" s="58"/>
      <c r="F267" s="56"/>
      <c r="G267" s="56"/>
      <c r="H267" s="59"/>
      <c r="I267" s="58"/>
      <c r="J267" s="58"/>
      <c r="K267" s="56"/>
      <c r="L267" s="56"/>
      <c r="M267" s="56"/>
      <c r="N267" s="56"/>
      <c r="O267" s="56"/>
      <c r="P267" s="56"/>
      <c r="Q267" s="56"/>
      <c r="R267" s="56"/>
      <c r="S267" s="56"/>
      <c r="T267" s="58"/>
      <c r="U267" s="56"/>
      <c r="V267" s="56"/>
      <c r="W267" s="56"/>
    </row>
    <row r="268" ht="15.75" customHeight="1">
      <c r="A268" s="56"/>
      <c r="B268" s="56"/>
      <c r="C268" s="57"/>
      <c r="D268" s="58"/>
      <c r="E268" s="58"/>
      <c r="F268" s="56"/>
      <c r="G268" s="56"/>
      <c r="H268" s="59"/>
      <c r="I268" s="58"/>
      <c r="J268" s="58"/>
      <c r="K268" s="56"/>
      <c r="L268" s="56"/>
      <c r="M268" s="56"/>
      <c r="N268" s="56"/>
      <c r="O268" s="56"/>
      <c r="P268" s="56"/>
      <c r="Q268" s="56"/>
      <c r="R268" s="56"/>
      <c r="S268" s="56"/>
      <c r="T268" s="58"/>
      <c r="U268" s="56"/>
      <c r="V268" s="56"/>
      <c r="W268" s="56"/>
    </row>
    <row r="269" ht="15.75" customHeight="1">
      <c r="A269" s="56"/>
      <c r="B269" s="56"/>
      <c r="C269" s="57"/>
      <c r="D269" s="58"/>
      <c r="E269" s="58"/>
      <c r="F269" s="56"/>
      <c r="G269" s="56"/>
      <c r="H269" s="59"/>
      <c r="I269" s="58"/>
      <c r="J269" s="58"/>
      <c r="K269" s="56"/>
      <c r="L269" s="56"/>
      <c r="M269" s="56"/>
      <c r="N269" s="56"/>
      <c r="O269" s="56"/>
      <c r="P269" s="56"/>
      <c r="Q269" s="56"/>
      <c r="R269" s="56"/>
      <c r="S269" s="56"/>
      <c r="T269" s="58"/>
      <c r="U269" s="56"/>
      <c r="V269" s="56"/>
      <c r="W269" s="56"/>
    </row>
    <row r="270" ht="15.75" customHeight="1">
      <c r="A270" s="56"/>
      <c r="B270" s="56"/>
      <c r="C270" s="57"/>
      <c r="D270" s="58"/>
      <c r="E270" s="58"/>
      <c r="F270" s="56"/>
      <c r="G270" s="56"/>
      <c r="H270" s="59"/>
      <c r="I270" s="58"/>
      <c r="J270" s="58"/>
      <c r="K270" s="56"/>
      <c r="L270" s="56"/>
      <c r="M270" s="56"/>
      <c r="N270" s="56"/>
      <c r="O270" s="56"/>
      <c r="P270" s="56"/>
      <c r="Q270" s="56"/>
      <c r="R270" s="56"/>
      <c r="S270" s="56"/>
      <c r="T270" s="58"/>
      <c r="U270" s="56"/>
      <c r="V270" s="56"/>
      <c r="W270" s="56"/>
    </row>
    <row r="271" ht="15.75" customHeight="1">
      <c r="A271" s="56"/>
      <c r="B271" s="56"/>
      <c r="C271" s="57"/>
      <c r="D271" s="58"/>
      <c r="E271" s="58"/>
      <c r="F271" s="56"/>
      <c r="G271" s="56"/>
      <c r="H271" s="59"/>
      <c r="I271" s="58"/>
      <c r="J271" s="58"/>
      <c r="K271" s="56"/>
      <c r="L271" s="56"/>
      <c r="M271" s="56"/>
      <c r="N271" s="56"/>
      <c r="O271" s="56"/>
      <c r="P271" s="56"/>
      <c r="Q271" s="56"/>
      <c r="R271" s="56"/>
      <c r="S271" s="56"/>
      <c r="T271" s="58"/>
      <c r="U271" s="56"/>
      <c r="V271" s="56"/>
      <c r="W271" s="56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I11:I12"/>
    <mergeCell ref="G13:G14"/>
    <mergeCell ref="H13:H14"/>
    <mergeCell ref="I13:I14"/>
    <mergeCell ref="I15:I16"/>
    <mergeCell ref="B19:C19"/>
    <mergeCell ref="B30:C30"/>
    <mergeCell ref="B47:C47"/>
    <mergeCell ref="F1:F17"/>
    <mergeCell ref="B2:E3"/>
    <mergeCell ref="G2:I3"/>
    <mergeCell ref="B4:E4"/>
    <mergeCell ref="G4:H4"/>
    <mergeCell ref="B5:E5"/>
    <mergeCell ref="B6:E6"/>
    <mergeCell ref="G5:I5"/>
    <mergeCell ref="G6:I6"/>
    <mergeCell ref="B7:B8"/>
    <mergeCell ref="C7:C8"/>
    <mergeCell ref="D7:D8"/>
    <mergeCell ref="E7:E8"/>
    <mergeCell ref="G7:G8"/>
    <mergeCell ref="H7:H8"/>
    <mergeCell ref="I7:I8"/>
    <mergeCell ref="G9:G10"/>
    <mergeCell ref="H9:H10"/>
    <mergeCell ref="I9:I10"/>
    <mergeCell ref="G11:G12"/>
    <mergeCell ref="H11:H12"/>
    <mergeCell ref="G15:G16"/>
    <mergeCell ref="H15:H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6.75"/>
    <col customWidth="1" hidden="1" min="3" max="3" width="14.63"/>
    <col customWidth="1" min="4" max="4" width="16.75"/>
    <col customWidth="1" hidden="1" min="5" max="5" width="22.63"/>
    <col customWidth="1" hidden="1" min="6" max="6" width="25.88"/>
    <col customWidth="1" min="7" max="7" width="18.0"/>
    <col customWidth="1" hidden="1" min="8" max="8" width="20.38"/>
    <col customWidth="1" min="9" max="28" width="16.75"/>
  </cols>
  <sheetData>
    <row r="1" ht="15.75" customHeight="1">
      <c r="A1" s="141" t="s">
        <v>111</v>
      </c>
      <c r="B1" s="141" t="s">
        <v>112</v>
      </c>
      <c r="C1" s="142" t="s">
        <v>113</v>
      </c>
      <c r="D1" s="141" t="s">
        <v>114</v>
      </c>
      <c r="E1" s="141" t="s">
        <v>115</v>
      </c>
      <c r="F1" s="142" t="s">
        <v>116</v>
      </c>
      <c r="G1" s="141" t="s">
        <v>117</v>
      </c>
      <c r="H1" s="142" t="s">
        <v>118</v>
      </c>
      <c r="I1" s="143" t="s">
        <v>64</v>
      </c>
      <c r="J1" s="143" t="s">
        <v>36</v>
      </c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</row>
    <row r="2" ht="15.75" customHeight="1">
      <c r="A2" s="145">
        <v>44410.0</v>
      </c>
      <c r="B2" s="146">
        <f>'AUTO - QUENTE'!B2+'AUTO - FRIO'!B2+'FACE - QUENTE'!B2+'FACE - FRIO'!B2+'INSTA - QUENTE'!B2+'INSTA - FRIO'!B2+'GOOGLE - QUENTE'!B2+'GOOGLE - FRIO'!B2</f>
        <v>0</v>
      </c>
      <c r="C2" s="147">
        <f>'AUTO - QUENTE'!C2+'AUTO - FRIO'!C2+'FACE - QUENTE'!C2+'FACE - FRIO'!C2+'INSTA - QUENTE'!C2+'INSTA - FRIO'!C2+'GOOGLE - QUENTE'!C2+'GOOGLE - FRIO'!C2</f>
        <v>0</v>
      </c>
      <c r="D2" s="148">
        <f>'AUTO - QUENTE'!D2+'AUTO - FRIO'!D2+'FACE - QUENTE'!D2+'FACE - FRIO'!D2+'INSTA - QUENTE'!D2+'INSTA - FRIO'!D2+'GOOGLE - QUENTE'!D2+'GOOGLE - FRIO'!D2</f>
        <v>0</v>
      </c>
      <c r="E2" s="149">
        <f>'AUTO - QUENTE'!E2+'AUTO - FRIO'!E2+'FACE - QUENTE'!E2+'FACE - FRIO'!E2+'INSTA - QUENTE'!E2+'INSTA - FRIO'!E2+'GOOGLE - QUENTE'!E2+'GOOGLE - FRIO'!E2</f>
        <v>0</v>
      </c>
      <c r="F2" s="149" t="str">
        <f>'AUTO - QUENTE'!F2+'AUTO - FRIO'!F2+'FACE - QUENTE'!F2+'FACE - FRIO'!F2+'INSTA - QUENTE'!F2+'INSTA - FRIO'!F2+'GOOGLE - QUENTE'!F2+'GOOGLE - FRIO'!F2</f>
        <v>#DIV/0!</v>
      </c>
      <c r="G2" s="150">
        <f>'AUTO - QUENTE'!G2+'AUTO - FRIO'!G2+'FACE - QUENTE'!G2+'FACE - FRIO'!G2+'INSTA - QUENTE'!G2+'INSTA - FRIO'!G2+'GOOGLE - QUENTE'!G2+'GOOGLE - FRIO'!G2</f>
        <v>0</v>
      </c>
      <c r="H2" s="150" t="str">
        <f>'AUTO - QUENTE'!H2+'AUTO - FRIO'!H2+'FACE - QUENTE'!H2+'FACE - FRIO'!H2+'INSTA - QUENTE'!H2+'INSTA - FRIO'!H2+'GOOGLE - QUENTE'!H2+'GOOGLE - FRIO'!H2</f>
        <v>#DIV/0!</v>
      </c>
      <c r="I2" s="151" t="str">
        <f t="shared" ref="I2:I36" si="1">J2/G2</f>
        <v>#DIV/0!</v>
      </c>
      <c r="J2" s="152">
        <f>'AUTO - QUENTE'!J2+'AUTO - FRIO'!J2+'FACE - QUENTE'!J2+'FACE - FRIO'!J2+'INSTA - QUENTE'!J2+'INSTA - FRIO'!J2+'GOOGLE - QUENTE'!J2+'GOOGLE - FRIO'!J2</f>
        <v>0</v>
      </c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</row>
    <row r="3" ht="15.75" customHeight="1">
      <c r="A3" s="145">
        <v>44411.0</v>
      </c>
      <c r="B3" s="146">
        <f>'AUTO - QUENTE'!B3+'AUTO - FRIO'!B3+'FACE - QUENTE'!B3+'FACE - FRIO'!B3+'INSTA - QUENTE'!B3+'INSTA - FRIO'!B3+'GOOGLE - QUENTE'!B3+'GOOGLE - FRIO'!B3</f>
        <v>0</v>
      </c>
      <c r="C3" s="147" t="str">
        <f>'AUTO - QUENTE'!C3+'[AUTO] - [FRIO]'!C3+'FACE - QUENTE'!C3+'FACE - FRIO'!C3+'INSTA - QUENTE'!C3+'INSTA - FRIO'!C3+'GOOGLE - QUENTE'!C3+'GOOGLE - FRIO'!C3</f>
        <v>#REF!</v>
      </c>
      <c r="D3" s="146">
        <f>'AUTO - QUENTE'!D3+'AUTO - FRIO'!D3+'FACE - QUENTE'!D3+'FACE - FRIO'!D3+'INSTA - QUENTE'!D3+'INSTA - FRIO'!D3+'GOOGLE - QUENTE'!D3+'GOOGLE - FRIO'!D3</f>
        <v>0</v>
      </c>
      <c r="E3" s="149" t="str">
        <f>'AUTO - [QUENTE]'!E3+'AUTO - QUENTE'!E3+'INSTA - [QUENTE]'!E3</f>
        <v>#REF!</v>
      </c>
      <c r="F3" s="153" t="str">
        <f t="shared" ref="F3:F9" si="2">E3/D3</f>
        <v>#REF!</v>
      </c>
      <c r="G3" s="150">
        <f>'AUTO - QUENTE'!G3+'AUTO - FRIO'!G3+'FACE - QUENTE'!G3+'FACE - FRIO'!G3+'INSTA - QUENTE'!G3+'INSTA - FRIO'!G3+'GOOGLE - QUENTE'!G3+'GOOGLE - FRIO'!G3</f>
        <v>0</v>
      </c>
      <c r="H3" s="154" t="str">
        <f t="shared" ref="H3:H9" si="3">G3/E3</f>
        <v>#REF!</v>
      </c>
      <c r="I3" s="151" t="str">
        <f t="shared" si="1"/>
        <v>#DIV/0!</v>
      </c>
      <c r="J3" s="152">
        <f>'AUTO - QUENTE'!J3+'AUTO - FRIO'!J3+'FACE - QUENTE'!J3+'FACE - FRIO'!J3+'INSTA - QUENTE'!J3+'INSTA - FRIO'!J3+'GOOGLE - QUENTE'!J3+'GOOGLE - FRIO'!J3</f>
        <v>0</v>
      </c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</row>
    <row r="4" ht="15.75" customHeight="1">
      <c r="A4" s="145">
        <v>44412.0</v>
      </c>
      <c r="B4" s="146">
        <f>'AUTO - QUENTE'!B4+'AUTO - FRIO'!B4+'FACE - QUENTE'!B4+'FACE - FRIO'!B4+'INSTA - QUENTE'!B4+'INSTA - FRIO'!B4+'GOOGLE - QUENTE'!B4+'GOOGLE - FRIO'!B4</f>
        <v>0</v>
      </c>
      <c r="C4" s="147" t="str">
        <f>'AUTO - QUENTE'!C4+'[AUTO] - [FRIO]'!C4+'FACE - QUENTE'!C4+'FACE - FRIO'!C4+'INSTA - QUENTE'!C4+'INSTA - FRIO'!C4+'GOOGLE - QUENTE'!C4+'GOOGLE - FRIO'!C4</f>
        <v>#REF!</v>
      </c>
      <c r="D4" s="146">
        <f>'AUTO - QUENTE'!D4+'AUTO - FRIO'!D4+'FACE - QUENTE'!D4+'FACE - FRIO'!D4+'INSTA - QUENTE'!D4+'INSTA - FRIO'!D4+'GOOGLE - QUENTE'!D4+'GOOGLE - FRIO'!D4</f>
        <v>0</v>
      </c>
      <c r="E4" s="149" t="str">
        <f>'AUTO - [QUENTE]'!E4+'AUTO - QUENTE'!E4+'INSTA - [QUENTE]'!E4</f>
        <v>#REF!</v>
      </c>
      <c r="F4" s="153" t="str">
        <f t="shared" si="2"/>
        <v>#REF!</v>
      </c>
      <c r="G4" s="155">
        <f>'AUTO - QUENTE'!G4+'AUTO - FRIO'!G4+'FACE - QUENTE'!G4+'FACE - FRIO'!G4+'INSTA - QUENTE'!G4+'INSTA - FRIO'!G4+'GOOGLE - QUENTE'!G4+'GOOGLE - FRIO'!G4</f>
        <v>0</v>
      </c>
      <c r="H4" s="154" t="str">
        <f t="shared" si="3"/>
        <v>#REF!</v>
      </c>
      <c r="I4" s="151" t="str">
        <f t="shared" si="1"/>
        <v>#DIV/0!</v>
      </c>
      <c r="J4" s="152">
        <f>'AUTO - QUENTE'!J4+'AUTO - FRIO'!J4+'FACE - QUENTE'!J4+'FACE - FRIO'!J4+'INSTA - QUENTE'!J4+'INSTA - FRIO'!J4+'GOOGLE - QUENTE'!J4+'GOOGLE - FRIO'!J4</f>
        <v>0</v>
      </c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</row>
    <row r="5" ht="15.75" customHeight="1">
      <c r="A5" s="145">
        <v>44413.0</v>
      </c>
      <c r="B5" s="146">
        <f>'AUTO - QUENTE'!B5+'AUTO - FRIO'!B5+'FACE - QUENTE'!B5+'FACE - FRIO'!B5+'INSTA - QUENTE'!B5+'INSTA - FRIO'!B5+'GOOGLE - QUENTE'!B5+'GOOGLE - FRIO'!B5</f>
        <v>0</v>
      </c>
      <c r="C5" s="147" t="str">
        <f>'AUTO - QUENTE'!C5+'[AUTO] - [FRIO]'!C5+'FACE - QUENTE'!C5+'FACE - FRIO'!C5+'INSTA - QUENTE'!C5+'INSTA - FRIO'!C5+'GOOGLE - QUENTE'!C5+'GOOGLE - FRIO'!C5</f>
        <v>#REF!</v>
      </c>
      <c r="D5" s="146">
        <f>'AUTO - QUENTE'!D5+'AUTO - FRIO'!D5+'FACE - QUENTE'!D5+'FACE - FRIO'!D5+'INSTA - QUENTE'!D5+'INSTA - FRIO'!D5+'GOOGLE - QUENTE'!D5+'GOOGLE - FRIO'!D5</f>
        <v>0</v>
      </c>
      <c r="E5" s="149" t="str">
        <f>'AUTO - [QUENTE]'!E5+'AUTO - QUENTE'!E5+'INSTA - [QUENTE]'!E5</f>
        <v>#REF!</v>
      </c>
      <c r="F5" s="153" t="str">
        <f t="shared" si="2"/>
        <v>#REF!</v>
      </c>
      <c r="G5" s="155">
        <f>'AUTO - QUENTE'!G5+'AUTO - FRIO'!G5+'FACE - QUENTE'!G5+'FACE - FRIO'!G5+'INSTA - QUENTE'!G5+'INSTA - FRIO'!G5+'GOOGLE - QUENTE'!G5+'GOOGLE - FRIO'!G5</f>
        <v>0</v>
      </c>
      <c r="H5" s="154" t="str">
        <f t="shared" si="3"/>
        <v>#REF!</v>
      </c>
      <c r="I5" s="151" t="str">
        <f t="shared" si="1"/>
        <v>#DIV/0!</v>
      </c>
      <c r="J5" s="152">
        <f>'AUTO - QUENTE'!J5+'AUTO - FRIO'!J5+'FACE - QUENTE'!J5+'FACE - FRIO'!J5+'INSTA - QUENTE'!J5+'INSTA - FRIO'!J5+'GOOGLE - QUENTE'!J5+'GOOGLE - FRIO'!J5</f>
        <v>0</v>
      </c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</row>
    <row r="6" ht="15.75" customHeight="1">
      <c r="A6" s="145">
        <v>44414.0</v>
      </c>
      <c r="B6" s="146">
        <f>'AUTO - QUENTE'!B6+'AUTO - FRIO'!B6+'FACE - QUENTE'!B6+'FACE - FRIO'!B6+'INSTA - QUENTE'!B6+'INSTA - FRIO'!B6+'GOOGLE - QUENTE'!B6+'GOOGLE - FRIO'!B6</f>
        <v>0</v>
      </c>
      <c r="C6" s="147" t="str">
        <f>'AUTO - QUENTE'!C6+'[AUTO] - [FRIO]'!C6+'FACE - QUENTE'!C6+'FACE - FRIO'!C6+'INSTA - QUENTE'!C6+'INSTA - FRIO'!C6+'GOOGLE - QUENTE'!C6+'GOOGLE - FRIO'!C6</f>
        <v>#REF!</v>
      </c>
      <c r="D6" s="146">
        <f>'AUTO - QUENTE'!D6+'AUTO - FRIO'!D6+'FACE - QUENTE'!D6+'FACE - FRIO'!D6+'INSTA - QUENTE'!D6+'INSTA - FRIO'!D6+'GOOGLE - QUENTE'!D6+'GOOGLE - FRIO'!D6</f>
        <v>0</v>
      </c>
      <c r="E6" s="149" t="str">
        <f>'AUTO - [QUENTE]'!E6+'AUTO - QUENTE'!E6+'INSTA - [QUENTE]'!E6</f>
        <v>#REF!</v>
      </c>
      <c r="F6" s="153" t="str">
        <f t="shared" si="2"/>
        <v>#REF!</v>
      </c>
      <c r="G6" s="155">
        <f>'AUTO - QUENTE'!G6+'AUTO - FRIO'!G6+'FACE - QUENTE'!G6+'FACE - FRIO'!G6+'INSTA - QUENTE'!G6+'INSTA - FRIO'!G6+'GOOGLE - QUENTE'!G6+'GOOGLE - FRIO'!G6</f>
        <v>0</v>
      </c>
      <c r="H6" s="154" t="str">
        <f t="shared" si="3"/>
        <v>#REF!</v>
      </c>
      <c r="I6" s="151" t="str">
        <f t="shared" si="1"/>
        <v>#DIV/0!</v>
      </c>
      <c r="J6" s="152">
        <f>'AUTO - QUENTE'!J6+'AUTO - FRIO'!J6+'FACE - QUENTE'!J6+'FACE - FRIO'!J6+'INSTA - QUENTE'!J6+'INSTA - FRIO'!J6+'GOOGLE - QUENTE'!J6+'GOOGLE - FRIO'!J6</f>
        <v>0</v>
      </c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</row>
    <row r="7" ht="15.75" customHeight="1">
      <c r="A7" s="145">
        <v>44415.0</v>
      </c>
      <c r="B7" s="146">
        <f>'AUTO - QUENTE'!B7+'AUTO - FRIO'!B7+'FACE - QUENTE'!B7+'FACE - FRIO'!B7+'INSTA - QUENTE'!B7+'INSTA - FRIO'!B7+'GOOGLE - QUENTE'!B7+'GOOGLE - FRIO'!B7</f>
        <v>0</v>
      </c>
      <c r="C7" s="147" t="str">
        <f>'AUTO - QUENTE'!C7+'[AUTO] - [FRIO]'!C7+'FACE - QUENTE'!C7+'FACE - FRIO'!C7+'INSTA - QUENTE'!C7+'INSTA - FRIO'!C7+'GOOGLE - QUENTE'!C7+'GOOGLE - FRIO'!C7</f>
        <v>#REF!</v>
      </c>
      <c r="D7" s="146">
        <f>'AUTO - QUENTE'!D7+'AUTO - FRIO'!D7+'FACE - QUENTE'!D7+'FACE - FRIO'!D7+'INSTA - QUENTE'!D7+'INSTA - FRIO'!D7+'GOOGLE - QUENTE'!D7+'GOOGLE - FRIO'!D7</f>
        <v>0</v>
      </c>
      <c r="E7" s="149" t="str">
        <f>'AUTO - [QUENTE]'!E7+'AUTO - QUENTE'!E7+'INSTA - [QUENTE]'!E7</f>
        <v>#REF!</v>
      </c>
      <c r="F7" s="153" t="str">
        <f t="shared" si="2"/>
        <v>#REF!</v>
      </c>
      <c r="G7" s="155">
        <f>'AUTO - QUENTE'!G7+'AUTO - FRIO'!G7+'FACE - QUENTE'!G7+'FACE - FRIO'!G7+'INSTA - QUENTE'!G7+'INSTA - FRIO'!G7+'GOOGLE - QUENTE'!G7+'GOOGLE - FRIO'!G7</f>
        <v>0</v>
      </c>
      <c r="H7" s="154" t="str">
        <f t="shared" si="3"/>
        <v>#REF!</v>
      </c>
      <c r="I7" s="151" t="str">
        <f t="shared" si="1"/>
        <v>#DIV/0!</v>
      </c>
      <c r="J7" s="152">
        <f>'AUTO - QUENTE'!J7+'AUTO - FRIO'!J7+'FACE - QUENTE'!J7+'FACE - FRIO'!J7+'INSTA - QUENTE'!J7+'INSTA - FRIO'!J7+'GOOGLE - QUENTE'!J7+'GOOGLE - FRIO'!J7</f>
        <v>0</v>
      </c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</row>
    <row r="8" ht="15.75" customHeight="1">
      <c r="A8" s="145">
        <v>44416.0</v>
      </c>
      <c r="B8" s="146">
        <f>'AUTO - QUENTE'!B8+'AUTO - FRIO'!B8+'FACE - QUENTE'!B8+'FACE - FRIO'!B8+'INSTA - QUENTE'!B8+'INSTA - FRIO'!B8+'GOOGLE - QUENTE'!B8+'GOOGLE - FRIO'!B8</f>
        <v>0</v>
      </c>
      <c r="C8" s="147" t="str">
        <f>'AUTO - QUENTE'!C8+'[AUTO] - [FRIO]'!C8+'FACE - QUENTE'!C8+'FACE - FRIO'!C8+'INSTA - QUENTE'!C8+'INSTA - FRIO'!C8+'GOOGLE - QUENTE'!C8+'GOOGLE - FRIO'!C8</f>
        <v>#REF!</v>
      </c>
      <c r="D8" s="146">
        <f>'AUTO - QUENTE'!D8+'AUTO - FRIO'!D8+'FACE - QUENTE'!D8+'FACE - FRIO'!D8+'INSTA - QUENTE'!D8+'INSTA - FRIO'!D8+'GOOGLE - QUENTE'!D8+'GOOGLE - FRIO'!D8</f>
        <v>0</v>
      </c>
      <c r="E8" s="149" t="str">
        <f>'AUTO - [QUENTE]'!E8+'AUTO - QUENTE'!E8+'INSTA - [QUENTE]'!E8</f>
        <v>#REF!</v>
      </c>
      <c r="F8" s="153" t="str">
        <f t="shared" si="2"/>
        <v>#REF!</v>
      </c>
      <c r="G8" s="155">
        <f>'AUTO - QUENTE'!G8+'AUTO - FRIO'!G8+'FACE - QUENTE'!G8+'FACE - FRIO'!G8+'INSTA - QUENTE'!G8+'INSTA - FRIO'!G8+'GOOGLE - QUENTE'!G8+'GOOGLE - FRIO'!G8</f>
        <v>0</v>
      </c>
      <c r="H8" s="154" t="str">
        <f t="shared" si="3"/>
        <v>#REF!</v>
      </c>
      <c r="I8" s="151" t="str">
        <f t="shared" si="1"/>
        <v>#DIV/0!</v>
      </c>
      <c r="J8" s="152">
        <f>'AUTO - QUENTE'!J8+'AUTO - FRIO'!J8+'FACE - QUENTE'!J8+'FACE - FRIO'!J8+'INSTA - QUENTE'!J8+'INSTA - FRIO'!J8+'GOOGLE - QUENTE'!J8+'GOOGLE - FRIO'!J8</f>
        <v>0</v>
      </c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</row>
    <row r="9" ht="15.75" customHeight="1">
      <c r="A9" s="145">
        <v>44417.0</v>
      </c>
      <c r="B9" s="146">
        <f>'AUTO - QUENTE'!B9+'AUTO - FRIO'!B9+'FACE - QUENTE'!B9+'FACE - FRIO'!B9+'INSTA - QUENTE'!B9+'INSTA - FRIO'!B9+'GOOGLE - QUENTE'!B9+'GOOGLE - FRIO'!B9</f>
        <v>0</v>
      </c>
      <c r="C9" s="147" t="str">
        <f>'AUTO - QUENTE'!C9+'[AUTO] - [FRIO]'!C9+'FACE - QUENTE'!C9+'FACE - FRIO'!C9+'INSTA - QUENTE'!C9+'INSTA - FRIO'!C9+'GOOGLE - QUENTE'!C9+'GOOGLE - FRIO'!C9</f>
        <v>#REF!</v>
      </c>
      <c r="D9" s="146">
        <f>'AUTO - QUENTE'!D9+'AUTO - FRIO'!D9+'FACE - QUENTE'!D9+'FACE - FRIO'!D9+'INSTA - QUENTE'!D9+'INSTA - FRIO'!D9+'GOOGLE - QUENTE'!D9+'GOOGLE - FRIO'!D9</f>
        <v>0</v>
      </c>
      <c r="E9" s="149" t="str">
        <f>'AUTO - [QUENTE]'!E9+'AUTO - QUENTE'!E9+'INSTA - [QUENTE]'!E9</f>
        <v>#REF!</v>
      </c>
      <c r="F9" s="153" t="str">
        <f t="shared" si="2"/>
        <v>#REF!</v>
      </c>
      <c r="G9" s="150">
        <f>'AUTO - QUENTE'!G9+'AUTO - FRIO'!G9+'FACE - QUENTE'!G9+'FACE - FRIO'!G9+'INSTA - QUENTE'!G9+'INSTA - FRIO'!G9+'GOOGLE - QUENTE'!G9+'GOOGLE - FRIO'!G9</f>
        <v>0</v>
      </c>
      <c r="H9" s="154" t="str">
        <f t="shared" si="3"/>
        <v>#REF!</v>
      </c>
      <c r="I9" s="151" t="str">
        <f t="shared" si="1"/>
        <v>#DIV/0!</v>
      </c>
      <c r="J9" s="152">
        <f>'AUTO - QUENTE'!J9+'AUTO - FRIO'!J9+'FACE - QUENTE'!J9+'FACE - FRIO'!J9+'INSTA - QUENTE'!J9+'INSTA - FRIO'!J9+'GOOGLE - QUENTE'!J9+'GOOGLE - FRIO'!J9</f>
        <v>0</v>
      </c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</row>
    <row r="10" ht="15.75" customHeight="1">
      <c r="A10" s="145">
        <v>44418.0</v>
      </c>
      <c r="B10" s="146">
        <f>'AUTO - QUENTE'!B10+'AUTO - FRIO'!B10+'FACE - QUENTE'!B10+'FACE - FRIO'!B10+'INSTA - QUENTE'!B10+'INSTA - FRIO'!B10+'GOOGLE - QUENTE'!B10+'GOOGLE - FRIO'!B10</f>
        <v>0</v>
      </c>
      <c r="C10" s="147"/>
      <c r="D10" s="146">
        <f>'AUTO - QUENTE'!D10+'AUTO - FRIO'!D10+'FACE - QUENTE'!D10+'FACE - FRIO'!D10+'INSTA - QUENTE'!D10+'INSTA - FRIO'!D10+'GOOGLE - QUENTE'!D10+'GOOGLE - FRIO'!D10</f>
        <v>0</v>
      </c>
      <c r="E10" s="149"/>
      <c r="F10" s="153"/>
      <c r="G10" s="155">
        <f>'AUTO - QUENTE'!G10+'AUTO - FRIO'!G10+'FACE - QUENTE'!G10+'FACE - FRIO'!G10+'INSTA - QUENTE'!G10+'INSTA - FRIO'!G10+'GOOGLE - QUENTE'!G10+'GOOGLE - FRIO'!G10</f>
        <v>0</v>
      </c>
      <c r="H10" s="153"/>
      <c r="I10" s="151" t="str">
        <f t="shared" si="1"/>
        <v>#DIV/0!</v>
      </c>
      <c r="J10" s="152">
        <f>'AUTO - QUENTE'!J10+'AUTO - FRIO'!J10+'FACE - QUENTE'!J10+'FACE - FRIO'!J10+'INSTA - QUENTE'!J10+'INSTA - FRIO'!J10+'GOOGLE - QUENTE'!J10+'GOOGLE - FRIO'!J10</f>
        <v>0</v>
      </c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</row>
    <row r="11" ht="15.75" customHeight="1">
      <c r="A11" s="145">
        <v>44419.0</v>
      </c>
      <c r="B11" s="146">
        <f>'AUTO - QUENTE'!B11+'AUTO - FRIO'!B11+'FACE - QUENTE'!B11+'FACE - FRIO'!B11+'INSTA - QUENTE'!B11+'INSTA - FRIO'!B11+'GOOGLE - QUENTE'!B11+'GOOGLE - FRIO'!B11</f>
        <v>0</v>
      </c>
      <c r="C11" s="147"/>
      <c r="D11" s="148">
        <f>'AUTO - QUENTE'!D11+'AUTO - FRIO'!D11+'FACE - QUENTE'!D11+'FACE - FRIO'!D11+'INSTA - QUENTE'!D11+'INSTA - FRIO'!D11+'GOOGLE - QUENTE'!D11+'GOOGLE - FRIO'!D11</f>
        <v>0</v>
      </c>
      <c r="E11" s="149"/>
      <c r="F11" s="153"/>
      <c r="G11" s="150">
        <f>'AUTO - QUENTE'!G11+'AUTO - FRIO'!G11+'FACE - QUENTE'!G11+'FACE - FRIO'!G11+'INSTA - QUENTE'!G11+'INSTA - FRIO'!G11+'GOOGLE - QUENTE'!G11+'GOOGLE - FRIO'!G11</f>
        <v>0</v>
      </c>
      <c r="H11" s="153"/>
      <c r="I11" s="151" t="str">
        <f t="shared" si="1"/>
        <v>#DIV/0!</v>
      </c>
      <c r="J11" s="152">
        <f>'AUTO - QUENTE'!J11+'AUTO - FRIO'!J11+'FACE - QUENTE'!J11+'FACE - FRIO'!J11+'INSTA - QUENTE'!J11+'INSTA - FRIO'!J11+'GOOGLE - QUENTE'!J11+'GOOGLE - FRIO'!J11</f>
        <v>0</v>
      </c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</row>
    <row r="12" ht="15.75" customHeight="1">
      <c r="A12" s="145">
        <v>44420.0</v>
      </c>
      <c r="B12" s="146">
        <f>'AUTO - QUENTE'!B12+'AUTO - FRIO'!B12+'FACE - QUENTE'!B12+'FACE - FRIO'!B12+'INSTA - QUENTE'!B12+'INSTA - FRIO'!B12+'GOOGLE - QUENTE'!B12+'GOOGLE - FRIO'!B12</f>
        <v>0</v>
      </c>
      <c r="C12" s="147"/>
      <c r="D12" s="146">
        <f>'AUTO - QUENTE'!D12+'AUTO - FRIO'!D12+'FACE - QUENTE'!D12+'FACE - FRIO'!D12+'INSTA - QUENTE'!D12+'INSTA - FRIO'!D12+'GOOGLE - QUENTE'!D12+'GOOGLE - FRIO'!D12</f>
        <v>0</v>
      </c>
      <c r="E12" s="149"/>
      <c r="F12" s="153"/>
      <c r="G12" s="155">
        <f>'AUTO - QUENTE'!G12+'AUTO - FRIO'!G12+'FACE - QUENTE'!G12+'FACE - FRIO'!G12+'INSTA - QUENTE'!G12+'INSTA - FRIO'!G12+'GOOGLE - QUENTE'!G12+'GOOGLE - FRIO'!G12</f>
        <v>0</v>
      </c>
      <c r="H12" s="153"/>
      <c r="I12" s="151" t="str">
        <f t="shared" si="1"/>
        <v>#DIV/0!</v>
      </c>
      <c r="J12" s="152">
        <f>'AUTO - QUENTE'!J12+'AUTO - FRIO'!J12+'FACE - QUENTE'!J12+'FACE - FRIO'!J12+'INSTA - QUENTE'!J12+'INSTA - FRIO'!J12+'GOOGLE - QUENTE'!J12+'GOOGLE - FRIO'!J12</f>
        <v>0</v>
      </c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</row>
    <row r="13" ht="15.75" customHeight="1">
      <c r="A13" s="145">
        <v>44421.0</v>
      </c>
      <c r="B13" s="146">
        <f>'AUTO - QUENTE'!B13+'AUTO - FRIO'!B13+'FACE - QUENTE'!B13+'FACE - FRIO'!B13+'INSTA - QUENTE'!B13+'INSTA - FRIO'!B13+'GOOGLE - QUENTE'!B13+'GOOGLE - FRIO'!B13</f>
        <v>0</v>
      </c>
      <c r="C13" s="147"/>
      <c r="D13" s="146">
        <f>'AUTO - QUENTE'!D13+'AUTO - FRIO'!D13+'FACE - QUENTE'!D13+'FACE - FRIO'!D13+'INSTA - QUENTE'!D13+'INSTA - FRIO'!D13+'GOOGLE - QUENTE'!D13+'GOOGLE - FRIO'!D13</f>
        <v>0</v>
      </c>
      <c r="E13" s="149"/>
      <c r="F13" s="153"/>
      <c r="G13" s="155">
        <f>'AUTO - QUENTE'!G13+'AUTO - FRIO'!G13+'FACE - QUENTE'!G13+'FACE - FRIO'!G13+'INSTA - QUENTE'!G13+'INSTA - FRIO'!G13+'GOOGLE - QUENTE'!G13+'GOOGLE - FRIO'!G13</f>
        <v>0</v>
      </c>
      <c r="H13" s="153"/>
      <c r="I13" s="151" t="str">
        <f t="shared" si="1"/>
        <v>#DIV/0!</v>
      </c>
      <c r="J13" s="152">
        <f>'AUTO - QUENTE'!J13+'AUTO - FRIO'!J13+'FACE - QUENTE'!J13+'FACE - FRIO'!J13+'INSTA - QUENTE'!J13+'INSTA - FRIO'!J13+'GOOGLE - QUENTE'!J13+'GOOGLE - FRIO'!J13</f>
        <v>0</v>
      </c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</row>
    <row r="14" ht="15.75" customHeight="1">
      <c r="A14" s="145">
        <v>44422.0</v>
      </c>
      <c r="B14" s="146">
        <f>'AUTO - QUENTE'!B14+'AUTO - FRIO'!B14+'FACE - QUENTE'!B14+'FACE - FRIO'!B14+'INSTA - QUENTE'!B14+'INSTA - FRIO'!B14+'GOOGLE - QUENTE'!B14+'GOOGLE - FRIO'!B14</f>
        <v>0</v>
      </c>
      <c r="C14" s="147"/>
      <c r="D14" s="146">
        <f>'AUTO - QUENTE'!D14+'AUTO - FRIO'!D14+'FACE - QUENTE'!D14+'FACE - FRIO'!D14+'INSTA - QUENTE'!D14+'INSTA - FRIO'!D14+'GOOGLE - QUENTE'!D14+'GOOGLE - FRIO'!D14</f>
        <v>0</v>
      </c>
      <c r="E14" s="149"/>
      <c r="F14" s="153"/>
      <c r="G14" s="155">
        <f>'AUTO - QUENTE'!G14+'AUTO - FRIO'!G14+'FACE - QUENTE'!G14+'FACE - FRIO'!G14+'INSTA - QUENTE'!G14+'INSTA - FRIO'!G14+'GOOGLE - QUENTE'!G14+'GOOGLE - FRIO'!G14</f>
        <v>0</v>
      </c>
      <c r="H14" s="153"/>
      <c r="I14" s="151" t="str">
        <f t="shared" si="1"/>
        <v>#DIV/0!</v>
      </c>
      <c r="J14" s="152">
        <f>'AUTO - QUENTE'!J14+'AUTO - FRIO'!J14+'FACE - QUENTE'!J14+'FACE - FRIO'!J14+'INSTA - QUENTE'!J14+'INSTA - FRIO'!J14+'GOOGLE - QUENTE'!J14+'GOOGLE - FRIO'!J14</f>
        <v>0</v>
      </c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</row>
    <row r="15" ht="15.75" customHeight="1">
      <c r="A15" s="145">
        <v>44423.0</v>
      </c>
      <c r="B15" s="146">
        <f>'AUTO - QUENTE'!B15+'AUTO - FRIO'!B15+'FACE - QUENTE'!B15+'FACE - FRIO'!B15+'INSTA - QUENTE'!B15+'INSTA - FRIO'!B15+'GOOGLE - QUENTE'!B15+'GOOGLE - FRIO'!B15</f>
        <v>0</v>
      </c>
      <c r="C15" s="147"/>
      <c r="D15" s="146">
        <f>'AUTO - QUENTE'!D15+'AUTO - FRIO'!D15+'FACE - QUENTE'!D15+'FACE - FRIO'!D15+'INSTA - QUENTE'!D15+'INSTA - FRIO'!D15+'GOOGLE - QUENTE'!D15+'GOOGLE - FRIO'!D15</f>
        <v>0</v>
      </c>
      <c r="E15" s="149"/>
      <c r="F15" s="153"/>
      <c r="G15" s="155">
        <f>'AUTO - QUENTE'!G15+'AUTO - FRIO'!G15+'FACE - QUENTE'!G15+'FACE - FRIO'!G15+'INSTA - QUENTE'!G15+'INSTA - FRIO'!G15+'GOOGLE - QUENTE'!G15+'GOOGLE - FRIO'!G15</f>
        <v>0</v>
      </c>
      <c r="H15" s="153"/>
      <c r="I15" s="151" t="str">
        <f t="shared" si="1"/>
        <v>#DIV/0!</v>
      </c>
      <c r="J15" s="152">
        <f>'AUTO - QUENTE'!J15+'AUTO - FRIO'!J15+'FACE - QUENTE'!J15+'FACE - FRIO'!J15+'INSTA - QUENTE'!J15+'INSTA - FRIO'!J15+'GOOGLE - QUENTE'!J15+'GOOGLE - FRIO'!J15</f>
        <v>0</v>
      </c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</row>
    <row r="16" ht="15.75" customHeight="1">
      <c r="A16" s="145">
        <v>44424.0</v>
      </c>
      <c r="B16" s="146">
        <f>'AUTO - QUENTE'!B16+'AUTO - FRIO'!B16+'FACE - QUENTE'!B16+'FACE - FRIO'!B16+'INSTA - QUENTE'!B16+'INSTA - FRIO'!B16+'GOOGLE - QUENTE'!B16+'GOOGLE - FRIO'!B16</f>
        <v>0</v>
      </c>
      <c r="C16" s="147"/>
      <c r="D16" s="146">
        <f>'AUTO - QUENTE'!D16+'AUTO - FRIO'!D16+'FACE - QUENTE'!D16+'FACE - FRIO'!D16+'INSTA - QUENTE'!D16+'INSTA - FRIO'!D16+'GOOGLE - QUENTE'!D16+'GOOGLE - FRIO'!D16</f>
        <v>0</v>
      </c>
      <c r="E16" s="149"/>
      <c r="F16" s="153"/>
      <c r="G16" s="155">
        <f>'AUTO - QUENTE'!G16+'AUTO - FRIO'!G16+'FACE - QUENTE'!G16+'FACE - FRIO'!G16+'INSTA - QUENTE'!G16+'INSTA - FRIO'!G16+'GOOGLE - QUENTE'!G16+'GOOGLE - FRIO'!G16</f>
        <v>0</v>
      </c>
      <c r="H16" s="153"/>
      <c r="I16" s="151" t="str">
        <f t="shared" si="1"/>
        <v>#DIV/0!</v>
      </c>
      <c r="J16" s="152">
        <f>'AUTO - QUENTE'!J16+'AUTO - FRIO'!J16+'FACE - QUENTE'!J16+'FACE - FRIO'!J16+'INSTA - QUENTE'!J16+'INSTA - FRIO'!J16+'GOOGLE - QUENTE'!J16+'GOOGLE - FRIO'!J16</f>
        <v>0</v>
      </c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</row>
    <row r="17" ht="15.75" customHeight="1">
      <c r="A17" s="145">
        <v>44425.0</v>
      </c>
      <c r="B17" s="146">
        <f>'AUTO - QUENTE'!B17+'AUTO - FRIO'!B17+'FACE - QUENTE'!B17+'FACE - FRIO'!B17+'INSTA - QUENTE'!B17+'INSTA - FRIO'!B17+'GOOGLE - QUENTE'!B17+'GOOGLE - FRIO'!B17</f>
        <v>0</v>
      </c>
      <c r="C17" s="147"/>
      <c r="D17" s="146">
        <f>'AUTO - QUENTE'!D17+'AUTO - FRIO'!D17+'FACE - QUENTE'!D17+'FACE - FRIO'!D17+'INSTA - QUENTE'!D17+'INSTA - FRIO'!D17+'GOOGLE - QUENTE'!D17+'GOOGLE - FRIO'!D17</f>
        <v>0</v>
      </c>
      <c r="E17" s="149"/>
      <c r="F17" s="153"/>
      <c r="G17" s="155">
        <f>'AUTO - QUENTE'!G17+'AUTO - FRIO'!G17+'FACE - QUENTE'!G17+'FACE - FRIO'!G17+'INSTA - QUENTE'!G17+'INSTA - FRIO'!G17+'GOOGLE - QUENTE'!G17+'GOOGLE - FRIO'!G17</f>
        <v>0</v>
      </c>
      <c r="H17" s="153"/>
      <c r="I17" s="151" t="str">
        <f t="shared" si="1"/>
        <v>#DIV/0!</v>
      </c>
      <c r="J17" s="152">
        <f>'AUTO - QUENTE'!J17+'AUTO - FRIO'!J17+'FACE - QUENTE'!J17+'FACE - FRIO'!J17+'INSTA - QUENTE'!J17+'INSTA - FRIO'!J17+'GOOGLE - QUENTE'!J17+'GOOGLE - FRIO'!J17</f>
        <v>0</v>
      </c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</row>
    <row r="18" ht="15.75" customHeight="1">
      <c r="A18" s="145">
        <v>44426.0</v>
      </c>
      <c r="B18" s="146">
        <f>'AUTO - QUENTE'!B18+'AUTO - FRIO'!B18+'FACE - QUENTE'!B18+'FACE - FRIO'!B18+'INSTA - QUENTE'!B18+'INSTA - FRIO'!B18+'GOOGLE - QUENTE'!B18+'GOOGLE - FRIO'!B18</f>
        <v>0</v>
      </c>
      <c r="C18" s="147"/>
      <c r="D18" s="146">
        <f>'AUTO - QUENTE'!D18+'AUTO - FRIO'!D18+'FACE - QUENTE'!D18+'FACE - FRIO'!D18+'INSTA - QUENTE'!D18+'INSTA - FRIO'!D18+'GOOGLE - QUENTE'!D18+'GOOGLE - FRIO'!D18</f>
        <v>0</v>
      </c>
      <c r="E18" s="149"/>
      <c r="F18" s="153"/>
      <c r="G18" s="155">
        <f>'AUTO - QUENTE'!G18+'AUTO - FRIO'!G18+'FACE - QUENTE'!G18+'FACE - FRIO'!G18+'INSTA - QUENTE'!G18+'INSTA - FRIO'!G18+'GOOGLE - QUENTE'!G18+'GOOGLE - FRIO'!G18</f>
        <v>0</v>
      </c>
      <c r="H18" s="153"/>
      <c r="I18" s="151" t="str">
        <f t="shared" si="1"/>
        <v>#DIV/0!</v>
      </c>
      <c r="J18" s="152">
        <f>'AUTO - QUENTE'!J18+'AUTO - FRIO'!J18+'FACE - QUENTE'!J18+'FACE - FRIO'!J18+'INSTA - QUENTE'!J18+'INSTA - FRIO'!J18+'GOOGLE - QUENTE'!J18+'GOOGLE - FRIO'!J18</f>
        <v>0</v>
      </c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</row>
    <row r="19" ht="15.75" customHeight="1">
      <c r="A19" s="145">
        <v>44427.0</v>
      </c>
      <c r="B19" s="146">
        <f>'AUTO - QUENTE'!B19+'AUTO - FRIO'!B19+'FACE - QUENTE'!B19+'FACE - FRIO'!B19+'INSTA - QUENTE'!B19+'INSTA - FRIO'!B19+'GOOGLE - QUENTE'!B19+'GOOGLE - FRIO'!B19</f>
        <v>0</v>
      </c>
      <c r="C19" s="147"/>
      <c r="D19" s="146">
        <f>'AUTO - QUENTE'!D19+'AUTO - FRIO'!D19+'FACE - QUENTE'!D19+'FACE - FRIO'!D19+'INSTA - QUENTE'!D19+'INSTA - FRIO'!D19+'GOOGLE - QUENTE'!D19+'GOOGLE - FRIO'!D19</f>
        <v>0</v>
      </c>
      <c r="E19" s="149"/>
      <c r="F19" s="153"/>
      <c r="G19" s="155">
        <f>'AUTO - QUENTE'!G19+'AUTO - FRIO'!G19+'FACE - QUENTE'!G19+'FACE - FRIO'!G19+'INSTA - QUENTE'!G19+'INSTA - FRIO'!G19+'GOOGLE - QUENTE'!G19+'GOOGLE - FRIO'!G19</f>
        <v>0</v>
      </c>
      <c r="H19" s="153"/>
      <c r="I19" s="151" t="str">
        <f t="shared" si="1"/>
        <v>#DIV/0!</v>
      </c>
      <c r="J19" s="152">
        <f>'AUTO - QUENTE'!J19+'AUTO - FRIO'!J19+'FACE - QUENTE'!J19+'FACE - FRIO'!J19+'INSTA - QUENTE'!J19+'INSTA - FRIO'!J19+'GOOGLE - QUENTE'!J19+'GOOGLE - FRIO'!J19</f>
        <v>0</v>
      </c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</row>
    <row r="20" ht="15.75" customHeight="1">
      <c r="A20" s="145">
        <v>44428.0</v>
      </c>
      <c r="B20" s="146">
        <f>'AUTO - QUENTE'!B20+'AUTO - FRIO'!B20+'FACE - QUENTE'!B20+'FACE - FRIO'!B20+'INSTA - QUENTE'!B20+'INSTA - FRIO'!B20+'GOOGLE - QUENTE'!B20+'GOOGLE - FRIO'!B20</f>
        <v>0</v>
      </c>
      <c r="C20" s="147"/>
      <c r="D20" s="146">
        <f>'AUTO - QUENTE'!D20+'AUTO - FRIO'!D20+'FACE - QUENTE'!D20+'FACE - FRIO'!D20+'INSTA - QUENTE'!D20+'INSTA - FRIO'!D20+'GOOGLE - QUENTE'!D20+'GOOGLE - FRIO'!D20</f>
        <v>0</v>
      </c>
      <c r="E20" s="149"/>
      <c r="F20" s="153"/>
      <c r="G20" s="155">
        <f>'AUTO - QUENTE'!G20+'AUTO - FRIO'!G20+'FACE - QUENTE'!G20+'FACE - FRIO'!G20+'INSTA - QUENTE'!G20+'INSTA - FRIO'!G20+'GOOGLE - QUENTE'!G20+'GOOGLE - FRIO'!G20</f>
        <v>0</v>
      </c>
      <c r="H20" s="153"/>
      <c r="I20" s="151" t="str">
        <f t="shared" si="1"/>
        <v>#DIV/0!</v>
      </c>
      <c r="J20" s="152">
        <f>'AUTO - QUENTE'!J20+'AUTO - FRIO'!J20+'FACE - QUENTE'!J20+'FACE - FRIO'!J20+'INSTA - QUENTE'!J20+'INSTA - FRIO'!J20+'GOOGLE - QUENTE'!J20+'GOOGLE - FRIO'!J20</f>
        <v>0</v>
      </c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</row>
    <row r="21" ht="15.75" customHeight="1">
      <c r="A21" s="145">
        <v>44429.0</v>
      </c>
      <c r="B21" s="146">
        <f>'AUTO - QUENTE'!B21+'AUTO - FRIO'!B21+'FACE - QUENTE'!B21+'FACE - FRIO'!B21+'INSTA - QUENTE'!B21+'INSTA - FRIO'!B21+'GOOGLE - QUENTE'!B21+'GOOGLE - FRIO'!B21</f>
        <v>0</v>
      </c>
      <c r="C21" s="147"/>
      <c r="D21" s="146">
        <f>'AUTO - QUENTE'!D21+'AUTO - FRIO'!D21+'FACE - QUENTE'!D21+'FACE - FRIO'!D21+'INSTA - QUENTE'!D21+'INSTA - FRIO'!D21+'GOOGLE - QUENTE'!D21+'GOOGLE - FRIO'!D21</f>
        <v>0</v>
      </c>
      <c r="E21" s="149"/>
      <c r="F21" s="153"/>
      <c r="G21" s="155">
        <f>'AUTO - QUENTE'!G21+'AUTO - FRIO'!G21+'FACE - QUENTE'!G21+'FACE - FRIO'!G21+'INSTA - QUENTE'!G21+'INSTA - FRIO'!G21+'GOOGLE - QUENTE'!G21+'GOOGLE - FRIO'!G21</f>
        <v>0</v>
      </c>
      <c r="H21" s="153"/>
      <c r="I21" s="151" t="str">
        <f t="shared" si="1"/>
        <v>#DIV/0!</v>
      </c>
      <c r="J21" s="152">
        <f>'AUTO - QUENTE'!J21+'AUTO - FRIO'!J21+'FACE - QUENTE'!J21+'FACE - FRIO'!J21+'INSTA - QUENTE'!J21+'INSTA - FRIO'!J21+'GOOGLE - QUENTE'!J21+'GOOGLE - FRIO'!J21</f>
        <v>0</v>
      </c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</row>
    <row r="22" ht="15.75" customHeight="1">
      <c r="A22" s="145">
        <v>44430.0</v>
      </c>
      <c r="B22" s="146">
        <f>'AUTO - QUENTE'!B22+'AUTO - FRIO'!B22+'FACE - QUENTE'!B22+'FACE - FRIO'!B22+'INSTA - QUENTE'!B22+'INSTA - FRIO'!B22+'GOOGLE - QUENTE'!B22+'GOOGLE - FRIO'!B22</f>
        <v>0</v>
      </c>
      <c r="C22" s="147"/>
      <c r="D22" s="146">
        <f>'AUTO - QUENTE'!D22+'AUTO - FRIO'!D22+'FACE - QUENTE'!D22+'FACE - FRIO'!D22+'INSTA - QUENTE'!D22+'INSTA - FRIO'!D22+'GOOGLE - QUENTE'!D22+'GOOGLE - FRIO'!D22</f>
        <v>0</v>
      </c>
      <c r="E22" s="149"/>
      <c r="F22" s="153"/>
      <c r="G22" s="155">
        <f>'AUTO - QUENTE'!G22+'AUTO - FRIO'!G22+'FACE - QUENTE'!G22+'FACE - FRIO'!G22+'INSTA - QUENTE'!G22+'INSTA - FRIO'!G22+'GOOGLE - QUENTE'!G22+'GOOGLE - FRIO'!G22</f>
        <v>0</v>
      </c>
      <c r="H22" s="153"/>
      <c r="I22" s="151" t="str">
        <f t="shared" si="1"/>
        <v>#DIV/0!</v>
      </c>
      <c r="J22" s="152">
        <f>'AUTO - QUENTE'!J22+'AUTO - FRIO'!J22+'FACE - QUENTE'!J22+'FACE - FRIO'!J22+'INSTA - QUENTE'!J22+'INSTA - FRIO'!J22+'GOOGLE - QUENTE'!J22+'GOOGLE - FRIO'!J22</f>
        <v>0</v>
      </c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</row>
    <row r="23" ht="15.75" customHeight="1">
      <c r="A23" s="145">
        <v>44431.0</v>
      </c>
      <c r="B23" s="146">
        <f>'AUTO - QUENTE'!B23+'AUTO - FRIO'!B23+'FACE - QUENTE'!B23+'FACE - FRIO'!B23+'INSTA - QUENTE'!B23+'INSTA - FRIO'!B23+'GOOGLE - QUENTE'!B23+'GOOGLE - FRIO'!B23</f>
        <v>0</v>
      </c>
      <c r="C23" s="147"/>
      <c r="D23" s="146">
        <f>'AUTO - QUENTE'!D23+'AUTO - FRIO'!D23+'FACE - QUENTE'!D23+'FACE - FRIO'!D23+'INSTA - QUENTE'!D23+'INSTA - FRIO'!D23+'GOOGLE - QUENTE'!D23+'GOOGLE - FRIO'!D23</f>
        <v>0</v>
      </c>
      <c r="E23" s="149"/>
      <c r="F23" s="153"/>
      <c r="G23" s="155">
        <f>'AUTO - QUENTE'!G23+'AUTO - FRIO'!G23+'FACE - QUENTE'!G23+'FACE - FRIO'!G23+'INSTA - QUENTE'!G23+'INSTA - FRIO'!G23+'GOOGLE - QUENTE'!G23+'GOOGLE - FRIO'!G23</f>
        <v>0</v>
      </c>
      <c r="H23" s="153"/>
      <c r="I23" s="151" t="str">
        <f t="shared" si="1"/>
        <v>#DIV/0!</v>
      </c>
      <c r="J23" s="152">
        <f>'AUTO - QUENTE'!J23+'AUTO - FRIO'!J23+'FACE - QUENTE'!J23+'FACE - FRIO'!J23+'INSTA - QUENTE'!J23+'INSTA - FRIO'!J23+'GOOGLE - QUENTE'!J23+'GOOGLE - FRIO'!J23</f>
        <v>0</v>
      </c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</row>
    <row r="24" ht="15.75" customHeight="1">
      <c r="A24" s="145">
        <v>44432.0</v>
      </c>
      <c r="B24" s="146">
        <f>'AUTO - QUENTE'!B24+'AUTO - FRIO'!B24+'FACE - QUENTE'!B24+'FACE - FRIO'!B24+'INSTA - QUENTE'!B24+'INSTA - FRIO'!B24+'GOOGLE - QUENTE'!B24+'GOOGLE - FRIO'!B24</f>
        <v>0</v>
      </c>
      <c r="C24" s="147"/>
      <c r="D24" s="146">
        <f>'AUTO - QUENTE'!D24+'AUTO - FRIO'!D24+'FACE - QUENTE'!D24+'FACE - FRIO'!D24+'INSTA - QUENTE'!D24+'INSTA - FRIO'!D24+'GOOGLE - QUENTE'!D24+'GOOGLE - FRIO'!D24</f>
        <v>0</v>
      </c>
      <c r="E24" s="149"/>
      <c r="F24" s="153"/>
      <c r="G24" s="155">
        <f>'AUTO - QUENTE'!G24+'AUTO - FRIO'!G24+'FACE - QUENTE'!G24+'FACE - FRIO'!G24+'INSTA - QUENTE'!G24+'INSTA - FRIO'!G24+'GOOGLE - QUENTE'!G24+'GOOGLE - FRIO'!G24</f>
        <v>0</v>
      </c>
      <c r="H24" s="153"/>
      <c r="I24" s="151" t="str">
        <f t="shared" si="1"/>
        <v>#DIV/0!</v>
      </c>
      <c r="J24" s="152">
        <f>'AUTO - QUENTE'!J24+'AUTO - FRIO'!J24+'FACE - QUENTE'!J24+'FACE - FRIO'!J24+'INSTA - QUENTE'!J24+'INSTA - FRIO'!J24+'GOOGLE - QUENTE'!J24+'GOOGLE - FRIO'!J24</f>
        <v>0</v>
      </c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</row>
    <row r="25" ht="15.75" customHeight="1">
      <c r="A25" s="145">
        <v>44433.0</v>
      </c>
      <c r="B25" s="146">
        <f>'AUTO - QUENTE'!B25+'AUTO - FRIO'!B25+'FACE - QUENTE'!B25+'FACE - FRIO'!B25+'INSTA - QUENTE'!B25+'INSTA - FRIO'!B25+'GOOGLE - QUENTE'!B25+'GOOGLE - FRIO'!B25</f>
        <v>0</v>
      </c>
      <c r="C25" s="147"/>
      <c r="D25" s="146">
        <f>'AUTO - QUENTE'!D25+'AUTO - FRIO'!D25+'FACE - QUENTE'!D25+'FACE - FRIO'!D25+'INSTA - QUENTE'!D25+'INSTA - FRIO'!D25+'GOOGLE - QUENTE'!D25+'GOOGLE - FRIO'!D25</f>
        <v>0</v>
      </c>
      <c r="E25" s="149"/>
      <c r="F25" s="153"/>
      <c r="G25" s="155">
        <f>'AUTO - QUENTE'!G25+'AUTO - FRIO'!G25+'FACE - QUENTE'!G25+'FACE - FRIO'!G25+'INSTA - QUENTE'!G25+'INSTA - FRIO'!G25+'GOOGLE - QUENTE'!G25+'GOOGLE - FRIO'!G25</f>
        <v>0</v>
      </c>
      <c r="H25" s="153"/>
      <c r="I25" s="151" t="str">
        <f t="shared" si="1"/>
        <v>#DIV/0!</v>
      </c>
      <c r="J25" s="152">
        <f>'AUTO - QUENTE'!J25+'AUTO - FRIO'!J25+'FACE - QUENTE'!J25+'FACE - FRIO'!J25+'INSTA - QUENTE'!J25+'INSTA - FRIO'!J25+'GOOGLE - QUENTE'!J25+'GOOGLE - FRIO'!J25</f>
        <v>0</v>
      </c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</row>
    <row r="26" ht="15.75" customHeight="1">
      <c r="A26" s="145">
        <v>44434.0</v>
      </c>
      <c r="B26" s="148">
        <f>'AUTO - QUENTE'!B26+'AUTO - FRIO'!B26+'FACE - QUENTE'!B26+'FACE - FRIO'!B26+'INSTA - QUENTE'!B26+'INSTA - FRIO'!B26+'GOOGLE - QUENTE'!B26+'GOOGLE - FRIO'!B26</f>
        <v>0</v>
      </c>
      <c r="C26" s="147"/>
      <c r="D26" s="148">
        <f>'AUTO - QUENTE'!D26+'AUTO - FRIO'!D26+'FACE - QUENTE'!D26+'FACE - FRIO'!D26+'INSTA - QUENTE'!D26+'INSTA - FRIO'!D26+'GOOGLE - QUENTE'!D26+'GOOGLE - FRIO'!D26</f>
        <v>0</v>
      </c>
      <c r="E26" s="149"/>
      <c r="F26" s="153"/>
      <c r="G26" s="150">
        <f>'AUTO - QUENTE'!G26+'AUTO - FRIO'!G26+'FACE - QUENTE'!G26+'FACE - FRIO'!G26+'INSTA - QUENTE'!G26+'INSTA - FRIO'!G26+'GOOGLE - QUENTE'!G26+'GOOGLE - FRIO'!G26</f>
        <v>0</v>
      </c>
      <c r="H26" s="153"/>
      <c r="I26" s="151" t="str">
        <f t="shared" si="1"/>
        <v>#DIV/0!</v>
      </c>
      <c r="J26" s="152">
        <f>'AUTO - QUENTE'!J26+'AUTO - FRIO'!J26+'FACE - QUENTE'!J26+'FACE - FRIO'!J26+'INSTA - QUENTE'!J26+'INSTA - FRIO'!J26+'GOOGLE - QUENTE'!J26+'GOOGLE - FRIO'!J26</f>
        <v>0</v>
      </c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</row>
    <row r="27" ht="15.75" customHeight="1">
      <c r="A27" s="145">
        <v>44435.0</v>
      </c>
      <c r="B27" s="148">
        <f>'AUTO - QUENTE'!B27+'AUTO - FRIO'!B27+'FACE - QUENTE'!B27+'FACE - FRIO'!B27+'INSTA - QUENTE'!B27+'INSTA - FRIO'!B27+'GOOGLE - QUENTE'!B27+'GOOGLE - FRIO'!B27</f>
        <v>0</v>
      </c>
      <c r="C27" s="147"/>
      <c r="D27" s="148">
        <f>'AUTO - QUENTE'!D27+'AUTO - FRIO'!D27+'FACE - QUENTE'!D27+'FACE - FRIO'!D27+'INSTA - QUENTE'!D27+'INSTA - FRIO'!D27+'GOOGLE - QUENTE'!D27+'GOOGLE - FRIO'!D27</f>
        <v>0</v>
      </c>
      <c r="E27" s="149"/>
      <c r="F27" s="153"/>
      <c r="G27" s="150">
        <f>'AUTO - QUENTE'!G27+'AUTO - FRIO'!G27+'FACE - QUENTE'!G27+'FACE - FRIO'!G27+'INSTA - QUENTE'!G27+'INSTA - FRIO'!G27+'GOOGLE - QUENTE'!G27+'GOOGLE - FRIO'!G27</f>
        <v>0</v>
      </c>
      <c r="H27" s="153"/>
      <c r="I27" s="151" t="str">
        <f t="shared" si="1"/>
        <v>#DIV/0!</v>
      </c>
      <c r="J27" s="152">
        <f>'AUTO - QUENTE'!J27+'AUTO - FRIO'!J27+'FACE - QUENTE'!J27+'FACE - FRIO'!J27+'INSTA - QUENTE'!J27+'INSTA - FRIO'!J27+'GOOGLE - QUENTE'!J27+'GOOGLE - FRIO'!J27</f>
        <v>0</v>
      </c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</row>
    <row r="28" ht="15.75" customHeight="1">
      <c r="A28" s="145">
        <v>44436.0</v>
      </c>
      <c r="B28" s="148">
        <f>'AUTO - QUENTE'!B28+'AUTO - FRIO'!B28+'FACE - QUENTE'!B28+'FACE - FRIO'!B28+'INSTA - QUENTE'!B28+'INSTA - FRIO'!B28+'GOOGLE - QUENTE'!B28+'GOOGLE - FRIO'!B28</f>
        <v>0</v>
      </c>
      <c r="C28" s="147"/>
      <c r="D28" s="148">
        <f>'AUTO - QUENTE'!D28+'AUTO - FRIO'!D28+'FACE - QUENTE'!D28+'FACE - FRIO'!D28+'INSTA - QUENTE'!D28+'INSTA - FRIO'!D28+'GOOGLE - QUENTE'!D28+'GOOGLE - FRIO'!D28</f>
        <v>0</v>
      </c>
      <c r="E28" s="149"/>
      <c r="F28" s="153"/>
      <c r="G28" s="150">
        <f>'AUTO - QUENTE'!G28+'AUTO - FRIO'!G28+'FACE - QUENTE'!G28+'FACE - FRIO'!G28+'INSTA - QUENTE'!G28+'INSTA - FRIO'!G28+'GOOGLE - QUENTE'!G28+'GOOGLE - FRIO'!G28</f>
        <v>0</v>
      </c>
      <c r="H28" s="153"/>
      <c r="I28" s="151" t="str">
        <f t="shared" si="1"/>
        <v>#DIV/0!</v>
      </c>
      <c r="J28" s="152">
        <f>'AUTO - QUENTE'!J28+'AUTO - FRIO'!J28+'FACE - QUENTE'!J28+'FACE - FRIO'!J28+'INSTA - QUENTE'!J28+'INSTA - FRIO'!J28+'GOOGLE - QUENTE'!J28+'GOOGLE - FRIO'!J28</f>
        <v>0</v>
      </c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</row>
    <row r="29" ht="15.75" customHeight="1">
      <c r="A29" s="145">
        <v>44437.0</v>
      </c>
      <c r="B29" s="148">
        <f>'AUTO - QUENTE'!B29+'AUTO - FRIO'!B29+'FACE - QUENTE'!B29+'FACE - FRIO'!B29+'INSTA - QUENTE'!B29+'INSTA - FRIO'!B29+'GOOGLE - QUENTE'!B29+'GOOGLE - FRIO'!B29</f>
        <v>0</v>
      </c>
      <c r="C29" s="147"/>
      <c r="D29" s="148">
        <f>'AUTO - QUENTE'!D29+'AUTO - FRIO'!D29+'FACE - QUENTE'!D29+'FACE - FRIO'!D29+'INSTA - QUENTE'!D29+'INSTA - FRIO'!D29+'GOOGLE - QUENTE'!D29+'GOOGLE - FRIO'!D29</f>
        <v>0</v>
      </c>
      <c r="E29" s="149"/>
      <c r="F29" s="153"/>
      <c r="G29" s="150">
        <f>'AUTO - QUENTE'!G29+'AUTO - FRIO'!G29+'FACE - QUENTE'!G29+'FACE - FRIO'!G29+'INSTA - QUENTE'!G29+'INSTA - FRIO'!G29+'GOOGLE - QUENTE'!G29+'GOOGLE - FRIO'!G29</f>
        <v>0</v>
      </c>
      <c r="H29" s="153"/>
      <c r="I29" s="151" t="str">
        <f t="shared" si="1"/>
        <v>#DIV/0!</v>
      </c>
      <c r="J29" s="152">
        <f>'AUTO - QUENTE'!J29+'AUTO - FRIO'!J29+'FACE - QUENTE'!J29+'FACE - FRIO'!J29+'INSTA - QUENTE'!J29+'INSTA - FRIO'!J29+'GOOGLE - QUENTE'!J29+'GOOGLE - FRIO'!J29</f>
        <v>0</v>
      </c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</row>
    <row r="30" ht="15.75" customHeight="1">
      <c r="A30" s="145">
        <v>44438.0</v>
      </c>
      <c r="B30" s="148">
        <f>'AUTO - QUENTE'!B30+'AUTO - FRIO'!B30+'FACE - QUENTE'!B30+'FACE - FRIO'!B30+'INSTA - QUENTE'!B30+'INSTA - FRIO'!B30+'GOOGLE - QUENTE'!B30+'GOOGLE - FRIO'!B30</f>
        <v>0</v>
      </c>
      <c r="C30" s="147"/>
      <c r="D30" s="148">
        <f>'AUTO - QUENTE'!D30+'AUTO - FRIO'!D30+'FACE - QUENTE'!D30+'FACE - FRIO'!D30+'INSTA - QUENTE'!D30+'INSTA - FRIO'!D30+'GOOGLE - QUENTE'!D30+'GOOGLE - FRIO'!D30</f>
        <v>0</v>
      </c>
      <c r="E30" s="149"/>
      <c r="F30" s="153"/>
      <c r="G30" s="150">
        <f>'AUTO - QUENTE'!G30+'AUTO - FRIO'!G30+'FACE - QUENTE'!G30+'FACE - FRIO'!G30+'INSTA - QUENTE'!G30+'INSTA - FRIO'!G30+'GOOGLE - QUENTE'!G30+'GOOGLE - FRIO'!G30</f>
        <v>0</v>
      </c>
      <c r="H30" s="153"/>
      <c r="I30" s="151" t="str">
        <f t="shared" si="1"/>
        <v>#DIV/0!</v>
      </c>
      <c r="J30" s="152">
        <f>'AUTO - QUENTE'!J30+'AUTO - FRIO'!J30+'FACE - QUENTE'!J30+'FACE - FRIO'!J30+'INSTA - QUENTE'!J30+'INSTA - FRIO'!J30+'GOOGLE - QUENTE'!J30+'GOOGLE - FRIO'!J30</f>
        <v>0</v>
      </c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</row>
    <row r="31" ht="15.75" customHeight="1">
      <c r="A31" s="145">
        <v>44439.0</v>
      </c>
      <c r="B31" s="148">
        <f>'AUTO - QUENTE'!B31+'AUTO - FRIO'!B31+'FACE - QUENTE'!B31+'FACE - FRIO'!B31+'INSTA - QUENTE'!B31+'INSTA - FRIO'!B31+'GOOGLE - QUENTE'!B31+'GOOGLE - FRIO'!B31</f>
        <v>0</v>
      </c>
      <c r="C31" s="147"/>
      <c r="D31" s="148">
        <f>'AUTO - QUENTE'!D31+'AUTO - FRIO'!D31+'FACE - QUENTE'!D31+'FACE - FRIO'!D31+'INSTA - QUENTE'!D31+'INSTA - FRIO'!D31+'GOOGLE - QUENTE'!D31+'GOOGLE - FRIO'!D31</f>
        <v>0</v>
      </c>
      <c r="E31" s="149"/>
      <c r="F31" s="153"/>
      <c r="G31" s="150">
        <f>'AUTO - QUENTE'!G31+'AUTO - FRIO'!G31+'FACE - QUENTE'!G31+'FACE - FRIO'!G31+'INSTA - QUENTE'!G31+'INSTA - FRIO'!G31+'GOOGLE - QUENTE'!G31+'GOOGLE - FRIO'!G31</f>
        <v>0</v>
      </c>
      <c r="H31" s="153"/>
      <c r="I31" s="151" t="str">
        <f t="shared" si="1"/>
        <v>#DIV/0!</v>
      </c>
      <c r="J31" s="152">
        <f>'AUTO - QUENTE'!J31+'AUTO - FRIO'!J31+'FACE - QUENTE'!J31+'FACE - FRIO'!J31+'INSTA - QUENTE'!J31+'INSTA - FRIO'!J31+'GOOGLE - QUENTE'!J31+'GOOGLE - FRIO'!J31</f>
        <v>0</v>
      </c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</row>
    <row r="32" ht="15.75" customHeight="1">
      <c r="A32" s="145">
        <v>44440.0</v>
      </c>
      <c r="B32" s="148">
        <f>'AUTO - QUENTE'!B32+'AUTO - FRIO'!B32+'FACE - QUENTE'!B32+'FACE - FRIO'!B32+'INSTA - QUENTE'!B32+'INSTA - FRIO'!B32+'GOOGLE - QUENTE'!B32+'GOOGLE - FRIO'!B32</f>
        <v>0</v>
      </c>
      <c r="C32" s="147"/>
      <c r="D32" s="148">
        <f>'AUTO - QUENTE'!D32+'AUTO - FRIO'!D32+'FACE - QUENTE'!D32+'FACE - FRIO'!D32+'INSTA - QUENTE'!D32+'INSTA - FRIO'!D32+'GOOGLE - QUENTE'!D32+'GOOGLE - FRIO'!D32</f>
        <v>0</v>
      </c>
      <c r="E32" s="149"/>
      <c r="F32" s="153"/>
      <c r="G32" s="150">
        <f>'AUTO - QUENTE'!G32+'AUTO - FRIO'!G32+'FACE - QUENTE'!G32+'FACE - FRIO'!G32+'INSTA - QUENTE'!G32+'INSTA - FRIO'!G32+'GOOGLE - QUENTE'!G32+'GOOGLE - FRIO'!G32</f>
        <v>0</v>
      </c>
      <c r="H32" s="153"/>
      <c r="I32" s="151" t="str">
        <f t="shared" si="1"/>
        <v>#DIV/0!</v>
      </c>
      <c r="J32" s="152">
        <f>'AUTO - QUENTE'!J32+'AUTO - FRIO'!J32+'FACE - QUENTE'!J32+'FACE - FRIO'!J32+'INSTA - QUENTE'!J32+'INSTA - FRIO'!J32+'GOOGLE - QUENTE'!J32+'GOOGLE - FRIO'!J32</f>
        <v>0</v>
      </c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</row>
    <row r="33" ht="15.75" customHeight="1">
      <c r="A33" s="145">
        <v>44441.0</v>
      </c>
      <c r="B33" s="148">
        <f>'AUTO - QUENTE'!B33+'AUTO - FRIO'!B33+'FACE - QUENTE'!B33+'FACE - FRIO'!B33+'INSTA - QUENTE'!B33+'INSTA - FRIO'!B33+'GOOGLE - QUENTE'!B33+'GOOGLE - FRIO'!B33</f>
        <v>0</v>
      </c>
      <c r="C33" s="147"/>
      <c r="D33" s="148">
        <f>'AUTO - QUENTE'!D33+'AUTO - FRIO'!D33+'FACE - QUENTE'!D33+'FACE - FRIO'!D33+'INSTA - QUENTE'!D33+'INSTA - FRIO'!D33+'GOOGLE - QUENTE'!D33+'GOOGLE - FRIO'!D33</f>
        <v>0</v>
      </c>
      <c r="E33" s="149"/>
      <c r="F33" s="153"/>
      <c r="G33" s="150">
        <f>'AUTO - QUENTE'!G33+'AUTO - FRIO'!G33+'FACE - QUENTE'!G33+'FACE - FRIO'!G33+'INSTA - QUENTE'!G33+'INSTA - FRIO'!G33+'GOOGLE - QUENTE'!G33+'GOOGLE - FRIO'!G33</f>
        <v>0</v>
      </c>
      <c r="H33" s="153"/>
      <c r="I33" s="151" t="str">
        <f t="shared" si="1"/>
        <v>#DIV/0!</v>
      </c>
      <c r="J33" s="152">
        <f>'AUTO - QUENTE'!J33+'AUTO - FRIO'!J33+'FACE - QUENTE'!J33+'FACE - FRIO'!J33+'INSTA - QUENTE'!J33+'INSTA - FRIO'!J33+'GOOGLE - QUENTE'!J33+'GOOGLE - FRIO'!J33</f>
        <v>0</v>
      </c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</row>
    <row r="34" ht="15.75" customHeight="1">
      <c r="A34" s="145">
        <v>44442.0</v>
      </c>
      <c r="B34" s="148">
        <f>'AUTO - QUENTE'!B34+'AUTO - FRIO'!B34+'FACE - QUENTE'!B34+'FACE - FRIO'!B34+'INSTA - QUENTE'!B34+'INSTA - FRIO'!B34+'GOOGLE - QUENTE'!B34+'GOOGLE - FRIO'!B34</f>
        <v>0</v>
      </c>
      <c r="C34" s="147"/>
      <c r="D34" s="148">
        <f>'AUTO - QUENTE'!D34+'AUTO - FRIO'!D34+'FACE - QUENTE'!D34+'FACE - FRIO'!D34+'INSTA - QUENTE'!D34+'INSTA - FRIO'!D34+'GOOGLE - QUENTE'!D34+'GOOGLE - FRIO'!D34</f>
        <v>0</v>
      </c>
      <c r="E34" s="149"/>
      <c r="F34" s="153"/>
      <c r="G34" s="150">
        <f>'AUTO - QUENTE'!G34+'AUTO - FRIO'!G34+'FACE - QUENTE'!G34+'FACE - FRIO'!G34+'INSTA - QUENTE'!G34+'INSTA - FRIO'!G34+'GOOGLE - QUENTE'!G34+'GOOGLE - FRIO'!G34</f>
        <v>0</v>
      </c>
      <c r="H34" s="153"/>
      <c r="I34" s="151" t="str">
        <f t="shared" si="1"/>
        <v>#DIV/0!</v>
      </c>
      <c r="J34" s="152">
        <f>'AUTO - QUENTE'!J34+'AUTO - FRIO'!J34+'FACE - QUENTE'!J34+'FACE - FRIO'!J34+'INSTA - QUENTE'!J34+'INSTA - FRIO'!J34+'GOOGLE - QUENTE'!J34+'GOOGLE - FRIO'!J34</f>
        <v>0</v>
      </c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</row>
    <row r="35" ht="15.75" customHeight="1">
      <c r="A35" s="145">
        <v>44443.0</v>
      </c>
      <c r="B35" s="148">
        <f>'AUTO - QUENTE'!B35+'AUTO - FRIO'!B35+'FACE - QUENTE'!B35+'FACE - FRIO'!B35+'INSTA - QUENTE'!B35+'INSTA - FRIO'!B35+'GOOGLE - QUENTE'!B35+'GOOGLE - FRIO'!B35</f>
        <v>0</v>
      </c>
      <c r="C35" s="147"/>
      <c r="D35" s="148">
        <f>'AUTO - QUENTE'!D35+'AUTO - FRIO'!D35+'FACE - QUENTE'!D35+'FACE - FRIO'!D35+'INSTA - QUENTE'!D35+'INSTA - FRIO'!D35+'GOOGLE - QUENTE'!D35+'GOOGLE - FRIO'!D35</f>
        <v>0</v>
      </c>
      <c r="E35" s="149"/>
      <c r="F35" s="153"/>
      <c r="G35" s="150">
        <f>'AUTO - QUENTE'!G35+'AUTO - FRIO'!G35+'FACE - QUENTE'!G35+'FACE - FRIO'!G35+'INSTA - QUENTE'!G35+'INSTA - FRIO'!G35+'GOOGLE - QUENTE'!G35+'GOOGLE - FRIO'!G35</f>
        <v>0</v>
      </c>
      <c r="H35" s="153"/>
      <c r="I35" s="151" t="str">
        <f t="shared" si="1"/>
        <v>#DIV/0!</v>
      </c>
      <c r="J35" s="152">
        <f>'AUTO - QUENTE'!J35+'AUTO - FRIO'!J35+'FACE - QUENTE'!J35+'FACE - FRIO'!J35+'INSTA - QUENTE'!J35+'INSTA - FRIO'!J35+'GOOGLE - QUENTE'!J35+'GOOGLE - FRIO'!J35</f>
        <v>0</v>
      </c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</row>
    <row r="36" ht="15.75" customHeight="1">
      <c r="A36" s="145">
        <v>44444.0</v>
      </c>
      <c r="B36" s="148">
        <f>'AUTO - QUENTE'!B36+'AUTO - FRIO'!B36+'FACE - QUENTE'!B36+'FACE - FRIO'!B36+'INSTA - QUENTE'!B36+'INSTA - FRIO'!B36+'GOOGLE - QUENTE'!B36+'GOOGLE - FRIO'!B36</f>
        <v>0</v>
      </c>
      <c r="C36" s="147"/>
      <c r="D36" s="148">
        <f>'AUTO - QUENTE'!D36+'AUTO - FRIO'!D36+'FACE - QUENTE'!D36+'FACE - FRIO'!D36+'INSTA - QUENTE'!D36+'INSTA - FRIO'!D36+'GOOGLE - QUENTE'!D36+'GOOGLE - FRIO'!D36</f>
        <v>0</v>
      </c>
      <c r="E36" s="149"/>
      <c r="F36" s="153"/>
      <c r="G36" s="150">
        <f>'AUTO - QUENTE'!G36+'AUTO - FRIO'!G36+'FACE - QUENTE'!G36+'FACE - FRIO'!G36+'INSTA - QUENTE'!G36+'INSTA - FRIO'!G36+'GOOGLE - QUENTE'!G36+'GOOGLE - FRIO'!G36</f>
        <v>0</v>
      </c>
      <c r="H36" s="153"/>
      <c r="I36" s="151" t="str">
        <f t="shared" si="1"/>
        <v>#DIV/0!</v>
      </c>
      <c r="J36" s="152">
        <f>'AUTO - QUENTE'!J36+'AUTO - FRIO'!J36+'FACE - QUENTE'!J36+'FACE - FRIO'!J36+'INSTA - QUENTE'!J36+'INSTA - FRIO'!J36+'GOOGLE - QUENTE'!J36+'GOOGLE - FRIO'!J36</f>
        <v>0</v>
      </c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</row>
    <row r="37" ht="15.75" customHeight="1">
      <c r="A37" s="156" t="s">
        <v>119</v>
      </c>
      <c r="B37" s="157">
        <f>AVERAGE(B2:B36)</f>
        <v>0</v>
      </c>
      <c r="C37" s="158"/>
      <c r="D37" s="157">
        <f>AVERAGE(D2:D36)</f>
        <v>0</v>
      </c>
      <c r="E37" s="159"/>
      <c r="F37" s="159"/>
      <c r="G37" s="159">
        <f>AVERAGE(G2:G36)</f>
        <v>0</v>
      </c>
      <c r="H37" s="160"/>
      <c r="I37" s="149"/>
      <c r="J37" s="161">
        <f>AVERAGE(J2:J36)</f>
        <v>0</v>
      </c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</row>
    <row r="38" ht="15.75" customHeight="1">
      <c r="A38" s="156" t="s">
        <v>39</v>
      </c>
      <c r="B38" s="162">
        <f>SUM(B2:B36)</f>
        <v>0</v>
      </c>
      <c r="C38" s="158"/>
      <c r="D38" s="163">
        <f>SUM(D2:D36)</f>
        <v>0</v>
      </c>
      <c r="E38" s="160"/>
      <c r="F38" s="160"/>
      <c r="G38" s="160">
        <f>SUM(G2:G36)</f>
        <v>0</v>
      </c>
      <c r="H38" s="160"/>
      <c r="I38" s="152" t="str">
        <f>J38/G38</f>
        <v>#DIV/0!</v>
      </c>
      <c r="J38" s="161">
        <f>SUM(J2:J36)</f>
        <v>0</v>
      </c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</row>
    <row r="39" ht="15.75" customHeight="1">
      <c r="A39" s="144"/>
      <c r="B39" s="144"/>
      <c r="C39" s="164"/>
      <c r="D39" s="144"/>
      <c r="E39" s="144"/>
      <c r="F39" s="164"/>
      <c r="G39" s="144"/>
      <c r="H39" s="16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</row>
    <row r="40" ht="15.75" customHeight="1">
      <c r="A40" s="144"/>
      <c r="B40" s="144"/>
      <c r="C40" s="164"/>
      <c r="D40" s="144"/>
      <c r="E40" s="144"/>
      <c r="F40" s="164"/>
      <c r="G40" s="144"/>
      <c r="H40" s="16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</row>
    <row r="41" ht="15.75" customHeight="1">
      <c r="A41" s="144"/>
      <c r="B41" s="144"/>
      <c r="C41" s="164"/>
      <c r="D41" s="144"/>
      <c r="E41" s="144"/>
      <c r="F41" s="164"/>
      <c r="G41" s="144"/>
      <c r="H41" s="16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</row>
    <row r="42" ht="15.75" customHeight="1">
      <c r="A42" s="144"/>
      <c r="B42" s="144"/>
      <c r="C42" s="164"/>
      <c r="D42" s="144"/>
      <c r="E42" s="144"/>
      <c r="F42" s="164"/>
      <c r="G42" s="144"/>
      <c r="H42" s="16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</row>
    <row r="43" ht="15.75" customHeight="1">
      <c r="A43" s="144"/>
      <c r="B43" s="144"/>
      <c r="C43" s="164"/>
      <c r="D43" s="144"/>
      <c r="E43" s="144"/>
      <c r="F43" s="164"/>
      <c r="G43" s="144"/>
      <c r="H43" s="16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</row>
    <row r="44" ht="15.75" customHeight="1">
      <c r="A44" s="144"/>
      <c r="B44" s="144"/>
      <c r="C44" s="164"/>
      <c r="D44" s="144"/>
      <c r="E44" s="144"/>
      <c r="F44" s="164"/>
      <c r="G44" s="144"/>
      <c r="H44" s="16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</row>
    <row r="45" ht="15.75" customHeight="1">
      <c r="A45" s="144"/>
      <c r="B45" s="144"/>
      <c r="C45" s="164"/>
      <c r="D45" s="144"/>
      <c r="E45" s="144"/>
      <c r="F45" s="164"/>
      <c r="G45" s="144"/>
      <c r="H45" s="16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</row>
    <row r="46" ht="15.75" customHeight="1">
      <c r="A46" s="144"/>
      <c r="B46" s="144"/>
      <c r="C46" s="164"/>
      <c r="D46" s="144"/>
      <c r="E46" s="144"/>
      <c r="F46" s="164"/>
      <c r="G46" s="144"/>
      <c r="H46" s="16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</row>
    <row r="47" ht="15.75" customHeight="1">
      <c r="A47" s="144"/>
      <c r="B47" s="144"/>
      <c r="C47" s="164"/>
      <c r="D47" s="144"/>
      <c r="E47" s="144"/>
      <c r="F47" s="164"/>
      <c r="G47" s="144"/>
      <c r="H47" s="16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</row>
    <row r="48" ht="15.75" customHeight="1">
      <c r="A48" s="144"/>
      <c r="B48" s="144"/>
      <c r="C48" s="164"/>
      <c r="D48" s="144"/>
      <c r="E48" s="144"/>
      <c r="F48" s="164"/>
      <c r="G48" s="144"/>
      <c r="H48" s="16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</row>
    <row r="49" ht="15.75" customHeight="1">
      <c r="A49" s="144"/>
      <c r="B49" s="144"/>
      <c r="C49" s="164"/>
      <c r="D49" s="144"/>
      <c r="E49" s="144"/>
      <c r="F49" s="164"/>
      <c r="G49" s="144"/>
      <c r="H49" s="16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</row>
    <row r="50" ht="15.75" customHeight="1">
      <c r="A50" s="144"/>
      <c r="B50" s="144"/>
      <c r="C50" s="164"/>
      <c r="D50" s="144"/>
      <c r="E50" s="144"/>
      <c r="F50" s="164"/>
      <c r="G50" s="144"/>
      <c r="H50" s="16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</row>
    <row r="51" ht="15.75" customHeight="1">
      <c r="A51" s="144"/>
      <c r="B51" s="144"/>
      <c r="C51" s="164"/>
      <c r="D51" s="144"/>
      <c r="E51" s="144"/>
      <c r="F51" s="164"/>
      <c r="G51" s="144"/>
      <c r="H51" s="16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</row>
    <row r="52" ht="15.75" customHeight="1">
      <c r="A52" s="144"/>
      <c r="B52" s="144"/>
      <c r="C52" s="164"/>
      <c r="D52" s="144"/>
      <c r="E52" s="144"/>
      <c r="F52" s="164"/>
      <c r="G52" s="144"/>
      <c r="H52" s="16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</row>
    <row r="53" ht="15.75" customHeight="1">
      <c r="A53" s="144"/>
      <c r="B53" s="144"/>
      <c r="C53" s="164"/>
      <c r="D53" s="144"/>
      <c r="E53" s="144"/>
      <c r="F53" s="164"/>
      <c r="G53" s="144"/>
      <c r="H53" s="16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</row>
    <row r="54" ht="15.75" customHeight="1">
      <c r="A54" s="144"/>
      <c r="B54" s="144"/>
      <c r="C54" s="164"/>
      <c r="D54" s="144"/>
      <c r="E54" s="144"/>
      <c r="F54" s="164"/>
      <c r="G54" s="144"/>
      <c r="H54" s="16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</row>
    <row r="55" ht="15.75" customHeight="1">
      <c r="A55" s="144"/>
      <c r="B55" s="144"/>
      <c r="C55" s="164"/>
      <c r="D55" s="144"/>
      <c r="E55" s="144"/>
      <c r="F55" s="164"/>
      <c r="G55" s="144"/>
      <c r="H55" s="16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</row>
    <row r="56" ht="15.75" customHeight="1">
      <c r="A56" s="144"/>
      <c r="B56" s="144"/>
      <c r="C56" s="164"/>
      <c r="D56" s="144"/>
      <c r="E56" s="144"/>
      <c r="F56" s="164"/>
      <c r="G56" s="144"/>
      <c r="H56" s="16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</row>
    <row r="57" ht="15.75" customHeight="1">
      <c r="A57" s="144"/>
      <c r="B57" s="144"/>
      <c r="C57" s="164"/>
      <c r="D57" s="144"/>
      <c r="E57" s="144"/>
      <c r="F57" s="164"/>
      <c r="G57" s="144"/>
      <c r="H57" s="16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</row>
    <row r="58" ht="15.75" customHeight="1">
      <c r="A58" s="144"/>
      <c r="B58" s="144"/>
      <c r="C58" s="164"/>
      <c r="D58" s="144"/>
      <c r="E58" s="144"/>
      <c r="F58" s="164"/>
      <c r="G58" s="144"/>
      <c r="H58" s="16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</row>
    <row r="59" ht="15.75" customHeight="1">
      <c r="A59" s="144"/>
      <c r="B59" s="144"/>
      <c r="C59" s="164"/>
      <c r="D59" s="144"/>
      <c r="E59" s="144"/>
      <c r="F59" s="164"/>
      <c r="G59" s="144"/>
      <c r="H59" s="16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</row>
    <row r="60" ht="15.75" customHeight="1">
      <c r="A60" s="144"/>
      <c r="B60" s="144"/>
      <c r="C60" s="164"/>
      <c r="D60" s="144"/>
      <c r="E60" s="144"/>
      <c r="F60" s="164"/>
      <c r="G60" s="144"/>
      <c r="H60" s="16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</row>
    <row r="61" ht="15.75" customHeight="1">
      <c r="A61" s="144"/>
      <c r="B61" s="144"/>
      <c r="C61" s="164"/>
      <c r="D61" s="144"/>
      <c r="E61" s="144"/>
      <c r="F61" s="164"/>
      <c r="G61" s="144"/>
      <c r="H61" s="16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</row>
    <row r="62" ht="15.75" customHeight="1">
      <c r="A62" s="144"/>
      <c r="B62" s="144"/>
      <c r="C62" s="164"/>
      <c r="D62" s="144"/>
      <c r="E62" s="144"/>
      <c r="F62" s="164"/>
      <c r="G62" s="144"/>
      <c r="H62" s="16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</row>
    <row r="63" ht="15.75" customHeight="1">
      <c r="A63" s="144"/>
      <c r="B63" s="144"/>
      <c r="C63" s="164"/>
      <c r="D63" s="144"/>
      <c r="E63" s="144"/>
      <c r="F63" s="164"/>
      <c r="G63" s="144"/>
      <c r="H63" s="16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</row>
    <row r="64" ht="15.75" customHeight="1">
      <c r="A64" s="144"/>
      <c r="B64" s="144"/>
      <c r="C64" s="164"/>
      <c r="D64" s="144"/>
      <c r="E64" s="144"/>
      <c r="F64" s="164"/>
      <c r="G64" s="144"/>
      <c r="H64" s="16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</row>
    <row r="65" ht="15.75" customHeight="1">
      <c r="A65" s="144"/>
      <c r="B65" s="144"/>
      <c r="C65" s="164"/>
      <c r="D65" s="144"/>
      <c r="E65" s="144"/>
      <c r="F65" s="164"/>
      <c r="G65" s="144"/>
      <c r="H65" s="16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</row>
    <row r="66" ht="15.75" customHeight="1">
      <c r="A66" s="144"/>
      <c r="B66" s="144"/>
      <c r="C66" s="164"/>
      <c r="D66" s="144"/>
      <c r="E66" s="144"/>
      <c r="F66" s="164"/>
      <c r="G66" s="144"/>
      <c r="H66" s="16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</row>
    <row r="67" ht="15.75" customHeight="1">
      <c r="A67" s="144"/>
      <c r="B67" s="144"/>
      <c r="C67" s="164"/>
      <c r="D67" s="144"/>
      <c r="E67" s="144"/>
      <c r="F67" s="164"/>
      <c r="G67" s="144"/>
      <c r="H67" s="16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</row>
    <row r="68" ht="15.75" customHeight="1">
      <c r="A68" s="144"/>
      <c r="B68" s="144"/>
      <c r="C68" s="164"/>
      <c r="D68" s="144"/>
      <c r="E68" s="144"/>
      <c r="F68" s="164"/>
      <c r="G68" s="144"/>
      <c r="H68" s="16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</row>
    <row r="69" ht="15.75" customHeight="1">
      <c r="A69" s="144"/>
      <c r="B69" s="144"/>
      <c r="C69" s="164"/>
      <c r="D69" s="144"/>
      <c r="E69" s="144"/>
      <c r="F69" s="164"/>
      <c r="G69" s="144"/>
      <c r="H69" s="16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</row>
    <row r="70" ht="15.75" customHeight="1">
      <c r="A70" s="144"/>
      <c r="B70" s="144"/>
      <c r="C70" s="164"/>
      <c r="D70" s="144"/>
      <c r="E70" s="144"/>
      <c r="F70" s="164"/>
      <c r="G70" s="144"/>
      <c r="H70" s="16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</row>
    <row r="71" ht="15.75" customHeight="1">
      <c r="A71" s="144"/>
      <c r="B71" s="144"/>
      <c r="C71" s="164"/>
      <c r="D71" s="144"/>
      <c r="E71" s="144"/>
      <c r="F71" s="164"/>
      <c r="G71" s="144"/>
      <c r="H71" s="16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</row>
    <row r="72" ht="15.75" customHeight="1">
      <c r="A72" s="144"/>
      <c r="B72" s="144"/>
      <c r="C72" s="164"/>
      <c r="D72" s="144"/>
      <c r="E72" s="144"/>
      <c r="F72" s="164"/>
      <c r="G72" s="144"/>
      <c r="H72" s="16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</row>
    <row r="73" ht="15.75" customHeight="1">
      <c r="A73" s="144"/>
      <c r="B73" s="144"/>
      <c r="C73" s="164"/>
      <c r="D73" s="144"/>
      <c r="E73" s="144"/>
      <c r="F73" s="164"/>
      <c r="G73" s="144"/>
      <c r="H73" s="16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</row>
    <row r="74" ht="15.75" customHeight="1">
      <c r="A74" s="144"/>
      <c r="B74" s="144"/>
      <c r="C74" s="164"/>
      <c r="D74" s="144"/>
      <c r="E74" s="144"/>
      <c r="F74" s="164"/>
      <c r="G74" s="144"/>
      <c r="H74" s="16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</row>
    <row r="75" ht="15.75" customHeight="1">
      <c r="A75" s="144"/>
      <c r="B75" s="144"/>
      <c r="C75" s="164"/>
      <c r="D75" s="144"/>
      <c r="E75" s="144"/>
      <c r="F75" s="164"/>
      <c r="G75" s="144"/>
      <c r="H75" s="16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</row>
    <row r="76" ht="15.75" customHeight="1">
      <c r="A76" s="144"/>
      <c r="B76" s="144"/>
      <c r="C76" s="164"/>
      <c r="D76" s="144"/>
      <c r="E76" s="144"/>
      <c r="F76" s="164"/>
      <c r="G76" s="144"/>
      <c r="H76" s="16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</row>
    <row r="77" ht="15.75" customHeight="1">
      <c r="A77" s="144"/>
      <c r="B77" s="144"/>
      <c r="C77" s="164"/>
      <c r="D77" s="144"/>
      <c r="E77" s="144"/>
      <c r="F77" s="164"/>
      <c r="G77" s="144"/>
      <c r="H77" s="16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</row>
    <row r="78" ht="15.75" customHeight="1">
      <c r="A78" s="144"/>
      <c r="B78" s="144"/>
      <c r="C78" s="164"/>
      <c r="D78" s="144"/>
      <c r="E78" s="144"/>
      <c r="F78" s="164"/>
      <c r="G78" s="144"/>
      <c r="H78" s="16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</row>
    <row r="79" ht="15.75" customHeight="1">
      <c r="A79" s="144"/>
      <c r="B79" s="144"/>
      <c r="C79" s="164"/>
      <c r="D79" s="144"/>
      <c r="E79" s="144"/>
      <c r="F79" s="164"/>
      <c r="G79" s="144"/>
      <c r="H79" s="16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</row>
    <row r="80" ht="15.75" customHeight="1">
      <c r="A80" s="144"/>
      <c r="B80" s="144"/>
      <c r="C80" s="164"/>
      <c r="D80" s="144"/>
      <c r="E80" s="144"/>
      <c r="F80" s="164"/>
      <c r="G80" s="144"/>
      <c r="H80" s="16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</row>
    <row r="81" ht="15.75" customHeight="1">
      <c r="A81" s="144"/>
      <c r="B81" s="144"/>
      <c r="C81" s="164"/>
      <c r="D81" s="144"/>
      <c r="E81" s="144"/>
      <c r="F81" s="164"/>
      <c r="G81" s="144"/>
      <c r="H81" s="16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</row>
    <row r="82" ht="15.75" customHeight="1">
      <c r="A82" s="144"/>
      <c r="B82" s="144"/>
      <c r="C82" s="164"/>
      <c r="D82" s="144"/>
      <c r="E82" s="144"/>
      <c r="F82" s="164"/>
      <c r="G82" s="144"/>
      <c r="H82" s="16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  <c r="AB82" s="144"/>
    </row>
    <row r="83" ht="15.75" customHeight="1">
      <c r="A83" s="144"/>
      <c r="B83" s="144"/>
      <c r="C83" s="164"/>
      <c r="D83" s="144"/>
      <c r="E83" s="144"/>
      <c r="F83" s="164"/>
      <c r="G83" s="144"/>
      <c r="H83" s="16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</row>
    <row r="84" ht="15.75" customHeight="1">
      <c r="A84" s="144"/>
      <c r="B84" s="144"/>
      <c r="C84" s="164"/>
      <c r="D84" s="144"/>
      <c r="E84" s="144"/>
      <c r="F84" s="164"/>
      <c r="G84" s="144"/>
      <c r="H84" s="16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</row>
    <row r="85" ht="15.75" customHeight="1">
      <c r="A85" s="144"/>
      <c r="B85" s="144"/>
      <c r="C85" s="164"/>
      <c r="D85" s="144"/>
      <c r="E85" s="144"/>
      <c r="F85" s="164"/>
      <c r="G85" s="144"/>
      <c r="H85" s="16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</row>
    <row r="86" ht="15.75" customHeight="1">
      <c r="A86" s="144"/>
      <c r="B86" s="144"/>
      <c r="C86" s="164"/>
      <c r="D86" s="144"/>
      <c r="E86" s="144"/>
      <c r="F86" s="164"/>
      <c r="G86" s="144"/>
      <c r="H86" s="16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</row>
    <row r="87" ht="15.75" customHeight="1">
      <c r="A87" s="144"/>
      <c r="B87" s="144"/>
      <c r="C87" s="164"/>
      <c r="D87" s="144"/>
      <c r="E87" s="144"/>
      <c r="F87" s="164"/>
      <c r="G87" s="144"/>
      <c r="H87" s="16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</row>
    <row r="88" ht="15.75" customHeight="1">
      <c r="A88" s="144"/>
      <c r="B88" s="144"/>
      <c r="C88" s="164"/>
      <c r="D88" s="144"/>
      <c r="E88" s="144"/>
      <c r="F88" s="164"/>
      <c r="G88" s="144"/>
      <c r="H88" s="16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</row>
    <row r="89" ht="15.75" customHeight="1">
      <c r="A89" s="144"/>
      <c r="B89" s="144"/>
      <c r="C89" s="164"/>
      <c r="D89" s="144"/>
      <c r="E89" s="144"/>
      <c r="F89" s="164"/>
      <c r="G89" s="144"/>
      <c r="H89" s="16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</row>
    <row r="90" ht="15.75" customHeight="1">
      <c r="A90" s="144"/>
      <c r="B90" s="144"/>
      <c r="C90" s="164"/>
      <c r="D90" s="144"/>
      <c r="E90" s="144"/>
      <c r="F90" s="164"/>
      <c r="G90" s="144"/>
      <c r="H90" s="16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</row>
    <row r="91" ht="15.75" customHeight="1">
      <c r="A91" s="144"/>
      <c r="B91" s="144"/>
      <c r="C91" s="164"/>
      <c r="D91" s="144"/>
      <c r="E91" s="144"/>
      <c r="F91" s="164"/>
      <c r="G91" s="144"/>
      <c r="H91" s="16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</row>
    <row r="92" ht="15.75" customHeight="1">
      <c r="A92" s="144"/>
      <c r="B92" s="144"/>
      <c r="C92" s="164"/>
      <c r="D92" s="144"/>
      <c r="E92" s="144"/>
      <c r="F92" s="164"/>
      <c r="G92" s="144"/>
      <c r="H92" s="16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  <c r="AB92" s="144"/>
    </row>
    <row r="93" ht="15.75" customHeight="1">
      <c r="A93" s="144"/>
      <c r="B93" s="144"/>
      <c r="C93" s="164"/>
      <c r="D93" s="144"/>
      <c r="E93" s="144"/>
      <c r="F93" s="164"/>
      <c r="G93" s="144"/>
      <c r="H93" s="16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</row>
    <row r="94" ht="15.75" customHeight="1">
      <c r="A94" s="144"/>
      <c r="B94" s="144"/>
      <c r="C94" s="164"/>
      <c r="D94" s="144"/>
      <c r="E94" s="144"/>
      <c r="F94" s="164"/>
      <c r="G94" s="144"/>
      <c r="H94" s="16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</row>
    <row r="95" ht="15.75" customHeight="1">
      <c r="A95" s="144"/>
      <c r="B95" s="144"/>
      <c r="C95" s="164"/>
      <c r="D95" s="144"/>
      <c r="E95" s="144"/>
      <c r="F95" s="164"/>
      <c r="G95" s="144"/>
      <c r="H95" s="16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</row>
    <row r="96" ht="15.75" customHeight="1">
      <c r="A96" s="144"/>
      <c r="B96" s="144"/>
      <c r="C96" s="164"/>
      <c r="D96" s="144"/>
      <c r="E96" s="144"/>
      <c r="F96" s="164"/>
      <c r="G96" s="144"/>
      <c r="H96" s="16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</row>
    <row r="97" ht="15.75" customHeight="1">
      <c r="A97" s="144"/>
      <c r="B97" s="144"/>
      <c r="C97" s="164"/>
      <c r="D97" s="144"/>
      <c r="E97" s="144"/>
      <c r="F97" s="164"/>
      <c r="G97" s="144"/>
      <c r="H97" s="16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</row>
    <row r="98" ht="15.75" customHeight="1">
      <c r="A98" s="144"/>
      <c r="B98" s="144"/>
      <c r="C98" s="164"/>
      <c r="D98" s="144"/>
      <c r="E98" s="144"/>
      <c r="F98" s="164"/>
      <c r="G98" s="144"/>
      <c r="H98" s="16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</row>
    <row r="99" ht="15.75" customHeight="1">
      <c r="A99" s="144"/>
      <c r="B99" s="144"/>
      <c r="C99" s="164"/>
      <c r="D99" s="144"/>
      <c r="E99" s="144"/>
      <c r="F99" s="164"/>
      <c r="G99" s="144"/>
      <c r="H99" s="16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</row>
    <row r="100" ht="15.75" customHeight="1">
      <c r="A100" s="144"/>
      <c r="B100" s="144"/>
      <c r="C100" s="164"/>
      <c r="D100" s="144"/>
      <c r="E100" s="144"/>
      <c r="F100" s="164"/>
      <c r="G100" s="144"/>
      <c r="H100" s="16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</row>
    <row r="101" ht="15.75" customHeight="1">
      <c r="A101" s="144"/>
      <c r="B101" s="144"/>
      <c r="C101" s="164"/>
      <c r="D101" s="144"/>
      <c r="E101" s="144"/>
      <c r="F101" s="164"/>
      <c r="G101" s="144"/>
      <c r="H101" s="16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</row>
    <row r="102" ht="15.75" customHeight="1">
      <c r="A102" s="144"/>
      <c r="B102" s="144"/>
      <c r="C102" s="164"/>
      <c r="D102" s="144"/>
      <c r="E102" s="144"/>
      <c r="F102" s="164"/>
      <c r="G102" s="144"/>
      <c r="H102" s="16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</row>
    <row r="103" ht="15.75" customHeight="1">
      <c r="A103" s="144"/>
      <c r="B103" s="144"/>
      <c r="C103" s="164"/>
      <c r="D103" s="144"/>
      <c r="E103" s="144"/>
      <c r="F103" s="164"/>
      <c r="G103" s="144"/>
      <c r="H103" s="16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</row>
    <row r="104" ht="15.75" customHeight="1">
      <c r="A104" s="144"/>
      <c r="B104" s="144"/>
      <c r="C104" s="164"/>
      <c r="D104" s="144"/>
      <c r="E104" s="144"/>
      <c r="F104" s="164"/>
      <c r="G104" s="144"/>
      <c r="H104" s="16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</row>
    <row r="105" ht="15.75" customHeight="1">
      <c r="A105" s="144"/>
      <c r="B105" s="144"/>
      <c r="C105" s="164"/>
      <c r="D105" s="144"/>
      <c r="E105" s="144"/>
      <c r="F105" s="164"/>
      <c r="G105" s="144"/>
      <c r="H105" s="16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  <c r="AB105" s="144"/>
    </row>
    <row r="106" ht="15.75" customHeight="1">
      <c r="A106" s="144"/>
      <c r="B106" s="144"/>
      <c r="C106" s="164"/>
      <c r="D106" s="144"/>
      <c r="E106" s="144"/>
      <c r="F106" s="164"/>
      <c r="G106" s="144"/>
      <c r="H106" s="16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</row>
    <row r="107" ht="15.75" customHeight="1">
      <c r="A107" s="144"/>
      <c r="B107" s="144"/>
      <c r="C107" s="164"/>
      <c r="D107" s="144"/>
      <c r="E107" s="144"/>
      <c r="F107" s="164"/>
      <c r="G107" s="144"/>
      <c r="H107" s="16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</row>
    <row r="108" ht="15.75" customHeight="1">
      <c r="A108" s="144"/>
      <c r="B108" s="144"/>
      <c r="C108" s="164"/>
      <c r="D108" s="144"/>
      <c r="E108" s="144"/>
      <c r="F108" s="164"/>
      <c r="G108" s="144"/>
      <c r="H108" s="16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</row>
    <row r="109" ht="15.75" customHeight="1">
      <c r="A109" s="144"/>
      <c r="B109" s="144"/>
      <c r="C109" s="164"/>
      <c r="D109" s="144"/>
      <c r="E109" s="144"/>
      <c r="F109" s="164"/>
      <c r="G109" s="144"/>
      <c r="H109" s="16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</row>
    <row r="110" ht="15.75" customHeight="1">
      <c r="A110" s="144"/>
      <c r="B110" s="144"/>
      <c r="C110" s="164"/>
      <c r="D110" s="144"/>
      <c r="E110" s="144"/>
      <c r="F110" s="164"/>
      <c r="G110" s="144"/>
      <c r="H110" s="16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  <c r="AB110" s="144"/>
    </row>
    <row r="111" ht="15.75" customHeight="1">
      <c r="A111" s="144"/>
      <c r="B111" s="144"/>
      <c r="C111" s="164"/>
      <c r="D111" s="144"/>
      <c r="E111" s="144"/>
      <c r="F111" s="164"/>
      <c r="G111" s="144"/>
      <c r="H111" s="16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</row>
    <row r="112" ht="15.75" customHeight="1">
      <c r="A112" s="144"/>
      <c r="B112" s="144"/>
      <c r="C112" s="164"/>
      <c r="D112" s="144"/>
      <c r="E112" s="144"/>
      <c r="F112" s="164"/>
      <c r="G112" s="144"/>
      <c r="H112" s="16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  <c r="AB112" s="144"/>
    </row>
    <row r="113" ht="15.75" customHeight="1">
      <c r="A113" s="144"/>
      <c r="B113" s="144"/>
      <c r="C113" s="164"/>
      <c r="D113" s="144"/>
      <c r="E113" s="144"/>
      <c r="F113" s="164"/>
      <c r="G113" s="144"/>
      <c r="H113" s="16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</row>
    <row r="114" ht="15.75" customHeight="1">
      <c r="A114" s="144"/>
      <c r="B114" s="144"/>
      <c r="C114" s="164"/>
      <c r="D114" s="144"/>
      <c r="E114" s="144"/>
      <c r="F114" s="164"/>
      <c r="G114" s="144"/>
      <c r="H114" s="16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</row>
    <row r="115" ht="15.75" customHeight="1">
      <c r="A115" s="144"/>
      <c r="B115" s="144"/>
      <c r="C115" s="164"/>
      <c r="D115" s="144"/>
      <c r="E115" s="144"/>
      <c r="F115" s="164"/>
      <c r="G115" s="144"/>
      <c r="H115" s="16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</row>
    <row r="116" ht="15.75" customHeight="1">
      <c r="A116" s="144"/>
      <c r="B116" s="144"/>
      <c r="C116" s="164"/>
      <c r="D116" s="144"/>
      <c r="E116" s="144"/>
      <c r="F116" s="164"/>
      <c r="G116" s="144"/>
      <c r="H116" s="16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  <c r="AB116" s="144"/>
    </row>
    <row r="117" ht="15.75" customHeight="1">
      <c r="A117" s="144"/>
      <c r="B117" s="144"/>
      <c r="C117" s="164"/>
      <c r="D117" s="144"/>
      <c r="E117" s="144"/>
      <c r="F117" s="164"/>
      <c r="G117" s="144"/>
      <c r="H117" s="16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</row>
    <row r="118" ht="15.75" customHeight="1">
      <c r="A118" s="144"/>
      <c r="B118" s="144"/>
      <c r="C118" s="164"/>
      <c r="D118" s="144"/>
      <c r="E118" s="144"/>
      <c r="F118" s="164"/>
      <c r="G118" s="144"/>
      <c r="H118" s="16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</row>
    <row r="119" ht="15.75" customHeight="1">
      <c r="A119" s="144"/>
      <c r="B119" s="144"/>
      <c r="C119" s="164"/>
      <c r="D119" s="144"/>
      <c r="E119" s="144"/>
      <c r="F119" s="164"/>
      <c r="G119" s="144"/>
      <c r="H119" s="16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</row>
    <row r="120" ht="15.75" customHeight="1">
      <c r="A120" s="144"/>
      <c r="B120" s="144"/>
      <c r="C120" s="164"/>
      <c r="D120" s="144"/>
      <c r="E120" s="144"/>
      <c r="F120" s="164"/>
      <c r="G120" s="144"/>
      <c r="H120" s="16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</row>
    <row r="121" ht="15.75" customHeight="1">
      <c r="A121" s="144"/>
      <c r="B121" s="144"/>
      <c r="C121" s="164"/>
      <c r="D121" s="144"/>
      <c r="E121" s="144"/>
      <c r="F121" s="164"/>
      <c r="G121" s="144"/>
      <c r="H121" s="16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</row>
    <row r="122" ht="15.75" customHeight="1">
      <c r="A122" s="144"/>
      <c r="B122" s="144"/>
      <c r="C122" s="164"/>
      <c r="D122" s="144"/>
      <c r="E122" s="144"/>
      <c r="F122" s="164"/>
      <c r="G122" s="144"/>
      <c r="H122" s="16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  <c r="AB122" s="144"/>
    </row>
    <row r="123" ht="15.75" customHeight="1">
      <c r="A123" s="144"/>
      <c r="B123" s="144"/>
      <c r="C123" s="164"/>
      <c r="D123" s="144"/>
      <c r="E123" s="144"/>
      <c r="F123" s="164"/>
      <c r="G123" s="144"/>
      <c r="H123" s="16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/>
    </row>
    <row r="124" ht="15.75" customHeight="1">
      <c r="A124" s="144"/>
      <c r="B124" s="144"/>
      <c r="C124" s="164"/>
      <c r="D124" s="144"/>
      <c r="E124" s="144"/>
      <c r="F124" s="164"/>
      <c r="G124" s="144"/>
      <c r="H124" s="16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  <c r="AB124" s="144"/>
    </row>
    <row r="125" ht="15.75" customHeight="1">
      <c r="A125" s="144"/>
      <c r="B125" s="144"/>
      <c r="C125" s="164"/>
      <c r="D125" s="144"/>
      <c r="E125" s="144"/>
      <c r="F125" s="164"/>
      <c r="G125" s="144"/>
      <c r="H125" s="16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</row>
    <row r="126" ht="15.75" customHeight="1">
      <c r="A126" s="144"/>
      <c r="B126" s="144"/>
      <c r="C126" s="164"/>
      <c r="D126" s="144"/>
      <c r="E126" s="144"/>
      <c r="F126" s="164"/>
      <c r="G126" s="144"/>
      <c r="H126" s="16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  <c r="AB126" s="144"/>
    </row>
    <row r="127" ht="15.75" customHeight="1">
      <c r="A127" s="144"/>
      <c r="B127" s="144"/>
      <c r="C127" s="164"/>
      <c r="D127" s="144"/>
      <c r="E127" s="144"/>
      <c r="F127" s="164"/>
      <c r="G127" s="144"/>
      <c r="H127" s="16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</row>
    <row r="128" ht="15.75" customHeight="1">
      <c r="A128" s="144"/>
      <c r="B128" s="144"/>
      <c r="C128" s="164"/>
      <c r="D128" s="144"/>
      <c r="E128" s="144"/>
      <c r="F128" s="164"/>
      <c r="G128" s="144"/>
      <c r="H128" s="16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</row>
    <row r="129" ht="15.75" customHeight="1">
      <c r="A129" s="144"/>
      <c r="B129" s="144"/>
      <c r="C129" s="164"/>
      <c r="D129" s="144"/>
      <c r="E129" s="144"/>
      <c r="F129" s="164"/>
      <c r="G129" s="144"/>
      <c r="H129" s="16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</row>
    <row r="130" ht="15.75" customHeight="1">
      <c r="A130" s="144"/>
      <c r="B130" s="144"/>
      <c r="C130" s="164"/>
      <c r="D130" s="144"/>
      <c r="E130" s="144"/>
      <c r="F130" s="164"/>
      <c r="G130" s="144"/>
      <c r="H130" s="16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</row>
    <row r="131" ht="15.75" customHeight="1">
      <c r="A131" s="144"/>
      <c r="B131" s="144"/>
      <c r="C131" s="164"/>
      <c r="D131" s="144"/>
      <c r="E131" s="144"/>
      <c r="F131" s="164"/>
      <c r="G131" s="144"/>
      <c r="H131" s="16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  <c r="AB131" s="144"/>
    </row>
    <row r="132" ht="15.75" customHeight="1">
      <c r="A132" s="144"/>
      <c r="B132" s="144"/>
      <c r="C132" s="164"/>
      <c r="D132" s="144"/>
      <c r="E132" s="144"/>
      <c r="F132" s="164"/>
      <c r="G132" s="144"/>
      <c r="H132" s="16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  <c r="AB132" s="144"/>
    </row>
    <row r="133" ht="15.75" customHeight="1">
      <c r="A133" s="144"/>
      <c r="B133" s="144"/>
      <c r="C133" s="164"/>
      <c r="D133" s="144"/>
      <c r="E133" s="144"/>
      <c r="F133" s="164"/>
      <c r="G133" s="144"/>
      <c r="H133" s="16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</row>
    <row r="134" ht="15.75" customHeight="1">
      <c r="A134" s="144"/>
      <c r="B134" s="144"/>
      <c r="C134" s="164"/>
      <c r="D134" s="144"/>
      <c r="E134" s="144"/>
      <c r="F134" s="164"/>
      <c r="G134" s="144"/>
      <c r="H134" s="16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</row>
    <row r="135" ht="15.75" customHeight="1">
      <c r="A135" s="144"/>
      <c r="B135" s="144"/>
      <c r="C135" s="164"/>
      <c r="D135" s="144"/>
      <c r="E135" s="144"/>
      <c r="F135" s="164"/>
      <c r="G135" s="144"/>
      <c r="H135" s="16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  <c r="AB135" s="144"/>
    </row>
    <row r="136" ht="15.75" customHeight="1">
      <c r="A136" s="144"/>
      <c r="B136" s="144"/>
      <c r="C136" s="164"/>
      <c r="D136" s="144"/>
      <c r="E136" s="144"/>
      <c r="F136" s="164"/>
      <c r="G136" s="144"/>
      <c r="H136" s="16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  <c r="AB136" s="144"/>
    </row>
    <row r="137" ht="15.75" customHeight="1">
      <c r="A137" s="144"/>
      <c r="B137" s="144"/>
      <c r="C137" s="164"/>
      <c r="D137" s="144"/>
      <c r="E137" s="144"/>
      <c r="F137" s="164"/>
      <c r="G137" s="144"/>
      <c r="H137" s="16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</row>
    <row r="138" ht="15.75" customHeight="1">
      <c r="A138" s="144"/>
      <c r="B138" s="144"/>
      <c r="C138" s="164"/>
      <c r="D138" s="144"/>
      <c r="E138" s="144"/>
      <c r="F138" s="164"/>
      <c r="G138" s="144"/>
      <c r="H138" s="16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</row>
    <row r="139" ht="15.75" customHeight="1">
      <c r="A139" s="144"/>
      <c r="B139" s="144"/>
      <c r="C139" s="164"/>
      <c r="D139" s="144"/>
      <c r="E139" s="144"/>
      <c r="F139" s="164"/>
      <c r="G139" s="144"/>
      <c r="H139" s="16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</row>
    <row r="140" ht="15.75" customHeight="1">
      <c r="A140" s="144"/>
      <c r="B140" s="144"/>
      <c r="C140" s="164"/>
      <c r="D140" s="144"/>
      <c r="E140" s="144"/>
      <c r="F140" s="164"/>
      <c r="G140" s="144"/>
      <c r="H140" s="16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</row>
    <row r="141" ht="15.75" customHeight="1">
      <c r="A141" s="144"/>
      <c r="B141" s="144"/>
      <c r="C141" s="164"/>
      <c r="D141" s="144"/>
      <c r="E141" s="144"/>
      <c r="F141" s="164"/>
      <c r="G141" s="144"/>
      <c r="H141" s="16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  <c r="AB141" s="144"/>
    </row>
    <row r="142" ht="15.75" customHeight="1">
      <c r="A142" s="144"/>
      <c r="B142" s="144"/>
      <c r="C142" s="164"/>
      <c r="D142" s="144"/>
      <c r="E142" s="144"/>
      <c r="F142" s="164"/>
      <c r="G142" s="144"/>
      <c r="H142" s="16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  <c r="AB142" s="144"/>
    </row>
    <row r="143" ht="15.75" customHeight="1">
      <c r="A143" s="144"/>
      <c r="B143" s="144"/>
      <c r="C143" s="164"/>
      <c r="D143" s="144"/>
      <c r="E143" s="144"/>
      <c r="F143" s="164"/>
      <c r="G143" s="144"/>
      <c r="H143" s="16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  <c r="AB143" s="144"/>
    </row>
    <row r="144" ht="15.75" customHeight="1">
      <c r="A144" s="144"/>
      <c r="B144" s="144"/>
      <c r="C144" s="164"/>
      <c r="D144" s="144"/>
      <c r="E144" s="144"/>
      <c r="F144" s="164"/>
      <c r="G144" s="144"/>
      <c r="H144" s="16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  <c r="AB144" s="144"/>
    </row>
    <row r="145" ht="15.75" customHeight="1">
      <c r="A145" s="144"/>
      <c r="B145" s="144"/>
      <c r="C145" s="164"/>
      <c r="D145" s="144"/>
      <c r="E145" s="144"/>
      <c r="F145" s="164"/>
      <c r="G145" s="144"/>
      <c r="H145" s="16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  <c r="AB145" s="144"/>
    </row>
    <row r="146" ht="15.75" customHeight="1">
      <c r="A146" s="144"/>
      <c r="B146" s="144"/>
      <c r="C146" s="164"/>
      <c r="D146" s="144"/>
      <c r="E146" s="144"/>
      <c r="F146" s="164"/>
      <c r="G146" s="144"/>
      <c r="H146" s="16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  <c r="AB146" s="144"/>
    </row>
    <row r="147" ht="15.75" customHeight="1">
      <c r="A147" s="144"/>
      <c r="B147" s="144"/>
      <c r="C147" s="164"/>
      <c r="D147" s="144"/>
      <c r="E147" s="144"/>
      <c r="F147" s="164"/>
      <c r="G147" s="144"/>
      <c r="H147" s="16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  <c r="AB147" s="144"/>
    </row>
    <row r="148" ht="15.75" customHeight="1">
      <c r="A148" s="144"/>
      <c r="B148" s="144"/>
      <c r="C148" s="164"/>
      <c r="D148" s="144"/>
      <c r="E148" s="144"/>
      <c r="F148" s="164"/>
      <c r="G148" s="144"/>
      <c r="H148" s="16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  <c r="AB148" s="144"/>
    </row>
    <row r="149" ht="15.75" customHeight="1">
      <c r="A149" s="144"/>
      <c r="B149" s="144"/>
      <c r="C149" s="164"/>
      <c r="D149" s="144"/>
      <c r="E149" s="144"/>
      <c r="F149" s="164"/>
      <c r="G149" s="144"/>
      <c r="H149" s="16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  <c r="AB149" s="144"/>
    </row>
    <row r="150" ht="15.75" customHeight="1">
      <c r="A150" s="144"/>
      <c r="B150" s="144"/>
      <c r="C150" s="164"/>
      <c r="D150" s="144"/>
      <c r="E150" s="144"/>
      <c r="F150" s="164"/>
      <c r="G150" s="144"/>
      <c r="H150" s="16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  <c r="AB150" s="144"/>
    </row>
    <row r="151" ht="15.75" customHeight="1">
      <c r="A151" s="144"/>
      <c r="B151" s="144"/>
      <c r="C151" s="164"/>
      <c r="D151" s="144"/>
      <c r="E151" s="144"/>
      <c r="F151" s="164"/>
      <c r="G151" s="144"/>
      <c r="H151" s="16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  <c r="AB151" s="144"/>
    </row>
    <row r="152" ht="15.75" customHeight="1">
      <c r="A152" s="144"/>
      <c r="B152" s="144"/>
      <c r="C152" s="164"/>
      <c r="D152" s="144"/>
      <c r="E152" s="144"/>
      <c r="F152" s="164"/>
      <c r="G152" s="144"/>
      <c r="H152" s="16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  <c r="AB152" s="144"/>
    </row>
    <row r="153" ht="15.75" customHeight="1">
      <c r="A153" s="144"/>
      <c r="B153" s="144"/>
      <c r="C153" s="164"/>
      <c r="D153" s="144"/>
      <c r="E153" s="144"/>
      <c r="F153" s="164"/>
      <c r="G153" s="144"/>
      <c r="H153" s="16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</row>
    <row r="154" ht="15.75" customHeight="1">
      <c r="A154" s="144"/>
      <c r="B154" s="144"/>
      <c r="C154" s="164"/>
      <c r="D154" s="144"/>
      <c r="E154" s="144"/>
      <c r="F154" s="164"/>
      <c r="G154" s="144"/>
      <c r="H154" s="16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  <c r="AB154" s="144"/>
    </row>
    <row r="155" ht="15.75" customHeight="1">
      <c r="A155" s="144"/>
      <c r="B155" s="144"/>
      <c r="C155" s="164"/>
      <c r="D155" s="144"/>
      <c r="E155" s="144"/>
      <c r="F155" s="164"/>
      <c r="G155" s="144"/>
      <c r="H155" s="16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  <c r="AB155" s="144"/>
    </row>
    <row r="156" ht="15.75" customHeight="1">
      <c r="A156" s="144"/>
      <c r="B156" s="144"/>
      <c r="C156" s="164"/>
      <c r="D156" s="144"/>
      <c r="E156" s="144"/>
      <c r="F156" s="164"/>
      <c r="G156" s="144"/>
      <c r="H156" s="16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  <c r="AB156" s="144"/>
    </row>
    <row r="157" ht="15.75" customHeight="1">
      <c r="A157" s="144"/>
      <c r="B157" s="144"/>
      <c r="C157" s="164"/>
      <c r="D157" s="144"/>
      <c r="E157" s="144"/>
      <c r="F157" s="164"/>
      <c r="G157" s="144"/>
      <c r="H157" s="16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  <c r="AB157" s="144"/>
    </row>
    <row r="158" ht="15.75" customHeight="1">
      <c r="A158" s="144"/>
      <c r="B158" s="144"/>
      <c r="C158" s="164"/>
      <c r="D158" s="144"/>
      <c r="E158" s="144"/>
      <c r="F158" s="164"/>
      <c r="G158" s="144"/>
      <c r="H158" s="16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  <c r="AB158" s="144"/>
    </row>
    <row r="159" ht="15.75" customHeight="1">
      <c r="A159" s="144"/>
      <c r="B159" s="144"/>
      <c r="C159" s="164"/>
      <c r="D159" s="144"/>
      <c r="E159" s="144"/>
      <c r="F159" s="164"/>
      <c r="G159" s="144"/>
      <c r="H159" s="16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  <c r="AB159" s="144"/>
    </row>
    <row r="160" ht="15.75" customHeight="1">
      <c r="A160" s="144"/>
      <c r="B160" s="144"/>
      <c r="C160" s="164"/>
      <c r="D160" s="144"/>
      <c r="E160" s="144"/>
      <c r="F160" s="164"/>
      <c r="G160" s="144"/>
      <c r="H160" s="16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  <c r="AB160" s="144"/>
    </row>
    <row r="161" ht="15.75" customHeight="1">
      <c r="A161" s="144"/>
      <c r="B161" s="144"/>
      <c r="C161" s="164"/>
      <c r="D161" s="144"/>
      <c r="E161" s="144"/>
      <c r="F161" s="164"/>
      <c r="G161" s="144"/>
      <c r="H161" s="16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  <c r="AB161" s="144"/>
    </row>
    <row r="162" ht="15.75" customHeight="1">
      <c r="A162" s="144"/>
      <c r="B162" s="144"/>
      <c r="C162" s="164"/>
      <c r="D162" s="144"/>
      <c r="E162" s="144"/>
      <c r="F162" s="164"/>
      <c r="G162" s="144"/>
      <c r="H162" s="16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  <c r="AB162" s="144"/>
    </row>
    <row r="163" ht="15.75" customHeight="1">
      <c r="A163" s="144"/>
      <c r="B163" s="144"/>
      <c r="C163" s="164"/>
      <c r="D163" s="144"/>
      <c r="E163" s="144"/>
      <c r="F163" s="164"/>
      <c r="G163" s="144"/>
      <c r="H163" s="16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  <c r="AB163" s="144"/>
    </row>
    <row r="164" ht="15.75" customHeight="1">
      <c r="A164" s="144"/>
      <c r="B164" s="144"/>
      <c r="C164" s="164"/>
      <c r="D164" s="144"/>
      <c r="E164" s="144"/>
      <c r="F164" s="164"/>
      <c r="G164" s="144"/>
      <c r="H164" s="16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  <c r="AB164" s="144"/>
    </row>
    <row r="165" ht="15.75" customHeight="1">
      <c r="A165" s="144"/>
      <c r="B165" s="144"/>
      <c r="C165" s="164"/>
      <c r="D165" s="144"/>
      <c r="E165" s="144"/>
      <c r="F165" s="164"/>
      <c r="G165" s="144"/>
      <c r="H165" s="16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  <c r="AB165" s="144"/>
    </row>
    <row r="166" ht="15.75" customHeight="1">
      <c r="A166" s="144"/>
      <c r="B166" s="144"/>
      <c r="C166" s="164"/>
      <c r="D166" s="144"/>
      <c r="E166" s="144"/>
      <c r="F166" s="164"/>
      <c r="G166" s="144"/>
      <c r="H166" s="16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  <c r="AB166" s="144"/>
    </row>
    <row r="167" ht="15.75" customHeight="1">
      <c r="A167" s="144"/>
      <c r="B167" s="144"/>
      <c r="C167" s="164"/>
      <c r="D167" s="144"/>
      <c r="E167" s="144"/>
      <c r="F167" s="164"/>
      <c r="G167" s="144"/>
      <c r="H167" s="16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  <c r="AB167" s="144"/>
    </row>
    <row r="168" ht="15.75" customHeight="1">
      <c r="A168" s="144"/>
      <c r="B168" s="144"/>
      <c r="C168" s="164"/>
      <c r="D168" s="144"/>
      <c r="E168" s="144"/>
      <c r="F168" s="164"/>
      <c r="G168" s="144"/>
      <c r="H168" s="16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  <c r="AB168" s="144"/>
    </row>
    <row r="169" ht="15.75" customHeight="1">
      <c r="A169" s="144"/>
      <c r="B169" s="144"/>
      <c r="C169" s="164"/>
      <c r="D169" s="144"/>
      <c r="E169" s="144"/>
      <c r="F169" s="164"/>
      <c r="G169" s="144"/>
      <c r="H169" s="16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</row>
    <row r="170" ht="15.75" customHeight="1">
      <c r="A170" s="144"/>
      <c r="B170" s="144"/>
      <c r="C170" s="164"/>
      <c r="D170" s="144"/>
      <c r="E170" s="144"/>
      <c r="F170" s="164"/>
      <c r="G170" s="144"/>
      <c r="H170" s="16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  <c r="AB170" s="144"/>
    </row>
    <row r="171" ht="15.75" customHeight="1">
      <c r="A171" s="144"/>
      <c r="B171" s="144"/>
      <c r="C171" s="164"/>
      <c r="D171" s="144"/>
      <c r="E171" s="144"/>
      <c r="F171" s="164"/>
      <c r="G171" s="144"/>
      <c r="H171" s="16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</row>
    <row r="172" ht="15.75" customHeight="1">
      <c r="A172" s="144"/>
      <c r="B172" s="144"/>
      <c r="C172" s="164"/>
      <c r="D172" s="144"/>
      <c r="E172" s="144"/>
      <c r="F172" s="164"/>
      <c r="G172" s="144"/>
      <c r="H172" s="16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  <c r="AB172" s="144"/>
    </row>
    <row r="173" ht="15.75" customHeight="1">
      <c r="A173" s="144"/>
      <c r="B173" s="144"/>
      <c r="C173" s="164"/>
      <c r="D173" s="144"/>
      <c r="E173" s="144"/>
      <c r="F173" s="164"/>
      <c r="G173" s="144"/>
      <c r="H173" s="16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</row>
    <row r="174" ht="15.75" customHeight="1">
      <c r="A174" s="144"/>
      <c r="B174" s="144"/>
      <c r="C174" s="164"/>
      <c r="D174" s="144"/>
      <c r="E174" s="144"/>
      <c r="F174" s="164"/>
      <c r="G174" s="144"/>
      <c r="H174" s="16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  <c r="AB174" s="144"/>
    </row>
    <row r="175" ht="15.75" customHeight="1">
      <c r="A175" s="144"/>
      <c r="B175" s="144"/>
      <c r="C175" s="164"/>
      <c r="D175" s="144"/>
      <c r="E175" s="144"/>
      <c r="F175" s="164"/>
      <c r="G175" s="144"/>
      <c r="H175" s="16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  <c r="AB175" s="144"/>
    </row>
    <row r="176" ht="15.75" customHeight="1">
      <c r="A176" s="144"/>
      <c r="B176" s="144"/>
      <c r="C176" s="164"/>
      <c r="D176" s="144"/>
      <c r="E176" s="144"/>
      <c r="F176" s="164"/>
      <c r="G176" s="144"/>
      <c r="H176" s="16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  <c r="AB176" s="144"/>
    </row>
    <row r="177" ht="15.75" customHeight="1">
      <c r="A177" s="144"/>
      <c r="B177" s="144"/>
      <c r="C177" s="164"/>
      <c r="D177" s="144"/>
      <c r="E177" s="144"/>
      <c r="F177" s="164"/>
      <c r="G177" s="144"/>
      <c r="H177" s="16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  <c r="AB177" s="144"/>
    </row>
    <row r="178" ht="15.75" customHeight="1">
      <c r="A178" s="144"/>
      <c r="B178" s="144"/>
      <c r="C178" s="164"/>
      <c r="D178" s="144"/>
      <c r="E178" s="144"/>
      <c r="F178" s="164"/>
      <c r="G178" s="144"/>
      <c r="H178" s="16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  <c r="AB178" s="144"/>
    </row>
    <row r="179" ht="15.75" customHeight="1">
      <c r="A179" s="144"/>
      <c r="B179" s="144"/>
      <c r="C179" s="164"/>
      <c r="D179" s="144"/>
      <c r="E179" s="144"/>
      <c r="F179" s="164"/>
      <c r="G179" s="144"/>
      <c r="H179" s="16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</row>
    <row r="180" ht="15.75" customHeight="1">
      <c r="A180" s="144"/>
      <c r="B180" s="144"/>
      <c r="C180" s="164"/>
      <c r="D180" s="144"/>
      <c r="E180" s="144"/>
      <c r="F180" s="164"/>
      <c r="G180" s="144"/>
      <c r="H180" s="16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  <c r="AB180" s="144"/>
    </row>
    <row r="181" ht="15.75" customHeight="1">
      <c r="A181" s="144"/>
      <c r="B181" s="144"/>
      <c r="C181" s="164"/>
      <c r="D181" s="144"/>
      <c r="E181" s="144"/>
      <c r="F181" s="164"/>
      <c r="G181" s="144"/>
      <c r="H181" s="16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  <c r="AB181" s="144"/>
    </row>
    <row r="182" ht="15.75" customHeight="1">
      <c r="A182" s="144"/>
      <c r="B182" s="144"/>
      <c r="C182" s="164"/>
      <c r="D182" s="144"/>
      <c r="E182" s="144"/>
      <c r="F182" s="164"/>
      <c r="G182" s="144"/>
      <c r="H182" s="16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</row>
    <row r="183" ht="15.75" customHeight="1">
      <c r="A183" s="144"/>
      <c r="B183" s="144"/>
      <c r="C183" s="164"/>
      <c r="D183" s="144"/>
      <c r="E183" s="144"/>
      <c r="F183" s="164"/>
      <c r="G183" s="144"/>
      <c r="H183" s="16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</row>
    <row r="184" ht="15.75" customHeight="1">
      <c r="A184" s="144"/>
      <c r="B184" s="144"/>
      <c r="C184" s="164"/>
      <c r="D184" s="144"/>
      <c r="E184" s="144"/>
      <c r="F184" s="164"/>
      <c r="G184" s="144"/>
      <c r="H184" s="16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</row>
    <row r="185" ht="15.75" customHeight="1">
      <c r="A185" s="144"/>
      <c r="B185" s="144"/>
      <c r="C185" s="164"/>
      <c r="D185" s="144"/>
      <c r="E185" s="144"/>
      <c r="F185" s="164"/>
      <c r="G185" s="144"/>
      <c r="H185" s="16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</row>
    <row r="186" ht="15.75" customHeight="1">
      <c r="A186" s="144"/>
      <c r="B186" s="144"/>
      <c r="C186" s="164"/>
      <c r="D186" s="144"/>
      <c r="E186" s="144"/>
      <c r="F186" s="164"/>
      <c r="G186" s="144"/>
      <c r="H186" s="16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</row>
    <row r="187" ht="15.75" customHeight="1">
      <c r="A187" s="144"/>
      <c r="B187" s="144"/>
      <c r="C187" s="164"/>
      <c r="D187" s="144"/>
      <c r="E187" s="144"/>
      <c r="F187" s="164"/>
      <c r="G187" s="144"/>
      <c r="H187" s="16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</row>
    <row r="188" ht="15.75" customHeight="1">
      <c r="A188" s="144"/>
      <c r="B188" s="144"/>
      <c r="C188" s="164"/>
      <c r="D188" s="144"/>
      <c r="E188" s="144"/>
      <c r="F188" s="164"/>
      <c r="G188" s="144"/>
      <c r="H188" s="16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</row>
    <row r="189" ht="15.75" customHeight="1">
      <c r="A189" s="144"/>
      <c r="B189" s="144"/>
      <c r="C189" s="164"/>
      <c r="D189" s="144"/>
      <c r="E189" s="144"/>
      <c r="F189" s="164"/>
      <c r="G189" s="144"/>
      <c r="H189" s="16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</row>
    <row r="190" ht="15.75" customHeight="1">
      <c r="A190" s="144"/>
      <c r="B190" s="144"/>
      <c r="C190" s="164"/>
      <c r="D190" s="144"/>
      <c r="E190" s="144"/>
      <c r="F190" s="164"/>
      <c r="G190" s="144"/>
      <c r="H190" s="16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</row>
    <row r="191" ht="15.75" customHeight="1">
      <c r="A191" s="144"/>
      <c r="B191" s="144"/>
      <c r="C191" s="164"/>
      <c r="D191" s="144"/>
      <c r="E191" s="144"/>
      <c r="F191" s="164"/>
      <c r="G191" s="144"/>
      <c r="H191" s="16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</row>
    <row r="192" ht="15.75" customHeight="1">
      <c r="A192" s="144"/>
      <c r="B192" s="144"/>
      <c r="C192" s="164"/>
      <c r="D192" s="144"/>
      <c r="E192" s="144"/>
      <c r="F192" s="164"/>
      <c r="G192" s="144"/>
      <c r="H192" s="16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</row>
    <row r="193" ht="15.75" customHeight="1">
      <c r="A193" s="144"/>
      <c r="B193" s="144"/>
      <c r="C193" s="164"/>
      <c r="D193" s="144"/>
      <c r="E193" s="144"/>
      <c r="F193" s="164"/>
      <c r="G193" s="144"/>
      <c r="H193" s="16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</row>
    <row r="194" ht="15.75" customHeight="1">
      <c r="A194" s="144"/>
      <c r="B194" s="144"/>
      <c r="C194" s="164"/>
      <c r="D194" s="144"/>
      <c r="E194" s="144"/>
      <c r="F194" s="164"/>
      <c r="G194" s="144"/>
      <c r="H194" s="16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</row>
    <row r="195" ht="15.75" customHeight="1">
      <c r="A195" s="144"/>
      <c r="B195" s="144"/>
      <c r="C195" s="164"/>
      <c r="D195" s="144"/>
      <c r="E195" s="144"/>
      <c r="F195" s="164"/>
      <c r="G195" s="144"/>
      <c r="H195" s="16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</row>
    <row r="196" ht="15.75" customHeight="1">
      <c r="A196" s="144"/>
      <c r="B196" s="144"/>
      <c r="C196" s="164"/>
      <c r="D196" s="144"/>
      <c r="E196" s="144"/>
      <c r="F196" s="164"/>
      <c r="G196" s="144"/>
      <c r="H196" s="16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</row>
    <row r="197" ht="15.75" customHeight="1">
      <c r="A197" s="144"/>
      <c r="B197" s="144"/>
      <c r="C197" s="164"/>
      <c r="D197" s="144"/>
      <c r="E197" s="144"/>
      <c r="F197" s="164"/>
      <c r="G197" s="144"/>
      <c r="H197" s="16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</row>
    <row r="198" ht="15.75" customHeight="1">
      <c r="A198" s="144"/>
      <c r="B198" s="144"/>
      <c r="C198" s="164"/>
      <c r="D198" s="144"/>
      <c r="E198" s="144"/>
      <c r="F198" s="164"/>
      <c r="G198" s="144"/>
      <c r="H198" s="16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</row>
    <row r="199" ht="15.75" customHeight="1">
      <c r="A199" s="144"/>
      <c r="B199" s="144"/>
      <c r="C199" s="164"/>
      <c r="D199" s="144"/>
      <c r="E199" s="144"/>
      <c r="F199" s="164"/>
      <c r="G199" s="144"/>
      <c r="H199" s="16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</row>
    <row r="200" ht="15.75" customHeight="1">
      <c r="A200" s="144"/>
      <c r="B200" s="144"/>
      <c r="C200" s="164"/>
      <c r="D200" s="144"/>
      <c r="E200" s="144"/>
      <c r="F200" s="164"/>
      <c r="G200" s="144"/>
      <c r="H200" s="16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</row>
    <row r="201" ht="15.75" customHeight="1">
      <c r="A201" s="144"/>
      <c r="B201" s="144"/>
      <c r="C201" s="164"/>
      <c r="D201" s="144"/>
      <c r="E201" s="144"/>
      <c r="F201" s="164"/>
      <c r="G201" s="144"/>
      <c r="H201" s="16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</row>
    <row r="202" ht="15.75" customHeight="1">
      <c r="A202" s="144"/>
      <c r="B202" s="144"/>
      <c r="C202" s="164"/>
      <c r="D202" s="144"/>
      <c r="E202" s="144"/>
      <c r="F202" s="164"/>
      <c r="G202" s="144"/>
      <c r="H202" s="16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</row>
    <row r="203" ht="15.75" customHeight="1">
      <c r="A203" s="144"/>
      <c r="B203" s="144"/>
      <c r="C203" s="164"/>
      <c r="D203" s="144"/>
      <c r="E203" s="144"/>
      <c r="F203" s="164"/>
      <c r="G203" s="144"/>
      <c r="H203" s="16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</row>
    <row r="204" ht="15.75" customHeight="1">
      <c r="A204" s="144"/>
      <c r="B204" s="144"/>
      <c r="C204" s="164"/>
      <c r="D204" s="144"/>
      <c r="E204" s="144"/>
      <c r="F204" s="164"/>
      <c r="G204" s="144"/>
      <c r="H204" s="16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</row>
    <row r="205" ht="15.75" customHeight="1">
      <c r="A205" s="144"/>
      <c r="B205" s="144"/>
      <c r="C205" s="164"/>
      <c r="D205" s="144"/>
      <c r="E205" s="144"/>
      <c r="F205" s="164"/>
      <c r="G205" s="144"/>
      <c r="H205" s="16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</row>
    <row r="206" ht="15.75" customHeight="1">
      <c r="A206" s="144"/>
      <c r="B206" s="144"/>
      <c r="C206" s="164"/>
      <c r="D206" s="144"/>
      <c r="E206" s="144"/>
      <c r="F206" s="164"/>
      <c r="G206" s="144"/>
      <c r="H206" s="16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</row>
    <row r="207" ht="15.75" customHeight="1">
      <c r="A207" s="144"/>
      <c r="B207" s="144"/>
      <c r="C207" s="164"/>
      <c r="D207" s="144"/>
      <c r="E207" s="144"/>
      <c r="F207" s="164"/>
      <c r="G207" s="144"/>
      <c r="H207" s="16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</row>
    <row r="208" ht="15.75" customHeight="1">
      <c r="A208" s="144"/>
      <c r="B208" s="144"/>
      <c r="C208" s="164"/>
      <c r="D208" s="144"/>
      <c r="E208" s="144"/>
      <c r="F208" s="164"/>
      <c r="G208" s="144"/>
      <c r="H208" s="16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</row>
    <row r="209" ht="15.75" customHeight="1">
      <c r="A209" s="144"/>
      <c r="B209" s="144"/>
      <c r="C209" s="164"/>
      <c r="D209" s="144"/>
      <c r="E209" s="144"/>
      <c r="F209" s="164"/>
      <c r="G209" s="144"/>
      <c r="H209" s="16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</row>
    <row r="210" ht="15.75" customHeight="1">
      <c r="A210" s="144"/>
      <c r="B210" s="144"/>
      <c r="C210" s="164"/>
      <c r="D210" s="144"/>
      <c r="E210" s="144"/>
      <c r="F210" s="164"/>
      <c r="G210" s="144"/>
      <c r="H210" s="16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</row>
    <row r="211" ht="15.75" customHeight="1">
      <c r="A211" s="144"/>
      <c r="B211" s="144"/>
      <c r="C211" s="164"/>
      <c r="D211" s="144"/>
      <c r="E211" s="144"/>
      <c r="F211" s="164"/>
      <c r="G211" s="144"/>
      <c r="H211" s="16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</row>
    <row r="212" ht="15.75" customHeight="1">
      <c r="A212" s="144"/>
      <c r="B212" s="144"/>
      <c r="C212" s="164"/>
      <c r="D212" s="144"/>
      <c r="E212" s="144"/>
      <c r="F212" s="164"/>
      <c r="G212" s="144"/>
      <c r="H212" s="16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</row>
    <row r="213" ht="15.75" customHeight="1">
      <c r="A213" s="144"/>
      <c r="B213" s="144"/>
      <c r="C213" s="164"/>
      <c r="D213" s="144"/>
      <c r="E213" s="144"/>
      <c r="F213" s="164"/>
      <c r="G213" s="144"/>
      <c r="H213" s="16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</row>
    <row r="214" ht="15.75" customHeight="1">
      <c r="A214" s="144"/>
      <c r="B214" s="144"/>
      <c r="C214" s="164"/>
      <c r="D214" s="144"/>
      <c r="E214" s="144"/>
      <c r="F214" s="164"/>
      <c r="G214" s="144"/>
      <c r="H214" s="16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</row>
    <row r="215" ht="15.75" customHeight="1">
      <c r="A215" s="144"/>
      <c r="B215" s="144"/>
      <c r="C215" s="164"/>
      <c r="D215" s="144"/>
      <c r="E215" s="144"/>
      <c r="F215" s="164"/>
      <c r="G215" s="144"/>
      <c r="H215" s="16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</row>
    <row r="216" ht="15.75" customHeight="1">
      <c r="A216" s="144"/>
      <c r="B216" s="144"/>
      <c r="C216" s="164"/>
      <c r="D216" s="144"/>
      <c r="E216" s="144"/>
      <c r="F216" s="164"/>
      <c r="G216" s="144"/>
      <c r="H216" s="16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</row>
    <row r="217" ht="15.75" customHeight="1">
      <c r="A217" s="144"/>
      <c r="B217" s="144"/>
      <c r="C217" s="164"/>
      <c r="D217" s="144"/>
      <c r="E217" s="144"/>
      <c r="F217" s="164"/>
      <c r="G217" s="144"/>
      <c r="H217" s="16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</row>
    <row r="218" ht="15.75" customHeight="1">
      <c r="A218" s="144"/>
      <c r="B218" s="144"/>
      <c r="C218" s="164"/>
      <c r="D218" s="144"/>
      <c r="E218" s="144"/>
      <c r="F218" s="164"/>
      <c r="G218" s="144"/>
      <c r="H218" s="16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</row>
    <row r="219" ht="15.75" customHeight="1">
      <c r="A219" s="144"/>
      <c r="B219" s="144"/>
      <c r="C219" s="164"/>
      <c r="D219" s="144"/>
      <c r="E219" s="144"/>
      <c r="F219" s="164"/>
      <c r="G219" s="144"/>
      <c r="H219" s="16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</row>
    <row r="220" ht="15.75" customHeight="1">
      <c r="A220" s="144"/>
      <c r="B220" s="144"/>
      <c r="C220" s="164"/>
      <c r="D220" s="144"/>
      <c r="E220" s="144"/>
      <c r="F220" s="164"/>
      <c r="G220" s="144"/>
      <c r="H220" s="16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</row>
    <row r="221" ht="15.75" customHeight="1">
      <c r="A221" s="144"/>
      <c r="B221" s="144"/>
      <c r="C221" s="164"/>
      <c r="D221" s="144"/>
      <c r="E221" s="144"/>
      <c r="F221" s="164"/>
      <c r="G221" s="144"/>
      <c r="H221" s="16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</row>
    <row r="222" ht="15.75" customHeight="1">
      <c r="A222" s="144"/>
      <c r="B222" s="144"/>
      <c r="C222" s="164"/>
      <c r="D222" s="144"/>
      <c r="E222" s="144"/>
      <c r="F222" s="164"/>
      <c r="G222" s="144"/>
      <c r="H222" s="16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</row>
    <row r="223" ht="15.75" customHeight="1">
      <c r="A223" s="144"/>
      <c r="B223" s="144"/>
      <c r="C223" s="164"/>
      <c r="D223" s="144"/>
      <c r="E223" s="144"/>
      <c r="F223" s="164"/>
      <c r="G223" s="144"/>
      <c r="H223" s="16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</row>
    <row r="224" ht="15.75" customHeight="1">
      <c r="A224" s="144"/>
      <c r="B224" s="144"/>
      <c r="C224" s="164"/>
      <c r="D224" s="144"/>
      <c r="E224" s="144"/>
      <c r="F224" s="164"/>
      <c r="G224" s="144"/>
      <c r="H224" s="16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</row>
    <row r="225" ht="15.75" customHeight="1">
      <c r="A225" s="144"/>
      <c r="B225" s="144"/>
      <c r="C225" s="164"/>
      <c r="D225" s="144"/>
      <c r="E225" s="144"/>
      <c r="F225" s="164"/>
      <c r="G225" s="144"/>
      <c r="H225" s="16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</row>
    <row r="226" ht="15.75" customHeight="1">
      <c r="A226" s="144"/>
      <c r="B226" s="144"/>
      <c r="C226" s="164"/>
      <c r="D226" s="144"/>
      <c r="E226" s="144"/>
      <c r="F226" s="164"/>
      <c r="G226" s="144"/>
      <c r="H226" s="16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</row>
    <row r="227" ht="15.75" customHeight="1">
      <c r="A227" s="144"/>
      <c r="B227" s="144"/>
      <c r="C227" s="164"/>
      <c r="D227" s="144"/>
      <c r="E227" s="144"/>
      <c r="F227" s="164"/>
      <c r="G227" s="144"/>
      <c r="H227" s="16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</row>
    <row r="228" ht="15.75" customHeight="1">
      <c r="A228" s="144"/>
      <c r="B228" s="144"/>
      <c r="C228" s="164"/>
      <c r="D228" s="144"/>
      <c r="E228" s="144"/>
      <c r="F228" s="164"/>
      <c r="G228" s="144"/>
      <c r="H228" s="16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</row>
    <row r="229" ht="15.75" customHeight="1">
      <c r="A229" s="144"/>
      <c r="B229" s="144"/>
      <c r="C229" s="164"/>
      <c r="D229" s="144"/>
      <c r="E229" s="144"/>
      <c r="F229" s="164"/>
      <c r="G229" s="144"/>
      <c r="H229" s="16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</row>
    <row r="230" ht="15.75" customHeight="1">
      <c r="A230" s="144"/>
      <c r="B230" s="144"/>
      <c r="C230" s="164"/>
      <c r="D230" s="144"/>
      <c r="E230" s="144"/>
      <c r="F230" s="164"/>
      <c r="G230" s="144"/>
      <c r="H230" s="16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</row>
    <row r="231" ht="15.75" customHeight="1">
      <c r="A231" s="144"/>
      <c r="B231" s="144"/>
      <c r="C231" s="164"/>
      <c r="D231" s="144"/>
      <c r="E231" s="144"/>
      <c r="F231" s="164"/>
      <c r="G231" s="144"/>
      <c r="H231" s="16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</row>
    <row r="232" ht="15.75" customHeight="1">
      <c r="A232" s="144"/>
      <c r="B232" s="144"/>
      <c r="C232" s="164"/>
      <c r="D232" s="144"/>
      <c r="E232" s="144"/>
      <c r="F232" s="164"/>
      <c r="G232" s="144"/>
      <c r="H232" s="16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</row>
    <row r="233" ht="15.75" customHeight="1">
      <c r="A233" s="144"/>
      <c r="B233" s="144"/>
      <c r="C233" s="164"/>
      <c r="D233" s="144"/>
      <c r="E233" s="144"/>
      <c r="F233" s="164"/>
      <c r="G233" s="144"/>
      <c r="H233" s="16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</row>
    <row r="234" ht="15.75" customHeight="1">
      <c r="A234" s="144"/>
      <c r="B234" s="144"/>
      <c r="C234" s="164"/>
      <c r="D234" s="144"/>
      <c r="E234" s="144"/>
      <c r="F234" s="164"/>
      <c r="G234" s="144"/>
      <c r="H234" s="16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</row>
    <row r="235" ht="15.75" customHeight="1">
      <c r="A235" s="144"/>
      <c r="B235" s="144"/>
      <c r="C235" s="164"/>
      <c r="D235" s="144"/>
      <c r="E235" s="144"/>
      <c r="F235" s="164"/>
      <c r="G235" s="144"/>
      <c r="H235" s="16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</row>
    <row r="236" ht="15.75" customHeight="1">
      <c r="A236" s="144"/>
      <c r="B236" s="144"/>
      <c r="C236" s="164"/>
      <c r="D236" s="144"/>
      <c r="E236" s="144"/>
      <c r="F236" s="164"/>
      <c r="G236" s="144"/>
      <c r="H236" s="16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</row>
    <row r="237" ht="15.75" customHeight="1">
      <c r="A237" s="144"/>
      <c r="B237" s="144"/>
      <c r="C237" s="164"/>
      <c r="D237" s="144"/>
      <c r="E237" s="144"/>
      <c r="F237" s="164"/>
      <c r="G237" s="144"/>
      <c r="H237" s="16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</row>
    <row r="238" ht="15.75" customHeight="1">
      <c r="A238" s="144"/>
      <c r="B238" s="144"/>
      <c r="C238" s="164"/>
      <c r="D238" s="144"/>
      <c r="E238" s="144"/>
      <c r="F238" s="164"/>
      <c r="G238" s="144"/>
      <c r="H238" s="16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2.63"/>
    <col customWidth="1" min="3" max="3" width="8.38"/>
    <col customWidth="1" min="4" max="4" width="19.38"/>
    <col customWidth="1" min="5" max="5" width="2.63"/>
    <col customWidth="1" min="6" max="6" width="9.5"/>
    <col customWidth="1" min="7" max="7" width="12.63"/>
    <col customWidth="1" min="8" max="8" width="10.75"/>
    <col customWidth="1" min="9" max="9" width="15.13"/>
    <col customWidth="1" min="10" max="10" width="2.63"/>
    <col customWidth="1" min="11" max="11" width="9.5"/>
    <col customWidth="1" min="12" max="12" width="49.63"/>
  </cols>
  <sheetData>
    <row r="1" ht="15.75" customHeight="1">
      <c r="A1" s="165" t="s">
        <v>111</v>
      </c>
      <c r="B1" s="166" t="s">
        <v>120</v>
      </c>
      <c r="C1" s="167"/>
      <c r="D1" s="38"/>
      <c r="E1" s="168"/>
      <c r="F1" s="169" t="s">
        <v>111</v>
      </c>
      <c r="G1" s="170" t="s">
        <v>121</v>
      </c>
      <c r="H1" s="167"/>
      <c r="I1" s="38"/>
      <c r="J1" s="171"/>
      <c r="K1" s="172"/>
      <c r="L1" s="172"/>
      <c r="M1" s="173"/>
      <c r="N1" s="173"/>
      <c r="O1" s="173"/>
      <c r="P1" s="173"/>
      <c r="Q1" s="173"/>
      <c r="R1" s="173"/>
      <c r="S1" s="173"/>
      <c r="T1" s="173"/>
      <c r="U1" s="173"/>
      <c r="V1" s="173"/>
    </row>
    <row r="2" ht="15.75" customHeight="1">
      <c r="A2" s="165"/>
      <c r="B2" s="174" t="s">
        <v>122</v>
      </c>
      <c r="C2" s="38"/>
      <c r="D2" s="175" t="s">
        <v>123</v>
      </c>
      <c r="E2" s="168"/>
      <c r="F2" s="169"/>
      <c r="G2" s="174" t="s">
        <v>124</v>
      </c>
      <c r="H2" s="38"/>
      <c r="I2" s="175" t="s">
        <v>125</v>
      </c>
      <c r="J2" s="171"/>
      <c r="K2" s="172"/>
      <c r="L2" s="172"/>
      <c r="M2" s="176"/>
      <c r="N2" s="176"/>
      <c r="O2" s="176"/>
      <c r="P2" s="176"/>
      <c r="Q2" s="176"/>
      <c r="R2" s="176"/>
      <c r="S2" s="176"/>
      <c r="T2" s="176"/>
      <c r="U2" s="176"/>
      <c r="V2" s="176"/>
    </row>
    <row r="3" ht="15.75" customHeight="1">
      <c r="A3" s="177">
        <v>44410.0</v>
      </c>
      <c r="B3" s="178"/>
      <c r="C3" s="38"/>
      <c r="D3" s="179"/>
      <c r="E3" s="168"/>
      <c r="F3" s="180">
        <v>44410.0</v>
      </c>
      <c r="G3" s="178"/>
      <c r="H3" s="38"/>
      <c r="I3" s="179"/>
      <c r="J3" s="168"/>
      <c r="K3" s="172"/>
      <c r="L3" s="172"/>
      <c r="M3" s="176"/>
      <c r="N3" s="176"/>
      <c r="O3" s="176"/>
      <c r="P3" s="176"/>
      <c r="Q3" s="176"/>
      <c r="R3" s="176"/>
      <c r="S3" s="176"/>
      <c r="T3" s="176"/>
      <c r="U3" s="176"/>
      <c r="V3" s="176"/>
    </row>
    <row r="4" ht="15.75" customHeight="1">
      <c r="A4" s="177">
        <v>44411.0</v>
      </c>
      <c r="B4" s="178"/>
      <c r="C4" s="38"/>
      <c r="D4" s="181"/>
      <c r="E4" s="168"/>
      <c r="F4" s="180">
        <v>44411.0</v>
      </c>
      <c r="G4" s="178"/>
      <c r="H4" s="38"/>
      <c r="I4" s="181"/>
      <c r="J4" s="168"/>
      <c r="K4" s="172"/>
      <c r="L4" s="172"/>
      <c r="M4" s="173"/>
      <c r="N4" s="173"/>
      <c r="O4" s="173"/>
      <c r="P4" s="173"/>
      <c r="Q4" s="173"/>
      <c r="R4" s="173"/>
      <c r="S4" s="173"/>
      <c r="T4" s="173"/>
      <c r="U4" s="173"/>
      <c r="V4" s="173"/>
    </row>
    <row r="5" ht="15.75" customHeight="1">
      <c r="A5" s="177">
        <v>44412.0</v>
      </c>
      <c r="B5" s="178"/>
      <c r="C5" s="38"/>
      <c r="D5" s="181"/>
      <c r="E5" s="168"/>
      <c r="F5" s="180">
        <v>44412.0</v>
      </c>
      <c r="G5" s="178"/>
      <c r="H5" s="38"/>
      <c r="I5" s="181"/>
      <c r="J5" s="168"/>
      <c r="K5" s="172"/>
      <c r="L5" s="172"/>
      <c r="M5" s="173"/>
      <c r="N5" s="173"/>
      <c r="O5" s="173"/>
      <c r="P5" s="173"/>
      <c r="Q5" s="173"/>
      <c r="R5" s="173"/>
      <c r="S5" s="173"/>
      <c r="T5" s="173"/>
      <c r="U5" s="173"/>
      <c r="V5" s="173"/>
    </row>
    <row r="6" ht="15.75" customHeight="1">
      <c r="A6" s="177">
        <v>44413.0</v>
      </c>
      <c r="B6" s="178"/>
      <c r="C6" s="38"/>
      <c r="D6" s="181"/>
      <c r="E6" s="168"/>
      <c r="F6" s="180">
        <v>44413.0</v>
      </c>
      <c r="G6" s="178"/>
      <c r="H6" s="38"/>
      <c r="I6" s="181"/>
      <c r="J6" s="171"/>
      <c r="K6" s="172"/>
      <c r="L6" s="172"/>
      <c r="M6" s="173"/>
      <c r="N6" s="173"/>
      <c r="O6" s="173"/>
      <c r="P6" s="173"/>
      <c r="Q6" s="173"/>
      <c r="R6" s="173"/>
      <c r="S6" s="173"/>
      <c r="T6" s="173"/>
      <c r="U6" s="173"/>
      <c r="V6" s="173"/>
    </row>
    <row r="7" ht="15.75" customHeight="1">
      <c r="A7" s="177">
        <v>44414.0</v>
      </c>
      <c r="B7" s="178"/>
      <c r="C7" s="38"/>
      <c r="D7" s="181"/>
      <c r="E7" s="168"/>
      <c r="F7" s="180">
        <v>44414.0</v>
      </c>
      <c r="G7" s="178"/>
      <c r="H7" s="38"/>
      <c r="I7" s="181"/>
      <c r="J7" s="168"/>
      <c r="K7" s="172"/>
      <c r="L7" s="172"/>
      <c r="M7" s="176"/>
      <c r="N7" s="176"/>
      <c r="O7" s="176"/>
      <c r="P7" s="176"/>
      <c r="Q7" s="176"/>
      <c r="R7" s="176"/>
      <c r="S7" s="176"/>
      <c r="T7" s="176"/>
      <c r="U7" s="176"/>
      <c r="V7" s="176"/>
    </row>
    <row r="8" ht="15.75" customHeight="1">
      <c r="A8" s="177">
        <v>44415.0</v>
      </c>
      <c r="B8" s="178"/>
      <c r="C8" s="38"/>
      <c r="D8" s="181"/>
      <c r="E8" s="168"/>
      <c r="F8" s="180">
        <v>44415.0</v>
      </c>
      <c r="G8" s="178"/>
      <c r="H8" s="38"/>
      <c r="I8" s="181"/>
      <c r="J8" s="168"/>
      <c r="K8" s="172"/>
      <c r="L8" s="172"/>
      <c r="M8" s="176"/>
      <c r="N8" s="176"/>
      <c r="O8" s="176"/>
      <c r="P8" s="176"/>
      <c r="Q8" s="176"/>
      <c r="R8" s="176"/>
      <c r="S8" s="176"/>
      <c r="T8" s="176"/>
      <c r="U8" s="176"/>
      <c r="V8" s="176"/>
    </row>
    <row r="9" ht="15.75" customHeight="1">
      <c r="A9" s="177">
        <v>44416.0</v>
      </c>
      <c r="B9" s="178"/>
      <c r="C9" s="38"/>
      <c r="D9" s="181"/>
      <c r="E9" s="168"/>
      <c r="F9" s="180">
        <v>44416.0</v>
      </c>
      <c r="G9" s="178"/>
      <c r="H9" s="38"/>
      <c r="I9" s="181"/>
      <c r="J9" s="168"/>
      <c r="K9" s="172"/>
      <c r="L9" s="172"/>
      <c r="M9" s="173"/>
      <c r="N9" s="173"/>
      <c r="O9" s="173"/>
      <c r="P9" s="173"/>
      <c r="Q9" s="173"/>
      <c r="R9" s="173"/>
      <c r="S9" s="173"/>
      <c r="T9" s="173"/>
      <c r="U9" s="173"/>
      <c r="V9" s="173"/>
    </row>
    <row r="10" ht="15.75" customHeight="1">
      <c r="A10" s="177">
        <v>44417.0</v>
      </c>
      <c r="B10" s="178"/>
      <c r="C10" s="38"/>
      <c r="D10" s="181"/>
      <c r="E10" s="168"/>
      <c r="F10" s="180">
        <v>44417.0</v>
      </c>
      <c r="G10" s="178"/>
      <c r="H10" s="38"/>
      <c r="I10" s="181"/>
      <c r="J10" s="168"/>
      <c r="K10" s="172"/>
      <c r="L10" s="172"/>
      <c r="M10" s="173"/>
      <c r="N10" s="173"/>
      <c r="O10" s="173"/>
      <c r="P10" s="173"/>
      <c r="Q10" s="173"/>
      <c r="R10" s="173"/>
      <c r="S10" s="173"/>
      <c r="T10" s="173"/>
      <c r="U10" s="173"/>
      <c r="V10" s="173"/>
    </row>
    <row r="11" ht="15.75" customHeight="1">
      <c r="A11" s="177">
        <v>44418.0</v>
      </c>
      <c r="B11" s="178"/>
      <c r="C11" s="38"/>
      <c r="D11" s="181"/>
      <c r="E11" s="168"/>
      <c r="F11" s="180">
        <v>44418.0</v>
      </c>
      <c r="G11" s="178"/>
      <c r="H11" s="38"/>
      <c r="I11" s="181"/>
      <c r="J11" s="168"/>
      <c r="K11" s="172"/>
      <c r="L11" s="172"/>
      <c r="M11" s="173"/>
      <c r="N11" s="173"/>
      <c r="O11" s="173"/>
      <c r="P11" s="173"/>
      <c r="Q11" s="173"/>
      <c r="R11" s="173"/>
      <c r="S11" s="173"/>
      <c r="T11" s="173"/>
      <c r="U11" s="173"/>
      <c r="V11" s="173"/>
    </row>
    <row r="12" ht="15.75" customHeight="1">
      <c r="A12" s="177">
        <v>44419.0</v>
      </c>
      <c r="B12" s="178"/>
      <c r="C12" s="38"/>
      <c r="D12" s="181"/>
      <c r="E12" s="168"/>
      <c r="F12" s="180">
        <v>44419.0</v>
      </c>
      <c r="G12" s="178"/>
      <c r="H12" s="38"/>
      <c r="I12" s="181"/>
      <c r="J12" s="168"/>
      <c r="K12" s="172"/>
      <c r="L12" s="172"/>
      <c r="M12" s="173"/>
      <c r="N12" s="173"/>
      <c r="O12" s="173"/>
      <c r="P12" s="173"/>
      <c r="Q12" s="173"/>
      <c r="R12" s="173"/>
      <c r="S12" s="173"/>
      <c r="T12" s="173"/>
      <c r="U12" s="173"/>
      <c r="V12" s="173"/>
    </row>
    <row r="13" ht="15.75" customHeight="1">
      <c r="A13" s="177">
        <v>44420.0</v>
      </c>
      <c r="B13" s="178"/>
      <c r="C13" s="38"/>
      <c r="D13" s="181"/>
      <c r="E13" s="168"/>
      <c r="F13" s="180">
        <v>44420.0</v>
      </c>
      <c r="G13" s="178"/>
      <c r="H13" s="38"/>
      <c r="I13" s="181"/>
      <c r="J13" s="168"/>
      <c r="K13" s="172"/>
      <c r="L13" s="172"/>
      <c r="M13" s="173"/>
      <c r="N13" s="173"/>
      <c r="O13" s="173"/>
      <c r="P13" s="173"/>
      <c r="Q13" s="173"/>
      <c r="R13" s="173"/>
      <c r="S13" s="173"/>
      <c r="T13" s="173"/>
      <c r="U13" s="173"/>
      <c r="V13" s="173"/>
    </row>
    <row r="14" ht="15.75" customHeight="1">
      <c r="A14" s="177">
        <v>44421.0</v>
      </c>
      <c r="B14" s="178"/>
      <c r="C14" s="38"/>
      <c r="D14" s="181"/>
      <c r="E14" s="168"/>
      <c r="F14" s="180">
        <v>44421.0</v>
      </c>
      <c r="G14" s="178"/>
      <c r="H14" s="38"/>
      <c r="I14" s="181"/>
      <c r="J14" s="168"/>
      <c r="K14" s="172"/>
      <c r="L14" s="172"/>
      <c r="M14" s="173"/>
      <c r="N14" s="173"/>
      <c r="O14" s="173"/>
      <c r="P14" s="173"/>
      <c r="Q14" s="173"/>
      <c r="R14" s="173"/>
      <c r="S14" s="173"/>
      <c r="T14" s="173"/>
      <c r="U14" s="173"/>
      <c r="V14" s="173"/>
    </row>
    <row r="15" ht="15.75" customHeight="1">
      <c r="A15" s="177">
        <v>44422.0</v>
      </c>
      <c r="B15" s="178"/>
      <c r="C15" s="38"/>
      <c r="D15" s="181"/>
      <c r="E15" s="168"/>
      <c r="F15" s="180">
        <v>44422.0</v>
      </c>
      <c r="G15" s="178"/>
      <c r="H15" s="38"/>
      <c r="I15" s="181"/>
      <c r="J15" s="168"/>
      <c r="K15" s="172"/>
      <c r="L15" s="172"/>
      <c r="M15" s="173"/>
      <c r="N15" s="173"/>
      <c r="O15" s="173"/>
      <c r="P15" s="173"/>
      <c r="Q15" s="173"/>
      <c r="R15" s="173"/>
      <c r="S15" s="173"/>
      <c r="T15" s="173"/>
      <c r="U15" s="173"/>
      <c r="V15" s="173"/>
    </row>
    <row r="16" ht="15.75" customHeight="1">
      <c r="A16" s="177">
        <v>44423.0</v>
      </c>
      <c r="B16" s="178"/>
      <c r="C16" s="38"/>
      <c r="D16" s="181"/>
      <c r="E16" s="168"/>
      <c r="F16" s="180">
        <v>44423.0</v>
      </c>
      <c r="G16" s="178"/>
      <c r="H16" s="38"/>
      <c r="I16" s="181"/>
      <c r="J16" s="168"/>
      <c r="K16" s="172"/>
      <c r="L16" s="172"/>
      <c r="M16" s="173"/>
      <c r="N16" s="173"/>
      <c r="O16" s="173"/>
      <c r="P16" s="173"/>
      <c r="Q16" s="173"/>
      <c r="R16" s="173"/>
      <c r="S16" s="173"/>
      <c r="T16" s="173"/>
      <c r="U16" s="173"/>
      <c r="V16" s="173"/>
    </row>
    <row r="17" ht="15.75" customHeight="1">
      <c r="A17" s="177">
        <v>44424.0</v>
      </c>
      <c r="B17" s="178"/>
      <c r="C17" s="38"/>
      <c r="D17" s="181"/>
      <c r="E17" s="168"/>
      <c r="F17" s="180">
        <v>44424.0</v>
      </c>
      <c r="G17" s="178"/>
      <c r="H17" s="38"/>
      <c r="I17" s="181"/>
      <c r="J17" s="168"/>
      <c r="K17" s="172"/>
      <c r="L17" s="172"/>
      <c r="M17" s="173"/>
      <c r="N17" s="173"/>
      <c r="O17" s="173"/>
      <c r="P17" s="173"/>
      <c r="Q17" s="173"/>
      <c r="R17" s="173"/>
      <c r="S17" s="173"/>
      <c r="T17" s="173"/>
      <c r="U17" s="173"/>
      <c r="V17" s="173"/>
    </row>
    <row r="18" ht="15.75" customHeight="1">
      <c r="A18" s="177">
        <v>44425.0</v>
      </c>
      <c r="B18" s="178"/>
      <c r="C18" s="38"/>
      <c r="D18" s="181"/>
      <c r="E18" s="168"/>
      <c r="F18" s="180">
        <v>44425.0</v>
      </c>
      <c r="G18" s="178"/>
      <c r="H18" s="38"/>
      <c r="I18" s="181"/>
      <c r="J18" s="168"/>
      <c r="K18" s="172"/>
      <c r="L18" s="172"/>
      <c r="M18" s="173"/>
      <c r="N18" s="173"/>
      <c r="O18" s="173"/>
      <c r="P18" s="173"/>
      <c r="Q18" s="173"/>
      <c r="R18" s="173"/>
      <c r="S18" s="173"/>
      <c r="T18" s="173"/>
      <c r="U18" s="173"/>
      <c r="V18" s="173"/>
    </row>
    <row r="19" ht="15.75" customHeight="1">
      <c r="A19" s="177">
        <v>44426.0</v>
      </c>
      <c r="B19" s="178"/>
      <c r="C19" s="38"/>
      <c r="D19" s="181"/>
      <c r="E19" s="168"/>
      <c r="F19" s="180">
        <v>44426.0</v>
      </c>
      <c r="G19" s="178"/>
      <c r="H19" s="38"/>
      <c r="I19" s="181"/>
      <c r="J19" s="182" t="s">
        <v>126</v>
      </c>
      <c r="K19" s="172"/>
      <c r="L19" s="172"/>
      <c r="M19" s="173"/>
      <c r="N19" s="173"/>
      <c r="O19" s="173"/>
      <c r="P19" s="173"/>
      <c r="Q19" s="173"/>
      <c r="R19" s="173"/>
      <c r="S19" s="173"/>
      <c r="T19" s="173"/>
      <c r="U19" s="173"/>
      <c r="V19" s="173"/>
    </row>
    <row r="20" ht="15.75" customHeight="1">
      <c r="A20" s="177">
        <v>44427.0</v>
      </c>
      <c r="B20" s="178"/>
      <c r="C20" s="38"/>
      <c r="D20" s="181"/>
      <c r="E20" s="168"/>
      <c r="F20" s="180">
        <v>44427.0</v>
      </c>
      <c r="G20" s="178"/>
      <c r="H20" s="38"/>
      <c r="I20" s="181"/>
      <c r="J20" s="182"/>
      <c r="K20" s="172"/>
      <c r="L20" s="172"/>
      <c r="M20" s="173"/>
      <c r="N20" s="173"/>
      <c r="O20" s="173"/>
      <c r="P20" s="173"/>
      <c r="Q20" s="173"/>
      <c r="R20" s="173"/>
      <c r="S20" s="173"/>
      <c r="T20" s="173"/>
      <c r="U20" s="173"/>
      <c r="V20" s="173"/>
    </row>
    <row r="21" ht="15.75" customHeight="1">
      <c r="A21" s="177">
        <v>44428.0</v>
      </c>
      <c r="B21" s="178"/>
      <c r="C21" s="38"/>
      <c r="D21" s="181"/>
      <c r="E21" s="168"/>
      <c r="F21" s="180">
        <v>44428.0</v>
      </c>
      <c r="G21" s="178"/>
      <c r="H21" s="38"/>
      <c r="I21" s="181"/>
      <c r="J21" s="182"/>
      <c r="K21" s="172"/>
      <c r="L21" s="172"/>
      <c r="M21" s="173"/>
      <c r="N21" s="183"/>
      <c r="O21" s="173"/>
      <c r="P21" s="173"/>
      <c r="Q21" s="173"/>
      <c r="R21" s="173"/>
      <c r="S21" s="173"/>
      <c r="T21" s="173"/>
      <c r="U21" s="173"/>
      <c r="V21" s="173"/>
    </row>
    <row r="22" ht="15.75" customHeight="1">
      <c r="A22" s="177">
        <v>44429.0</v>
      </c>
      <c r="B22" s="178"/>
      <c r="C22" s="38"/>
      <c r="D22" s="181"/>
      <c r="E22" s="168"/>
      <c r="F22" s="180">
        <v>44429.0</v>
      </c>
      <c r="G22" s="178"/>
      <c r="H22" s="38"/>
      <c r="I22" s="181"/>
      <c r="J22" s="182"/>
      <c r="K22" s="172"/>
      <c r="L22" s="172"/>
      <c r="M22" s="173"/>
      <c r="N22" s="183"/>
      <c r="O22" s="173"/>
      <c r="P22" s="173"/>
      <c r="Q22" s="173"/>
      <c r="R22" s="173"/>
      <c r="S22" s="173"/>
      <c r="T22" s="173"/>
      <c r="U22" s="173"/>
      <c r="V22" s="173"/>
    </row>
    <row r="23" ht="15.75" customHeight="1">
      <c r="A23" s="177">
        <v>44430.0</v>
      </c>
      <c r="B23" s="178"/>
      <c r="C23" s="38"/>
      <c r="D23" s="181"/>
      <c r="E23" s="168"/>
      <c r="F23" s="180">
        <v>44430.0</v>
      </c>
      <c r="G23" s="178"/>
      <c r="H23" s="38"/>
      <c r="I23" s="181"/>
      <c r="J23" s="182"/>
      <c r="K23" s="172"/>
      <c r="L23" s="172"/>
      <c r="M23" s="173"/>
      <c r="N23" s="183"/>
      <c r="O23" s="173"/>
      <c r="P23" s="173"/>
      <c r="Q23" s="173"/>
      <c r="R23" s="173"/>
      <c r="S23" s="173"/>
      <c r="T23" s="173"/>
      <c r="U23" s="173"/>
      <c r="V23" s="173"/>
    </row>
    <row r="24" ht="15.75" customHeight="1">
      <c r="A24" s="177">
        <v>44431.0</v>
      </c>
      <c r="B24" s="178"/>
      <c r="C24" s="38"/>
      <c r="D24" s="181"/>
      <c r="E24" s="168"/>
      <c r="F24" s="180">
        <v>44431.0</v>
      </c>
      <c r="G24" s="178"/>
      <c r="H24" s="38"/>
      <c r="I24" s="181"/>
      <c r="J24" s="182"/>
      <c r="K24" s="172"/>
      <c r="L24" s="172"/>
      <c r="M24" s="173"/>
      <c r="N24" s="183"/>
      <c r="O24" s="173"/>
      <c r="P24" s="173"/>
      <c r="Q24" s="173"/>
      <c r="R24" s="173"/>
      <c r="S24" s="173"/>
      <c r="T24" s="173"/>
      <c r="U24" s="173"/>
      <c r="V24" s="173"/>
    </row>
    <row r="25" ht="15.75" customHeight="1">
      <c r="A25" s="177">
        <v>44432.0</v>
      </c>
      <c r="B25" s="178"/>
      <c r="C25" s="38"/>
      <c r="D25" s="181"/>
      <c r="E25" s="168"/>
      <c r="F25" s="180">
        <v>44432.0</v>
      </c>
      <c r="G25" s="178"/>
      <c r="H25" s="38"/>
      <c r="I25" s="181"/>
      <c r="J25" s="182"/>
      <c r="K25" s="172"/>
      <c r="L25" s="172"/>
      <c r="M25" s="173"/>
      <c r="N25" s="183"/>
      <c r="O25" s="173"/>
      <c r="P25" s="173"/>
      <c r="Q25" s="173"/>
      <c r="R25" s="173"/>
      <c r="S25" s="173"/>
      <c r="T25" s="173"/>
      <c r="U25" s="173"/>
      <c r="V25" s="173"/>
    </row>
    <row r="26" ht="15.75" customHeight="1">
      <c r="A26" s="177">
        <v>44433.0</v>
      </c>
      <c r="B26" s="178"/>
      <c r="C26" s="38"/>
      <c r="D26" s="181"/>
      <c r="E26" s="168"/>
      <c r="F26" s="180">
        <v>44433.0</v>
      </c>
      <c r="G26" s="178"/>
      <c r="H26" s="38"/>
      <c r="I26" s="181"/>
      <c r="J26" s="182"/>
      <c r="K26" s="172"/>
      <c r="L26" s="172"/>
      <c r="M26" s="173"/>
      <c r="N26" s="183"/>
      <c r="O26" s="173"/>
      <c r="P26" s="173"/>
      <c r="Q26" s="173"/>
      <c r="R26" s="173"/>
      <c r="S26" s="173"/>
      <c r="T26" s="173"/>
      <c r="U26" s="173"/>
      <c r="V26" s="173"/>
    </row>
    <row r="27" ht="15.75" customHeight="1">
      <c r="A27" s="177">
        <v>44434.0</v>
      </c>
      <c r="B27" s="178"/>
      <c r="C27" s="38"/>
      <c r="D27" s="181"/>
      <c r="E27" s="168"/>
      <c r="F27" s="180">
        <v>44434.0</v>
      </c>
      <c r="G27" s="178"/>
      <c r="H27" s="38"/>
      <c r="I27" s="181"/>
      <c r="J27" s="182"/>
      <c r="K27" s="172"/>
      <c r="L27" s="172"/>
      <c r="M27" s="173"/>
      <c r="N27" s="183"/>
      <c r="O27" s="173"/>
      <c r="P27" s="173"/>
      <c r="Q27" s="173"/>
      <c r="R27" s="173"/>
      <c r="S27" s="173"/>
      <c r="T27" s="173"/>
      <c r="U27" s="173"/>
      <c r="V27" s="173"/>
    </row>
    <row r="28" ht="15.75" customHeight="1">
      <c r="A28" s="177">
        <v>44435.0</v>
      </c>
      <c r="B28" s="178"/>
      <c r="C28" s="38"/>
      <c r="D28" s="181"/>
      <c r="E28" s="168"/>
      <c r="F28" s="180">
        <v>44435.0</v>
      </c>
      <c r="G28" s="178"/>
      <c r="H28" s="38"/>
      <c r="I28" s="181"/>
      <c r="J28" s="182"/>
      <c r="K28" s="172"/>
      <c r="L28" s="172"/>
      <c r="M28" s="173"/>
      <c r="N28" s="183"/>
      <c r="O28" s="173"/>
      <c r="P28" s="173"/>
      <c r="Q28" s="173"/>
      <c r="R28" s="173"/>
      <c r="S28" s="173"/>
      <c r="T28" s="173"/>
      <c r="U28" s="173"/>
      <c r="V28" s="173"/>
    </row>
    <row r="29" ht="15.75" customHeight="1">
      <c r="A29" s="177">
        <v>44436.0</v>
      </c>
      <c r="B29" s="178"/>
      <c r="C29" s="38"/>
      <c r="D29" s="181"/>
      <c r="E29" s="168"/>
      <c r="F29" s="180">
        <v>44436.0</v>
      </c>
      <c r="G29" s="178"/>
      <c r="H29" s="38"/>
      <c r="I29" s="181"/>
      <c r="J29" s="182"/>
      <c r="K29" s="172"/>
      <c r="L29" s="172"/>
      <c r="M29" s="173"/>
      <c r="N29" s="183"/>
      <c r="O29" s="173"/>
      <c r="P29" s="173"/>
      <c r="Q29" s="173"/>
      <c r="R29" s="173"/>
      <c r="S29" s="173"/>
      <c r="T29" s="173"/>
      <c r="U29" s="173"/>
      <c r="V29" s="173"/>
    </row>
    <row r="30" ht="15.75" customHeight="1">
      <c r="A30" s="177">
        <v>44437.0</v>
      </c>
      <c r="B30" s="178"/>
      <c r="C30" s="38"/>
      <c r="D30" s="181"/>
      <c r="E30" s="168"/>
      <c r="F30" s="180">
        <v>44437.0</v>
      </c>
      <c r="G30" s="178"/>
      <c r="H30" s="38"/>
      <c r="I30" s="181"/>
      <c r="J30" s="184"/>
      <c r="K30" s="172"/>
      <c r="L30" s="172"/>
      <c r="M30" s="173"/>
      <c r="N30" s="183"/>
      <c r="O30" s="173"/>
      <c r="P30" s="173"/>
      <c r="Q30" s="173"/>
      <c r="R30" s="173"/>
      <c r="S30" s="173"/>
      <c r="T30" s="173"/>
      <c r="U30" s="173"/>
      <c r="V30" s="173"/>
    </row>
    <row r="31" ht="15.75" customHeight="1">
      <c r="A31" s="177">
        <v>44438.0</v>
      </c>
      <c r="B31" s="178"/>
      <c r="C31" s="38"/>
      <c r="D31" s="181"/>
      <c r="E31" s="168"/>
      <c r="F31" s="180">
        <v>44438.0</v>
      </c>
      <c r="G31" s="178"/>
      <c r="H31" s="38"/>
      <c r="I31" s="181"/>
      <c r="J31" s="168"/>
      <c r="K31" s="172"/>
      <c r="L31" s="172"/>
      <c r="M31" s="173"/>
      <c r="N31" s="183"/>
      <c r="O31" s="173"/>
      <c r="P31" s="173"/>
      <c r="Q31" s="173"/>
      <c r="R31" s="173"/>
      <c r="S31" s="173"/>
      <c r="T31" s="173"/>
      <c r="U31" s="173"/>
      <c r="V31" s="173"/>
    </row>
    <row r="32" ht="15.75" customHeight="1">
      <c r="A32" s="177">
        <v>44439.0</v>
      </c>
      <c r="B32" s="178"/>
      <c r="C32" s="38"/>
      <c r="D32" s="181"/>
      <c r="E32" s="168"/>
      <c r="F32" s="180">
        <v>44439.0</v>
      </c>
      <c r="G32" s="178"/>
      <c r="H32" s="38"/>
      <c r="I32" s="181"/>
      <c r="J32" s="168"/>
      <c r="K32" s="172"/>
      <c r="L32" s="172"/>
      <c r="M32" s="173"/>
      <c r="N32" s="183"/>
      <c r="O32" s="173"/>
      <c r="P32" s="173"/>
      <c r="Q32" s="173"/>
      <c r="R32" s="173"/>
      <c r="S32" s="173"/>
      <c r="T32" s="173"/>
      <c r="U32" s="173"/>
      <c r="V32" s="173"/>
    </row>
    <row r="33" ht="15.75" customHeight="1">
      <c r="A33" s="177">
        <v>44440.0</v>
      </c>
      <c r="B33" s="178"/>
      <c r="C33" s="38"/>
      <c r="D33" s="181"/>
      <c r="E33" s="168"/>
      <c r="F33" s="180">
        <v>44440.0</v>
      </c>
      <c r="G33" s="178"/>
      <c r="H33" s="38"/>
      <c r="I33" s="181"/>
      <c r="J33" s="168"/>
      <c r="K33" s="172"/>
      <c r="L33" s="172"/>
      <c r="M33" s="173"/>
      <c r="N33" s="183"/>
      <c r="O33" s="173"/>
      <c r="P33" s="173"/>
      <c r="Q33" s="173"/>
      <c r="R33" s="173"/>
      <c r="S33" s="173"/>
      <c r="T33" s="173"/>
      <c r="U33" s="173"/>
      <c r="V33" s="173"/>
    </row>
    <row r="34" ht="15.75" customHeight="1">
      <c r="A34" s="177">
        <v>44441.0</v>
      </c>
      <c r="B34" s="178"/>
      <c r="C34" s="38"/>
      <c r="D34" s="181"/>
      <c r="E34" s="168"/>
      <c r="F34" s="180">
        <v>44441.0</v>
      </c>
      <c r="G34" s="178"/>
      <c r="H34" s="38"/>
      <c r="I34" s="181"/>
      <c r="J34" s="168"/>
      <c r="K34" s="172"/>
      <c r="L34" s="172"/>
      <c r="M34" s="173"/>
      <c r="N34" s="183"/>
      <c r="O34" s="173"/>
      <c r="P34" s="173"/>
      <c r="Q34" s="173"/>
      <c r="R34" s="173"/>
      <c r="S34" s="173"/>
      <c r="T34" s="173"/>
      <c r="U34" s="173"/>
      <c r="V34" s="173"/>
    </row>
    <row r="35" ht="15.75" customHeight="1">
      <c r="A35" s="177">
        <v>44442.0</v>
      </c>
      <c r="B35" s="178"/>
      <c r="C35" s="38"/>
      <c r="D35" s="181"/>
      <c r="E35" s="168"/>
      <c r="F35" s="180">
        <v>44442.0</v>
      </c>
      <c r="G35" s="178"/>
      <c r="H35" s="38"/>
      <c r="I35" s="181"/>
      <c r="J35" s="168"/>
      <c r="K35" s="172"/>
      <c r="L35" s="172"/>
      <c r="M35" s="173"/>
      <c r="N35" s="183"/>
      <c r="O35" s="173"/>
      <c r="P35" s="173"/>
      <c r="Q35" s="173"/>
      <c r="R35" s="173"/>
      <c r="S35" s="173"/>
      <c r="T35" s="173"/>
      <c r="U35" s="173"/>
      <c r="V35" s="173"/>
    </row>
    <row r="36" ht="15.75" customHeight="1">
      <c r="A36" s="185">
        <v>44443.0</v>
      </c>
      <c r="B36" s="178"/>
      <c r="C36" s="38"/>
      <c r="D36" s="181"/>
      <c r="E36" s="168"/>
      <c r="F36" s="180">
        <v>44443.0</v>
      </c>
      <c r="G36" s="178"/>
      <c r="H36" s="38"/>
      <c r="I36" s="181"/>
      <c r="J36" s="168"/>
      <c r="K36" s="172"/>
      <c r="L36" s="172"/>
      <c r="M36" s="173"/>
      <c r="N36" s="183"/>
      <c r="O36" s="173"/>
      <c r="P36" s="173"/>
      <c r="Q36" s="173"/>
      <c r="R36" s="173"/>
      <c r="S36" s="173"/>
      <c r="T36" s="173"/>
      <c r="U36" s="173"/>
      <c r="V36" s="173"/>
    </row>
    <row r="37" ht="15.75" customHeight="1">
      <c r="A37" s="185">
        <v>44444.0</v>
      </c>
      <c r="B37" s="178"/>
      <c r="C37" s="38"/>
      <c r="D37" s="181"/>
      <c r="E37" s="168"/>
      <c r="F37" s="180">
        <v>44444.0</v>
      </c>
      <c r="G37" s="178"/>
      <c r="H37" s="38"/>
      <c r="I37" s="181"/>
      <c r="J37" s="168"/>
      <c r="K37" s="172"/>
      <c r="L37" s="172"/>
      <c r="M37" s="173"/>
      <c r="N37" s="183"/>
      <c r="O37" s="173"/>
      <c r="P37" s="173"/>
      <c r="Q37" s="173"/>
      <c r="R37" s="173"/>
      <c r="S37" s="173"/>
      <c r="T37" s="173"/>
      <c r="U37" s="173"/>
      <c r="V37" s="173"/>
    </row>
    <row r="38" ht="15.75" customHeight="1">
      <c r="A38" s="186" t="s">
        <v>127</v>
      </c>
      <c r="B38" s="178">
        <f>SUM(B3:C37)</f>
        <v>0</v>
      </c>
      <c r="C38" s="38"/>
      <c r="D38" s="181">
        <f>SUM(D3:D37)</f>
        <v>0</v>
      </c>
      <c r="E38" s="168"/>
      <c r="F38" s="169" t="s">
        <v>127</v>
      </c>
      <c r="G38" s="178">
        <f>SUM(G3:H37)</f>
        <v>0</v>
      </c>
      <c r="H38" s="38"/>
      <c r="I38" s="181">
        <f>SUM(I3:J37)</f>
        <v>0</v>
      </c>
      <c r="J38" s="168"/>
      <c r="K38" s="172"/>
      <c r="L38" s="172"/>
      <c r="M38" s="173"/>
      <c r="N38" s="173"/>
      <c r="O38" s="173"/>
      <c r="P38" s="173"/>
      <c r="Q38" s="173"/>
      <c r="R38" s="173"/>
      <c r="S38" s="173"/>
      <c r="T38" s="173"/>
      <c r="U38" s="173"/>
      <c r="V38" s="173"/>
    </row>
    <row r="39" ht="15.75" customHeight="1">
      <c r="A39" s="186" t="s">
        <v>39</v>
      </c>
      <c r="B39" s="178">
        <f>B38+D38</f>
        <v>0</v>
      </c>
      <c r="C39" s="167"/>
      <c r="D39" s="38"/>
      <c r="E39" s="168"/>
      <c r="F39" s="169" t="s">
        <v>39</v>
      </c>
      <c r="G39" s="178">
        <f>G38+I38</f>
        <v>0</v>
      </c>
      <c r="H39" s="167"/>
      <c r="I39" s="38"/>
      <c r="J39" s="168"/>
      <c r="K39" s="172"/>
      <c r="L39" s="172"/>
      <c r="M39" s="173"/>
      <c r="N39" s="173"/>
      <c r="O39" s="173"/>
      <c r="P39" s="173"/>
      <c r="Q39" s="173"/>
      <c r="R39" s="173"/>
      <c r="S39" s="173"/>
      <c r="T39" s="173"/>
      <c r="U39" s="173"/>
      <c r="V39" s="173"/>
    </row>
    <row r="40" ht="15.75" customHeight="1">
      <c r="A40" s="42"/>
      <c r="B40" s="138"/>
      <c r="C40" s="138"/>
      <c r="D40" s="138"/>
      <c r="E40" s="168"/>
      <c r="F40" s="42"/>
      <c r="G40" s="187"/>
      <c r="H40" s="188"/>
      <c r="I40" s="189"/>
      <c r="J40" s="168"/>
      <c r="K40" s="172"/>
      <c r="L40" s="172"/>
      <c r="M40" s="173"/>
      <c r="N40" s="173"/>
      <c r="O40" s="173"/>
      <c r="P40" s="173"/>
      <c r="Q40" s="173"/>
      <c r="R40" s="173"/>
      <c r="S40" s="173"/>
      <c r="T40" s="173"/>
      <c r="U40" s="173"/>
      <c r="V40" s="173"/>
    </row>
    <row r="41" ht="15.75" customHeight="1">
      <c r="A41" s="42"/>
      <c r="B41" s="138"/>
      <c r="C41" s="138"/>
      <c r="D41" s="138"/>
      <c r="E41" s="168"/>
      <c r="F41" s="42"/>
      <c r="G41" s="187"/>
      <c r="H41" s="189"/>
      <c r="I41" s="189"/>
      <c r="J41" s="168"/>
      <c r="K41" s="172"/>
      <c r="L41" s="172"/>
      <c r="M41" s="173"/>
      <c r="N41" s="173"/>
      <c r="O41" s="173"/>
      <c r="P41" s="173"/>
      <c r="Q41" s="173"/>
      <c r="R41" s="173"/>
      <c r="S41" s="173"/>
      <c r="T41" s="173"/>
      <c r="U41" s="173"/>
      <c r="V41" s="173"/>
    </row>
    <row r="42" ht="15.75" customHeight="1">
      <c r="A42" s="42"/>
      <c r="B42" s="138"/>
      <c r="C42" s="138"/>
      <c r="D42" s="138"/>
      <c r="E42" s="168"/>
      <c r="F42" s="42"/>
      <c r="G42" s="187"/>
      <c r="H42" s="189"/>
      <c r="I42" s="189"/>
      <c r="J42" s="168"/>
      <c r="K42" s="172"/>
      <c r="L42" s="172"/>
      <c r="M42" s="173"/>
      <c r="N42" s="173"/>
      <c r="O42" s="173"/>
      <c r="P42" s="173"/>
      <c r="Q42" s="173"/>
      <c r="R42" s="173"/>
      <c r="S42" s="173"/>
      <c r="T42" s="173"/>
      <c r="U42" s="173"/>
      <c r="V42" s="173"/>
    </row>
    <row r="43" ht="15.75" customHeight="1">
      <c r="A43" s="42"/>
      <c r="B43" s="138"/>
      <c r="C43" s="138"/>
      <c r="D43" s="138"/>
      <c r="E43" s="168"/>
      <c r="F43" s="42"/>
      <c r="G43" s="190"/>
      <c r="H43" s="189"/>
      <c r="I43" s="189"/>
      <c r="J43" s="168"/>
      <c r="K43" s="172"/>
      <c r="L43" s="172"/>
      <c r="M43" s="173"/>
      <c r="N43" s="173"/>
      <c r="O43" s="173"/>
      <c r="P43" s="173"/>
      <c r="Q43" s="173"/>
      <c r="R43" s="173"/>
      <c r="S43" s="173"/>
      <c r="T43" s="173"/>
      <c r="U43" s="173"/>
      <c r="V43" s="173"/>
    </row>
    <row r="44" ht="15.75" customHeight="1">
      <c r="A44" s="42"/>
      <c r="B44" s="138"/>
      <c r="C44" s="138"/>
      <c r="D44" s="138"/>
      <c r="E44" s="168"/>
      <c r="F44" s="42"/>
      <c r="G44" s="187"/>
      <c r="H44" s="189"/>
      <c r="I44" s="189"/>
      <c r="J44" s="168"/>
      <c r="K44" s="172"/>
      <c r="L44" s="172"/>
      <c r="M44" s="173"/>
      <c r="N44" s="173"/>
      <c r="O44" s="173"/>
      <c r="P44" s="173"/>
      <c r="Q44" s="173"/>
      <c r="R44" s="173"/>
      <c r="S44" s="173"/>
      <c r="T44" s="173"/>
      <c r="U44" s="173"/>
      <c r="V44" s="173"/>
    </row>
    <row r="45" ht="15.75" customHeight="1">
      <c r="A45" s="42"/>
      <c r="B45" s="138"/>
      <c r="C45" s="138"/>
      <c r="D45" s="138"/>
      <c r="E45" s="168"/>
      <c r="F45" s="42"/>
      <c r="G45" s="187"/>
      <c r="H45" s="189"/>
      <c r="I45" s="189"/>
      <c r="J45" s="168"/>
      <c r="K45" s="172"/>
      <c r="L45" s="172"/>
      <c r="M45" s="183"/>
      <c r="N45" s="173"/>
      <c r="O45" s="173"/>
      <c r="P45" s="173"/>
      <c r="Q45" s="173"/>
      <c r="R45" s="173"/>
      <c r="S45" s="173"/>
      <c r="T45" s="173"/>
      <c r="U45" s="173"/>
      <c r="V45" s="173"/>
    </row>
    <row r="46" ht="15.75" customHeight="1">
      <c r="A46" s="42"/>
      <c r="B46" s="138"/>
      <c r="C46" s="138"/>
      <c r="D46" s="138"/>
      <c r="E46" s="168"/>
      <c r="F46" s="42"/>
      <c r="G46" s="187"/>
      <c r="H46" s="189"/>
      <c r="I46" s="189"/>
      <c r="J46" s="168"/>
      <c r="K46" s="172"/>
      <c r="L46" s="172"/>
      <c r="M46" s="183"/>
      <c r="N46" s="173"/>
      <c r="O46" s="173"/>
      <c r="P46" s="173"/>
      <c r="Q46" s="173"/>
      <c r="R46" s="173"/>
      <c r="S46" s="173"/>
      <c r="T46" s="173"/>
      <c r="U46" s="173"/>
      <c r="V46" s="173"/>
    </row>
    <row r="47" ht="15.75" customHeight="1">
      <c r="A47" s="42"/>
      <c r="B47" s="138"/>
      <c r="C47" s="138"/>
      <c r="D47" s="138"/>
      <c r="E47" s="168"/>
      <c r="F47" s="42"/>
      <c r="G47" s="187"/>
      <c r="H47" s="189"/>
      <c r="I47" s="189"/>
      <c r="J47" s="168"/>
      <c r="K47" s="172"/>
      <c r="L47" s="172"/>
      <c r="M47" s="183"/>
      <c r="N47" s="173"/>
      <c r="O47" s="173"/>
      <c r="P47" s="173"/>
      <c r="Q47" s="173"/>
      <c r="R47" s="173"/>
      <c r="S47" s="173"/>
      <c r="T47" s="173"/>
      <c r="U47" s="173"/>
      <c r="V47" s="173"/>
    </row>
    <row r="48" ht="15.75" customHeight="1">
      <c r="A48" s="42"/>
      <c r="B48" s="138"/>
      <c r="C48" s="138"/>
      <c r="D48" s="138"/>
      <c r="E48" s="168"/>
      <c r="F48" s="42"/>
      <c r="G48" s="187"/>
      <c r="H48" s="189"/>
      <c r="I48" s="189"/>
      <c r="J48" s="168"/>
      <c r="K48" s="172"/>
      <c r="L48" s="172"/>
      <c r="M48" s="183"/>
      <c r="N48" s="173"/>
      <c r="O48" s="173"/>
      <c r="P48" s="173"/>
      <c r="Q48" s="173"/>
      <c r="R48" s="173"/>
      <c r="S48" s="173"/>
      <c r="T48" s="173"/>
      <c r="U48" s="173"/>
      <c r="V48" s="173"/>
    </row>
    <row r="49" ht="15.75" customHeight="1">
      <c r="A49" s="42"/>
      <c r="B49" s="138"/>
      <c r="C49" s="138"/>
      <c r="D49" s="138"/>
      <c r="E49" s="168"/>
      <c r="F49" s="42"/>
      <c r="G49" s="187"/>
      <c r="H49" s="189"/>
      <c r="I49" s="189"/>
      <c r="J49" s="168"/>
      <c r="K49" s="172"/>
      <c r="L49" s="172"/>
      <c r="M49" s="173"/>
      <c r="N49" s="173"/>
      <c r="O49" s="173"/>
      <c r="P49" s="173"/>
      <c r="Q49" s="173"/>
      <c r="R49" s="173"/>
      <c r="S49" s="173"/>
      <c r="T49" s="173"/>
      <c r="U49" s="173"/>
      <c r="V49" s="173"/>
    </row>
    <row r="50" ht="15.75" customHeight="1">
      <c r="A50" s="42"/>
      <c r="B50" s="138"/>
      <c r="C50" s="138"/>
      <c r="D50" s="138"/>
      <c r="E50" s="168"/>
      <c r="F50" s="42"/>
      <c r="G50" s="187"/>
      <c r="H50" s="189"/>
      <c r="I50" s="189"/>
      <c r="J50" s="168"/>
      <c r="K50" s="172"/>
      <c r="L50" s="172"/>
      <c r="M50" s="173"/>
      <c r="N50" s="173"/>
      <c r="O50" s="173"/>
      <c r="P50" s="173"/>
      <c r="Q50" s="173"/>
      <c r="R50" s="173"/>
      <c r="S50" s="173"/>
      <c r="T50" s="173"/>
      <c r="U50" s="173"/>
      <c r="V50" s="173"/>
    </row>
    <row r="51" ht="15.75" customHeight="1">
      <c r="A51" s="42"/>
      <c r="B51" s="138"/>
      <c r="C51" s="138"/>
      <c r="D51" s="138"/>
      <c r="E51" s="168"/>
      <c r="F51" s="42"/>
      <c r="G51" s="187"/>
      <c r="H51" s="189"/>
      <c r="I51" s="189"/>
      <c r="J51" s="168"/>
      <c r="K51" s="172"/>
      <c r="L51" s="172"/>
      <c r="M51" s="173"/>
      <c r="N51" s="173"/>
      <c r="O51" s="173"/>
      <c r="P51" s="173"/>
      <c r="Q51" s="173"/>
      <c r="R51" s="173"/>
      <c r="S51" s="173"/>
      <c r="T51" s="173"/>
      <c r="U51" s="173"/>
      <c r="V51" s="173"/>
    </row>
    <row r="52" ht="15.75" customHeight="1">
      <c r="A52" s="42"/>
      <c r="B52" s="138"/>
      <c r="C52" s="138"/>
      <c r="D52" s="138"/>
      <c r="E52" s="168"/>
      <c r="F52" s="42"/>
      <c r="G52" s="187"/>
      <c r="H52" s="189"/>
      <c r="I52" s="189"/>
      <c r="J52" s="168"/>
      <c r="K52" s="172"/>
      <c r="L52" s="172"/>
      <c r="M52" s="173"/>
      <c r="N52" s="173"/>
      <c r="O52" s="173"/>
      <c r="P52" s="173"/>
      <c r="Q52" s="173"/>
      <c r="R52" s="173"/>
      <c r="S52" s="173"/>
      <c r="T52" s="173"/>
      <c r="U52" s="173"/>
      <c r="V52" s="173"/>
    </row>
    <row r="53" ht="15.75" customHeight="1">
      <c r="A53" s="42"/>
      <c r="B53" s="138"/>
      <c r="C53" s="138"/>
      <c r="D53" s="138"/>
      <c r="E53" s="168"/>
      <c r="F53" s="42"/>
      <c r="G53" s="187"/>
      <c r="H53" s="189"/>
      <c r="I53" s="189"/>
      <c r="J53" s="168"/>
      <c r="K53" s="172"/>
      <c r="L53" s="172"/>
      <c r="M53" s="173"/>
      <c r="N53" s="173"/>
      <c r="O53" s="173"/>
      <c r="P53" s="173"/>
      <c r="Q53" s="173"/>
      <c r="R53" s="173"/>
      <c r="S53" s="173"/>
      <c r="T53" s="173"/>
      <c r="U53" s="173"/>
      <c r="V53" s="173"/>
    </row>
    <row r="54" ht="15.75" customHeight="1">
      <c r="A54" s="42"/>
      <c r="B54" s="138"/>
      <c r="C54" s="138"/>
      <c r="D54" s="138"/>
      <c r="E54" s="168"/>
      <c r="F54" s="42"/>
      <c r="G54" s="187"/>
      <c r="H54" s="189"/>
      <c r="I54" s="189"/>
      <c r="J54" s="168"/>
      <c r="K54" s="172"/>
      <c r="L54" s="172"/>
      <c r="M54" s="173"/>
      <c r="N54" s="173"/>
      <c r="O54" s="173"/>
      <c r="P54" s="173"/>
      <c r="Q54" s="173"/>
      <c r="R54" s="173"/>
      <c r="S54" s="173"/>
      <c r="T54" s="173"/>
      <c r="U54" s="173"/>
      <c r="V54" s="173"/>
    </row>
    <row r="55" ht="15.75" customHeight="1">
      <c r="A55" s="42"/>
      <c r="B55" s="138"/>
      <c r="C55" s="138"/>
      <c r="D55" s="138"/>
      <c r="E55" s="168"/>
      <c r="F55" s="42"/>
      <c r="G55" s="187"/>
      <c r="H55" s="189"/>
      <c r="I55" s="189"/>
      <c r="J55" s="168"/>
      <c r="K55" s="172"/>
      <c r="L55" s="172"/>
      <c r="M55" s="173"/>
      <c r="N55" s="173"/>
      <c r="O55" s="173"/>
      <c r="P55" s="173"/>
      <c r="Q55" s="173"/>
      <c r="R55" s="173"/>
      <c r="S55" s="173"/>
      <c r="T55" s="173"/>
      <c r="U55" s="173"/>
      <c r="V55" s="173"/>
    </row>
    <row r="56" ht="15.75" customHeight="1">
      <c r="A56" s="42"/>
      <c r="B56" s="138"/>
      <c r="C56" s="138"/>
      <c r="D56" s="138"/>
      <c r="E56" s="168"/>
      <c r="F56" s="42"/>
      <c r="G56" s="187"/>
      <c r="H56" s="189"/>
      <c r="I56" s="189"/>
      <c r="J56" s="168"/>
      <c r="K56" s="172"/>
      <c r="L56" s="172"/>
      <c r="M56" s="173"/>
      <c r="N56" s="173"/>
      <c r="O56" s="173"/>
      <c r="P56" s="173"/>
      <c r="Q56" s="173"/>
      <c r="R56" s="173"/>
      <c r="S56" s="173"/>
      <c r="T56" s="173"/>
      <c r="U56" s="173"/>
      <c r="V56" s="173"/>
    </row>
    <row r="57" ht="15.75" customHeight="1">
      <c r="A57" s="42"/>
      <c r="B57" s="138"/>
      <c r="C57" s="138"/>
      <c r="D57" s="138"/>
      <c r="E57" s="168"/>
      <c r="F57" s="42"/>
      <c r="G57" s="187"/>
      <c r="H57" s="189"/>
      <c r="I57" s="189"/>
      <c r="J57" s="168"/>
      <c r="K57" s="172"/>
      <c r="L57" s="172"/>
      <c r="M57" s="173"/>
      <c r="N57" s="173"/>
      <c r="O57" s="173"/>
      <c r="P57" s="173"/>
      <c r="Q57" s="173"/>
      <c r="R57" s="173"/>
      <c r="S57" s="173"/>
      <c r="T57" s="173"/>
      <c r="U57" s="173"/>
      <c r="V57" s="173"/>
    </row>
    <row r="58" ht="15.75" customHeight="1">
      <c r="A58" s="42"/>
      <c r="B58" s="138"/>
      <c r="C58" s="138"/>
      <c r="D58" s="138"/>
      <c r="E58" s="168"/>
      <c r="F58" s="42"/>
      <c r="G58" s="187"/>
      <c r="H58" s="189"/>
      <c r="I58" s="189"/>
      <c r="J58" s="168"/>
      <c r="K58" s="172"/>
      <c r="L58" s="172"/>
      <c r="M58" s="173"/>
      <c r="N58" s="173"/>
      <c r="O58" s="173"/>
      <c r="P58" s="173"/>
      <c r="Q58" s="173"/>
      <c r="R58" s="173"/>
      <c r="S58" s="173"/>
      <c r="T58" s="173"/>
      <c r="U58" s="173"/>
      <c r="V58" s="173"/>
    </row>
    <row r="59" ht="15.75" customHeight="1">
      <c r="A59" s="42"/>
      <c r="B59" s="138"/>
      <c r="C59" s="138"/>
      <c r="D59" s="138"/>
      <c r="E59" s="168"/>
      <c r="F59" s="42"/>
      <c r="G59" s="187"/>
      <c r="H59" s="189"/>
      <c r="I59" s="189"/>
      <c r="J59" s="168"/>
      <c r="K59" s="172"/>
      <c r="L59" s="172"/>
      <c r="M59" s="173"/>
      <c r="N59" s="173"/>
      <c r="O59" s="173"/>
      <c r="P59" s="173"/>
      <c r="Q59" s="173"/>
      <c r="R59" s="173"/>
      <c r="S59" s="173"/>
      <c r="T59" s="173"/>
      <c r="U59" s="173"/>
      <c r="V59" s="173"/>
    </row>
    <row r="60" ht="15.75" customHeight="1">
      <c r="A60" s="42"/>
      <c r="B60" s="138"/>
      <c r="C60" s="138"/>
      <c r="D60" s="138"/>
      <c r="E60" s="168"/>
      <c r="F60" s="42"/>
      <c r="G60" s="187"/>
      <c r="H60" s="189"/>
      <c r="I60" s="189"/>
      <c r="J60" s="168"/>
      <c r="K60" s="172"/>
      <c r="L60" s="172"/>
      <c r="M60" s="173"/>
      <c r="N60" s="173"/>
      <c r="O60" s="173"/>
      <c r="P60" s="173"/>
      <c r="Q60" s="173"/>
      <c r="R60" s="173"/>
      <c r="S60" s="173"/>
      <c r="T60" s="173"/>
      <c r="U60" s="173"/>
      <c r="V60" s="173"/>
    </row>
    <row r="61" ht="15.75" customHeight="1">
      <c r="A61" s="42"/>
      <c r="B61" s="138"/>
      <c r="C61" s="138"/>
      <c r="D61" s="138"/>
      <c r="E61" s="168"/>
      <c r="F61" s="42"/>
      <c r="G61" s="191"/>
      <c r="H61" s="189"/>
      <c r="I61" s="189"/>
      <c r="J61" s="168"/>
      <c r="K61" s="172"/>
      <c r="L61" s="172"/>
      <c r="M61" s="173"/>
      <c r="N61" s="173"/>
      <c r="O61" s="173"/>
      <c r="P61" s="173"/>
      <c r="Q61" s="173"/>
      <c r="R61" s="173"/>
      <c r="S61" s="173"/>
      <c r="T61" s="173"/>
      <c r="U61" s="173"/>
      <c r="V61" s="173"/>
    </row>
    <row r="62" ht="15.75" customHeight="1">
      <c r="A62" s="42"/>
      <c r="B62" s="138"/>
      <c r="C62" s="138"/>
      <c r="D62" s="138"/>
      <c r="E62" s="168"/>
      <c r="F62" s="42"/>
      <c r="G62" s="187"/>
      <c r="H62" s="189"/>
      <c r="I62" s="189"/>
      <c r="J62" s="168"/>
      <c r="K62" s="172"/>
      <c r="L62" s="172"/>
      <c r="M62" s="173"/>
      <c r="N62" s="173"/>
      <c r="O62" s="173"/>
      <c r="P62" s="173"/>
      <c r="Q62" s="173"/>
      <c r="R62" s="173"/>
      <c r="S62" s="173"/>
      <c r="T62" s="173"/>
      <c r="U62" s="173"/>
      <c r="V62" s="173"/>
    </row>
    <row r="63" ht="15.75" customHeight="1">
      <c r="A63" s="42"/>
      <c r="B63" s="138"/>
      <c r="C63" s="138"/>
      <c r="D63" s="138"/>
      <c r="E63" s="168"/>
      <c r="F63" s="42"/>
      <c r="G63" s="187"/>
      <c r="H63" s="189"/>
      <c r="I63" s="189"/>
      <c r="J63" s="168"/>
      <c r="K63" s="172"/>
      <c r="L63" s="172"/>
      <c r="M63" s="173"/>
      <c r="N63" s="173"/>
      <c r="O63" s="173"/>
      <c r="P63" s="173"/>
      <c r="Q63" s="173"/>
      <c r="R63" s="173"/>
      <c r="S63" s="173"/>
      <c r="T63" s="173"/>
      <c r="U63" s="173"/>
      <c r="V63" s="173"/>
    </row>
    <row r="64" ht="15.75" customHeight="1">
      <c r="A64" s="42"/>
      <c r="B64" s="138"/>
      <c r="C64" s="138"/>
      <c r="D64" s="138"/>
      <c r="E64" s="168"/>
      <c r="F64" s="42"/>
      <c r="G64" s="187"/>
      <c r="H64" s="189"/>
      <c r="I64" s="189"/>
      <c r="J64" s="168"/>
      <c r="K64" s="172"/>
      <c r="L64" s="172"/>
      <c r="M64" s="173"/>
      <c r="N64" s="173"/>
      <c r="O64" s="173"/>
      <c r="P64" s="173"/>
      <c r="Q64" s="173"/>
      <c r="R64" s="173"/>
      <c r="S64" s="173"/>
      <c r="T64" s="173"/>
      <c r="U64" s="173"/>
      <c r="V64" s="173"/>
    </row>
    <row r="65" ht="15.75" customHeight="1">
      <c r="A65" s="42"/>
      <c r="B65" s="138"/>
      <c r="C65" s="138"/>
      <c r="D65" s="138"/>
      <c r="E65" s="168"/>
      <c r="F65" s="42"/>
      <c r="G65" s="187"/>
      <c r="H65" s="189"/>
      <c r="I65" s="189"/>
      <c r="J65" s="168"/>
      <c r="K65" s="172"/>
      <c r="L65" s="172"/>
      <c r="M65" s="173"/>
      <c r="N65" s="173"/>
      <c r="O65" s="173"/>
      <c r="P65" s="173"/>
      <c r="Q65" s="173"/>
      <c r="R65" s="173"/>
      <c r="S65" s="173"/>
      <c r="T65" s="173"/>
      <c r="U65" s="173"/>
      <c r="V65" s="173"/>
    </row>
    <row r="66" ht="15.75" customHeight="1">
      <c r="A66" s="42"/>
      <c r="B66" s="138"/>
      <c r="C66" s="138"/>
      <c r="D66" s="138"/>
      <c r="E66" s="168"/>
      <c r="F66" s="42"/>
      <c r="G66" s="187"/>
      <c r="H66" s="189"/>
      <c r="I66" s="189"/>
      <c r="J66" s="168"/>
      <c r="K66" s="172"/>
      <c r="L66" s="172"/>
      <c r="M66" s="173"/>
      <c r="N66" s="173"/>
      <c r="O66" s="173"/>
      <c r="P66" s="173"/>
      <c r="Q66" s="173"/>
      <c r="R66" s="173"/>
      <c r="S66" s="173"/>
      <c r="T66" s="173"/>
      <c r="U66" s="173"/>
      <c r="V66" s="173"/>
    </row>
    <row r="67" ht="15.75" customHeight="1">
      <c r="A67" s="42"/>
      <c r="B67" s="138"/>
      <c r="C67" s="138"/>
      <c r="D67" s="138"/>
      <c r="E67" s="168"/>
      <c r="F67" s="42"/>
      <c r="G67" s="187"/>
      <c r="H67" s="189"/>
      <c r="I67" s="189"/>
      <c r="J67" s="168"/>
      <c r="K67" s="172"/>
      <c r="L67" s="172"/>
      <c r="M67" s="173"/>
      <c r="N67" s="173"/>
      <c r="O67" s="173"/>
      <c r="P67" s="173"/>
      <c r="Q67" s="173"/>
      <c r="R67" s="173"/>
      <c r="S67" s="173"/>
      <c r="T67" s="173"/>
      <c r="U67" s="173"/>
      <c r="V67" s="173"/>
    </row>
    <row r="68" ht="15.75" customHeight="1">
      <c r="A68" s="42"/>
      <c r="B68" s="138"/>
      <c r="C68" s="138"/>
      <c r="D68" s="138"/>
      <c r="E68" s="168"/>
      <c r="F68" s="42"/>
      <c r="G68" s="187"/>
      <c r="H68" s="189"/>
      <c r="I68" s="189"/>
      <c r="J68" s="168"/>
      <c r="K68" s="172"/>
      <c r="L68" s="172"/>
      <c r="M68" s="173"/>
      <c r="N68" s="173"/>
      <c r="O68" s="173"/>
      <c r="P68" s="173"/>
      <c r="Q68" s="173"/>
      <c r="R68" s="173"/>
      <c r="S68" s="173"/>
      <c r="T68" s="173"/>
      <c r="U68" s="173"/>
      <c r="V68" s="173"/>
    </row>
    <row r="69" ht="15.75" customHeight="1">
      <c r="A69" s="42"/>
      <c r="B69" s="138"/>
      <c r="C69" s="138"/>
      <c r="D69" s="138"/>
      <c r="E69" s="168"/>
      <c r="F69" s="42"/>
      <c r="G69" s="187"/>
      <c r="H69" s="189"/>
      <c r="I69" s="189"/>
      <c r="J69" s="168"/>
      <c r="K69" s="172"/>
      <c r="L69" s="172"/>
      <c r="M69" s="173"/>
      <c r="N69" s="173"/>
      <c r="O69" s="173"/>
      <c r="P69" s="173"/>
      <c r="Q69" s="173"/>
      <c r="R69" s="173"/>
      <c r="S69" s="173"/>
      <c r="T69" s="173"/>
      <c r="U69" s="173"/>
      <c r="V69" s="173"/>
    </row>
    <row r="70" ht="15.75" customHeight="1">
      <c r="A70" s="42"/>
      <c r="B70" s="138"/>
      <c r="C70" s="138"/>
      <c r="D70" s="138"/>
      <c r="E70" s="168"/>
      <c r="F70" s="42"/>
      <c r="G70" s="187"/>
      <c r="H70" s="189"/>
      <c r="I70" s="189"/>
      <c r="J70" s="168"/>
      <c r="K70" s="172"/>
      <c r="L70" s="172"/>
      <c r="M70" s="173"/>
      <c r="N70" s="173"/>
      <c r="O70" s="173"/>
      <c r="P70" s="173"/>
      <c r="Q70" s="173"/>
      <c r="R70" s="173"/>
      <c r="S70" s="173"/>
      <c r="T70" s="173"/>
      <c r="U70" s="173"/>
      <c r="V70" s="173"/>
    </row>
    <row r="71" ht="15.75" customHeight="1">
      <c r="A71" s="42"/>
      <c r="B71" s="138"/>
      <c r="C71" s="138"/>
      <c r="D71" s="138"/>
      <c r="E71" s="168"/>
      <c r="F71" s="42"/>
      <c r="G71" s="187"/>
      <c r="H71" s="189"/>
      <c r="I71" s="189"/>
      <c r="J71" s="168"/>
      <c r="K71" s="172"/>
      <c r="L71" s="172"/>
      <c r="M71" s="173"/>
      <c r="N71" s="173"/>
      <c r="O71" s="173"/>
      <c r="P71" s="173"/>
      <c r="Q71" s="173"/>
      <c r="R71" s="173"/>
      <c r="S71" s="173"/>
      <c r="T71" s="173"/>
      <c r="U71" s="173"/>
      <c r="V71" s="173"/>
    </row>
    <row r="72" ht="15.75" customHeight="1">
      <c r="A72" s="42"/>
      <c r="B72" s="138"/>
      <c r="C72" s="138"/>
      <c r="D72" s="138"/>
      <c r="E72" s="168"/>
      <c r="F72" s="42"/>
      <c r="G72" s="187"/>
      <c r="H72" s="189"/>
      <c r="I72" s="189"/>
      <c r="J72" s="168"/>
      <c r="K72" s="172"/>
      <c r="L72" s="172"/>
      <c r="M72" s="173"/>
      <c r="N72" s="173"/>
      <c r="O72" s="173"/>
      <c r="P72" s="173"/>
      <c r="Q72" s="173"/>
      <c r="R72" s="173"/>
      <c r="S72" s="173"/>
      <c r="T72" s="173"/>
      <c r="U72" s="173"/>
      <c r="V72" s="173"/>
    </row>
    <row r="73" ht="15.75" customHeight="1">
      <c r="A73" s="42"/>
      <c r="B73" s="138"/>
      <c r="C73" s="138"/>
      <c r="D73" s="138"/>
      <c r="E73" s="168"/>
      <c r="F73" s="42"/>
      <c r="G73" s="187"/>
      <c r="H73" s="189"/>
      <c r="I73" s="189"/>
      <c r="J73" s="168"/>
      <c r="K73" s="172"/>
      <c r="L73" s="172"/>
      <c r="M73" s="173"/>
      <c r="N73" s="173"/>
      <c r="O73" s="173"/>
      <c r="P73" s="173"/>
      <c r="Q73" s="173"/>
      <c r="R73" s="173"/>
      <c r="S73" s="173"/>
      <c r="T73" s="173"/>
      <c r="U73" s="173"/>
      <c r="V73" s="173"/>
    </row>
    <row r="74" ht="15.75" customHeight="1">
      <c r="A74" s="42"/>
      <c r="B74" s="138"/>
      <c r="C74" s="138"/>
      <c r="D74" s="138"/>
      <c r="E74" s="168"/>
      <c r="F74" s="42"/>
      <c r="G74" s="187"/>
      <c r="H74" s="189"/>
      <c r="I74" s="189"/>
      <c r="J74" s="168"/>
      <c r="K74" s="172"/>
      <c r="L74" s="172"/>
      <c r="M74" s="173"/>
      <c r="N74" s="173"/>
      <c r="O74" s="173"/>
      <c r="P74" s="173"/>
      <c r="Q74" s="173"/>
      <c r="R74" s="173"/>
      <c r="S74" s="173"/>
      <c r="T74" s="173"/>
      <c r="U74" s="173"/>
      <c r="V74" s="173"/>
    </row>
    <row r="75" ht="15.75" customHeight="1">
      <c r="A75" s="42"/>
      <c r="B75" s="138"/>
      <c r="C75" s="138"/>
      <c r="D75" s="138"/>
      <c r="E75" s="168"/>
      <c r="F75" s="42"/>
      <c r="G75" s="187"/>
      <c r="H75" s="189"/>
      <c r="I75" s="189"/>
      <c r="J75" s="168"/>
      <c r="K75" s="172"/>
      <c r="L75" s="172"/>
      <c r="M75" s="173"/>
      <c r="N75" s="173"/>
      <c r="O75" s="173"/>
      <c r="P75" s="173"/>
      <c r="Q75" s="173"/>
      <c r="R75" s="173"/>
      <c r="S75" s="173"/>
      <c r="T75" s="173"/>
      <c r="U75" s="173"/>
      <c r="V75" s="173"/>
    </row>
    <row r="76" ht="15.75" customHeight="1">
      <c r="A76" s="42"/>
      <c r="B76" s="138"/>
      <c r="C76" s="138"/>
      <c r="D76" s="138"/>
      <c r="E76" s="168"/>
      <c r="F76" s="42"/>
      <c r="G76" s="187"/>
      <c r="H76" s="189"/>
      <c r="I76" s="189"/>
      <c r="J76" s="168"/>
      <c r="K76" s="172"/>
      <c r="L76" s="172"/>
      <c r="M76" s="173"/>
      <c r="N76" s="173"/>
      <c r="O76" s="173"/>
      <c r="P76" s="173"/>
      <c r="Q76" s="173"/>
      <c r="R76" s="173"/>
      <c r="S76" s="173"/>
      <c r="T76" s="173"/>
      <c r="U76" s="173"/>
      <c r="V76" s="173"/>
    </row>
    <row r="77" ht="15.75" customHeight="1">
      <c r="A77" s="42"/>
      <c r="B77" s="138"/>
      <c r="C77" s="138"/>
      <c r="D77" s="138"/>
      <c r="E77" s="168"/>
      <c r="F77" s="42"/>
      <c r="G77" s="187"/>
      <c r="H77" s="189"/>
      <c r="I77" s="189"/>
      <c r="J77" s="168"/>
      <c r="K77" s="172"/>
      <c r="L77" s="172"/>
      <c r="M77" s="173"/>
      <c r="N77" s="173"/>
      <c r="O77" s="173"/>
      <c r="P77" s="173"/>
      <c r="Q77" s="173"/>
      <c r="R77" s="173"/>
      <c r="S77" s="173"/>
      <c r="T77" s="173"/>
      <c r="U77" s="173"/>
      <c r="V77" s="173"/>
    </row>
    <row r="78" ht="15.75" customHeight="1">
      <c r="A78" s="42"/>
      <c r="B78" s="138"/>
      <c r="C78" s="138"/>
      <c r="D78" s="138"/>
      <c r="E78" s="168"/>
      <c r="F78" s="42"/>
      <c r="G78" s="187"/>
      <c r="H78" s="189"/>
      <c r="I78" s="189"/>
      <c r="J78" s="168"/>
      <c r="K78" s="172"/>
      <c r="L78" s="172"/>
      <c r="M78" s="173"/>
      <c r="N78" s="173"/>
      <c r="O78" s="173"/>
      <c r="P78" s="173"/>
      <c r="Q78" s="173"/>
      <c r="R78" s="173"/>
      <c r="S78" s="173"/>
      <c r="T78" s="173"/>
      <c r="U78" s="173"/>
      <c r="V78" s="173"/>
    </row>
    <row r="79" ht="15.75" customHeight="1">
      <c r="A79" s="42"/>
      <c r="B79" s="138"/>
      <c r="C79" s="138"/>
      <c r="D79" s="138"/>
      <c r="E79" s="168"/>
      <c r="F79" s="42"/>
      <c r="G79" s="187"/>
      <c r="H79" s="189"/>
      <c r="I79" s="189"/>
      <c r="J79" s="168"/>
      <c r="K79" s="172"/>
      <c r="L79" s="172"/>
      <c r="M79" s="173"/>
      <c r="N79" s="173"/>
      <c r="O79" s="173"/>
      <c r="P79" s="173"/>
      <c r="Q79" s="173"/>
      <c r="R79" s="173"/>
      <c r="S79" s="173"/>
      <c r="T79" s="173"/>
      <c r="U79" s="173"/>
      <c r="V79" s="173"/>
    </row>
    <row r="80" ht="15.75" customHeight="1">
      <c r="A80" s="42"/>
      <c r="B80" s="138"/>
      <c r="C80" s="138"/>
      <c r="D80" s="138"/>
      <c r="E80" s="168"/>
      <c r="F80" s="42"/>
      <c r="G80" s="187"/>
      <c r="H80" s="189"/>
      <c r="I80" s="189"/>
      <c r="J80" s="168"/>
      <c r="K80" s="172"/>
      <c r="L80" s="172"/>
      <c r="M80" s="173"/>
      <c r="N80" s="173"/>
      <c r="O80" s="173"/>
      <c r="P80" s="173"/>
      <c r="Q80" s="173"/>
      <c r="R80" s="173"/>
      <c r="S80" s="173"/>
      <c r="T80" s="173"/>
      <c r="U80" s="173"/>
      <c r="V80" s="173"/>
    </row>
    <row r="81" ht="15.75" customHeight="1">
      <c r="A81" s="42"/>
      <c r="B81" s="138"/>
      <c r="C81" s="138"/>
      <c r="D81" s="138"/>
      <c r="E81" s="168"/>
      <c r="F81" s="42"/>
      <c r="G81" s="187"/>
      <c r="H81" s="189"/>
      <c r="I81" s="189"/>
      <c r="J81" s="168"/>
      <c r="K81" s="172"/>
      <c r="L81" s="172"/>
      <c r="M81" s="173"/>
      <c r="N81" s="173"/>
      <c r="O81" s="173"/>
      <c r="P81" s="173"/>
      <c r="Q81" s="173"/>
      <c r="R81" s="173"/>
      <c r="S81" s="173"/>
      <c r="T81" s="173"/>
      <c r="U81" s="173"/>
      <c r="V81" s="173"/>
    </row>
    <row r="82" ht="15.75" customHeight="1">
      <c r="A82" s="168"/>
      <c r="B82" s="192"/>
      <c r="C82" s="192"/>
      <c r="D82" s="192"/>
      <c r="E82" s="168"/>
      <c r="F82" s="171"/>
      <c r="G82" s="193"/>
      <c r="H82" s="193"/>
      <c r="I82" s="193"/>
      <c r="J82" s="171"/>
      <c r="K82" s="172"/>
      <c r="L82" s="172"/>
      <c r="M82" s="173"/>
      <c r="N82" s="173"/>
      <c r="O82" s="173"/>
      <c r="P82" s="173"/>
      <c r="Q82" s="173"/>
      <c r="R82" s="173"/>
      <c r="S82" s="173"/>
      <c r="T82" s="173"/>
      <c r="U82" s="173"/>
      <c r="V82" s="173"/>
    </row>
    <row r="83" ht="15.75" customHeight="1">
      <c r="A83" s="168"/>
      <c r="B83" s="192"/>
      <c r="C83" s="192"/>
      <c r="D83" s="192"/>
      <c r="E83" s="168"/>
      <c r="F83" s="171"/>
      <c r="G83" s="193"/>
      <c r="H83" s="193"/>
      <c r="I83" s="193"/>
      <c r="J83" s="171"/>
      <c r="K83" s="172"/>
      <c r="L83" s="172"/>
      <c r="M83" s="173"/>
      <c r="N83" s="173"/>
      <c r="O83" s="173"/>
      <c r="P83" s="173"/>
      <c r="Q83" s="173"/>
      <c r="R83" s="173"/>
      <c r="S83" s="173"/>
      <c r="T83" s="173"/>
      <c r="U83" s="173"/>
      <c r="V83" s="173"/>
    </row>
    <row r="84" ht="15.75" customHeight="1">
      <c r="A84" s="171"/>
      <c r="B84" s="193"/>
      <c r="C84" s="193"/>
      <c r="D84" s="193"/>
      <c r="E84" s="168"/>
      <c r="F84" s="171"/>
      <c r="G84" s="193"/>
      <c r="H84" s="171"/>
      <c r="I84" s="171"/>
      <c r="J84" s="171"/>
      <c r="K84" s="171"/>
      <c r="L84" s="171"/>
      <c r="M84" s="173"/>
      <c r="N84" s="173"/>
      <c r="O84" s="173"/>
      <c r="P84" s="173"/>
      <c r="Q84" s="173"/>
      <c r="R84" s="173"/>
      <c r="S84" s="173"/>
      <c r="T84" s="173"/>
      <c r="U84" s="173"/>
      <c r="V84" s="173"/>
    </row>
    <row r="85" ht="15.75" customHeight="1">
      <c r="A85" s="171"/>
      <c r="B85" s="193"/>
      <c r="C85" s="193"/>
      <c r="D85" s="193"/>
      <c r="E85" s="168"/>
      <c r="F85" s="171"/>
      <c r="G85" s="193"/>
      <c r="H85" s="171"/>
      <c r="I85" s="171"/>
      <c r="J85" s="171"/>
      <c r="K85" s="171"/>
      <c r="L85" s="171"/>
      <c r="M85" s="173"/>
      <c r="N85" s="173"/>
      <c r="O85" s="173"/>
      <c r="P85" s="173"/>
      <c r="Q85" s="173"/>
      <c r="R85" s="173"/>
      <c r="S85" s="173"/>
      <c r="T85" s="173"/>
      <c r="U85" s="173"/>
      <c r="V85" s="173"/>
    </row>
    <row r="86" ht="15.75" customHeight="1">
      <c r="A86" s="171"/>
      <c r="B86" s="193"/>
      <c r="C86" s="193"/>
      <c r="D86" s="193"/>
      <c r="E86" s="168"/>
      <c r="F86" s="171"/>
      <c r="G86" s="193"/>
      <c r="H86" s="171"/>
      <c r="I86" s="171"/>
      <c r="J86" s="171"/>
      <c r="K86" s="171"/>
      <c r="L86" s="194"/>
      <c r="M86" s="173"/>
      <c r="N86" s="173"/>
      <c r="O86" s="173"/>
      <c r="P86" s="173"/>
      <c r="Q86" s="173"/>
      <c r="R86" s="173"/>
      <c r="S86" s="173"/>
      <c r="T86" s="173"/>
      <c r="U86" s="173"/>
      <c r="V86" s="173"/>
    </row>
    <row r="87" ht="15.75" customHeight="1">
      <c r="A87" s="171"/>
      <c r="B87" s="193"/>
      <c r="C87" s="193"/>
      <c r="D87" s="193"/>
      <c r="E87" s="168"/>
      <c r="F87" s="171"/>
      <c r="G87" s="193"/>
      <c r="H87" s="171"/>
      <c r="I87" s="171"/>
      <c r="J87" s="171"/>
      <c r="K87" s="171"/>
      <c r="L87" s="194"/>
      <c r="M87" s="173"/>
      <c r="N87" s="173"/>
      <c r="O87" s="173"/>
      <c r="P87" s="173"/>
      <c r="Q87" s="173"/>
      <c r="R87" s="173"/>
      <c r="S87" s="173"/>
      <c r="T87" s="173"/>
      <c r="U87" s="173"/>
      <c r="V87" s="173"/>
    </row>
    <row r="88" ht="15.75" customHeight="1">
      <c r="A88" s="171"/>
      <c r="B88" s="193"/>
      <c r="C88" s="193"/>
      <c r="D88" s="193"/>
      <c r="E88" s="168"/>
      <c r="F88" s="171"/>
      <c r="G88" s="193"/>
      <c r="H88" s="171"/>
      <c r="I88" s="171"/>
      <c r="J88" s="171"/>
      <c r="K88" s="171"/>
      <c r="L88" s="194"/>
      <c r="M88" s="173"/>
      <c r="N88" s="173"/>
      <c r="O88" s="173"/>
      <c r="P88" s="173"/>
      <c r="Q88" s="173"/>
      <c r="R88" s="173"/>
      <c r="S88" s="173"/>
      <c r="T88" s="173"/>
      <c r="U88" s="173"/>
      <c r="V88" s="173"/>
    </row>
    <row r="89" ht="15.75" customHeight="1">
      <c r="A89" s="171"/>
      <c r="B89" s="193"/>
      <c r="C89" s="193"/>
      <c r="D89" s="193"/>
      <c r="E89" s="168"/>
      <c r="F89" s="171"/>
      <c r="G89" s="193"/>
      <c r="H89" s="171"/>
      <c r="I89" s="171"/>
      <c r="J89" s="171"/>
      <c r="K89" s="171"/>
      <c r="L89" s="194"/>
      <c r="M89" s="173"/>
      <c r="N89" s="173"/>
      <c r="O89" s="173"/>
      <c r="P89" s="173"/>
      <c r="Q89" s="173"/>
      <c r="R89" s="173"/>
      <c r="S89" s="173"/>
      <c r="T89" s="173"/>
      <c r="U89" s="173"/>
      <c r="V89" s="173"/>
    </row>
    <row r="90" ht="15.75" customHeight="1">
      <c r="A90" s="171"/>
      <c r="B90" s="193"/>
      <c r="C90" s="193"/>
      <c r="D90" s="193"/>
      <c r="E90" s="168"/>
      <c r="F90" s="171"/>
      <c r="G90" s="193"/>
      <c r="H90" s="171"/>
      <c r="I90" s="171"/>
      <c r="J90" s="171"/>
      <c r="K90" s="171"/>
      <c r="L90" s="194"/>
      <c r="M90" s="173"/>
      <c r="N90" s="173"/>
      <c r="O90" s="173"/>
      <c r="P90" s="173"/>
      <c r="Q90" s="173"/>
      <c r="R90" s="173"/>
      <c r="S90" s="173"/>
      <c r="T90" s="173"/>
      <c r="U90" s="173"/>
      <c r="V90" s="173"/>
    </row>
    <row r="91" ht="15.75" customHeight="1">
      <c r="A91" s="171"/>
      <c r="B91" s="193"/>
      <c r="C91" s="193"/>
      <c r="D91" s="193"/>
      <c r="E91" s="168"/>
      <c r="F91" s="171"/>
      <c r="G91" s="193"/>
      <c r="H91" s="171"/>
      <c r="I91" s="171"/>
      <c r="J91" s="171"/>
      <c r="K91" s="171"/>
      <c r="L91" s="194"/>
      <c r="M91" s="173"/>
      <c r="N91" s="173"/>
      <c r="O91" s="173"/>
      <c r="P91" s="173"/>
      <c r="Q91" s="173"/>
      <c r="R91" s="173"/>
      <c r="S91" s="173"/>
      <c r="T91" s="173"/>
      <c r="U91" s="173"/>
      <c r="V91" s="173"/>
    </row>
    <row r="92" ht="15.75" customHeight="1">
      <c r="A92" s="171"/>
      <c r="B92" s="193"/>
      <c r="C92" s="193"/>
      <c r="D92" s="193"/>
      <c r="E92" s="168"/>
      <c r="F92" s="171"/>
      <c r="G92" s="193"/>
      <c r="H92" s="171"/>
      <c r="I92" s="171"/>
      <c r="J92" s="171"/>
      <c r="K92" s="171"/>
      <c r="L92" s="195"/>
      <c r="M92" s="173"/>
      <c r="N92" s="173"/>
      <c r="O92" s="173"/>
      <c r="P92" s="173"/>
      <c r="Q92" s="173"/>
      <c r="R92" s="173"/>
      <c r="S92" s="173"/>
      <c r="T92" s="173"/>
      <c r="U92" s="173"/>
      <c r="V92" s="173"/>
    </row>
    <row r="93" ht="15.75" customHeight="1">
      <c r="A93" s="171"/>
      <c r="B93" s="193"/>
      <c r="C93" s="193"/>
      <c r="D93" s="193"/>
      <c r="E93" s="168"/>
      <c r="F93" s="171"/>
      <c r="G93" s="193"/>
      <c r="H93" s="171"/>
      <c r="I93" s="171"/>
      <c r="J93" s="171"/>
      <c r="K93" s="171"/>
      <c r="L93" s="195"/>
      <c r="M93" s="173"/>
      <c r="N93" s="173"/>
      <c r="O93" s="173"/>
      <c r="P93" s="173"/>
      <c r="Q93" s="173"/>
      <c r="R93" s="173"/>
      <c r="S93" s="173"/>
      <c r="T93" s="173"/>
      <c r="U93" s="173"/>
      <c r="V93" s="173"/>
    </row>
    <row r="94" ht="15.75" customHeight="1">
      <c r="A94" s="171"/>
      <c r="B94" s="193"/>
      <c r="C94" s="193"/>
      <c r="D94" s="193"/>
      <c r="E94" s="168"/>
      <c r="F94" s="171"/>
      <c r="G94" s="193"/>
      <c r="H94" s="171"/>
      <c r="I94" s="171"/>
      <c r="J94" s="171"/>
      <c r="K94" s="171"/>
      <c r="L94" s="195"/>
      <c r="M94" s="173"/>
      <c r="N94" s="173"/>
      <c r="O94" s="173"/>
      <c r="P94" s="173"/>
      <c r="Q94" s="173"/>
      <c r="R94" s="173"/>
      <c r="S94" s="173"/>
      <c r="T94" s="173"/>
      <c r="U94" s="173"/>
      <c r="V94" s="173"/>
    </row>
    <row r="95" ht="15.75" customHeight="1">
      <c r="A95" s="171"/>
      <c r="B95" s="193"/>
      <c r="C95" s="193"/>
      <c r="D95" s="193"/>
      <c r="E95" s="168"/>
      <c r="F95" s="171"/>
      <c r="G95" s="193"/>
      <c r="H95" s="171"/>
      <c r="I95" s="171"/>
      <c r="J95" s="171"/>
      <c r="K95" s="171"/>
      <c r="L95" s="195"/>
      <c r="M95" s="173"/>
      <c r="N95" s="173"/>
      <c r="O95" s="173"/>
      <c r="P95" s="173"/>
      <c r="Q95" s="173"/>
      <c r="R95" s="173"/>
      <c r="S95" s="173"/>
      <c r="T95" s="173"/>
      <c r="U95" s="173"/>
      <c r="V95" s="173"/>
    </row>
    <row r="96" ht="15.75" customHeight="1">
      <c r="A96" s="171"/>
      <c r="B96" s="193"/>
      <c r="C96" s="193"/>
      <c r="D96" s="193"/>
      <c r="E96" s="168"/>
      <c r="F96" s="171"/>
      <c r="G96" s="193"/>
      <c r="H96" s="171"/>
      <c r="I96" s="171"/>
      <c r="J96" s="171"/>
      <c r="K96" s="171"/>
      <c r="L96" s="194"/>
      <c r="M96" s="173"/>
      <c r="N96" s="173"/>
      <c r="O96" s="173"/>
      <c r="P96" s="173"/>
      <c r="Q96" s="173"/>
      <c r="R96" s="173"/>
      <c r="S96" s="173"/>
      <c r="T96" s="173"/>
      <c r="U96" s="173"/>
      <c r="V96" s="173"/>
    </row>
    <row r="97" ht="15.75" customHeight="1">
      <c r="A97" s="171"/>
      <c r="B97" s="193"/>
      <c r="C97" s="193"/>
      <c r="D97" s="193"/>
      <c r="E97" s="168"/>
      <c r="F97" s="171"/>
      <c r="G97" s="193"/>
      <c r="H97" s="171"/>
      <c r="I97" s="171"/>
      <c r="J97" s="171"/>
      <c r="K97" s="171"/>
      <c r="L97" s="194"/>
      <c r="M97" s="173"/>
      <c r="N97" s="173"/>
      <c r="O97" s="173"/>
      <c r="P97" s="173"/>
      <c r="Q97" s="173"/>
      <c r="R97" s="173"/>
      <c r="S97" s="173"/>
      <c r="T97" s="173"/>
      <c r="U97" s="173"/>
      <c r="V97" s="173"/>
    </row>
    <row r="98" ht="15.75" customHeight="1">
      <c r="A98" s="171"/>
      <c r="B98" s="193"/>
      <c r="C98" s="193"/>
      <c r="D98" s="193"/>
      <c r="E98" s="168"/>
      <c r="F98" s="171"/>
      <c r="G98" s="193"/>
      <c r="H98" s="171"/>
      <c r="I98" s="171"/>
      <c r="J98" s="171"/>
      <c r="K98" s="171"/>
      <c r="L98" s="195"/>
      <c r="M98" s="173"/>
      <c r="N98" s="173"/>
      <c r="O98" s="173"/>
      <c r="P98" s="173"/>
      <c r="Q98" s="173"/>
      <c r="R98" s="173"/>
      <c r="S98" s="173"/>
      <c r="T98" s="173"/>
      <c r="U98" s="173"/>
      <c r="V98" s="173"/>
    </row>
    <row r="99" ht="15.75" customHeight="1">
      <c r="A99" s="171"/>
      <c r="B99" s="193"/>
      <c r="C99" s="193"/>
      <c r="D99" s="193"/>
      <c r="E99" s="168"/>
      <c r="F99" s="171"/>
      <c r="G99" s="193"/>
      <c r="H99" s="171"/>
      <c r="I99" s="171"/>
      <c r="J99" s="171"/>
      <c r="K99" s="171"/>
      <c r="L99" s="194"/>
      <c r="M99" s="173"/>
      <c r="N99" s="173"/>
      <c r="O99" s="173"/>
      <c r="P99" s="173"/>
      <c r="Q99" s="173"/>
      <c r="R99" s="173"/>
      <c r="S99" s="173"/>
      <c r="T99" s="173"/>
      <c r="U99" s="173"/>
      <c r="V99" s="173"/>
    </row>
    <row r="100" ht="15.75" customHeight="1">
      <c r="A100" s="171"/>
      <c r="B100" s="193"/>
      <c r="C100" s="193"/>
      <c r="D100" s="193"/>
      <c r="E100" s="168"/>
      <c r="F100" s="171"/>
      <c r="G100" s="193"/>
      <c r="H100" s="171"/>
      <c r="I100" s="171"/>
      <c r="J100" s="171"/>
      <c r="K100" s="171"/>
      <c r="L100" s="195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</row>
    <row r="101" ht="15.75" customHeight="1">
      <c r="A101" s="173"/>
      <c r="B101" s="196"/>
      <c r="C101" s="196"/>
      <c r="D101" s="196"/>
      <c r="E101" s="173"/>
      <c r="F101" s="173"/>
      <c r="G101" s="197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</row>
    <row r="102" ht="15.75" customHeight="1">
      <c r="A102" s="173"/>
      <c r="B102" s="196"/>
      <c r="C102" s="196"/>
      <c r="D102" s="196"/>
      <c r="E102" s="173"/>
      <c r="F102" s="173"/>
      <c r="G102" s="197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</row>
    <row r="103" ht="15.75" customHeight="1">
      <c r="A103" s="173"/>
      <c r="B103" s="196"/>
      <c r="C103" s="196"/>
      <c r="D103" s="196"/>
      <c r="E103" s="173"/>
      <c r="F103" s="173"/>
      <c r="G103" s="197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</row>
    <row r="104" ht="15.75" customHeight="1">
      <c r="A104" s="173"/>
      <c r="B104" s="196"/>
      <c r="C104" s="196"/>
      <c r="D104" s="196"/>
      <c r="E104" s="173"/>
      <c r="F104" s="173"/>
      <c r="G104" s="197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</row>
    <row r="105" ht="15.75" customHeight="1">
      <c r="A105" s="173"/>
      <c r="B105" s="196"/>
      <c r="C105" s="196"/>
      <c r="D105" s="196"/>
      <c r="E105" s="173"/>
      <c r="F105" s="173"/>
      <c r="G105" s="197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</row>
    <row r="106" ht="15.75" customHeight="1">
      <c r="A106" s="173"/>
      <c r="B106" s="196"/>
      <c r="C106" s="196"/>
      <c r="D106" s="196"/>
      <c r="E106" s="173"/>
      <c r="F106" s="173"/>
      <c r="G106" s="197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</row>
    <row r="107" ht="15.75" customHeight="1">
      <c r="A107" s="173"/>
      <c r="B107" s="196"/>
      <c r="C107" s="196"/>
      <c r="D107" s="196"/>
      <c r="E107" s="173"/>
      <c r="F107" s="173"/>
      <c r="G107" s="197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</row>
    <row r="108" ht="15.75" customHeight="1">
      <c r="A108" s="173"/>
      <c r="B108" s="196"/>
      <c r="C108" s="196"/>
      <c r="D108" s="196"/>
      <c r="E108" s="173"/>
      <c r="F108" s="173"/>
      <c r="G108" s="197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</row>
    <row r="109" ht="15.75" customHeight="1">
      <c r="A109" s="173"/>
      <c r="B109" s="196"/>
      <c r="C109" s="196"/>
      <c r="D109" s="196"/>
      <c r="E109" s="173"/>
      <c r="F109" s="173"/>
      <c r="G109" s="197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</row>
    <row r="110" ht="15.75" customHeight="1">
      <c r="A110" s="173"/>
      <c r="B110" s="196"/>
      <c r="C110" s="196"/>
      <c r="D110" s="196"/>
      <c r="E110" s="173"/>
      <c r="F110" s="173"/>
      <c r="G110" s="197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</row>
    <row r="111" ht="15.75" customHeight="1">
      <c r="A111" s="173"/>
      <c r="B111" s="196"/>
      <c r="C111" s="196"/>
      <c r="D111" s="196"/>
      <c r="E111" s="173"/>
      <c r="F111" s="173"/>
      <c r="G111" s="197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</row>
    <row r="112" ht="15.75" customHeight="1">
      <c r="A112" s="173"/>
      <c r="B112" s="196"/>
      <c r="C112" s="196"/>
      <c r="D112" s="196"/>
      <c r="E112" s="173"/>
      <c r="F112" s="173"/>
      <c r="G112" s="197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</row>
    <row r="113" ht="15.75" customHeight="1">
      <c r="A113" s="173"/>
      <c r="B113" s="196"/>
      <c r="C113" s="196"/>
      <c r="D113" s="196"/>
      <c r="E113" s="173"/>
      <c r="F113" s="173"/>
      <c r="G113" s="197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</row>
    <row r="114" ht="15.75" customHeight="1">
      <c r="A114" s="173"/>
      <c r="B114" s="196"/>
      <c r="C114" s="196"/>
      <c r="D114" s="196"/>
      <c r="E114" s="173"/>
      <c r="F114" s="173"/>
      <c r="G114" s="197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</row>
    <row r="115" ht="15.75" customHeight="1">
      <c r="A115" s="173"/>
      <c r="B115" s="196"/>
      <c r="C115" s="196"/>
      <c r="D115" s="196"/>
      <c r="E115" s="173"/>
      <c r="F115" s="173"/>
      <c r="G115" s="197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</row>
    <row r="116" ht="15.75" customHeight="1">
      <c r="A116" s="173"/>
      <c r="B116" s="196"/>
      <c r="C116" s="196"/>
      <c r="D116" s="196"/>
      <c r="E116" s="173"/>
      <c r="F116" s="173"/>
      <c r="G116" s="197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</row>
    <row r="117" ht="15.75" customHeight="1">
      <c r="A117" s="173"/>
      <c r="B117" s="196"/>
      <c r="C117" s="196"/>
      <c r="D117" s="196"/>
      <c r="E117" s="173"/>
      <c r="F117" s="173"/>
      <c r="G117" s="197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</row>
    <row r="118" ht="15.75" customHeight="1">
      <c r="A118" s="173"/>
      <c r="B118" s="196"/>
      <c r="C118" s="196"/>
      <c r="D118" s="196"/>
      <c r="E118" s="173"/>
      <c r="F118" s="173"/>
      <c r="G118" s="197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</row>
    <row r="119" ht="15.75" customHeight="1">
      <c r="A119" s="173"/>
      <c r="B119" s="196"/>
      <c r="C119" s="196"/>
      <c r="D119" s="196"/>
      <c r="E119" s="173"/>
      <c r="F119" s="173"/>
      <c r="G119" s="197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</row>
    <row r="120" ht="15.75" customHeight="1">
      <c r="A120" s="173"/>
      <c r="B120" s="196"/>
      <c r="C120" s="196"/>
      <c r="D120" s="196"/>
      <c r="E120" s="173"/>
      <c r="F120" s="173"/>
      <c r="G120" s="197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</row>
    <row r="121" ht="15.75" customHeight="1">
      <c r="A121" s="173"/>
      <c r="B121" s="196"/>
      <c r="C121" s="196"/>
      <c r="D121" s="196"/>
      <c r="E121" s="173"/>
      <c r="F121" s="173"/>
      <c r="G121" s="197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</row>
    <row r="122" ht="15.75" customHeight="1">
      <c r="A122" s="173"/>
      <c r="B122" s="196"/>
      <c r="C122" s="196"/>
      <c r="D122" s="196"/>
      <c r="E122" s="173"/>
      <c r="F122" s="173"/>
      <c r="G122" s="197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</row>
    <row r="123" ht="15.75" customHeight="1">
      <c r="A123" s="173"/>
      <c r="B123" s="196"/>
      <c r="C123" s="196"/>
      <c r="D123" s="196"/>
      <c r="E123" s="173"/>
      <c r="F123" s="173"/>
      <c r="G123" s="197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</row>
    <row r="124" ht="15.75" customHeight="1">
      <c r="A124" s="173"/>
      <c r="B124" s="196"/>
      <c r="C124" s="196"/>
      <c r="D124" s="196"/>
      <c r="E124" s="173"/>
      <c r="F124" s="173"/>
      <c r="G124" s="197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</row>
    <row r="125" ht="15.75" customHeight="1">
      <c r="A125" s="173"/>
      <c r="B125" s="196"/>
      <c r="C125" s="196"/>
      <c r="D125" s="196"/>
      <c r="E125" s="173"/>
      <c r="F125" s="173"/>
      <c r="G125" s="197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</row>
    <row r="126" ht="15.75" customHeight="1">
      <c r="A126" s="173"/>
      <c r="B126" s="196"/>
      <c r="C126" s="196"/>
      <c r="D126" s="196"/>
      <c r="E126" s="173"/>
      <c r="F126" s="173"/>
      <c r="G126" s="197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</row>
    <row r="127" ht="15.75" customHeight="1">
      <c r="A127" s="173"/>
      <c r="B127" s="196"/>
      <c r="C127" s="196"/>
      <c r="D127" s="196"/>
      <c r="E127" s="173"/>
      <c r="F127" s="173"/>
      <c r="G127" s="197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</row>
    <row r="128" ht="15.75" customHeight="1">
      <c r="A128" s="173"/>
      <c r="B128" s="196"/>
      <c r="C128" s="196"/>
      <c r="D128" s="196"/>
      <c r="E128" s="173"/>
      <c r="F128" s="173"/>
      <c r="G128" s="197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</row>
    <row r="129" ht="15.75" customHeight="1">
      <c r="A129" s="173"/>
      <c r="B129" s="196"/>
      <c r="C129" s="196"/>
      <c r="D129" s="196"/>
      <c r="E129" s="173"/>
      <c r="F129" s="173"/>
      <c r="G129" s="197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</row>
    <row r="130" ht="15.75" customHeight="1">
      <c r="A130" s="173"/>
      <c r="B130" s="196"/>
      <c r="C130" s="196"/>
      <c r="D130" s="196"/>
      <c r="E130" s="173"/>
      <c r="F130" s="173"/>
      <c r="G130" s="197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</row>
    <row r="131" ht="15.75" customHeight="1">
      <c r="A131" s="173"/>
      <c r="B131" s="196"/>
      <c r="C131" s="196"/>
      <c r="D131" s="196"/>
      <c r="E131" s="173"/>
      <c r="F131" s="173"/>
      <c r="G131" s="197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</row>
    <row r="132" ht="15.75" customHeight="1">
      <c r="A132" s="173"/>
      <c r="B132" s="196"/>
      <c r="C132" s="196"/>
      <c r="D132" s="196"/>
      <c r="E132" s="173"/>
      <c r="F132" s="173"/>
      <c r="G132" s="197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</row>
    <row r="133" ht="15.75" customHeight="1">
      <c r="A133" s="173"/>
      <c r="B133" s="196"/>
      <c r="C133" s="196"/>
      <c r="D133" s="196"/>
      <c r="E133" s="173"/>
      <c r="F133" s="173"/>
      <c r="G133" s="197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</row>
    <row r="134" ht="15.75" customHeight="1">
      <c r="A134" s="173"/>
      <c r="B134" s="196"/>
      <c r="C134" s="196"/>
      <c r="D134" s="196"/>
      <c r="E134" s="173"/>
      <c r="F134" s="173"/>
      <c r="G134" s="197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</row>
    <row r="135" ht="15.75" customHeight="1">
      <c r="A135" s="173"/>
      <c r="B135" s="196"/>
      <c r="C135" s="196"/>
      <c r="D135" s="196"/>
      <c r="E135" s="173"/>
      <c r="F135" s="173"/>
      <c r="G135" s="197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</row>
    <row r="136" ht="15.75" customHeight="1">
      <c r="A136" s="173"/>
      <c r="B136" s="196"/>
      <c r="C136" s="196"/>
      <c r="D136" s="196"/>
      <c r="E136" s="173"/>
      <c r="F136" s="173"/>
      <c r="G136" s="197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</row>
    <row r="137" ht="15.75" customHeight="1">
      <c r="A137" s="173"/>
      <c r="B137" s="196"/>
      <c r="C137" s="196"/>
      <c r="D137" s="196"/>
      <c r="E137" s="173"/>
      <c r="F137" s="173"/>
      <c r="G137" s="197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</row>
    <row r="138" ht="15.75" customHeight="1">
      <c r="A138" s="173"/>
      <c r="B138" s="196"/>
      <c r="C138" s="196"/>
      <c r="D138" s="196"/>
      <c r="E138" s="173"/>
      <c r="F138" s="173"/>
      <c r="G138" s="197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</row>
    <row r="139" ht="15.75" customHeight="1">
      <c r="A139" s="173"/>
      <c r="B139" s="196"/>
      <c r="C139" s="196"/>
      <c r="D139" s="196"/>
      <c r="E139" s="173"/>
      <c r="F139" s="173"/>
      <c r="G139" s="197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</row>
    <row r="140" ht="15.75" customHeight="1">
      <c r="A140" s="173"/>
      <c r="B140" s="196"/>
      <c r="C140" s="196"/>
      <c r="D140" s="196"/>
      <c r="E140" s="173"/>
      <c r="F140" s="173"/>
      <c r="G140" s="197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</row>
    <row r="141" ht="15.75" customHeight="1">
      <c r="A141" s="173"/>
      <c r="B141" s="196"/>
      <c r="C141" s="196"/>
      <c r="D141" s="196"/>
      <c r="E141" s="173"/>
      <c r="F141" s="173"/>
      <c r="G141" s="197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</row>
    <row r="142" ht="15.75" customHeight="1">
      <c r="A142" s="173"/>
      <c r="B142" s="196"/>
      <c r="C142" s="196"/>
      <c r="D142" s="196"/>
      <c r="E142" s="173"/>
      <c r="F142" s="173"/>
      <c r="G142" s="197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</row>
    <row r="143" ht="15.75" customHeight="1">
      <c r="A143" s="173"/>
      <c r="B143" s="196"/>
      <c r="C143" s="196"/>
      <c r="D143" s="196"/>
      <c r="E143" s="173"/>
      <c r="F143" s="173"/>
      <c r="G143" s="197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</row>
    <row r="144" ht="15.75" customHeight="1">
      <c r="A144" s="173"/>
      <c r="B144" s="196"/>
      <c r="C144" s="196"/>
      <c r="D144" s="196"/>
      <c r="E144" s="173"/>
      <c r="F144" s="173"/>
      <c r="G144" s="197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</row>
    <row r="145" ht="15.75" customHeight="1">
      <c r="A145" s="173"/>
      <c r="B145" s="196"/>
      <c r="C145" s="196"/>
      <c r="D145" s="196"/>
      <c r="E145" s="173"/>
      <c r="F145" s="173"/>
      <c r="G145" s="197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</row>
    <row r="146" ht="15.75" customHeight="1">
      <c r="A146" s="173"/>
      <c r="B146" s="196"/>
      <c r="C146" s="196"/>
      <c r="D146" s="196"/>
      <c r="E146" s="173"/>
      <c r="F146" s="173"/>
      <c r="G146" s="197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</row>
    <row r="147" ht="15.75" customHeight="1">
      <c r="A147" s="173"/>
      <c r="B147" s="196"/>
      <c r="C147" s="196"/>
      <c r="D147" s="196"/>
      <c r="E147" s="173"/>
      <c r="F147" s="173"/>
      <c r="G147" s="197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</row>
    <row r="148" ht="15.75" customHeight="1">
      <c r="A148" s="173"/>
      <c r="B148" s="196"/>
      <c r="C148" s="196"/>
      <c r="D148" s="196"/>
      <c r="E148" s="173"/>
      <c r="F148" s="173"/>
      <c r="G148" s="197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</row>
    <row r="149" ht="15.75" customHeight="1">
      <c r="A149" s="173"/>
      <c r="B149" s="196"/>
      <c r="C149" s="196"/>
      <c r="D149" s="196"/>
      <c r="E149" s="173"/>
      <c r="F149" s="173"/>
      <c r="G149" s="197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</row>
    <row r="150" ht="15.75" customHeight="1">
      <c r="A150" s="173"/>
      <c r="B150" s="196"/>
      <c r="C150" s="196"/>
      <c r="D150" s="196"/>
      <c r="E150" s="173"/>
      <c r="F150" s="173"/>
      <c r="G150" s="197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</row>
    <row r="151" ht="15.75" customHeight="1">
      <c r="A151" s="173"/>
      <c r="B151" s="196"/>
      <c r="C151" s="196"/>
      <c r="D151" s="196"/>
      <c r="E151" s="173"/>
      <c r="F151" s="173"/>
      <c r="G151" s="197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</row>
    <row r="152" ht="15.75" customHeight="1">
      <c r="A152" s="173"/>
      <c r="B152" s="196"/>
      <c r="C152" s="196"/>
      <c r="D152" s="196"/>
      <c r="E152" s="173"/>
      <c r="F152" s="173"/>
      <c r="G152" s="197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</row>
    <row r="153" ht="15.75" customHeight="1">
      <c r="A153" s="173"/>
      <c r="B153" s="196"/>
      <c r="C153" s="196"/>
      <c r="D153" s="196"/>
      <c r="E153" s="173"/>
      <c r="F153" s="173"/>
      <c r="G153" s="197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</row>
    <row r="154" ht="15.75" customHeight="1">
      <c r="A154" s="173"/>
      <c r="B154" s="196"/>
      <c r="C154" s="196"/>
      <c r="D154" s="196"/>
      <c r="E154" s="173"/>
      <c r="F154" s="173"/>
      <c r="G154" s="197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</row>
    <row r="155" ht="15.75" customHeight="1">
      <c r="A155" s="173"/>
      <c r="B155" s="196"/>
      <c r="C155" s="196"/>
      <c r="D155" s="196"/>
      <c r="E155" s="173"/>
      <c r="F155" s="173"/>
      <c r="G155" s="197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</row>
    <row r="156" ht="15.75" customHeight="1">
      <c r="A156" s="173"/>
      <c r="B156" s="196"/>
      <c r="C156" s="196"/>
      <c r="D156" s="196"/>
      <c r="E156" s="173"/>
      <c r="F156" s="173"/>
      <c r="G156" s="197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</row>
    <row r="157" ht="15.75" customHeight="1">
      <c r="A157" s="173"/>
      <c r="B157" s="196"/>
      <c r="C157" s="196"/>
      <c r="D157" s="196"/>
      <c r="E157" s="173"/>
      <c r="F157" s="173"/>
      <c r="G157" s="197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</row>
    <row r="158" ht="15.75" customHeight="1">
      <c r="A158" s="173"/>
      <c r="B158" s="196"/>
      <c r="C158" s="196"/>
      <c r="D158" s="196"/>
      <c r="E158" s="173"/>
      <c r="F158" s="173"/>
      <c r="G158" s="197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</row>
    <row r="159" ht="15.75" customHeight="1">
      <c r="A159" s="173"/>
      <c r="B159" s="196"/>
      <c r="C159" s="196"/>
      <c r="D159" s="196"/>
      <c r="E159" s="173"/>
      <c r="F159" s="173"/>
      <c r="G159" s="197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</row>
    <row r="160" ht="15.75" customHeight="1">
      <c r="A160" s="173"/>
      <c r="B160" s="196"/>
      <c r="C160" s="196"/>
      <c r="D160" s="196"/>
      <c r="E160" s="173"/>
      <c r="F160" s="173"/>
      <c r="G160" s="197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</row>
    <row r="161" ht="15.75" customHeight="1">
      <c r="A161" s="173"/>
      <c r="B161" s="196"/>
      <c r="C161" s="196"/>
      <c r="D161" s="196"/>
      <c r="E161" s="173"/>
      <c r="F161" s="173"/>
      <c r="G161" s="197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</row>
    <row r="162" ht="15.75" customHeight="1">
      <c r="A162" s="173"/>
      <c r="B162" s="196"/>
      <c r="C162" s="196"/>
      <c r="D162" s="196"/>
      <c r="E162" s="173"/>
      <c r="F162" s="173"/>
      <c r="G162" s="197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</row>
    <row r="163" ht="15.75" customHeight="1">
      <c r="A163" s="173"/>
      <c r="B163" s="196"/>
      <c r="C163" s="196"/>
      <c r="D163" s="196"/>
      <c r="E163" s="173"/>
      <c r="F163" s="173"/>
      <c r="G163" s="197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</row>
    <row r="164" ht="15.75" customHeight="1">
      <c r="A164" s="173"/>
      <c r="B164" s="196"/>
      <c r="C164" s="196"/>
      <c r="D164" s="196"/>
      <c r="E164" s="173"/>
      <c r="F164" s="173"/>
      <c r="G164" s="197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</row>
    <row r="165" ht="15.75" customHeight="1">
      <c r="A165" s="173"/>
      <c r="B165" s="196"/>
      <c r="C165" s="196"/>
      <c r="D165" s="196"/>
      <c r="E165" s="173"/>
      <c r="F165" s="173"/>
      <c r="G165" s="197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</row>
    <row r="166" ht="15.75" customHeight="1">
      <c r="A166" s="173"/>
      <c r="B166" s="196"/>
      <c r="C166" s="196"/>
      <c r="D166" s="196"/>
      <c r="E166" s="173"/>
      <c r="F166" s="173"/>
      <c r="G166" s="197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</row>
    <row r="167" ht="15.75" customHeight="1">
      <c r="A167" s="173"/>
      <c r="B167" s="196"/>
      <c r="C167" s="196"/>
      <c r="D167" s="196"/>
      <c r="E167" s="173"/>
      <c r="F167" s="173"/>
      <c r="G167" s="197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</row>
    <row r="168" ht="15.75" customHeight="1">
      <c r="A168" s="173"/>
      <c r="B168" s="196"/>
      <c r="C168" s="196"/>
      <c r="D168" s="196"/>
      <c r="E168" s="173"/>
      <c r="F168" s="173"/>
      <c r="G168" s="197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</row>
    <row r="169" ht="15.75" customHeight="1">
      <c r="A169" s="173"/>
      <c r="B169" s="196"/>
      <c r="C169" s="196"/>
      <c r="D169" s="196"/>
      <c r="E169" s="173"/>
      <c r="F169" s="173"/>
      <c r="G169" s="197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</row>
    <row r="170" ht="15.75" customHeight="1">
      <c r="A170" s="173"/>
      <c r="B170" s="196"/>
      <c r="C170" s="196"/>
      <c r="D170" s="196"/>
      <c r="E170" s="173"/>
      <c r="F170" s="173"/>
      <c r="G170" s="197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</row>
    <row r="171" ht="15.75" customHeight="1">
      <c r="A171" s="173"/>
      <c r="B171" s="196"/>
      <c r="C171" s="196"/>
      <c r="D171" s="196"/>
      <c r="E171" s="173"/>
      <c r="F171" s="173"/>
      <c r="G171" s="197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</row>
    <row r="172" ht="15.75" customHeight="1">
      <c r="A172" s="173"/>
      <c r="B172" s="196"/>
      <c r="C172" s="196"/>
      <c r="D172" s="196"/>
      <c r="E172" s="173"/>
      <c r="F172" s="173"/>
      <c r="G172" s="197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</row>
    <row r="173" ht="15.75" customHeight="1">
      <c r="A173" s="173"/>
      <c r="B173" s="196"/>
      <c r="C173" s="196"/>
      <c r="D173" s="196"/>
      <c r="E173" s="173"/>
      <c r="F173" s="173"/>
      <c r="G173" s="197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</row>
    <row r="174" ht="15.75" customHeight="1">
      <c r="A174" s="173"/>
      <c r="B174" s="196"/>
      <c r="C174" s="196"/>
      <c r="D174" s="196"/>
      <c r="E174" s="173"/>
      <c r="F174" s="173"/>
      <c r="G174" s="197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</row>
    <row r="175" ht="15.75" customHeight="1">
      <c r="A175" s="173"/>
      <c r="B175" s="196"/>
      <c r="C175" s="196"/>
      <c r="D175" s="196"/>
      <c r="E175" s="173"/>
      <c r="F175" s="173"/>
      <c r="G175" s="197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</row>
    <row r="176" ht="15.75" customHeight="1">
      <c r="A176" s="173"/>
      <c r="B176" s="196"/>
      <c r="C176" s="196"/>
      <c r="D176" s="196"/>
      <c r="E176" s="173"/>
      <c r="F176" s="173"/>
      <c r="G176" s="197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</row>
    <row r="177" ht="15.75" customHeight="1">
      <c r="A177" s="173"/>
      <c r="B177" s="196"/>
      <c r="C177" s="196"/>
      <c r="D177" s="196"/>
      <c r="E177" s="173"/>
      <c r="F177" s="173"/>
      <c r="G177" s="197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</row>
    <row r="178" ht="15.75" customHeight="1">
      <c r="A178" s="173"/>
      <c r="B178" s="196"/>
      <c r="C178" s="196"/>
      <c r="D178" s="196"/>
      <c r="E178" s="173"/>
      <c r="F178" s="173"/>
      <c r="G178" s="197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</row>
    <row r="179" ht="15.75" customHeight="1">
      <c r="A179" s="173"/>
      <c r="B179" s="196"/>
      <c r="C179" s="196"/>
      <c r="D179" s="196"/>
      <c r="E179" s="173"/>
      <c r="F179" s="173"/>
      <c r="G179" s="197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</row>
    <row r="180" ht="15.75" customHeight="1">
      <c r="A180" s="173"/>
      <c r="B180" s="196"/>
      <c r="C180" s="196"/>
      <c r="D180" s="196"/>
      <c r="E180" s="173"/>
      <c r="F180" s="173"/>
      <c r="G180" s="197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</row>
    <row r="181" ht="15.75" customHeight="1">
      <c r="A181" s="173"/>
      <c r="B181" s="196"/>
      <c r="C181" s="196"/>
      <c r="D181" s="196"/>
      <c r="E181" s="173"/>
      <c r="F181" s="173"/>
      <c r="G181" s="197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</row>
    <row r="182" ht="15.75" customHeight="1">
      <c r="A182" s="173"/>
      <c r="B182" s="196"/>
      <c r="C182" s="196"/>
      <c r="D182" s="196"/>
      <c r="E182" s="173"/>
      <c r="F182" s="173"/>
      <c r="G182" s="197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</row>
    <row r="183" ht="15.75" customHeight="1">
      <c r="A183" s="173"/>
      <c r="B183" s="196"/>
      <c r="C183" s="196"/>
      <c r="D183" s="196"/>
      <c r="E183" s="173"/>
      <c r="F183" s="173"/>
      <c r="G183" s="197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</row>
    <row r="184" ht="15.75" customHeight="1">
      <c r="A184" s="173"/>
      <c r="B184" s="196"/>
      <c r="C184" s="196"/>
      <c r="D184" s="196"/>
      <c r="E184" s="173"/>
      <c r="F184" s="173"/>
      <c r="G184" s="197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</row>
    <row r="185" ht="15.75" customHeight="1">
      <c r="A185" s="173"/>
      <c r="B185" s="196"/>
      <c r="C185" s="196"/>
      <c r="D185" s="196"/>
      <c r="E185" s="173"/>
      <c r="F185" s="173"/>
      <c r="G185" s="197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</row>
    <row r="186" ht="15.75" customHeight="1">
      <c r="A186" s="173"/>
      <c r="B186" s="196"/>
      <c r="C186" s="196"/>
      <c r="D186" s="196"/>
      <c r="E186" s="173"/>
      <c r="F186" s="173"/>
      <c r="G186" s="197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</row>
    <row r="187" ht="15.75" customHeight="1">
      <c r="A187" s="173"/>
      <c r="B187" s="196"/>
      <c r="C187" s="196"/>
      <c r="D187" s="196"/>
      <c r="E187" s="173"/>
      <c r="F187" s="173"/>
      <c r="G187" s="197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</row>
    <row r="188" ht="15.75" customHeight="1">
      <c r="A188" s="173"/>
      <c r="B188" s="196"/>
      <c r="C188" s="196"/>
      <c r="D188" s="196"/>
      <c r="E188" s="173"/>
      <c r="F188" s="173"/>
      <c r="G188" s="197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</row>
    <row r="189" ht="15.75" customHeight="1">
      <c r="A189" s="173"/>
      <c r="B189" s="196"/>
      <c r="C189" s="196"/>
      <c r="D189" s="196"/>
      <c r="E189" s="173"/>
      <c r="F189" s="173"/>
      <c r="G189" s="197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</row>
    <row r="190" ht="15.75" customHeight="1">
      <c r="A190" s="173"/>
      <c r="B190" s="196"/>
      <c r="C190" s="196"/>
      <c r="D190" s="196"/>
      <c r="E190" s="173"/>
      <c r="F190" s="173"/>
      <c r="G190" s="197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</row>
    <row r="191" ht="15.75" customHeight="1">
      <c r="A191" s="173"/>
      <c r="B191" s="196"/>
      <c r="C191" s="196"/>
      <c r="D191" s="196"/>
      <c r="E191" s="173"/>
      <c r="F191" s="173"/>
      <c r="G191" s="197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</row>
    <row r="192" ht="15.75" customHeight="1">
      <c r="A192" s="173"/>
      <c r="B192" s="196"/>
      <c r="C192" s="196"/>
      <c r="D192" s="196"/>
      <c r="E192" s="173"/>
      <c r="F192" s="173"/>
      <c r="G192" s="197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</row>
    <row r="193" ht="15.75" customHeight="1">
      <c r="A193" s="173"/>
      <c r="B193" s="196"/>
      <c r="C193" s="196"/>
      <c r="D193" s="196"/>
      <c r="E193" s="173"/>
      <c r="F193" s="173"/>
      <c r="G193" s="197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</row>
    <row r="194" ht="15.75" customHeight="1">
      <c r="A194" s="173"/>
      <c r="B194" s="196"/>
      <c r="C194" s="196"/>
      <c r="D194" s="196"/>
      <c r="E194" s="173"/>
      <c r="F194" s="173"/>
      <c r="G194" s="197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</row>
    <row r="195" ht="15.75" customHeight="1">
      <c r="A195" s="173"/>
      <c r="B195" s="196"/>
      <c r="C195" s="196"/>
      <c r="D195" s="196"/>
      <c r="E195" s="173"/>
      <c r="F195" s="173"/>
      <c r="G195" s="197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</row>
    <row r="196" ht="15.75" customHeight="1">
      <c r="A196" s="173"/>
      <c r="B196" s="196"/>
      <c r="C196" s="196"/>
      <c r="D196" s="196"/>
      <c r="E196" s="173"/>
      <c r="F196" s="173"/>
      <c r="G196" s="197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</row>
    <row r="197" ht="15.75" customHeight="1">
      <c r="A197" s="173"/>
      <c r="B197" s="196"/>
      <c r="C197" s="196"/>
      <c r="D197" s="196"/>
      <c r="E197" s="173"/>
      <c r="F197" s="173"/>
      <c r="G197" s="197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</row>
    <row r="198" ht="15.75" customHeight="1">
      <c r="A198" s="173"/>
      <c r="B198" s="196"/>
      <c r="C198" s="196"/>
      <c r="D198" s="196"/>
      <c r="E198" s="173"/>
      <c r="F198" s="173"/>
      <c r="G198" s="197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</row>
    <row r="199" ht="15.75" customHeight="1">
      <c r="A199" s="173"/>
      <c r="B199" s="196"/>
      <c r="C199" s="196"/>
      <c r="D199" s="196"/>
      <c r="E199" s="173"/>
      <c r="F199" s="173"/>
      <c r="G199" s="197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</row>
    <row r="200" ht="15.75" customHeight="1">
      <c r="A200" s="173"/>
      <c r="B200" s="196"/>
      <c r="C200" s="196"/>
      <c r="D200" s="196"/>
      <c r="E200" s="173"/>
      <c r="F200" s="173"/>
      <c r="G200" s="197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</row>
    <row r="201" ht="15.75" customHeight="1">
      <c r="A201" s="173"/>
      <c r="B201" s="196"/>
      <c r="C201" s="196"/>
      <c r="D201" s="196"/>
      <c r="E201" s="173"/>
      <c r="F201" s="173"/>
      <c r="G201" s="197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</row>
    <row r="202" ht="15.75" customHeight="1">
      <c r="A202" s="173"/>
      <c r="B202" s="196"/>
      <c r="C202" s="196"/>
      <c r="D202" s="196"/>
      <c r="E202" s="173"/>
      <c r="F202" s="173"/>
      <c r="G202" s="197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</row>
    <row r="203" ht="15.75" customHeight="1">
      <c r="A203" s="173"/>
      <c r="B203" s="196"/>
      <c r="C203" s="196"/>
      <c r="D203" s="196"/>
      <c r="E203" s="173"/>
      <c r="F203" s="173"/>
      <c r="G203" s="197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</row>
    <row r="204" ht="15.75" customHeight="1">
      <c r="A204" s="173"/>
      <c r="B204" s="196"/>
      <c r="C204" s="196"/>
      <c r="D204" s="196"/>
      <c r="E204" s="173"/>
      <c r="F204" s="173"/>
      <c r="G204" s="197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</row>
    <row r="205" ht="15.75" customHeight="1">
      <c r="A205" s="173"/>
      <c r="B205" s="196"/>
      <c r="C205" s="196"/>
      <c r="D205" s="196"/>
      <c r="E205" s="173"/>
      <c r="F205" s="173"/>
      <c r="G205" s="197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</row>
    <row r="206" ht="15.75" customHeight="1">
      <c r="A206" s="173"/>
      <c r="B206" s="196"/>
      <c r="C206" s="196"/>
      <c r="D206" s="196"/>
      <c r="E206" s="173"/>
      <c r="F206" s="173"/>
      <c r="G206" s="197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</row>
    <row r="207" ht="15.75" customHeight="1">
      <c r="A207" s="173"/>
      <c r="B207" s="196"/>
      <c r="C207" s="196"/>
      <c r="D207" s="196"/>
      <c r="E207" s="173"/>
      <c r="F207" s="173"/>
      <c r="G207" s="197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</row>
    <row r="208" ht="15.75" customHeight="1">
      <c r="A208" s="173"/>
      <c r="B208" s="196"/>
      <c r="C208" s="196"/>
      <c r="D208" s="196"/>
      <c r="E208" s="173"/>
      <c r="F208" s="173"/>
      <c r="G208" s="197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</row>
    <row r="209" ht="15.75" customHeight="1">
      <c r="A209" s="173"/>
      <c r="B209" s="196"/>
      <c r="C209" s="196"/>
      <c r="D209" s="196"/>
      <c r="E209" s="173"/>
      <c r="F209" s="173"/>
      <c r="G209" s="197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</row>
    <row r="210" ht="15.75" customHeight="1">
      <c r="A210" s="173"/>
      <c r="B210" s="196"/>
      <c r="C210" s="196"/>
      <c r="D210" s="196"/>
      <c r="E210" s="173"/>
      <c r="F210" s="173"/>
      <c r="G210" s="197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</row>
    <row r="211" ht="15.75" customHeight="1">
      <c r="A211" s="173"/>
      <c r="B211" s="196"/>
      <c r="C211" s="196"/>
      <c r="D211" s="196"/>
      <c r="E211" s="173"/>
      <c r="F211" s="173"/>
      <c r="G211" s="197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</row>
    <row r="212" ht="15.75" customHeight="1">
      <c r="A212" s="173"/>
      <c r="B212" s="196"/>
      <c r="C212" s="196"/>
      <c r="D212" s="196"/>
      <c r="E212" s="173"/>
      <c r="F212" s="173"/>
      <c r="G212" s="197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</row>
    <row r="213" ht="15.75" customHeight="1">
      <c r="A213" s="173"/>
      <c r="B213" s="196"/>
      <c r="C213" s="196"/>
      <c r="D213" s="196"/>
      <c r="E213" s="173"/>
      <c r="F213" s="173"/>
      <c r="G213" s="197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</row>
    <row r="214" ht="15.75" customHeight="1">
      <c r="A214" s="173"/>
      <c r="B214" s="196"/>
      <c r="C214" s="196"/>
      <c r="D214" s="196"/>
      <c r="E214" s="173"/>
      <c r="F214" s="173"/>
      <c r="G214" s="197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</row>
    <row r="215" ht="15.75" customHeight="1">
      <c r="A215" s="173"/>
      <c r="B215" s="196"/>
      <c r="C215" s="196"/>
      <c r="D215" s="196"/>
      <c r="E215" s="173"/>
      <c r="F215" s="173"/>
      <c r="G215" s="197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</row>
    <row r="216" ht="15.75" customHeight="1">
      <c r="A216" s="173"/>
      <c r="B216" s="196"/>
      <c r="C216" s="196"/>
      <c r="D216" s="196"/>
      <c r="E216" s="173"/>
      <c r="F216" s="173"/>
      <c r="G216" s="197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</row>
    <row r="217" ht="15.75" customHeight="1">
      <c r="A217" s="173"/>
      <c r="B217" s="196"/>
      <c r="C217" s="196"/>
      <c r="D217" s="196"/>
      <c r="E217" s="173"/>
      <c r="F217" s="173"/>
      <c r="G217" s="197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</row>
    <row r="218" ht="15.75" customHeight="1">
      <c r="A218" s="173"/>
      <c r="B218" s="196"/>
      <c r="C218" s="196"/>
      <c r="D218" s="196"/>
      <c r="E218" s="173"/>
      <c r="F218" s="173"/>
      <c r="G218" s="197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</row>
    <row r="219" ht="15.75" customHeight="1">
      <c r="A219" s="173"/>
      <c r="B219" s="196"/>
      <c r="C219" s="196"/>
      <c r="D219" s="196"/>
      <c r="E219" s="173"/>
      <c r="F219" s="173"/>
      <c r="G219" s="197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</row>
    <row r="220" ht="15.75" customHeight="1">
      <c r="A220" s="173"/>
      <c r="B220" s="196"/>
      <c r="C220" s="196"/>
      <c r="D220" s="196"/>
      <c r="E220" s="173"/>
      <c r="F220" s="173"/>
      <c r="G220" s="197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</row>
    <row r="221" ht="15.75" customHeight="1">
      <c r="A221" s="173"/>
      <c r="B221" s="196"/>
      <c r="C221" s="196"/>
      <c r="D221" s="196"/>
      <c r="E221" s="173"/>
      <c r="F221" s="173"/>
      <c r="G221" s="197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</row>
    <row r="222" ht="15.75" customHeight="1">
      <c r="A222" s="173"/>
      <c r="B222" s="196"/>
      <c r="C222" s="196"/>
      <c r="D222" s="196"/>
      <c r="E222" s="173"/>
      <c r="F222" s="173"/>
      <c r="G222" s="197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</row>
    <row r="223" ht="15.75" customHeight="1">
      <c r="A223" s="173"/>
      <c r="B223" s="196"/>
      <c r="C223" s="196"/>
      <c r="D223" s="196"/>
      <c r="E223" s="173"/>
      <c r="F223" s="173"/>
      <c r="G223" s="197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</row>
    <row r="224" ht="15.75" customHeight="1">
      <c r="A224" s="173"/>
      <c r="B224" s="196"/>
      <c r="C224" s="196"/>
      <c r="D224" s="196"/>
      <c r="E224" s="173"/>
      <c r="F224" s="173"/>
      <c r="G224" s="197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</row>
    <row r="225" ht="15.75" customHeight="1">
      <c r="A225" s="173"/>
      <c r="B225" s="196"/>
      <c r="C225" s="196"/>
      <c r="D225" s="196"/>
      <c r="E225" s="173"/>
      <c r="F225" s="173"/>
      <c r="G225" s="197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</row>
    <row r="226" ht="15.75" customHeight="1">
      <c r="A226" s="173"/>
      <c r="B226" s="196"/>
      <c r="C226" s="196"/>
      <c r="D226" s="196"/>
      <c r="E226" s="173"/>
      <c r="F226" s="173"/>
      <c r="G226" s="197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</row>
    <row r="227" ht="15.75" customHeight="1">
      <c r="A227" s="173"/>
      <c r="B227" s="196"/>
      <c r="C227" s="196"/>
      <c r="D227" s="196"/>
      <c r="E227" s="173"/>
      <c r="F227" s="173"/>
      <c r="G227" s="197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</row>
    <row r="228" ht="15.75" customHeight="1">
      <c r="A228" s="173"/>
      <c r="B228" s="196"/>
      <c r="C228" s="196"/>
      <c r="D228" s="196"/>
      <c r="E228" s="173"/>
      <c r="F228" s="173"/>
      <c r="G228" s="197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</row>
    <row r="229" ht="15.75" customHeight="1">
      <c r="A229" s="173"/>
      <c r="B229" s="196"/>
      <c r="C229" s="196"/>
      <c r="D229" s="196"/>
      <c r="E229" s="173"/>
      <c r="F229" s="173"/>
      <c r="G229" s="197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</row>
    <row r="230" ht="15.75" customHeight="1">
      <c r="A230" s="173"/>
      <c r="B230" s="196"/>
      <c r="C230" s="196"/>
      <c r="D230" s="196"/>
      <c r="E230" s="173"/>
      <c r="F230" s="173"/>
      <c r="G230" s="197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</row>
    <row r="231" ht="15.75" customHeight="1">
      <c r="A231" s="173"/>
      <c r="B231" s="196"/>
      <c r="C231" s="196"/>
      <c r="D231" s="196"/>
      <c r="E231" s="173"/>
      <c r="F231" s="173"/>
      <c r="G231" s="197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</row>
    <row r="232" ht="15.75" customHeight="1">
      <c r="A232" s="173"/>
      <c r="B232" s="196"/>
      <c r="C232" s="196"/>
      <c r="D232" s="196"/>
      <c r="E232" s="173"/>
      <c r="F232" s="173"/>
      <c r="G232" s="197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</row>
    <row r="233" ht="15.75" customHeight="1">
      <c r="A233" s="173"/>
      <c r="B233" s="196"/>
      <c r="C233" s="196"/>
      <c r="D233" s="196"/>
      <c r="E233" s="173"/>
      <c r="F233" s="173"/>
      <c r="G233" s="197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</row>
    <row r="234" ht="15.75" customHeight="1">
      <c r="A234" s="173"/>
      <c r="B234" s="196"/>
      <c r="C234" s="196"/>
      <c r="D234" s="196"/>
      <c r="E234" s="173"/>
      <c r="F234" s="173"/>
      <c r="G234" s="197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</row>
    <row r="235" ht="15.75" customHeight="1">
      <c r="A235" s="173"/>
      <c r="B235" s="196"/>
      <c r="C235" s="196"/>
      <c r="D235" s="196"/>
      <c r="E235" s="173"/>
      <c r="F235" s="173"/>
      <c r="G235" s="197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</row>
    <row r="236" ht="15.75" customHeight="1">
      <c r="A236" s="173"/>
      <c r="B236" s="196"/>
      <c r="C236" s="196"/>
      <c r="D236" s="196"/>
      <c r="E236" s="173"/>
      <c r="F236" s="173"/>
      <c r="G236" s="197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</row>
    <row r="237" ht="15.75" customHeight="1">
      <c r="A237" s="173"/>
      <c r="B237" s="196"/>
      <c r="C237" s="196"/>
      <c r="D237" s="196"/>
      <c r="E237" s="173"/>
      <c r="F237" s="173"/>
      <c r="G237" s="197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</row>
    <row r="238" ht="15.75" customHeight="1">
      <c r="A238" s="173"/>
      <c r="B238" s="196"/>
      <c r="C238" s="196"/>
      <c r="D238" s="196"/>
      <c r="E238" s="173"/>
      <c r="F238" s="173"/>
      <c r="G238" s="197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</row>
    <row r="239" ht="15.75" customHeight="1">
      <c r="A239" s="173"/>
      <c r="B239" s="196"/>
      <c r="C239" s="196"/>
      <c r="D239" s="196"/>
      <c r="E239" s="173"/>
      <c r="F239" s="173"/>
      <c r="G239" s="197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G26:H26"/>
    <mergeCell ref="G27:H27"/>
    <mergeCell ref="G19:H19"/>
    <mergeCell ref="G20:H20"/>
    <mergeCell ref="G21:H21"/>
    <mergeCell ref="G22:H22"/>
    <mergeCell ref="G23:H23"/>
    <mergeCell ref="G24:H24"/>
    <mergeCell ref="G25:H25"/>
    <mergeCell ref="G29:H29"/>
    <mergeCell ref="G30:H30"/>
    <mergeCell ref="B25:C25"/>
    <mergeCell ref="B26:C26"/>
    <mergeCell ref="B27:C27"/>
    <mergeCell ref="B28:C28"/>
    <mergeCell ref="G28:H28"/>
    <mergeCell ref="B29:C29"/>
    <mergeCell ref="B30:C30"/>
    <mergeCell ref="B31:C31"/>
    <mergeCell ref="G31:H31"/>
    <mergeCell ref="B32:C32"/>
    <mergeCell ref="G32:H32"/>
    <mergeCell ref="B33:C33"/>
    <mergeCell ref="G33:H33"/>
    <mergeCell ref="G34:H34"/>
    <mergeCell ref="G38:H38"/>
    <mergeCell ref="G39:I39"/>
    <mergeCell ref="B34:C34"/>
    <mergeCell ref="B35:C35"/>
    <mergeCell ref="B36:C36"/>
    <mergeCell ref="B37:C37"/>
    <mergeCell ref="G37:H37"/>
    <mergeCell ref="B38:C38"/>
    <mergeCell ref="B39:D39"/>
    <mergeCell ref="B1:D1"/>
    <mergeCell ref="G1:I1"/>
    <mergeCell ref="B2:C2"/>
    <mergeCell ref="G2:H2"/>
    <mergeCell ref="B3:C3"/>
    <mergeCell ref="G3:H3"/>
    <mergeCell ref="G4:H4"/>
    <mergeCell ref="B4:C4"/>
    <mergeCell ref="B5:C5"/>
    <mergeCell ref="B6:C6"/>
    <mergeCell ref="B7:C7"/>
    <mergeCell ref="B8:C8"/>
    <mergeCell ref="B9:C9"/>
    <mergeCell ref="B10:C10"/>
    <mergeCell ref="G5:H5"/>
    <mergeCell ref="G6:H6"/>
    <mergeCell ref="G7:H7"/>
    <mergeCell ref="G8:H8"/>
    <mergeCell ref="G9:H9"/>
    <mergeCell ref="G10:H10"/>
    <mergeCell ref="G11:H11"/>
    <mergeCell ref="B11:C11"/>
    <mergeCell ref="B12:C12"/>
    <mergeCell ref="B13:C13"/>
    <mergeCell ref="B14:C14"/>
    <mergeCell ref="B15:C15"/>
    <mergeCell ref="B16:C16"/>
    <mergeCell ref="B17:C17"/>
    <mergeCell ref="G12:H12"/>
    <mergeCell ref="G13:H13"/>
    <mergeCell ref="G14:H14"/>
    <mergeCell ref="G15:H15"/>
    <mergeCell ref="G16:H16"/>
    <mergeCell ref="G17:H17"/>
    <mergeCell ref="G18:H18"/>
    <mergeCell ref="B18:C18"/>
    <mergeCell ref="B19:C19"/>
    <mergeCell ref="B20:C20"/>
    <mergeCell ref="B21:C21"/>
    <mergeCell ref="B22:C22"/>
    <mergeCell ref="B23:C23"/>
    <mergeCell ref="B24:C24"/>
    <mergeCell ref="G35:H35"/>
    <mergeCell ref="G36:H3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2.63"/>
    <col customWidth="1" min="3" max="3" width="10.75"/>
    <col customWidth="1" min="4" max="4" width="15.13"/>
    <col customWidth="1" min="5" max="5" width="2.63"/>
    <col customWidth="1" min="6" max="6" width="9.5"/>
    <col customWidth="1" min="7" max="7" width="12.63"/>
    <col customWidth="1" min="8" max="8" width="10.75"/>
    <col customWidth="1" min="9" max="9" width="15.13"/>
    <col customWidth="1" min="10" max="10" width="2.63"/>
    <col customWidth="1" min="11" max="11" width="9.5"/>
    <col customWidth="1" min="12" max="12" width="49.63"/>
  </cols>
  <sheetData>
    <row r="1" ht="15.75" customHeight="1">
      <c r="A1" s="122"/>
      <c r="B1" s="198"/>
      <c r="C1" s="198" t="s">
        <v>128</v>
      </c>
      <c r="D1" s="199"/>
      <c r="E1" s="168"/>
      <c r="F1" s="37" t="s">
        <v>129</v>
      </c>
      <c r="G1" s="167"/>
      <c r="H1" s="167"/>
      <c r="I1" s="38"/>
      <c r="J1" s="171"/>
      <c r="K1" s="200" t="s">
        <v>130</v>
      </c>
      <c r="L1" s="201"/>
      <c r="M1" s="173"/>
      <c r="N1" s="173"/>
      <c r="O1" s="173"/>
      <c r="P1" s="173"/>
      <c r="Q1" s="173"/>
      <c r="R1" s="173"/>
      <c r="S1" s="173"/>
      <c r="T1" s="173"/>
      <c r="U1" s="173"/>
      <c r="V1" s="173"/>
    </row>
    <row r="2" ht="15.75" customHeight="1">
      <c r="A2" s="202" t="s">
        <v>131</v>
      </c>
      <c r="B2" s="202" t="s">
        <v>48</v>
      </c>
      <c r="C2" s="202" t="s">
        <v>28</v>
      </c>
      <c r="D2" s="203" t="s">
        <v>36</v>
      </c>
      <c r="E2" s="168"/>
      <c r="F2" s="202" t="s">
        <v>131</v>
      </c>
      <c r="G2" s="203" t="s">
        <v>48</v>
      </c>
      <c r="H2" s="202" t="s">
        <v>28</v>
      </c>
      <c r="I2" s="202" t="s">
        <v>36</v>
      </c>
      <c r="J2" s="171"/>
      <c r="K2" s="204"/>
      <c r="L2" s="30"/>
      <c r="M2" s="176"/>
      <c r="N2" s="176"/>
      <c r="O2" s="176"/>
      <c r="P2" s="176"/>
      <c r="Q2" s="176"/>
      <c r="R2" s="176"/>
      <c r="S2" s="176"/>
      <c r="T2" s="176"/>
      <c r="U2" s="176"/>
      <c r="V2" s="176"/>
    </row>
    <row r="3" ht="15.75" customHeight="1">
      <c r="A3" s="202" t="s">
        <v>132</v>
      </c>
      <c r="B3" s="205"/>
      <c r="C3" s="206" t="str">
        <f t="shared" ref="C3:C81" si="1">D3/B3</f>
        <v>#DIV/0!</v>
      </c>
      <c r="D3" s="179"/>
      <c r="E3" s="168"/>
      <c r="F3" s="202" t="s">
        <v>132</v>
      </c>
      <c r="G3" s="207"/>
      <c r="H3" s="208" t="str">
        <f t="shared" ref="H3:H20" si="2">I3/G3</f>
        <v>#DIV/0!</v>
      </c>
      <c r="I3" s="208"/>
      <c r="J3" s="168"/>
      <c r="K3" s="202" t="s">
        <v>132</v>
      </c>
      <c r="L3" s="209"/>
      <c r="M3" s="176"/>
      <c r="N3" s="176"/>
      <c r="O3" s="176"/>
      <c r="P3" s="176"/>
      <c r="Q3" s="176"/>
      <c r="R3" s="176"/>
      <c r="S3" s="176"/>
      <c r="T3" s="176"/>
      <c r="U3" s="176"/>
      <c r="V3" s="176"/>
    </row>
    <row r="4" ht="15.75" customHeight="1">
      <c r="A4" s="202" t="s">
        <v>133</v>
      </c>
      <c r="B4" s="210"/>
      <c r="C4" s="181" t="str">
        <f t="shared" si="1"/>
        <v>#DIV/0!</v>
      </c>
      <c r="D4" s="181"/>
      <c r="E4" s="168"/>
      <c r="F4" s="202" t="s">
        <v>133</v>
      </c>
      <c r="G4" s="211"/>
      <c r="H4" s="212" t="str">
        <f t="shared" si="2"/>
        <v>#DIV/0!</v>
      </c>
      <c r="I4" s="212"/>
      <c r="J4" s="168"/>
      <c r="K4" s="202" t="s">
        <v>133</v>
      </c>
      <c r="L4" s="209"/>
      <c r="M4" s="173"/>
      <c r="N4" s="173"/>
      <c r="O4" s="173"/>
      <c r="P4" s="173"/>
      <c r="Q4" s="173"/>
      <c r="R4" s="173"/>
      <c r="S4" s="173"/>
      <c r="T4" s="173"/>
      <c r="U4" s="173"/>
      <c r="V4" s="173"/>
    </row>
    <row r="5" ht="15.75" customHeight="1">
      <c r="A5" s="202" t="s">
        <v>134</v>
      </c>
      <c r="B5" s="213"/>
      <c r="C5" s="181" t="str">
        <f t="shared" si="1"/>
        <v>#DIV/0!</v>
      </c>
      <c r="D5" s="181"/>
      <c r="E5" s="168"/>
      <c r="F5" s="202" t="s">
        <v>134</v>
      </c>
      <c r="G5" s="207"/>
      <c r="H5" s="208" t="str">
        <f t="shared" si="2"/>
        <v>#DIV/0!</v>
      </c>
      <c r="I5" s="208"/>
      <c r="J5" s="168"/>
      <c r="K5" s="202" t="s">
        <v>134</v>
      </c>
      <c r="L5" s="209"/>
      <c r="M5" s="173"/>
      <c r="N5" s="173"/>
      <c r="O5" s="173"/>
      <c r="P5" s="173"/>
      <c r="Q5" s="173"/>
      <c r="R5" s="173"/>
      <c r="S5" s="173"/>
      <c r="T5" s="173"/>
      <c r="U5" s="173"/>
      <c r="V5" s="173"/>
    </row>
    <row r="6" ht="15.75" customHeight="1">
      <c r="A6" s="202" t="s">
        <v>135</v>
      </c>
      <c r="B6" s="210"/>
      <c r="C6" s="181" t="str">
        <f t="shared" si="1"/>
        <v>#DIV/0!</v>
      </c>
      <c r="D6" s="181"/>
      <c r="E6" s="168"/>
      <c r="F6" s="202" t="s">
        <v>135</v>
      </c>
      <c r="G6" s="207"/>
      <c r="H6" s="208" t="str">
        <f t="shared" si="2"/>
        <v>#DIV/0!</v>
      </c>
      <c r="I6" s="208"/>
      <c r="J6" s="171"/>
      <c r="K6" s="202" t="s">
        <v>135</v>
      </c>
      <c r="L6" s="209"/>
      <c r="M6" s="173"/>
      <c r="N6" s="173"/>
      <c r="O6" s="173"/>
      <c r="P6" s="173"/>
      <c r="Q6" s="173"/>
      <c r="R6" s="173"/>
      <c r="S6" s="173"/>
      <c r="T6" s="173"/>
      <c r="U6" s="173"/>
      <c r="V6" s="173"/>
    </row>
    <row r="7" ht="15.75" customHeight="1">
      <c r="A7" s="202" t="s">
        <v>136</v>
      </c>
      <c r="B7" s="210"/>
      <c r="C7" s="181" t="str">
        <f t="shared" si="1"/>
        <v>#DIV/0!</v>
      </c>
      <c r="D7" s="181"/>
      <c r="E7" s="168"/>
      <c r="F7" s="202" t="s">
        <v>136</v>
      </c>
      <c r="G7" s="207"/>
      <c r="H7" s="208" t="str">
        <f t="shared" si="2"/>
        <v>#DIV/0!</v>
      </c>
      <c r="I7" s="208"/>
      <c r="J7" s="168"/>
      <c r="K7" s="202" t="s">
        <v>136</v>
      </c>
      <c r="L7" s="209"/>
      <c r="M7" s="176"/>
      <c r="N7" s="176"/>
      <c r="O7" s="176"/>
      <c r="P7" s="176"/>
      <c r="Q7" s="176"/>
      <c r="R7" s="176"/>
      <c r="S7" s="176"/>
      <c r="T7" s="176"/>
      <c r="U7" s="176"/>
      <c r="V7" s="176"/>
    </row>
    <row r="8" ht="15.75" customHeight="1">
      <c r="A8" s="202" t="s">
        <v>137</v>
      </c>
      <c r="B8" s="210"/>
      <c r="C8" s="181" t="str">
        <f t="shared" si="1"/>
        <v>#DIV/0!</v>
      </c>
      <c r="D8" s="181"/>
      <c r="E8" s="168"/>
      <c r="F8" s="202" t="s">
        <v>137</v>
      </c>
      <c r="G8" s="207"/>
      <c r="H8" s="208" t="str">
        <f t="shared" si="2"/>
        <v>#DIV/0!</v>
      </c>
      <c r="I8" s="208"/>
      <c r="J8" s="168"/>
      <c r="K8" s="202" t="s">
        <v>137</v>
      </c>
      <c r="L8" s="209"/>
      <c r="M8" s="176"/>
      <c r="N8" s="176"/>
      <c r="O8" s="176"/>
      <c r="P8" s="176"/>
      <c r="Q8" s="176"/>
      <c r="R8" s="176"/>
      <c r="S8" s="176"/>
      <c r="T8" s="176"/>
      <c r="U8" s="176"/>
      <c r="V8" s="176"/>
    </row>
    <row r="9" ht="15.75" customHeight="1">
      <c r="A9" s="202" t="s">
        <v>138</v>
      </c>
      <c r="B9" s="214"/>
      <c r="C9" s="181" t="str">
        <f t="shared" si="1"/>
        <v>#DIV/0!</v>
      </c>
      <c r="D9" s="181"/>
      <c r="E9" s="168"/>
      <c r="F9" s="202" t="s">
        <v>138</v>
      </c>
      <c r="G9" s="207"/>
      <c r="H9" s="208" t="str">
        <f t="shared" si="2"/>
        <v>#DIV/0!</v>
      </c>
      <c r="I9" s="208"/>
      <c r="J9" s="168"/>
      <c r="K9" s="202" t="s">
        <v>138</v>
      </c>
      <c r="L9" s="209"/>
      <c r="M9" s="173"/>
      <c r="N9" s="173"/>
      <c r="O9" s="173"/>
      <c r="P9" s="173"/>
      <c r="Q9" s="173"/>
      <c r="R9" s="173"/>
      <c r="S9" s="173"/>
      <c r="T9" s="173"/>
      <c r="U9" s="173"/>
      <c r="V9" s="173"/>
    </row>
    <row r="10" ht="15.75" customHeight="1">
      <c r="A10" s="202" t="s">
        <v>139</v>
      </c>
      <c r="B10" s="215"/>
      <c r="C10" s="206" t="str">
        <f t="shared" si="1"/>
        <v>#DIV/0!</v>
      </c>
      <c r="D10" s="181"/>
      <c r="E10" s="168"/>
      <c r="F10" s="202" t="s">
        <v>139</v>
      </c>
      <c r="G10" s="207"/>
      <c r="H10" s="208" t="str">
        <f t="shared" si="2"/>
        <v>#DIV/0!</v>
      </c>
      <c r="I10" s="208"/>
      <c r="J10" s="168"/>
      <c r="K10" s="202" t="s">
        <v>139</v>
      </c>
      <c r="L10" s="209"/>
      <c r="M10" s="173"/>
      <c r="N10" s="173"/>
      <c r="O10" s="173"/>
      <c r="P10" s="173"/>
      <c r="Q10" s="173"/>
      <c r="R10" s="173"/>
      <c r="S10" s="173"/>
      <c r="T10" s="173"/>
      <c r="U10" s="173"/>
      <c r="V10" s="173"/>
    </row>
    <row r="11" ht="15.75" customHeight="1">
      <c r="A11" s="202" t="s">
        <v>140</v>
      </c>
      <c r="B11" s="215"/>
      <c r="C11" s="206" t="str">
        <f t="shared" si="1"/>
        <v>#DIV/0!</v>
      </c>
      <c r="D11" s="181"/>
      <c r="E11" s="168"/>
      <c r="F11" s="202" t="s">
        <v>140</v>
      </c>
      <c r="G11" s="207"/>
      <c r="H11" s="208" t="str">
        <f t="shared" si="2"/>
        <v>#DIV/0!</v>
      </c>
      <c r="I11" s="208"/>
      <c r="J11" s="168"/>
      <c r="K11" s="202" t="s">
        <v>140</v>
      </c>
      <c r="L11" s="216"/>
      <c r="M11" s="173"/>
      <c r="N11" s="173"/>
      <c r="O11" s="173"/>
      <c r="P11" s="173"/>
      <c r="Q11" s="173"/>
      <c r="R11" s="173"/>
      <c r="S11" s="173"/>
      <c r="T11" s="173"/>
      <c r="U11" s="173"/>
      <c r="V11" s="173"/>
    </row>
    <row r="12" ht="15.75" customHeight="1">
      <c r="A12" s="202" t="s">
        <v>141</v>
      </c>
      <c r="B12" s="215"/>
      <c r="C12" s="206" t="str">
        <f t="shared" si="1"/>
        <v>#DIV/0!</v>
      </c>
      <c r="D12" s="181"/>
      <c r="E12" s="168"/>
      <c r="F12" s="202" t="s">
        <v>141</v>
      </c>
      <c r="G12" s="207"/>
      <c r="H12" s="208" t="str">
        <f t="shared" si="2"/>
        <v>#DIV/0!</v>
      </c>
      <c r="I12" s="208"/>
      <c r="J12" s="168"/>
      <c r="K12" s="202" t="s">
        <v>141</v>
      </c>
      <c r="L12" s="209"/>
      <c r="M12" s="173"/>
      <c r="N12" s="173"/>
      <c r="O12" s="173"/>
      <c r="P12" s="173"/>
      <c r="Q12" s="173"/>
      <c r="R12" s="173"/>
      <c r="S12" s="173"/>
      <c r="T12" s="173"/>
      <c r="U12" s="173"/>
      <c r="V12" s="173"/>
    </row>
    <row r="13" ht="15.75" customHeight="1">
      <c r="A13" s="202" t="s">
        <v>142</v>
      </c>
      <c r="B13" s="210"/>
      <c r="C13" s="181" t="str">
        <f t="shared" si="1"/>
        <v>#DIV/0!</v>
      </c>
      <c r="D13" s="181"/>
      <c r="E13" s="168"/>
      <c r="F13" s="202" t="s">
        <v>142</v>
      </c>
      <c r="G13" s="207"/>
      <c r="H13" s="208" t="str">
        <f t="shared" si="2"/>
        <v>#DIV/0!</v>
      </c>
      <c r="I13" s="208"/>
      <c r="J13" s="168"/>
      <c r="K13" s="202" t="s">
        <v>142</v>
      </c>
      <c r="L13" s="209"/>
      <c r="M13" s="173"/>
      <c r="N13" s="173"/>
      <c r="O13" s="173"/>
      <c r="P13" s="173"/>
      <c r="Q13" s="173"/>
      <c r="R13" s="173"/>
      <c r="S13" s="173"/>
      <c r="T13" s="173"/>
      <c r="U13" s="173"/>
      <c r="V13" s="173"/>
    </row>
    <row r="14" ht="15.75" customHeight="1">
      <c r="A14" s="202" t="s">
        <v>143</v>
      </c>
      <c r="B14" s="215"/>
      <c r="C14" s="206" t="str">
        <f t="shared" si="1"/>
        <v>#DIV/0!</v>
      </c>
      <c r="D14" s="181"/>
      <c r="E14" s="168"/>
      <c r="F14" s="202" t="s">
        <v>143</v>
      </c>
      <c r="G14" s="207"/>
      <c r="H14" s="208" t="str">
        <f t="shared" si="2"/>
        <v>#DIV/0!</v>
      </c>
      <c r="I14" s="208"/>
      <c r="J14" s="168"/>
      <c r="K14" s="202" t="s">
        <v>143</v>
      </c>
      <c r="L14" s="209"/>
      <c r="M14" s="173"/>
      <c r="N14" s="173"/>
      <c r="O14" s="173"/>
      <c r="P14" s="173"/>
      <c r="Q14" s="173"/>
      <c r="R14" s="173"/>
      <c r="S14" s="173"/>
      <c r="T14" s="173"/>
      <c r="U14" s="173"/>
      <c r="V14" s="173"/>
    </row>
    <row r="15" ht="15.75" customHeight="1">
      <c r="A15" s="202" t="s">
        <v>144</v>
      </c>
      <c r="B15" s="213"/>
      <c r="C15" s="181" t="str">
        <f t="shared" si="1"/>
        <v>#DIV/0!</v>
      </c>
      <c r="D15" s="181"/>
      <c r="E15" s="168"/>
      <c r="F15" s="202" t="s">
        <v>144</v>
      </c>
      <c r="G15" s="207"/>
      <c r="H15" s="208" t="str">
        <f t="shared" si="2"/>
        <v>#DIV/0!</v>
      </c>
      <c r="I15" s="208"/>
      <c r="J15" s="168"/>
      <c r="K15" s="202" t="s">
        <v>144</v>
      </c>
      <c r="L15" s="209"/>
      <c r="M15" s="173"/>
      <c r="N15" s="173"/>
      <c r="O15" s="173"/>
      <c r="P15" s="173"/>
      <c r="Q15" s="173"/>
      <c r="R15" s="173"/>
      <c r="S15" s="173"/>
      <c r="T15" s="173"/>
      <c r="U15" s="173"/>
      <c r="V15" s="173"/>
    </row>
    <row r="16" ht="15.75" customHeight="1">
      <c r="A16" s="202" t="s">
        <v>145</v>
      </c>
      <c r="B16" s="210"/>
      <c r="C16" s="181" t="str">
        <f t="shared" si="1"/>
        <v>#DIV/0!</v>
      </c>
      <c r="D16" s="181"/>
      <c r="E16" s="168"/>
      <c r="F16" s="202" t="s">
        <v>145</v>
      </c>
      <c r="G16" s="207"/>
      <c r="H16" s="208" t="str">
        <f t="shared" si="2"/>
        <v>#DIV/0!</v>
      </c>
      <c r="I16" s="208"/>
      <c r="J16" s="168"/>
      <c r="K16" s="202" t="s">
        <v>145</v>
      </c>
      <c r="L16" s="209"/>
      <c r="M16" s="173"/>
      <c r="N16" s="173"/>
      <c r="O16" s="173"/>
      <c r="P16" s="173"/>
      <c r="Q16" s="173"/>
      <c r="R16" s="173"/>
      <c r="S16" s="173"/>
      <c r="T16" s="173"/>
      <c r="U16" s="173"/>
      <c r="V16" s="173"/>
    </row>
    <row r="17" ht="15.75" customHeight="1">
      <c r="A17" s="202" t="s">
        <v>146</v>
      </c>
      <c r="B17" s="210"/>
      <c r="C17" s="181" t="str">
        <f t="shared" si="1"/>
        <v>#DIV/0!</v>
      </c>
      <c r="D17" s="181"/>
      <c r="E17" s="168"/>
      <c r="F17" s="202" t="s">
        <v>146</v>
      </c>
      <c r="G17" s="207"/>
      <c r="H17" s="208" t="str">
        <f t="shared" si="2"/>
        <v>#DIV/0!</v>
      </c>
      <c r="I17" s="208"/>
      <c r="J17" s="168"/>
      <c r="K17" s="202" t="s">
        <v>146</v>
      </c>
      <c r="L17" s="209"/>
      <c r="M17" s="173"/>
      <c r="N17" s="173"/>
      <c r="O17" s="173"/>
      <c r="P17" s="173"/>
      <c r="Q17" s="173"/>
      <c r="R17" s="173"/>
      <c r="S17" s="173"/>
      <c r="T17" s="173"/>
      <c r="U17" s="173"/>
      <c r="V17" s="173"/>
    </row>
    <row r="18" ht="15.75" customHeight="1">
      <c r="A18" s="202" t="s">
        <v>147</v>
      </c>
      <c r="B18" s="210"/>
      <c r="C18" s="181" t="str">
        <f t="shared" si="1"/>
        <v>#DIV/0!</v>
      </c>
      <c r="D18" s="181"/>
      <c r="E18" s="168"/>
      <c r="F18" s="202" t="s">
        <v>147</v>
      </c>
      <c r="G18" s="207"/>
      <c r="H18" s="208" t="str">
        <f t="shared" si="2"/>
        <v>#DIV/0!</v>
      </c>
      <c r="I18" s="208"/>
      <c r="J18" s="168"/>
      <c r="K18" s="202" t="s">
        <v>147</v>
      </c>
      <c r="L18" s="209"/>
      <c r="M18" s="173"/>
      <c r="N18" s="173"/>
      <c r="O18" s="173"/>
      <c r="P18" s="173"/>
      <c r="Q18" s="173"/>
      <c r="R18" s="173"/>
      <c r="S18" s="173"/>
      <c r="T18" s="173"/>
      <c r="U18" s="173"/>
      <c r="V18" s="173"/>
    </row>
    <row r="19" ht="15.75" customHeight="1">
      <c r="A19" s="202" t="s">
        <v>148</v>
      </c>
      <c r="B19" s="210"/>
      <c r="C19" s="181" t="str">
        <f t="shared" si="1"/>
        <v>#DIV/0!</v>
      </c>
      <c r="D19" s="181"/>
      <c r="E19" s="168"/>
      <c r="F19" s="202" t="s">
        <v>148</v>
      </c>
      <c r="G19" s="207"/>
      <c r="H19" s="208" t="str">
        <f t="shared" si="2"/>
        <v>#DIV/0!</v>
      </c>
      <c r="I19" s="208"/>
      <c r="J19" s="182" t="s">
        <v>126</v>
      </c>
      <c r="K19" s="202" t="s">
        <v>148</v>
      </c>
      <c r="L19" s="209"/>
      <c r="M19" s="173"/>
      <c r="N19" s="173"/>
      <c r="O19" s="173"/>
      <c r="P19" s="173"/>
      <c r="Q19" s="173"/>
      <c r="R19" s="173"/>
      <c r="S19" s="173"/>
      <c r="T19" s="173"/>
      <c r="U19" s="173"/>
      <c r="V19" s="173"/>
    </row>
    <row r="20" ht="15.75" customHeight="1">
      <c r="A20" s="202" t="s">
        <v>149</v>
      </c>
      <c r="B20" s="215"/>
      <c r="C20" s="181" t="str">
        <f t="shared" si="1"/>
        <v>#DIV/0!</v>
      </c>
      <c r="D20" s="181"/>
      <c r="E20" s="168"/>
      <c r="F20" s="202" t="s">
        <v>149</v>
      </c>
      <c r="G20" s="207"/>
      <c r="H20" s="208" t="str">
        <f t="shared" si="2"/>
        <v>#DIV/0!</v>
      </c>
      <c r="I20" s="208"/>
      <c r="J20" s="182"/>
      <c r="K20" s="202" t="s">
        <v>149</v>
      </c>
      <c r="L20" s="209"/>
      <c r="M20" s="173"/>
      <c r="N20" s="173"/>
      <c r="O20" s="173"/>
      <c r="P20" s="173"/>
      <c r="Q20" s="173"/>
      <c r="R20" s="173"/>
      <c r="S20" s="173"/>
      <c r="T20" s="173"/>
      <c r="U20" s="173"/>
      <c r="V20" s="173"/>
    </row>
    <row r="21" ht="15.75" customHeight="1">
      <c r="A21" s="202" t="s">
        <v>150</v>
      </c>
      <c r="B21" s="210"/>
      <c r="C21" s="181" t="str">
        <f t="shared" si="1"/>
        <v>#DIV/0!</v>
      </c>
      <c r="D21" s="181"/>
      <c r="E21" s="168"/>
      <c r="F21" s="202" t="s">
        <v>150</v>
      </c>
      <c r="G21" s="207"/>
      <c r="H21" s="208" t="str">
        <f t="shared" ref="H21:H24" si="3">SUM(I21/G21)</f>
        <v>#DIV/0!</v>
      </c>
      <c r="I21" s="208"/>
      <c r="J21" s="182"/>
      <c r="K21" s="202" t="s">
        <v>150</v>
      </c>
      <c r="L21" s="209"/>
      <c r="M21" s="173"/>
      <c r="N21" s="183"/>
      <c r="O21" s="173"/>
      <c r="P21" s="173"/>
      <c r="Q21" s="173"/>
      <c r="R21" s="173"/>
      <c r="S21" s="173"/>
      <c r="T21" s="173"/>
      <c r="U21" s="173"/>
      <c r="V21" s="173"/>
    </row>
    <row r="22" ht="15.75" customHeight="1">
      <c r="A22" s="202" t="s">
        <v>151</v>
      </c>
      <c r="B22" s="210"/>
      <c r="C22" s="181" t="str">
        <f t="shared" si="1"/>
        <v>#DIV/0!</v>
      </c>
      <c r="D22" s="181"/>
      <c r="E22" s="168"/>
      <c r="F22" s="202" t="s">
        <v>151</v>
      </c>
      <c r="G22" s="207"/>
      <c r="H22" s="208" t="str">
        <f t="shared" si="3"/>
        <v>#DIV/0!</v>
      </c>
      <c r="I22" s="208"/>
      <c r="J22" s="182"/>
      <c r="K22" s="202" t="s">
        <v>151</v>
      </c>
      <c r="L22" s="216"/>
      <c r="M22" s="173"/>
      <c r="N22" s="183"/>
      <c r="O22" s="173"/>
      <c r="P22" s="173"/>
      <c r="Q22" s="173"/>
      <c r="R22" s="173"/>
      <c r="S22" s="173"/>
      <c r="T22" s="173"/>
      <c r="U22" s="173"/>
      <c r="V22" s="173"/>
    </row>
    <row r="23" ht="15.75" customHeight="1">
      <c r="A23" s="202" t="s">
        <v>152</v>
      </c>
      <c r="B23" s="210"/>
      <c r="C23" s="181" t="str">
        <f t="shared" si="1"/>
        <v>#DIV/0!</v>
      </c>
      <c r="D23" s="181"/>
      <c r="E23" s="168"/>
      <c r="F23" s="202" t="s">
        <v>152</v>
      </c>
      <c r="G23" s="207"/>
      <c r="H23" s="208" t="str">
        <f t="shared" si="3"/>
        <v>#DIV/0!</v>
      </c>
      <c r="I23" s="208"/>
      <c r="J23" s="182"/>
      <c r="K23" s="202" t="s">
        <v>152</v>
      </c>
      <c r="L23" s="209"/>
      <c r="M23" s="173"/>
      <c r="N23" s="183"/>
      <c r="O23" s="173"/>
      <c r="P23" s="173"/>
      <c r="Q23" s="173"/>
      <c r="R23" s="173"/>
      <c r="S23" s="173"/>
      <c r="T23" s="173"/>
      <c r="U23" s="173"/>
      <c r="V23" s="173"/>
    </row>
    <row r="24" ht="15.75" customHeight="1">
      <c r="A24" s="202" t="s">
        <v>153</v>
      </c>
      <c r="B24" s="210"/>
      <c r="C24" s="181" t="str">
        <f t="shared" si="1"/>
        <v>#DIV/0!</v>
      </c>
      <c r="D24" s="181"/>
      <c r="E24" s="168"/>
      <c r="F24" s="202" t="s">
        <v>153</v>
      </c>
      <c r="G24" s="207"/>
      <c r="H24" s="208" t="str">
        <f t="shared" si="3"/>
        <v>#DIV/0!</v>
      </c>
      <c r="I24" s="208"/>
      <c r="J24" s="182"/>
      <c r="K24" s="202" t="s">
        <v>153</v>
      </c>
      <c r="L24" s="209"/>
      <c r="M24" s="173"/>
      <c r="N24" s="183"/>
      <c r="O24" s="173"/>
      <c r="P24" s="173"/>
      <c r="Q24" s="173"/>
      <c r="R24" s="173"/>
      <c r="S24" s="173"/>
      <c r="T24" s="173"/>
      <c r="U24" s="173"/>
      <c r="V24" s="173"/>
    </row>
    <row r="25" ht="15.75" customHeight="1">
      <c r="A25" s="202" t="s">
        <v>154</v>
      </c>
      <c r="B25" s="210"/>
      <c r="C25" s="181" t="str">
        <f t="shared" si="1"/>
        <v>#DIV/0!</v>
      </c>
      <c r="D25" s="181"/>
      <c r="E25" s="168"/>
      <c r="F25" s="202" t="s">
        <v>154</v>
      </c>
      <c r="G25" s="207"/>
      <c r="H25" s="208" t="str">
        <f t="shared" ref="H25:H41" si="4">I25/G25</f>
        <v>#DIV/0!</v>
      </c>
      <c r="I25" s="208"/>
      <c r="J25" s="182"/>
      <c r="K25" s="202" t="s">
        <v>154</v>
      </c>
      <c r="L25" s="209"/>
      <c r="M25" s="173"/>
      <c r="N25" s="183"/>
      <c r="O25" s="173"/>
      <c r="P25" s="173"/>
      <c r="Q25" s="173"/>
      <c r="R25" s="173"/>
      <c r="S25" s="173"/>
      <c r="T25" s="173"/>
      <c r="U25" s="173"/>
      <c r="V25" s="173"/>
    </row>
    <row r="26" ht="15.75" customHeight="1">
      <c r="A26" s="202" t="s">
        <v>155</v>
      </c>
      <c r="B26" s="215"/>
      <c r="C26" s="181" t="str">
        <f t="shared" si="1"/>
        <v>#DIV/0!</v>
      </c>
      <c r="D26" s="181"/>
      <c r="E26" s="168"/>
      <c r="F26" s="202" t="s">
        <v>155</v>
      </c>
      <c r="G26" s="207"/>
      <c r="H26" s="208" t="str">
        <f t="shared" si="4"/>
        <v>#DIV/0!</v>
      </c>
      <c r="I26" s="208"/>
      <c r="J26" s="182"/>
      <c r="K26" s="202" t="s">
        <v>155</v>
      </c>
      <c r="L26" s="209"/>
      <c r="M26" s="173"/>
      <c r="N26" s="183"/>
      <c r="O26" s="173"/>
      <c r="P26" s="173"/>
      <c r="Q26" s="173"/>
      <c r="R26" s="173"/>
      <c r="S26" s="173"/>
      <c r="T26" s="173"/>
      <c r="U26" s="173"/>
      <c r="V26" s="173"/>
    </row>
    <row r="27" ht="15.75" customHeight="1">
      <c r="A27" s="202" t="s">
        <v>156</v>
      </c>
      <c r="B27" s="215"/>
      <c r="C27" s="181" t="str">
        <f t="shared" si="1"/>
        <v>#DIV/0!</v>
      </c>
      <c r="D27" s="181"/>
      <c r="E27" s="168"/>
      <c r="F27" s="202" t="s">
        <v>156</v>
      </c>
      <c r="G27" s="207"/>
      <c r="H27" s="208" t="str">
        <f t="shared" si="4"/>
        <v>#DIV/0!</v>
      </c>
      <c r="I27" s="208"/>
      <c r="J27" s="182"/>
      <c r="K27" s="202" t="s">
        <v>156</v>
      </c>
      <c r="L27" s="209"/>
      <c r="M27" s="173"/>
      <c r="N27" s="183"/>
      <c r="O27" s="173"/>
      <c r="P27" s="173"/>
      <c r="Q27" s="173"/>
      <c r="R27" s="173"/>
      <c r="S27" s="173"/>
      <c r="T27" s="173"/>
      <c r="U27" s="173"/>
      <c r="V27" s="173"/>
    </row>
    <row r="28" ht="15.75" customHeight="1">
      <c r="A28" s="202" t="s">
        <v>157</v>
      </c>
      <c r="B28" s="210"/>
      <c r="C28" s="181" t="str">
        <f t="shared" si="1"/>
        <v>#DIV/0!</v>
      </c>
      <c r="D28" s="181"/>
      <c r="E28" s="168"/>
      <c r="F28" s="202" t="s">
        <v>157</v>
      </c>
      <c r="G28" s="207"/>
      <c r="H28" s="208" t="str">
        <f t="shared" si="4"/>
        <v>#DIV/0!</v>
      </c>
      <c r="I28" s="208"/>
      <c r="J28" s="182"/>
      <c r="K28" s="202" t="s">
        <v>157</v>
      </c>
      <c r="L28" s="209"/>
      <c r="M28" s="173"/>
      <c r="N28" s="183"/>
      <c r="O28" s="173"/>
      <c r="P28" s="173"/>
      <c r="Q28" s="173"/>
      <c r="R28" s="173"/>
      <c r="S28" s="173"/>
      <c r="T28" s="173"/>
      <c r="U28" s="173"/>
      <c r="V28" s="173"/>
    </row>
    <row r="29" ht="15.75" customHeight="1">
      <c r="A29" s="202" t="s">
        <v>158</v>
      </c>
      <c r="B29" s="215"/>
      <c r="C29" s="181" t="str">
        <f t="shared" si="1"/>
        <v>#DIV/0!</v>
      </c>
      <c r="D29" s="181"/>
      <c r="E29" s="168"/>
      <c r="F29" s="202" t="s">
        <v>158</v>
      </c>
      <c r="G29" s="207"/>
      <c r="H29" s="208" t="str">
        <f t="shared" si="4"/>
        <v>#DIV/0!</v>
      </c>
      <c r="I29" s="208"/>
      <c r="J29" s="182"/>
      <c r="K29" s="202" t="s">
        <v>158</v>
      </c>
      <c r="L29" s="209"/>
      <c r="M29" s="173"/>
      <c r="N29" s="183"/>
      <c r="O29" s="173"/>
      <c r="P29" s="173"/>
      <c r="Q29" s="173"/>
      <c r="R29" s="173"/>
      <c r="S29" s="173"/>
      <c r="T29" s="173"/>
      <c r="U29" s="173"/>
      <c r="V29" s="173"/>
    </row>
    <row r="30" ht="15.75" customHeight="1">
      <c r="A30" s="202" t="s">
        <v>159</v>
      </c>
      <c r="B30" s="210"/>
      <c r="C30" s="181" t="str">
        <f t="shared" si="1"/>
        <v>#DIV/0!</v>
      </c>
      <c r="D30" s="181"/>
      <c r="E30" s="168"/>
      <c r="F30" s="202" t="s">
        <v>159</v>
      </c>
      <c r="G30" s="207"/>
      <c r="H30" s="208" t="str">
        <f t="shared" si="4"/>
        <v>#DIV/0!</v>
      </c>
      <c r="I30" s="208"/>
      <c r="J30" s="184"/>
      <c r="K30" s="202" t="s">
        <v>159</v>
      </c>
      <c r="L30" s="209"/>
      <c r="M30" s="173"/>
      <c r="N30" s="183"/>
      <c r="O30" s="173"/>
      <c r="P30" s="173"/>
      <c r="Q30" s="173"/>
      <c r="R30" s="173"/>
      <c r="S30" s="173"/>
      <c r="T30" s="173"/>
      <c r="U30" s="173"/>
      <c r="V30" s="173"/>
    </row>
    <row r="31" ht="15.75" customHeight="1">
      <c r="A31" s="202" t="s">
        <v>160</v>
      </c>
      <c r="B31" s="210"/>
      <c r="C31" s="181" t="str">
        <f t="shared" si="1"/>
        <v>#DIV/0!</v>
      </c>
      <c r="D31" s="181"/>
      <c r="E31" s="168"/>
      <c r="F31" s="202" t="s">
        <v>160</v>
      </c>
      <c r="G31" s="207"/>
      <c r="H31" s="208" t="str">
        <f t="shared" si="4"/>
        <v>#DIV/0!</v>
      </c>
      <c r="I31" s="208"/>
      <c r="J31" s="168"/>
      <c r="K31" s="202" t="s">
        <v>160</v>
      </c>
      <c r="L31" s="209"/>
      <c r="M31" s="173"/>
      <c r="N31" s="183"/>
      <c r="O31" s="173"/>
      <c r="P31" s="173"/>
      <c r="Q31" s="173"/>
      <c r="R31" s="173"/>
      <c r="S31" s="173"/>
      <c r="T31" s="173"/>
      <c r="U31" s="173"/>
      <c r="V31" s="173"/>
    </row>
    <row r="32" ht="15.75" customHeight="1">
      <c r="A32" s="202" t="s">
        <v>161</v>
      </c>
      <c r="B32" s="210"/>
      <c r="C32" s="181" t="str">
        <f t="shared" si="1"/>
        <v>#DIV/0!</v>
      </c>
      <c r="D32" s="181"/>
      <c r="E32" s="168"/>
      <c r="F32" s="202" t="s">
        <v>161</v>
      </c>
      <c r="G32" s="207"/>
      <c r="H32" s="208" t="str">
        <f t="shared" si="4"/>
        <v>#DIV/0!</v>
      </c>
      <c r="I32" s="208"/>
      <c r="J32" s="168"/>
      <c r="K32" s="202" t="s">
        <v>161</v>
      </c>
      <c r="L32" s="209"/>
      <c r="M32" s="173"/>
      <c r="N32" s="183"/>
      <c r="O32" s="173"/>
      <c r="P32" s="173"/>
      <c r="Q32" s="173"/>
      <c r="R32" s="173"/>
      <c r="S32" s="173"/>
      <c r="T32" s="173"/>
      <c r="U32" s="173"/>
      <c r="V32" s="173"/>
    </row>
    <row r="33" ht="15.75" customHeight="1">
      <c r="A33" s="202" t="s">
        <v>162</v>
      </c>
      <c r="B33" s="217"/>
      <c r="C33" s="181" t="str">
        <f t="shared" si="1"/>
        <v>#DIV/0!</v>
      </c>
      <c r="D33" s="181"/>
      <c r="E33" s="168"/>
      <c r="F33" s="202" t="s">
        <v>162</v>
      </c>
      <c r="G33" s="207"/>
      <c r="H33" s="208" t="str">
        <f t="shared" si="4"/>
        <v>#DIV/0!</v>
      </c>
      <c r="I33" s="208"/>
      <c r="J33" s="168"/>
      <c r="K33" s="202" t="s">
        <v>162</v>
      </c>
      <c r="L33" s="209"/>
      <c r="M33" s="173"/>
      <c r="N33" s="183"/>
      <c r="O33" s="173"/>
      <c r="P33" s="173"/>
      <c r="Q33" s="173"/>
      <c r="R33" s="173"/>
      <c r="S33" s="173"/>
      <c r="T33" s="173"/>
      <c r="U33" s="173"/>
      <c r="V33" s="173"/>
    </row>
    <row r="34" ht="15.75" customHeight="1">
      <c r="A34" s="202" t="s">
        <v>163</v>
      </c>
      <c r="B34" s="213"/>
      <c r="C34" s="181" t="str">
        <f t="shared" si="1"/>
        <v>#DIV/0!</v>
      </c>
      <c r="D34" s="181"/>
      <c r="E34" s="168"/>
      <c r="F34" s="202" t="s">
        <v>163</v>
      </c>
      <c r="G34" s="207"/>
      <c r="H34" s="208" t="str">
        <f t="shared" si="4"/>
        <v>#DIV/0!</v>
      </c>
      <c r="I34" s="208"/>
      <c r="J34" s="168"/>
      <c r="K34" s="202" t="s">
        <v>163</v>
      </c>
      <c r="L34" s="218"/>
      <c r="M34" s="173"/>
      <c r="N34" s="183"/>
      <c r="O34" s="173"/>
      <c r="P34" s="173"/>
      <c r="Q34" s="173"/>
      <c r="R34" s="173"/>
      <c r="S34" s="173"/>
      <c r="T34" s="173"/>
      <c r="U34" s="173"/>
      <c r="V34" s="173"/>
    </row>
    <row r="35" ht="15.75" customHeight="1">
      <c r="A35" s="202" t="s">
        <v>164</v>
      </c>
      <c r="B35" s="210"/>
      <c r="C35" s="181" t="str">
        <f t="shared" si="1"/>
        <v>#DIV/0!</v>
      </c>
      <c r="D35" s="181"/>
      <c r="E35" s="168"/>
      <c r="F35" s="202" t="s">
        <v>164</v>
      </c>
      <c r="G35" s="207"/>
      <c r="H35" s="181" t="str">
        <f t="shared" si="4"/>
        <v>#DIV/0!</v>
      </c>
      <c r="I35" s="208"/>
      <c r="J35" s="168"/>
      <c r="K35" s="202" t="s">
        <v>164</v>
      </c>
      <c r="L35" s="218"/>
      <c r="M35" s="173"/>
      <c r="N35" s="183"/>
      <c r="O35" s="173"/>
      <c r="P35" s="173"/>
      <c r="Q35" s="173"/>
      <c r="R35" s="173"/>
      <c r="S35" s="173"/>
      <c r="T35" s="173"/>
      <c r="U35" s="173"/>
      <c r="V35" s="173"/>
    </row>
    <row r="36" ht="15.75" customHeight="1">
      <c r="A36" s="202" t="s">
        <v>165</v>
      </c>
      <c r="B36" s="213"/>
      <c r="C36" s="181" t="str">
        <f t="shared" si="1"/>
        <v>#DIV/0!</v>
      </c>
      <c r="D36" s="181"/>
      <c r="E36" s="168"/>
      <c r="F36" s="202" t="s">
        <v>165</v>
      </c>
      <c r="G36" s="134"/>
      <c r="H36" s="181" t="str">
        <f t="shared" si="4"/>
        <v>#DIV/0!</v>
      </c>
      <c r="I36" s="208"/>
      <c r="J36" s="168"/>
      <c r="K36" s="202" t="s">
        <v>165</v>
      </c>
      <c r="L36" s="218"/>
      <c r="M36" s="173"/>
      <c r="N36" s="183"/>
      <c r="O36" s="173"/>
      <c r="P36" s="173"/>
      <c r="Q36" s="173"/>
      <c r="R36" s="173"/>
      <c r="S36" s="173"/>
      <c r="T36" s="173"/>
      <c r="U36" s="173"/>
      <c r="V36" s="173"/>
    </row>
    <row r="37" ht="15.75" customHeight="1">
      <c r="A37" s="202" t="s">
        <v>166</v>
      </c>
      <c r="B37" s="213"/>
      <c r="C37" s="181" t="str">
        <f t="shared" si="1"/>
        <v>#DIV/0!</v>
      </c>
      <c r="D37" s="181"/>
      <c r="E37" s="168"/>
      <c r="F37" s="202" t="s">
        <v>166</v>
      </c>
      <c r="G37" s="134"/>
      <c r="H37" s="181" t="str">
        <f t="shared" si="4"/>
        <v>#DIV/0!</v>
      </c>
      <c r="I37" s="208"/>
      <c r="J37" s="168"/>
      <c r="K37" s="202" t="s">
        <v>166</v>
      </c>
      <c r="L37" s="218"/>
      <c r="M37" s="173"/>
      <c r="N37" s="183"/>
      <c r="O37" s="173"/>
      <c r="P37" s="173"/>
      <c r="Q37" s="173"/>
      <c r="R37" s="173"/>
      <c r="S37" s="173"/>
      <c r="T37" s="173"/>
      <c r="U37" s="173"/>
      <c r="V37" s="173"/>
    </row>
    <row r="38" ht="15.75" customHeight="1">
      <c r="A38" s="202" t="s">
        <v>167</v>
      </c>
      <c r="B38" s="207"/>
      <c r="C38" s="181" t="str">
        <f t="shared" si="1"/>
        <v>#DIV/0!</v>
      </c>
      <c r="D38" s="208"/>
      <c r="E38" s="168"/>
      <c r="F38" s="202" t="s">
        <v>167</v>
      </c>
      <c r="G38" s="207"/>
      <c r="H38" s="181" t="str">
        <f t="shared" si="4"/>
        <v>#DIV/0!</v>
      </c>
      <c r="I38" s="208"/>
      <c r="J38" s="168"/>
      <c r="K38" s="202" t="s">
        <v>167</v>
      </c>
      <c r="L38" s="219"/>
      <c r="M38" s="173"/>
      <c r="N38" s="173"/>
      <c r="O38" s="173"/>
      <c r="P38" s="173"/>
      <c r="Q38" s="173"/>
      <c r="R38" s="173"/>
      <c r="S38" s="173"/>
      <c r="T38" s="173"/>
      <c r="U38" s="173"/>
      <c r="V38" s="173"/>
    </row>
    <row r="39" ht="15.75" customHeight="1">
      <c r="A39" s="202" t="s">
        <v>168</v>
      </c>
      <c r="B39" s="207"/>
      <c r="C39" s="181" t="str">
        <f t="shared" si="1"/>
        <v>#DIV/0!</v>
      </c>
      <c r="D39" s="208"/>
      <c r="E39" s="168"/>
      <c r="F39" s="202" t="s">
        <v>168</v>
      </c>
      <c r="G39" s="207"/>
      <c r="H39" s="181" t="str">
        <f t="shared" si="4"/>
        <v>#DIV/0!</v>
      </c>
      <c r="I39" s="208"/>
      <c r="J39" s="168"/>
      <c r="K39" s="202" t="s">
        <v>168</v>
      </c>
      <c r="L39" s="218"/>
      <c r="M39" s="173"/>
      <c r="N39" s="173"/>
      <c r="O39" s="173"/>
      <c r="P39" s="173"/>
      <c r="Q39" s="173"/>
      <c r="R39" s="173"/>
      <c r="S39" s="173"/>
      <c r="T39" s="173"/>
      <c r="U39" s="173"/>
      <c r="V39" s="173"/>
    </row>
    <row r="40" ht="15.75" customHeight="1">
      <c r="A40" s="202" t="s">
        <v>169</v>
      </c>
      <c r="B40" s="207"/>
      <c r="C40" s="181" t="str">
        <f t="shared" si="1"/>
        <v>#DIV/0!</v>
      </c>
      <c r="D40" s="208"/>
      <c r="E40" s="168"/>
      <c r="F40" s="202" t="s">
        <v>169</v>
      </c>
      <c r="G40" s="207"/>
      <c r="H40" s="206" t="str">
        <f t="shared" si="4"/>
        <v>#DIV/0!</v>
      </c>
      <c r="I40" s="208"/>
      <c r="J40" s="168"/>
      <c r="K40" s="202" t="s">
        <v>169</v>
      </c>
      <c r="L40" s="218"/>
      <c r="M40" s="173"/>
      <c r="N40" s="173"/>
      <c r="O40" s="173"/>
      <c r="P40" s="173"/>
      <c r="Q40" s="173"/>
      <c r="R40" s="173"/>
      <c r="S40" s="173"/>
      <c r="T40" s="173"/>
      <c r="U40" s="173"/>
      <c r="V40" s="173"/>
    </row>
    <row r="41" ht="15.75" customHeight="1">
      <c r="A41" s="202" t="s">
        <v>170</v>
      </c>
      <c r="B41" s="220"/>
      <c r="C41" s="181" t="str">
        <f t="shared" si="1"/>
        <v>#DIV/0!</v>
      </c>
      <c r="D41" s="208"/>
      <c r="E41" s="168"/>
      <c r="F41" s="202" t="s">
        <v>170</v>
      </c>
      <c r="G41" s="207"/>
      <c r="H41" s="181" t="str">
        <f t="shared" si="4"/>
        <v>#DIV/0!</v>
      </c>
      <c r="I41" s="208"/>
      <c r="J41" s="168"/>
      <c r="K41" s="202" t="s">
        <v>170</v>
      </c>
      <c r="L41" s="218"/>
      <c r="M41" s="173"/>
      <c r="N41" s="173"/>
      <c r="O41" s="173"/>
      <c r="P41" s="173"/>
      <c r="Q41" s="173"/>
      <c r="R41" s="173"/>
      <c r="S41" s="173"/>
      <c r="T41" s="173"/>
      <c r="U41" s="173"/>
      <c r="V41" s="173"/>
    </row>
    <row r="42" ht="15.75" customHeight="1">
      <c r="A42" s="202" t="s">
        <v>171</v>
      </c>
      <c r="B42" s="207"/>
      <c r="C42" s="181" t="str">
        <f t="shared" si="1"/>
        <v>#DIV/0!</v>
      </c>
      <c r="D42" s="208"/>
      <c r="E42" s="168"/>
      <c r="F42" s="202" t="s">
        <v>171</v>
      </c>
      <c r="G42" s="207"/>
      <c r="H42" s="181" t="str">
        <f>SUM(I42/G42)</f>
        <v>#DIV/0!</v>
      </c>
      <c r="I42" s="208"/>
      <c r="J42" s="168"/>
      <c r="K42" s="202" t="s">
        <v>171</v>
      </c>
      <c r="L42" s="218"/>
      <c r="M42" s="173"/>
      <c r="N42" s="173"/>
      <c r="O42" s="173"/>
      <c r="P42" s="173"/>
      <c r="Q42" s="173"/>
      <c r="R42" s="173"/>
      <c r="S42" s="173"/>
      <c r="T42" s="173"/>
      <c r="U42" s="173"/>
      <c r="V42" s="173"/>
    </row>
    <row r="43" ht="15.75" customHeight="1">
      <c r="A43" s="202" t="s">
        <v>172</v>
      </c>
      <c r="B43" s="208"/>
      <c r="C43" s="181" t="str">
        <f t="shared" si="1"/>
        <v>#DIV/0!</v>
      </c>
      <c r="D43" s="208"/>
      <c r="E43" s="168"/>
      <c r="F43" s="202" t="s">
        <v>172</v>
      </c>
      <c r="G43" s="134"/>
      <c r="H43" s="181" t="str">
        <f t="shared" ref="H43:H46" si="5">I43/G43</f>
        <v>#DIV/0!</v>
      </c>
      <c r="I43" s="208"/>
      <c r="J43" s="168"/>
      <c r="K43" s="202" t="s">
        <v>172</v>
      </c>
      <c r="L43" s="218"/>
      <c r="M43" s="173"/>
      <c r="N43" s="173"/>
      <c r="O43" s="173"/>
      <c r="P43" s="173"/>
      <c r="Q43" s="173"/>
      <c r="R43" s="173"/>
      <c r="S43" s="173"/>
      <c r="T43" s="173"/>
      <c r="U43" s="173"/>
      <c r="V43" s="173"/>
    </row>
    <row r="44" ht="15.75" customHeight="1">
      <c r="A44" s="202" t="s">
        <v>173</v>
      </c>
      <c r="B44" s="221"/>
      <c r="C44" s="181" t="str">
        <f t="shared" si="1"/>
        <v>#DIV/0!</v>
      </c>
      <c r="D44" s="208"/>
      <c r="E44" s="168"/>
      <c r="F44" s="202" t="s">
        <v>173</v>
      </c>
      <c r="G44" s="207"/>
      <c r="H44" s="181" t="str">
        <f t="shared" si="5"/>
        <v>#DIV/0!</v>
      </c>
      <c r="I44" s="208"/>
      <c r="J44" s="168"/>
      <c r="K44" s="202" t="s">
        <v>173</v>
      </c>
      <c r="L44" s="218"/>
      <c r="M44" s="173"/>
      <c r="N44" s="173"/>
      <c r="O44" s="173"/>
      <c r="P44" s="173"/>
      <c r="Q44" s="173"/>
      <c r="R44" s="173"/>
      <c r="S44" s="173"/>
      <c r="T44" s="173"/>
      <c r="U44" s="173"/>
      <c r="V44" s="173"/>
    </row>
    <row r="45" ht="15.75" customHeight="1">
      <c r="A45" s="202" t="s">
        <v>174</v>
      </c>
      <c r="B45" s="207"/>
      <c r="C45" s="181" t="str">
        <f t="shared" si="1"/>
        <v>#DIV/0!</v>
      </c>
      <c r="D45" s="208"/>
      <c r="E45" s="168"/>
      <c r="F45" s="202" t="s">
        <v>174</v>
      </c>
      <c r="G45" s="207"/>
      <c r="H45" s="181" t="str">
        <f t="shared" si="5"/>
        <v>#DIV/0!</v>
      </c>
      <c r="I45" s="208"/>
      <c r="J45" s="168"/>
      <c r="K45" s="202" t="s">
        <v>174</v>
      </c>
      <c r="L45" s="209"/>
      <c r="M45" s="183"/>
      <c r="N45" s="173"/>
      <c r="O45" s="173"/>
      <c r="P45" s="173"/>
      <c r="Q45" s="173"/>
      <c r="R45" s="173"/>
      <c r="S45" s="173"/>
      <c r="T45" s="173"/>
      <c r="U45" s="173"/>
      <c r="V45" s="173"/>
    </row>
    <row r="46" ht="15.75" customHeight="1">
      <c r="A46" s="202" t="s">
        <v>175</v>
      </c>
      <c r="B46" s="207"/>
      <c r="C46" s="181" t="str">
        <f t="shared" si="1"/>
        <v>#DIV/0!</v>
      </c>
      <c r="D46" s="208"/>
      <c r="E46" s="168"/>
      <c r="F46" s="202" t="s">
        <v>175</v>
      </c>
      <c r="G46" s="210"/>
      <c r="H46" s="181" t="str">
        <f t="shared" si="5"/>
        <v>#DIV/0!</v>
      </c>
      <c r="I46" s="208"/>
      <c r="J46" s="168"/>
      <c r="K46" s="202" t="s">
        <v>175</v>
      </c>
      <c r="L46" s="209"/>
      <c r="M46" s="183"/>
      <c r="N46" s="173"/>
      <c r="O46" s="173"/>
      <c r="P46" s="173"/>
      <c r="Q46" s="173"/>
      <c r="R46" s="173"/>
      <c r="S46" s="173"/>
      <c r="T46" s="173"/>
      <c r="U46" s="173"/>
      <c r="V46" s="173"/>
    </row>
    <row r="47" ht="15.75" customHeight="1">
      <c r="A47" s="202" t="s">
        <v>176</v>
      </c>
      <c r="B47" s="207"/>
      <c r="C47" s="181" t="str">
        <f t="shared" si="1"/>
        <v>#DIV/0!</v>
      </c>
      <c r="D47" s="208"/>
      <c r="E47" s="168"/>
      <c r="F47" s="202" t="s">
        <v>176</v>
      </c>
      <c r="G47" s="210"/>
      <c r="H47" s="181" t="str">
        <f>SUM(I47/G47)</f>
        <v>#DIV/0!</v>
      </c>
      <c r="I47" s="208"/>
      <c r="J47" s="168"/>
      <c r="K47" s="202" t="s">
        <v>176</v>
      </c>
      <c r="L47" s="209"/>
      <c r="M47" s="183"/>
      <c r="N47" s="173"/>
      <c r="O47" s="173"/>
      <c r="P47" s="173"/>
      <c r="Q47" s="173"/>
      <c r="R47" s="173"/>
      <c r="S47" s="173"/>
      <c r="T47" s="173"/>
      <c r="U47" s="173"/>
      <c r="V47" s="173"/>
    </row>
    <row r="48" ht="15.75" customHeight="1">
      <c r="A48" s="202" t="s">
        <v>177</v>
      </c>
      <c r="B48" s="207"/>
      <c r="C48" s="181" t="str">
        <f t="shared" si="1"/>
        <v>#DIV/0!</v>
      </c>
      <c r="D48" s="208"/>
      <c r="E48" s="168"/>
      <c r="F48" s="202" t="s">
        <v>177</v>
      </c>
      <c r="G48" s="210"/>
      <c r="H48" s="181" t="str">
        <f>I48/G48</f>
        <v>#DIV/0!</v>
      </c>
      <c r="I48" s="208"/>
      <c r="J48" s="168"/>
      <c r="K48" s="202" t="s">
        <v>177</v>
      </c>
      <c r="L48" s="209"/>
      <c r="M48" s="183"/>
      <c r="N48" s="173"/>
      <c r="O48" s="173"/>
      <c r="P48" s="173"/>
      <c r="Q48" s="173"/>
      <c r="R48" s="173"/>
      <c r="S48" s="173"/>
      <c r="T48" s="173"/>
      <c r="U48" s="173"/>
      <c r="V48" s="173"/>
    </row>
    <row r="49" ht="15.75" customHeight="1">
      <c r="A49" s="202" t="s">
        <v>178</v>
      </c>
      <c r="B49" s="207"/>
      <c r="C49" s="181" t="str">
        <f t="shared" si="1"/>
        <v>#DIV/0!</v>
      </c>
      <c r="D49" s="208"/>
      <c r="E49" s="168"/>
      <c r="F49" s="202" t="s">
        <v>178</v>
      </c>
      <c r="G49" s="210"/>
      <c r="H49" s="181" t="str">
        <f t="shared" ref="H49:H60" si="6">SUM(I49/G49)</f>
        <v>#DIV/0!</v>
      </c>
      <c r="I49" s="208"/>
      <c r="J49" s="168"/>
      <c r="K49" s="202" t="s">
        <v>178</v>
      </c>
      <c r="L49" s="209"/>
      <c r="M49" s="173"/>
      <c r="N49" s="173"/>
      <c r="O49" s="173"/>
      <c r="P49" s="173"/>
      <c r="Q49" s="173"/>
      <c r="R49" s="173"/>
      <c r="S49" s="173"/>
      <c r="T49" s="173"/>
      <c r="U49" s="173"/>
      <c r="V49" s="173"/>
    </row>
    <row r="50" ht="15.75" customHeight="1">
      <c r="A50" s="202" t="s">
        <v>179</v>
      </c>
      <c r="B50" s="207"/>
      <c r="C50" s="181" t="str">
        <f t="shared" si="1"/>
        <v>#DIV/0!</v>
      </c>
      <c r="D50" s="208"/>
      <c r="E50" s="168"/>
      <c r="F50" s="202" t="s">
        <v>179</v>
      </c>
      <c r="G50" s="210"/>
      <c r="H50" s="181" t="str">
        <f t="shared" si="6"/>
        <v>#DIV/0!</v>
      </c>
      <c r="I50" s="208"/>
      <c r="J50" s="168"/>
      <c r="K50" s="202" t="s">
        <v>179</v>
      </c>
      <c r="L50" s="209"/>
      <c r="M50" s="173"/>
      <c r="N50" s="173"/>
      <c r="O50" s="173"/>
      <c r="P50" s="173"/>
      <c r="Q50" s="173"/>
      <c r="R50" s="173"/>
      <c r="S50" s="173"/>
      <c r="T50" s="173"/>
      <c r="U50" s="173"/>
      <c r="V50" s="173"/>
    </row>
    <row r="51" ht="15.75" customHeight="1">
      <c r="A51" s="202" t="s">
        <v>180</v>
      </c>
      <c r="B51" s="207"/>
      <c r="C51" s="181" t="str">
        <f t="shared" si="1"/>
        <v>#DIV/0!</v>
      </c>
      <c r="D51" s="208"/>
      <c r="E51" s="168"/>
      <c r="F51" s="202" t="s">
        <v>180</v>
      </c>
      <c r="G51" s="210"/>
      <c r="H51" s="181" t="str">
        <f t="shared" si="6"/>
        <v>#DIV/0!</v>
      </c>
      <c r="I51" s="208"/>
      <c r="J51" s="168"/>
      <c r="K51" s="202" t="s">
        <v>180</v>
      </c>
      <c r="L51" s="209"/>
      <c r="M51" s="173"/>
      <c r="N51" s="173"/>
      <c r="O51" s="173"/>
      <c r="P51" s="173"/>
      <c r="Q51" s="173"/>
      <c r="R51" s="173"/>
      <c r="S51" s="173"/>
      <c r="T51" s="173"/>
      <c r="U51" s="173"/>
      <c r="V51" s="173"/>
    </row>
    <row r="52" ht="15.75" customHeight="1">
      <c r="A52" s="202" t="s">
        <v>181</v>
      </c>
      <c r="B52" s="207"/>
      <c r="C52" s="181" t="str">
        <f t="shared" si="1"/>
        <v>#DIV/0!</v>
      </c>
      <c r="D52" s="208"/>
      <c r="E52" s="168"/>
      <c r="F52" s="202" t="s">
        <v>181</v>
      </c>
      <c r="G52" s="210"/>
      <c r="H52" s="181" t="str">
        <f t="shared" si="6"/>
        <v>#DIV/0!</v>
      </c>
      <c r="I52" s="208"/>
      <c r="J52" s="168"/>
      <c r="K52" s="202" t="s">
        <v>181</v>
      </c>
      <c r="L52" s="209"/>
      <c r="M52" s="173"/>
      <c r="N52" s="173"/>
      <c r="O52" s="173"/>
      <c r="P52" s="173"/>
      <c r="Q52" s="173"/>
      <c r="R52" s="173"/>
      <c r="S52" s="173"/>
      <c r="T52" s="173"/>
      <c r="U52" s="173"/>
      <c r="V52" s="173"/>
    </row>
    <row r="53" ht="15.75" customHeight="1">
      <c r="A53" s="202" t="s">
        <v>182</v>
      </c>
      <c r="B53" s="207"/>
      <c r="C53" s="181" t="str">
        <f t="shared" si="1"/>
        <v>#DIV/0!</v>
      </c>
      <c r="D53" s="208"/>
      <c r="E53" s="168"/>
      <c r="F53" s="202" t="s">
        <v>182</v>
      </c>
      <c r="G53" s="210"/>
      <c r="H53" s="181" t="str">
        <f t="shared" si="6"/>
        <v>#DIV/0!</v>
      </c>
      <c r="I53" s="208"/>
      <c r="J53" s="168"/>
      <c r="K53" s="202" t="s">
        <v>182</v>
      </c>
      <c r="L53" s="209"/>
      <c r="M53" s="173"/>
      <c r="N53" s="173"/>
      <c r="O53" s="173"/>
      <c r="P53" s="173"/>
      <c r="Q53" s="173"/>
      <c r="R53" s="173"/>
      <c r="S53" s="173"/>
      <c r="T53" s="173"/>
      <c r="U53" s="173"/>
      <c r="V53" s="173"/>
    </row>
    <row r="54" ht="15.75" customHeight="1">
      <c r="A54" s="202" t="s">
        <v>183</v>
      </c>
      <c r="B54" s="207"/>
      <c r="C54" s="181" t="str">
        <f t="shared" si="1"/>
        <v>#DIV/0!</v>
      </c>
      <c r="D54" s="208"/>
      <c r="E54" s="168"/>
      <c r="F54" s="202" t="s">
        <v>183</v>
      </c>
      <c r="G54" s="210"/>
      <c r="H54" s="181" t="str">
        <f t="shared" si="6"/>
        <v>#DIV/0!</v>
      </c>
      <c r="I54" s="208"/>
      <c r="J54" s="168"/>
      <c r="K54" s="202" t="s">
        <v>183</v>
      </c>
      <c r="L54" s="209"/>
      <c r="M54" s="173"/>
      <c r="N54" s="173"/>
      <c r="O54" s="173"/>
      <c r="P54" s="173"/>
      <c r="Q54" s="173"/>
      <c r="R54" s="173"/>
      <c r="S54" s="173"/>
      <c r="T54" s="173"/>
      <c r="U54" s="173"/>
      <c r="V54" s="173"/>
    </row>
    <row r="55" ht="15.75" customHeight="1">
      <c r="A55" s="202" t="s">
        <v>184</v>
      </c>
      <c r="B55" s="207"/>
      <c r="C55" s="181" t="str">
        <f t="shared" si="1"/>
        <v>#DIV/0!</v>
      </c>
      <c r="D55" s="208"/>
      <c r="E55" s="168"/>
      <c r="F55" s="202" t="s">
        <v>184</v>
      </c>
      <c r="G55" s="210"/>
      <c r="H55" s="181" t="str">
        <f t="shared" si="6"/>
        <v>#DIV/0!</v>
      </c>
      <c r="I55" s="208"/>
      <c r="J55" s="168"/>
      <c r="K55" s="202" t="s">
        <v>184</v>
      </c>
      <c r="L55" s="209"/>
      <c r="M55" s="173"/>
      <c r="N55" s="173"/>
      <c r="O55" s="173"/>
      <c r="P55" s="173"/>
      <c r="Q55" s="173"/>
      <c r="R55" s="173"/>
      <c r="S55" s="173"/>
      <c r="T55" s="173"/>
      <c r="U55" s="173"/>
      <c r="V55" s="173"/>
    </row>
    <row r="56" ht="15.75" customHeight="1">
      <c r="A56" s="202" t="s">
        <v>185</v>
      </c>
      <c r="B56" s="207"/>
      <c r="C56" s="181" t="str">
        <f t="shared" si="1"/>
        <v>#DIV/0!</v>
      </c>
      <c r="D56" s="208"/>
      <c r="E56" s="168"/>
      <c r="F56" s="202" t="s">
        <v>185</v>
      </c>
      <c r="G56" s="210"/>
      <c r="H56" s="181" t="str">
        <f t="shared" si="6"/>
        <v>#DIV/0!</v>
      </c>
      <c r="I56" s="208"/>
      <c r="J56" s="168"/>
      <c r="K56" s="202" t="s">
        <v>185</v>
      </c>
      <c r="L56" s="209"/>
      <c r="M56" s="173"/>
      <c r="N56" s="173"/>
      <c r="O56" s="173"/>
      <c r="P56" s="173"/>
      <c r="Q56" s="173"/>
      <c r="R56" s="173"/>
      <c r="S56" s="173"/>
      <c r="T56" s="173"/>
      <c r="U56" s="173"/>
      <c r="V56" s="173"/>
    </row>
    <row r="57" ht="15.75" customHeight="1">
      <c r="A57" s="202" t="s">
        <v>186</v>
      </c>
      <c r="B57" s="207"/>
      <c r="C57" s="181" t="str">
        <f t="shared" si="1"/>
        <v>#DIV/0!</v>
      </c>
      <c r="D57" s="208"/>
      <c r="E57" s="168"/>
      <c r="F57" s="202" t="s">
        <v>186</v>
      </c>
      <c r="G57" s="210"/>
      <c r="H57" s="181" t="str">
        <f t="shared" si="6"/>
        <v>#DIV/0!</v>
      </c>
      <c r="I57" s="208"/>
      <c r="J57" s="168"/>
      <c r="K57" s="202" t="s">
        <v>186</v>
      </c>
      <c r="L57" s="209"/>
      <c r="M57" s="173"/>
      <c r="N57" s="173"/>
      <c r="O57" s="173"/>
      <c r="P57" s="173"/>
      <c r="Q57" s="173"/>
      <c r="R57" s="173"/>
      <c r="S57" s="173"/>
      <c r="T57" s="173"/>
      <c r="U57" s="173"/>
      <c r="V57" s="173"/>
    </row>
    <row r="58" ht="15.75" customHeight="1">
      <c r="A58" s="202" t="s">
        <v>187</v>
      </c>
      <c r="B58" s="207"/>
      <c r="C58" s="181" t="str">
        <f t="shared" si="1"/>
        <v>#DIV/0!</v>
      </c>
      <c r="D58" s="208"/>
      <c r="E58" s="168"/>
      <c r="F58" s="202" t="s">
        <v>187</v>
      </c>
      <c r="G58" s="210"/>
      <c r="H58" s="181" t="str">
        <f t="shared" si="6"/>
        <v>#DIV/0!</v>
      </c>
      <c r="I58" s="208"/>
      <c r="J58" s="168"/>
      <c r="K58" s="202" t="s">
        <v>187</v>
      </c>
      <c r="L58" s="209"/>
      <c r="M58" s="173"/>
      <c r="N58" s="173"/>
      <c r="O58" s="173"/>
      <c r="P58" s="173"/>
      <c r="Q58" s="173"/>
      <c r="R58" s="173"/>
      <c r="S58" s="173"/>
      <c r="T58" s="173"/>
      <c r="U58" s="173"/>
      <c r="V58" s="173"/>
    </row>
    <row r="59" ht="15.75" customHeight="1">
      <c r="A59" s="202" t="s">
        <v>188</v>
      </c>
      <c r="B59" s="207"/>
      <c r="C59" s="181" t="str">
        <f t="shared" si="1"/>
        <v>#DIV/0!</v>
      </c>
      <c r="D59" s="208"/>
      <c r="E59" s="168"/>
      <c r="F59" s="202" t="s">
        <v>188</v>
      </c>
      <c r="G59" s="210"/>
      <c r="H59" s="181" t="str">
        <f t="shared" si="6"/>
        <v>#DIV/0!</v>
      </c>
      <c r="I59" s="208"/>
      <c r="J59" s="168"/>
      <c r="K59" s="202" t="s">
        <v>188</v>
      </c>
      <c r="L59" s="209"/>
      <c r="M59" s="173"/>
      <c r="N59" s="173"/>
      <c r="O59" s="173"/>
      <c r="P59" s="173"/>
      <c r="Q59" s="173"/>
      <c r="R59" s="173"/>
      <c r="S59" s="173"/>
      <c r="T59" s="173"/>
      <c r="U59" s="173"/>
      <c r="V59" s="173"/>
    </row>
    <row r="60" ht="15.75" customHeight="1">
      <c r="A60" s="202" t="s">
        <v>189</v>
      </c>
      <c r="B60" s="207"/>
      <c r="C60" s="181" t="str">
        <f t="shared" si="1"/>
        <v>#DIV/0!</v>
      </c>
      <c r="D60" s="208"/>
      <c r="E60" s="168"/>
      <c r="F60" s="202" t="s">
        <v>189</v>
      </c>
      <c r="G60" s="210"/>
      <c r="H60" s="181" t="str">
        <f t="shared" si="6"/>
        <v>#DIV/0!</v>
      </c>
      <c r="I60" s="208"/>
      <c r="J60" s="168"/>
      <c r="K60" s="202" t="s">
        <v>189</v>
      </c>
      <c r="L60" s="209"/>
      <c r="M60" s="173"/>
      <c r="N60" s="173"/>
      <c r="O60" s="173"/>
      <c r="P60" s="173"/>
      <c r="Q60" s="173"/>
      <c r="R60" s="173"/>
      <c r="S60" s="173"/>
      <c r="T60" s="173"/>
      <c r="U60" s="173"/>
      <c r="V60" s="173"/>
    </row>
    <row r="61" ht="15.75" customHeight="1">
      <c r="A61" s="202" t="s">
        <v>190</v>
      </c>
      <c r="B61" s="207"/>
      <c r="C61" s="181" t="str">
        <f t="shared" si="1"/>
        <v>#DIV/0!</v>
      </c>
      <c r="D61" s="208"/>
      <c r="E61" s="168"/>
      <c r="F61" s="202" t="s">
        <v>190</v>
      </c>
      <c r="G61" s="222"/>
      <c r="H61" s="181" t="str">
        <f>SUM(I61/G60)</f>
        <v>#DIV/0!</v>
      </c>
      <c r="I61" s="208"/>
      <c r="J61" s="168"/>
      <c r="K61" s="202" t="s">
        <v>190</v>
      </c>
      <c r="L61" s="209"/>
      <c r="M61" s="173"/>
      <c r="N61" s="173"/>
      <c r="O61" s="173"/>
      <c r="P61" s="173"/>
      <c r="Q61" s="173"/>
      <c r="R61" s="173"/>
      <c r="S61" s="173"/>
      <c r="T61" s="173"/>
      <c r="U61" s="173"/>
      <c r="V61" s="173"/>
    </row>
    <row r="62" ht="15.75" customHeight="1">
      <c r="A62" s="202" t="s">
        <v>191</v>
      </c>
      <c r="B62" s="207"/>
      <c r="C62" s="181" t="str">
        <f t="shared" si="1"/>
        <v>#DIV/0!</v>
      </c>
      <c r="D62" s="208"/>
      <c r="E62" s="168"/>
      <c r="F62" s="202" t="s">
        <v>191</v>
      </c>
      <c r="G62" s="210"/>
      <c r="H62" s="181" t="str">
        <f t="shared" ref="H62:H81" si="7">SUM(I62/G62)</f>
        <v>#DIV/0!</v>
      </c>
      <c r="I62" s="208"/>
      <c r="J62" s="168"/>
      <c r="K62" s="202" t="s">
        <v>191</v>
      </c>
      <c r="L62" s="209"/>
      <c r="M62" s="173"/>
      <c r="N62" s="173"/>
      <c r="O62" s="173"/>
      <c r="P62" s="173"/>
      <c r="Q62" s="173"/>
      <c r="R62" s="173"/>
      <c r="S62" s="173"/>
      <c r="T62" s="173"/>
      <c r="U62" s="173"/>
      <c r="V62" s="173"/>
    </row>
    <row r="63" ht="15.75" customHeight="1">
      <c r="A63" s="202" t="s">
        <v>192</v>
      </c>
      <c r="B63" s="207"/>
      <c r="C63" s="181" t="str">
        <f t="shared" si="1"/>
        <v>#DIV/0!</v>
      </c>
      <c r="D63" s="208"/>
      <c r="E63" s="168"/>
      <c r="F63" s="202" t="s">
        <v>192</v>
      </c>
      <c r="G63" s="210"/>
      <c r="H63" s="181" t="str">
        <f t="shared" si="7"/>
        <v>#DIV/0!</v>
      </c>
      <c r="I63" s="208"/>
      <c r="J63" s="168"/>
      <c r="K63" s="202" t="s">
        <v>192</v>
      </c>
      <c r="L63" s="209"/>
      <c r="M63" s="173"/>
      <c r="N63" s="173"/>
      <c r="O63" s="173"/>
      <c r="P63" s="173"/>
      <c r="Q63" s="173"/>
      <c r="R63" s="173"/>
      <c r="S63" s="173"/>
      <c r="T63" s="173"/>
      <c r="U63" s="173"/>
      <c r="V63" s="173"/>
    </row>
    <row r="64" ht="15.75" customHeight="1">
      <c r="A64" s="202" t="s">
        <v>193</v>
      </c>
      <c r="B64" s="210"/>
      <c r="C64" s="181" t="str">
        <f t="shared" si="1"/>
        <v>#DIV/0!</v>
      </c>
      <c r="D64" s="181"/>
      <c r="E64" s="168"/>
      <c r="F64" s="202" t="s">
        <v>193</v>
      </c>
      <c r="G64" s="210"/>
      <c r="H64" s="181" t="str">
        <f t="shared" si="7"/>
        <v>#DIV/0!</v>
      </c>
      <c r="I64" s="208"/>
      <c r="J64" s="168"/>
      <c r="K64" s="202" t="s">
        <v>193</v>
      </c>
      <c r="L64" s="209"/>
      <c r="M64" s="173"/>
      <c r="N64" s="173"/>
      <c r="O64" s="173"/>
      <c r="P64" s="173"/>
      <c r="Q64" s="173"/>
      <c r="R64" s="173"/>
      <c r="S64" s="173"/>
      <c r="T64" s="173"/>
      <c r="U64" s="173"/>
      <c r="V64" s="173"/>
    </row>
    <row r="65" ht="15.75" customHeight="1">
      <c r="A65" s="202" t="s">
        <v>194</v>
      </c>
      <c r="B65" s="210"/>
      <c r="C65" s="181" t="str">
        <f t="shared" si="1"/>
        <v>#DIV/0!</v>
      </c>
      <c r="D65" s="181"/>
      <c r="E65" s="168"/>
      <c r="F65" s="202" t="s">
        <v>194</v>
      </c>
      <c r="G65" s="210"/>
      <c r="H65" s="181" t="str">
        <f t="shared" si="7"/>
        <v>#DIV/0!</v>
      </c>
      <c r="I65" s="208"/>
      <c r="J65" s="168"/>
      <c r="K65" s="202" t="s">
        <v>194</v>
      </c>
      <c r="L65" s="209"/>
      <c r="M65" s="173"/>
      <c r="N65" s="173"/>
      <c r="O65" s="173"/>
      <c r="P65" s="173"/>
      <c r="Q65" s="173"/>
      <c r="R65" s="173"/>
      <c r="S65" s="173"/>
      <c r="T65" s="173"/>
      <c r="U65" s="173"/>
      <c r="V65" s="173"/>
    </row>
    <row r="66" ht="15.75" customHeight="1">
      <c r="A66" s="202" t="s">
        <v>195</v>
      </c>
      <c r="B66" s="210"/>
      <c r="C66" s="181" t="str">
        <f t="shared" si="1"/>
        <v>#DIV/0!</v>
      </c>
      <c r="D66" s="181"/>
      <c r="E66" s="168"/>
      <c r="F66" s="202" t="s">
        <v>195</v>
      </c>
      <c r="G66" s="210"/>
      <c r="H66" s="181" t="str">
        <f t="shared" si="7"/>
        <v>#DIV/0!</v>
      </c>
      <c r="I66" s="208"/>
      <c r="J66" s="168"/>
      <c r="K66" s="202" t="s">
        <v>195</v>
      </c>
      <c r="L66" s="209"/>
      <c r="M66" s="173"/>
      <c r="N66" s="173"/>
      <c r="O66" s="173"/>
      <c r="P66" s="173"/>
      <c r="Q66" s="173"/>
      <c r="R66" s="173"/>
      <c r="S66" s="173"/>
      <c r="T66" s="173"/>
      <c r="U66" s="173"/>
      <c r="V66" s="173"/>
    </row>
    <row r="67" ht="15.75" customHeight="1">
      <c r="A67" s="202" t="s">
        <v>196</v>
      </c>
      <c r="B67" s="210"/>
      <c r="C67" s="181" t="str">
        <f t="shared" si="1"/>
        <v>#DIV/0!</v>
      </c>
      <c r="D67" s="181"/>
      <c r="E67" s="168"/>
      <c r="F67" s="202" t="s">
        <v>196</v>
      </c>
      <c r="G67" s="210"/>
      <c r="H67" s="181" t="str">
        <f t="shared" si="7"/>
        <v>#DIV/0!</v>
      </c>
      <c r="I67" s="208"/>
      <c r="J67" s="168"/>
      <c r="K67" s="202" t="s">
        <v>196</v>
      </c>
      <c r="L67" s="209"/>
      <c r="M67" s="173"/>
      <c r="N67" s="173"/>
      <c r="O67" s="173"/>
      <c r="P67" s="173"/>
      <c r="Q67" s="173"/>
      <c r="R67" s="173"/>
      <c r="S67" s="173"/>
      <c r="T67" s="173"/>
      <c r="U67" s="173"/>
      <c r="V67" s="173"/>
    </row>
    <row r="68" ht="15.75" customHeight="1">
      <c r="A68" s="202" t="s">
        <v>197</v>
      </c>
      <c r="B68" s="210"/>
      <c r="C68" s="181" t="str">
        <f t="shared" si="1"/>
        <v>#DIV/0!</v>
      </c>
      <c r="D68" s="181"/>
      <c r="E68" s="168"/>
      <c r="F68" s="202" t="s">
        <v>197</v>
      </c>
      <c r="G68" s="210"/>
      <c r="H68" s="181" t="str">
        <f t="shared" si="7"/>
        <v>#DIV/0!</v>
      </c>
      <c r="I68" s="208"/>
      <c r="J68" s="168"/>
      <c r="K68" s="202" t="s">
        <v>197</v>
      </c>
      <c r="L68" s="209"/>
      <c r="M68" s="173"/>
      <c r="N68" s="173"/>
      <c r="O68" s="173"/>
      <c r="P68" s="173"/>
      <c r="Q68" s="173"/>
      <c r="R68" s="173"/>
      <c r="S68" s="173"/>
      <c r="T68" s="173"/>
      <c r="U68" s="173"/>
      <c r="V68" s="173"/>
    </row>
    <row r="69" ht="15.75" customHeight="1">
      <c r="A69" s="202" t="s">
        <v>198</v>
      </c>
      <c r="B69" s="223"/>
      <c r="C69" s="181" t="str">
        <f t="shared" si="1"/>
        <v>#DIV/0!</v>
      </c>
      <c r="D69" s="224"/>
      <c r="E69" s="168"/>
      <c r="F69" s="202" t="s">
        <v>198</v>
      </c>
      <c r="G69" s="210"/>
      <c r="H69" s="181" t="str">
        <f t="shared" si="7"/>
        <v>#DIV/0!</v>
      </c>
      <c r="I69" s="208"/>
      <c r="J69" s="168"/>
      <c r="K69" s="202" t="s">
        <v>198</v>
      </c>
      <c r="L69" s="209"/>
      <c r="M69" s="173"/>
      <c r="N69" s="173"/>
      <c r="O69" s="173"/>
      <c r="P69" s="173"/>
      <c r="Q69" s="173"/>
      <c r="R69" s="173"/>
      <c r="S69" s="173"/>
      <c r="T69" s="173"/>
      <c r="U69" s="173"/>
      <c r="V69" s="173"/>
    </row>
    <row r="70" ht="15.75" customHeight="1">
      <c r="A70" s="202" t="s">
        <v>199</v>
      </c>
      <c r="B70" s="223"/>
      <c r="C70" s="181" t="str">
        <f t="shared" si="1"/>
        <v>#DIV/0!</v>
      </c>
      <c r="D70" s="224"/>
      <c r="E70" s="168"/>
      <c r="F70" s="202" t="s">
        <v>199</v>
      </c>
      <c r="G70" s="210"/>
      <c r="H70" s="181" t="str">
        <f t="shared" si="7"/>
        <v>#DIV/0!</v>
      </c>
      <c r="I70" s="208"/>
      <c r="J70" s="168"/>
      <c r="K70" s="202" t="s">
        <v>199</v>
      </c>
      <c r="L70" s="209"/>
      <c r="M70" s="173"/>
      <c r="N70" s="173"/>
      <c r="O70" s="173"/>
      <c r="P70" s="173"/>
      <c r="Q70" s="173"/>
      <c r="R70" s="173"/>
      <c r="S70" s="173"/>
      <c r="T70" s="173"/>
      <c r="U70" s="173"/>
      <c r="V70" s="173"/>
    </row>
    <row r="71" ht="15.75" customHeight="1">
      <c r="A71" s="202" t="s">
        <v>200</v>
      </c>
      <c r="B71" s="223"/>
      <c r="C71" s="181" t="str">
        <f t="shared" si="1"/>
        <v>#DIV/0!</v>
      </c>
      <c r="D71" s="224"/>
      <c r="E71" s="168"/>
      <c r="F71" s="202" t="s">
        <v>200</v>
      </c>
      <c r="G71" s="210"/>
      <c r="H71" s="181" t="str">
        <f t="shared" si="7"/>
        <v>#DIV/0!</v>
      </c>
      <c r="I71" s="208"/>
      <c r="J71" s="168"/>
      <c r="K71" s="202" t="s">
        <v>200</v>
      </c>
      <c r="L71" s="209"/>
      <c r="M71" s="173"/>
      <c r="N71" s="173"/>
      <c r="O71" s="173"/>
      <c r="P71" s="173"/>
      <c r="Q71" s="173"/>
      <c r="R71" s="173"/>
      <c r="S71" s="173"/>
      <c r="T71" s="173"/>
      <c r="U71" s="173"/>
      <c r="V71" s="173"/>
    </row>
    <row r="72" ht="15.75" customHeight="1">
      <c r="A72" s="202" t="s">
        <v>201</v>
      </c>
      <c r="B72" s="223"/>
      <c r="C72" s="181" t="str">
        <f t="shared" si="1"/>
        <v>#DIV/0!</v>
      </c>
      <c r="D72" s="224"/>
      <c r="E72" s="168"/>
      <c r="F72" s="202" t="s">
        <v>201</v>
      </c>
      <c r="G72" s="210"/>
      <c r="H72" s="181" t="str">
        <f t="shared" si="7"/>
        <v>#DIV/0!</v>
      </c>
      <c r="I72" s="208"/>
      <c r="J72" s="168"/>
      <c r="K72" s="202" t="s">
        <v>201</v>
      </c>
      <c r="L72" s="209"/>
      <c r="M72" s="173"/>
      <c r="N72" s="173"/>
      <c r="O72" s="173"/>
      <c r="P72" s="173"/>
      <c r="Q72" s="173"/>
      <c r="R72" s="173"/>
      <c r="S72" s="173"/>
      <c r="T72" s="173"/>
      <c r="U72" s="173"/>
      <c r="V72" s="173"/>
    </row>
    <row r="73" ht="15.75" customHeight="1">
      <c r="A73" s="202" t="s">
        <v>202</v>
      </c>
      <c r="B73" s="223"/>
      <c r="C73" s="181" t="str">
        <f t="shared" si="1"/>
        <v>#DIV/0!</v>
      </c>
      <c r="D73" s="224"/>
      <c r="E73" s="168"/>
      <c r="F73" s="202" t="s">
        <v>202</v>
      </c>
      <c r="G73" s="210"/>
      <c r="H73" s="181" t="str">
        <f t="shared" si="7"/>
        <v>#DIV/0!</v>
      </c>
      <c r="I73" s="208"/>
      <c r="J73" s="168"/>
      <c r="K73" s="202" t="s">
        <v>202</v>
      </c>
      <c r="L73" s="209"/>
      <c r="M73" s="173"/>
      <c r="N73" s="173"/>
      <c r="O73" s="173"/>
      <c r="P73" s="173"/>
      <c r="Q73" s="173"/>
      <c r="R73" s="173"/>
      <c r="S73" s="173"/>
      <c r="T73" s="173"/>
      <c r="U73" s="173"/>
      <c r="V73" s="173"/>
    </row>
    <row r="74" ht="15.75" customHeight="1">
      <c r="A74" s="202" t="s">
        <v>203</v>
      </c>
      <c r="B74" s="223"/>
      <c r="C74" s="181" t="str">
        <f t="shared" si="1"/>
        <v>#DIV/0!</v>
      </c>
      <c r="D74" s="224"/>
      <c r="E74" s="168"/>
      <c r="F74" s="202" t="s">
        <v>203</v>
      </c>
      <c r="G74" s="210"/>
      <c r="H74" s="181" t="str">
        <f t="shared" si="7"/>
        <v>#DIV/0!</v>
      </c>
      <c r="I74" s="208"/>
      <c r="J74" s="168"/>
      <c r="K74" s="202" t="s">
        <v>203</v>
      </c>
      <c r="L74" s="209"/>
      <c r="M74" s="173"/>
      <c r="N74" s="173"/>
      <c r="O74" s="173"/>
      <c r="P74" s="173"/>
      <c r="Q74" s="173"/>
      <c r="R74" s="173"/>
      <c r="S74" s="173"/>
      <c r="T74" s="173"/>
      <c r="U74" s="173"/>
      <c r="V74" s="173"/>
    </row>
    <row r="75" ht="15.75" customHeight="1">
      <c r="A75" s="202" t="s">
        <v>204</v>
      </c>
      <c r="B75" s="223"/>
      <c r="C75" s="181" t="str">
        <f t="shared" si="1"/>
        <v>#DIV/0!</v>
      </c>
      <c r="D75" s="224"/>
      <c r="E75" s="168"/>
      <c r="F75" s="202" t="s">
        <v>204</v>
      </c>
      <c r="G75" s="210"/>
      <c r="H75" s="181" t="str">
        <f t="shared" si="7"/>
        <v>#DIV/0!</v>
      </c>
      <c r="I75" s="208"/>
      <c r="J75" s="168"/>
      <c r="K75" s="202" t="s">
        <v>204</v>
      </c>
      <c r="L75" s="209"/>
      <c r="M75" s="173"/>
      <c r="N75" s="173"/>
      <c r="O75" s="173"/>
      <c r="P75" s="173"/>
      <c r="Q75" s="173"/>
      <c r="R75" s="173"/>
      <c r="S75" s="173"/>
      <c r="T75" s="173"/>
      <c r="U75" s="173"/>
      <c r="V75" s="173"/>
    </row>
    <row r="76" ht="15.75" customHeight="1">
      <c r="A76" s="202" t="s">
        <v>205</v>
      </c>
      <c r="B76" s="223"/>
      <c r="C76" s="181" t="str">
        <f t="shared" si="1"/>
        <v>#DIV/0!</v>
      </c>
      <c r="D76" s="224"/>
      <c r="E76" s="168"/>
      <c r="F76" s="202" t="s">
        <v>205</v>
      </c>
      <c r="G76" s="210"/>
      <c r="H76" s="181" t="str">
        <f t="shared" si="7"/>
        <v>#DIV/0!</v>
      </c>
      <c r="I76" s="208"/>
      <c r="J76" s="168"/>
      <c r="K76" s="202" t="s">
        <v>205</v>
      </c>
      <c r="L76" s="209"/>
      <c r="M76" s="173"/>
      <c r="N76" s="173"/>
      <c r="O76" s="173"/>
      <c r="P76" s="173"/>
      <c r="Q76" s="173"/>
      <c r="R76" s="173"/>
      <c r="S76" s="173"/>
      <c r="T76" s="173"/>
      <c r="U76" s="173"/>
      <c r="V76" s="173"/>
    </row>
    <row r="77" ht="15.75" customHeight="1">
      <c r="A77" s="202" t="s">
        <v>206</v>
      </c>
      <c r="B77" s="223"/>
      <c r="C77" s="181" t="str">
        <f t="shared" si="1"/>
        <v>#DIV/0!</v>
      </c>
      <c r="D77" s="224"/>
      <c r="E77" s="168"/>
      <c r="F77" s="202" t="s">
        <v>206</v>
      </c>
      <c r="G77" s="210"/>
      <c r="H77" s="181" t="str">
        <f t="shared" si="7"/>
        <v>#DIV/0!</v>
      </c>
      <c r="I77" s="208"/>
      <c r="J77" s="168"/>
      <c r="K77" s="202" t="s">
        <v>206</v>
      </c>
      <c r="L77" s="209"/>
      <c r="M77" s="173"/>
      <c r="N77" s="173"/>
      <c r="O77" s="173"/>
      <c r="P77" s="173"/>
      <c r="Q77" s="173"/>
      <c r="R77" s="173"/>
      <c r="S77" s="173"/>
      <c r="T77" s="173"/>
      <c r="U77" s="173"/>
      <c r="V77" s="173"/>
    </row>
    <row r="78" ht="15.75" customHeight="1">
      <c r="A78" s="202" t="s">
        <v>207</v>
      </c>
      <c r="B78" s="223"/>
      <c r="C78" s="181" t="str">
        <f t="shared" si="1"/>
        <v>#DIV/0!</v>
      </c>
      <c r="D78" s="224"/>
      <c r="E78" s="168"/>
      <c r="F78" s="202" t="s">
        <v>207</v>
      </c>
      <c r="G78" s="207"/>
      <c r="H78" s="181" t="str">
        <f t="shared" si="7"/>
        <v>#DIV/0!</v>
      </c>
      <c r="I78" s="208"/>
      <c r="J78" s="168"/>
      <c r="K78" s="202" t="s">
        <v>207</v>
      </c>
      <c r="L78" s="209"/>
      <c r="M78" s="173"/>
      <c r="N78" s="173"/>
      <c r="O78" s="173"/>
      <c r="P78" s="173"/>
      <c r="Q78" s="173"/>
      <c r="R78" s="173"/>
      <c r="S78" s="173"/>
      <c r="T78" s="173"/>
      <c r="U78" s="173"/>
      <c r="V78" s="173"/>
    </row>
    <row r="79" ht="15.75" customHeight="1">
      <c r="A79" s="202" t="s">
        <v>208</v>
      </c>
      <c r="B79" s="223"/>
      <c r="C79" s="181" t="str">
        <f t="shared" si="1"/>
        <v>#DIV/0!</v>
      </c>
      <c r="D79" s="224"/>
      <c r="E79" s="168"/>
      <c r="F79" s="202" t="s">
        <v>208</v>
      </c>
      <c r="G79" s="207"/>
      <c r="H79" s="181" t="str">
        <f t="shared" si="7"/>
        <v>#DIV/0!</v>
      </c>
      <c r="I79" s="208"/>
      <c r="J79" s="168"/>
      <c r="K79" s="202" t="s">
        <v>208</v>
      </c>
      <c r="L79" s="209"/>
      <c r="M79" s="173"/>
      <c r="N79" s="173"/>
      <c r="O79" s="173"/>
      <c r="P79" s="173"/>
      <c r="Q79" s="173"/>
      <c r="R79" s="173"/>
      <c r="S79" s="173"/>
      <c r="T79" s="173"/>
      <c r="U79" s="173"/>
      <c r="V79" s="173"/>
    </row>
    <row r="80" ht="15.75" customHeight="1">
      <c r="A80" s="202" t="s">
        <v>209</v>
      </c>
      <c r="B80" s="223"/>
      <c r="C80" s="181" t="str">
        <f t="shared" si="1"/>
        <v>#DIV/0!</v>
      </c>
      <c r="D80" s="224"/>
      <c r="E80" s="168"/>
      <c r="F80" s="202" t="s">
        <v>209</v>
      </c>
      <c r="G80" s="207"/>
      <c r="H80" s="181" t="str">
        <f t="shared" si="7"/>
        <v>#DIV/0!</v>
      </c>
      <c r="I80" s="208"/>
      <c r="J80" s="168"/>
      <c r="K80" s="202" t="s">
        <v>209</v>
      </c>
      <c r="L80" s="209"/>
      <c r="M80" s="173"/>
      <c r="N80" s="173"/>
      <c r="O80" s="173"/>
      <c r="P80" s="173"/>
      <c r="Q80" s="173"/>
      <c r="R80" s="173"/>
      <c r="S80" s="173"/>
      <c r="T80" s="173"/>
      <c r="U80" s="173"/>
      <c r="V80" s="173"/>
    </row>
    <row r="81" ht="15.75" customHeight="1">
      <c r="A81" s="202" t="s">
        <v>210</v>
      </c>
      <c r="B81" s="223"/>
      <c r="C81" s="181" t="str">
        <f t="shared" si="1"/>
        <v>#DIV/0!</v>
      </c>
      <c r="D81" s="224"/>
      <c r="E81" s="168"/>
      <c r="F81" s="202" t="s">
        <v>210</v>
      </c>
      <c r="G81" s="207"/>
      <c r="H81" s="181" t="str">
        <f t="shared" si="7"/>
        <v>#DIV/0!</v>
      </c>
      <c r="I81" s="208"/>
      <c r="J81" s="168"/>
      <c r="K81" s="202" t="s">
        <v>210</v>
      </c>
      <c r="L81" s="209"/>
      <c r="M81" s="173"/>
      <c r="N81" s="173"/>
      <c r="O81" s="173"/>
      <c r="P81" s="173"/>
      <c r="Q81" s="173"/>
      <c r="R81" s="173"/>
      <c r="S81" s="173"/>
      <c r="T81" s="173"/>
      <c r="U81" s="173"/>
      <c r="V81" s="173"/>
    </row>
    <row r="82" ht="15.75" customHeight="1">
      <c r="A82" s="168"/>
      <c r="B82" s="184"/>
      <c r="C82" s="192"/>
      <c r="D82" s="192"/>
      <c r="E82" s="168"/>
      <c r="F82" s="171"/>
      <c r="G82" s="193"/>
      <c r="H82" s="193"/>
      <c r="I82" s="193"/>
      <c r="J82" s="171"/>
      <c r="K82" s="171"/>
      <c r="L82" s="171"/>
      <c r="M82" s="173"/>
      <c r="N82" s="173"/>
      <c r="O82" s="173"/>
      <c r="P82" s="173"/>
      <c r="Q82" s="173"/>
      <c r="R82" s="173"/>
      <c r="S82" s="173"/>
      <c r="T82" s="173"/>
      <c r="U82" s="173"/>
      <c r="V82" s="173"/>
    </row>
    <row r="83" ht="15.75" customHeight="1">
      <c r="A83" s="168"/>
      <c r="B83" s="184"/>
      <c r="C83" s="192"/>
      <c r="D83" s="192"/>
      <c r="E83" s="168"/>
      <c r="F83" s="171"/>
      <c r="G83" s="193"/>
      <c r="H83" s="193"/>
      <c r="I83" s="193"/>
      <c r="J83" s="171"/>
      <c r="K83" s="171"/>
      <c r="L83" s="171"/>
      <c r="M83" s="173"/>
      <c r="N83" s="173"/>
      <c r="O83" s="173"/>
      <c r="P83" s="173"/>
      <c r="Q83" s="173"/>
      <c r="R83" s="173"/>
      <c r="S83" s="173"/>
      <c r="T83" s="173"/>
      <c r="U83" s="173"/>
      <c r="V83" s="173"/>
    </row>
    <row r="84" ht="15.75" customHeight="1">
      <c r="A84" s="171"/>
      <c r="B84" s="182"/>
      <c r="C84" s="193"/>
      <c r="D84" s="193"/>
      <c r="E84" s="168"/>
      <c r="F84" s="171"/>
      <c r="G84" s="193"/>
      <c r="H84" s="171"/>
      <c r="I84" s="171"/>
      <c r="J84" s="171"/>
      <c r="K84" s="171"/>
      <c r="L84" s="171"/>
      <c r="M84" s="173"/>
      <c r="N84" s="173"/>
      <c r="O84" s="173"/>
      <c r="P84" s="173"/>
      <c r="Q84" s="173"/>
      <c r="R84" s="173"/>
      <c r="S84" s="173"/>
      <c r="T84" s="173"/>
      <c r="U84" s="173"/>
      <c r="V84" s="173"/>
    </row>
    <row r="85" ht="15.75" customHeight="1">
      <c r="A85" s="171"/>
      <c r="B85" s="182"/>
      <c r="C85" s="193"/>
      <c r="D85" s="193"/>
      <c r="E85" s="168"/>
      <c r="F85" s="171"/>
      <c r="G85" s="193"/>
      <c r="H85" s="171"/>
      <c r="I85" s="171"/>
      <c r="J85" s="171"/>
      <c r="K85" s="171"/>
      <c r="L85" s="171"/>
      <c r="M85" s="173"/>
      <c r="N85" s="173"/>
      <c r="O85" s="173"/>
      <c r="P85" s="173"/>
      <c r="Q85" s="173"/>
      <c r="R85" s="173"/>
      <c r="S85" s="173"/>
      <c r="T85" s="173"/>
      <c r="U85" s="173"/>
      <c r="V85" s="173"/>
    </row>
    <row r="86" ht="15.75" customHeight="1">
      <c r="A86" s="171"/>
      <c r="B86" s="182"/>
      <c r="C86" s="193"/>
      <c r="D86" s="193"/>
      <c r="E86" s="168"/>
      <c r="F86" s="171"/>
      <c r="G86" s="193"/>
      <c r="H86" s="171"/>
      <c r="I86" s="171"/>
      <c r="J86" s="171"/>
      <c r="K86" s="171"/>
      <c r="L86" s="194"/>
      <c r="M86" s="173"/>
      <c r="N86" s="173"/>
      <c r="O86" s="173"/>
      <c r="P86" s="173"/>
      <c r="Q86" s="173"/>
      <c r="R86" s="173"/>
      <c r="S86" s="173"/>
      <c r="T86" s="173"/>
      <c r="U86" s="173"/>
      <c r="V86" s="173"/>
    </row>
    <row r="87" ht="15.75" customHeight="1">
      <c r="A87" s="171"/>
      <c r="B87" s="182"/>
      <c r="C87" s="193"/>
      <c r="D87" s="193"/>
      <c r="E87" s="168"/>
      <c r="F87" s="171"/>
      <c r="G87" s="193"/>
      <c r="H87" s="171"/>
      <c r="I87" s="171"/>
      <c r="J87" s="171"/>
      <c r="K87" s="171"/>
      <c r="L87" s="194"/>
      <c r="M87" s="173"/>
      <c r="N87" s="173"/>
      <c r="O87" s="173"/>
      <c r="P87" s="173"/>
      <c r="Q87" s="173"/>
      <c r="R87" s="173"/>
      <c r="S87" s="173"/>
      <c r="T87" s="173"/>
      <c r="U87" s="173"/>
      <c r="V87" s="173"/>
    </row>
    <row r="88" ht="15.75" customHeight="1">
      <c r="A88" s="171"/>
      <c r="B88" s="182"/>
      <c r="C88" s="193"/>
      <c r="D88" s="193"/>
      <c r="E88" s="168"/>
      <c r="F88" s="171"/>
      <c r="G88" s="193"/>
      <c r="H88" s="171"/>
      <c r="I88" s="171"/>
      <c r="J88" s="171"/>
      <c r="K88" s="171"/>
      <c r="L88" s="194"/>
      <c r="M88" s="173"/>
      <c r="N88" s="173"/>
      <c r="O88" s="173"/>
      <c r="P88" s="173"/>
      <c r="Q88" s="173"/>
      <c r="R88" s="173"/>
      <c r="S88" s="173"/>
      <c r="T88" s="173"/>
      <c r="U88" s="173"/>
      <c r="V88" s="173"/>
    </row>
    <row r="89" ht="15.75" customHeight="1">
      <c r="A89" s="171"/>
      <c r="B89" s="182"/>
      <c r="C89" s="193"/>
      <c r="D89" s="193"/>
      <c r="E89" s="168"/>
      <c r="F89" s="171"/>
      <c r="G89" s="193"/>
      <c r="H89" s="171"/>
      <c r="I89" s="171"/>
      <c r="J89" s="171"/>
      <c r="K89" s="171"/>
      <c r="L89" s="194"/>
      <c r="M89" s="173"/>
      <c r="N89" s="173"/>
      <c r="O89" s="173"/>
      <c r="P89" s="173"/>
      <c r="Q89" s="173"/>
      <c r="R89" s="173"/>
      <c r="S89" s="173"/>
      <c r="T89" s="173"/>
      <c r="U89" s="173"/>
      <c r="V89" s="173"/>
    </row>
    <row r="90" ht="15.75" customHeight="1">
      <c r="A90" s="171"/>
      <c r="B90" s="182"/>
      <c r="C90" s="193"/>
      <c r="D90" s="193"/>
      <c r="E90" s="168"/>
      <c r="F90" s="171"/>
      <c r="G90" s="193"/>
      <c r="H90" s="171"/>
      <c r="I90" s="171"/>
      <c r="J90" s="171"/>
      <c r="K90" s="171"/>
      <c r="L90" s="194"/>
      <c r="M90" s="173"/>
      <c r="N90" s="173"/>
      <c r="O90" s="173"/>
      <c r="P90" s="173"/>
      <c r="Q90" s="173"/>
      <c r="R90" s="173"/>
      <c r="S90" s="173"/>
      <c r="T90" s="173"/>
      <c r="U90" s="173"/>
      <c r="V90" s="173"/>
    </row>
    <row r="91" ht="15.75" customHeight="1">
      <c r="A91" s="171"/>
      <c r="B91" s="182"/>
      <c r="C91" s="193"/>
      <c r="D91" s="193"/>
      <c r="E91" s="168"/>
      <c r="F91" s="171"/>
      <c r="G91" s="193"/>
      <c r="H91" s="171"/>
      <c r="I91" s="171"/>
      <c r="J91" s="171"/>
      <c r="K91" s="171"/>
      <c r="L91" s="194"/>
      <c r="M91" s="173"/>
      <c r="N91" s="173"/>
      <c r="O91" s="173"/>
      <c r="P91" s="173"/>
      <c r="Q91" s="173"/>
      <c r="R91" s="173"/>
      <c r="S91" s="173"/>
      <c r="T91" s="173"/>
      <c r="U91" s="173"/>
      <c r="V91" s="173"/>
    </row>
    <row r="92" ht="15.75" customHeight="1">
      <c r="A92" s="171"/>
      <c r="B92" s="182"/>
      <c r="C92" s="193"/>
      <c r="D92" s="193"/>
      <c r="E92" s="168"/>
      <c r="F92" s="171"/>
      <c r="G92" s="193"/>
      <c r="H92" s="171"/>
      <c r="I92" s="171"/>
      <c r="J92" s="171"/>
      <c r="K92" s="171"/>
      <c r="L92" s="195"/>
      <c r="M92" s="173"/>
      <c r="N92" s="173"/>
      <c r="O92" s="173"/>
      <c r="P92" s="173"/>
      <c r="Q92" s="173"/>
      <c r="R92" s="173"/>
      <c r="S92" s="173"/>
      <c r="T92" s="173"/>
      <c r="U92" s="173"/>
      <c r="V92" s="173"/>
    </row>
    <row r="93" ht="15.75" customHeight="1">
      <c r="A93" s="171"/>
      <c r="B93" s="182"/>
      <c r="C93" s="193"/>
      <c r="D93" s="193"/>
      <c r="E93" s="168"/>
      <c r="F93" s="171"/>
      <c r="G93" s="193"/>
      <c r="H93" s="171"/>
      <c r="I93" s="171"/>
      <c r="J93" s="171"/>
      <c r="K93" s="171"/>
      <c r="L93" s="195"/>
      <c r="M93" s="173"/>
      <c r="N93" s="173"/>
      <c r="O93" s="173"/>
      <c r="P93" s="173"/>
      <c r="Q93" s="173"/>
      <c r="R93" s="173"/>
      <c r="S93" s="173"/>
      <c r="T93" s="173"/>
      <c r="U93" s="173"/>
      <c r="V93" s="173"/>
    </row>
    <row r="94" ht="15.75" customHeight="1">
      <c r="A94" s="171"/>
      <c r="B94" s="182"/>
      <c r="C94" s="193"/>
      <c r="D94" s="193"/>
      <c r="E94" s="168"/>
      <c r="F94" s="171"/>
      <c r="G94" s="193"/>
      <c r="H94" s="171"/>
      <c r="I94" s="171"/>
      <c r="J94" s="171"/>
      <c r="K94" s="171"/>
      <c r="L94" s="195"/>
      <c r="M94" s="173"/>
      <c r="N94" s="173"/>
      <c r="O94" s="173"/>
      <c r="P94" s="173"/>
      <c r="Q94" s="173"/>
      <c r="R94" s="173"/>
      <c r="S94" s="173"/>
      <c r="T94" s="173"/>
      <c r="U94" s="173"/>
      <c r="V94" s="173"/>
    </row>
    <row r="95" ht="15.75" customHeight="1">
      <c r="A95" s="171"/>
      <c r="B95" s="182"/>
      <c r="C95" s="193"/>
      <c r="D95" s="193"/>
      <c r="E95" s="168"/>
      <c r="F95" s="171"/>
      <c r="G95" s="193"/>
      <c r="H95" s="171"/>
      <c r="I95" s="171"/>
      <c r="J95" s="171"/>
      <c r="K95" s="171"/>
      <c r="L95" s="195"/>
      <c r="M95" s="173"/>
      <c r="N95" s="173"/>
      <c r="O95" s="173"/>
      <c r="P95" s="173"/>
      <c r="Q95" s="173"/>
      <c r="R95" s="173"/>
      <c r="S95" s="173"/>
      <c r="T95" s="173"/>
      <c r="U95" s="173"/>
      <c r="V95" s="173"/>
    </row>
    <row r="96" ht="15.75" customHeight="1">
      <c r="A96" s="171"/>
      <c r="B96" s="182"/>
      <c r="C96" s="193"/>
      <c r="D96" s="193"/>
      <c r="E96" s="168"/>
      <c r="F96" s="171"/>
      <c r="G96" s="193"/>
      <c r="H96" s="171"/>
      <c r="I96" s="171"/>
      <c r="J96" s="171"/>
      <c r="K96" s="171"/>
      <c r="L96" s="194"/>
      <c r="M96" s="173"/>
      <c r="N96" s="173"/>
      <c r="O96" s="173"/>
      <c r="P96" s="173"/>
      <c r="Q96" s="173"/>
      <c r="R96" s="173"/>
      <c r="S96" s="173"/>
      <c r="T96" s="173"/>
      <c r="U96" s="173"/>
      <c r="V96" s="173"/>
    </row>
    <row r="97" ht="15.75" customHeight="1">
      <c r="A97" s="171"/>
      <c r="B97" s="182"/>
      <c r="C97" s="193"/>
      <c r="D97" s="193"/>
      <c r="E97" s="168"/>
      <c r="F97" s="171"/>
      <c r="G97" s="193"/>
      <c r="H97" s="171"/>
      <c r="I97" s="171"/>
      <c r="J97" s="171"/>
      <c r="K97" s="171"/>
      <c r="L97" s="194"/>
      <c r="M97" s="173"/>
      <c r="N97" s="173"/>
      <c r="O97" s="173"/>
      <c r="P97" s="173"/>
      <c r="Q97" s="173"/>
      <c r="R97" s="173"/>
      <c r="S97" s="173"/>
      <c r="T97" s="173"/>
      <c r="U97" s="173"/>
      <c r="V97" s="173"/>
    </row>
    <row r="98" ht="15.75" customHeight="1">
      <c r="A98" s="171"/>
      <c r="B98" s="182"/>
      <c r="C98" s="193"/>
      <c r="D98" s="193"/>
      <c r="E98" s="168"/>
      <c r="F98" s="171"/>
      <c r="G98" s="193"/>
      <c r="H98" s="171"/>
      <c r="I98" s="171"/>
      <c r="J98" s="171"/>
      <c r="K98" s="171"/>
      <c r="L98" s="195"/>
      <c r="M98" s="173"/>
      <c r="N98" s="173"/>
      <c r="O98" s="173"/>
      <c r="P98" s="173"/>
      <c r="Q98" s="173"/>
      <c r="R98" s="173"/>
      <c r="S98" s="173"/>
      <c r="T98" s="173"/>
      <c r="U98" s="173"/>
      <c r="V98" s="173"/>
    </row>
    <row r="99" ht="15.75" customHeight="1">
      <c r="A99" s="171"/>
      <c r="B99" s="182"/>
      <c r="C99" s="193"/>
      <c r="D99" s="193"/>
      <c r="E99" s="168"/>
      <c r="F99" s="171"/>
      <c r="G99" s="193"/>
      <c r="H99" s="171"/>
      <c r="I99" s="171"/>
      <c r="J99" s="171"/>
      <c r="K99" s="171"/>
      <c r="L99" s="194"/>
      <c r="M99" s="173"/>
      <c r="N99" s="173"/>
      <c r="O99" s="173"/>
      <c r="P99" s="173"/>
      <c r="Q99" s="173"/>
      <c r="R99" s="173"/>
      <c r="S99" s="173"/>
      <c r="T99" s="173"/>
      <c r="U99" s="173"/>
      <c r="V99" s="173"/>
    </row>
    <row r="100" ht="15.75" customHeight="1">
      <c r="A100" s="171"/>
      <c r="B100" s="182"/>
      <c r="C100" s="193"/>
      <c r="D100" s="193"/>
      <c r="E100" s="168"/>
      <c r="F100" s="171"/>
      <c r="G100" s="193"/>
      <c r="H100" s="171"/>
      <c r="I100" s="171"/>
      <c r="J100" s="171"/>
      <c r="K100" s="171"/>
      <c r="L100" s="195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</row>
    <row r="101" ht="15.75" customHeight="1">
      <c r="A101" s="173"/>
      <c r="B101" s="225"/>
      <c r="C101" s="196"/>
      <c r="D101" s="196"/>
      <c r="E101" s="173"/>
      <c r="F101" s="173"/>
      <c r="G101" s="197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</row>
    <row r="102" ht="15.75" customHeight="1">
      <c r="A102" s="173"/>
      <c r="B102" s="225"/>
      <c r="C102" s="196"/>
      <c r="D102" s="196"/>
      <c r="E102" s="173"/>
      <c r="F102" s="173"/>
      <c r="G102" s="197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</row>
    <row r="103" ht="15.75" customHeight="1">
      <c r="A103" s="173"/>
      <c r="B103" s="225"/>
      <c r="C103" s="196"/>
      <c r="D103" s="196"/>
      <c r="E103" s="173"/>
      <c r="F103" s="173"/>
      <c r="G103" s="197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</row>
    <row r="104" ht="15.75" customHeight="1">
      <c r="A104" s="173"/>
      <c r="B104" s="225"/>
      <c r="C104" s="196"/>
      <c r="D104" s="196"/>
      <c r="E104" s="173"/>
      <c r="F104" s="173"/>
      <c r="G104" s="197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</row>
    <row r="105" ht="15.75" customHeight="1">
      <c r="A105" s="173"/>
      <c r="B105" s="225"/>
      <c r="C105" s="196"/>
      <c r="D105" s="196"/>
      <c r="E105" s="173"/>
      <c r="F105" s="173"/>
      <c r="G105" s="197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</row>
    <row r="106" ht="15.75" customHeight="1">
      <c r="A106" s="173"/>
      <c r="B106" s="225"/>
      <c r="C106" s="196"/>
      <c r="D106" s="196"/>
      <c r="E106" s="173"/>
      <c r="F106" s="173"/>
      <c r="G106" s="197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</row>
    <row r="107" ht="15.75" customHeight="1">
      <c r="A107" s="173"/>
      <c r="B107" s="225"/>
      <c r="C107" s="196"/>
      <c r="D107" s="196"/>
      <c r="E107" s="173"/>
      <c r="F107" s="173"/>
      <c r="G107" s="197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</row>
    <row r="108" ht="15.75" customHeight="1">
      <c r="A108" s="173"/>
      <c r="B108" s="225"/>
      <c r="C108" s="196"/>
      <c r="D108" s="196"/>
      <c r="E108" s="173"/>
      <c r="F108" s="173"/>
      <c r="G108" s="197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</row>
    <row r="109" ht="15.75" customHeight="1">
      <c r="A109" s="173"/>
      <c r="B109" s="225"/>
      <c r="C109" s="196"/>
      <c r="D109" s="196"/>
      <c r="E109" s="173"/>
      <c r="F109" s="173"/>
      <c r="G109" s="197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</row>
    <row r="110" ht="15.75" customHeight="1">
      <c r="A110" s="173"/>
      <c r="B110" s="225"/>
      <c r="C110" s="196"/>
      <c r="D110" s="196"/>
      <c r="E110" s="173"/>
      <c r="F110" s="173"/>
      <c r="G110" s="197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</row>
    <row r="111" ht="15.75" customHeight="1">
      <c r="A111" s="173"/>
      <c r="B111" s="225"/>
      <c r="C111" s="196"/>
      <c r="D111" s="196"/>
      <c r="E111" s="173"/>
      <c r="F111" s="173"/>
      <c r="G111" s="197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</row>
    <row r="112" ht="15.75" customHeight="1">
      <c r="A112" s="173"/>
      <c r="B112" s="225"/>
      <c r="C112" s="196"/>
      <c r="D112" s="196"/>
      <c r="E112" s="173"/>
      <c r="F112" s="173"/>
      <c r="G112" s="197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</row>
    <row r="113" ht="15.75" customHeight="1">
      <c r="A113" s="173"/>
      <c r="B113" s="225"/>
      <c r="C113" s="196"/>
      <c r="D113" s="196"/>
      <c r="E113" s="173"/>
      <c r="F113" s="173"/>
      <c r="G113" s="197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</row>
    <row r="114" ht="15.75" customHeight="1">
      <c r="A114" s="173"/>
      <c r="B114" s="225"/>
      <c r="C114" s="196"/>
      <c r="D114" s="196"/>
      <c r="E114" s="173"/>
      <c r="F114" s="173"/>
      <c r="G114" s="197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</row>
    <row r="115" ht="15.75" customHeight="1">
      <c r="A115" s="173"/>
      <c r="B115" s="225"/>
      <c r="C115" s="196"/>
      <c r="D115" s="196"/>
      <c r="E115" s="173"/>
      <c r="F115" s="173"/>
      <c r="G115" s="197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</row>
    <row r="116" ht="15.75" customHeight="1">
      <c r="A116" s="173"/>
      <c r="B116" s="225"/>
      <c r="C116" s="196"/>
      <c r="D116" s="196"/>
      <c r="E116" s="173"/>
      <c r="F116" s="173"/>
      <c r="G116" s="197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</row>
    <row r="117" ht="15.75" customHeight="1">
      <c r="A117" s="173"/>
      <c r="B117" s="225"/>
      <c r="C117" s="196"/>
      <c r="D117" s="196"/>
      <c r="E117" s="173"/>
      <c r="F117" s="173"/>
      <c r="G117" s="197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</row>
    <row r="118" ht="15.75" customHeight="1">
      <c r="A118" s="173"/>
      <c r="B118" s="225"/>
      <c r="C118" s="196"/>
      <c r="D118" s="196"/>
      <c r="E118" s="173"/>
      <c r="F118" s="173"/>
      <c r="G118" s="197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</row>
    <row r="119" ht="15.75" customHeight="1">
      <c r="A119" s="173"/>
      <c r="B119" s="225"/>
      <c r="C119" s="196"/>
      <c r="D119" s="196"/>
      <c r="E119" s="173"/>
      <c r="F119" s="173"/>
      <c r="G119" s="197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</row>
    <row r="120" ht="15.75" customHeight="1">
      <c r="A120" s="173"/>
      <c r="B120" s="225"/>
      <c r="C120" s="196"/>
      <c r="D120" s="196"/>
      <c r="E120" s="173"/>
      <c r="F120" s="173"/>
      <c r="G120" s="197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</row>
    <row r="121" ht="15.75" customHeight="1">
      <c r="A121" s="173"/>
      <c r="B121" s="225"/>
      <c r="C121" s="196"/>
      <c r="D121" s="196"/>
      <c r="E121" s="173"/>
      <c r="F121" s="173"/>
      <c r="G121" s="197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</row>
    <row r="122" ht="15.75" customHeight="1">
      <c r="A122" s="173"/>
      <c r="B122" s="225"/>
      <c r="C122" s="196"/>
      <c r="D122" s="196"/>
      <c r="E122" s="173"/>
      <c r="F122" s="173"/>
      <c r="G122" s="197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</row>
    <row r="123" ht="15.75" customHeight="1">
      <c r="A123" s="173"/>
      <c r="B123" s="225"/>
      <c r="C123" s="196"/>
      <c r="D123" s="196"/>
      <c r="E123" s="173"/>
      <c r="F123" s="173"/>
      <c r="G123" s="197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</row>
    <row r="124" ht="15.75" customHeight="1">
      <c r="A124" s="173"/>
      <c r="B124" s="225"/>
      <c r="C124" s="196"/>
      <c r="D124" s="196"/>
      <c r="E124" s="173"/>
      <c r="F124" s="173"/>
      <c r="G124" s="197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</row>
    <row r="125" ht="15.75" customHeight="1">
      <c r="A125" s="173"/>
      <c r="B125" s="225"/>
      <c r="C125" s="196"/>
      <c r="D125" s="196"/>
      <c r="E125" s="173"/>
      <c r="F125" s="173"/>
      <c r="G125" s="197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</row>
    <row r="126" ht="15.75" customHeight="1">
      <c r="A126" s="173"/>
      <c r="B126" s="225"/>
      <c r="C126" s="196"/>
      <c r="D126" s="196"/>
      <c r="E126" s="173"/>
      <c r="F126" s="173"/>
      <c r="G126" s="197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</row>
    <row r="127" ht="15.75" customHeight="1">
      <c r="A127" s="173"/>
      <c r="B127" s="225"/>
      <c r="C127" s="196"/>
      <c r="D127" s="196"/>
      <c r="E127" s="173"/>
      <c r="F127" s="173"/>
      <c r="G127" s="197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</row>
    <row r="128" ht="15.75" customHeight="1">
      <c r="A128" s="173"/>
      <c r="B128" s="225"/>
      <c r="C128" s="196"/>
      <c r="D128" s="196"/>
      <c r="E128" s="173"/>
      <c r="F128" s="173"/>
      <c r="G128" s="197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</row>
    <row r="129" ht="15.75" customHeight="1">
      <c r="A129" s="173"/>
      <c r="B129" s="225"/>
      <c r="C129" s="196"/>
      <c r="D129" s="196"/>
      <c r="E129" s="173"/>
      <c r="F129" s="173"/>
      <c r="G129" s="197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</row>
    <row r="130" ht="15.75" customHeight="1">
      <c r="A130" s="173"/>
      <c r="B130" s="225"/>
      <c r="C130" s="196"/>
      <c r="D130" s="196"/>
      <c r="E130" s="173"/>
      <c r="F130" s="173"/>
      <c r="G130" s="197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</row>
    <row r="131" ht="15.75" customHeight="1">
      <c r="A131" s="173"/>
      <c r="B131" s="225"/>
      <c r="C131" s="196"/>
      <c r="D131" s="196"/>
      <c r="E131" s="173"/>
      <c r="F131" s="173"/>
      <c r="G131" s="197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</row>
    <row r="132" ht="15.75" customHeight="1">
      <c r="A132" s="173"/>
      <c r="B132" s="225"/>
      <c r="C132" s="196"/>
      <c r="D132" s="196"/>
      <c r="E132" s="173"/>
      <c r="F132" s="173"/>
      <c r="G132" s="197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</row>
    <row r="133" ht="15.75" customHeight="1">
      <c r="A133" s="173"/>
      <c r="B133" s="225"/>
      <c r="C133" s="196"/>
      <c r="D133" s="196"/>
      <c r="E133" s="173"/>
      <c r="F133" s="173"/>
      <c r="G133" s="197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</row>
    <row r="134" ht="15.75" customHeight="1">
      <c r="A134" s="173"/>
      <c r="B134" s="225"/>
      <c r="C134" s="196"/>
      <c r="D134" s="196"/>
      <c r="E134" s="173"/>
      <c r="F134" s="173"/>
      <c r="G134" s="197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</row>
    <row r="135" ht="15.75" customHeight="1">
      <c r="A135" s="173"/>
      <c r="B135" s="225"/>
      <c r="C135" s="196"/>
      <c r="D135" s="196"/>
      <c r="E135" s="173"/>
      <c r="F135" s="173"/>
      <c r="G135" s="197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</row>
    <row r="136" ht="15.75" customHeight="1">
      <c r="A136" s="173"/>
      <c r="B136" s="225"/>
      <c r="C136" s="196"/>
      <c r="D136" s="196"/>
      <c r="E136" s="173"/>
      <c r="F136" s="173"/>
      <c r="G136" s="197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</row>
    <row r="137" ht="15.75" customHeight="1">
      <c r="A137" s="173"/>
      <c r="B137" s="225"/>
      <c r="C137" s="196"/>
      <c r="D137" s="196"/>
      <c r="E137" s="173"/>
      <c r="F137" s="173"/>
      <c r="G137" s="197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</row>
    <row r="138" ht="15.75" customHeight="1">
      <c r="A138" s="173"/>
      <c r="B138" s="225"/>
      <c r="C138" s="196"/>
      <c r="D138" s="196"/>
      <c r="E138" s="173"/>
      <c r="F138" s="173"/>
      <c r="G138" s="197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</row>
    <row r="139" ht="15.75" customHeight="1">
      <c r="A139" s="173"/>
      <c r="B139" s="225"/>
      <c r="C139" s="196"/>
      <c r="D139" s="196"/>
      <c r="E139" s="173"/>
      <c r="F139" s="173"/>
      <c r="G139" s="197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</row>
    <row r="140" ht="15.75" customHeight="1">
      <c r="A140" s="173"/>
      <c r="B140" s="225"/>
      <c r="C140" s="196"/>
      <c r="D140" s="196"/>
      <c r="E140" s="173"/>
      <c r="F140" s="173"/>
      <c r="G140" s="197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</row>
    <row r="141" ht="15.75" customHeight="1">
      <c r="A141" s="173"/>
      <c r="B141" s="225"/>
      <c r="C141" s="196"/>
      <c r="D141" s="196"/>
      <c r="E141" s="173"/>
      <c r="F141" s="173"/>
      <c r="G141" s="197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</row>
    <row r="142" ht="15.75" customHeight="1">
      <c r="A142" s="173"/>
      <c r="B142" s="225"/>
      <c r="C142" s="196"/>
      <c r="D142" s="196"/>
      <c r="E142" s="173"/>
      <c r="F142" s="173"/>
      <c r="G142" s="197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</row>
    <row r="143" ht="15.75" customHeight="1">
      <c r="A143" s="173"/>
      <c r="B143" s="225"/>
      <c r="C143" s="196"/>
      <c r="D143" s="196"/>
      <c r="E143" s="173"/>
      <c r="F143" s="173"/>
      <c r="G143" s="197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</row>
    <row r="144" ht="15.75" customHeight="1">
      <c r="A144" s="173"/>
      <c r="B144" s="225"/>
      <c r="C144" s="196"/>
      <c r="D144" s="196"/>
      <c r="E144" s="173"/>
      <c r="F144" s="173"/>
      <c r="G144" s="197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</row>
    <row r="145" ht="15.75" customHeight="1">
      <c r="A145" s="173"/>
      <c r="B145" s="225"/>
      <c r="C145" s="196"/>
      <c r="D145" s="196"/>
      <c r="E145" s="173"/>
      <c r="F145" s="173"/>
      <c r="G145" s="197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</row>
    <row r="146" ht="15.75" customHeight="1">
      <c r="A146" s="173"/>
      <c r="B146" s="225"/>
      <c r="C146" s="196"/>
      <c r="D146" s="196"/>
      <c r="E146" s="173"/>
      <c r="F146" s="173"/>
      <c r="G146" s="197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</row>
    <row r="147" ht="15.75" customHeight="1">
      <c r="A147" s="173"/>
      <c r="B147" s="225"/>
      <c r="C147" s="196"/>
      <c r="D147" s="196"/>
      <c r="E147" s="173"/>
      <c r="F147" s="173"/>
      <c r="G147" s="197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</row>
    <row r="148" ht="15.75" customHeight="1">
      <c r="A148" s="173"/>
      <c r="B148" s="225"/>
      <c r="C148" s="196"/>
      <c r="D148" s="196"/>
      <c r="E148" s="173"/>
      <c r="F148" s="173"/>
      <c r="G148" s="197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</row>
    <row r="149" ht="15.75" customHeight="1">
      <c r="A149" s="173"/>
      <c r="B149" s="225"/>
      <c r="C149" s="196"/>
      <c r="D149" s="196"/>
      <c r="E149" s="173"/>
      <c r="F149" s="173"/>
      <c r="G149" s="197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</row>
    <row r="150" ht="15.75" customHeight="1">
      <c r="A150" s="173"/>
      <c r="B150" s="225"/>
      <c r="C150" s="196"/>
      <c r="D150" s="196"/>
      <c r="E150" s="173"/>
      <c r="F150" s="173"/>
      <c r="G150" s="197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</row>
    <row r="151" ht="15.75" customHeight="1">
      <c r="A151" s="173"/>
      <c r="B151" s="225"/>
      <c r="C151" s="196"/>
      <c r="D151" s="196"/>
      <c r="E151" s="173"/>
      <c r="F151" s="173"/>
      <c r="G151" s="197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</row>
    <row r="152" ht="15.75" customHeight="1">
      <c r="A152" s="173"/>
      <c r="B152" s="225"/>
      <c r="C152" s="196"/>
      <c r="D152" s="196"/>
      <c r="E152" s="173"/>
      <c r="F152" s="173"/>
      <c r="G152" s="197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</row>
    <row r="153" ht="15.75" customHeight="1">
      <c r="A153" s="173"/>
      <c r="B153" s="225"/>
      <c r="C153" s="196"/>
      <c r="D153" s="196"/>
      <c r="E153" s="173"/>
      <c r="F153" s="173"/>
      <c r="G153" s="197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</row>
    <row r="154" ht="15.75" customHeight="1">
      <c r="A154" s="173"/>
      <c r="B154" s="225"/>
      <c r="C154" s="196"/>
      <c r="D154" s="196"/>
      <c r="E154" s="173"/>
      <c r="F154" s="173"/>
      <c r="G154" s="197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</row>
    <row r="155" ht="15.75" customHeight="1">
      <c r="A155" s="173"/>
      <c r="B155" s="225"/>
      <c r="C155" s="196"/>
      <c r="D155" s="196"/>
      <c r="E155" s="173"/>
      <c r="F155" s="173"/>
      <c r="G155" s="197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</row>
    <row r="156" ht="15.75" customHeight="1">
      <c r="A156" s="173"/>
      <c r="B156" s="225"/>
      <c r="C156" s="196"/>
      <c r="D156" s="196"/>
      <c r="E156" s="173"/>
      <c r="F156" s="173"/>
      <c r="G156" s="197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</row>
    <row r="157" ht="15.75" customHeight="1">
      <c r="A157" s="173"/>
      <c r="B157" s="225"/>
      <c r="C157" s="196"/>
      <c r="D157" s="196"/>
      <c r="E157" s="173"/>
      <c r="F157" s="173"/>
      <c r="G157" s="197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</row>
    <row r="158" ht="15.75" customHeight="1">
      <c r="A158" s="173"/>
      <c r="B158" s="225"/>
      <c r="C158" s="196"/>
      <c r="D158" s="196"/>
      <c r="E158" s="173"/>
      <c r="F158" s="173"/>
      <c r="G158" s="197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</row>
    <row r="159" ht="15.75" customHeight="1">
      <c r="A159" s="173"/>
      <c r="B159" s="225"/>
      <c r="C159" s="196"/>
      <c r="D159" s="196"/>
      <c r="E159" s="173"/>
      <c r="F159" s="173"/>
      <c r="G159" s="197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</row>
    <row r="160" ht="15.75" customHeight="1">
      <c r="A160" s="173"/>
      <c r="B160" s="225"/>
      <c r="C160" s="196"/>
      <c r="D160" s="196"/>
      <c r="E160" s="173"/>
      <c r="F160" s="173"/>
      <c r="G160" s="197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</row>
    <row r="161" ht="15.75" customHeight="1">
      <c r="A161" s="173"/>
      <c r="B161" s="225"/>
      <c r="C161" s="196"/>
      <c r="D161" s="196"/>
      <c r="E161" s="173"/>
      <c r="F161" s="173"/>
      <c r="G161" s="197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</row>
    <row r="162" ht="15.75" customHeight="1">
      <c r="A162" s="173"/>
      <c r="B162" s="225"/>
      <c r="C162" s="196"/>
      <c r="D162" s="196"/>
      <c r="E162" s="173"/>
      <c r="F162" s="173"/>
      <c r="G162" s="197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</row>
    <row r="163" ht="15.75" customHeight="1">
      <c r="A163" s="173"/>
      <c r="B163" s="225"/>
      <c r="C163" s="196"/>
      <c r="D163" s="196"/>
      <c r="E163" s="173"/>
      <c r="F163" s="173"/>
      <c r="G163" s="197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</row>
    <row r="164" ht="15.75" customHeight="1">
      <c r="A164" s="173"/>
      <c r="B164" s="225"/>
      <c r="C164" s="196"/>
      <c r="D164" s="196"/>
      <c r="E164" s="173"/>
      <c r="F164" s="173"/>
      <c r="G164" s="197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</row>
    <row r="165" ht="15.75" customHeight="1">
      <c r="A165" s="173"/>
      <c r="B165" s="225"/>
      <c r="C165" s="196"/>
      <c r="D165" s="196"/>
      <c r="E165" s="173"/>
      <c r="F165" s="173"/>
      <c r="G165" s="197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</row>
    <row r="166" ht="15.75" customHeight="1">
      <c r="A166" s="173"/>
      <c r="B166" s="225"/>
      <c r="C166" s="196"/>
      <c r="D166" s="196"/>
      <c r="E166" s="173"/>
      <c r="F166" s="173"/>
      <c r="G166" s="197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</row>
    <row r="167" ht="15.75" customHeight="1">
      <c r="A167" s="173"/>
      <c r="B167" s="225"/>
      <c r="C167" s="196"/>
      <c r="D167" s="196"/>
      <c r="E167" s="173"/>
      <c r="F167" s="173"/>
      <c r="G167" s="197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</row>
    <row r="168" ht="15.75" customHeight="1">
      <c r="A168" s="173"/>
      <c r="B168" s="225"/>
      <c r="C168" s="196"/>
      <c r="D168" s="196"/>
      <c r="E168" s="173"/>
      <c r="F168" s="173"/>
      <c r="G168" s="197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</row>
    <row r="169" ht="15.75" customHeight="1">
      <c r="A169" s="173"/>
      <c r="B169" s="225"/>
      <c r="C169" s="196"/>
      <c r="D169" s="196"/>
      <c r="E169" s="173"/>
      <c r="F169" s="173"/>
      <c r="G169" s="197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</row>
    <row r="170" ht="15.75" customHeight="1">
      <c r="A170" s="173"/>
      <c r="B170" s="225"/>
      <c r="C170" s="196"/>
      <c r="D170" s="196"/>
      <c r="E170" s="173"/>
      <c r="F170" s="173"/>
      <c r="G170" s="197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</row>
    <row r="171" ht="15.75" customHeight="1">
      <c r="A171" s="173"/>
      <c r="B171" s="225"/>
      <c r="C171" s="196"/>
      <c r="D171" s="196"/>
      <c r="E171" s="173"/>
      <c r="F171" s="173"/>
      <c r="G171" s="197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</row>
    <row r="172" ht="15.75" customHeight="1">
      <c r="A172" s="173"/>
      <c r="B172" s="225"/>
      <c r="C172" s="196"/>
      <c r="D172" s="196"/>
      <c r="E172" s="173"/>
      <c r="F172" s="173"/>
      <c r="G172" s="197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</row>
    <row r="173" ht="15.75" customHeight="1">
      <c r="A173" s="173"/>
      <c r="B173" s="225"/>
      <c r="C173" s="196"/>
      <c r="D173" s="196"/>
      <c r="E173" s="173"/>
      <c r="F173" s="173"/>
      <c r="G173" s="197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</row>
    <row r="174" ht="15.75" customHeight="1">
      <c r="A174" s="173"/>
      <c r="B174" s="225"/>
      <c r="C174" s="196"/>
      <c r="D174" s="196"/>
      <c r="E174" s="173"/>
      <c r="F174" s="173"/>
      <c r="G174" s="197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</row>
    <row r="175" ht="15.75" customHeight="1">
      <c r="A175" s="173"/>
      <c r="B175" s="225"/>
      <c r="C175" s="196"/>
      <c r="D175" s="196"/>
      <c r="E175" s="173"/>
      <c r="F175" s="173"/>
      <c r="G175" s="197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</row>
    <row r="176" ht="15.75" customHeight="1">
      <c r="A176" s="173"/>
      <c r="B176" s="225"/>
      <c r="C176" s="196"/>
      <c r="D176" s="196"/>
      <c r="E176" s="173"/>
      <c r="F176" s="173"/>
      <c r="G176" s="197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</row>
    <row r="177" ht="15.75" customHeight="1">
      <c r="A177" s="173"/>
      <c r="B177" s="225"/>
      <c r="C177" s="196"/>
      <c r="D177" s="196"/>
      <c r="E177" s="173"/>
      <c r="F177" s="173"/>
      <c r="G177" s="197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</row>
    <row r="178" ht="15.75" customHeight="1">
      <c r="A178" s="173"/>
      <c r="B178" s="225"/>
      <c r="C178" s="196"/>
      <c r="D178" s="196"/>
      <c r="E178" s="173"/>
      <c r="F178" s="173"/>
      <c r="G178" s="197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</row>
    <row r="179" ht="15.75" customHeight="1">
      <c r="A179" s="173"/>
      <c r="B179" s="225"/>
      <c r="C179" s="196"/>
      <c r="D179" s="196"/>
      <c r="E179" s="173"/>
      <c r="F179" s="173"/>
      <c r="G179" s="197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</row>
    <row r="180" ht="15.75" customHeight="1">
      <c r="A180" s="173"/>
      <c r="B180" s="225"/>
      <c r="C180" s="196"/>
      <c r="D180" s="196"/>
      <c r="E180" s="173"/>
      <c r="F180" s="173"/>
      <c r="G180" s="197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</row>
    <row r="181" ht="15.75" customHeight="1">
      <c r="A181" s="173"/>
      <c r="B181" s="225"/>
      <c r="C181" s="196"/>
      <c r="D181" s="196"/>
      <c r="E181" s="173"/>
      <c r="F181" s="173"/>
      <c r="G181" s="197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</row>
    <row r="182" ht="15.75" customHeight="1">
      <c r="A182" s="173"/>
      <c r="B182" s="225"/>
      <c r="C182" s="196"/>
      <c r="D182" s="196"/>
      <c r="E182" s="173"/>
      <c r="F182" s="173"/>
      <c r="G182" s="197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</row>
    <row r="183" ht="15.75" customHeight="1">
      <c r="A183" s="173"/>
      <c r="B183" s="225"/>
      <c r="C183" s="196"/>
      <c r="D183" s="196"/>
      <c r="E183" s="173"/>
      <c r="F183" s="173"/>
      <c r="G183" s="197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</row>
    <row r="184" ht="15.75" customHeight="1">
      <c r="A184" s="173"/>
      <c r="B184" s="225"/>
      <c r="C184" s="196"/>
      <c r="D184" s="196"/>
      <c r="E184" s="173"/>
      <c r="F184" s="173"/>
      <c r="G184" s="197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</row>
    <row r="185" ht="15.75" customHeight="1">
      <c r="A185" s="173"/>
      <c r="B185" s="225"/>
      <c r="C185" s="196"/>
      <c r="D185" s="196"/>
      <c r="E185" s="173"/>
      <c r="F185" s="173"/>
      <c r="G185" s="197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</row>
    <row r="186" ht="15.75" customHeight="1">
      <c r="A186" s="173"/>
      <c r="B186" s="225"/>
      <c r="C186" s="196"/>
      <c r="D186" s="196"/>
      <c r="E186" s="173"/>
      <c r="F186" s="173"/>
      <c r="G186" s="197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</row>
    <row r="187" ht="15.75" customHeight="1">
      <c r="A187" s="173"/>
      <c r="B187" s="225"/>
      <c r="C187" s="196"/>
      <c r="D187" s="196"/>
      <c r="E187" s="173"/>
      <c r="F187" s="173"/>
      <c r="G187" s="197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</row>
    <row r="188" ht="15.75" customHeight="1">
      <c r="A188" s="173"/>
      <c r="B188" s="225"/>
      <c r="C188" s="196"/>
      <c r="D188" s="196"/>
      <c r="E188" s="173"/>
      <c r="F188" s="173"/>
      <c r="G188" s="197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</row>
    <row r="189" ht="15.75" customHeight="1">
      <c r="A189" s="173"/>
      <c r="B189" s="225"/>
      <c r="C189" s="196"/>
      <c r="D189" s="196"/>
      <c r="E189" s="173"/>
      <c r="F189" s="173"/>
      <c r="G189" s="197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</row>
    <row r="190" ht="15.75" customHeight="1">
      <c r="A190" s="173"/>
      <c r="B190" s="225"/>
      <c r="C190" s="196"/>
      <c r="D190" s="196"/>
      <c r="E190" s="173"/>
      <c r="F190" s="173"/>
      <c r="G190" s="197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</row>
    <row r="191" ht="15.75" customHeight="1">
      <c r="A191" s="173"/>
      <c r="B191" s="225"/>
      <c r="C191" s="196"/>
      <c r="D191" s="196"/>
      <c r="E191" s="173"/>
      <c r="F191" s="173"/>
      <c r="G191" s="197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</row>
    <row r="192" ht="15.75" customHeight="1">
      <c r="A192" s="173"/>
      <c r="B192" s="225"/>
      <c r="C192" s="196"/>
      <c r="D192" s="196"/>
      <c r="E192" s="173"/>
      <c r="F192" s="173"/>
      <c r="G192" s="197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</row>
    <row r="193" ht="15.75" customHeight="1">
      <c r="A193" s="173"/>
      <c r="B193" s="225"/>
      <c r="C193" s="196"/>
      <c r="D193" s="196"/>
      <c r="E193" s="173"/>
      <c r="F193" s="173"/>
      <c r="G193" s="197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</row>
    <row r="194" ht="15.75" customHeight="1">
      <c r="A194" s="173"/>
      <c r="B194" s="225"/>
      <c r="C194" s="196"/>
      <c r="D194" s="196"/>
      <c r="E194" s="173"/>
      <c r="F194" s="173"/>
      <c r="G194" s="197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</row>
    <row r="195" ht="15.75" customHeight="1">
      <c r="A195" s="173"/>
      <c r="B195" s="225"/>
      <c r="C195" s="196"/>
      <c r="D195" s="196"/>
      <c r="E195" s="173"/>
      <c r="F195" s="173"/>
      <c r="G195" s="197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</row>
    <row r="196" ht="15.75" customHeight="1">
      <c r="A196" s="173"/>
      <c r="B196" s="225"/>
      <c r="C196" s="196"/>
      <c r="D196" s="196"/>
      <c r="E196" s="173"/>
      <c r="F196" s="173"/>
      <c r="G196" s="197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</row>
    <row r="197" ht="15.75" customHeight="1">
      <c r="A197" s="173"/>
      <c r="B197" s="225"/>
      <c r="C197" s="196"/>
      <c r="D197" s="196"/>
      <c r="E197" s="173"/>
      <c r="F197" s="173"/>
      <c r="G197" s="197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</row>
    <row r="198" ht="15.75" customHeight="1">
      <c r="A198" s="173"/>
      <c r="B198" s="225"/>
      <c r="C198" s="196"/>
      <c r="D198" s="196"/>
      <c r="E198" s="173"/>
      <c r="F198" s="173"/>
      <c r="G198" s="197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</row>
    <row r="199" ht="15.75" customHeight="1">
      <c r="A199" s="173"/>
      <c r="B199" s="225"/>
      <c r="C199" s="196"/>
      <c r="D199" s="196"/>
      <c r="E199" s="173"/>
      <c r="F199" s="173"/>
      <c r="G199" s="197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</row>
    <row r="200" ht="15.75" customHeight="1">
      <c r="A200" s="173"/>
      <c r="B200" s="225"/>
      <c r="C200" s="196"/>
      <c r="D200" s="196"/>
      <c r="E200" s="173"/>
      <c r="F200" s="173"/>
      <c r="G200" s="197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</row>
    <row r="201" ht="15.75" customHeight="1">
      <c r="A201" s="173"/>
      <c r="B201" s="225"/>
      <c r="C201" s="196"/>
      <c r="D201" s="196"/>
      <c r="E201" s="173"/>
      <c r="F201" s="173"/>
      <c r="G201" s="197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</row>
    <row r="202" ht="15.75" customHeight="1">
      <c r="A202" s="173"/>
      <c r="B202" s="225"/>
      <c r="C202" s="196"/>
      <c r="D202" s="196"/>
      <c r="E202" s="173"/>
      <c r="F202" s="173"/>
      <c r="G202" s="197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</row>
    <row r="203" ht="15.75" customHeight="1">
      <c r="A203" s="173"/>
      <c r="B203" s="225"/>
      <c r="C203" s="196"/>
      <c r="D203" s="196"/>
      <c r="E203" s="173"/>
      <c r="F203" s="173"/>
      <c r="G203" s="197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</row>
    <row r="204" ht="15.75" customHeight="1">
      <c r="A204" s="173"/>
      <c r="B204" s="225"/>
      <c r="C204" s="196"/>
      <c r="D204" s="196"/>
      <c r="E204" s="173"/>
      <c r="F204" s="173"/>
      <c r="G204" s="197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</row>
    <row r="205" ht="15.75" customHeight="1">
      <c r="A205" s="173"/>
      <c r="B205" s="225"/>
      <c r="C205" s="196"/>
      <c r="D205" s="196"/>
      <c r="E205" s="173"/>
      <c r="F205" s="173"/>
      <c r="G205" s="197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</row>
    <row r="206" ht="15.75" customHeight="1">
      <c r="A206" s="173"/>
      <c r="B206" s="225"/>
      <c r="C206" s="196"/>
      <c r="D206" s="196"/>
      <c r="E206" s="173"/>
      <c r="F206" s="173"/>
      <c r="G206" s="197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</row>
    <row r="207" ht="15.75" customHeight="1">
      <c r="A207" s="173"/>
      <c r="B207" s="225"/>
      <c r="C207" s="196"/>
      <c r="D207" s="196"/>
      <c r="E207" s="173"/>
      <c r="F207" s="173"/>
      <c r="G207" s="197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</row>
    <row r="208" ht="15.75" customHeight="1">
      <c r="A208" s="173"/>
      <c r="B208" s="225"/>
      <c r="C208" s="196"/>
      <c r="D208" s="196"/>
      <c r="E208" s="173"/>
      <c r="F208" s="173"/>
      <c r="G208" s="197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</row>
    <row r="209" ht="15.75" customHeight="1">
      <c r="A209" s="173"/>
      <c r="B209" s="225"/>
      <c r="C209" s="196"/>
      <c r="D209" s="196"/>
      <c r="E209" s="173"/>
      <c r="F209" s="173"/>
      <c r="G209" s="197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</row>
    <row r="210" ht="15.75" customHeight="1">
      <c r="A210" s="173"/>
      <c r="B210" s="225"/>
      <c r="C210" s="196"/>
      <c r="D210" s="196"/>
      <c r="E210" s="173"/>
      <c r="F210" s="173"/>
      <c r="G210" s="197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</row>
    <row r="211" ht="15.75" customHeight="1">
      <c r="A211" s="173"/>
      <c r="B211" s="225"/>
      <c r="C211" s="196"/>
      <c r="D211" s="196"/>
      <c r="E211" s="173"/>
      <c r="F211" s="173"/>
      <c r="G211" s="197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</row>
    <row r="212" ht="15.75" customHeight="1">
      <c r="A212" s="173"/>
      <c r="B212" s="225"/>
      <c r="C212" s="196"/>
      <c r="D212" s="196"/>
      <c r="E212" s="173"/>
      <c r="F212" s="173"/>
      <c r="G212" s="197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</row>
    <row r="213" ht="15.75" customHeight="1">
      <c r="A213" s="173"/>
      <c r="B213" s="225"/>
      <c r="C213" s="196"/>
      <c r="D213" s="196"/>
      <c r="E213" s="173"/>
      <c r="F213" s="173"/>
      <c r="G213" s="197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</row>
    <row r="214" ht="15.75" customHeight="1">
      <c r="A214" s="173"/>
      <c r="B214" s="225"/>
      <c r="C214" s="196"/>
      <c r="D214" s="196"/>
      <c r="E214" s="173"/>
      <c r="F214" s="173"/>
      <c r="G214" s="197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</row>
    <row r="215" ht="15.75" customHeight="1">
      <c r="A215" s="173"/>
      <c r="B215" s="225"/>
      <c r="C215" s="196"/>
      <c r="D215" s="196"/>
      <c r="E215" s="173"/>
      <c r="F215" s="173"/>
      <c r="G215" s="197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</row>
    <row r="216" ht="15.75" customHeight="1">
      <c r="A216" s="173"/>
      <c r="B216" s="225"/>
      <c r="C216" s="196"/>
      <c r="D216" s="196"/>
      <c r="E216" s="173"/>
      <c r="F216" s="173"/>
      <c r="G216" s="197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</row>
    <row r="217" ht="15.75" customHeight="1">
      <c r="A217" s="173"/>
      <c r="B217" s="225"/>
      <c r="C217" s="196"/>
      <c r="D217" s="196"/>
      <c r="E217" s="173"/>
      <c r="F217" s="173"/>
      <c r="G217" s="197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</row>
    <row r="218" ht="15.75" customHeight="1">
      <c r="A218" s="173"/>
      <c r="B218" s="225"/>
      <c r="C218" s="196"/>
      <c r="D218" s="196"/>
      <c r="E218" s="173"/>
      <c r="F218" s="173"/>
      <c r="G218" s="197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</row>
    <row r="219" ht="15.75" customHeight="1">
      <c r="A219" s="173"/>
      <c r="B219" s="225"/>
      <c r="C219" s="196"/>
      <c r="D219" s="196"/>
      <c r="E219" s="173"/>
      <c r="F219" s="173"/>
      <c r="G219" s="197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</row>
    <row r="220" ht="15.75" customHeight="1">
      <c r="A220" s="173"/>
      <c r="B220" s="225"/>
      <c r="C220" s="196"/>
      <c r="D220" s="196"/>
      <c r="E220" s="173"/>
      <c r="F220" s="173"/>
      <c r="G220" s="197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</row>
    <row r="221" ht="15.75" customHeight="1">
      <c r="A221" s="173"/>
      <c r="B221" s="225"/>
      <c r="C221" s="196"/>
      <c r="D221" s="196"/>
      <c r="E221" s="173"/>
      <c r="F221" s="173"/>
      <c r="G221" s="197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</row>
    <row r="222" ht="15.75" customHeight="1">
      <c r="A222" s="173"/>
      <c r="B222" s="225"/>
      <c r="C222" s="196"/>
      <c r="D222" s="196"/>
      <c r="E222" s="173"/>
      <c r="F222" s="173"/>
      <c r="G222" s="197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</row>
    <row r="223" ht="15.75" customHeight="1">
      <c r="A223" s="173"/>
      <c r="B223" s="225"/>
      <c r="C223" s="196"/>
      <c r="D223" s="196"/>
      <c r="E223" s="173"/>
      <c r="F223" s="173"/>
      <c r="G223" s="197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</row>
    <row r="224" ht="15.75" customHeight="1">
      <c r="A224" s="173"/>
      <c r="B224" s="225"/>
      <c r="C224" s="196"/>
      <c r="D224" s="196"/>
      <c r="E224" s="173"/>
      <c r="F224" s="173"/>
      <c r="G224" s="197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</row>
    <row r="225" ht="15.75" customHeight="1">
      <c r="A225" s="173"/>
      <c r="B225" s="225"/>
      <c r="C225" s="196"/>
      <c r="D225" s="196"/>
      <c r="E225" s="173"/>
      <c r="F225" s="173"/>
      <c r="G225" s="197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</row>
    <row r="226" ht="15.75" customHeight="1">
      <c r="A226" s="173"/>
      <c r="B226" s="225"/>
      <c r="C226" s="196"/>
      <c r="D226" s="196"/>
      <c r="E226" s="173"/>
      <c r="F226" s="173"/>
      <c r="G226" s="197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</row>
    <row r="227" ht="15.75" customHeight="1">
      <c r="A227" s="173"/>
      <c r="B227" s="225"/>
      <c r="C227" s="196"/>
      <c r="D227" s="196"/>
      <c r="E227" s="173"/>
      <c r="F227" s="173"/>
      <c r="G227" s="197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</row>
    <row r="228" ht="15.75" customHeight="1">
      <c r="A228" s="173"/>
      <c r="B228" s="225"/>
      <c r="C228" s="196"/>
      <c r="D228" s="196"/>
      <c r="E228" s="173"/>
      <c r="F228" s="173"/>
      <c r="G228" s="197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</row>
    <row r="229" ht="15.75" customHeight="1">
      <c r="A229" s="173"/>
      <c r="B229" s="225"/>
      <c r="C229" s="196"/>
      <c r="D229" s="196"/>
      <c r="E229" s="173"/>
      <c r="F229" s="173"/>
      <c r="G229" s="197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</row>
    <row r="230" ht="15.75" customHeight="1">
      <c r="A230" s="173"/>
      <c r="B230" s="225"/>
      <c r="C230" s="196"/>
      <c r="D230" s="196"/>
      <c r="E230" s="173"/>
      <c r="F230" s="173"/>
      <c r="G230" s="197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</row>
    <row r="231" ht="15.75" customHeight="1">
      <c r="A231" s="173"/>
      <c r="B231" s="225"/>
      <c r="C231" s="196"/>
      <c r="D231" s="196"/>
      <c r="E231" s="173"/>
      <c r="F231" s="173"/>
      <c r="G231" s="197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</row>
    <row r="232" ht="15.75" customHeight="1">
      <c r="A232" s="173"/>
      <c r="B232" s="225"/>
      <c r="C232" s="196"/>
      <c r="D232" s="196"/>
      <c r="E232" s="173"/>
      <c r="F232" s="173"/>
      <c r="G232" s="197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</row>
    <row r="233" ht="15.75" customHeight="1">
      <c r="A233" s="173"/>
      <c r="B233" s="225"/>
      <c r="C233" s="196"/>
      <c r="D233" s="196"/>
      <c r="E233" s="173"/>
      <c r="F233" s="173"/>
      <c r="G233" s="197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</row>
    <row r="234" ht="15.75" customHeight="1">
      <c r="A234" s="173"/>
      <c r="B234" s="225"/>
      <c r="C234" s="196"/>
      <c r="D234" s="196"/>
      <c r="E234" s="173"/>
      <c r="F234" s="173"/>
      <c r="G234" s="197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</row>
    <row r="235" ht="15.75" customHeight="1">
      <c r="A235" s="173"/>
      <c r="B235" s="225"/>
      <c r="C235" s="196"/>
      <c r="D235" s="196"/>
      <c r="E235" s="173"/>
      <c r="F235" s="173"/>
      <c r="G235" s="197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</row>
    <row r="236" ht="15.75" customHeight="1">
      <c r="A236" s="173"/>
      <c r="B236" s="225"/>
      <c r="C236" s="196"/>
      <c r="D236" s="196"/>
      <c r="E236" s="173"/>
      <c r="F236" s="173"/>
      <c r="G236" s="197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</row>
    <row r="237" ht="15.75" customHeight="1">
      <c r="A237" s="173"/>
      <c r="B237" s="225"/>
      <c r="C237" s="196"/>
      <c r="D237" s="196"/>
      <c r="E237" s="173"/>
      <c r="F237" s="173"/>
      <c r="G237" s="197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</row>
    <row r="238" ht="15.75" customHeight="1">
      <c r="A238" s="173"/>
      <c r="B238" s="225"/>
      <c r="C238" s="196"/>
      <c r="D238" s="196"/>
      <c r="E238" s="173"/>
      <c r="F238" s="173"/>
      <c r="G238" s="197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</row>
    <row r="239" ht="15.75" customHeight="1">
      <c r="A239" s="173"/>
      <c r="B239" s="225"/>
      <c r="C239" s="196"/>
      <c r="D239" s="196"/>
      <c r="E239" s="173"/>
      <c r="F239" s="173"/>
      <c r="G239" s="197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</row>
    <row r="240" ht="15.75" customHeight="1">
      <c r="A240" s="173"/>
      <c r="B240" s="225"/>
      <c r="C240" s="196"/>
      <c r="D240" s="196"/>
      <c r="E240" s="173"/>
      <c r="F240" s="173"/>
      <c r="G240" s="197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</row>
    <row r="241" ht="15.75" customHeight="1">
      <c r="A241" s="173"/>
      <c r="B241" s="225"/>
      <c r="C241" s="196"/>
      <c r="D241" s="196"/>
      <c r="E241" s="173"/>
      <c r="F241" s="173"/>
      <c r="G241" s="197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</row>
    <row r="242" ht="15.75" customHeight="1">
      <c r="A242" s="173"/>
      <c r="B242" s="225"/>
      <c r="C242" s="196"/>
      <c r="D242" s="196"/>
      <c r="E242" s="173"/>
      <c r="F242" s="173"/>
      <c r="G242" s="197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</row>
    <row r="243" ht="15.75" customHeight="1">
      <c r="A243" s="173"/>
      <c r="B243" s="225"/>
      <c r="C243" s="196"/>
      <c r="D243" s="196"/>
      <c r="E243" s="173"/>
      <c r="F243" s="173"/>
      <c r="G243" s="197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</row>
    <row r="244" ht="15.75" customHeight="1">
      <c r="A244" s="173"/>
      <c r="B244" s="225"/>
      <c r="C244" s="196"/>
      <c r="D244" s="196"/>
      <c r="E244" s="173"/>
      <c r="F244" s="173"/>
      <c r="G244" s="197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</row>
    <row r="245" ht="15.75" customHeight="1">
      <c r="A245" s="173"/>
      <c r="B245" s="225"/>
      <c r="C245" s="196"/>
      <c r="D245" s="196"/>
      <c r="E245" s="173"/>
      <c r="F245" s="173"/>
      <c r="G245" s="197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</row>
    <row r="246" ht="15.75" customHeight="1">
      <c r="A246" s="173"/>
      <c r="B246" s="225"/>
      <c r="C246" s="196"/>
      <c r="D246" s="196"/>
      <c r="E246" s="173"/>
      <c r="F246" s="173"/>
      <c r="G246" s="197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</row>
    <row r="247" ht="15.75" customHeight="1">
      <c r="A247" s="173"/>
      <c r="B247" s="225"/>
      <c r="C247" s="196"/>
      <c r="D247" s="196"/>
      <c r="E247" s="173"/>
      <c r="F247" s="173"/>
      <c r="G247" s="197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</row>
    <row r="248" ht="15.75" customHeight="1">
      <c r="A248" s="173"/>
      <c r="B248" s="225"/>
      <c r="C248" s="196"/>
      <c r="D248" s="196"/>
      <c r="E248" s="173"/>
      <c r="F248" s="173"/>
      <c r="G248" s="197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</row>
    <row r="249" ht="15.75" customHeight="1">
      <c r="A249" s="173"/>
      <c r="B249" s="225"/>
      <c r="C249" s="196"/>
      <c r="D249" s="196"/>
      <c r="E249" s="173"/>
      <c r="F249" s="173"/>
      <c r="G249" s="197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</row>
    <row r="250" ht="15.75" customHeight="1">
      <c r="A250" s="173"/>
      <c r="B250" s="225"/>
      <c r="C250" s="196"/>
      <c r="D250" s="196"/>
      <c r="E250" s="173"/>
      <c r="F250" s="173"/>
      <c r="G250" s="197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</row>
    <row r="251" ht="15.75" customHeight="1">
      <c r="A251" s="173"/>
      <c r="B251" s="225"/>
      <c r="C251" s="196"/>
      <c r="D251" s="196"/>
      <c r="E251" s="173"/>
      <c r="F251" s="173"/>
      <c r="G251" s="197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</row>
    <row r="252" ht="15.75" customHeight="1">
      <c r="A252" s="173"/>
      <c r="B252" s="225"/>
      <c r="C252" s="196"/>
      <c r="D252" s="196"/>
      <c r="E252" s="173"/>
      <c r="F252" s="173"/>
      <c r="G252" s="197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</row>
    <row r="253" ht="15.75" customHeight="1">
      <c r="A253" s="173"/>
      <c r="B253" s="225"/>
      <c r="C253" s="196"/>
      <c r="D253" s="196"/>
      <c r="E253" s="173"/>
      <c r="F253" s="173"/>
      <c r="G253" s="197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</row>
    <row r="254" ht="15.75" customHeight="1">
      <c r="A254" s="173"/>
      <c r="B254" s="225"/>
      <c r="C254" s="196"/>
      <c r="D254" s="196"/>
      <c r="E254" s="173"/>
      <c r="F254" s="173"/>
      <c r="G254" s="197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</row>
    <row r="255" ht="15.75" customHeight="1">
      <c r="A255" s="173"/>
      <c r="B255" s="225"/>
      <c r="C255" s="196"/>
      <c r="D255" s="196"/>
      <c r="E255" s="173"/>
      <c r="F255" s="173"/>
      <c r="G255" s="197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</row>
    <row r="256" ht="15.75" customHeight="1">
      <c r="A256" s="173"/>
      <c r="B256" s="225"/>
      <c r="C256" s="196"/>
      <c r="D256" s="196"/>
      <c r="E256" s="173"/>
      <c r="F256" s="173"/>
      <c r="G256" s="197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</row>
    <row r="257" ht="15.75" customHeight="1">
      <c r="A257" s="173"/>
      <c r="B257" s="225"/>
      <c r="C257" s="196"/>
      <c r="D257" s="196"/>
      <c r="E257" s="173"/>
      <c r="F257" s="173"/>
      <c r="G257" s="197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</row>
    <row r="258" ht="15.75" customHeight="1">
      <c r="A258" s="173"/>
      <c r="B258" s="225"/>
      <c r="C258" s="196"/>
      <c r="D258" s="196"/>
      <c r="E258" s="173"/>
      <c r="F258" s="173"/>
      <c r="G258" s="197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</row>
    <row r="259" ht="15.75" customHeight="1">
      <c r="A259" s="173"/>
      <c r="B259" s="225"/>
      <c r="C259" s="196"/>
      <c r="D259" s="196"/>
      <c r="E259" s="173"/>
      <c r="F259" s="173"/>
      <c r="G259" s="197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</row>
    <row r="260" ht="15.75" customHeight="1">
      <c r="A260" s="173"/>
      <c r="B260" s="225"/>
      <c r="C260" s="196"/>
      <c r="D260" s="196"/>
      <c r="E260" s="173"/>
      <c r="F260" s="173"/>
      <c r="G260" s="197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</row>
    <row r="261" ht="15.75" customHeight="1">
      <c r="A261" s="173"/>
      <c r="B261" s="225"/>
      <c r="C261" s="196"/>
      <c r="D261" s="196"/>
      <c r="E261" s="173"/>
      <c r="F261" s="173"/>
      <c r="G261" s="197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</row>
    <row r="262" ht="15.75" customHeight="1">
      <c r="A262" s="173"/>
      <c r="B262" s="225"/>
      <c r="C262" s="196"/>
      <c r="D262" s="196"/>
      <c r="E262" s="173"/>
      <c r="F262" s="173"/>
      <c r="G262" s="197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</row>
    <row r="263" ht="15.75" customHeight="1">
      <c r="A263" s="173"/>
      <c r="B263" s="225"/>
      <c r="C263" s="196"/>
      <c r="D263" s="196"/>
      <c r="E263" s="173"/>
      <c r="F263" s="173"/>
      <c r="G263" s="197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</row>
    <row r="264" ht="15.75" customHeight="1">
      <c r="A264" s="173"/>
      <c r="B264" s="225"/>
      <c r="C264" s="196"/>
      <c r="D264" s="196"/>
      <c r="E264" s="173"/>
      <c r="F264" s="173"/>
      <c r="G264" s="197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</row>
    <row r="265" ht="15.75" customHeight="1">
      <c r="A265" s="173"/>
      <c r="B265" s="225"/>
      <c r="C265" s="196"/>
      <c r="D265" s="196"/>
      <c r="E265" s="173"/>
      <c r="F265" s="173"/>
      <c r="G265" s="197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</row>
    <row r="266" ht="15.75" customHeight="1">
      <c r="A266" s="173"/>
      <c r="B266" s="225"/>
      <c r="C266" s="196"/>
      <c r="D266" s="196"/>
      <c r="E266" s="173"/>
      <c r="F266" s="173"/>
      <c r="G266" s="197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</row>
    <row r="267" ht="15.75" customHeight="1">
      <c r="A267" s="173"/>
      <c r="B267" s="225"/>
      <c r="C267" s="196"/>
      <c r="D267" s="196"/>
      <c r="E267" s="173"/>
      <c r="F267" s="173"/>
      <c r="G267" s="197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</row>
    <row r="268" ht="15.75" customHeight="1">
      <c r="A268" s="173"/>
      <c r="B268" s="225"/>
      <c r="C268" s="196"/>
      <c r="D268" s="196"/>
      <c r="E268" s="173"/>
      <c r="F268" s="173"/>
      <c r="G268" s="197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</row>
    <row r="269" ht="15.75" customHeight="1">
      <c r="A269" s="173"/>
      <c r="B269" s="225"/>
      <c r="C269" s="196"/>
      <c r="D269" s="196"/>
      <c r="E269" s="173"/>
      <c r="F269" s="173"/>
      <c r="G269" s="197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</row>
    <row r="270" ht="15.75" customHeight="1">
      <c r="A270" s="173"/>
      <c r="B270" s="225"/>
      <c r="C270" s="196"/>
      <c r="D270" s="196"/>
      <c r="E270" s="173"/>
      <c r="F270" s="173"/>
      <c r="G270" s="197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</row>
    <row r="271" ht="15.75" customHeight="1">
      <c r="A271" s="173"/>
      <c r="B271" s="225"/>
      <c r="C271" s="196"/>
      <c r="D271" s="196"/>
      <c r="E271" s="173"/>
      <c r="F271" s="173"/>
      <c r="G271" s="197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</row>
    <row r="272" ht="15.75" customHeight="1">
      <c r="A272" s="173"/>
      <c r="B272" s="225"/>
      <c r="C272" s="196"/>
      <c r="D272" s="196"/>
      <c r="E272" s="173"/>
      <c r="F272" s="173"/>
      <c r="G272" s="197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</row>
    <row r="273" ht="15.75" customHeight="1">
      <c r="A273" s="173"/>
      <c r="B273" s="225"/>
      <c r="C273" s="196"/>
      <c r="D273" s="196"/>
      <c r="E273" s="173"/>
      <c r="F273" s="173"/>
      <c r="G273" s="197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</row>
    <row r="274" ht="15.75" customHeight="1">
      <c r="A274" s="173"/>
      <c r="B274" s="225"/>
      <c r="C274" s="196"/>
      <c r="D274" s="196"/>
      <c r="E274" s="173"/>
      <c r="F274" s="173"/>
      <c r="G274" s="197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</row>
    <row r="275" ht="15.75" customHeight="1">
      <c r="A275" s="173"/>
      <c r="B275" s="225"/>
      <c r="C275" s="196"/>
      <c r="D275" s="196"/>
      <c r="E275" s="173"/>
      <c r="F275" s="173"/>
      <c r="G275" s="197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</row>
    <row r="276" ht="15.75" customHeight="1">
      <c r="A276" s="173"/>
      <c r="B276" s="225"/>
      <c r="C276" s="196"/>
      <c r="D276" s="196"/>
      <c r="E276" s="173"/>
      <c r="F276" s="173"/>
      <c r="G276" s="197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</row>
    <row r="277" ht="15.75" customHeight="1">
      <c r="A277" s="173"/>
      <c r="B277" s="225"/>
      <c r="C277" s="196"/>
      <c r="D277" s="196"/>
      <c r="E277" s="173"/>
      <c r="F277" s="173"/>
      <c r="G277" s="197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</row>
    <row r="278" ht="15.75" customHeight="1">
      <c r="A278" s="173"/>
      <c r="B278" s="225"/>
      <c r="C278" s="196"/>
      <c r="D278" s="196"/>
      <c r="E278" s="173"/>
      <c r="F278" s="173"/>
      <c r="G278" s="197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</row>
    <row r="279" ht="15.75" customHeight="1">
      <c r="A279" s="173"/>
      <c r="B279" s="225"/>
      <c r="C279" s="196"/>
      <c r="D279" s="196"/>
      <c r="E279" s="173"/>
      <c r="F279" s="173"/>
      <c r="G279" s="197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</row>
    <row r="280" ht="15.75" customHeight="1">
      <c r="A280" s="173"/>
      <c r="B280" s="225"/>
      <c r="C280" s="196"/>
      <c r="D280" s="196"/>
      <c r="E280" s="173"/>
      <c r="F280" s="173"/>
      <c r="G280" s="197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</row>
    <row r="281" ht="15.75" customHeight="1">
      <c r="A281" s="173"/>
      <c r="B281" s="225"/>
      <c r="C281" s="196"/>
      <c r="D281" s="196"/>
      <c r="E281" s="173"/>
      <c r="F281" s="173"/>
      <c r="G281" s="197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1:I1"/>
    <mergeCell ref="K1:L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8.38"/>
    <col customWidth="1" min="5" max="5" width="22.13"/>
    <col customWidth="1" min="6" max="6" width="24.63"/>
    <col customWidth="1" min="7" max="7" width="16.75"/>
    <col customWidth="1" min="8" max="8" width="19.0"/>
    <col customWidth="1" min="9" max="9" width="15.38"/>
  </cols>
  <sheetData>
    <row r="1" ht="15.75" customHeight="1">
      <c r="A1" s="226" t="s">
        <v>111</v>
      </c>
      <c r="B1" s="226" t="s">
        <v>112</v>
      </c>
      <c r="C1" s="227" t="s">
        <v>113</v>
      </c>
      <c r="D1" s="226" t="s">
        <v>114</v>
      </c>
      <c r="E1" s="226" t="s">
        <v>115</v>
      </c>
      <c r="F1" s="226" t="s">
        <v>211</v>
      </c>
      <c r="G1" s="226" t="s">
        <v>117</v>
      </c>
      <c r="H1" s="226" t="s">
        <v>212</v>
      </c>
      <c r="I1" s="228" t="s">
        <v>64</v>
      </c>
      <c r="J1" s="228" t="s">
        <v>36</v>
      </c>
    </row>
    <row r="2" ht="15.75" customHeight="1">
      <c r="A2" s="229">
        <v>44410.0</v>
      </c>
      <c r="B2" s="230"/>
      <c r="C2" s="231"/>
      <c r="D2" s="232"/>
      <c r="E2" s="232"/>
      <c r="F2" s="231" t="str">
        <f t="shared" ref="F2:F36" si="1">E2/D2</f>
        <v>#DIV/0!</v>
      </c>
      <c r="G2" s="232"/>
      <c r="H2" s="231" t="str">
        <f t="shared" ref="H2:H36" si="2">G2/E2</f>
        <v>#DIV/0!</v>
      </c>
      <c r="I2" s="233" t="str">
        <f t="shared" ref="I2:I36" si="3">J2/G2</f>
        <v>#DIV/0!</v>
      </c>
      <c r="J2" s="234"/>
    </row>
    <row r="3" ht="15.75" customHeight="1">
      <c r="A3" s="229">
        <v>44411.0</v>
      </c>
      <c r="B3" s="230"/>
      <c r="C3" s="231"/>
      <c r="D3" s="232"/>
      <c r="E3" s="232"/>
      <c r="F3" s="231" t="str">
        <f t="shared" si="1"/>
        <v>#DIV/0!</v>
      </c>
      <c r="G3" s="232"/>
      <c r="H3" s="231" t="str">
        <f t="shared" si="2"/>
        <v>#DIV/0!</v>
      </c>
      <c r="I3" s="233" t="str">
        <f t="shared" si="3"/>
        <v>#DIV/0!</v>
      </c>
      <c r="J3" s="234"/>
    </row>
    <row r="4" ht="15.75" customHeight="1">
      <c r="A4" s="229">
        <v>44412.0</v>
      </c>
      <c r="B4" s="232"/>
      <c r="C4" s="231"/>
      <c r="D4" s="232"/>
      <c r="E4" s="232"/>
      <c r="F4" s="231" t="str">
        <f t="shared" si="1"/>
        <v>#DIV/0!</v>
      </c>
      <c r="G4" s="232"/>
      <c r="H4" s="231" t="str">
        <f t="shared" si="2"/>
        <v>#DIV/0!</v>
      </c>
      <c r="I4" s="233" t="str">
        <f t="shared" si="3"/>
        <v>#DIV/0!</v>
      </c>
      <c r="J4" s="234"/>
    </row>
    <row r="5" ht="15.75" customHeight="1">
      <c r="A5" s="229">
        <v>44413.0</v>
      </c>
      <c r="B5" s="232"/>
      <c r="C5" s="231"/>
      <c r="D5" s="232"/>
      <c r="E5" s="232"/>
      <c r="F5" s="231" t="str">
        <f t="shared" si="1"/>
        <v>#DIV/0!</v>
      </c>
      <c r="G5" s="232"/>
      <c r="H5" s="231" t="str">
        <f t="shared" si="2"/>
        <v>#DIV/0!</v>
      </c>
      <c r="I5" s="233" t="str">
        <f t="shared" si="3"/>
        <v>#DIV/0!</v>
      </c>
      <c r="J5" s="234"/>
    </row>
    <row r="6" ht="15.75" customHeight="1">
      <c r="A6" s="229">
        <v>44414.0</v>
      </c>
      <c r="B6" s="232"/>
      <c r="C6" s="231"/>
      <c r="D6" s="232"/>
      <c r="E6" s="232"/>
      <c r="F6" s="231" t="str">
        <f t="shared" si="1"/>
        <v>#DIV/0!</v>
      </c>
      <c r="G6" s="232"/>
      <c r="H6" s="231" t="str">
        <f t="shared" si="2"/>
        <v>#DIV/0!</v>
      </c>
      <c r="I6" s="233" t="str">
        <f t="shared" si="3"/>
        <v>#DIV/0!</v>
      </c>
      <c r="J6" s="234"/>
    </row>
    <row r="7" ht="15.75" customHeight="1">
      <c r="A7" s="229">
        <v>44415.0</v>
      </c>
      <c r="B7" s="232"/>
      <c r="C7" s="231"/>
      <c r="D7" s="232"/>
      <c r="E7" s="232"/>
      <c r="F7" s="231" t="str">
        <f t="shared" si="1"/>
        <v>#DIV/0!</v>
      </c>
      <c r="G7" s="232"/>
      <c r="H7" s="231" t="str">
        <f t="shared" si="2"/>
        <v>#DIV/0!</v>
      </c>
      <c r="I7" s="233" t="str">
        <f t="shared" si="3"/>
        <v>#DIV/0!</v>
      </c>
      <c r="J7" s="234"/>
    </row>
    <row r="8" ht="15.75" customHeight="1">
      <c r="A8" s="229">
        <v>44416.0</v>
      </c>
      <c r="B8" s="232"/>
      <c r="C8" s="231"/>
      <c r="D8" s="232"/>
      <c r="E8" s="232"/>
      <c r="F8" s="231" t="str">
        <f t="shared" si="1"/>
        <v>#DIV/0!</v>
      </c>
      <c r="G8" s="232"/>
      <c r="H8" s="231" t="str">
        <f t="shared" si="2"/>
        <v>#DIV/0!</v>
      </c>
      <c r="I8" s="233" t="str">
        <f t="shared" si="3"/>
        <v>#DIV/0!</v>
      </c>
      <c r="J8" s="234"/>
    </row>
    <row r="9" ht="15.75" customHeight="1">
      <c r="A9" s="229">
        <v>44417.0</v>
      </c>
      <c r="B9" s="232"/>
      <c r="C9" s="231"/>
      <c r="D9" s="232"/>
      <c r="E9" s="232"/>
      <c r="F9" s="231" t="str">
        <f t="shared" si="1"/>
        <v>#DIV/0!</v>
      </c>
      <c r="G9" s="232"/>
      <c r="H9" s="231" t="str">
        <f t="shared" si="2"/>
        <v>#DIV/0!</v>
      </c>
      <c r="I9" s="233" t="str">
        <f t="shared" si="3"/>
        <v>#DIV/0!</v>
      </c>
      <c r="J9" s="234"/>
    </row>
    <row r="10" ht="15.75" customHeight="1">
      <c r="A10" s="229">
        <v>44418.0</v>
      </c>
      <c r="B10" s="232"/>
      <c r="C10" s="231"/>
      <c r="D10" s="232"/>
      <c r="E10" s="232"/>
      <c r="F10" s="231" t="str">
        <f t="shared" si="1"/>
        <v>#DIV/0!</v>
      </c>
      <c r="G10" s="232"/>
      <c r="H10" s="231" t="str">
        <f t="shared" si="2"/>
        <v>#DIV/0!</v>
      </c>
      <c r="I10" s="233" t="str">
        <f t="shared" si="3"/>
        <v>#DIV/0!</v>
      </c>
      <c r="J10" s="234"/>
    </row>
    <row r="11" ht="15.75" customHeight="1">
      <c r="A11" s="229">
        <v>44419.0</v>
      </c>
      <c r="B11" s="232"/>
      <c r="C11" s="231"/>
      <c r="D11" s="232"/>
      <c r="E11" s="232"/>
      <c r="F11" s="231" t="str">
        <f t="shared" si="1"/>
        <v>#DIV/0!</v>
      </c>
      <c r="G11" s="232"/>
      <c r="H11" s="231" t="str">
        <f t="shared" si="2"/>
        <v>#DIV/0!</v>
      </c>
      <c r="I11" s="233" t="str">
        <f t="shared" si="3"/>
        <v>#DIV/0!</v>
      </c>
      <c r="J11" s="234"/>
    </row>
    <row r="12" ht="15.75" customHeight="1">
      <c r="A12" s="229">
        <v>44420.0</v>
      </c>
      <c r="B12" s="232"/>
      <c r="C12" s="231"/>
      <c r="D12" s="232"/>
      <c r="E12" s="232"/>
      <c r="F12" s="231" t="str">
        <f t="shared" si="1"/>
        <v>#DIV/0!</v>
      </c>
      <c r="G12" s="232"/>
      <c r="H12" s="231" t="str">
        <f t="shared" si="2"/>
        <v>#DIV/0!</v>
      </c>
      <c r="I12" s="233" t="str">
        <f t="shared" si="3"/>
        <v>#DIV/0!</v>
      </c>
      <c r="J12" s="234"/>
    </row>
    <row r="13" ht="15.75" customHeight="1">
      <c r="A13" s="229">
        <v>44421.0</v>
      </c>
      <c r="B13" s="232"/>
      <c r="C13" s="231"/>
      <c r="D13" s="232"/>
      <c r="E13" s="232"/>
      <c r="F13" s="231" t="str">
        <f t="shared" si="1"/>
        <v>#DIV/0!</v>
      </c>
      <c r="G13" s="232"/>
      <c r="H13" s="231" t="str">
        <f t="shared" si="2"/>
        <v>#DIV/0!</v>
      </c>
      <c r="I13" s="233" t="str">
        <f t="shared" si="3"/>
        <v>#DIV/0!</v>
      </c>
      <c r="J13" s="234"/>
    </row>
    <row r="14" ht="15.75" customHeight="1">
      <c r="A14" s="229">
        <v>44422.0</v>
      </c>
      <c r="B14" s="232"/>
      <c r="C14" s="231"/>
      <c r="D14" s="232"/>
      <c r="E14" s="232"/>
      <c r="F14" s="231" t="str">
        <f t="shared" si="1"/>
        <v>#DIV/0!</v>
      </c>
      <c r="G14" s="232"/>
      <c r="H14" s="231" t="str">
        <f t="shared" si="2"/>
        <v>#DIV/0!</v>
      </c>
      <c r="I14" s="233" t="str">
        <f t="shared" si="3"/>
        <v>#DIV/0!</v>
      </c>
      <c r="J14" s="234"/>
    </row>
    <row r="15" ht="15.75" customHeight="1">
      <c r="A15" s="229">
        <v>44423.0</v>
      </c>
      <c r="B15" s="232"/>
      <c r="C15" s="231"/>
      <c r="D15" s="232"/>
      <c r="E15" s="232"/>
      <c r="F15" s="231" t="str">
        <f t="shared" si="1"/>
        <v>#DIV/0!</v>
      </c>
      <c r="G15" s="232"/>
      <c r="H15" s="231" t="str">
        <f t="shared" si="2"/>
        <v>#DIV/0!</v>
      </c>
      <c r="I15" s="233" t="str">
        <f t="shared" si="3"/>
        <v>#DIV/0!</v>
      </c>
      <c r="J15" s="234"/>
    </row>
    <row r="16" ht="15.75" customHeight="1">
      <c r="A16" s="229">
        <v>44424.0</v>
      </c>
      <c r="B16" s="232"/>
      <c r="C16" s="231"/>
      <c r="D16" s="232"/>
      <c r="E16" s="232"/>
      <c r="F16" s="231" t="str">
        <f t="shared" si="1"/>
        <v>#DIV/0!</v>
      </c>
      <c r="G16" s="232"/>
      <c r="H16" s="231" t="str">
        <f t="shared" si="2"/>
        <v>#DIV/0!</v>
      </c>
      <c r="I16" s="233" t="str">
        <f t="shared" si="3"/>
        <v>#DIV/0!</v>
      </c>
      <c r="J16" s="234"/>
    </row>
    <row r="17" ht="15.75" customHeight="1">
      <c r="A17" s="229">
        <v>44425.0</v>
      </c>
      <c r="B17" s="232"/>
      <c r="C17" s="231"/>
      <c r="D17" s="232"/>
      <c r="E17" s="232"/>
      <c r="F17" s="231" t="str">
        <f t="shared" si="1"/>
        <v>#DIV/0!</v>
      </c>
      <c r="G17" s="232"/>
      <c r="H17" s="231" t="str">
        <f t="shared" si="2"/>
        <v>#DIV/0!</v>
      </c>
      <c r="I17" s="233" t="str">
        <f t="shared" si="3"/>
        <v>#DIV/0!</v>
      </c>
      <c r="J17" s="234"/>
    </row>
    <row r="18" ht="15.75" customHeight="1">
      <c r="A18" s="229">
        <v>44426.0</v>
      </c>
      <c r="B18" s="232"/>
      <c r="C18" s="231"/>
      <c r="D18" s="232"/>
      <c r="E18" s="232"/>
      <c r="F18" s="231" t="str">
        <f t="shared" si="1"/>
        <v>#DIV/0!</v>
      </c>
      <c r="G18" s="232"/>
      <c r="H18" s="231" t="str">
        <f t="shared" si="2"/>
        <v>#DIV/0!</v>
      </c>
      <c r="I18" s="233" t="str">
        <f t="shared" si="3"/>
        <v>#DIV/0!</v>
      </c>
      <c r="J18" s="234"/>
    </row>
    <row r="19" ht="15.75" customHeight="1">
      <c r="A19" s="229">
        <v>44427.0</v>
      </c>
      <c r="B19" s="232"/>
      <c r="C19" s="231"/>
      <c r="D19" s="232"/>
      <c r="E19" s="232"/>
      <c r="F19" s="231" t="str">
        <f t="shared" si="1"/>
        <v>#DIV/0!</v>
      </c>
      <c r="G19" s="232"/>
      <c r="H19" s="231" t="str">
        <f t="shared" si="2"/>
        <v>#DIV/0!</v>
      </c>
      <c r="I19" s="233" t="str">
        <f t="shared" si="3"/>
        <v>#DIV/0!</v>
      </c>
      <c r="J19" s="234"/>
    </row>
    <row r="20" ht="15.75" customHeight="1">
      <c r="A20" s="229">
        <v>44428.0</v>
      </c>
      <c r="B20" s="232"/>
      <c r="C20" s="231"/>
      <c r="D20" s="232"/>
      <c r="E20" s="232"/>
      <c r="F20" s="231" t="str">
        <f t="shared" si="1"/>
        <v>#DIV/0!</v>
      </c>
      <c r="G20" s="232"/>
      <c r="H20" s="231" t="str">
        <f t="shared" si="2"/>
        <v>#DIV/0!</v>
      </c>
      <c r="I20" s="233" t="str">
        <f t="shared" si="3"/>
        <v>#DIV/0!</v>
      </c>
      <c r="J20" s="234"/>
    </row>
    <row r="21" ht="15.75" customHeight="1">
      <c r="A21" s="229">
        <v>44429.0</v>
      </c>
      <c r="B21" s="232"/>
      <c r="C21" s="231"/>
      <c r="D21" s="232"/>
      <c r="E21" s="232"/>
      <c r="F21" s="231" t="str">
        <f t="shared" si="1"/>
        <v>#DIV/0!</v>
      </c>
      <c r="G21" s="232"/>
      <c r="H21" s="231" t="str">
        <f t="shared" si="2"/>
        <v>#DIV/0!</v>
      </c>
      <c r="I21" s="233" t="str">
        <f t="shared" si="3"/>
        <v>#DIV/0!</v>
      </c>
      <c r="J21" s="234"/>
    </row>
    <row r="22" ht="15.75" customHeight="1">
      <c r="A22" s="229">
        <v>44430.0</v>
      </c>
      <c r="B22" s="232"/>
      <c r="C22" s="231"/>
      <c r="D22" s="232"/>
      <c r="E22" s="232"/>
      <c r="F22" s="231" t="str">
        <f t="shared" si="1"/>
        <v>#DIV/0!</v>
      </c>
      <c r="G22" s="232"/>
      <c r="H22" s="231" t="str">
        <f t="shared" si="2"/>
        <v>#DIV/0!</v>
      </c>
      <c r="I22" s="233" t="str">
        <f t="shared" si="3"/>
        <v>#DIV/0!</v>
      </c>
      <c r="J22" s="234"/>
    </row>
    <row r="23" ht="15.75" customHeight="1">
      <c r="A23" s="229">
        <v>44431.0</v>
      </c>
      <c r="B23" s="232"/>
      <c r="C23" s="231"/>
      <c r="D23" s="232"/>
      <c r="E23" s="232"/>
      <c r="F23" s="231" t="str">
        <f t="shared" si="1"/>
        <v>#DIV/0!</v>
      </c>
      <c r="G23" s="232"/>
      <c r="H23" s="231" t="str">
        <f t="shared" si="2"/>
        <v>#DIV/0!</v>
      </c>
      <c r="I23" s="233" t="str">
        <f t="shared" si="3"/>
        <v>#DIV/0!</v>
      </c>
      <c r="J23" s="234"/>
    </row>
    <row r="24" ht="15.75" customHeight="1">
      <c r="A24" s="229">
        <v>44432.0</v>
      </c>
      <c r="B24" s="232"/>
      <c r="C24" s="231"/>
      <c r="D24" s="232"/>
      <c r="E24" s="232"/>
      <c r="F24" s="231" t="str">
        <f t="shared" si="1"/>
        <v>#DIV/0!</v>
      </c>
      <c r="G24" s="232"/>
      <c r="H24" s="231" t="str">
        <f t="shared" si="2"/>
        <v>#DIV/0!</v>
      </c>
      <c r="I24" s="233" t="str">
        <f t="shared" si="3"/>
        <v>#DIV/0!</v>
      </c>
      <c r="J24" s="234"/>
    </row>
    <row r="25" ht="15.75" customHeight="1">
      <c r="A25" s="229">
        <v>44433.0</v>
      </c>
      <c r="B25" s="232"/>
      <c r="C25" s="231"/>
      <c r="D25" s="232"/>
      <c r="E25" s="232"/>
      <c r="F25" s="231" t="str">
        <f t="shared" si="1"/>
        <v>#DIV/0!</v>
      </c>
      <c r="G25" s="232"/>
      <c r="H25" s="231" t="str">
        <f t="shared" si="2"/>
        <v>#DIV/0!</v>
      </c>
      <c r="I25" s="233" t="str">
        <f t="shared" si="3"/>
        <v>#DIV/0!</v>
      </c>
      <c r="J25" s="234"/>
    </row>
    <row r="26" ht="15.75" customHeight="1">
      <c r="A26" s="229">
        <v>44434.0</v>
      </c>
      <c r="B26" s="232"/>
      <c r="C26" s="231"/>
      <c r="D26" s="232"/>
      <c r="E26" s="232"/>
      <c r="F26" s="231" t="str">
        <f t="shared" si="1"/>
        <v>#DIV/0!</v>
      </c>
      <c r="G26" s="232"/>
      <c r="H26" s="231" t="str">
        <f t="shared" si="2"/>
        <v>#DIV/0!</v>
      </c>
      <c r="I26" s="233" t="str">
        <f t="shared" si="3"/>
        <v>#DIV/0!</v>
      </c>
      <c r="J26" s="234"/>
    </row>
    <row r="27" ht="15.75" customHeight="1">
      <c r="A27" s="229">
        <v>44435.0</v>
      </c>
      <c r="B27" s="232"/>
      <c r="C27" s="231"/>
      <c r="D27" s="232"/>
      <c r="E27" s="232"/>
      <c r="F27" s="231" t="str">
        <f t="shared" si="1"/>
        <v>#DIV/0!</v>
      </c>
      <c r="G27" s="232"/>
      <c r="H27" s="231" t="str">
        <f t="shared" si="2"/>
        <v>#DIV/0!</v>
      </c>
      <c r="I27" s="233" t="str">
        <f t="shared" si="3"/>
        <v>#DIV/0!</v>
      </c>
      <c r="J27" s="234"/>
    </row>
    <row r="28" ht="15.75" customHeight="1">
      <c r="A28" s="229">
        <v>44436.0</v>
      </c>
      <c r="B28" s="232"/>
      <c r="C28" s="231"/>
      <c r="D28" s="232"/>
      <c r="E28" s="232"/>
      <c r="F28" s="231" t="str">
        <f t="shared" si="1"/>
        <v>#DIV/0!</v>
      </c>
      <c r="G28" s="232"/>
      <c r="H28" s="231" t="str">
        <f t="shared" si="2"/>
        <v>#DIV/0!</v>
      </c>
      <c r="I28" s="233" t="str">
        <f t="shared" si="3"/>
        <v>#DIV/0!</v>
      </c>
      <c r="J28" s="234"/>
    </row>
    <row r="29" ht="15.75" customHeight="1">
      <c r="A29" s="229">
        <v>44437.0</v>
      </c>
      <c r="B29" s="232"/>
      <c r="C29" s="231"/>
      <c r="D29" s="232"/>
      <c r="E29" s="232"/>
      <c r="F29" s="231" t="str">
        <f t="shared" si="1"/>
        <v>#DIV/0!</v>
      </c>
      <c r="G29" s="232"/>
      <c r="H29" s="231" t="str">
        <f t="shared" si="2"/>
        <v>#DIV/0!</v>
      </c>
      <c r="I29" s="233" t="str">
        <f t="shared" si="3"/>
        <v>#DIV/0!</v>
      </c>
      <c r="J29" s="234"/>
    </row>
    <row r="30" ht="15.75" customHeight="1">
      <c r="A30" s="229">
        <v>44438.0</v>
      </c>
      <c r="B30" s="232"/>
      <c r="C30" s="231"/>
      <c r="D30" s="232"/>
      <c r="E30" s="232"/>
      <c r="F30" s="231" t="str">
        <f t="shared" si="1"/>
        <v>#DIV/0!</v>
      </c>
      <c r="G30" s="232"/>
      <c r="H30" s="231" t="str">
        <f t="shared" si="2"/>
        <v>#DIV/0!</v>
      </c>
      <c r="I30" s="233" t="str">
        <f t="shared" si="3"/>
        <v>#DIV/0!</v>
      </c>
      <c r="J30" s="234"/>
    </row>
    <row r="31" ht="15.75" customHeight="1">
      <c r="A31" s="229">
        <v>44439.0</v>
      </c>
      <c r="B31" s="232"/>
      <c r="C31" s="231"/>
      <c r="D31" s="232"/>
      <c r="E31" s="232"/>
      <c r="F31" s="231" t="str">
        <f t="shared" si="1"/>
        <v>#DIV/0!</v>
      </c>
      <c r="G31" s="232"/>
      <c r="H31" s="231" t="str">
        <f t="shared" si="2"/>
        <v>#DIV/0!</v>
      </c>
      <c r="I31" s="233" t="str">
        <f t="shared" si="3"/>
        <v>#DIV/0!</v>
      </c>
      <c r="J31" s="234"/>
    </row>
    <row r="32" ht="15.75" customHeight="1">
      <c r="A32" s="229">
        <v>44440.0</v>
      </c>
      <c r="B32" s="232"/>
      <c r="C32" s="231"/>
      <c r="D32" s="232"/>
      <c r="E32" s="232"/>
      <c r="F32" s="231" t="str">
        <f t="shared" si="1"/>
        <v>#DIV/0!</v>
      </c>
      <c r="G32" s="232"/>
      <c r="H32" s="231" t="str">
        <f t="shared" si="2"/>
        <v>#DIV/0!</v>
      </c>
      <c r="I32" s="233" t="str">
        <f t="shared" si="3"/>
        <v>#DIV/0!</v>
      </c>
      <c r="J32" s="234"/>
    </row>
    <row r="33" ht="15.75" customHeight="1">
      <c r="A33" s="229">
        <v>44441.0</v>
      </c>
      <c r="B33" s="232"/>
      <c r="C33" s="231"/>
      <c r="D33" s="232"/>
      <c r="E33" s="232"/>
      <c r="F33" s="231" t="str">
        <f t="shared" si="1"/>
        <v>#DIV/0!</v>
      </c>
      <c r="G33" s="232"/>
      <c r="H33" s="231" t="str">
        <f t="shared" si="2"/>
        <v>#DIV/0!</v>
      </c>
      <c r="I33" s="233" t="str">
        <f t="shared" si="3"/>
        <v>#DIV/0!</v>
      </c>
      <c r="J33" s="234"/>
    </row>
    <row r="34" ht="15.75" customHeight="1">
      <c r="A34" s="229">
        <v>44442.0</v>
      </c>
      <c r="B34" s="232"/>
      <c r="C34" s="231"/>
      <c r="D34" s="232"/>
      <c r="E34" s="232"/>
      <c r="F34" s="231" t="str">
        <f t="shared" si="1"/>
        <v>#DIV/0!</v>
      </c>
      <c r="G34" s="232"/>
      <c r="H34" s="231" t="str">
        <f t="shared" si="2"/>
        <v>#DIV/0!</v>
      </c>
      <c r="I34" s="233" t="str">
        <f t="shared" si="3"/>
        <v>#DIV/0!</v>
      </c>
      <c r="J34" s="234"/>
    </row>
    <row r="35" ht="15.75" customHeight="1">
      <c r="A35" s="229">
        <v>44443.0</v>
      </c>
      <c r="B35" s="232"/>
      <c r="C35" s="231"/>
      <c r="D35" s="232"/>
      <c r="E35" s="232"/>
      <c r="F35" s="231" t="str">
        <f t="shared" si="1"/>
        <v>#DIV/0!</v>
      </c>
      <c r="G35" s="232"/>
      <c r="H35" s="231" t="str">
        <f t="shared" si="2"/>
        <v>#DIV/0!</v>
      </c>
      <c r="I35" s="233" t="str">
        <f t="shared" si="3"/>
        <v>#DIV/0!</v>
      </c>
      <c r="J35" s="234"/>
    </row>
    <row r="36" ht="15.75" customHeight="1">
      <c r="A36" s="229">
        <v>44444.0</v>
      </c>
      <c r="B36" s="232"/>
      <c r="C36" s="231"/>
      <c r="D36" s="232"/>
      <c r="E36" s="232"/>
      <c r="F36" s="231" t="str">
        <f t="shared" si="1"/>
        <v>#DIV/0!</v>
      </c>
      <c r="G36" s="232"/>
      <c r="H36" s="231" t="str">
        <f t="shared" si="2"/>
        <v>#DIV/0!</v>
      </c>
      <c r="I36" s="233" t="str">
        <f t="shared" si="3"/>
        <v>#DIV/0!</v>
      </c>
      <c r="J36" s="234"/>
    </row>
    <row r="37" ht="15.75" customHeight="1">
      <c r="A37" s="232" t="s">
        <v>119</v>
      </c>
      <c r="B37" s="230" t="str">
        <f t="shared" ref="B37:H37" si="4">MEDIAN(B2:B36)</f>
        <v>#NUM!</v>
      </c>
      <c r="C37" s="231" t="str">
        <f t="shared" si="4"/>
        <v>#NUM!</v>
      </c>
      <c r="D37" s="232" t="str">
        <f t="shared" si="4"/>
        <v>#NUM!</v>
      </c>
      <c r="E37" s="232" t="str">
        <f t="shared" si="4"/>
        <v>#NUM!</v>
      </c>
      <c r="F37" s="232" t="str">
        <f t="shared" si="4"/>
        <v>#DIV/0!</v>
      </c>
      <c r="G37" s="232" t="str">
        <f t="shared" si="4"/>
        <v>#NUM!</v>
      </c>
      <c r="H37" s="232" t="str">
        <f t="shared" si="4"/>
        <v>#DIV/0!</v>
      </c>
      <c r="I37" s="233"/>
      <c r="J37" s="234" t="str">
        <f>MEDIAN(J2:J36)</f>
        <v>#NUM!</v>
      </c>
    </row>
    <row r="38" ht="15.75" customHeight="1">
      <c r="A38" s="232" t="s">
        <v>39</v>
      </c>
      <c r="B38" s="230">
        <f>SUM(B2:B36)</f>
        <v>0</v>
      </c>
      <c r="C38" s="231"/>
      <c r="D38" s="232">
        <f t="shared" ref="D38:E38" si="5">SUM(D2:D36)</f>
        <v>0</v>
      </c>
      <c r="E38" s="232">
        <f t="shared" si="5"/>
        <v>0</v>
      </c>
      <c r="F38" s="232" t="str">
        <f>E38/D38</f>
        <v>#DIV/0!</v>
      </c>
      <c r="G38" s="232">
        <f>SUM(G2:G36)</f>
        <v>0</v>
      </c>
      <c r="H38" s="231" t="str">
        <f>G38/E38</f>
        <v>#DIV/0!</v>
      </c>
      <c r="I38" s="233" t="str">
        <f>J38/G38</f>
        <v>#DIV/0!</v>
      </c>
      <c r="J38" s="234">
        <f>SUM(J2:J36)</f>
        <v>0</v>
      </c>
    </row>
    <row r="39" ht="15.75" customHeight="1">
      <c r="A39" s="235"/>
      <c r="B39" s="235"/>
      <c r="C39" s="236"/>
      <c r="D39" s="235"/>
      <c r="E39" s="235"/>
      <c r="F39" s="235"/>
      <c r="G39" s="235"/>
      <c r="H39" s="235"/>
      <c r="I39" s="237"/>
      <c r="J39" s="237"/>
    </row>
    <row r="40" ht="15.75" customHeight="1">
      <c r="A40" s="235"/>
      <c r="B40" s="235"/>
      <c r="C40" s="236"/>
      <c r="D40" s="235"/>
      <c r="E40" s="235"/>
      <c r="F40" s="235"/>
      <c r="G40" s="235"/>
      <c r="H40" s="235"/>
      <c r="I40" s="237"/>
      <c r="J40" s="237"/>
    </row>
    <row r="41" ht="15.75" customHeight="1">
      <c r="A41" s="235"/>
      <c r="B41" s="235"/>
      <c r="C41" s="236"/>
      <c r="D41" s="235"/>
      <c r="E41" s="235"/>
      <c r="F41" s="235"/>
      <c r="G41" s="235"/>
      <c r="H41" s="235"/>
      <c r="I41" s="237"/>
      <c r="J41" s="237"/>
    </row>
    <row r="42" ht="15.75" customHeight="1">
      <c r="A42" s="235"/>
      <c r="B42" s="235"/>
      <c r="C42" s="236"/>
      <c r="D42" s="235"/>
      <c r="E42" s="235"/>
      <c r="F42" s="235"/>
      <c r="G42" s="235"/>
      <c r="H42" s="235"/>
      <c r="I42" s="237"/>
      <c r="J42" s="237"/>
    </row>
    <row r="43" ht="15.75" customHeight="1">
      <c r="A43" s="235"/>
      <c r="B43" s="235"/>
      <c r="C43" s="236"/>
      <c r="D43" s="235"/>
      <c r="E43" s="235"/>
      <c r="F43" s="235"/>
      <c r="G43" s="235"/>
      <c r="H43" s="235"/>
      <c r="I43" s="237"/>
      <c r="J43" s="237"/>
    </row>
    <row r="44" ht="15.75" customHeight="1">
      <c r="A44" s="235"/>
      <c r="B44" s="235"/>
      <c r="C44" s="236"/>
      <c r="D44" s="235"/>
      <c r="E44" s="235"/>
      <c r="F44" s="235"/>
      <c r="G44" s="235"/>
      <c r="H44" s="235"/>
      <c r="I44" s="237"/>
      <c r="J44" s="237"/>
    </row>
    <row r="45" ht="15.75" customHeight="1">
      <c r="A45" s="235"/>
      <c r="B45" s="235"/>
      <c r="C45" s="236"/>
      <c r="D45" s="235"/>
      <c r="E45" s="235"/>
      <c r="F45" s="235"/>
      <c r="G45" s="235"/>
      <c r="H45" s="235"/>
      <c r="I45" s="237"/>
      <c r="J45" s="237"/>
    </row>
    <row r="46" ht="15.75" customHeight="1">
      <c r="A46" s="235"/>
      <c r="B46" s="235"/>
      <c r="C46" s="236"/>
      <c r="D46" s="235"/>
      <c r="E46" s="235"/>
      <c r="F46" s="235"/>
      <c r="G46" s="235"/>
      <c r="H46" s="235"/>
      <c r="I46" s="237"/>
      <c r="J46" s="237"/>
    </row>
    <row r="47" ht="15.75" customHeight="1">
      <c r="A47" s="235"/>
      <c r="B47" s="235"/>
      <c r="C47" s="236"/>
      <c r="D47" s="235"/>
      <c r="E47" s="235"/>
      <c r="F47" s="235"/>
      <c r="G47" s="235"/>
      <c r="H47" s="235"/>
      <c r="I47" s="237"/>
      <c r="J47" s="237"/>
    </row>
    <row r="48" ht="15.75" customHeight="1">
      <c r="A48" s="235"/>
      <c r="B48" s="235"/>
      <c r="C48" s="236"/>
      <c r="D48" s="235"/>
      <c r="E48" s="235"/>
      <c r="F48" s="235"/>
      <c r="G48" s="235"/>
      <c r="H48" s="235"/>
      <c r="I48" s="237"/>
      <c r="J48" s="237"/>
    </row>
    <row r="49" ht="15.75" customHeight="1">
      <c r="A49" s="235"/>
      <c r="B49" s="235"/>
      <c r="C49" s="236"/>
      <c r="D49" s="235"/>
      <c r="E49" s="235"/>
      <c r="F49" s="235"/>
      <c r="G49" s="235"/>
      <c r="H49" s="235"/>
      <c r="I49" s="237"/>
      <c r="J49" s="237"/>
    </row>
    <row r="50" ht="15.75" customHeight="1">
      <c r="A50" s="235"/>
      <c r="B50" s="235"/>
      <c r="C50" s="236"/>
      <c r="D50" s="235"/>
      <c r="E50" s="235"/>
      <c r="F50" s="235"/>
      <c r="G50" s="235"/>
      <c r="H50" s="235"/>
      <c r="I50" s="237"/>
      <c r="J50" s="237"/>
    </row>
    <row r="51" ht="15.75" customHeight="1">
      <c r="A51" s="235"/>
      <c r="B51" s="235"/>
      <c r="C51" s="236"/>
      <c r="D51" s="235"/>
      <c r="E51" s="235"/>
      <c r="F51" s="235"/>
      <c r="G51" s="235"/>
      <c r="H51" s="235"/>
      <c r="I51" s="237"/>
      <c r="J51" s="237"/>
    </row>
    <row r="52" ht="15.75" customHeight="1">
      <c r="A52" s="235"/>
      <c r="B52" s="235"/>
      <c r="C52" s="236"/>
      <c r="D52" s="235"/>
      <c r="E52" s="235"/>
      <c r="F52" s="235"/>
      <c r="G52" s="235"/>
      <c r="H52" s="235"/>
      <c r="I52" s="237"/>
      <c r="J52" s="237"/>
    </row>
    <row r="53" ht="15.75" customHeight="1">
      <c r="A53" s="235"/>
      <c r="B53" s="235"/>
      <c r="C53" s="236"/>
      <c r="D53" s="235"/>
      <c r="E53" s="235"/>
      <c r="F53" s="235"/>
      <c r="G53" s="235"/>
      <c r="H53" s="235"/>
      <c r="I53" s="237"/>
      <c r="J53" s="237"/>
    </row>
    <row r="54" ht="15.75" customHeight="1">
      <c r="A54" s="235"/>
      <c r="B54" s="235"/>
      <c r="C54" s="236"/>
      <c r="D54" s="235"/>
      <c r="E54" s="235"/>
      <c r="F54" s="235"/>
      <c r="G54" s="235"/>
      <c r="H54" s="235"/>
      <c r="I54" s="237"/>
      <c r="J54" s="237"/>
    </row>
    <row r="55" ht="15.75" customHeight="1">
      <c r="A55" s="235"/>
      <c r="B55" s="235"/>
      <c r="C55" s="236"/>
      <c r="D55" s="235"/>
      <c r="E55" s="235"/>
      <c r="F55" s="235"/>
      <c r="G55" s="235"/>
      <c r="H55" s="235"/>
      <c r="I55" s="237"/>
      <c r="J55" s="237"/>
    </row>
    <row r="56" ht="15.75" customHeight="1">
      <c r="A56" s="235"/>
      <c r="B56" s="235"/>
      <c r="C56" s="236"/>
      <c r="D56" s="235"/>
      <c r="E56" s="235"/>
      <c r="F56" s="235"/>
      <c r="G56" s="235"/>
      <c r="H56" s="235"/>
      <c r="I56" s="237"/>
      <c r="J56" s="237"/>
    </row>
    <row r="57" ht="15.75" customHeight="1">
      <c r="A57" s="235"/>
      <c r="B57" s="235"/>
      <c r="C57" s="236"/>
      <c r="D57" s="235"/>
      <c r="E57" s="235"/>
      <c r="F57" s="235"/>
      <c r="G57" s="235"/>
      <c r="H57" s="235"/>
      <c r="I57" s="237"/>
      <c r="J57" s="237"/>
    </row>
    <row r="58" ht="15.75" customHeight="1">
      <c r="A58" s="235"/>
      <c r="B58" s="235"/>
      <c r="C58" s="236"/>
      <c r="D58" s="235"/>
      <c r="E58" s="235"/>
      <c r="F58" s="235"/>
      <c r="G58" s="235"/>
      <c r="H58" s="235"/>
      <c r="I58" s="237"/>
      <c r="J58" s="237"/>
    </row>
    <row r="59" ht="15.75" customHeight="1">
      <c r="A59" s="235"/>
      <c r="B59" s="235"/>
      <c r="C59" s="236"/>
      <c r="D59" s="235"/>
      <c r="E59" s="235"/>
      <c r="F59" s="235"/>
      <c r="G59" s="235"/>
      <c r="H59" s="235"/>
      <c r="I59" s="237"/>
      <c r="J59" s="237"/>
    </row>
    <row r="60" ht="15.75" customHeight="1">
      <c r="A60" s="235"/>
      <c r="B60" s="235"/>
      <c r="C60" s="236"/>
      <c r="D60" s="235"/>
      <c r="E60" s="235"/>
      <c r="F60" s="235"/>
      <c r="G60" s="235"/>
      <c r="H60" s="235"/>
      <c r="I60" s="237"/>
      <c r="J60" s="237"/>
    </row>
    <row r="61" ht="15.75" customHeight="1">
      <c r="A61" s="235"/>
      <c r="B61" s="235"/>
      <c r="C61" s="236"/>
      <c r="D61" s="235"/>
      <c r="E61" s="235"/>
      <c r="F61" s="235"/>
      <c r="G61" s="235"/>
      <c r="H61" s="235"/>
      <c r="I61" s="237"/>
      <c r="J61" s="237"/>
    </row>
    <row r="62" ht="15.75" customHeight="1">
      <c r="A62" s="235"/>
      <c r="B62" s="235"/>
      <c r="C62" s="236"/>
      <c r="D62" s="235"/>
      <c r="E62" s="235"/>
      <c r="F62" s="235"/>
      <c r="G62" s="235"/>
      <c r="H62" s="235"/>
      <c r="I62" s="237"/>
      <c r="J62" s="237"/>
    </row>
    <row r="63" ht="15.75" customHeight="1">
      <c r="A63" s="235"/>
      <c r="B63" s="235"/>
      <c r="C63" s="236"/>
      <c r="D63" s="235"/>
      <c r="E63" s="235"/>
      <c r="F63" s="235"/>
      <c r="G63" s="235"/>
      <c r="H63" s="235"/>
      <c r="I63" s="237"/>
      <c r="J63" s="237"/>
    </row>
    <row r="64" ht="15.75" customHeight="1">
      <c r="A64" s="235"/>
      <c r="B64" s="235"/>
      <c r="C64" s="236"/>
      <c r="D64" s="235"/>
      <c r="E64" s="235"/>
      <c r="F64" s="235"/>
      <c r="G64" s="235"/>
      <c r="H64" s="235"/>
      <c r="I64" s="237"/>
      <c r="J64" s="237"/>
    </row>
    <row r="65" ht="15.75" customHeight="1">
      <c r="A65" s="235"/>
      <c r="B65" s="235"/>
      <c r="C65" s="236"/>
      <c r="D65" s="235"/>
      <c r="E65" s="235"/>
      <c r="F65" s="235"/>
      <c r="G65" s="235"/>
      <c r="H65" s="235"/>
      <c r="I65" s="237"/>
      <c r="J65" s="237"/>
    </row>
    <row r="66" ht="15.75" customHeight="1">
      <c r="A66" s="235"/>
      <c r="B66" s="235"/>
      <c r="C66" s="236"/>
      <c r="D66" s="235"/>
      <c r="E66" s="235"/>
      <c r="F66" s="235"/>
      <c r="G66" s="235"/>
      <c r="H66" s="235"/>
      <c r="I66" s="237"/>
      <c r="J66" s="237"/>
    </row>
    <row r="67" ht="15.75" customHeight="1">
      <c r="A67" s="235"/>
      <c r="B67" s="235"/>
      <c r="C67" s="236"/>
      <c r="D67" s="235"/>
      <c r="E67" s="235"/>
      <c r="F67" s="235"/>
      <c r="G67" s="235"/>
      <c r="H67" s="235"/>
      <c r="I67" s="237"/>
      <c r="J67" s="237"/>
    </row>
    <row r="68" ht="15.75" customHeight="1">
      <c r="A68" s="235"/>
      <c r="B68" s="235"/>
      <c r="C68" s="236"/>
      <c r="D68" s="235"/>
      <c r="E68" s="235"/>
      <c r="F68" s="235"/>
      <c r="G68" s="235"/>
      <c r="H68" s="235"/>
      <c r="I68" s="237"/>
      <c r="J68" s="237"/>
    </row>
    <row r="69" ht="15.75" customHeight="1">
      <c r="A69" s="235"/>
      <c r="B69" s="235"/>
      <c r="C69" s="236"/>
      <c r="D69" s="235"/>
      <c r="E69" s="235"/>
      <c r="F69" s="235"/>
      <c r="G69" s="235"/>
      <c r="H69" s="235"/>
      <c r="I69" s="237"/>
      <c r="J69" s="237"/>
    </row>
    <row r="70" ht="15.75" customHeight="1">
      <c r="A70" s="235"/>
      <c r="B70" s="235"/>
      <c r="C70" s="236"/>
      <c r="D70" s="235"/>
      <c r="E70" s="235"/>
      <c r="F70" s="235"/>
      <c r="G70" s="235"/>
      <c r="H70" s="235"/>
      <c r="I70" s="237"/>
      <c r="J70" s="237"/>
    </row>
    <row r="71" ht="15.75" customHeight="1">
      <c r="A71" s="235"/>
      <c r="B71" s="235"/>
      <c r="C71" s="236"/>
      <c r="D71" s="235"/>
      <c r="E71" s="235"/>
      <c r="F71" s="235"/>
      <c r="G71" s="235"/>
      <c r="H71" s="235"/>
      <c r="I71" s="237"/>
      <c r="J71" s="237"/>
    </row>
    <row r="72" ht="15.75" customHeight="1">
      <c r="A72" s="235"/>
      <c r="B72" s="235"/>
      <c r="C72" s="236"/>
      <c r="D72" s="235"/>
      <c r="E72" s="235"/>
      <c r="F72" s="235"/>
      <c r="G72" s="235"/>
      <c r="H72" s="235"/>
      <c r="I72" s="237"/>
      <c r="J72" s="237"/>
    </row>
    <row r="73" ht="15.75" customHeight="1">
      <c r="A73" s="235"/>
      <c r="B73" s="235"/>
      <c r="C73" s="236"/>
      <c r="D73" s="235"/>
      <c r="E73" s="235"/>
      <c r="F73" s="235"/>
      <c r="G73" s="235"/>
      <c r="H73" s="235"/>
      <c r="I73" s="237"/>
      <c r="J73" s="237"/>
    </row>
    <row r="74" ht="15.75" customHeight="1">
      <c r="A74" s="235"/>
      <c r="B74" s="235"/>
      <c r="C74" s="236"/>
      <c r="D74" s="235"/>
      <c r="E74" s="235"/>
      <c r="F74" s="235"/>
      <c r="G74" s="235"/>
      <c r="H74" s="235"/>
      <c r="I74" s="237"/>
      <c r="J74" s="237"/>
    </row>
    <row r="75" ht="15.75" customHeight="1">
      <c r="A75" s="235"/>
      <c r="B75" s="235"/>
      <c r="C75" s="236"/>
      <c r="D75" s="235"/>
      <c r="E75" s="235"/>
      <c r="F75" s="235"/>
      <c r="G75" s="235"/>
      <c r="H75" s="235"/>
      <c r="I75" s="237"/>
      <c r="J75" s="237"/>
    </row>
    <row r="76" ht="15.75" customHeight="1">
      <c r="A76" s="235"/>
      <c r="B76" s="235"/>
      <c r="C76" s="236"/>
      <c r="D76" s="235"/>
      <c r="E76" s="235"/>
      <c r="F76" s="235"/>
      <c r="G76" s="235"/>
      <c r="H76" s="235"/>
      <c r="I76" s="237"/>
      <c r="J76" s="237"/>
    </row>
    <row r="77" ht="15.75" customHeight="1">
      <c r="A77" s="235"/>
      <c r="B77" s="235"/>
      <c r="C77" s="236"/>
      <c r="D77" s="235"/>
      <c r="E77" s="235"/>
      <c r="F77" s="235"/>
      <c r="G77" s="235"/>
      <c r="H77" s="235"/>
      <c r="I77" s="237"/>
      <c r="J77" s="237"/>
    </row>
    <row r="78" ht="15.75" customHeight="1">
      <c r="A78" s="235"/>
      <c r="B78" s="235"/>
      <c r="C78" s="236"/>
      <c r="D78" s="235"/>
      <c r="E78" s="235"/>
      <c r="F78" s="235"/>
      <c r="G78" s="235"/>
      <c r="H78" s="235"/>
      <c r="I78" s="237"/>
      <c r="J78" s="237"/>
    </row>
    <row r="79" ht="15.75" customHeight="1">
      <c r="A79" s="235"/>
      <c r="B79" s="235"/>
      <c r="C79" s="236"/>
      <c r="D79" s="235"/>
      <c r="E79" s="235"/>
      <c r="F79" s="235"/>
      <c r="G79" s="235"/>
      <c r="H79" s="235"/>
      <c r="I79" s="237"/>
      <c r="J79" s="237"/>
    </row>
    <row r="80" ht="15.75" customHeight="1">
      <c r="A80" s="235"/>
      <c r="B80" s="235"/>
      <c r="C80" s="236"/>
      <c r="D80" s="235"/>
      <c r="E80" s="235"/>
      <c r="F80" s="235"/>
      <c r="G80" s="235"/>
      <c r="H80" s="235"/>
      <c r="I80" s="237"/>
      <c r="J80" s="237"/>
    </row>
    <row r="81" ht="15.75" customHeight="1">
      <c r="A81" s="235"/>
      <c r="B81" s="235"/>
      <c r="C81" s="236"/>
      <c r="D81" s="235"/>
      <c r="E81" s="235"/>
      <c r="F81" s="235"/>
      <c r="G81" s="235"/>
      <c r="H81" s="235"/>
      <c r="I81" s="237"/>
      <c r="J81" s="237"/>
    </row>
    <row r="82" ht="15.75" customHeight="1">
      <c r="A82" s="235"/>
      <c r="B82" s="235"/>
      <c r="C82" s="236"/>
      <c r="D82" s="235"/>
      <c r="E82" s="235"/>
      <c r="F82" s="235"/>
      <c r="G82" s="235"/>
      <c r="H82" s="235"/>
      <c r="I82" s="237"/>
      <c r="J82" s="237"/>
    </row>
    <row r="83" ht="15.75" customHeight="1">
      <c r="A83" s="235"/>
      <c r="B83" s="235"/>
      <c r="C83" s="236"/>
      <c r="D83" s="235"/>
      <c r="E83" s="235"/>
      <c r="F83" s="235"/>
      <c r="G83" s="235"/>
      <c r="H83" s="235"/>
      <c r="I83" s="237"/>
      <c r="J83" s="237"/>
    </row>
    <row r="84" ht="15.75" customHeight="1">
      <c r="A84" s="235"/>
      <c r="B84" s="235"/>
      <c r="C84" s="236"/>
      <c r="D84" s="235"/>
      <c r="E84" s="235"/>
      <c r="F84" s="235"/>
      <c r="G84" s="235"/>
      <c r="H84" s="235"/>
      <c r="I84" s="237"/>
      <c r="J84" s="237"/>
    </row>
    <row r="85" ht="15.75" customHeight="1">
      <c r="A85" s="235"/>
      <c r="B85" s="235"/>
      <c r="C85" s="236"/>
      <c r="D85" s="235"/>
      <c r="E85" s="235"/>
      <c r="F85" s="235"/>
      <c r="G85" s="235"/>
      <c r="H85" s="235"/>
      <c r="I85" s="237"/>
      <c r="J85" s="237"/>
    </row>
    <row r="86" ht="15.75" customHeight="1">
      <c r="A86" s="235"/>
      <c r="B86" s="235"/>
      <c r="C86" s="236"/>
      <c r="D86" s="235"/>
      <c r="E86" s="235"/>
      <c r="F86" s="235"/>
      <c r="G86" s="235"/>
      <c r="H86" s="235"/>
      <c r="I86" s="237"/>
      <c r="J86" s="237"/>
    </row>
    <row r="87" ht="15.75" customHeight="1">
      <c r="A87" s="235"/>
      <c r="B87" s="235"/>
      <c r="C87" s="236"/>
      <c r="D87" s="235"/>
      <c r="E87" s="235"/>
      <c r="F87" s="235"/>
      <c r="G87" s="235"/>
      <c r="H87" s="235"/>
      <c r="I87" s="237"/>
      <c r="J87" s="237"/>
    </row>
    <row r="88" ht="15.75" customHeight="1">
      <c r="A88" s="235"/>
      <c r="B88" s="235"/>
      <c r="C88" s="236"/>
      <c r="D88" s="235"/>
      <c r="E88" s="235"/>
      <c r="F88" s="235"/>
      <c r="G88" s="235"/>
      <c r="H88" s="235"/>
      <c r="I88" s="237"/>
      <c r="J88" s="237"/>
    </row>
    <row r="89" ht="15.75" customHeight="1">
      <c r="A89" s="235"/>
      <c r="B89" s="235"/>
      <c r="C89" s="236"/>
      <c r="D89" s="235"/>
      <c r="E89" s="235"/>
      <c r="F89" s="235"/>
      <c r="G89" s="235"/>
      <c r="H89" s="235"/>
      <c r="I89" s="237"/>
      <c r="J89" s="237"/>
    </row>
    <row r="90" ht="15.75" customHeight="1">
      <c r="A90" s="235"/>
      <c r="B90" s="235"/>
      <c r="C90" s="236"/>
      <c r="D90" s="235"/>
      <c r="E90" s="235"/>
      <c r="F90" s="235"/>
      <c r="G90" s="235"/>
      <c r="H90" s="235"/>
      <c r="I90" s="237"/>
      <c r="J90" s="237"/>
    </row>
    <row r="91" ht="15.75" customHeight="1">
      <c r="A91" s="235"/>
      <c r="B91" s="235"/>
      <c r="C91" s="236"/>
      <c r="D91" s="235"/>
      <c r="E91" s="235"/>
      <c r="F91" s="235"/>
      <c r="G91" s="235"/>
      <c r="H91" s="235"/>
      <c r="I91" s="237"/>
      <c r="J91" s="237"/>
    </row>
    <row r="92" ht="15.75" customHeight="1">
      <c r="A92" s="235"/>
      <c r="B92" s="235"/>
      <c r="C92" s="236"/>
      <c r="D92" s="235"/>
      <c r="E92" s="235"/>
      <c r="F92" s="235"/>
      <c r="G92" s="235"/>
      <c r="H92" s="235"/>
      <c r="I92" s="237"/>
      <c r="J92" s="237"/>
    </row>
    <row r="93" ht="15.75" customHeight="1">
      <c r="A93" s="235"/>
      <c r="B93" s="235"/>
      <c r="C93" s="236"/>
      <c r="D93" s="235"/>
      <c r="E93" s="235"/>
      <c r="F93" s="235"/>
      <c r="G93" s="235"/>
      <c r="H93" s="235"/>
      <c r="I93" s="237"/>
      <c r="J93" s="237"/>
    </row>
    <row r="94" ht="15.75" customHeight="1">
      <c r="A94" s="235"/>
      <c r="B94" s="235"/>
      <c r="C94" s="236"/>
      <c r="D94" s="235"/>
      <c r="E94" s="235"/>
      <c r="F94" s="235"/>
      <c r="G94" s="235"/>
      <c r="H94" s="235"/>
      <c r="I94" s="237"/>
      <c r="J94" s="237"/>
    </row>
    <row r="95" ht="15.75" customHeight="1">
      <c r="A95" s="235"/>
      <c r="B95" s="235"/>
      <c r="C95" s="236"/>
      <c r="D95" s="235"/>
      <c r="E95" s="235"/>
      <c r="F95" s="235"/>
      <c r="G95" s="235"/>
      <c r="H95" s="235"/>
      <c r="I95" s="237"/>
      <c r="J95" s="237"/>
    </row>
    <row r="96" ht="15.75" customHeight="1">
      <c r="A96" s="235"/>
      <c r="B96" s="235"/>
      <c r="C96" s="236"/>
      <c r="D96" s="235"/>
      <c r="E96" s="235"/>
      <c r="F96" s="235"/>
      <c r="G96" s="235"/>
      <c r="H96" s="235"/>
      <c r="I96" s="237"/>
      <c r="J96" s="237"/>
    </row>
    <row r="97" ht="15.75" customHeight="1">
      <c r="A97" s="235"/>
      <c r="B97" s="235"/>
      <c r="C97" s="236"/>
      <c r="D97" s="235"/>
      <c r="E97" s="235"/>
      <c r="F97" s="235"/>
      <c r="G97" s="235"/>
      <c r="H97" s="235"/>
      <c r="I97" s="237"/>
      <c r="J97" s="237"/>
    </row>
    <row r="98" ht="15.75" customHeight="1">
      <c r="A98" s="235"/>
      <c r="B98" s="235"/>
      <c r="C98" s="236"/>
      <c r="D98" s="235"/>
      <c r="E98" s="235"/>
      <c r="F98" s="235"/>
      <c r="G98" s="235"/>
      <c r="H98" s="235"/>
      <c r="I98" s="237"/>
      <c r="J98" s="237"/>
    </row>
    <row r="99" ht="15.75" customHeight="1">
      <c r="A99" s="235"/>
      <c r="B99" s="235"/>
      <c r="C99" s="236"/>
      <c r="D99" s="235"/>
      <c r="E99" s="235"/>
      <c r="F99" s="235"/>
      <c r="G99" s="235"/>
      <c r="H99" s="235"/>
      <c r="I99" s="237"/>
      <c r="J99" s="237"/>
    </row>
    <row r="100" ht="15.75" customHeight="1">
      <c r="A100" s="235"/>
      <c r="B100" s="235"/>
      <c r="C100" s="236"/>
      <c r="D100" s="235"/>
      <c r="E100" s="235"/>
      <c r="F100" s="235"/>
      <c r="G100" s="235"/>
      <c r="H100" s="235"/>
      <c r="I100" s="237"/>
      <c r="J100" s="237"/>
    </row>
    <row r="101" ht="15.75" customHeight="1">
      <c r="A101" s="235"/>
      <c r="B101" s="235"/>
      <c r="C101" s="236"/>
      <c r="D101" s="235"/>
      <c r="E101" s="235"/>
      <c r="F101" s="235"/>
      <c r="G101" s="235"/>
      <c r="H101" s="235"/>
      <c r="I101" s="237"/>
      <c r="J101" s="237"/>
    </row>
    <row r="102" ht="15.75" customHeight="1">
      <c r="A102" s="235"/>
      <c r="B102" s="235"/>
      <c r="C102" s="236"/>
      <c r="D102" s="235"/>
      <c r="E102" s="235"/>
      <c r="F102" s="235"/>
      <c r="G102" s="235"/>
      <c r="H102" s="235"/>
      <c r="I102" s="237"/>
      <c r="J102" s="237"/>
    </row>
    <row r="103" ht="15.75" customHeight="1">
      <c r="A103" s="235"/>
      <c r="B103" s="235"/>
      <c r="C103" s="236"/>
      <c r="D103" s="235"/>
      <c r="E103" s="235"/>
      <c r="F103" s="235"/>
      <c r="G103" s="235"/>
      <c r="H103" s="235"/>
      <c r="I103" s="237"/>
      <c r="J103" s="237"/>
    </row>
    <row r="104" ht="15.75" customHeight="1">
      <c r="A104" s="235"/>
      <c r="B104" s="235"/>
      <c r="C104" s="236"/>
      <c r="D104" s="235"/>
      <c r="E104" s="235"/>
      <c r="F104" s="235"/>
      <c r="G104" s="235"/>
      <c r="H104" s="235"/>
      <c r="I104" s="237"/>
      <c r="J104" s="237"/>
    </row>
    <row r="105" ht="15.75" customHeight="1">
      <c r="A105" s="235"/>
      <c r="B105" s="235"/>
      <c r="C105" s="236"/>
      <c r="D105" s="235"/>
      <c r="E105" s="235"/>
      <c r="F105" s="235"/>
      <c r="G105" s="235"/>
      <c r="H105" s="235"/>
      <c r="I105" s="237"/>
      <c r="J105" s="237"/>
    </row>
    <row r="106" ht="15.75" customHeight="1">
      <c r="A106" s="235"/>
      <c r="B106" s="235"/>
      <c r="C106" s="236"/>
      <c r="D106" s="235"/>
      <c r="E106" s="235"/>
      <c r="F106" s="235"/>
      <c r="G106" s="235"/>
      <c r="H106" s="235"/>
      <c r="I106" s="237"/>
      <c r="J106" s="237"/>
    </row>
    <row r="107" ht="15.75" customHeight="1">
      <c r="A107" s="235"/>
      <c r="B107" s="235"/>
      <c r="C107" s="236"/>
      <c r="D107" s="235"/>
      <c r="E107" s="235"/>
      <c r="F107" s="235"/>
      <c r="G107" s="235"/>
      <c r="H107" s="235"/>
      <c r="I107" s="237"/>
      <c r="J107" s="237"/>
    </row>
    <row r="108" ht="15.75" customHeight="1">
      <c r="A108" s="235"/>
      <c r="B108" s="235"/>
      <c r="C108" s="236"/>
      <c r="D108" s="235"/>
      <c r="E108" s="235"/>
      <c r="F108" s="235"/>
      <c r="G108" s="235"/>
      <c r="H108" s="235"/>
      <c r="I108" s="237"/>
      <c r="J108" s="237"/>
    </row>
    <row r="109" ht="15.75" customHeight="1">
      <c r="A109" s="235"/>
      <c r="B109" s="235"/>
      <c r="C109" s="236"/>
      <c r="D109" s="235"/>
      <c r="E109" s="235"/>
      <c r="F109" s="235"/>
      <c r="G109" s="235"/>
      <c r="H109" s="235"/>
      <c r="I109" s="237"/>
      <c r="J109" s="237"/>
    </row>
    <row r="110" ht="15.75" customHeight="1">
      <c r="A110" s="235"/>
      <c r="B110" s="235"/>
      <c r="C110" s="236"/>
      <c r="D110" s="235"/>
      <c r="E110" s="235"/>
      <c r="F110" s="235"/>
      <c r="G110" s="235"/>
      <c r="H110" s="235"/>
      <c r="I110" s="237"/>
      <c r="J110" s="237"/>
    </row>
    <row r="111" ht="15.75" customHeight="1">
      <c r="A111" s="235"/>
      <c r="B111" s="235"/>
      <c r="C111" s="236"/>
      <c r="D111" s="235"/>
      <c r="E111" s="235"/>
      <c r="F111" s="235"/>
      <c r="G111" s="235"/>
      <c r="H111" s="235"/>
      <c r="I111" s="237"/>
      <c r="J111" s="237"/>
    </row>
    <row r="112" ht="15.75" customHeight="1">
      <c r="A112" s="235"/>
      <c r="B112" s="235"/>
      <c r="C112" s="236"/>
      <c r="D112" s="235"/>
      <c r="E112" s="235"/>
      <c r="F112" s="235"/>
      <c r="G112" s="235"/>
      <c r="H112" s="235"/>
      <c r="I112" s="237"/>
      <c r="J112" s="237"/>
    </row>
    <row r="113" ht="15.75" customHeight="1">
      <c r="A113" s="235"/>
      <c r="B113" s="235"/>
      <c r="C113" s="236"/>
      <c r="D113" s="235"/>
      <c r="E113" s="235"/>
      <c r="F113" s="235"/>
      <c r="G113" s="235"/>
      <c r="H113" s="235"/>
      <c r="I113" s="237"/>
      <c r="J113" s="237"/>
    </row>
    <row r="114" ht="15.75" customHeight="1">
      <c r="A114" s="235"/>
      <c r="B114" s="235"/>
      <c r="C114" s="236"/>
      <c r="D114" s="235"/>
      <c r="E114" s="235"/>
      <c r="F114" s="235"/>
      <c r="G114" s="235"/>
      <c r="H114" s="235"/>
      <c r="I114" s="237"/>
      <c r="J114" s="237"/>
    </row>
    <row r="115" ht="15.75" customHeight="1">
      <c r="A115" s="235"/>
      <c r="B115" s="235"/>
      <c r="C115" s="236"/>
      <c r="D115" s="235"/>
      <c r="E115" s="235"/>
      <c r="F115" s="235"/>
      <c r="G115" s="235"/>
      <c r="H115" s="235"/>
      <c r="I115" s="237"/>
      <c r="J115" s="237"/>
    </row>
    <row r="116" ht="15.75" customHeight="1">
      <c r="A116" s="235"/>
      <c r="B116" s="235"/>
      <c r="C116" s="236"/>
      <c r="D116" s="235"/>
      <c r="E116" s="235"/>
      <c r="F116" s="235"/>
      <c r="G116" s="235"/>
      <c r="H116" s="235"/>
      <c r="I116" s="237"/>
      <c r="J116" s="237"/>
    </row>
    <row r="117" ht="15.75" customHeight="1">
      <c r="A117" s="235"/>
      <c r="B117" s="235"/>
      <c r="C117" s="236"/>
      <c r="D117" s="235"/>
      <c r="E117" s="235"/>
      <c r="F117" s="235"/>
      <c r="G117" s="235"/>
      <c r="H117" s="235"/>
      <c r="I117" s="237"/>
      <c r="J117" s="237"/>
    </row>
    <row r="118" ht="15.75" customHeight="1">
      <c r="A118" s="235"/>
      <c r="B118" s="235"/>
      <c r="C118" s="236"/>
      <c r="D118" s="235"/>
      <c r="E118" s="235"/>
      <c r="F118" s="235"/>
      <c r="G118" s="235"/>
      <c r="H118" s="235"/>
      <c r="I118" s="237"/>
      <c r="J118" s="237"/>
    </row>
    <row r="119" ht="15.75" customHeight="1">
      <c r="A119" s="235"/>
      <c r="B119" s="235"/>
      <c r="C119" s="236"/>
      <c r="D119" s="235"/>
      <c r="E119" s="235"/>
      <c r="F119" s="235"/>
      <c r="G119" s="235"/>
      <c r="H119" s="235"/>
      <c r="I119" s="237"/>
      <c r="J119" s="237"/>
    </row>
    <row r="120" ht="15.75" customHeight="1">
      <c r="A120" s="235"/>
      <c r="B120" s="235"/>
      <c r="C120" s="236"/>
      <c r="D120" s="235"/>
      <c r="E120" s="235"/>
      <c r="F120" s="235"/>
      <c r="G120" s="235"/>
      <c r="H120" s="235"/>
      <c r="I120" s="237"/>
      <c r="J120" s="237"/>
    </row>
    <row r="121" ht="15.75" customHeight="1">
      <c r="A121" s="235"/>
      <c r="B121" s="235"/>
      <c r="C121" s="236"/>
      <c r="D121" s="235"/>
      <c r="E121" s="235"/>
      <c r="F121" s="235"/>
      <c r="G121" s="235"/>
      <c r="H121" s="235"/>
      <c r="I121" s="237"/>
      <c r="J121" s="237"/>
    </row>
    <row r="122" ht="15.75" customHeight="1">
      <c r="A122" s="235"/>
      <c r="B122" s="235"/>
      <c r="C122" s="236"/>
      <c r="D122" s="235"/>
      <c r="E122" s="235"/>
      <c r="F122" s="235"/>
      <c r="G122" s="235"/>
      <c r="H122" s="235"/>
      <c r="I122" s="237"/>
      <c r="J122" s="237"/>
    </row>
    <row r="123" ht="15.75" customHeight="1">
      <c r="A123" s="235"/>
      <c r="B123" s="235"/>
      <c r="C123" s="236"/>
      <c r="D123" s="235"/>
      <c r="E123" s="235"/>
      <c r="F123" s="235"/>
      <c r="G123" s="235"/>
      <c r="H123" s="235"/>
      <c r="I123" s="237"/>
      <c r="J123" s="237"/>
    </row>
    <row r="124" ht="15.75" customHeight="1">
      <c r="A124" s="235"/>
      <c r="B124" s="235"/>
      <c r="C124" s="236"/>
      <c r="D124" s="235"/>
      <c r="E124" s="235"/>
      <c r="F124" s="235"/>
      <c r="G124" s="235"/>
      <c r="H124" s="235"/>
      <c r="I124" s="237"/>
      <c r="J124" s="237"/>
    </row>
    <row r="125" ht="15.75" customHeight="1">
      <c r="A125" s="235"/>
      <c r="B125" s="235"/>
      <c r="C125" s="236"/>
      <c r="D125" s="235"/>
      <c r="E125" s="235"/>
      <c r="F125" s="235"/>
      <c r="G125" s="235"/>
      <c r="H125" s="235"/>
      <c r="I125" s="237"/>
      <c r="J125" s="237"/>
    </row>
    <row r="126" ht="15.75" customHeight="1">
      <c r="A126" s="235"/>
      <c r="B126" s="235"/>
      <c r="C126" s="236"/>
      <c r="D126" s="235"/>
      <c r="E126" s="235"/>
      <c r="F126" s="235"/>
      <c r="G126" s="235"/>
      <c r="H126" s="235"/>
      <c r="I126" s="237"/>
      <c r="J126" s="237"/>
    </row>
    <row r="127" ht="15.75" customHeight="1">
      <c r="A127" s="235"/>
      <c r="B127" s="235"/>
      <c r="C127" s="236"/>
      <c r="D127" s="235"/>
      <c r="E127" s="235"/>
      <c r="F127" s="235"/>
      <c r="G127" s="235"/>
      <c r="H127" s="235"/>
      <c r="I127" s="237"/>
      <c r="J127" s="237"/>
    </row>
    <row r="128" ht="15.75" customHeight="1">
      <c r="A128" s="235"/>
      <c r="B128" s="235"/>
      <c r="C128" s="236"/>
      <c r="D128" s="235"/>
      <c r="E128" s="235"/>
      <c r="F128" s="235"/>
      <c r="G128" s="235"/>
      <c r="H128" s="235"/>
      <c r="I128" s="237"/>
      <c r="J128" s="237"/>
    </row>
    <row r="129" ht="15.75" customHeight="1">
      <c r="A129" s="235"/>
      <c r="B129" s="235"/>
      <c r="C129" s="236"/>
      <c r="D129" s="235"/>
      <c r="E129" s="235"/>
      <c r="F129" s="235"/>
      <c r="G129" s="235"/>
      <c r="H129" s="235"/>
      <c r="I129" s="237"/>
      <c r="J129" s="237"/>
    </row>
    <row r="130" ht="15.75" customHeight="1">
      <c r="A130" s="235"/>
      <c r="B130" s="235"/>
      <c r="C130" s="236"/>
      <c r="D130" s="235"/>
      <c r="E130" s="235"/>
      <c r="F130" s="235"/>
      <c r="G130" s="235"/>
      <c r="H130" s="235"/>
      <c r="I130" s="237"/>
      <c r="J130" s="237"/>
    </row>
    <row r="131" ht="15.75" customHeight="1">
      <c r="A131" s="235"/>
      <c r="B131" s="235"/>
      <c r="C131" s="236"/>
      <c r="D131" s="235"/>
      <c r="E131" s="235"/>
      <c r="F131" s="235"/>
      <c r="G131" s="235"/>
      <c r="H131" s="235"/>
      <c r="I131" s="237"/>
      <c r="J131" s="237"/>
    </row>
    <row r="132" ht="15.75" customHeight="1">
      <c r="A132" s="235"/>
      <c r="B132" s="235"/>
      <c r="C132" s="236"/>
      <c r="D132" s="235"/>
      <c r="E132" s="235"/>
      <c r="F132" s="235"/>
      <c r="G132" s="235"/>
      <c r="H132" s="235"/>
      <c r="I132" s="237"/>
      <c r="J132" s="237"/>
    </row>
    <row r="133" ht="15.75" customHeight="1">
      <c r="A133" s="235"/>
      <c r="B133" s="235"/>
      <c r="C133" s="236"/>
      <c r="D133" s="235"/>
      <c r="E133" s="235"/>
      <c r="F133" s="235"/>
      <c r="G133" s="235"/>
      <c r="H133" s="235"/>
      <c r="I133" s="237"/>
      <c r="J133" s="237"/>
    </row>
    <row r="134" ht="15.75" customHeight="1">
      <c r="A134" s="235"/>
      <c r="B134" s="235"/>
      <c r="C134" s="236"/>
      <c r="D134" s="235"/>
      <c r="E134" s="235"/>
      <c r="F134" s="235"/>
      <c r="G134" s="235"/>
      <c r="H134" s="235"/>
      <c r="I134" s="237"/>
      <c r="J134" s="237"/>
    </row>
    <row r="135" ht="15.75" customHeight="1">
      <c r="A135" s="235"/>
      <c r="B135" s="235"/>
      <c r="C135" s="236"/>
      <c r="D135" s="235"/>
      <c r="E135" s="235"/>
      <c r="F135" s="235"/>
      <c r="G135" s="235"/>
      <c r="H135" s="235"/>
      <c r="I135" s="237"/>
      <c r="J135" s="237"/>
    </row>
    <row r="136" ht="15.75" customHeight="1">
      <c r="A136" s="235"/>
      <c r="B136" s="235"/>
      <c r="C136" s="236"/>
      <c r="D136" s="235"/>
      <c r="E136" s="235"/>
      <c r="F136" s="235"/>
      <c r="G136" s="235"/>
      <c r="H136" s="235"/>
      <c r="I136" s="237"/>
      <c r="J136" s="237"/>
    </row>
    <row r="137" ht="15.75" customHeight="1">
      <c r="A137" s="235"/>
      <c r="B137" s="235"/>
      <c r="C137" s="236"/>
      <c r="D137" s="235"/>
      <c r="E137" s="235"/>
      <c r="F137" s="235"/>
      <c r="G137" s="235"/>
      <c r="H137" s="235"/>
      <c r="I137" s="237"/>
      <c r="J137" s="237"/>
    </row>
    <row r="138" ht="15.75" customHeight="1">
      <c r="A138" s="235"/>
      <c r="B138" s="235"/>
      <c r="C138" s="236"/>
      <c r="D138" s="235"/>
      <c r="E138" s="235"/>
      <c r="F138" s="235"/>
      <c r="G138" s="235"/>
      <c r="H138" s="235"/>
      <c r="I138" s="237"/>
      <c r="J138" s="237"/>
    </row>
    <row r="139" ht="15.75" customHeight="1">
      <c r="A139" s="235"/>
      <c r="B139" s="235"/>
      <c r="C139" s="236"/>
      <c r="D139" s="235"/>
      <c r="E139" s="235"/>
      <c r="F139" s="235"/>
      <c r="G139" s="235"/>
      <c r="H139" s="235"/>
      <c r="I139" s="237"/>
      <c r="J139" s="237"/>
    </row>
    <row r="140" ht="15.75" customHeight="1">
      <c r="A140" s="235"/>
      <c r="B140" s="235"/>
      <c r="C140" s="236"/>
      <c r="D140" s="235"/>
      <c r="E140" s="235"/>
      <c r="F140" s="235"/>
      <c r="G140" s="235"/>
      <c r="H140" s="235"/>
      <c r="I140" s="237"/>
      <c r="J140" s="237"/>
    </row>
    <row r="141" ht="15.75" customHeight="1">
      <c r="A141" s="235"/>
      <c r="B141" s="235"/>
      <c r="C141" s="236"/>
      <c r="D141" s="235"/>
      <c r="E141" s="235"/>
      <c r="F141" s="235"/>
      <c r="G141" s="235"/>
      <c r="H141" s="235"/>
      <c r="I141" s="237"/>
      <c r="J141" s="237"/>
    </row>
    <row r="142" ht="15.75" customHeight="1">
      <c r="A142" s="235"/>
      <c r="B142" s="235"/>
      <c r="C142" s="236"/>
      <c r="D142" s="235"/>
      <c r="E142" s="235"/>
      <c r="F142" s="235"/>
      <c r="G142" s="235"/>
      <c r="H142" s="235"/>
      <c r="I142" s="237"/>
      <c r="J142" s="237"/>
    </row>
    <row r="143" ht="15.75" customHeight="1">
      <c r="A143" s="235"/>
      <c r="B143" s="235"/>
      <c r="C143" s="236"/>
      <c r="D143" s="235"/>
      <c r="E143" s="235"/>
      <c r="F143" s="235"/>
      <c r="G143" s="235"/>
      <c r="H143" s="235"/>
      <c r="I143" s="237"/>
      <c r="J143" s="237"/>
    </row>
    <row r="144" ht="15.75" customHeight="1">
      <c r="A144" s="235"/>
      <c r="B144" s="235"/>
      <c r="C144" s="236"/>
      <c r="D144" s="235"/>
      <c r="E144" s="235"/>
      <c r="F144" s="235"/>
      <c r="G144" s="235"/>
      <c r="H144" s="235"/>
      <c r="I144" s="237"/>
      <c r="J144" s="237"/>
    </row>
    <row r="145" ht="15.75" customHeight="1">
      <c r="A145" s="235"/>
      <c r="B145" s="235"/>
      <c r="C145" s="236"/>
      <c r="D145" s="235"/>
      <c r="E145" s="235"/>
      <c r="F145" s="235"/>
      <c r="G145" s="235"/>
      <c r="H145" s="235"/>
      <c r="I145" s="237"/>
      <c r="J145" s="237"/>
    </row>
    <row r="146" ht="15.75" customHeight="1">
      <c r="A146" s="235"/>
      <c r="B146" s="235"/>
      <c r="C146" s="236"/>
      <c r="D146" s="235"/>
      <c r="E146" s="235"/>
      <c r="F146" s="235"/>
      <c r="G146" s="235"/>
      <c r="H146" s="235"/>
      <c r="I146" s="237"/>
      <c r="J146" s="237"/>
    </row>
    <row r="147" ht="15.75" customHeight="1">
      <c r="A147" s="235"/>
      <c r="B147" s="235"/>
      <c r="C147" s="236"/>
      <c r="D147" s="235"/>
      <c r="E147" s="235"/>
      <c r="F147" s="235"/>
      <c r="G147" s="235"/>
      <c r="H147" s="235"/>
      <c r="I147" s="237"/>
      <c r="J147" s="237"/>
    </row>
    <row r="148" ht="15.75" customHeight="1">
      <c r="A148" s="235"/>
      <c r="B148" s="235"/>
      <c r="C148" s="236"/>
      <c r="D148" s="235"/>
      <c r="E148" s="235"/>
      <c r="F148" s="235"/>
      <c r="G148" s="235"/>
      <c r="H148" s="235"/>
      <c r="I148" s="237"/>
      <c r="J148" s="237"/>
    </row>
    <row r="149" ht="15.75" customHeight="1">
      <c r="A149" s="235"/>
      <c r="B149" s="235"/>
      <c r="C149" s="236"/>
      <c r="D149" s="235"/>
      <c r="E149" s="235"/>
      <c r="F149" s="235"/>
      <c r="G149" s="235"/>
      <c r="H149" s="235"/>
      <c r="I149" s="237"/>
      <c r="J149" s="237"/>
    </row>
    <row r="150" ht="15.75" customHeight="1">
      <c r="A150" s="235"/>
      <c r="B150" s="235"/>
      <c r="C150" s="236"/>
      <c r="D150" s="235"/>
      <c r="E150" s="235"/>
      <c r="F150" s="235"/>
      <c r="G150" s="235"/>
      <c r="H150" s="235"/>
      <c r="I150" s="237"/>
      <c r="J150" s="237"/>
    </row>
    <row r="151" ht="15.75" customHeight="1">
      <c r="A151" s="235"/>
      <c r="B151" s="235"/>
      <c r="C151" s="236"/>
      <c r="D151" s="235"/>
      <c r="E151" s="235"/>
      <c r="F151" s="235"/>
      <c r="G151" s="235"/>
      <c r="H151" s="235"/>
      <c r="I151" s="237"/>
      <c r="J151" s="237"/>
    </row>
    <row r="152" ht="15.75" customHeight="1">
      <c r="A152" s="235"/>
      <c r="B152" s="235"/>
      <c r="C152" s="236"/>
      <c r="D152" s="235"/>
      <c r="E152" s="235"/>
      <c r="F152" s="235"/>
      <c r="G152" s="235"/>
      <c r="H152" s="235"/>
      <c r="I152" s="237"/>
      <c r="J152" s="237"/>
    </row>
    <row r="153" ht="15.75" customHeight="1">
      <c r="A153" s="235"/>
      <c r="B153" s="235"/>
      <c r="C153" s="236"/>
      <c r="D153" s="235"/>
      <c r="E153" s="235"/>
      <c r="F153" s="235"/>
      <c r="G153" s="235"/>
      <c r="H153" s="235"/>
      <c r="I153" s="237"/>
      <c r="J153" s="237"/>
    </row>
    <row r="154" ht="15.75" customHeight="1">
      <c r="A154" s="235"/>
      <c r="B154" s="235"/>
      <c r="C154" s="236"/>
      <c r="D154" s="235"/>
      <c r="E154" s="235"/>
      <c r="F154" s="235"/>
      <c r="G154" s="235"/>
      <c r="H154" s="235"/>
      <c r="I154" s="237"/>
      <c r="J154" s="237"/>
    </row>
    <row r="155" ht="15.75" customHeight="1">
      <c r="A155" s="235"/>
      <c r="B155" s="235"/>
      <c r="C155" s="236"/>
      <c r="D155" s="235"/>
      <c r="E155" s="235"/>
      <c r="F155" s="235"/>
      <c r="G155" s="235"/>
      <c r="H155" s="235"/>
      <c r="I155" s="237"/>
      <c r="J155" s="237"/>
    </row>
    <row r="156" ht="15.75" customHeight="1">
      <c r="A156" s="235"/>
      <c r="B156" s="235"/>
      <c r="C156" s="236"/>
      <c r="D156" s="235"/>
      <c r="E156" s="235"/>
      <c r="F156" s="235"/>
      <c r="G156" s="235"/>
      <c r="H156" s="235"/>
      <c r="I156" s="237"/>
      <c r="J156" s="237"/>
    </row>
    <row r="157" ht="15.75" customHeight="1">
      <c r="A157" s="235"/>
      <c r="B157" s="235"/>
      <c r="C157" s="236"/>
      <c r="D157" s="235"/>
      <c r="E157" s="235"/>
      <c r="F157" s="235"/>
      <c r="G157" s="235"/>
      <c r="H157" s="235"/>
      <c r="I157" s="237"/>
      <c r="J157" s="237"/>
    </row>
    <row r="158" ht="15.75" customHeight="1">
      <c r="A158" s="235"/>
      <c r="B158" s="235"/>
      <c r="C158" s="236"/>
      <c r="D158" s="235"/>
      <c r="E158" s="235"/>
      <c r="F158" s="235"/>
      <c r="G158" s="235"/>
      <c r="H158" s="235"/>
      <c r="I158" s="237"/>
      <c r="J158" s="237"/>
    </row>
    <row r="159" ht="15.75" customHeight="1">
      <c r="A159" s="235"/>
      <c r="B159" s="235"/>
      <c r="C159" s="236"/>
      <c r="D159" s="235"/>
      <c r="E159" s="235"/>
      <c r="F159" s="235"/>
      <c r="G159" s="235"/>
      <c r="H159" s="235"/>
      <c r="I159" s="237"/>
      <c r="J159" s="237"/>
    </row>
    <row r="160" ht="15.75" customHeight="1">
      <c r="A160" s="235"/>
      <c r="B160" s="235"/>
      <c r="C160" s="236"/>
      <c r="D160" s="235"/>
      <c r="E160" s="235"/>
      <c r="F160" s="235"/>
      <c r="G160" s="235"/>
      <c r="H160" s="235"/>
      <c r="I160" s="237"/>
      <c r="J160" s="237"/>
    </row>
    <row r="161" ht="15.75" customHeight="1">
      <c r="A161" s="235"/>
      <c r="B161" s="235"/>
      <c r="C161" s="236"/>
      <c r="D161" s="235"/>
      <c r="E161" s="235"/>
      <c r="F161" s="235"/>
      <c r="G161" s="235"/>
      <c r="H161" s="235"/>
      <c r="I161" s="237"/>
      <c r="J161" s="237"/>
    </row>
    <row r="162" ht="15.75" customHeight="1">
      <c r="A162" s="235"/>
      <c r="B162" s="235"/>
      <c r="C162" s="236"/>
      <c r="D162" s="235"/>
      <c r="E162" s="235"/>
      <c r="F162" s="235"/>
      <c r="G162" s="235"/>
      <c r="H162" s="235"/>
      <c r="I162" s="237"/>
      <c r="J162" s="237"/>
    </row>
    <row r="163" ht="15.75" customHeight="1">
      <c r="A163" s="235"/>
      <c r="B163" s="235"/>
      <c r="C163" s="236"/>
      <c r="D163" s="235"/>
      <c r="E163" s="235"/>
      <c r="F163" s="235"/>
      <c r="G163" s="235"/>
      <c r="H163" s="235"/>
      <c r="I163" s="237"/>
      <c r="J163" s="237"/>
    </row>
    <row r="164" ht="15.75" customHeight="1">
      <c r="A164" s="235"/>
      <c r="B164" s="235"/>
      <c r="C164" s="236"/>
      <c r="D164" s="235"/>
      <c r="E164" s="235"/>
      <c r="F164" s="235"/>
      <c r="G164" s="235"/>
      <c r="H164" s="235"/>
      <c r="I164" s="237"/>
      <c r="J164" s="237"/>
    </row>
    <row r="165" ht="15.75" customHeight="1">
      <c r="A165" s="235"/>
      <c r="B165" s="235"/>
      <c r="C165" s="236"/>
      <c r="D165" s="235"/>
      <c r="E165" s="235"/>
      <c r="F165" s="235"/>
      <c r="G165" s="235"/>
      <c r="H165" s="235"/>
      <c r="I165" s="237"/>
      <c r="J165" s="237"/>
    </row>
    <row r="166" ht="15.75" customHeight="1">
      <c r="A166" s="235"/>
      <c r="B166" s="235"/>
      <c r="C166" s="236"/>
      <c r="D166" s="235"/>
      <c r="E166" s="235"/>
      <c r="F166" s="235"/>
      <c r="G166" s="235"/>
      <c r="H166" s="235"/>
      <c r="I166" s="237"/>
      <c r="J166" s="237"/>
    </row>
    <row r="167" ht="15.75" customHeight="1">
      <c r="A167" s="235"/>
      <c r="B167" s="235"/>
      <c r="C167" s="236"/>
      <c r="D167" s="235"/>
      <c r="E167" s="235"/>
      <c r="F167" s="235"/>
      <c r="G167" s="235"/>
      <c r="H167" s="235"/>
      <c r="I167" s="237"/>
      <c r="J167" s="237"/>
    </row>
    <row r="168" ht="15.75" customHeight="1">
      <c r="A168" s="235"/>
      <c r="B168" s="235"/>
      <c r="C168" s="236"/>
      <c r="D168" s="235"/>
      <c r="E168" s="235"/>
      <c r="F168" s="235"/>
      <c r="G168" s="235"/>
      <c r="H168" s="235"/>
      <c r="I168" s="237"/>
      <c r="J168" s="237"/>
    </row>
    <row r="169" ht="15.75" customHeight="1">
      <c r="A169" s="235"/>
      <c r="B169" s="235"/>
      <c r="C169" s="236"/>
      <c r="D169" s="235"/>
      <c r="E169" s="235"/>
      <c r="F169" s="235"/>
      <c r="G169" s="235"/>
      <c r="H169" s="235"/>
      <c r="I169" s="237"/>
      <c r="J169" s="237"/>
    </row>
    <row r="170" ht="15.75" customHeight="1">
      <c r="A170" s="235"/>
      <c r="B170" s="235"/>
      <c r="C170" s="236"/>
      <c r="D170" s="235"/>
      <c r="E170" s="235"/>
      <c r="F170" s="235"/>
      <c r="G170" s="235"/>
      <c r="H170" s="235"/>
      <c r="I170" s="237"/>
      <c r="J170" s="237"/>
    </row>
    <row r="171" ht="15.75" customHeight="1">
      <c r="A171" s="235"/>
      <c r="B171" s="235"/>
      <c r="C171" s="236"/>
      <c r="D171" s="235"/>
      <c r="E171" s="235"/>
      <c r="F171" s="235"/>
      <c r="G171" s="235"/>
      <c r="H171" s="235"/>
      <c r="I171" s="237"/>
      <c r="J171" s="237"/>
    </row>
    <row r="172" ht="15.75" customHeight="1">
      <c r="A172" s="235"/>
      <c r="B172" s="235"/>
      <c r="C172" s="236"/>
      <c r="D172" s="235"/>
      <c r="E172" s="235"/>
      <c r="F172" s="235"/>
      <c r="G172" s="235"/>
      <c r="H172" s="235"/>
      <c r="I172" s="237"/>
      <c r="J172" s="237"/>
    </row>
    <row r="173" ht="15.75" customHeight="1">
      <c r="A173" s="235"/>
      <c r="B173" s="235"/>
      <c r="C173" s="236"/>
      <c r="D173" s="235"/>
      <c r="E173" s="235"/>
      <c r="F173" s="235"/>
      <c r="G173" s="235"/>
      <c r="H173" s="235"/>
      <c r="I173" s="237"/>
      <c r="J173" s="237"/>
    </row>
    <row r="174" ht="15.75" customHeight="1">
      <c r="A174" s="235"/>
      <c r="B174" s="235"/>
      <c r="C174" s="236"/>
      <c r="D174" s="235"/>
      <c r="E174" s="235"/>
      <c r="F174" s="235"/>
      <c r="G174" s="235"/>
      <c r="H174" s="235"/>
      <c r="I174" s="237"/>
      <c r="J174" s="237"/>
    </row>
    <row r="175" ht="15.75" customHeight="1">
      <c r="A175" s="235"/>
      <c r="B175" s="235"/>
      <c r="C175" s="236"/>
      <c r="D175" s="235"/>
      <c r="E175" s="235"/>
      <c r="F175" s="235"/>
      <c r="G175" s="235"/>
      <c r="H175" s="235"/>
      <c r="I175" s="237"/>
      <c r="J175" s="237"/>
    </row>
    <row r="176" ht="15.75" customHeight="1">
      <c r="A176" s="235"/>
      <c r="B176" s="235"/>
      <c r="C176" s="236"/>
      <c r="D176" s="235"/>
      <c r="E176" s="235"/>
      <c r="F176" s="235"/>
      <c r="G176" s="235"/>
      <c r="H176" s="235"/>
      <c r="I176" s="237"/>
      <c r="J176" s="237"/>
    </row>
    <row r="177" ht="15.75" customHeight="1">
      <c r="A177" s="235"/>
      <c r="B177" s="235"/>
      <c r="C177" s="236"/>
      <c r="D177" s="235"/>
      <c r="E177" s="235"/>
      <c r="F177" s="235"/>
      <c r="G177" s="235"/>
      <c r="H177" s="235"/>
      <c r="I177" s="237"/>
      <c r="J177" s="237"/>
    </row>
    <row r="178" ht="15.75" customHeight="1">
      <c r="A178" s="235"/>
      <c r="B178" s="235"/>
      <c r="C178" s="236"/>
      <c r="D178" s="235"/>
      <c r="E178" s="235"/>
      <c r="F178" s="235"/>
      <c r="G178" s="235"/>
      <c r="H178" s="235"/>
      <c r="I178" s="237"/>
      <c r="J178" s="237"/>
    </row>
    <row r="179" ht="15.75" customHeight="1">
      <c r="A179" s="235"/>
      <c r="B179" s="235"/>
      <c r="C179" s="236"/>
      <c r="D179" s="235"/>
      <c r="E179" s="235"/>
      <c r="F179" s="235"/>
      <c r="G179" s="235"/>
      <c r="H179" s="235"/>
      <c r="I179" s="237"/>
      <c r="J179" s="237"/>
    </row>
    <row r="180" ht="15.75" customHeight="1">
      <c r="A180" s="235"/>
      <c r="B180" s="235"/>
      <c r="C180" s="236"/>
      <c r="D180" s="235"/>
      <c r="E180" s="235"/>
      <c r="F180" s="235"/>
      <c r="G180" s="235"/>
      <c r="H180" s="235"/>
      <c r="I180" s="237"/>
      <c r="J180" s="237"/>
    </row>
    <row r="181" ht="15.75" customHeight="1">
      <c r="A181" s="235"/>
      <c r="B181" s="235"/>
      <c r="C181" s="236"/>
      <c r="D181" s="235"/>
      <c r="E181" s="235"/>
      <c r="F181" s="235"/>
      <c r="G181" s="235"/>
      <c r="H181" s="235"/>
      <c r="I181" s="237"/>
      <c r="J181" s="237"/>
    </row>
    <row r="182" ht="15.75" customHeight="1">
      <c r="A182" s="235"/>
      <c r="B182" s="235"/>
      <c r="C182" s="236"/>
      <c r="D182" s="235"/>
      <c r="E182" s="235"/>
      <c r="F182" s="235"/>
      <c r="G182" s="235"/>
      <c r="H182" s="235"/>
      <c r="I182" s="237"/>
      <c r="J182" s="237"/>
    </row>
    <row r="183" ht="15.75" customHeight="1">
      <c r="A183" s="235"/>
      <c r="B183" s="235"/>
      <c r="C183" s="236"/>
      <c r="D183" s="235"/>
      <c r="E183" s="235"/>
      <c r="F183" s="235"/>
      <c r="G183" s="235"/>
      <c r="H183" s="235"/>
      <c r="I183" s="237"/>
      <c r="J183" s="237"/>
    </row>
    <row r="184" ht="15.75" customHeight="1">
      <c r="A184" s="235"/>
      <c r="B184" s="235"/>
      <c r="C184" s="236"/>
      <c r="D184" s="235"/>
      <c r="E184" s="235"/>
      <c r="F184" s="235"/>
      <c r="G184" s="235"/>
      <c r="H184" s="235"/>
      <c r="I184" s="237"/>
      <c r="J184" s="237"/>
    </row>
    <row r="185" ht="15.75" customHeight="1">
      <c r="A185" s="235"/>
      <c r="B185" s="235"/>
      <c r="C185" s="236"/>
      <c r="D185" s="235"/>
      <c r="E185" s="235"/>
      <c r="F185" s="235"/>
      <c r="G185" s="235"/>
      <c r="H185" s="235"/>
      <c r="I185" s="237"/>
      <c r="J185" s="237"/>
    </row>
    <row r="186" ht="15.75" customHeight="1">
      <c r="A186" s="235"/>
      <c r="B186" s="235"/>
      <c r="C186" s="236"/>
      <c r="D186" s="235"/>
      <c r="E186" s="235"/>
      <c r="F186" s="235"/>
      <c r="G186" s="235"/>
      <c r="H186" s="235"/>
      <c r="I186" s="237"/>
      <c r="J186" s="237"/>
    </row>
    <row r="187" ht="15.75" customHeight="1">
      <c r="A187" s="235"/>
      <c r="B187" s="235"/>
      <c r="C187" s="236"/>
      <c r="D187" s="235"/>
      <c r="E187" s="235"/>
      <c r="F187" s="235"/>
      <c r="G187" s="235"/>
      <c r="H187" s="235"/>
      <c r="I187" s="237"/>
      <c r="J187" s="237"/>
    </row>
    <row r="188" ht="15.75" customHeight="1">
      <c r="A188" s="235"/>
      <c r="B188" s="235"/>
      <c r="C188" s="236"/>
      <c r="D188" s="235"/>
      <c r="E188" s="235"/>
      <c r="F188" s="235"/>
      <c r="G188" s="235"/>
      <c r="H188" s="235"/>
      <c r="I188" s="237"/>
      <c r="J188" s="237"/>
    </row>
    <row r="189" ht="15.75" customHeight="1">
      <c r="A189" s="235"/>
      <c r="B189" s="235"/>
      <c r="C189" s="236"/>
      <c r="D189" s="235"/>
      <c r="E189" s="235"/>
      <c r="F189" s="235"/>
      <c r="G189" s="235"/>
      <c r="H189" s="235"/>
      <c r="I189" s="237"/>
      <c r="J189" s="237"/>
    </row>
    <row r="190" ht="15.75" customHeight="1">
      <c r="A190" s="235"/>
      <c r="B190" s="235"/>
      <c r="C190" s="236"/>
      <c r="D190" s="235"/>
      <c r="E190" s="235"/>
      <c r="F190" s="235"/>
      <c r="G190" s="235"/>
      <c r="H190" s="235"/>
      <c r="I190" s="237"/>
      <c r="J190" s="237"/>
    </row>
    <row r="191" ht="15.75" customHeight="1">
      <c r="A191" s="235"/>
      <c r="B191" s="235"/>
      <c r="C191" s="236"/>
      <c r="D191" s="235"/>
      <c r="E191" s="235"/>
      <c r="F191" s="235"/>
      <c r="G191" s="235"/>
      <c r="H191" s="235"/>
      <c r="I191" s="237"/>
      <c r="J191" s="237"/>
    </row>
    <row r="192" ht="15.75" customHeight="1">
      <c r="A192" s="235"/>
      <c r="B192" s="235"/>
      <c r="C192" s="236"/>
      <c r="D192" s="235"/>
      <c r="E192" s="235"/>
      <c r="F192" s="235"/>
      <c r="G192" s="235"/>
      <c r="H192" s="235"/>
      <c r="I192" s="237"/>
      <c r="J192" s="237"/>
    </row>
    <row r="193" ht="15.75" customHeight="1">
      <c r="A193" s="235"/>
      <c r="B193" s="235"/>
      <c r="C193" s="236"/>
      <c r="D193" s="235"/>
      <c r="E193" s="235"/>
      <c r="F193" s="235"/>
      <c r="G193" s="235"/>
      <c r="H193" s="235"/>
      <c r="I193" s="237"/>
      <c r="J193" s="237"/>
    </row>
    <row r="194" ht="15.75" customHeight="1">
      <c r="A194" s="235"/>
      <c r="B194" s="235"/>
      <c r="C194" s="236"/>
      <c r="D194" s="235"/>
      <c r="E194" s="235"/>
      <c r="F194" s="235"/>
      <c r="G194" s="235"/>
      <c r="H194" s="235"/>
      <c r="I194" s="237"/>
      <c r="J194" s="237"/>
    </row>
    <row r="195" ht="15.75" customHeight="1">
      <c r="A195" s="235"/>
      <c r="B195" s="235"/>
      <c r="C195" s="236"/>
      <c r="D195" s="235"/>
      <c r="E195" s="235"/>
      <c r="F195" s="235"/>
      <c r="G195" s="235"/>
      <c r="H195" s="235"/>
      <c r="I195" s="237"/>
      <c r="J195" s="237"/>
    </row>
    <row r="196" ht="15.75" customHeight="1">
      <c r="A196" s="235"/>
      <c r="B196" s="235"/>
      <c r="C196" s="236"/>
      <c r="D196" s="235"/>
      <c r="E196" s="235"/>
      <c r="F196" s="235"/>
      <c r="G196" s="235"/>
      <c r="H196" s="235"/>
      <c r="I196" s="237"/>
      <c r="J196" s="237"/>
    </row>
    <row r="197" ht="15.75" customHeight="1">
      <c r="A197" s="235"/>
      <c r="B197" s="235"/>
      <c r="C197" s="236"/>
      <c r="D197" s="235"/>
      <c r="E197" s="235"/>
      <c r="F197" s="235"/>
      <c r="G197" s="235"/>
      <c r="H197" s="235"/>
      <c r="I197" s="237"/>
      <c r="J197" s="237"/>
    </row>
    <row r="198" ht="15.75" customHeight="1">
      <c r="A198" s="235"/>
      <c r="B198" s="235"/>
      <c r="C198" s="236"/>
      <c r="D198" s="235"/>
      <c r="E198" s="235"/>
      <c r="F198" s="235"/>
      <c r="G198" s="235"/>
      <c r="H198" s="235"/>
      <c r="I198" s="237"/>
      <c r="J198" s="237"/>
    </row>
    <row r="199" ht="15.75" customHeight="1">
      <c r="A199" s="235"/>
      <c r="B199" s="235"/>
      <c r="C199" s="236"/>
      <c r="D199" s="235"/>
      <c r="E199" s="235"/>
      <c r="F199" s="235"/>
      <c r="G199" s="235"/>
      <c r="H199" s="235"/>
      <c r="I199" s="237"/>
      <c r="J199" s="237"/>
    </row>
    <row r="200" ht="15.75" customHeight="1">
      <c r="A200" s="235"/>
      <c r="B200" s="235"/>
      <c r="C200" s="236"/>
      <c r="D200" s="235"/>
      <c r="E200" s="235"/>
      <c r="F200" s="235"/>
      <c r="G200" s="235"/>
      <c r="H200" s="235"/>
      <c r="I200" s="237"/>
      <c r="J200" s="237"/>
    </row>
    <row r="201" ht="15.75" customHeight="1">
      <c r="A201" s="235"/>
      <c r="B201" s="235"/>
      <c r="C201" s="236"/>
      <c r="D201" s="235"/>
      <c r="E201" s="235"/>
      <c r="F201" s="235"/>
      <c r="G201" s="235"/>
      <c r="H201" s="235"/>
      <c r="I201" s="237"/>
      <c r="J201" s="237"/>
    </row>
    <row r="202" ht="15.75" customHeight="1">
      <c r="A202" s="235"/>
      <c r="B202" s="235"/>
      <c r="C202" s="236"/>
      <c r="D202" s="235"/>
      <c r="E202" s="235"/>
      <c r="F202" s="235"/>
      <c r="G202" s="235"/>
      <c r="H202" s="235"/>
      <c r="I202" s="237"/>
      <c r="J202" s="237"/>
    </row>
    <row r="203" ht="15.75" customHeight="1">
      <c r="A203" s="235"/>
      <c r="B203" s="235"/>
      <c r="C203" s="236"/>
      <c r="D203" s="235"/>
      <c r="E203" s="235"/>
      <c r="F203" s="235"/>
      <c r="G203" s="235"/>
      <c r="H203" s="235"/>
      <c r="I203" s="237"/>
      <c r="J203" s="237"/>
    </row>
    <row r="204" ht="15.75" customHeight="1">
      <c r="A204" s="235"/>
      <c r="B204" s="235"/>
      <c r="C204" s="236"/>
      <c r="D204" s="235"/>
      <c r="E204" s="235"/>
      <c r="F204" s="235"/>
      <c r="G204" s="235"/>
      <c r="H204" s="235"/>
      <c r="I204" s="237"/>
      <c r="J204" s="237"/>
    </row>
    <row r="205" ht="15.75" customHeight="1">
      <c r="A205" s="235"/>
      <c r="B205" s="235"/>
      <c r="C205" s="236"/>
      <c r="D205" s="235"/>
      <c r="E205" s="235"/>
      <c r="F205" s="235"/>
      <c r="G205" s="235"/>
      <c r="H205" s="235"/>
      <c r="I205" s="237"/>
      <c r="J205" s="237"/>
    </row>
    <row r="206" ht="15.75" customHeight="1">
      <c r="A206" s="235"/>
      <c r="B206" s="235"/>
      <c r="C206" s="236"/>
      <c r="D206" s="235"/>
      <c r="E206" s="235"/>
      <c r="F206" s="235"/>
      <c r="G206" s="235"/>
      <c r="H206" s="235"/>
      <c r="I206" s="237"/>
      <c r="J206" s="237"/>
    </row>
    <row r="207" ht="15.75" customHeight="1">
      <c r="A207" s="235"/>
      <c r="B207" s="235"/>
      <c r="C207" s="236"/>
      <c r="D207" s="235"/>
      <c r="E207" s="235"/>
      <c r="F207" s="235"/>
      <c r="G207" s="235"/>
      <c r="H207" s="235"/>
      <c r="I207" s="237"/>
      <c r="J207" s="237"/>
    </row>
    <row r="208" ht="15.75" customHeight="1">
      <c r="A208" s="235"/>
      <c r="B208" s="235"/>
      <c r="C208" s="236"/>
      <c r="D208" s="235"/>
      <c r="E208" s="235"/>
      <c r="F208" s="235"/>
      <c r="G208" s="235"/>
      <c r="H208" s="235"/>
      <c r="I208" s="237"/>
      <c r="J208" s="237"/>
    </row>
    <row r="209" ht="15.75" customHeight="1">
      <c r="A209" s="235"/>
      <c r="B209" s="235"/>
      <c r="C209" s="236"/>
      <c r="D209" s="235"/>
      <c r="E209" s="235"/>
      <c r="F209" s="235"/>
      <c r="G209" s="235"/>
      <c r="H209" s="235"/>
      <c r="I209" s="237"/>
      <c r="J209" s="237"/>
    </row>
    <row r="210" ht="15.75" customHeight="1">
      <c r="A210" s="235"/>
      <c r="B210" s="235"/>
      <c r="C210" s="236"/>
      <c r="D210" s="235"/>
      <c r="E210" s="235"/>
      <c r="F210" s="235"/>
      <c r="G210" s="235"/>
      <c r="H210" s="235"/>
      <c r="I210" s="237"/>
      <c r="J210" s="237"/>
    </row>
    <row r="211" ht="15.75" customHeight="1">
      <c r="A211" s="235"/>
      <c r="B211" s="235"/>
      <c r="C211" s="236"/>
      <c r="D211" s="235"/>
      <c r="E211" s="235"/>
      <c r="F211" s="235"/>
      <c r="G211" s="235"/>
      <c r="H211" s="235"/>
      <c r="I211" s="237"/>
      <c r="J211" s="237"/>
    </row>
    <row r="212" ht="15.75" customHeight="1">
      <c r="A212" s="235"/>
      <c r="B212" s="235"/>
      <c r="C212" s="236"/>
      <c r="D212" s="235"/>
      <c r="E212" s="235"/>
      <c r="F212" s="235"/>
      <c r="G212" s="235"/>
      <c r="H212" s="235"/>
      <c r="I212" s="237"/>
      <c r="J212" s="237"/>
    </row>
    <row r="213" ht="15.75" customHeight="1">
      <c r="A213" s="235"/>
      <c r="B213" s="235"/>
      <c r="C213" s="236"/>
      <c r="D213" s="235"/>
      <c r="E213" s="235"/>
      <c r="F213" s="235"/>
      <c r="G213" s="235"/>
      <c r="H213" s="235"/>
      <c r="I213" s="237"/>
      <c r="J213" s="237"/>
    </row>
    <row r="214" ht="15.75" customHeight="1">
      <c r="A214" s="235"/>
      <c r="B214" s="235"/>
      <c r="C214" s="236"/>
      <c r="D214" s="235"/>
      <c r="E214" s="235"/>
      <c r="F214" s="235"/>
      <c r="G214" s="235"/>
      <c r="H214" s="235"/>
      <c r="I214" s="237"/>
      <c r="J214" s="237"/>
    </row>
    <row r="215" ht="15.75" customHeight="1">
      <c r="A215" s="235"/>
      <c r="B215" s="235"/>
      <c r="C215" s="236"/>
      <c r="D215" s="235"/>
      <c r="E215" s="235"/>
      <c r="F215" s="235"/>
      <c r="G215" s="235"/>
      <c r="H215" s="235"/>
      <c r="I215" s="237"/>
      <c r="J215" s="237"/>
    </row>
    <row r="216" ht="15.75" customHeight="1">
      <c r="A216" s="235"/>
      <c r="B216" s="235"/>
      <c r="C216" s="236"/>
      <c r="D216" s="235"/>
      <c r="E216" s="235"/>
      <c r="F216" s="235"/>
      <c r="G216" s="235"/>
      <c r="H216" s="235"/>
      <c r="I216" s="237"/>
      <c r="J216" s="237"/>
    </row>
    <row r="217" ht="15.75" customHeight="1">
      <c r="A217" s="235"/>
      <c r="B217" s="235"/>
      <c r="C217" s="236"/>
      <c r="D217" s="235"/>
      <c r="E217" s="235"/>
      <c r="F217" s="235"/>
      <c r="G217" s="235"/>
      <c r="H217" s="235"/>
      <c r="I217" s="237"/>
      <c r="J217" s="237"/>
    </row>
    <row r="218" ht="15.75" customHeight="1">
      <c r="A218" s="235"/>
      <c r="B218" s="235"/>
      <c r="C218" s="236"/>
      <c r="D218" s="235"/>
      <c r="E218" s="235"/>
      <c r="F218" s="235"/>
      <c r="G218" s="235"/>
      <c r="H218" s="235"/>
      <c r="I218" s="237"/>
      <c r="J218" s="237"/>
    </row>
    <row r="219" ht="15.75" customHeight="1">
      <c r="A219" s="235"/>
      <c r="B219" s="235"/>
      <c r="C219" s="236"/>
      <c r="D219" s="235"/>
      <c r="E219" s="235"/>
      <c r="F219" s="235"/>
      <c r="G219" s="235"/>
      <c r="H219" s="235"/>
      <c r="I219" s="237"/>
      <c r="J219" s="237"/>
    </row>
    <row r="220" ht="15.75" customHeight="1">
      <c r="A220" s="235"/>
      <c r="B220" s="235"/>
      <c r="C220" s="236"/>
      <c r="D220" s="235"/>
      <c r="E220" s="235"/>
      <c r="F220" s="235"/>
      <c r="G220" s="235"/>
      <c r="H220" s="235"/>
      <c r="I220" s="237"/>
      <c r="J220" s="237"/>
    </row>
    <row r="221" ht="15.75" customHeight="1">
      <c r="A221" s="235"/>
      <c r="B221" s="235"/>
      <c r="C221" s="236"/>
      <c r="D221" s="235"/>
      <c r="E221" s="235"/>
      <c r="F221" s="235"/>
      <c r="G221" s="235"/>
      <c r="H221" s="235"/>
      <c r="I221" s="237"/>
      <c r="J221" s="237"/>
    </row>
    <row r="222" ht="15.75" customHeight="1">
      <c r="A222" s="235"/>
      <c r="B222" s="235"/>
      <c r="C222" s="236"/>
      <c r="D222" s="235"/>
      <c r="E222" s="235"/>
      <c r="F222" s="235"/>
      <c r="G222" s="235"/>
      <c r="H222" s="235"/>
      <c r="I222" s="237"/>
      <c r="J222" s="237"/>
    </row>
    <row r="223" ht="15.75" customHeight="1">
      <c r="A223" s="235"/>
      <c r="B223" s="235"/>
      <c r="C223" s="236"/>
      <c r="D223" s="235"/>
      <c r="E223" s="235"/>
      <c r="F223" s="235"/>
      <c r="G223" s="235"/>
      <c r="H223" s="235"/>
      <c r="I223" s="237"/>
      <c r="J223" s="237"/>
    </row>
    <row r="224" ht="15.75" customHeight="1">
      <c r="A224" s="235"/>
      <c r="B224" s="235"/>
      <c r="C224" s="236"/>
      <c r="D224" s="235"/>
      <c r="E224" s="235"/>
      <c r="F224" s="235"/>
      <c r="G224" s="235"/>
      <c r="H224" s="235"/>
      <c r="I224" s="237"/>
      <c r="J224" s="237"/>
    </row>
    <row r="225" ht="15.75" customHeight="1">
      <c r="A225" s="235"/>
      <c r="B225" s="235"/>
      <c r="C225" s="236"/>
      <c r="D225" s="235"/>
      <c r="E225" s="235"/>
      <c r="F225" s="235"/>
      <c r="G225" s="235"/>
      <c r="H225" s="235"/>
      <c r="I225" s="237"/>
      <c r="J225" s="237"/>
    </row>
    <row r="226" ht="15.75" customHeight="1">
      <c r="A226" s="235"/>
      <c r="B226" s="235"/>
      <c r="C226" s="236"/>
      <c r="D226" s="235"/>
      <c r="E226" s="235"/>
      <c r="F226" s="235"/>
      <c r="G226" s="235"/>
      <c r="H226" s="235"/>
      <c r="I226" s="237"/>
      <c r="J226" s="237"/>
    </row>
    <row r="227" ht="15.75" customHeight="1">
      <c r="A227" s="235"/>
      <c r="B227" s="235"/>
      <c r="C227" s="236"/>
      <c r="D227" s="235"/>
      <c r="E227" s="235"/>
      <c r="F227" s="235"/>
      <c r="G227" s="235"/>
      <c r="H227" s="235"/>
      <c r="I227" s="237"/>
      <c r="J227" s="237"/>
    </row>
    <row r="228" ht="15.75" customHeight="1">
      <c r="A228" s="235"/>
      <c r="B228" s="235"/>
      <c r="C228" s="236"/>
      <c r="D228" s="235"/>
      <c r="E228" s="235"/>
      <c r="F228" s="235"/>
      <c r="G228" s="235"/>
      <c r="H228" s="235"/>
      <c r="I228" s="237"/>
      <c r="J228" s="237"/>
    </row>
    <row r="229" ht="15.75" customHeight="1">
      <c r="A229" s="235"/>
      <c r="B229" s="235"/>
      <c r="C229" s="236"/>
      <c r="D229" s="235"/>
      <c r="E229" s="235"/>
      <c r="F229" s="235"/>
      <c r="G229" s="235"/>
      <c r="H229" s="235"/>
      <c r="I229" s="237"/>
      <c r="J229" s="237"/>
    </row>
    <row r="230" ht="15.75" customHeight="1">
      <c r="A230" s="235"/>
      <c r="B230" s="235"/>
      <c r="C230" s="236"/>
      <c r="D230" s="235"/>
      <c r="E230" s="235"/>
      <c r="F230" s="235"/>
      <c r="G230" s="235"/>
      <c r="H230" s="235"/>
      <c r="I230" s="237"/>
      <c r="J230" s="237"/>
    </row>
    <row r="231" ht="15.75" customHeight="1">
      <c r="A231" s="235"/>
      <c r="B231" s="235"/>
      <c r="C231" s="236"/>
      <c r="D231" s="235"/>
      <c r="E231" s="235"/>
      <c r="F231" s="235"/>
      <c r="G231" s="235"/>
      <c r="H231" s="235"/>
      <c r="I231" s="237"/>
      <c r="J231" s="237"/>
    </row>
    <row r="232" ht="15.75" customHeight="1">
      <c r="A232" s="235"/>
      <c r="B232" s="235"/>
      <c r="C232" s="236"/>
      <c r="D232" s="235"/>
      <c r="E232" s="235"/>
      <c r="F232" s="235"/>
      <c r="G232" s="235"/>
      <c r="H232" s="235"/>
      <c r="I232" s="237"/>
      <c r="J232" s="237"/>
    </row>
    <row r="233" ht="15.75" customHeight="1">
      <c r="A233" s="235"/>
      <c r="B233" s="235"/>
      <c r="C233" s="236"/>
      <c r="D233" s="235"/>
      <c r="E233" s="235"/>
      <c r="F233" s="235"/>
      <c r="G233" s="235"/>
      <c r="H233" s="235"/>
      <c r="I233" s="237"/>
      <c r="J233" s="237"/>
    </row>
    <row r="234" ht="15.75" customHeight="1">
      <c r="A234" s="235"/>
      <c r="B234" s="235"/>
      <c r="C234" s="236"/>
      <c r="D234" s="235"/>
      <c r="E234" s="235"/>
      <c r="F234" s="235"/>
      <c r="G234" s="235"/>
      <c r="H234" s="235"/>
      <c r="I234" s="237"/>
      <c r="J234" s="237"/>
    </row>
    <row r="235" ht="15.75" customHeight="1">
      <c r="A235" s="235"/>
      <c r="B235" s="235"/>
      <c r="C235" s="236"/>
      <c r="D235" s="235"/>
      <c r="E235" s="235"/>
      <c r="F235" s="235"/>
      <c r="G235" s="235"/>
      <c r="H235" s="235"/>
      <c r="I235" s="237"/>
      <c r="J235" s="237"/>
    </row>
    <row r="236" ht="15.75" customHeight="1">
      <c r="A236" s="235"/>
      <c r="B236" s="235"/>
      <c r="C236" s="236"/>
      <c r="D236" s="235"/>
      <c r="E236" s="235"/>
      <c r="F236" s="235"/>
      <c r="G236" s="235"/>
      <c r="H236" s="235"/>
      <c r="I236" s="237"/>
      <c r="J236" s="237"/>
    </row>
    <row r="237" ht="15.75" customHeight="1">
      <c r="A237" s="235"/>
      <c r="B237" s="235"/>
      <c r="C237" s="236"/>
      <c r="D237" s="235"/>
      <c r="E237" s="235"/>
      <c r="F237" s="235"/>
      <c r="G237" s="235"/>
      <c r="H237" s="235"/>
      <c r="I237" s="237"/>
      <c r="J237" s="237"/>
    </row>
    <row r="238" ht="15.75" customHeight="1">
      <c r="A238" s="235"/>
      <c r="B238" s="235"/>
      <c r="C238" s="236"/>
      <c r="D238" s="235"/>
      <c r="E238" s="235"/>
      <c r="F238" s="235"/>
      <c r="G238" s="235"/>
      <c r="H238" s="235"/>
      <c r="I238" s="237"/>
      <c r="J238" s="237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8.38"/>
    <col customWidth="1" min="5" max="5" width="22.13"/>
    <col customWidth="1" min="6" max="6" width="24.63"/>
    <col customWidth="1" min="7" max="7" width="16.75"/>
    <col customWidth="1" min="8" max="8" width="19.0"/>
    <col customWidth="1" min="9" max="9" width="15.38"/>
  </cols>
  <sheetData>
    <row r="1" ht="15.75" customHeight="1">
      <c r="A1" s="226" t="s">
        <v>111</v>
      </c>
      <c r="B1" s="226" t="s">
        <v>112</v>
      </c>
      <c r="C1" s="238" t="s">
        <v>113</v>
      </c>
      <c r="D1" s="226" t="s">
        <v>114</v>
      </c>
      <c r="E1" s="226" t="s">
        <v>115</v>
      </c>
      <c r="F1" s="226" t="s">
        <v>211</v>
      </c>
      <c r="G1" s="226" t="s">
        <v>117</v>
      </c>
      <c r="H1" s="226" t="s">
        <v>212</v>
      </c>
      <c r="I1" s="228" t="s">
        <v>64</v>
      </c>
      <c r="J1" s="228" t="s">
        <v>36</v>
      </c>
    </row>
    <row r="2" ht="15.75" customHeight="1">
      <c r="A2" s="229">
        <v>44410.0</v>
      </c>
      <c r="B2" s="230"/>
      <c r="C2" s="239"/>
      <c r="D2" s="232"/>
      <c r="E2" s="232"/>
      <c r="F2" s="231" t="str">
        <f t="shared" ref="F2:F36" si="1">E2/D2</f>
        <v>#DIV/0!</v>
      </c>
      <c r="G2" s="232"/>
      <c r="H2" s="231" t="str">
        <f t="shared" ref="H2:H36" si="2">G2/E2</f>
        <v>#DIV/0!</v>
      </c>
      <c r="I2" s="233" t="str">
        <f t="shared" ref="I2:I36" si="3">J2/G2</f>
        <v>#DIV/0!</v>
      </c>
      <c r="J2" s="234"/>
    </row>
    <row r="3" ht="15.75" customHeight="1">
      <c r="A3" s="229">
        <v>44411.0</v>
      </c>
      <c r="B3" s="230"/>
      <c r="C3" s="239"/>
      <c r="D3" s="232"/>
      <c r="E3" s="232"/>
      <c r="F3" s="231" t="str">
        <f t="shared" si="1"/>
        <v>#DIV/0!</v>
      </c>
      <c r="G3" s="232"/>
      <c r="H3" s="231" t="str">
        <f t="shared" si="2"/>
        <v>#DIV/0!</v>
      </c>
      <c r="I3" s="233" t="str">
        <f t="shared" si="3"/>
        <v>#DIV/0!</v>
      </c>
      <c r="J3" s="234"/>
    </row>
    <row r="4" ht="15.75" customHeight="1">
      <c r="A4" s="229">
        <v>44412.0</v>
      </c>
      <c r="B4" s="232"/>
      <c r="C4" s="239"/>
      <c r="D4" s="232"/>
      <c r="E4" s="232"/>
      <c r="F4" s="231" t="str">
        <f t="shared" si="1"/>
        <v>#DIV/0!</v>
      </c>
      <c r="G4" s="232"/>
      <c r="H4" s="231" t="str">
        <f t="shared" si="2"/>
        <v>#DIV/0!</v>
      </c>
      <c r="I4" s="233" t="str">
        <f t="shared" si="3"/>
        <v>#DIV/0!</v>
      </c>
      <c r="J4" s="234"/>
    </row>
    <row r="5" ht="15.75" customHeight="1">
      <c r="A5" s="229">
        <v>44413.0</v>
      </c>
      <c r="B5" s="232"/>
      <c r="C5" s="239"/>
      <c r="D5" s="232"/>
      <c r="E5" s="232"/>
      <c r="F5" s="231" t="str">
        <f t="shared" si="1"/>
        <v>#DIV/0!</v>
      </c>
      <c r="G5" s="232"/>
      <c r="H5" s="231" t="str">
        <f t="shared" si="2"/>
        <v>#DIV/0!</v>
      </c>
      <c r="I5" s="233" t="str">
        <f t="shared" si="3"/>
        <v>#DIV/0!</v>
      </c>
      <c r="J5" s="234"/>
    </row>
    <row r="6" ht="15.75" customHeight="1">
      <c r="A6" s="229">
        <v>44414.0</v>
      </c>
      <c r="B6" s="232"/>
      <c r="C6" s="239"/>
      <c r="D6" s="232"/>
      <c r="E6" s="232"/>
      <c r="F6" s="231" t="str">
        <f t="shared" si="1"/>
        <v>#DIV/0!</v>
      </c>
      <c r="G6" s="232"/>
      <c r="H6" s="231" t="str">
        <f t="shared" si="2"/>
        <v>#DIV/0!</v>
      </c>
      <c r="I6" s="233" t="str">
        <f t="shared" si="3"/>
        <v>#DIV/0!</v>
      </c>
      <c r="J6" s="234"/>
    </row>
    <row r="7" ht="15.75" customHeight="1">
      <c r="A7" s="229">
        <v>44415.0</v>
      </c>
      <c r="B7" s="232"/>
      <c r="C7" s="239"/>
      <c r="D7" s="232"/>
      <c r="E7" s="232"/>
      <c r="F7" s="231" t="str">
        <f t="shared" si="1"/>
        <v>#DIV/0!</v>
      </c>
      <c r="G7" s="232"/>
      <c r="H7" s="231" t="str">
        <f t="shared" si="2"/>
        <v>#DIV/0!</v>
      </c>
      <c r="I7" s="233" t="str">
        <f t="shared" si="3"/>
        <v>#DIV/0!</v>
      </c>
      <c r="J7" s="234"/>
    </row>
    <row r="8" ht="15.75" customHeight="1">
      <c r="A8" s="229">
        <v>44416.0</v>
      </c>
      <c r="B8" s="232"/>
      <c r="C8" s="239"/>
      <c r="D8" s="232"/>
      <c r="E8" s="232"/>
      <c r="F8" s="231" t="str">
        <f t="shared" si="1"/>
        <v>#DIV/0!</v>
      </c>
      <c r="G8" s="232"/>
      <c r="H8" s="231" t="str">
        <f t="shared" si="2"/>
        <v>#DIV/0!</v>
      </c>
      <c r="I8" s="233" t="str">
        <f t="shared" si="3"/>
        <v>#DIV/0!</v>
      </c>
      <c r="J8" s="234"/>
    </row>
    <row r="9" ht="15.75" customHeight="1">
      <c r="A9" s="229">
        <v>44417.0</v>
      </c>
      <c r="B9" s="232"/>
      <c r="C9" s="239"/>
      <c r="D9" s="232"/>
      <c r="E9" s="232"/>
      <c r="F9" s="231" t="str">
        <f t="shared" si="1"/>
        <v>#DIV/0!</v>
      </c>
      <c r="G9" s="232"/>
      <c r="H9" s="231" t="str">
        <f t="shared" si="2"/>
        <v>#DIV/0!</v>
      </c>
      <c r="I9" s="233" t="str">
        <f t="shared" si="3"/>
        <v>#DIV/0!</v>
      </c>
      <c r="J9" s="234"/>
    </row>
    <row r="10" ht="15.75" customHeight="1">
      <c r="A10" s="229">
        <v>44418.0</v>
      </c>
      <c r="B10" s="232"/>
      <c r="C10" s="239"/>
      <c r="D10" s="232"/>
      <c r="E10" s="232"/>
      <c r="F10" s="231" t="str">
        <f t="shared" si="1"/>
        <v>#DIV/0!</v>
      </c>
      <c r="G10" s="232"/>
      <c r="H10" s="231" t="str">
        <f t="shared" si="2"/>
        <v>#DIV/0!</v>
      </c>
      <c r="I10" s="233" t="str">
        <f t="shared" si="3"/>
        <v>#DIV/0!</v>
      </c>
      <c r="J10" s="234"/>
    </row>
    <row r="11" ht="15.75" customHeight="1">
      <c r="A11" s="229">
        <v>44419.0</v>
      </c>
      <c r="B11" s="232"/>
      <c r="C11" s="239"/>
      <c r="D11" s="232"/>
      <c r="E11" s="232"/>
      <c r="F11" s="231" t="str">
        <f t="shared" si="1"/>
        <v>#DIV/0!</v>
      </c>
      <c r="G11" s="232"/>
      <c r="H11" s="231" t="str">
        <f t="shared" si="2"/>
        <v>#DIV/0!</v>
      </c>
      <c r="I11" s="233" t="str">
        <f t="shared" si="3"/>
        <v>#DIV/0!</v>
      </c>
      <c r="J11" s="234"/>
    </row>
    <row r="12" ht="15.75" customHeight="1">
      <c r="A12" s="229">
        <v>44420.0</v>
      </c>
      <c r="B12" s="232"/>
      <c r="C12" s="239"/>
      <c r="D12" s="232"/>
      <c r="E12" s="232"/>
      <c r="F12" s="231" t="str">
        <f t="shared" si="1"/>
        <v>#DIV/0!</v>
      </c>
      <c r="G12" s="232"/>
      <c r="H12" s="231" t="str">
        <f t="shared" si="2"/>
        <v>#DIV/0!</v>
      </c>
      <c r="I12" s="233" t="str">
        <f t="shared" si="3"/>
        <v>#DIV/0!</v>
      </c>
      <c r="J12" s="234"/>
    </row>
    <row r="13" ht="15.75" customHeight="1">
      <c r="A13" s="229">
        <v>44421.0</v>
      </c>
      <c r="B13" s="232"/>
      <c r="C13" s="239"/>
      <c r="D13" s="232"/>
      <c r="E13" s="232"/>
      <c r="F13" s="231" t="str">
        <f t="shared" si="1"/>
        <v>#DIV/0!</v>
      </c>
      <c r="G13" s="232"/>
      <c r="H13" s="231" t="str">
        <f t="shared" si="2"/>
        <v>#DIV/0!</v>
      </c>
      <c r="I13" s="233" t="str">
        <f t="shared" si="3"/>
        <v>#DIV/0!</v>
      </c>
      <c r="J13" s="234"/>
    </row>
    <row r="14" ht="15.75" customHeight="1">
      <c r="A14" s="229">
        <v>44422.0</v>
      </c>
      <c r="B14" s="232"/>
      <c r="C14" s="239"/>
      <c r="D14" s="232"/>
      <c r="E14" s="232"/>
      <c r="F14" s="231" t="str">
        <f t="shared" si="1"/>
        <v>#DIV/0!</v>
      </c>
      <c r="G14" s="232"/>
      <c r="H14" s="231" t="str">
        <f t="shared" si="2"/>
        <v>#DIV/0!</v>
      </c>
      <c r="I14" s="233" t="str">
        <f t="shared" si="3"/>
        <v>#DIV/0!</v>
      </c>
      <c r="J14" s="234"/>
    </row>
    <row r="15" ht="15.75" customHeight="1">
      <c r="A15" s="229">
        <v>44423.0</v>
      </c>
      <c r="B15" s="232"/>
      <c r="C15" s="239"/>
      <c r="D15" s="232"/>
      <c r="E15" s="232"/>
      <c r="F15" s="231" t="str">
        <f t="shared" si="1"/>
        <v>#DIV/0!</v>
      </c>
      <c r="G15" s="232"/>
      <c r="H15" s="231" t="str">
        <f t="shared" si="2"/>
        <v>#DIV/0!</v>
      </c>
      <c r="I15" s="233" t="str">
        <f t="shared" si="3"/>
        <v>#DIV/0!</v>
      </c>
      <c r="J15" s="234"/>
    </row>
    <row r="16" ht="15.75" customHeight="1">
      <c r="A16" s="229">
        <v>44424.0</v>
      </c>
      <c r="B16" s="232"/>
      <c r="C16" s="239"/>
      <c r="D16" s="232"/>
      <c r="E16" s="232"/>
      <c r="F16" s="231" t="str">
        <f t="shared" si="1"/>
        <v>#DIV/0!</v>
      </c>
      <c r="G16" s="232"/>
      <c r="H16" s="231" t="str">
        <f t="shared" si="2"/>
        <v>#DIV/0!</v>
      </c>
      <c r="I16" s="233" t="str">
        <f t="shared" si="3"/>
        <v>#DIV/0!</v>
      </c>
      <c r="J16" s="234"/>
    </row>
    <row r="17" ht="15.75" customHeight="1">
      <c r="A17" s="229">
        <v>44425.0</v>
      </c>
      <c r="B17" s="232"/>
      <c r="C17" s="239"/>
      <c r="D17" s="232"/>
      <c r="E17" s="232"/>
      <c r="F17" s="231" t="str">
        <f t="shared" si="1"/>
        <v>#DIV/0!</v>
      </c>
      <c r="G17" s="232"/>
      <c r="H17" s="231" t="str">
        <f t="shared" si="2"/>
        <v>#DIV/0!</v>
      </c>
      <c r="I17" s="233" t="str">
        <f t="shared" si="3"/>
        <v>#DIV/0!</v>
      </c>
      <c r="J17" s="234"/>
    </row>
    <row r="18" ht="15.75" customHeight="1">
      <c r="A18" s="229">
        <v>44426.0</v>
      </c>
      <c r="B18" s="232"/>
      <c r="C18" s="239"/>
      <c r="D18" s="232"/>
      <c r="E18" s="232"/>
      <c r="F18" s="231" t="str">
        <f t="shared" si="1"/>
        <v>#DIV/0!</v>
      </c>
      <c r="G18" s="232"/>
      <c r="H18" s="231" t="str">
        <f t="shared" si="2"/>
        <v>#DIV/0!</v>
      </c>
      <c r="I18" s="233" t="str">
        <f t="shared" si="3"/>
        <v>#DIV/0!</v>
      </c>
      <c r="J18" s="234"/>
    </row>
    <row r="19" ht="15.75" customHeight="1">
      <c r="A19" s="229">
        <v>44427.0</v>
      </c>
      <c r="B19" s="232"/>
      <c r="C19" s="239"/>
      <c r="D19" s="232"/>
      <c r="E19" s="232"/>
      <c r="F19" s="231" t="str">
        <f t="shared" si="1"/>
        <v>#DIV/0!</v>
      </c>
      <c r="G19" s="232"/>
      <c r="H19" s="231" t="str">
        <f t="shared" si="2"/>
        <v>#DIV/0!</v>
      </c>
      <c r="I19" s="233" t="str">
        <f t="shared" si="3"/>
        <v>#DIV/0!</v>
      </c>
      <c r="J19" s="234"/>
    </row>
    <row r="20" ht="15.75" customHeight="1">
      <c r="A20" s="229">
        <v>44428.0</v>
      </c>
      <c r="B20" s="232"/>
      <c r="C20" s="239"/>
      <c r="D20" s="232"/>
      <c r="E20" s="232"/>
      <c r="F20" s="231" t="str">
        <f t="shared" si="1"/>
        <v>#DIV/0!</v>
      </c>
      <c r="G20" s="232"/>
      <c r="H20" s="231" t="str">
        <f t="shared" si="2"/>
        <v>#DIV/0!</v>
      </c>
      <c r="I20" s="233" t="str">
        <f t="shared" si="3"/>
        <v>#DIV/0!</v>
      </c>
      <c r="J20" s="234"/>
    </row>
    <row r="21" ht="15.75" customHeight="1">
      <c r="A21" s="229">
        <v>44429.0</v>
      </c>
      <c r="B21" s="232"/>
      <c r="C21" s="239"/>
      <c r="D21" s="232"/>
      <c r="E21" s="232"/>
      <c r="F21" s="231" t="str">
        <f t="shared" si="1"/>
        <v>#DIV/0!</v>
      </c>
      <c r="G21" s="232"/>
      <c r="H21" s="231" t="str">
        <f t="shared" si="2"/>
        <v>#DIV/0!</v>
      </c>
      <c r="I21" s="233" t="str">
        <f t="shared" si="3"/>
        <v>#DIV/0!</v>
      </c>
      <c r="J21" s="234"/>
    </row>
    <row r="22" ht="15.75" customHeight="1">
      <c r="A22" s="229">
        <v>44430.0</v>
      </c>
      <c r="B22" s="232"/>
      <c r="C22" s="239"/>
      <c r="D22" s="232"/>
      <c r="E22" s="232"/>
      <c r="F22" s="231" t="str">
        <f t="shared" si="1"/>
        <v>#DIV/0!</v>
      </c>
      <c r="G22" s="232"/>
      <c r="H22" s="231" t="str">
        <f t="shared" si="2"/>
        <v>#DIV/0!</v>
      </c>
      <c r="I22" s="233" t="str">
        <f t="shared" si="3"/>
        <v>#DIV/0!</v>
      </c>
      <c r="J22" s="234"/>
    </row>
    <row r="23" ht="15.75" customHeight="1">
      <c r="A23" s="229">
        <v>44431.0</v>
      </c>
      <c r="B23" s="232"/>
      <c r="C23" s="239"/>
      <c r="D23" s="232"/>
      <c r="E23" s="232"/>
      <c r="F23" s="231" t="str">
        <f t="shared" si="1"/>
        <v>#DIV/0!</v>
      </c>
      <c r="G23" s="232"/>
      <c r="H23" s="231" t="str">
        <f t="shared" si="2"/>
        <v>#DIV/0!</v>
      </c>
      <c r="I23" s="233" t="str">
        <f t="shared" si="3"/>
        <v>#DIV/0!</v>
      </c>
      <c r="J23" s="234"/>
    </row>
    <row r="24" ht="15.75" customHeight="1">
      <c r="A24" s="229">
        <v>44432.0</v>
      </c>
      <c r="B24" s="232"/>
      <c r="C24" s="239"/>
      <c r="D24" s="232"/>
      <c r="E24" s="232"/>
      <c r="F24" s="231" t="str">
        <f t="shared" si="1"/>
        <v>#DIV/0!</v>
      </c>
      <c r="G24" s="232"/>
      <c r="H24" s="231" t="str">
        <f t="shared" si="2"/>
        <v>#DIV/0!</v>
      </c>
      <c r="I24" s="233" t="str">
        <f t="shared" si="3"/>
        <v>#DIV/0!</v>
      </c>
      <c r="J24" s="234"/>
    </row>
    <row r="25" ht="15.75" customHeight="1">
      <c r="A25" s="229">
        <v>44433.0</v>
      </c>
      <c r="B25" s="232"/>
      <c r="C25" s="239"/>
      <c r="D25" s="232"/>
      <c r="E25" s="232"/>
      <c r="F25" s="231" t="str">
        <f t="shared" si="1"/>
        <v>#DIV/0!</v>
      </c>
      <c r="G25" s="232"/>
      <c r="H25" s="231" t="str">
        <f t="shared" si="2"/>
        <v>#DIV/0!</v>
      </c>
      <c r="I25" s="233" t="str">
        <f t="shared" si="3"/>
        <v>#DIV/0!</v>
      </c>
      <c r="J25" s="234"/>
    </row>
    <row r="26" ht="15.75" customHeight="1">
      <c r="A26" s="229">
        <v>44434.0</v>
      </c>
      <c r="B26" s="232"/>
      <c r="C26" s="239"/>
      <c r="D26" s="232"/>
      <c r="E26" s="232"/>
      <c r="F26" s="231" t="str">
        <f t="shared" si="1"/>
        <v>#DIV/0!</v>
      </c>
      <c r="G26" s="232"/>
      <c r="H26" s="231" t="str">
        <f t="shared" si="2"/>
        <v>#DIV/0!</v>
      </c>
      <c r="I26" s="233" t="str">
        <f t="shared" si="3"/>
        <v>#DIV/0!</v>
      </c>
      <c r="J26" s="234"/>
    </row>
    <row r="27" ht="15.75" customHeight="1">
      <c r="A27" s="229">
        <v>44435.0</v>
      </c>
      <c r="B27" s="232"/>
      <c r="C27" s="239"/>
      <c r="D27" s="232"/>
      <c r="E27" s="232"/>
      <c r="F27" s="231" t="str">
        <f t="shared" si="1"/>
        <v>#DIV/0!</v>
      </c>
      <c r="G27" s="232"/>
      <c r="H27" s="231" t="str">
        <f t="shared" si="2"/>
        <v>#DIV/0!</v>
      </c>
      <c r="I27" s="233" t="str">
        <f t="shared" si="3"/>
        <v>#DIV/0!</v>
      </c>
      <c r="J27" s="234"/>
    </row>
    <row r="28" ht="15.75" customHeight="1">
      <c r="A28" s="229">
        <v>44436.0</v>
      </c>
      <c r="B28" s="232"/>
      <c r="C28" s="239"/>
      <c r="D28" s="232"/>
      <c r="E28" s="232"/>
      <c r="F28" s="231" t="str">
        <f t="shared" si="1"/>
        <v>#DIV/0!</v>
      </c>
      <c r="G28" s="232"/>
      <c r="H28" s="231" t="str">
        <f t="shared" si="2"/>
        <v>#DIV/0!</v>
      </c>
      <c r="I28" s="233" t="str">
        <f t="shared" si="3"/>
        <v>#DIV/0!</v>
      </c>
      <c r="J28" s="234"/>
    </row>
    <row r="29" ht="15.75" customHeight="1">
      <c r="A29" s="229">
        <v>44437.0</v>
      </c>
      <c r="B29" s="232"/>
      <c r="C29" s="239"/>
      <c r="D29" s="232"/>
      <c r="E29" s="232"/>
      <c r="F29" s="231" t="str">
        <f t="shared" si="1"/>
        <v>#DIV/0!</v>
      </c>
      <c r="G29" s="232"/>
      <c r="H29" s="231" t="str">
        <f t="shared" si="2"/>
        <v>#DIV/0!</v>
      </c>
      <c r="I29" s="233" t="str">
        <f t="shared" si="3"/>
        <v>#DIV/0!</v>
      </c>
      <c r="J29" s="234"/>
    </row>
    <row r="30" ht="15.75" customHeight="1">
      <c r="A30" s="229">
        <v>44438.0</v>
      </c>
      <c r="B30" s="232"/>
      <c r="C30" s="239"/>
      <c r="D30" s="232"/>
      <c r="E30" s="232"/>
      <c r="F30" s="231" t="str">
        <f t="shared" si="1"/>
        <v>#DIV/0!</v>
      </c>
      <c r="G30" s="232"/>
      <c r="H30" s="231" t="str">
        <f t="shared" si="2"/>
        <v>#DIV/0!</v>
      </c>
      <c r="I30" s="233" t="str">
        <f t="shared" si="3"/>
        <v>#DIV/0!</v>
      </c>
      <c r="J30" s="234"/>
    </row>
    <row r="31" ht="15.75" customHeight="1">
      <c r="A31" s="229">
        <v>44439.0</v>
      </c>
      <c r="B31" s="232"/>
      <c r="C31" s="239"/>
      <c r="D31" s="232"/>
      <c r="E31" s="232"/>
      <c r="F31" s="231" t="str">
        <f t="shared" si="1"/>
        <v>#DIV/0!</v>
      </c>
      <c r="G31" s="232"/>
      <c r="H31" s="231" t="str">
        <f t="shared" si="2"/>
        <v>#DIV/0!</v>
      </c>
      <c r="I31" s="233" t="str">
        <f t="shared" si="3"/>
        <v>#DIV/0!</v>
      </c>
      <c r="J31" s="234"/>
    </row>
    <row r="32" ht="15.75" customHeight="1">
      <c r="A32" s="229">
        <v>44440.0</v>
      </c>
      <c r="B32" s="232"/>
      <c r="C32" s="239"/>
      <c r="D32" s="232"/>
      <c r="E32" s="232"/>
      <c r="F32" s="231" t="str">
        <f t="shared" si="1"/>
        <v>#DIV/0!</v>
      </c>
      <c r="G32" s="232"/>
      <c r="H32" s="231" t="str">
        <f t="shared" si="2"/>
        <v>#DIV/0!</v>
      </c>
      <c r="I32" s="233" t="str">
        <f t="shared" si="3"/>
        <v>#DIV/0!</v>
      </c>
      <c r="J32" s="234"/>
    </row>
    <row r="33" ht="15.75" customHeight="1">
      <c r="A33" s="229">
        <v>44441.0</v>
      </c>
      <c r="B33" s="232"/>
      <c r="C33" s="239"/>
      <c r="D33" s="232"/>
      <c r="E33" s="232"/>
      <c r="F33" s="231" t="str">
        <f t="shared" si="1"/>
        <v>#DIV/0!</v>
      </c>
      <c r="G33" s="232"/>
      <c r="H33" s="231" t="str">
        <f t="shared" si="2"/>
        <v>#DIV/0!</v>
      </c>
      <c r="I33" s="233" t="str">
        <f t="shared" si="3"/>
        <v>#DIV/0!</v>
      </c>
      <c r="J33" s="234"/>
    </row>
    <row r="34" ht="15.75" customHeight="1">
      <c r="A34" s="229">
        <v>44442.0</v>
      </c>
      <c r="B34" s="232"/>
      <c r="C34" s="239"/>
      <c r="D34" s="232"/>
      <c r="E34" s="232"/>
      <c r="F34" s="231" t="str">
        <f t="shared" si="1"/>
        <v>#DIV/0!</v>
      </c>
      <c r="G34" s="232"/>
      <c r="H34" s="231" t="str">
        <f t="shared" si="2"/>
        <v>#DIV/0!</v>
      </c>
      <c r="I34" s="233" t="str">
        <f t="shared" si="3"/>
        <v>#DIV/0!</v>
      </c>
      <c r="J34" s="234"/>
    </row>
    <row r="35" ht="15.75" customHeight="1">
      <c r="A35" s="229">
        <v>44443.0</v>
      </c>
      <c r="B35" s="232"/>
      <c r="C35" s="239"/>
      <c r="D35" s="232"/>
      <c r="E35" s="232"/>
      <c r="F35" s="231" t="str">
        <f t="shared" si="1"/>
        <v>#DIV/0!</v>
      </c>
      <c r="G35" s="232"/>
      <c r="H35" s="231" t="str">
        <f t="shared" si="2"/>
        <v>#DIV/0!</v>
      </c>
      <c r="I35" s="233" t="str">
        <f t="shared" si="3"/>
        <v>#DIV/0!</v>
      </c>
      <c r="J35" s="234"/>
    </row>
    <row r="36" ht="15.75" customHeight="1">
      <c r="A36" s="229">
        <v>44444.0</v>
      </c>
      <c r="B36" s="232"/>
      <c r="C36" s="239"/>
      <c r="D36" s="232"/>
      <c r="E36" s="232"/>
      <c r="F36" s="231" t="str">
        <f t="shared" si="1"/>
        <v>#DIV/0!</v>
      </c>
      <c r="G36" s="232"/>
      <c r="H36" s="231" t="str">
        <f t="shared" si="2"/>
        <v>#DIV/0!</v>
      </c>
      <c r="I36" s="233" t="str">
        <f t="shared" si="3"/>
        <v>#DIV/0!</v>
      </c>
      <c r="J36" s="234"/>
    </row>
    <row r="37" ht="15.75" customHeight="1">
      <c r="A37" s="232" t="s">
        <v>119</v>
      </c>
      <c r="B37" s="230" t="str">
        <f t="shared" ref="B37:H37" si="4">MEDIAN(B2:B36)</f>
        <v>#NUM!</v>
      </c>
      <c r="C37" s="239" t="str">
        <f t="shared" si="4"/>
        <v>#NUM!</v>
      </c>
      <c r="D37" s="232" t="str">
        <f t="shared" si="4"/>
        <v>#NUM!</v>
      </c>
      <c r="E37" s="232" t="str">
        <f t="shared" si="4"/>
        <v>#NUM!</v>
      </c>
      <c r="F37" s="232" t="str">
        <f t="shared" si="4"/>
        <v>#DIV/0!</v>
      </c>
      <c r="G37" s="232" t="str">
        <f t="shared" si="4"/>
        <v>#NUM!</v>
      </c>
      <c r="H37" s="232" t="str">
        <f t="shared" si="4"/>
        <v>#DIV/0!</v>
      </c>
      <c r="I37" s="233"/>
      <c r="J37" s="234" t="str">
        <f>MEDIAN(J2:J36)</f>
        <v>#NUM!</v>
      </c>
    </row>
    <row r="38" ht="15.75" customHeight="1">
      <c r="A38" s="232" t="s">
        <v>39</v>
      </c>
      <c r="B38" s="230">
        <f>SUM(B2:B36)</f>
        <v>0</v>
      </c>
      <c r="C38" s="239"/>
      <c r="D38" s="232">
        <f t="shared" ref="D38:E38" si="5">SUM(D2:D36)</f>
        <v>0</v>
      </c>
      <c r="E38" s="232">
        <f t="shared" si="5"/>
        <v>0</v>
      </c>
      <c r="F38" s="232" t="str">
        <f>E38/D38</f>
        <v>#DIV/0!</v>
      </c>
      <c r="G38" s="232">
        <f>SUM(G2:G36)</f>
        <v>0</v>
      </c>
      <c r="H38" s="231" t="str">
        <f>G38/E38</f>
        <v>#DIV/0!</v>
      </c>
      <c r="I38" s="233" t="str">
        <f>J38/G38</f>
        <v>#DIV/0!</v>
      </c>
      <c r="J38" s="234">
        <f>SUM(J2:J36)</f>
        <v>0</v>
      </c>
    </row>
    <row r="39" ht="15.75" customHeight="1">
      <c r="A39" s="235"/>
      <c r="B39" s="235"/>
      <c r="C39" s="240"/>
      <c r="D39" s="235"/>
      <c r="E39" s="235"/>
      <c r="F39" s="235"/>
      <c r="G39" s="235"/>
      <c r="H39" s="235"/>
      <c r="I39" s="237"/>
      <c r="J39" s="237"/>
    </row>
    <row r="40" ht="15.75" customHeight="1">
      <c r="A40" s="235"/>
      <c r="B40" s="235"/>
      <c r="C40" s="240"/>
      <c r="D40" s="235"/>
      <c r="E40" s="235"/>
      <c r="F40" s="235"/>
      <c r="G40" s="235"/>
      <c r="H40" s="235"/>
      <c r="I40" s="237"/>
      <c r="J40" s="237"/>
    </row>
    <row r="41" ht="15.75" customHeight="1">
      <c r="A41" s="235"/>
      <c r="B41" s="235"/>
      <c r="C41" s="240"/>
      <c r="D41" s="235"/>
      <c r="E41" s="235"/>
      <c r="F41" s="235"/>
      <c r="G41" s="235"/>
      <c r="H41" s="235"/>
      <c r="I41" s="237"/>
      <c r="J41" s="237"/>
    </row>
    <row r="42" ht="15.75" customHeight="1">
      <c r="A42" s="235"/>
      <c r="B42" s="235"/>
      <c r="C42" s="240"/>
      <c r="D42" s="235"/>
      <c r="E42" s="235"/>
      <c r="F42" s="235"/>
      <c r="G42" s="235"/>
      <c r="H42" s="235"/>
      <c r="I42" s="237"/>
      <c r="J42" s="237"/>
    </row>
    <row r="43" ht="15.75" customHeight="1">
      <c r="A43" s="235"/>
      <c r="B43" s="235"/>
      <c r="C43" s="240"/>
      <c r="D43" s="235"/>
      <c r="E43" s="235"/>
      <c r="F43" s="235"/>
      <c r="G43" s="235"/>
      <c r="H43" s="235"/>
      <c r="I43" s="237"/>
      <c r="J43" s="237"/>
    </row>
    <row r="44" ht="15.75" customHeight="1">
      <c r="A44" s="235"/>
      <c r="B44" s="235"/>
      <c r="C44" s="240"/>
      <c r="D44" s="235"/>
      <c r="E44" s="235"/>
      <c r="F44" s="235"/>
      <c r="G44" s="235"/>
      <c r="H44" s="235"/>
      <c r="I44" s="237"/>
      <c r="J44" s="237"/>
    </row>
    <row r="45" ht="15.75" customHeight="1">
      <c r="A45" s="235"/>
      <c r="B45" s="235"/>
      <c r="C45" s="240"/>
      <c r="D45" s="235"/>
      <c r="E45" s="235"/>
      <c r="F45" s="235"/>
      <c r="G45" s="235"/>
      <c r="H45" s="235"/>
      <c r="I45" s="237"/>
      <c r="J45" s="237"/>
    </row>
    <row r="46" ht="15.75" customHeight="1">
      <c r="A46" s="235"/>
      <c r="B46" s="235"/>
      <c r="C46" s="240"/>
      <c r="D46" s="235"/>
      <c r="E46" s="235"/>
      <c r="F46" s="235"/>
      <c r="G46" s="235"/>
      <c r="H46" s="235"/>
      <c r="I46" s="237"/>
      <c r="J46" s="237"/>
    </row>
    <row r="47" ht="15.75" customHeight="1">
      <c r="A47" s="235"/>
      <c r="B47" s="235"/>
      <c r="C47" s="240"/>
      <c r="D47" s="235"/>
      <c r="E47" s="235"/>
      <c r="F47" s="235"/>
      <c r="G47" s="235"/>
      <c r="H47" s="235"/>
      <c r="I47" s="237"/>
      <c r="J47" s="237"/>
    </row>
    <row r="48" ht="15.75" customHeight="1">
      <c r="A48" s="235"/>
      <c r="B48" s="235"/>
      <c r="C48" s="240"/>
      <c r="D48" s="235"/>
      <c r="E48" s="235"/>
      <c r="F48" s="235"/>
      <c r="G48" s="235"/>
      <c r="H48" s="235"/>
      <c r="I48" s="237"/>
      <c r="J48" s="237"/>
    </row>
    <row r="49" ht="15.75" customHeight="1">
      <c r="A49" s="235"/>
      <c r="B49" s="235"/>
      <c r="C49" s="240"/>
      <c r="D49" s="235"/>
      <c r="E49" s="235"/>
      <c r="F49" s="235"/>
      <c r="G49" s="235"/>
      <c r="H49" s="235"/>
      <c r="I49" s="237"/>
      <c r="J49" s="237"/>
    </row>
    <row r="50" ht="15.75" customHeight="1">
      <c r="A50" s="235"/>
      <c r="B50" s="235"/>
      <c r="C50" s="240"/>
      <c r="D50" s="235"/>
      <c r="E50" s="235"/>
      <c r="F50" s="235"/>
      <c r="G50" s="235"/>
      <c r="H50" s="235"/>
      <c r="I50" s="237"/>
      <c r="J50" s="237"/>
    </row>
    <row r="51" ht="15.75" customHeight="1">
      <c r="A51" s="235"/>
      <c r="B51" s="235"/>
      <c r="C51" s="240"/>
      <c r="D51" s="235"/>
      <c r="E51" s="235"/>
      <c r="F51" s="235"/>
      <c r="G51" s="235"/>
      <c r="H51" s="235"/>
      <c r="I51" s="237"/>
      <c r="J51" s="237"/>
    </row>
    <row r="52" ht="15.75" customHeight="1">
      <c r="A52" s="235"/>
      <c r="B52" s="235"/>
      <c r="C52" s="240"/>
      <c r="D52" s="235"/>
      <c r="E52" s="235"/>
      <c r="F52" s="235"/>
      <c r="G52" s="235"/>
      <c r="H52" s="235"/>
      <c r="I52" s="237"/>
      <c r="J52" s="237"/>
    </row>
    <row r="53" ht="15.75" customHeight="1">
      <c r="A53" s="235"/>
      <c r="B53" s="235"/>
      <c r="C53" s="240"/>
      <c r="D53" s="235"/>
      <c r="E53" s="235"/>
      <c r="F53" s="235"/>
      <c r="G53" s="235"/>
      <c r="H53" s="235"/>
      <c r="I53" s="237"/>
      <c r="J53" s="237"/>
    </row>
    <row r="54" ht="15.75" customHeight="1">
      <c r="A54" s="235"/>
      <c r="B54" s="235"/>
      <c r="C54" s="240"/>
      <c r="D54" s="235"/>
      <c r="E54" s="235"/>
      <c r="F54" s="235"/>
      <c r="G54" s="235"/>
      <c r="H54" s="235"/>
      <c r="I54" s="237"/>
      <c r="J54" s="237"/>
    </row>
    <row r="55" ht="15.75" customHeight="1">
      <c r="A55" s="235"/>
      <c r="B55" s="235"/>
      <c r="C55" s="240"/>
      <c r="D55" s="235"/>
      <c r="E55" s="235"/>
      <c r="F55" s="235"/>
      <c r="G55" s="235"/>
      <c r="H55" s="235"/>
      <c r="I55" s="237"/>
      <c r="J55" s="237"/>
    </row>
    <row r="56" ht="15.75" customHeight="1">
      <c r="A56" s="235"/>
      <c r="B56" s="235"/>
      <c r="C56" s="240"/>
      <c r="D56" s="235"/>
      <c r="E56" s="235"/>
      <c r="F56" s="235"/>
      <c r="G56" s="235"/>
      <c r="H56" s="235"/>
      <c r="I56" s="237"/>
      <c r="J56" s="237"/>
    </row>
    <row r="57" ht="15.75" customHeight="1">
      <c r="A57" s="235"/>
      <c r="B57" s="235"/>
      <c r="C57" s="240"/>
      <c r="D57" s="235"/>
      <c r="E57" s="235"/>
      <c r="F57" s="235"/>
      <c r="G57" s="235"/>
      <c r="H57" s="235"/>
      <c r="I57" s="237"/>
      <c r="J57" s="237"/>
    </row>
    <row r="58" ht="15.75" customHeight="1">
      <c r="A58" s="235"/>
      <c r="B58" s="235"/>
      <c r="C58" s="240"/>
      <c r="D58" s="235"/>
      <c r="E58" s="235"/>
      <c r="F58" s="235"/>
      <c r="G58" s="235"/>
      <c r="H58" s="235"/>
      <c r="I58" s="237"/>
      <c r="J58" s="237"/>
    </row>
    <row r="59" ht="15.75" customHeight="1">
      <c r="A59" s="235"/>
      <c r="B59" s="235"/>
      <c r="C59" s="240"/>
      <c r="D59" s="235"/>
      <c r="E59" s="235"/>
      <c r="F59" s="235"/>
      <c r="G59" s="235"/>
      <c r="H59" s="235"/>
      <c r="I59" s="237"/>
      <c r="J59" s="237"/>
    </row>
    <row r="60" ht="15.75" customHeight="1">
      <c r="A60" s="235"/>
      <c r="B60" s="235"/>
      <c r="C60" s="240"/>
      <c r="D60" s="235"/>
      <c r="E60" s="235"/>
      <c r="F60" s="235"/>
      <c r="G60" s="235"/>
      <c r="H60" s="235"/>
      <c r="I60" s="237"/>
      <c r="J60" s="237"/>
    </row>
    <row r="61" ht="15.75" customHeight="1">
      <c r="A61" s="235"/>
      <c r="B61" s="235"/>
      <c r="C61" s="240"/>
      <c r="D61" s="235"/>
      <c r="E61" s="235"/>
      <c r="F61" s="235"/>
      <c r="G61" s="235"/>
      <c r="H61" s="235"/>
      <c r="I61" s="237"/>
      <c r="J61" s="237"/>
    </row>
    <row r="62" ht="15.75" customHeight="1">
      <c r="A62" s="235"/>
      <c r="B62" s="235"/>
      <c r="C62" s="240"/>
      <c r="D62" s="235"/>
      <c r="E62" s="235"/>
      <c r="F62" s="235"/>
      <c r="G62" s="235"/>
      <c r="H62" s="235"/>
      <c r="I62" s="237"/>
      <c r="J62" s="237"/>
    </row>
    <row r="63" ht="15.75" customHeight="1">
      <c r="A63" s="235"/>
      <c r="B63" s="235"/>
      <c r="C63" s="240"/>
      <c r="D63" s="235"/>
      <c r="E63" s="235"/>
      <c r="F63" s="235"/>
      <c r="G63" s="235"/>
      <c r="H63" s="235"/>
      <c r="I63" s="237"/>
      <c r="J63" s="237"/>
    </row>
    <row r="64" ht="15.75" customHeight="1">
      <c r="A64" s="235"/>
      <c r="B64" s="235"/>
      <c r="C64" s="240"/>
      <c r="D64" s="235"/>
      <c r="E64" s="235"/>
      <c r="F64" s="235"/>
      <c r="G64" s="235"/>
      <c r="H64" s="235"/>
      <c r="I64" s="237"/>
      <c r="J64" s="237"/>
    </row>
    <row r="65" ht="15.75" customHeight="1">
      <c r="A65" s="235"/>
      <c r="B65" s="235"/>
      <c r="C65" s="240"/>
      <c r="D65" s="235"/>
      <c r="E65" s="235"/>
      <c r="F65" s="235"/>
      <c r="G65" s="235"/>
      <c r="H65" s="235"/>
      <c r="I65" s="237"/>
      <c r="J65" s="237"/>
    </row>
    <row r="66" ht="15.75" customHeight="1">
      <c r="A66" s="235"/>
      <c r="B66" s="235"/>
      <c r="C66" s="240"/>
      <c r="D66" s="235"/>
      <c r="E66" s="235"/>
      <c r="F66" s="235"/>
      <c r="G66" s="235"/>
      <c r="H66" s="235"/>
      <c r="I66" s="237"/>
      <c r="J66" s="237"/>
    </row>
    <row r="67" ht="15.75" customHeight="1">
      <c r="A67" s="235"/>
      <c r="B67" s="235"/>
      <c r="C67" s="240"/>
      <c r="D67" s="235"/>
      <c r="E67" s="235"/>
      <c r="F67" s="235"/>
      <c r="G67" s="235"/>
      <c r="H67" s="235"/>
      <c r="I67" s="237"/>
      <c r="J67" s="237"/>
    </row>
    <row r="68" ht="15.75" customHeight="1">
      <c r="A68" s="235"/>
      <c r="B68" s="235"/>
      <c r="C68" s="240"/>
      <c r="D68" s="235"/>
      <c r="E68" s="235"/>
      <c r="F68" s="235"/>
      <c r="G68" s="235"/>
      <c r="H68" s="235"/>
      <c r="I68" s="237"/>
      <c r="J68" s="237"/>
    </row>
    <row r="69" ht="15.75" customHeight="1">
      <c r="A69" s="235"/>
      <c r="B69" s="235"/>
      <c r="C69" s="240"/>
      <c r="D69" s="235"/>
      <c r="E69" s="235"/>
      <c r="F69" s="235"/>
      <c r="G69" s="235"/>
      <c r="H69" s="235"/>
      <c r="I69" s="237"/>
      <c r="J69" s="237"/>
    </row>
    <row r="70" ht="15.75" customHeight="1">
      <c r="A70" s="235"/>
      <c r="B70" s="235"/>
      <c r="C70" s="240"/>
      <c r="D70" s="235"/>
      <c r="E70" s="235"/>
      <c r="F70" s="235"/>
      <c r="G70" s="235"/>
      <c r="H70" s="235"/>
      <c r="I70" s="237"/>
      <c r="J70" s="237"/>
    </row>
    <row r="71" ht="15.75" customHeight="1">
      <c r="A71" s="235"/>
      <c r="B71" s="235"/>
      <c r="C71" s="240"/>
      <c r="D71" s="235"/>
      <c r="E71" s="235"/>
      <c r="F71" s="235"/>
      <c r="G71" s="235"/>
      <c r="H71" s="235"/>
      <c r="I71" s="237"/>
      <c r="J71" s="237"/>
    </row>
    <row r="72" ht="15.75" customHeight="1">
      <c r="A72" s="235"/>
      <c r="B72" s="235"/>
      <c r="C72" s="240"/>
      <c r="D72" s="235"/>
      <c r="E72" s="235"/>
      <c r="F72" s="235"/>
      <c r="G72" s="235"/>
      <c r="H72" s="235"/>
      <c r="I72" s="237"/>
      <c r="J72" s="237"/>
    </row>
    <row r="73" ht="15.75" customHeight="1">
      <c r="A73" s="235"/>
      <c r="B73" s="235"/>
      <c r="C73" s="240"/>
      <c r="D73" s="235"/>
      <c r="E73" s="235"/>
      <c r="F73" s="235"/>
      <c r="G73" s="235"/>
      <c r="H73" s="235"/>
      <c r="I73" s="237"/>
      <c r="J73" s="237"/>
    </row>
    <row r="74" ht="15.75" customHeight="1">
      <c r="A74" s="235"/>
      <c r="B74" s="235"/>
      <c r="C74" s="240"/>
      <c r="D74" s="235"/>
      <c r="E74" s="235"/>
      <c r="F74" s="235"/>
      <c r="G74" s="235"/>
      <c r="H74" s="235"/>
      <c r="I74" s="237"/>
      <c r="J74" s="237"/>
    </row>
    <row r="75" ht="15.75" customHeight="1">
      <c r="A75" s="235"/>
      <c r="B75" s="235"/>
      <c r="C75" s="240"/>
      <c r="D75" s="235"/>
      <c r="E75" s="235"/>
      <c r="F75" s="235"/>
      <c r="G75" s="235"/>
      <c r="H75" s="235"/>
      <c r="I75" s="237"/>
      <c r="J75" s="237"/>
    </row>
    <row r="76" ht="15.75" customHeight="1">
      <c r="A76" s="235"/>
      <c r="B76" s="235"/>
      <c r="C76" s="240"/>
      <c r="D76" s="235"/>
      <c r="E76" s="235"/>
      <c r="F76" s="235"/>
      <c r="G76" s="235"/>
      <c r="H76" s="235"/>
      <c r="I76" s="237"/>
      <c r="J76" s="237"/>
    </row>
    <row r="77" ht="15.75" customHeight="1">
      <c r="A77" s="235"/>
      <c r="B77" s="235"/>
      <c r="C77" s="240"/>
      <c r="D77" s="235"/>
      <c r="E77" s="235"/>
      <c r="F77" s="235"/>
      <c r="G77" s="235"/>
      <c r="H77" s="235"/>
      <c r="I77" s="237"/>
      <c r="J77" s="237"/>
    </row>
    <row r="78" ht="15.75" customHeight="1">
      <c r="A78" s="235"/>
      <c r="B78" s="235"/>
      <c r="C78" s="240"/>
      <c r="D78" s="235"/>
      <c r="E78" s="235"/>
      <c r="F78" s="235"/>
      <c r="G78" s="235"/>
      <c r="H78" s="235"/>
      <c r="I78" s="237"/>
      <c r="J78" s="237"/>
    </row>
    <row r="79" ht="15.75" customHeight="1">
      <c r="A79" s="235"/>
      <c r="B79" s="235"/>
      <c r="C79" s="240"/>
      <c r="D79" s="235"/>
      <c r="E79" s="235"/>
      <c r="F79" s="235"/>
      <c r="G79" s="235"/>
      <c r="H79" s="235"/>
      <c r="I79" s="237"/>
      <c r="J79" s="237"/>
    </row>
    <row r="80" ht="15.75" customHeight="1">
      <c r="A80" s="235"/>
      <c r="B80" s="235"/>
      <c r="C80" s="240"/>
      <c r="D80" s="235"/>
      <c r="E80" s="235"/>
      <c r="F80" s="235"/>
      <c r="G80" s="235"/>
      <c r="H80" s="235"/>
      <c r="I80" s="237"/>
      <c r="J80" s="237"/>
    </row>
    <row r="81" ht="15.75" customHeight="1">
      <c r="A81" s="235"/>
      <c r="B81" s="235"/>
      <c r="C81" s="240"/>
      <c r="D81" s="235"/>
      <c r="E81" s="235"/>
      <c r="F81" s="235"/>
      <c r="G81" s="235"/>
      <c r="H81" s="235"/>
      <c r="I81" s="237"/>
      <c r="J81" s="237"/>
    </row>
    <row r="82" ht="15.75" customHeight="1">
      <c r="A82" s="235"/>
      <c r="B82" s="235"/>
      <c r="C82" s="240"/>
      <c r="D82" s="235"/>
      <c r="E82" s="235"/>
      <c r="F82" s="235"/>
      <c r="G82" s="235"/>
      <c r="H82" s="235"/>
      <c r="I82" s="237"/>
      <c r="J82" s="237"/>
    </row>
    <row r="83" ht="15.75" customHeight="1">
      <c r="A83" s="235"/>
      <c r="B83" s="235"/>
      <c r="C83" s="240"/>
      <c r="D83" s="235"/>
      <c r="E83" s="235"/>
      <c r="F83" s="235"/>
      <c r="G83" s="235"/>
      <c r="H83" s="235"/>
      <c r="I83" s="237"/>
      <c r="J83" s="237"/>
    </row>
    <row r="84" ht="15.75" customHeight="1">
      <c r="A84" s="235"/>
      <c r="B84" s="235"/>
      <c r="C84" s="240"/>
      <c r="D84" s="235"/>
      <c r="E84" s="235"/>
      <c r="F84" s="235"/>
      <c r="G84" s="235"/>
      <c r="H84" s="235"/>
      <c r="I84" s="237"/>
      <c r="J84" s="237"/>
    </row>
    <row r="85" ht="15.75" customHeight="1">
      <c r="A85" s="235"/>
      <c r="B85" s="235"/>
      <c r="C85" s="240"/>
      <c r="D85" s="235"/>
      <c r="E85" s="235"/>
      <c r="F85" s="235"/>
      <c r="G85" s="235"/>
      <c r="H85" s="235"/>
      <c r="I85" s="237"/>
      <c r="J85" s="237"/>
    </row>
    <row r="86" ht="15.75" customHeight="1">
      <c r="A86" s="235"/>
      <c r="B86" s="235"/>
      <c r="C86" s="240"/>
      <c r="D86" s="235"/>
      <c r="E86" s="235"/>
      <c r="F86" s="235"/>
      <c r="G86" s="235"/>
      <c r="H86" s="235"/>
      <c r="I86" s="237"/>
      <c r="J86" s="237"/>
    </row>
    <row r="87" ht="15.75" customHeight="1">
      <c r="A87" s="235"/>
      <c r="B87" s="235"/>
      <c r="C87" s="240"/>
      <c r="D87" s="235"/>
      <c r="E87" s="235"/>
      <c r="F87" s="235"/>
      <c r="G87" s="235"/>
      <c r="H87" s="235"/>
      <c r="I87" s="237"/>
      <c r="J87" s="237"/>
    </row>
    <row r="88" ht="15.75" customHeight="1">
      <c r="A88" s="235"/>
      <c r="B88" s="235"/>
      <c r="C88" s="240"/>
      <c r="D88" s="235"/>
      <c r="E88" s="235"/>
      <c r="F88" s="235"/>
      <c r="G88" s="235"/>
      <c r="H88" s="235"/>
      <c r="I88" s="237"/>
      <c r="J88" s="237"/>
    </row>
    <row r="89" ht="15.75" customHeight="1">
      <c r="A89" s="235"/>
      <c r="B89" s="235"/>
      <c r="C89" s="240"/>
      <c r="D89" s="235"/>
      <c r="E89" s="235"/>
      <c r="F89" s="235"/>
      <c r="G89" s="235"/>
      <c r="H89" s="235"/>
      <c r="I89" s="237"/>
      <c r="J89" s="237"/>
    </row>
    <row r="90" ht="15.75" customHeight="1">
      <c r="A90" s="235"/>
      <c r="B90" s="235"/>
      <c r="C90" s="240"/>
      <c r="D90" s="235"/>
      <c r="E90" s="235"/>
      <c r="F90" s="235"/>
      <c r="G90" s="235"/>
      <c r="H90" s="235"/>
      <c r="I90" s="237"/>
      <c r="J90" s="237"/>
    </row>
    <row r="91" ht="15.75" customHeight="1">
      <c r="A91" s="235"/>
      <c r="B91" s="235"/>
      <c r="C91" s="240"/>
      <c r="D91" s="235"/>
      <c r="E91" s="235"/>
      <c r="F91" s="235"/>
      <c r="G91" s="235"/>
      <c r="H91" s="235"/>
      <c r="I91" s="237"/>
      <c r="J91" s="237"/>
    </row>
    <row r="92" ht="15.75" customHeight="1">
      <c r="A92" s="235"/>
      <c r="B92" s="235"/>
      <c r="C92" s="240"/>
      <c r="D92" s="235"/>
      <c r="E92" s="235"/>
      <c r="F92" s="235"/>
      <c r="G92" s="235"/>
      <c r="H92" s="235"/>
      <c r="I92" s="237"/>
      <c r="J92" s="237"/>
    </row>
    <row r="93" ht="15.75" customHeight="1">
      <c r="A93" s="235"/>
      <c r="B93" s="235"/>
      <c r="C93" s="240"/>
      <c r="D93" s="235"/>
      <c r="E93" s="235"/>
      <c r="F93" s="235"/>
      <c r="G93" s="235"/>
      <c r="H93" s="235"/>
      <c r="I93" s="237"/>
      <c r="J93" s="237"/>
    </row>
    <row r="94" ht="15.75" customHeight="1">
      <c r="A94" s="235"/>
      <c r="B94" s="235"/>
      <c r="C94" s="240"/>
      <c r="D94" s="235"/>
      <c r="E94" s="235"/>
      <c r="F94" s="235"/>
      <c r="G94" s="235"/>
      <c r="H94" s="235"/>
      <c r="I94" s="237"/>
      <c r="J94" s="237"/>
    </row>
    <row r="95" ht="15.75" customHeight="1">
      <c r="A95" s="235"/>
      <c r="B95" s="235"/>
      <c r="C95" s="240"/>
      <c r="D95" s="235"/>
      <c r="E95" s="235"/>
      <c r="F95" s="235"/>
      <c r="G95" s="235"/>
      <c r="H95" s="235"/>
      <c r="I95" s="237"/>
      <c r="J95" s="237"/>
    </row>
    <row r="96" ht="15.75" customHeight="1">
      <c r="A96" s="235"/>
      <c r="B96" s="235"/>
      <c r="C96" s="240"/>
      <c r="D96" s="235"/>
      <c r="E96" s="235"/>
      <c r="F96" s="235"/>
      <c r="G96" s="235"/>
      <c r="H96" s="235"/>
      <c r="I96" s="237"/>
      <c r="J96" s="237"/>
    </row>
    <row r="97" ht="15.75" customHeight="1">
      <c r="A97" s="235"/>
      <c r="B97" s="235"/>
      <c r="C97" s="240"/>
      <c r="D97" s="235"/>
      <c r="E97" s="235"/>
      <c r="F97" s="235"/>
      <c r="G97" s="235"/>
      <c r="H97" s="235"/>
      <c r="I97" s="237"/>
      <c r="J97" s="237"/>
    </row>
    <row r="98" ht="15.75" customHeight="1">
      <c r="A98" s="235"/>
      <c r="B98" s="235"/>
      <c r="C98" s="240"/>
      <c r="D98" s="235"/>
      <c r="E98" s="235"/>
      <c r="F98" s="235"/>
      <c r="G98" s="235"/>
      <c r="H98" s="235"/>
      <c r="I98" s="237"/>
      <c r="J98" s="237"/>
    </row>
    <row r="99" ht="15.75" customHeight="1">
      <c r="A99" s="235"/>
      <c r="B99" s="235"/>
      <c r="C99" s="240"/>
      <c r="D99" s="235"/>
      <c r="E99" s="235"/>
      <c r="F99" s="235"/>
      <c r="G99" s="235"/>
      <c r="H99" s="235"/>
      <c r="I99" s="237"/>
      <c r="J99" s="237"/>
    </row>
    <row r="100" ht="15.75" customHeight="1">
      <c r="A100" s="235"/>
      <c r="B100" s="235"/>
      <c r="C100" s="240"/>
      <c r="D100" s="235"/>
      <c r="E100" s="235"/>
      <c r="F100" s="235"/>
      <c r="G100" s="235"/>
      <c r="H100" s="235"/>
      <c r="I100" s="237"/>
      <c r="J100" s="237"/>
    </row>
    <row r="101" ht="15.75" customHeight="1">
      <c r="A101" s="235"/>
      <c r="B101" s="235"/>
      <c r="C101" s="240"/>
      <c r="D101" s="235"/>
      <c r="E101" s="235"/>
      <c r="F101" s="235"/>
      <c r="G101" s="235"/>
      <c r="H101" s="235"/>
      <c r="I101" s="237"/>
      <c r="J101" s="237"/>
    </row>
    <row r="102" ht="15.75" customHeight="1">
      <c r="A102" s="235"/>
      <c r="B102" s="235"/>
      <c r="C102" s="240"/>
      <c r="D102" s="235"/>
      <c r="E102" s="235"/>
      <c r="F102" s="235"/>
      <c r="G102" s="235"/>
      <c r="H102" s="235"/>
      <c r="I102" s="237"/>
      <c r="J102" s="237"/>
    </row>
    <row r="103" ht="15.75" customHeight="1">
      <c r="A103" s="235"/>
      <c r="B103" s="235"/>
      <c r="C103" s="240"/>
      <c r="D103" s="235"/>
      <c r="E103" s="235"/>
      <c r="F103" s="235"/>
      <c r="G103" s="235"/>
      <c r="H103" s="235"/>
      <c r="I103" s="237"/>
      <c r="J103" s="237"/>
    </row>
    <row r="104" ht="15.75" customHeight="1">
      <c r="A104" s="235"/>
      <c r="B104" s="235"/>
      <c r="C104" s="240"/>
      <c r="D104" s="235"/>
      <c r="E104" s="235"/>
      <c r="F104" s="235"/>
      <c r="G104" s="235"/>
      <c r="H104" s="235"/>
      <c r="I104" s="237"/>
      <c r="J104" s="237"/>
    </row>
    <row r="105" ht="15.75" customHeight="1">
      <c r="A105" s="235"/>
      <c r="B105" s="235"/>
      <c r="C105" s="240"/>
      <c r="D105" s="235"/>
      <c r="E105" s="235"/>
      <c r="F105" s="235"/>
      <c r="G105" s="235"/>
      <c r="H105" s="235"/>
      <c r="I105" s="237"/>
      <c r="J105" s="237"/>
    </row>
    <row r="106" ht="15.75" customHeight="1">
      <c r="A106" s="235"/>
      <c r="B106" s="235"/>
      <c r="C106" s="240"/>
      <c r="D106" s="235"/>
      <c r="E106" s="235"/>
      <c r="F106" s="235"/>
      <c r="G106" s="235"/>
      <c r="H106" s="235"/>
      <c r="I106" s="237"/>
      <c r="J106" s="237"/>
    </row>
    <row r="107" ht="15.75" customHeight="1">
      <c r="A107" s="235"/>
      <c r="B107" s="235"/>
      <c r="C107" s="240"/>
      <c r="D107" s="235"/>
      <c r="E107" s="235"/>
      <c r="F107" s="235"/>
      <c r="G107" s="235"/>
      <c r="H107" s="235"/>
      <c r="I107" s="237"/>
      <c r="J107" s="237"/>
    </row>
    <row r="108" ht="15.75" customHeight="1">
      <c r="A108" s="235"/>
      <c r="B108" s="235"/>
      <c r="C108" s="240"/>
      <c r="D108" s="235"/>
      <c r="E108" s="235"/>
      <c r="F108" s="235"/>
      <c r="G108" s="235"/>
      <c r="H108" s="235"/>
      <c r="I108" s="237"/>
      <c r="J108" s="237"/>
    </row>
    <row r="109" ht="15.75" customHeight="1">
      <c r="A109" s="235"/>
      <c r="B109" s="235"/>
      <c r="C109" s="240"/>
      <c r="D109" s="235"/>
      <c r="E109" s="235"/>
      <c r="F109" s="235"/>
      <c r="G109" s="235"/>
      <c r="H109" s="235"/>
      <c r="I109" s="237"/>
      <c r="J109" s="237"/>
    </row>
    <row r="110" ht="15.75" customHeight="1">
      <c r="A110" s="235"/>
      <c r="B110" s="235"/>
      <c r="C110" s="240"/>
      <c r="D110" s="235"/>
      <c r="E110" s="235"/>
      <c r="F110" s="235"/>
      <c r="G110" s="235"/>
      <c r="H110" s="235"/>
      <c r="I110" s="237"/>
      <c r="J110" s="237"/>
    </row>
    <row r="111" ht="15.75" customHeight="1">
      <c r="A111" s="235"/>
      <c r="B111" s="235"/>
      <c r="C111" s="240"/>
      <c r="D111" s="235"/>
      <c r="E111" s="235"/>
      <c r="F111" s="235"/>
      <c r="G111" s="235"/>
      <c r="H111" s="235"/>
      <c r="I111" s="237"/>
      <c r="J111" s="237"/>
    </row>
    <row r="112" ht="15.75" customHeight="1">
      <c r="A112" s="235"/>
      <c r="B112" s="235"/>
      <c r="C112" s="240"/>
      <c r="D112" s="235"/>
      <c r="E112" s="235"/>
      <c r="F112" s="235"/>
      <c r="G112" s="235"/>
      <c r="H112" s="235"/>
      <c r="I112" s="237"/>
      <c r="J112" s="237"/>
    </row>
    <row r="113" ht="15.75" customHeight="1">
      <c r="A113" s="235"/>
      <c r="B113" s="235"/>
      <c r="C113" s="240"/>
      <c r="D113" s="235"/>
      <c r="E113" s="235"/>
      <c r="F113" s="235"/>
      <c r="G113" s="235"/>
      <c r="H113" s="235"/>
      <c r="I113" s="237"/>
      <c r="J113" s="237"/>
    </row>
    <row r="114" ht="15.75" customHeight="1">
      <c r="A114" s="235"/>
      <c r="B114" s="235"/>
      <c r="C114" s="240"/>
      <c r="D114" s="235"/>
      <c r="E114" s="235"/>
      <c r="F114" s="235"/>
      <c r="G114" s="235"/>
      <c r="H114" s="235"/>
      <c r="I114" s="237"/>
      <c r="J114" s="237"/>
    </row>
    <row r="115" ht="15.75" customHeight="1">
      <c r="A115" s="235"/>
      <c r="B115" s="235"/>
      <c r="C115" s="240"/>
      <c r="D115" s="235"/>
      <c r="E115" s="235"/>
      <c r="F115" s="235"/>
      <c r="G115" s="235"/>
      <c r="H115" s="235"/>
      <c r="I115" s="237"/>
      <c r="J115" s="237"/>
    </row>
    <row r="116" ht="15.75" customHeight="1">
      <c r="A116" s="235"/>
      <c r="B116" s="235"/>
      <c r="C116" s="240"/>
      <c r="D116" s="235"/>
      <c r="E116" s="235"/>
      <c r="F116" s="235"/>
      <c r="G116" s="235"/>
      <c r="H116" s="235"/>
      <c r="I116" s="237"/>
      <c r="J116" s="237"/>
    </row>
    <row r="117" ht="15.75" customHeight="1">
      <c r="A117" s="235"/>
      <c r="B117" s="235"/>
      <c r="C117" s="240"/>
      <c r="D117" s="235"/>
      <c r="E117" s="235"/>
      <c r="F117" s="235"/>
      <c r="G117" s="235"/>
      <c r="H117" s="235"/>
      <c r="I117" s="237"/>
      <c r="J117" s="237"/>
    </row>
    <row r="118" ht="15.75" customHeight="1">
      <c r="A118" s="235"/>
      <c r="B118" s="235"/>
      <c r="C118" s="240"/>
      <c r="D118" s="235"/>
      <c r="E118" s="235"/>
      <c r="F118" s="235"/>
      <c r="G118" s="235"/>
      <c r="H118" s="235"/>
      <c r="I118" s="237"/>
      <c r="J118" s="237"/>
    </row>
    <row r="119" ht="15.75" customHeight="1">
      <c r="A119" s="235"/>
      <c r="B119" s="235"/>
      <c r="C119" s="240"/>
      <c r="D119" s="235"/>
      <c r="E119" s="235"/>
      <c r="F119" s="235"/>
      <c r="G119" s="235"/>
      <c r="H119" s="235"/>
      <c r="I119" s="237"/>
      <c r="J119" s="237"/>
    </row>
    <row r="120" ht="15.75" customHeight="1">
      <c r="A120" s="235"/>
      <c r="B120" s="235"/>
      <c r="C120" s="240"/>
      <c r="D120" s="235"/>
      <c r="E120" s="235"/>
      <c r="F120" s="235"/>
      <c r="G120" s="235"/>
      <c r="H120" s="235"/>
      <c r="I120" s="237"/>
      <c r="J120" s="237"/>
    </row>
    <row r="121" ht="15.75" customHeight="1">
      <c r="A121" s="235"/>
      <c r="B121" s="235"/>
      <c r="C121" s="240"/>
      <c r="D121" s="235"/>
      <c r="E121" s="235"/>
      <c r="F121" s="235"/>
      <c r="G121" s="235"/>
      <c r="H121" s="235"/>
      <c r="I121" s="237"/>
      <c r="J121" s="237"/>
    </row>
    <row r="122" ht="15.75" customHeight="1">
      <c r="A122" s="235"/>
      <c r="B122" s="235"/>
      <c r="C122" s="240"/>
      <c r="D122" s="235"/>
      <c r="E122" s="235"/>
      <c r="F122" s="235"/>
      <c r="G122" s="235"/>
      <c r="H122" s="235"/>
      <c r="I122" s="237"/>
      <c r="J122" s="237"/>
    </row>
    <row r="123" ht="15.75" customHeight="1">
      <c r="A123" s="235"/>
      <c r="B123" s="235"/>
      <c r="C123" s="240"/>
      <c r="D123" s="235"/>
      <c r="E123" s="235"/>
      <c r="F123" s="235"/>
      <c r="G123" s="235"/>
      <c r="H123" s="235"/>
      <c r="I123" s="237"/>
      <c r="J123" s="237"/>
    </row>
    <row r="124" ht="15.75" customHeight="1">
      <c r="A124" s="235"/>
      <c r="B124" s="235"/>
      <c r="C124" s="240"/>
      <c r="D124" s="235"/>
      <c r="E124" s="235"/>
      <c r="F124" s="235"/>
      <c r="G124" s="235"/>
      <c r="H124" s="235"/>
      <c r="I124" s="237"/>
      <c r="J124" s="237"/>
    </row>
    <row r="125" ht="15.75" customHeight="1">
      <c r="A125" s="235"/>
      <c r="B125" s="235"/>
      <c r="C125" s="240"/>
      <c r="D125" s="235"/>
      <c r="E125" s="235"/>
      <c r="F125" s="235"/>
      <c r="G125" s="235"/>
      <c r="H125" s="235"/>
      <c r="I125" s="237"/>
      <c r="J125" s="237"/>
    </row>
    <row r="126" ht="15.75" customHeight="1">
      <c r="A126" s="235"/>
      <c r="B126" s="235"/>
      <c r="C126" s="240"/>
      <c r="D126" s="235"/>
      <c r="E126" s="235"/>
      <c r="F126" s="235"/>
      <c r="G126" s="235"/>
      <c r="H126" s="235"/>
      <c r="I126" s="237"/>
      <c r="J126" s="237"/>
    </row>
    <row r="127" ht="15.75" customHeight="1">
      <c r="A127" s="235"/>
      <c r="B127" s="235"/>
      <c r="C127" s="240"/>
      <c r="D127" s="235"/>
      <c r="E127" s="235"/>
      <c r="F127" s="235"/>
      <c r="G127" s="235"/>
      <c r="H127" s="235"/>
      <c r="I127" s="237"/>
      <c r="J127" s="237"/>
    </row>
    <row r="128" ht="15.75" customHeight="1">
      <c r="A128" s="235"/>
      <c r="B128" s="235"/>
      <c r="C128" s="240"/>
      <c r="D128" s="235"/>
      <c r="E128" s="235"/>
      <c r="F128" s="235"/>
      <c r="G128" s="235"/>
      <c r="H128" s="235"/>
      <c r="I128" s="237"/>
      <c r="J128" s="237"/>
    </row>
    <row r="129" ht="15.75" customHeight="1">
      <c r="A129" s="235"/>
      <c r="B129" s="235"/>
      <c r="C129" s="240"/>
      <c r="D129" s="235"/>
      <c r="E129" s="235"/>
      <c r="F129" s="235"/>
      <c r="G129" s="235"/>
      <c r="H129" s="235"/>
      <c r="I129" s="237"/>
      <c r="J129" s="237"/>
    </row>
    <row r="130" ht="15.75" customHeight="1">
      <c r="A130" s="235"/>
      <c r="B130" s="235"/>
      <c r="C130" s="240"/>
      <c r="D130" s="235"/>
      <c r="E130" s="235"/>
      <c r="F130" s="235"/>
      <c r="G130" s="235"/>
      <c r="H130" s="235"/>
      <c r="I130" s="237"/>
      <c r="J130" s="237"/>
    </row>
    <row r="131" ht="15.75" customHeight="1">
      <c r="A131" s="235"/>
      <c r="B131" s="235"/>
      <c r="C131" s="240"/>
      <c r="D131" s="235"/>
      <c r="E131" s="235"/>
      <c r="F131" s="235"/>
      <c r="G131" s="235"/>
      <c r="H131" s="235"/>
      <c r="I131" s="237"/>
      <c r="J131" s="237"/>
    </row>
    <row r="132" ht="15.75" customHeight="1">
      <c r="A132" s="235"/>
      <c r="B132" s="235"/>
      <c r="C132" s="240"/>
      <c r="D132" s="235"/>
      <c r="E132" s="235"/>
      <c r="F132" s="235"/>
      <c r="G132" s="235"/>
      <c r="H132" s="235"/>
      <c r="I132" s="237"/>
      <c r="J132" s="237"/>
    </row>
    <row r="133" ht="15.75" customHeight="1">
      <c r="A133" s="235"/>
      <c r="B133" s="235"/>
      <c r="C133" s="240"/>
      <c r="D133" s="235"/>
      <c r="E133" s="235"/>
      <c r="F133" s="235"/>
      <c r="G133" s="235"/>
      <c r="H133" s="235"/>
      <c r="I133" s="237"/>
      <c r="J133" s="237"/>
    </row>
    <row r="134" ht="15.75" customHeight="1">
      <c r="A134" s="235"/>
      <c r="B134" s="235"/>
      <c r="C134" s="240"/>
      <c r="D134" s="235"/>
      <c r="E134" s="235"/>
      <c r="F134" s="235"/>
      <c r="G134" s="235"/>
      <c r="H134" s="235"/>
      <c r="I134" s="237"/>
      <c r="J134" s="237"/>
    </row>
    <row r="135" ht="15.75" customHeight="1">
      <c r="A135" s="235"/>
      <c r="B135" s="235"/>
      <c r="C135" s="240"/>
      <c r="D135" s="235"/>
      <c r="E135" s="235"/>
      <c r="F135" s="235"/>
      <c r="G135" s="235"/>
      <c r="H135" s="235"/>
      <c r="I135" s="237"/>
      <c r="J135" s="237"/>
    </row>
    <row r="136" ht="15.75" customHeight="1">
      <c r="A136" s="235"/>
      <c r="B136" s="235"/>
      <c r="C136" s="240"/>
      <c r="D136" s="235"/>
      <c r="E136" s="235"/>
      <c r="F136" s="235"/>
      <c r="G136" s="235"/>
      <c r="H136" s="235"/>
      <c r="I136" s="237"/>
      <c r="J136" s="237"/>
    </row>
    <row r="137" ht="15.75" customHeight="1">
      <c r="A137" s="235"/>
      <c r="B137" s="235"/>
      <c r="C137" s="240"/>
      <c r="D137" s="235"/>
      <c r="E137" s="235"/>
      <c r="F137" s="235"/>
      <c r="G137" s="235"/>
      <c r="H137" s="235"/>
      <c r="I137" s="237"/>
      <c r="J137" s="237"/>
    </row>
    <row r="138" ht="15.75" customHeight="1">
      <c r="A138" s="235"/>
      <c r="B138" s="235"/>
      <c r="C138" s="240"/>
      <c r="D138" s="235"/>
      <c r="E138" s="235"/>
      <c r="F138" s="235"/>
      <c r="G138" s="235"/>
      <c r="H138" s="235"/>
      <c r="I138" s="237"/>
      <c r="J138" s="237"/>
    </row>
    <row r="139" ht="15.75" customHeight="1">
      <c r="A139" s="235"/>
      <c r="B139" s="235"/>
      <c r="C139" s="240"/>
      <c r="D139" s="235"/>
      <c r="E139" s="235"/>
      <c r="F139" s="235"/>
      <c r="G139" s="235"/>
      <c r="H139" s="235"/>
      <c r="I139" s="237"/>
      <c r="J139" s="237"/>
    </row>
    <row r="140" ht="15.75" customHeight="1">
      <c r="A140" s="235"/>
      <c r="B140" s="235"/>
      <c r="C140" s="240"/>
      <c r="D140" s="235"/>
      <c r="E140" s="235"/>
      <c r="F140" s="235"/>
      <c r="G140" s="235"/>
      <c r="H140" s="235"/>
      <c r="I140" s="237"/>
      <c r="J140" s="237"/>
    </row>
    <row r="141" ht="15.75" customHeight="1">
      <c r="A141" s="235"/>
      <c r="B141" s="235"/>
      <c r="C141" s="240"/>
      <c r="D141" s="235"/>
      <c r="E141" s="235"/>
      <c r="F141" s="235"/>
      <c r="G141" s="235"/>
      <c r="H141" s="235"/>
      <c r="I141" s="237"/>
      <c r="J141" s="237"/>
    </row>
    <row r="142" ht="15.75" customHeight="1">
      <c r="A142" s="235"/>
      <c r="B142" s="235"/>
      <c r="C142" s="240"/>
      <c r="D142" s="235"/>
      <c r="E142" s="235"/>
      <c r="F142" s="235"/>
      <c r="G142" s="235"/>
      <c r="H142" s="235"/>
      <c r="I142" s="237"/>
      <c r="J142" s="237"/>
    </row>
    <row r="143" ht="15.75" customHeight="1">
      <c r="A143" s="235"/>
      <c r="B143" s="235"/>
      <c r="C143" s="240"/>
      <c r="D143" s="235"/>
      <c r="E143" s="235"/>
      <c r="F143" s="235"/>
      <c r="G143" s="235"/>
      <c r="H143" s="235"/>
      <c r="I143" s="237"/>
      <c r="J143" s="237"/>
    </row>
    <row r="144" ht="15.75" customHeight="1">
      <c r="A144" s="235"/>
      <c r="B144" s="235"/>
      <c r="C144" s="240"/>
      <c r="D144" s="235"/>
      <c r="E144" s="235"/>
      <c r="F144" s="235"/>
      <c r="G144" s="235"/>
      <c r="H144" s="235"/>
      <c r="I144" s="237"/>
      <c r="J144" s="237"/>
    </row>
    <row r="145" ht="15.75" customHeight="1">
      <c r="A145" s="235"/>
      <c r="B145" s="235"/>
      <c r="C145" s="240"/>
      <c r="D145" s="235"/>
      <c r="E145" s="235"/>
      <c r="F145" s="235"/>
      <c r="G145" s="235"/>
      <c r="H145" s="235"/>
      <c r="I145" s="237"/>
      <c r="J145" s="237"/>
    </row>
    <row r="146" ht="15.75" customHeight="1">
      <c r="A146" s="235"/>
      <c r="B146" s="235"/>
      <c r="C146" s="240"/>
      <c r="D146" s="235"/>
      <c r="E146" s="235"/>
      <c r="F146" s="235"/>
      <c r="G146" s="235"/>
      <c r="H146" s="235"/>
      <c r="I146" s="237"/>
      <c r="J146" s="237"/>
    </row>
    <row r="147" ht="15.75" customHeight="1">
      <c r="A147" s="235"/>
      <c r="B147" s="235"/>
      <c r="C147" s="240"/>
      <c r="D147" s="235"/>
      <c r="E147" s="235"/>
      <c r="F147" s="235"/>
      <c r="G147" s="235"/>
      <c r="H147" s="235"/>
      <c r="I147" s="237"/>
      <c r="J147" s="237"/>
    </row>
    <row r="148" ht="15.75" customHeight="1">
      <c r="A148" s="235"/>
      <c r="B148" s="235"/>
      <c r="C148" s="240"/>
      <c r="D148" s="235"/>
      <c r="E148" s="235"/>
      <c r="F148" s="235"/>
      <c r="G148" s="235"/>
      <c r="H148" s="235"/>
      <c r="I148" s="237"/>
      <c r="J148" s="237"/>
    </row>
    <row r="149" ht="15.75" customHeight="1">
      <c r="A149" s="235"/>
      <c r="B149" s="235"/>
      <c r="C149" s="240"/>
      <c r="D149" s="235"/>
      <c r="E149" s="235"/>
      <c r="F149" s="235"/>
      <c r="G149" s="235"/>
      <c r="H149" s="235"/>
      <c r="I149" s="237"/>
      <c r="J149" s="237"/>
    </row>
    <row r="150" ht="15.75" customHeight="1">
      <c r="A150" s="235"/>
      <c r="B150" s="235"/>
      <c r="C150" s="240"/>
      <c r="D150" s="235"/>
      <c r="E150" s="235"/>
      <c r="F150" s="235"/>
      <c r="G150" s="235"/>
      <c r="H150" s="235"/>
      <c r="I150" s="237"/>
      <c r="J150" s="237"/>
    </row>
    <row r="151" ht="15.75" customHeight="1">
      <c r="A151" s="235"/>
      <c r="B151" s="235"/>
      <c r="C151" s="240"/>
      <c r="D151" s="235"/>
      <c r="E151" s="235"/>
      <c r="F151" s="235"/>
      <c r="G151" s="235"/>
      <c r="H151" s="235"/>
      <c r="I151" s="237"/>
      <c r="J151" s="237"/>
    </row>
    <row r="152" ht="15.75" customHeight="1">
      <c r="A152" s="235"/>
      <c r="B152" s="235"/>
      <c r="C152" s="240"/>
      <c r="D152" s="235"/>
      <c r="E152" s="235"/>
      <c r="F152" s="235"/>
      <c r="G152" s="235"/>
      <c r="H152" s="235"/>
      <c r="I152" s="237"/>
      <c r="J152" s="237"/>
    </row>
    <row r="153" ht="15.75" customHeight="1">
      <c r="A153" s="235"/>
      <c r="B153" s="235"/>
      <c r="C153" s="240"/>
      <c r="D153" s="235"/>
      <c r="E153" s="235"/>
      <c r="F153" s="235"/>
      <c r="G153" s="235"/>
      <c r="H153" s="235"/>
      <c r="I153" s="237"/>
      <c r="J153" s="237"/>
    </row>
    <row r="154" ht="15.75" customHeight="1">
      <c r="A154" s="235"/>
      <c r="B154" s="235"/>
      <c r="C154" s="240"/>
      <c r="D154" s="235"/>
      <c r="E154" s="235"/>
      <c r="F154" s="235"/>
      <c r="G154" s="235"/>
      <c r="H154" s="235"/>
      <c r="I154" s="237"/>
      <c r="J154" s="237"/>
    </row>
    <row r="155" ht="15.75" customHeight="1">
      <c r="A155" s="235"/>
      <c r="B155" s="235"/>
      <c r="C155" s="240"/>
      <c r="D155" s="235"/>
      <c r="E155" s="235"/>
      <c r="F155" s="235"/>
      <c r="G155" s="235"/>
      <c r="H155" s="235"/>
      <c r="I155" s="237"/>
      <c r="J155" s="237"/>
    </row>
    <row r="156" ht="15.75" customHeight="1">
      <c r="A156" s="235"/>
      <c r="B156" s="235"/>
      <c r="C156" s="240"/>
      <c r="D156" s="235"/>
      <c r="E156" s="235"/>
      <c r="F156" s="235"/>
      <c r="G156" s="235"/>
      <c r="H156" s="235"/>
      <c r="I156" s="237"/>
      <c r="J156" s="237"/>
    </row>
    <row r="157" ht="15.75" customHeight="1">
      <c r="A157" s="235"/>
      <c r="B157" s="235"/>
      <c r="C157" s="240"/>
      <c r="D157" s="235"/>
      <c r="E157" s="235"/>
      <c r="F157" s="235"/>
      <c r="G157" s="235"/>
      <c r="H157" s="235"/>
      <c r="I157" s="237"/>
      <c r="J157" s="237"/>
    </row>
    <row r="158" ht="15.75" customHeight="1">
      <c r="A158" s="235"/>
      <c r="B158" s="235"/>
      <c r="C158" s="240"/>
      <c r="D158" s="235"/>
      <c r="E158" s="235"/>
      <c r="F158" s="235"/>
      <c r="G158" s="235"/>
      <c r="H158" s="235"/>
      <c r="I158" s="237"/>
      <c r="J158" s="237"/>
    </row>
    <row r="159" ht="15.75" customHeight="1">
      <c r="A159" s="235"/>
      <c r="B159" s="235"/>
      <c r="C159" s="240"/>
      <c r="D159" s="235"/>
      <c r="E159" s="235"/>
      <c r="F159" s="235"/>
      <c r="G159" s="235"/>
      <c r="H159" s="235"/>
      <c r="I159" s="237"/>
      <c r="J159" s="237"/>
    </row>
    <row r="160" ht="15.75" customHeight="1">
      <c r="A160" s="235"/>
      <c r="B160" s="235"/>
      <c r="C160" s="240"/>
      <c r="D160" s="235"/>
      <c r="E160" s="235"/>
      <c r="F160" s="235"/>
      <c r="G160" s="235"/>
      <c r="H160" s="235"/>
      <c r="I160" s="237"/>
      <c r="J160" s="237"/>
    </row>
    <row r="161" ht="15.75" customHeight="1">
      <c r="A161" s="235"/>
      <c r="B161" s="235"/>
      <c r="C161" s="240"/>
      <c r="D161" s="235"/>
      <c r="E161" s="235"/>
      <c r="F161" s="235"/>
      <c r="G161" s="235"/>
      <c r="H161" s="235"/>
      <c r="I161" s="237"/>
      <c r="J161" s="237"/>
    </row>
    <row r="162" ht="15.75" customHeight="1">
      <c r="A162" s="235"/>
      <c r="B162" s="235"/>
      <c r="C162" s="240"/>
      <c r="D162" s="235"/>
      <c r="E162" s="235"/>
      <c r="F162" s="235"/>
      <c r="G162" s="235"/>
      <c r="H162" s="235"/>
      <c r="I162" s="237"/>
      <c r="J162" s="237"/>
    </row>
    <row r="163" ht="15.75" customHeight="1">
      <c r="A163" s="235"/>
      <c r="B163" s="235"/>
      <c r="C163" s="240"/>
      <c r="D163" s="235"/>
      <c r="E163" s="235"/>
      <c r="F163" s="235"/>
      <c r="G163" s="235"/>
      <c r="H163" s="235"/>
      <c r="I163" s="237"/>
      <c r="J163" s="237"/>
    </row>
    <row r="164" ht="15.75" customHeight="1">
      <c r="A164" s="235"/>
      <c r="B164" s="235"/>
      <c r="C164" s="240"/>
      <c r="D164" s="235"/>
      <c r="E164" s="235"/>
      <c r="F164" s="235"/>
      <c r="G164" s="235"/>
      <c r="H164" s="235"/>
      <c r="I164" s="237"/>
      <c r="J164" s="237"/>
    </row>
    <row r="165" ht="15.75" customHeight="1">
      <c r="A165" s="235"/>
      <c r="B165" s="235"/>
      <c r="C165" s="240"/>
      <c r="D165" s="235"/>
      <c r="E165" s="235"/>
      <c r="F165" s="235"/>
      <c r="G165" s="235"/>
      <c r="H165" s="235"/>
      <c r="I165" s="237"/>
      <c r="J165" s="237"/>
    </row>
    <row r="166" ht="15.75" customHeight="1">
      <c r="A166" s="235"/>
      <c r="B166" s="235"/>
      <c r="C166" s="240"/>
      <c r="D166" s="235"/>
      <c r="E166" s="235"/>
      <c r="F166" s="235"/>
      <c r="G166" s="235"/>
      <c r="H166" s="235"/>
      <c r="I166" s="237"/>
      <c r="J166" s="237"/>
    </row>
    <row r="167" ht="15.75" customHeight="1">
      <c r="A167" s="235"/>
      <c r="B167" s="235"/>
      <c r="C167" s="240"/>
      <c r="D167" s="235"/>
      <c r="E167" s="235"/>
      <c r="F167" s="235"/>
      <c r="G167" s="235"/>
      <c r="H167" s="235"/>
      <c r="I167" s="237"/>
      <c r="J167" s="237"/>
    </row>
    <row r="168" ht="15.75" customHeight="1">
      <c r="A168" s="235"/>
      <c r="B168" s="235"/>
      <c r="C168" s="240"/>
      <c r="D168" s="235"/>
      <c r="E168" s="235"/>
      <c r="F168" s="235"/>
      <c r="G168" s="235"/>
      <c r="H168" s="235"/>
      <c r="I168" s="237"/>
      <c r="J168" s="237"/>
    </row>
    <row r="169" ht="15.75" customHeight="1">
      <c r="A169" s="235"/>
      <c r="B169" s="235"/>
      <c r="C169" s="240"/>
      <c r="D169" s="235"/>
      <c r="E169" s="235"/>
      <c r="F169" s="235"/>
      <c r="G169" s="235"/>
      <c r="H169" s="235"/>
      <c r="I169" s="237"/>
      <c r="J169" s="237"/>
    </row>
    <row r="170" ht="15.75" customHeight="1">
      <c r="A170" s="235"/>
      <c r="B170" s="235"/>
      <c r="C170" s="240"/>
      <c r="D170" s="235"/>
      <c r="E170" s="235"/>
      <c r="F170" s="235"/>
      <c r="G170" s="235"/>
      <c r="H170" s="235"/>
      <c r="I170" s="237"/>
      <c r="J170" s="237"/>
    </row>
    <row r="171" ht="15.75" customHeight="1">
      <c r="A171" s="235"/>
      <c r="B171" s="235"/>
      <c r="C171" s="240"/>
      <c r="D171" s="235"/>
      <c r="E171" s="235"/>
      <c r="F171" s="235"/>
      <c r="G171" s="235"/>
      <c r="H171" s="235"/>
      <c r="I171" s="237"/>
      <c r="J171" s="237"/>
    </row>
    <row r="172" ht="15.75" customHeight="1">
      <c r="A172" s="235"/>
      <c r="B172" s="235"/>
      <c r="C172" s="240"/>
      <c r="D172" s="235"/>
      <c r="E172" s="235"/>
      <c r="F172" s="235"/>
      <c r="G172" s="235"/>
      <c r="H172" s="235"/>
      <c r="I172" s="237"/>
      <c r="J172" s="237"/>
    </row>
    <row r="173" ht="15.75" customHeight="1">
      <c r="A173" s="235"/>
      <c r="B173" s="235"/>
      <c r="C173" s="240"/>
      <c r="D173" s="235"/>
      <c r="E173" s="235"/>
      <c r="F173" s="235"/>
      <c r="G173" s="235"/>
      <c r="H173" s="235"/>
      <c r="I173" s="237"/>
      <c r="J173" s="237"/>
    </row>
    <row r="174" ht="15.75" customHeight="1">
      <c r="A174" s="235"/>
      <c r="B174" s="235"/>
      <c r="C174" s="240"/>
      <c r="D174" s="235"/>
      <c r="E174" s="235"/>
      <c r="F174" s="235"/>
      <c r="G174" s="235"/>
      <c r="H174" s="235"/>
      <c r="I174" s="237"/>
      <c r="J174" s="237"/>
    </row>
    <row r="175" ht="15.75" customHeight="1">
      <c r="A175" s="235"/>
      <c r="B175" s="235"/>
      <c r="C175" s="240"/>
      <c r="D175" s="235"/>
      <c r="E175" s="235"/>
      <c r="F175" s="235"/>
      <c r="G175" s="235"/>
      <c r="H175" s="235"/>
      <c r="I175" s="237"/>
      <c r="J175" s="237"/>
    </row>
    <row r="176" ht="15.75" customHeight="1">
      <c r="A176" s="235"/>
      <c r="B176" s="235"/>
      <c r="C176" s="240"/>
      <c r="D176" s="235"/>
      <c r="E176" s="235"/>
      <c r="F176" s="235"/>
      <c r="G176" s="235"/>
      <c r="H176" s="235"/>
      <c r="I176" s="237"/>
      <c r="J176" s="237"/>
    </row>
    <row r="177" ht="15.75" customHeight="1">
      <c r="A177" s="235"/>
      <c r="B177" s="235"/>
      <c r="C177" s="240"/>
      <c r="D177" s="235"/>
      <c r="E177" s="235"/>
      <c r="F177" s="235"/>
      <c r="G177" s="235"/>
      <c r="H177" s="235"/>
      <c r="I177" s="237"/>
      <c r="J177" s="237"/>
    </row>
    <row r="178" ht="15.75" customHeight="1">
      <c r="A178" s="235"/>
      <c r="B178" s="235"/>
      <c r="C178" s="240"/>
      <c r="D178" s="235"/>
      <c r="E178" s="235"/>
      <c r="F178" s="235"/>
      <c r="G178" s="235"/>
      <c r="H178" s="235"/>
      <c r="I178" s="237"/>
      <c r="J178" s="237"/>
    </row>
    <row r="179" ht="15.75" customHeight="1">
      <c r="A179" s="235"/>
      <c r="B179" s="235"/>
      <c r="C179" s="240"/>
      <c r="D179" s="235"/>
      <c r="E179" s="235"/>
      <c r="F179" s="235"/>
      <c r="G179" s="235"/>
      <c r="H179" s="235"/>
      <c r="I179" s="237"/>
      <c r="J179" s="237"/>
    </row>
    <row r="180" ht="15.75" customHeight="1">
      <c r="A180" s="235"/>
      <c r="B180" s="235"/>
      <c r="C180" s="240"/>
      <c r="D180" s="235"/>
      <c r="E180" s="235"/>
      <c r="F180" s="235"/>
      <c r="G180" s="235"/>
      <c r="H180" s="235"/>
      <c r="I180" s="237"/>
      <c r="J180" s="237"/>
    </row>
    <row r="181" ht="15.75" customHeight="1">
      <c r="A181" s="235"/>
      <c r="B181" s="235"/>
      <c r="C181" s="240"/>
      <c r="D181" s="235"/>
      <c r="E181" s="235"/>
      <c r="F181" s="235"/>
      <c r="G181" s="235"/>
      <c r="H181" s="235"/>
      <c r="I181" s="237"/>
      <c r="J181" s="237"/>
    </row>
    <row r="182" ht="15.75" customHeight="1">
      <c r="A182" s="235"/>
      <c r="B182" s="235"/>
      <c r="C182" s="240"/>
      <c r="D182" s="235"/>
      <c r="E182" s="235"/>
      <c r="F182" s="235"/>
      <c r="G182" s="235"/>
      <c r="H182" s="235"/>
      <c r="I182" s="237"/>
      <c r="J182" s="237"/>
    </row>
    <row r="183" ht="15.75" customHeight="1">
      <c r="A183" s="235"/>
      <c r="B183" s="235"/>
      <c r="C183" s="240"/>
      <c r="D183" s="235"/>
      <c r="E183" s="235"/>
      <c r="F183" s="235"/>
      <c r="G183" s="235"/>
      <c r="H183" s="235"/>
      <c r="I183" s="237"/>
      <c r="J183" s="237"/>
    </row>
    <row r="184" ht="15.75" customHeight="1">
      <c r="A184" s="235"/>
      <c r="B184" s="235"/>
      <c r="C184" s="240"/>
      <c r="D184" s="235"/>
      <c r="E184" s="235"/>
      <c r="F184" s="235"/>
      <c r="G184" s="235"/>
      <c r="H184" s="235"/>
      <c r="I184" s="237"/>
      <c r="J184" s="237"/>
    </row>
    <row r="185" ht="15.75" customHeight="1">
      <c r="A185" s="235"/>
      <c r="B185" s="235"/>
      <c r="C185" s="240"/>
      <c r="D185" s="235"/>
      <c r="E185" s="235"/>
      <c r="F185" s="235"/>
      <c r="G185" s="235"/>
      <c r="H185" s="235"/>
      <c r="I185" s="237"/>
      <c r="J185" s="237"/>
    </row>
    <row r="186" ht="15.75" customHeight="1">
      <c r="A186" s="235"/>
      <c r="B186" s="235"/>
      <c r="C186" s="240"/>
      <c r="D186" s="235"/>
      <c r="E186" s="235"/>
      <c r="F186" s="235"/>
      <c r="G186" s="235"/>
      <c r="H186" s="235"/>
      <c r="I186" s="237"/>
      <c r="J186" s="237"/>
    </row>
    <row r="187" ht="15.75" customHeight="1">
      <c r="A187" s="235"/>
      <c r="B187" s="235"/>
      <c r="C187" s="240"/>
      <c r="D187" s="235"/>
      <c r="E187" s="235"/>
      <c r="F187" s="235"/>
      <c r="G187" s="235"/>
      <c r="H187" s="235"/>
      <c r="I187" s="237"/>
      <c r="J187" s="237"/>
    </row>
    <row r="188" ht="15.75" customHeight="1">
      <c r="A188" s="235"/>
      <c r="B188" s="235"/>
      <c r="C188" s="240"/>
      <c r="D188" s="235"/>
      <c r="E188" s="235"/>
      <c r="F188" s="235"/>
      <c r="G188" s="235"/>
      <c r="H188" s="235"/>
      <c r="I188" s="237"/>
      <c r="J188" s="237"/>
    </row>
    <row r="189" ht="15.75" customHeight="1">
      <c r="A189" s="235"/>
      <c r="B189" s="235"/>
      <c r="C189" s="240"/>
      <c r="D189" s="235"/>
      <c r="E189" s="235"/>
      <c r="F189" s="235"/>
      <c r="G189" s="235"/>
      <c r="H189" s="235"/>
      <c r="I189" s="237"/>
      <c r="J189" s="237"/>
    </row>
    <row r="190" ht="15.75" customHeight="1">
      <c r="A190" s="235"/>
      <c r="B190" s="235"/>
      <c r="C190" s="240"/>
      <c r="D190" s="235"/>
      <c r="E190" s="235"/>
      <c r="F190" s="235"/>
      <c r="G190" s="235"/>
      <c r="H190" s="235"/>
      <c r="I190" s="237"/>
      <c r="J190" s="237"/>
    </row>
    <row r="191" ht="15.75" customHeight="1">
      <c r="A191" s="235"/>
      <c r="B191" s="235"/>
      <c r="C191" s="240"/>
      <c r="D191" s="235"/>
      <c r="E191" s="235"/>
      <c r="F191" s="235"/>
      <c r="G191" s="235"/>
      <c r="H191" s="235"/>
      <c r="I191" s="237"/>
      <c r="J191" s="237"/>
    </row>
    <row r="192" ht="15.75" customHeight="1">
      <c r="A192" s="235"/>
      <c r="B192" s="235"/>
      <c r="C192" s="240"/>
      <c r="D192" s="235"/>
      <c r="E192" s="235"/>
      <c r="F192" s="235"/>
      <c r="G192" s="235"/>
      <c r="H192" s="235"/>
      <c r="I192" s="237"/>
      <c r="J192" s="237"/>
    </row>
    <row r="193" ht="15.75" customHeight="1">
      <c r="A193" s="235"/>
      <c r="B193" s="235"/>
      <c r="C193" s="240"/>
      <c r="D193" s="235"/>
      <c r="E193" s="235"/>
      <c r="F193" s="235"/>
      <c r="G193" s="235"/>
      <c r="H193" s="235"/>
      <c r="I193" s="237"/>
      <c r="J193" s="237"/>
    </row>
    <row r="194" ht="15.75" customHeight="1">
      <c r="A194" s="235"/>
      <c r="B194" s="235"/>
      <c r="C194" s="240"/>
      <c r="D194" s="235"/>
      <c r="E194" s="235"/>
      <c r="F194" s="235"/>
      <c r="G194" s="235"/>
      <c r="H194" s="235"/>
      <c r="I194" s="237"/>
      <c r="J194" s="237"/>
    </row>
    <row r="195" ht="15.75" customHeight="1">
      <c r="A195" s="235"/>
      <c r="B195" s="235"/>
      <c r="C195" s="240"/>
      <c r="D195" s="235"/>
      <c r="E195" s="235"/>
      <c r="F195" s="235"/>
      <c r="G195" s="235"/>
      <c r="H195" s="235"/>
      <c r="I195" s="237"/>
      <c r="J195" s="237"/>
    </row>
    <row r="196" ht="15.75" customHeight="1">
      <c r="A196" s="235"/>
      <c r="B196" s="235"/>
      <c r="C196" s="240"/>
      <c r="D196" s="235"/>
      <c r="E196" s="235"/>
      <c r="F196" s="235"/>
      <c r="G196" s="235"/>
      <c r="H196" s="235"/>
      <c r="I196" s="237"/>
      <c r="J196" s="237"/>
    </row>
    <row r="197" ht="15.75" customHeight="1">
      <c r="A197" s="235"/>
      <c r="B197" s="235"/>
      <c r="C197" s="240"/>
      <c r="D197" s="235"/>
      <c r="E197" s="235"/>
      <c r="F197" s="235"/>
      <c r="G197" s="235"/>
      <c r="H197" s="235"/>
      <c r="I197" s="237"/>
      <c r="J197" s="237"/>
    </row>
    <row r="198" ht="15.75" customHeight="1">
      <c r="A198" s="235"/>
      <c r="B198" s="235"/>
      <c r="C198" s="240"/>
      <c r="D198" s="235"/>
      <c r="E198" s="235"/>
      <c r="F198" s="235"/>
      <c r="G198" s="235"/>
      <c r="H198" s="235"/>
      <c r="I198" s="237"/>
      <c r="J198" s="237"/>
    </row>
    <row r="199" ht="15.75" customHeight="1">
      <c r="A199" s="235"/>
      <c r="B199" s="235"/>
      <c r="C199" s="240"/>
      <c r="D199" s="235"/>
      <c r="E199" s="235"/>
      <c r="F199" s="235"/>
      <c r="G199" s="235"/>
      <c r="H199" s="235"/>
      <c r="I199" s="237"/>
      <c r="J199" s="237"/>
    </row>
    <row r="200" ht="15.75" customHeight="1">
      <c r="A200" s="235"/>
      <c r="B200" s="235"/>
      <c r="C200" s="240"/>
      <c r="D200" s="235"/>
      <c r="E200" s="235"/>
      <c r="F200" s="235"/>
      <c r="G200" s="235"/>
      <c r="H200" s="235"/>
      <c r="I200" s="237"/>
      <c r="J200" s="237"/>
    </row>
    <row r="201" ht="15.75" customHeight="1">
      <c r="A201" s="235"/>
      <c r="B201" s="235"/>
      <c r="C201" s="240"/>
      <c r="D201" s="235"/>
      <c r="E201" s="235"/>
      <c r="F201" s="235"/>
      <c r="G201" s="235"/>
      <c r="H201" s="235"/>
      <c r="I201" s="237"/>
      <c r="J201" s="237"/>
    </row>
    <row r="202" ht="15.75" customHeight="1">
      <c r="A202" s="235"/>
      <c r="B202" s="235"/>
      <c r="C202" s="240"/>
      <c r="D202" s="235"/>
      <c r="E202" s="235"/>
      <c r="F202" s="235"/>
      <c r="G202" s="235"/>
      <c r="H202" s="235"/>
      <c r="I202" s="237"/>
      <c r="J202" s="237"/>
    </row>
    <row r="203" ht="15.75" customHeight="1">
      <c r="A203" s="235"/>
      <c r="B203" s="235"/>
      <c r="C203" s="240"/>
      <c r="D203" s="235"/>
      <c r="E203" s="235"/>
      <c r="F203" s="235"/>
      <c r="G203" s="235"/>
      <c r="H203" s="235"/>
      <c r="I203" s="237"/>
      <c r="J203" s="237"/>
    </row>
    <row r="204" ht="15.75" customHeight="1">
      <c r="A204" s="235"/>
      <c r="B204" s="235"/>
      <c r="C204" s="240"/>
      <c r="D204" s="235"/>
      <c r="E204" s="235"/>
      <c r="F204" s="235"/>
      <c r="G204" s="235"/>
      <c r="H204" s="235"/>
      <c r="I204" s="237"/>
      <c r="J204" s="237"/>
    </row>
    <row r="205" ht="15.75" customHeight="1">
      <c r="A205" s="235"/>
      <c r="B205" s="235"/>
      <c r="C205" s="240"/>
      <c r="D205" s="235"/>
      <c r="E205" s="235"/>
      <c r="F205" s="235"/>
      <c r="G205" s="235"/>
      <c r="H205" s="235"/>
      <c r="I205" s="237"/>
      <c r="J205" s="237"/>
    </row>
    <row r="206" ht="15.75" customHeight="1">
      <c r="A206" s="235"/>
      <c r="B206" s="235"/>
      <c r="C206" s="240"/>
      <c r="D206" s="235"/>
      <c r="E206" s="235"/>
      <c r="F206" s="235"/>
      <c r="G206" s="235"/>
      <c r="H206" s="235"/>
      <c r="I206" s="237"/>
      <c r="J206" s="237"/>
    </row>
    <row r="207" ht="15.75" customHeight="1">
      <c r="A207" s="235"/>
      <c r="B207" s="235"/>
      <c r="C207" s="240"/>
      <c r="D207" s="235"/>
      <c r="E207" s="235"/>
      <c r="F207" s="235"/>
      <c r="G207" s="235"/>
      <c r="H207" s="235"/>
      <c r="I207" s="237"/>
      <c r="J207" s="237"/>
    </row>
    <row r="208" ht="15.75" customHeight="1">
      <c r="A208" s="235"/>
      <c r="B208" s="235"/>
      <c r="C208" s="240"/>
      <c r="D208" s="235"/>
      <c r="E208" s="235"/>
      <c r="F208" s="235"/>
      <c r="G208" s="235"/>
      <c r="H208" s="235"/>
      <c r="I208" s="237"/>
      <c r="J208" s="237"/>
    </row>
    <row r="209" ht="15.75" customHeight="1">
      <c r="A209" s="235"/>
      <c r="B209" s="235"/>
      <c r="C209" s="240"/>
      <c r="D209" s="235"/>
      <c r="E209" s="235"/>
      <c r="F209" s="235"/>
      <c r="G209" s="235"/>
      <c r="H209" s="235"/>
      <c r="I209" s="237"/>
      <c r="J209" s="237"/>
    </row>
    <row r="210" ht="15.75" customHeight="1">
      <c r="A210" s="235"/>
      <c r="B210" s="235"/>
      <c r="C210" s="240"/>
      <c r="D210" s="235"/>
      <c r="E210" s="235"/>
      <c r="F210" s="235"/>
      <c r="G210" s="235"/>
      <c r="H210" s="235"/>
      <c r="I210" s="237"/>
      <c r="J210" s="237"/>
    </row>
    <row r="211" ht="15.75" customHeight="1">
      <c r="A211" s="235"/>
      <c r="B211" s="235"/>
      <c r="C211" s="240"/>
      <c r="D211" s="235"/>
      <c r="E211" s="235"/>
      <c r="F211" s="235"/>
      <c r="G211" s="235"/>
      <c r="H211" s="235"/>
      <c r="I211" s="237"/>
      <c r="J211" s="237"/>
    </row>
    <row r="212" ht="15.75" customHeight="1">
      <c r="A212" s="235"/>
      <c r="B212" s="235"/>
      <c r="C212" s="240"/>
      <c r="D212" s="235"/>
      <c r="E212" s="235"/>
      <c r="F212" s="235"/>
      <c r="G212" s="235"/>
      <c r="H212" s="235"/>
      <c r="I212" s="237"/>
      <c r="J212" s="237"/>
    </row>
    <row r="213" ht="15.75" customHeight="1">
      <c r="A213" s="235"/>
      <c r="B213" s="235"/>
      <c r="C213" s="240"/>
      <c r="D213" s="235"/>
      <c r="E213" s="235"/>
      <c r="F213" s="235"/>
      <c r="G213" s="235"/>
      <c r="H213" s="235"/>
      <c r="I213" s="237"/>
      <c r="J213" s="237"/>
    </row>
    <row r="214" ht="15.75" customHeight="1">
      <c r="A214" s="235"/>
      <c r="B214" s="235"/>
      <c r="C214" s="240"/>
      <c r="D214" s="235"/>
      <c r="E214" s="235"/>
      <c r="F214" s="235"/>
      <c r="G214" s="235"/>
      <c r="H214" s="235"/>
      <c r="I214" s="237"/>
      <c r="J214" s="237"/>
    </row>
    <row r="215" ht="15.75" customHeight="1">
      <c r="A215" s="235"/>
      <c r="B215" s="235"/>
      <c r="C215" s="240"/>
      <c r="D215" s="235"/>
      <c r="E215" s="235"/>
      <c r="F215" s="235"/>
      <c r="G215" s="235"/>
      <c r="H215" s="235"/>
      <c r="I215" s="237"/>
      <c r="J215" s="237"/>
    </row>
    <row r="216" ht="15.75" customHeight="1">
      <c r="A216" s="235"/>
      <c r="B216" s="235"/>
      <c r="C216" s="240"/>
      <c r="D216" s="235"/>
      <c r="E216" s="235"/>
      <c r="F216" s="235"/>
      <c r="G216" s="235"/>
      <c r="H216" s="235"/>
      <c r="I216" s="237"/>
      <c r="J216" s="237"/>
    </row>
    <row r="217" ht="15.75" customHeight="1">
      <c r="A217" s="235"/>
      <c r="B217" s="235"/>
      <c r="C217" s="240"/>
      <c r="D217" s="235"/>
      <c r="E217" s="235"/>
      <c r="F217" s="235"/>
      <c r="G217" s="235"/>
      <c r="H217" s="235"/>
      <c r="I217" s="237"/>
      <c r="J217" s="237"/>
    </row>
    <row r="218" ht="15.75" customHeight="1">
      <c r="A218" s="235"/>
      <c r="B218" s="235"/>
      <c r="C218" s="240"/>
      <c r="D218" s="235"/>
      <c r="E218" s="235"/>
      <c r="F218" s="235"/>
      <c r="G218" s="235"/>
      <c r="H218" s="235"/>
      <c r="I218" s="237"/>
      <c r="J218" s="237"/>
    </row>
    <row r="219" ht="15.75" customHeight="1">
      <c r="A219" s="235"/>
      <c r="B219" s="235"/>
      <c r="C219" s="240"/>
      <c r="D219" s="235"/>
      <c r="E219" s="235"/>
      <c r="F219" s="235"/>
      <c r="G219" s="235"/>
      <c r="H219" s="235"/>
      <c r="I219" s="237"/>
      <c r="J219" s="237"/>
    </row>
    <row r="220" ht="15.75" customHeight="1">
      <c r="A220" s="235"/>
      <c r="B220" s="235"/>
      <c r="C220" s="240"/>
      <c r="D220" s="235"/>
      <c r="E220" s="235"/>
      <c r="F220" s="235"/>
      <c r="G220" s="235"/>
      <c r="H220" s="235"/>
      <c r="I220" s="237"/>
      <c r="J220" s="237"/>
    </row>
    <row r="221" ht="15.75" customHeight="1">
      <c r="A221" s="235"/>
      <c r="B221" s="235"/>
      <c r="C221" s="240"/>
      <c r="D221" s="235"/>
      <c r="E221" s="235"/>
      <c r="F221" s="235"/>
      <c r="G221" s="235"/>
      <c r="H221" s="235"/>
      <c r="I221" s="237"/>
      <c r="J221" s="237"/>
    </row>
    <row r="222" ht="15.75" customHeight="1">
      <c r="A222" s="235"/>
      <c r="B222" s="235"/>
      <c r="C222" s="240"/>
      <c r="D222" s="235"/>
      <c r="E222" s="235"/>
      <c r="F222" s="235"/>
      <c r="G222" s="235"/>
      <c r="H222" s="235"/>
      <c r="I222" s="237"/>
      <c r="J222" s="237"/>
    </row>
    <row r="223" ht="15.75" customHeight="1">
      <c r="A223" s="235"/>
      <c r="B223" s="235"/>
      <c r="C223" s="240"/>
      <c r="D223" s="235"/>
      <c r="E223" s="235"/>
      <c r="F223" s="235"/>
      <c r="G223" s="235"/>
      <c r="H223" s="235"/>
      <c r="I223" s="237"/>
      <c r="J223" s="237"/>
    </row>
    <row r="224" ht="15.75" customHeight="1">
      <c r="A224" s="235"/>
      <c r="B224" s="235"/>
      <c r="C224" s="240"/>
      <c r="D224" s="235"/>
      <c r="E224" s="235"/>
      <c r="F224" s="235"/>
      <c r="G224" s="235"/>
      <c r="H224" s="235"/>
      <c r="I224" s="237"/>
      <c r="J224" s="237"/>
    </row>
    <row r="225" ht="15.75" customHeight="1">
      <c r="A225" s="235"/>
      <c r="B225" s="235"/>
      <c r="C225" s="240"/>
      <c r="D225" s="235"/>
      <c r="E225" s="235"/>
      <c r="F225" s="235"/>
      <c r="G225" s="235"/>
      <c r="H225" s="235"/>
      <c r="I225" s="237"/>
      <c r="J225" s="237"/>
    </row>
    <row r="226" ht="15.75" customHeight="1">
      <c r="A226" s="235"/>
      <c r="B226" s="235"/>
      <c r="C226" s="240"/>
      <c r="D226" s="235"/>
      <c r="E226" s="235"/>
      <c r="F226" s="235"/>
      <c r="G226" s="235"/>
      <c r="H226" s="235"/>
      <c r="I226" s="237"/>
      <c r="J226" s="237"/>
    </row>
    <row r="227" ht="15.75" customHeight="1">
      <c r="A227" s="235"/>
      <c r="B227" s="235"/>
      <c r="C227" s="240"/>
      <c r="D227" s="235"/>
      <c r="E227" s="235"/>
      <c r="F227" s="235"/>
      <c r="G227" s="235"/>
      <c r="H227" s="235"/>
      <c r="I227" s="237"/>
      <c r="J227" s="237"/>
    </row>
    <row r="228" ht="15.75" customHeight="1">
      <c r="A228" s="235"/>
      <c r="B228" s="235"/>
      <c r="C228" s="240"/>
      <c r="D228" s="235"/>
      <c r="E228" s="235"/>
      <c r="F228" s="235"/>
      <c r="G228" s="235"/>
      <c r="H228" s="235"/>
      <c r="I228" s="237"/>
      <c r="J228" s="237"/>
    </row>
    <row r="229" ht="15.75" customHeight="1">
      <c r="A229" s="235"/>
      <c r="B229" s="235"/>
      <c r="C229" s="240"/>
      <c r="D229" s="235"/>
      <c r="E229" s="235"/>
      <c r="F229" s="235"/>
      <c r="G229" s="235"/>
      <c r="H229" s="235"/>
      <c r="I229" s="237"/>
      <c r="J229" s="237"/>
    </row>
    <row r="230" ht="15.75" customHeight="1">
      <c r="A230" s="235"/>
      <c r="B230" s="235"/>
      <c r="C230" s="240"/>
      <c r="D230" s="235"/>
      <c r="E230" s="235"/>
      <c r="F230" s="235"/>
      <c r="G230" s="235"/>
      <c r="H230" s="235"/>
      <c r="I230" s="237"/>
      <c r="J230" s="237"/>
    </row>
    <row r="231" ht="15.75" customHeight="1">
      <c r="A231" s="235"/>
      <c r="B231" s="235"/>
      <c r="C231" s="240"/>
      <c r="D231" s="235"/>
      <c r="E231" s="235"/>
      <c r="F231" s="235"/>
      <c r="G231" s="235"/>
      <c r="H231" s="235"/>
      <c r="I231" s="237"/>
      <c r="J231" s="237"/>
    </row>
    <row r="232" ht="15.75" customHeight="1">
      <c r="A232" s="235"/>
      <c r="B232" s="235"/>
      <c r="C232" s="240"/>
      <c r="D232" s="235"/>
      <c r="E232" s="235"/>
      <c r="F232" s="235"/>
      <c r="G232" s="235"/>
      <c r="H232" s="235"/>
      <c r="I232" s="237"/>
      <c r="J232" s="237"/>
    </row>
    <row r="233" ht="15.75" customHeight="1">
      <c r="A233" s="235"/>
      <c r="B233" s="235"/>
      <c r="C233" s="240"/>
      <c r="D233" s="235"/>
      <c r="E233" s="235"/>
      <c r="F233" s="235"/>
      <c r="G233" s="235"/>
      <c r="H233" s="235"/>
      <c r="I233" s="237"/>
      <c r="J233" s="237"/>
    </row>
    <row r="234" ht="15.75" customHeight="1">
      <c r="A234" s="235"/>
      <c r="B234" s="235"/>
      <c r="C234" s="240"/>
      <c r="D234" s="235"/>
      <c r="E234" s="235"/>
      <c r="F234" s="235"/>
      <c r="G234" s="235"/>
      <c r="H234" s="235"/>
      <c r="I234" s="237"/>
      <c r="J234" s="237"/>
    </row>
    <row r="235" ht="15.75" customHeight="1">
      <c r="A235" s="235"/>
      <c r="B235" s="235"/>
      <c r="C235" s="240"/>
      <c r="D235" s="235"/>
      <c r="E235" s="235"/>
      <c r="F235" s="235"/>
      <c r="G235" s="235"/>
      <c r="H235" s="235"/>
      <c r="I235" s="237"/>
      <c r="J235" s="237"/>
    </row>
    <row r="236" ht="15.75" customHeight="1">
      <c r="A236" s="235"/>
      <c r="B236" s="235"/>
      <c r="C236" s="240"/>
      <c r="D236" s="235"/>
      <c r="E236" s="235"/>
      <c r="F236" s="235"/>
      <c r="G236" s="235"/>
      <c r="H236" s="235"/>
      <c r="I236" s="237"/>
      <c r="J236" s="237"/>
    </row>
    <row r="237" ht="15.75" customHeight="1">
      <c r="A237" s="235"/>
      <c r="B237" s="235"/>
      <c r="C237" s="240"/>
      <c r="D237" s="235"/>
      <c r="E237" s="235"/>
      <c r="F237" s="235"/>
      <c r="G237" s="235"/>
      <c r="H237" s="235"/>
      <c r="I237" s="237"/>
      <c r="J237" s="237"/>
    </row>
    <row r="238" ht="15.75" customHeight="1">
      <c r="A238" s="235"/>
      <c r="B238" s="235"/>
      <c r="C238" s="240"/>
      <c r="D238" s="235"/>
      <c r="E238" s="235"/>
      <c r="F238" s="235"/>
      <c r="G238" s="235"/>
      <c r="H238" s="235"/>
      <c r="I238" s="237"/>
      <c r="J238" s="237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8.38"/>
    <col customWidth="1" min="5" max="5" width="22.13"/>
    <col customWidth="1" min="6" max="6" width="24.63"/>
    <col customWidth="1" min="7" max="7" width="16.75"/>
    <col customWidth="1" min="8" max="8" width="19.0"/>
    <col customWidth="1" min="9" max="9" width="15.38"/>
  </cols>
  <sheetData>
    <row r="1" ht="15.75" customHeight="1">
      <c r="A1" s="226" t="s">
        <v>111</v>
      </c>
      <c r="B1" s="226" t="s">
        <v>112</v>
      </c>
      <c r="C1" s="227" t="s">
        <v>113</v>
      </c>
      <c r="D1" s="226" t="s">
        <v>114</v>
      </c>
      <c r="E1" s="226" t="s">
        <v>115</v>
      </c>
      <c r="F1" s="226" t="s">
        <v>211</v>
      </c>
      <c r="G1" s="226" t="s">
        <v>117</v>
      </c>
      <c r="H1" s="226" t="s">
        <v>212</v>
      </c>
      <c r="I1" s="228" t="s">
        <v>64</v>
      </c>
      <c r="J1" s="228" t="s">
        <v>36</v>
      </c>
    </row>
    <row r="2" ht="15.75" customHeight="1">
      <c r="A2" s="229">
        <v>44410.0</v>
      </c>
      <c r="B2" s="230"/>
      <c r="C2" s="231"/>
      <c r="D2" s="232"/>
      <c r="E2" s="232"/>
      <c r="F2" s="231" t="str">
        <f t="shared" ref="F2:F36" si="1">E2/D2</f>
        <v>#DIV/0!</v>
      </c>
      <c r="G2" s="232"/>
      <c r="H2" s="231" t="str">
        <f t="shared" ref="H2:H36" si="2">G2/E2</f>
        <v>#DIV/0!</v>
      </c>
      <c r="I2" s="233" t="str">
        <f t="shared" ref="I2:I36" si="3">J2/G2</f>
        <v>#DIV/0!</v>
      </c>
      <c r="J2" s="234"/>
    </row>
    <row r="3" ht="15.75" customHeight="1">
      <c r="A3" s="229">
        <v>44411.0</v>
      </c>
      <c r="B3" s="230"/>
      <c r="C3" s="231"/>
      <c r="D3" s="232"/>
      <c r="E3" s="232"/>
      <c r="F3" s="231" t="str">
        <f t="shared" si="1"/>
        <v>#DIV/0!</v>
      </c>
      <c r="G3" s="232"/>
      <c r="H3" s="231" t="str">
        <f t="shared" si="2"/>
        <v>#DIV/0!</v>
      </c>
      <c r="I3" s="233" t="str">
        <f t="shared" si="3"/>
        <v>#DIV/0!</v>
      </c>
      <c r="J3" s="234"/>
    </row>
    <row r="4" ht="15.75" customHeight="1">
      <c r="A4" s="229">
        <v>44412.0</v>
      </c>
      <c r="B4" s="232"/>
      <c r="C4" s="231"/>
      <c r="D4" s="232"/>
      <c r="E4" s="232"/>
      <c r="F4" s="231" t="str">
        <f t="shared" si="1"/>
        <v>#DIV/0!</v>
      </c>
      <c r="G4" s="232"/>
      <c r="H4" s="231" t="str">
        <f t="shared" si="2"/>
        <v>#DIV/0!</v>
      </c>
      <c r="I4" s="233" t="str">
        <f t="shared" si="3"/>
        <v>#DIV/0!</v>
      </c>
      <c r="J4" s="234"/>
    </row>
    <row r="5" ht="15.75" customHeight="1">
      <c r="A5" s="229">
        <v>44413.0</v>
      </c>
      <c r="B5" s="232"/>
      <c r="C5" s="231"/>
      <c r="D5" s="232"/>
      <c r="E5" s="232"/>
      <c r="F5" s="231" t="str">
        <f t="shared" si="1"/>
        <v>#DIV/0!</v>
      </c>
      <c r="G5" s="232"/>
      <c r="H5" s="231" t="str">
        <f t="shared" si="2"/>
        <v>#DIV/0!</v>
      </c>
      <c r="I5" s="233" t="str">
        <f t="shared" si="3"/>
        <v>#DIV/0!</v>
      </c>
      <c r="J5" s="234"/>
    </row>
    <row r="6" ht="15.75" customHeight="1">
      <c r="A6" s="229">
        <v>44414.0</v>
      </c>
      <c r="B6" s="232"/>
      <c r="C6" s="231"/>
      <c r="D6" s="232"/>
      <c r="E6" s="232"/>
      <c r="F6" s="231" t="str">
        <f t="shared" si="1"/>
        <v>#DIV/0!</v>
      </c>
      <c r="G6" s="232"/>
      <c r="H6" s="231" t="str">
        <f t="shared" si="2"/>
        <v>#DIV/0!</v>
      </c>
      <c r="I6" s="233" t="str">
        <f t="shared" si="3"/>
        <v>#DIV/0!</v>
      </c>
      <c r="J6" s="234"/>
    </row>
    <row r="7" ht="15.75" customHeight="1">
      <c r="A7" s="229">
        <v>44415.0</v>
      </c>
      <c r="B7" s="232"/>
      <c r="C7" s="231"/>
      <c r="D7" s="232"/>
      <c r="E7" s="232"/>
      <c r="F7" s="231" t="str">
        <f t="shared" si="1"/>
        <v>#DIV/0!</v>
      </c>
      <c r="G7" s="232"/>
      <c r="H7" s="231" t="str">
        <f t="shared" si="2"/>
        <v>#DIV/0!</v>
      </c>
      <c r="I7" s="233" t="str">
        <f t="shared" si="3"/>
        <v>#DIV/0!</v>
      </c>
      <c r="J7" s="234"/>
    </row>
    <row r="8" ht="15.75" customHeight="1">
      <c r="A8" s="229">
        <v>44416.0</v>
      </c>
      <c r="B8" s="232"/>
      <c r="C8" s="231"/>
      <c r="D8" s="232"/>
      <c r="E8" s="232"/>
      <c r="F8" s="231" t="str">
        <f t="shared" si="1"/>
        <v>#DIV/0!</v>
      </c>
      <c r="G8" s="232"/>
      <c r="H8" s="231" t="str">
        <f t="shared" si="2"/>
        <v>#DIV/0!</v>
      </c>
      <c r="I8" s="233" t="str">
        <f t="shared" si="3"/>
        <v>#DIV/0!</v>
      </c>
      <c r="J8" s="234"/>
    </row>
    <row r="9" ht="15.75" customHeight="1">
      <c r="A9" s="229">
        <v>44417.0</v>
      </c>
      <c r="B9" s="232"/>
      <c r="C9" s="231"/>
      <c r="D9" s="232"/>
      <c r="E9" s="232"/>
      <c r="F9" s="231" t="str">
        <f t="shared" si="1"/>
        <v>#DIV/0!</v>
      </c>
      <c r="G9" s="232"/>
      <c r="H9" s="231" t="str">
        <f t="shared" si="2"/>
        <v>#DIV/0!</v>
      </c>
      <c r="I9" s="233" t="str">
        <f t="shared" si="3"/>
        <v>#DIV/0!</v>
      </c>
      <c r="J9" s="234"/>
    </row>
    <row r="10" ht="15.75" customHeight="1">
      <c r="A10" s="229">
        <v>44418.0</v>
      </c>
      <c r="B10" s="232"/>
      <c r="C10" s="231"/>
      <c r="D10" s="232"/>
      <c r="E10" s="232"/>
      <c r="F10" s="231" t="str">
        <f t="shared" si="1"/>
        <v>#DIV/0!</v>
      </c>
      <c r="G10" s="232"/>
      <c r="H10" s="231" t="str">
        <f t="shared" si="2"/>
        <v>#DIV/0!</v>
      </c>
      <c r="I10" s="233" t="str">
        <f t="shared" si="3"/>
        <v>#DIV/0!</v>
      </c>
      <c r="J10" s="234"/>
    </row>
    <row r="11" ht="15.75" customHeight="1">
      <c r="A11" s="229">
        <v>44419.0</v>
      </c>
      <c r="B11" s="232"/>
      <c r="C11" s="231"/>
      <c r="D11" s="232"/>
      <c r="E11" s="232"/>
      <c r="F11" s="231" t="str">
        <f t="shared" si="1"/>
        <v>#DIV/0!</v>
      </c>
      <c r="G11" s="232"/>
      <c r="H11" s="231" t="str">
        <f t="shared" si="2"/>
        <v>#DIV/0!</v>
      </c>
      <c r="I11" s="233" t="str">
        <f t="shared" si="3"/>
        <v>#DIV/0!</v>
      </c>
      <c r="J11" s="234"/>
    </row>
    <row r="12" ht="15.75" customHeight="1">
      <c r="A12" s="229">
        <v>44420.0</v>
      </c>
      <c r="B12" s="232"/>
      <c r="C12" s="231"/>
      <c r="D12" s="232"/>
      <c r="E12" s="232"/>
      <c r="F12" s="231" t="str">
        <f t="shared" si="1"/>
        <v>#DIV/0!</v>
      </c>
      <c r="G12" s="232"/>
      <c r="H12" s="231" t="str">
        <f t="shared" si="2"/>
        <v>#DIV/0!</v>
      </c>
      <c r="I12" s="233" t="str">
        <f t="shared" si="3"/>
        <v>#DIV/0!</v>
      </c>
      <c r="J12" s="234"/>
    </row>
    <row r="13" ht="15.75" customHeight="1">
      <c r="A13" s="229">
        <v>44421.0</v>
      </c>
      <c r="B13" s="232"/>
      <c r="C13" s="231"/>
      <c r="D13" s="232"/>
      <c r="E13" s="232"/>
      <c r="F13" s="231" t="str">
        <f t="shared" si="1"/>
        <v>#DIV/0!</v>
      </c>
      <c r="G13" s="232"/>
      <c r="H13" s="231" t="str">
        <f t="shared" si="2"/>
        <v>#DIV/0!</v>
      </c>
      <c r="I13" s="233" t="str">
        <f t="shared" si="3"/>
        <v>#DIV/0!</v>
      </c>
      <c r="J13" s="234"/>
    </row>
    <row r="14" ht="15.75" customHeight="1">
      <c r="A14" s="229">
        <v>44422.0</v>
      </c>
      <c r="B14" s="232"/>
      <c r="C14" s="231"/>
      <c r="D14" s="232"/>
      <c r="E14" s="232"/>
      <c r="F14" s="231" t="str">
        <f t="shared" si="1"/>
        <v>#DIV/0!</v>
      </c>
      <c r="G14" s="232"/>
      <c r="H14" s="231" t="str">
        <f t="shared" si="2"/>
        <v>#DIV/0!</v>
      </c>
      <c r="I14" s="233" t="str">
        <f t="shared" si="3"/>
        <v>#DIV/0!</v>
      </c>
      <c r="J14" s="234"/>
    </row>
    <row r="15" ht="15.75" customHeight="1">
      <c r="A15" s="229">
        <v>44423.0</v>
      </c>
      <c r="B15" s="232"/>
      <c r="C15" s="231"/>
      <c r="D15" s="232"/>
      <c r="E15" s="232"/>
      <c r="F15" s="231" t="str">
        <f t="shared" si="1"/>
        <v>#DIV/0!</v>
      </c>
      <c r="G15" s="232"/>
      <c r="H15" s="231" t="str">
        <f t="shared" si="2"/>
        <v>#DIV/0!</v>
      </c>
      <c r="I15" s="233" t="str">
        <f t="shared" si="3"/>
        <v>#DIV/0!</v>
      </c>
      <c r="J15" s="234"/>
    </row>
    <row r="16" ht="15.75" customHeight="1">
      <c r="A16" s="229">
        <v>44424.0</v>
      </c>
      <c r="B16" s="232"/>
      <c r="C16" s="231"/>
      <c r="D16" s="232"/>
      <c r="E16" s="232"/>
      <c r="F16" s="231" t="str">
        <f t="shared" si="1"/>
        <v>#DIV/0!</v>
      </c>
      <c r="G16" s="232"/>
      <c r="H16" s="231" t="str">
        <f t="shared" si="2"/>
        <v>#DIV/0!</v>
      </c>
      <c r="I16" s="233" t="str">
        <f t="shared" si="3"/>
        <v>#DIV/0!</v>
      </c>
      <c r="J16" s="234"/>
    </row>
    <row r="17" ht="15.75" customHeight="1">
      <c r="A17" s="229">
        <v>44425.0</v>
      </c>
      <c r="B17" s="232"/>
      <c r="C17" s="231"/>
      <c r="D17" s="232"/>
      <c r="E17" s="232"/>
      <c r="F17" s="231" t="str">
        <f t="shared" si="1"/>
        <v>#DIV/0!</v>
      </c>
      <c r="G17" s="232"/>
      <c r="H17" s="231" t="str">
        <f t="shared" si="2"/>
        <v>#DIV/0!</v>
      </c>
      <c r="I17" s="233" t="str">
        <f t="shared" si="3"/>
        <v>#DIV/0!</v>
      </c>
      <c r="J17" s="234"/>
    </row>
    <row r="18" ht="15.75" customHeight="1">
      <c r="A18" s="229">
        <v>44426.0</v>
      </c>
      <c r="B18" s="232"/>
      <c r="C18" s="231"/>
      <c r="D18" s="232"/>
      <c r="E18" s="232"/>
      <c r="F18" s="231" t="str">
        <f t="shared" si="1"/>
        <v>#DIV/0!</v>
      </c>
      <c r="G18" s="232"/>
      <c r="H18" s="231" t="str">
        <f t="shared" si="2"/>
        <v>#DIV/0!</v>
      </c>
      <c r="I18" s="233" t="str">
        <f t="shared" si="3"/>
        <v>#DIV/0!</v>
      </c>
      <c r="J18" s="234"/>
    </row>
    <row r="19" ht="15.75" customHeight="1">
      <c r="A19" s="229">
        <v>44427.0</v>
      </c>
      <c r="B19" s="232"/>
      <c r="C19" s="231"/>
      <c r="D19" s="232"/>
      <c r="E19" s="232"/>
      <c r="F19" s="231" t="str">
        <f t="shared" si="1"/>
        <v>#DIV/0!</v>
      </c>
      <c r="G19" s="232"/>
      <c r="H19" s="231" t="str">
        <f t="shared" si="2"/>
        <v>#DIV/0!</v>
      </c>
      <c r="I19" s="233" t="str">
        <f t="shared" si="3"/>
        <v>#DIV/0!</v>
      </c>
      <c r="J19" s="234"/>
    </row>
    <row r="20" ht="15.75" customHeight="1">
      <c r="A20" s="229">
        <v>44428.0</v>
      </c>
      <c r="B20" s="232"/>
      <c r="C20" s="231"/>
      <c r="D20" s="232"/>
      <c r="E20" s="232"/>
      <c r="F20" s="231" t="str">
        <f t="shared" si="1"/>
        <v>#DIV/0!</v>
      </c>
      <c r="G20" s="232"/>
      <c r="H20" s="231" t="str">
        <f t="shared" si="2"/>
        <v>#DIV/0!</v>
      </c>
      <c r="I20" s="233" t="str">
        <f t="shared" si="3"/>
        <v>#DIV/0!</v>
      </c>
      <c r="J20" s="234"/>
    </row>
    <row r="21" ht="15.75" customHeight="1">
      <c r="A21" s="229">
        <v>44429.0</v>
      </c>
      <c r="B21" s="232"/>
      <c r="C21" s="231"/>
      <c r="D21" s="232"/>
      <c r="E21" s="232"/>
      <c r="F21" s="231" t="str">
        <f t="shared" si="1"/>
        <v>#DIV/0!</v>
      </c>
      <c r="G21" s="232"/>
      <c r="H21" s="231" t="str">
        <f t="shared" si="2"/>
        <v>#DIV/0!</v>
      </c>
      <c r="I21" s="233" t="str">
        <f t="shared" si="3"/>
        <v>#DIV/0!</v>
      </c>
      <c r="J21" s="234"/>
    </row>
    <row r="22" ht="15.75" customHeight="1">
      <c r="A22" s="229">
        <v>44430.0</v>
      </c>
      <c r="B22" s="232"/>
      <c r="C22" s="231"/>
      <c r="D22" s="232"/>
      <c r="E22" s="232"/>
      <c r="F22" s="231" t="str">
        <f t="shared" si="1"/>
        <v>#DIV/0!</v>
      </c>
      <c r="G22" s="232"/>
      <c r="H22" s="231" t="str">
        <f t="shared" si="2"/>
        <v>#DIV/0!</v>
      </c>
      <c r="I22" s="233" t="str">
        <f t="shared" si="3"/>
        <v>#DIV/0!</v>
      </c>
      <c r="J22" s="234"/>
    </row>
    <row r="23" ht="15.75" customHeight="1">
      <c r="A23" s="229">
        <v>44431.0</v>
      </c>
      <c r="B23" s="232"/>
      <c r="C23" s="231"/>
      <c r="D23" s="232"/>
      <c r="E23" s="232"/>
      <c r="F23" s="231" t="str">
        <f t="shared" si="1"/>
        <v>#DIV/0!</v>
      </c>
      <c r="G23" s="232"/>
      <c r="H23" s="231" t="str">
        <f t="shared" si="2"/>
        <v>#DIV/0!</v>
      </c>
      <c r="I23" s="233" t="str">
        <f t="shared" si="3"/>
        <v>#DIV/0!</v>
      </c>
      <c r="J23" s="234"/>
    </row>
    <row r="24" ht="15.75" customHeight="1">
      <c r="A24" s="229">
        <v>44432.0</v>
      </c>
      <c r="B24" s="232"/>
      <c r="C24" s="231"/>
      <c r="D24" s="232"/>
      <c r="E24" s="232"/>
      <c r="F24" s="231" t="str">
        <f t="shared" si="1"/>
        <v>#DIV/0!</v>
      </c>
      <c r="G24" s="232"/>
      <c r="H24" s="231" t="str">
        <f t="shared" si="2"/>
        <v>#DIV/0!</v>
      </c>
      <c r="I24" s="233" t="str">
        <f t="shared" si="3"/>
        <v>#DIV/0!</v>
      </c>
      <c r="J24" s="234"/>
    </row>
    <row r="25" ht="15.75" customHeight="1">
      <c r="A25" s="229">
        <v>44433.0</v>
      </c>
      <c r="B25" s="232"/>
      <c r="C25" s="231"/>
      <c r="D25" s="232"/>
      <c r="E25" s="232"/>
      <c r="F25" s="231" t="str">
        <f t="shared" si="1"/>
        <v>#DIV/0!</v>
      </c>
      <c r="G25" s="232"/>
      <c r="H25" s="231" t="str">
        <f t="shared" si="2"/>
        <v>#DIV/0!</v>
      </c>
      <c r="I25" s="233" t="str">
        <f t="shared" si="3"/>
        <v>#DIV/0!</v>
      </c>
      <c r="J25" s="234"/>
    </row>
    <row r="26" ht="15.75" customHeight="1">
      <c r="A26" s="229">
        <v>44434.0</v>
      </c>
      <c r="B26" s="232"/>
      <c r="C26" s="231"/>
      <c r="D26" s="232"/>
      <c r="E26" s="232"/>
      <c r="F26" s="231" t="str">
        <f t="shared" si="1"/>
        <v>#DIV/0!</v>
      </c>
      <c r="G26" s="232"/>
      <c r="H26" s="231" t="str">
        <f t="shared" si="2"/>
        <v>#DIV/0!</v>
      </c>
      <c r="I26" s="233" t="str">
        <f t="shared" si="3"/>
        <v>#DIV/0!</v>
      </c>
      <c r="J26" s="234"/>
    </row>
    <row r="27" ht="15.75" customHeight="1">
      <c r="A27" s="229">
        <v>44435.0</v>
      </c>
      <c r="B27" s="232"/>
      <c r="C27" s="231"/>
      <c r="D27" s="232"/>
      <c r="E27" s="232"/>
      <c r="F27" s="231" t="str">
        <f t="shared" si="1"/>
        <v>#DIV/0!</v>
      </c>
      <c r="G27" s="232"/>
      <c r="H27" s="231" t="str">
        <f t="shared" si="2"/>
        <v>#DIV/0!</v>
      </c>
      <c r="I27" s="233" t="str">
        <f t="shared" si="3"/>
        <v>#DIV/0!</v>
      </c>
      <c r="J27" s="234"/>
    </row>
    <row r="28" ht="15.75" customHeight="1">
      <c r="A28" s="229">
        <v>44436.0</v>
      </c>
      <c r="B28" s="232"/>
      <c r="C28" s="231"/>
      <c r="D28" s="232"/>
      <c r="E28" s="232"/>
      <c r="F28" s="231" t="str">
        <f t="shared" si="1"/>
        <v>#DIV/0!</v>
      </c>
      <c r="G28" s="232"/>
      <c r="H28" s="231" t="str">
        <f t="shared" si="2"/>
        <v>#DIV/0!</v>
      </c>
      <c r="I28" s="233" t="str">
        <f t="shared" si="3"/>
        <v>#DIV/0!</v>
      </c>
      <c r="J28" s="234"/>
    </row>
    <row r="29" ht="15.75" customHeight="1">
      <c r="A29" s="229">
        <v>44437.0</v>
      </c>
      <c r="B29" s="232"/>
      <c r="C29" s="231"/>
      <c r="D29" s="232"/>
      <c r="E29" s="232"/>
      <c r="F29" s="231" t="str">
        <f t="shared" si="1"/>
        <v>#DIV/0!</v>
      </c>
      <c r="G29" s="232"/>
      <c r="H29" s="231" t="str">
        <f t="shared" si="2"/>
        <v>#DIV/0!</v>
      </c>
      <c r="I29" s="233" t="str">
        <f t="shared" si="3"/>
        <v>#DIV/0!</v>
      </c>
      <c r="J29" s="234"/>
    </row>
    <row r="30" ht="15.75" customHeight="1">
      <c r="A30" s="229">
        <v>44438.0</v>
      </c>
      <c r="B30" s="232"/>
      <c r="C30" s="231"/>
      <c r="D30" s="232"/>
      <c r="E30" s="232"/>
      <c r="F30" s="231" t="str">
        <f t="shared" si="1"/>
        <v>#DIV/0!</v>
      </c>
      <c r="G30" s="232"/>
      <c r="H30" s="231" t="str">
        <f t="shared" si="2"/>
        <v>#DIV/0!</v>
      </c>
      <c r="I30" s="233" t="str">
        <f t="shared" si="3"/>
        <v>#DIV/0!</v>
      </c>
      <c r="J30" s="234"/>
    </row>
    <row r="31" ht="15.75" customHeight="1">
      <c r="A31" s="229">
        <v>44439.0</v>
      </c>
      <c r="B31" s="232"/>
      <c r="C31" s="231"/>
      <c r="D31" s="232"/>
      <c r="E31" s="232"/>
      <c r="F31" s="231" t="str">
        <f t="shared" si="1"/>
        <v>#DIV/0!</v>
      </c>
      <c r="G31" s="232"/>
      <c r="H31" s="231" t="str">
        <f t="shared" si="2"/>
        <v>#DIV/0!</v>
      </c>
      <c r="I31" s="233" t="str">
        <f t="shared" si="3"/>
        <v>#DIV/0!</v>
      </c>
      <c r="J31" s="234"/>
    </row>
    <row r="32" ht="15.75" customHeight="1">
      <c r="A32" s="229">
        <v>44440.0</v>
      </c>
      <c r="B32" s="232"/>
      <c r="C32" s="231"/>
      <c r="D32" s="232"/>
      <c r="E32" s="232"/>
      <c r="F32" s="231" t="str">
        <f t="shared" si="1"/>
        <v>#DIV/0!</v>
      </c>
      <c r="G32" s="232"/>
      <c r="H32" s="231" t="str">
        <f t="shared" si="2"/>
        <v>#DIV/0!</v>
      </c>
      <c r="I32" s="233" t="str">
        <f t="shared" si="3"/>
        <v>#DIV/0!</v>
      </c>
      <c r="J32" s="234"/>
    </row>
    <row r="33" ht="15.75" customHeight="1">
      <c r="A33" s="229">
        <v>44441.0</v>
      </c>
      <c r="B33" s="232"/>
      <c r="C33" s="231"/>
      <c r="D33" s="232"/>
      <c r="E33" s="232"/>
      <c r="F33" s="231" t="str">
        <f t="shared" si="1"/>
        <v>#DIV/0!</v>
      </c>
      <c r="G33" s="232"/>
      <c r="H33" s="231" t="str">
        <f t="shared" si="2"/>
        <v>#DIV/0!</v>
      </c>
      <c r="I33" s="233" t="str">
        <f t="shared" si="3"/>
        <v>#DIV/0!</v>
      </c>
      <c r="J33" s="234"/>
    </row>
    <row r="34" ht="15.75" customHeight="1">
      <c r="A34" s="229">
        <v>44442.0</v>
      </c>
      <c r="B34" s="232"/>
      <c r="C34" s="231"/>
      <c r="D34" s="232"/>
      <c r="E34" s="232"/>
      <c r="F34" s="231" t="str">
        <f t="shared" si="1"/>
        <v>#DIV/0!</v>
      </c>
      <c r="G34" s="232"/>
      <c r="H34" s="231" t="str">
        <f t="shared" si="2"/>
        <v>#DIV/0!</v>
      </c>
      <c r="I34" s="233" t="str">
        <f t="shared" si="3"/>
        <v>#DIV/0!</v>
      </c>
      <c r="J34" s="234"/>
    </row>
    <row r="35" ht="15.75" customHeight="1">
      <c r="A35" s="229">
        <v>44443.0</v>
      </c>
      <c r="B35" s="232"/>
      <c r="C35" s="231"/>
      <c r="D35" s="232"/>
      <c r="E35" s="232"/>
      <c r="F35" s="231" t="str">
        <f t="shared" si="1"/>
        <v>#DIV/0!</v>
      </c>
      <c r="G35" s="232"/>
      <c r="H35" s="231" t="str">
        <f t="shared" si="2"/>
        <v>#DIV/0!</v>
      </c>
      <c r="I35" s="233" t="str">
        <f t="shared" si="3"/>
        <v>#DIV/0!</v>
      </c>
      <c r="J35" s="234"/>
    </row>
    <row r="36" ht="15.75" customHeight="1">
      <c r="A36" s="229">
        <v>44444.0</v>
      </c>
      <c r="B36" s="232"/>
      <c r="C36" s="231"/>
      <c r="D36" s="232"/>
      <c r="E36" s="232"/>
      <c r="F36" s="231" t="str">
        <f t="shared" si="1"/>
        <v>#DIV/0!</v>
      </c>
      <c r="G36" s="232"/>
      <c r="H36" s="231" t="str">
        <f t="shared" si="2"/>
        <v>#DIV/0!</v>
      </c>
      <c r="I36" s="233" t="str">
        <f t="shared" si="3"/>
        <v>#DIV/0!</v>
      </c>
      <c r="J36" s="234"/>
    </row>
    <row r="37" ht="15.75" customHeight="1">
      <c r="A37" s="232" t="s">
        <v>119</v>
      </c>
      <c r="B37" s="230" t="str">
        <f t="shared" ref="B37:H37" si="4">MEDIAN(B2:B36)</f>
        <v>#NUM!</v>
      </c>
      <c r="C37" s="231" t="str">
        <f t="shared" si="4"/>
        <v>#NUM!</v>
      </c>
      <c r="D37" s="232" t="str">
        <f t="shared" si="4"/>
        <v>#NUM!</v>
      </c>
      <c r="E37" s="232" t="str">
        <f t="shared" si="4"/>
        <v>#NUM!</v>
      </c>
      <c r="F37" s="232" t="str">
        <f t="shared" si="4"/>
        <v>#DIV/0!</v>
      </c>
      <c r="G37" s="232" t="str">
        <f t="shared" si="4"/>
        <v>#NUM!</v>
      </c>
      <c r="H37" s="232" t="str">
        <f t="shared" si="4"/>
        <v>#DIV/0!</v>
      </c>
      <c r="I37" s="233"/>
      <c r="J37" s="234" t="str">
        <f>MEDIAN(J2:J36)</f>
        <v>#NUM!</v>
      </c>
    </row>
    <row r="38" ht="15.75" customHeight="1">
      <c r="A38" s="232" t="s">
        <v>39</v>
      </c>
      <c r="B38" s="230">
        <f>SUM(B2:B36)</f>
        <v>0</v>
      </c>
      <c r="C38" s="231"/>
      <c r="D38" s="232">
        <f t="shared" ref="D38:E38" si="5">SUM(D2:D36)</f>
        <v>0</v>
      </c>
      <c r="E38" s="232">
        <f t="shared" si="5"/>
        <v>0</v>
      </c>
      <c r="F38" s="232" t="str">
        <f>E38/D38</f>
        <v>#DIV/0!</v>
      </c>
      <c r="G38" s="232">
        <f>SUM(G2:G36)</f>
        <v>0</v>
      </c>
      <c r="H38" s="231" t="str">
        <f>G38/E38</f>
        <v>#DIV/0!</v>
      </c>
      <c r="I38" s="233" t="str">
        <f>J38/G38</f>
        <v>#DIV/0!</v>
      </c>
      <c r="J38" s="234">
        <f>SUM(J2:J36)</f>
        <v>0</v>
      </c>
    </row>
    <row r="39" ht="15.75" customHeight="1">
      <c r="A39" s="235"/>
      <c r="B39" s="235"/>
      <c r="C39" s="236"/>
      <c r="D39" s="235"/>
      <c r="E39" s="235"/>
      <c r="F39" s="235"/>
      <c r="G39" s="235"/>
      <c r="H39" s="235"/>
      <c r="I39" s="237"/>
      <c r="J39" s="237"/>
    </row>
    <row r="40" ht="15.75" customHeight="1">
      <c r="A40" s="235"/>
      <c r="B40" s="235"/>
      <c r="C40" s="236"/>
      <c r="D40" s="235"/>
      <c r="E40" s="235"/>
      <c r="F40" s="235"/>
      <c r="G40" s="235"/>
      <c r="H40" s="235"/>
      <c r="I40" s="237"/>
      <c r="J40" s="237"/>
    </row>
    <row r="41" ht="15.75" customHeight="1">
      <c r="A41" s="235"/>
      <c r="B41" s="235"/>
      <c r="C41" s="236"/>
      <c r="D41" s="235"/>
      <c r="E41" s="235"/>
      <c r="F41" s="235"/>
      <c r="G41" s="235"/>
      <c r="H41" s="235"/>
      <c r="I41" s="237"/>
      <c r="J41" s="237"/>
    </row>
    <row r="42" ht="15.75" customHeight="1">
      <c r="A42" s="235"/>
      <c r="B42" s="235"/>
      <c r="C42" s="236"/>
      <c r="D42" s="235"/>
      <c r="E42" s="235"/>
      <c r="F42" s="235"/>
      <c r="G42" s="235"/>
      <c r="H42" s="235"/>
      <c r="I42" s="237"/>
      <c r="J42" s="237"/>
    </row>
    <row r="43" ht="15.75" customHeight="1">
      <c r="A43" s="235"/>
      <c r="B43" s="235"/>
      <c r="C43" s="236"/>
      <c r="D43" s="235"/>
      <c r="E43" s="235"/>
      <c r="F43" s="235"/>
      <c r="G43" s="235"/>
      <c r="H43" s="235"/>
      <c r="I43" s="237"/>
      <c r="J43" s="237"/>
    </row>
    <row r="44" ht="15.75" customHeight="1">
      <c r="A44" s="235"/>
      <c r="B44" s="235"/>
      <c r="C44" s="236"/>
      <c r="D44" s="235"/>
      <c r="E44" s="235"/>
      <c r="F44" s="235"/>
      <c r="G44" s="235"/>
      <c r="H44" s="235"/>
      <c r="I44" s="237"/>
      <c r="J44" s="237"/>
    </row>
    <row r="45" ht="15.75" customHeight="1">
      <c r="A45" s="235"/>
      <c r="B45" s="235"/>
      <c r="C45" s="236"/>
      <c r="D45" s="235"/>
      <c r="E45" s="235"/>
      <c r="F45" s="235"/>
      <c r="G45" s="235"/>
      <c r="H45" s="235"/>
      <c r="I45" s="237"/>
      <c r="J45" s="237"/>
    </row>
    <row r="46" ht="15.75" customHeight="1">
      <c r="A46" s="235"/>
      <c r="B46" s="235"/>
      <c r="C46" s="236"/>
      <c r="D46" s="235"/>
      <c r="E46" s="235"/>
      <c r="F46" s="235"/>
      <c r="G46" s="235"/>
      <c r="H46" s="235"/>
      <c r="I46" s="237"/>
      <c r="J46" s="237"/>
    </row>
    <row r="47" ht="15.75" customHeight="1">
      <c r="A47" s="235"/>
      <c r="B47" s="235"/>
      <c r="C47" s="236"/>
      <c r="D47" s="235"/>
      <c r="E47" s="235"/>
      <c r="F47" s="235"/>
      <c r="G47" s="235"/>
      <c r="H47" s="235"/>
      <c r="I47" s="237"/>
      <c r="J47" s="237"/>
    </row>
    <row r="48" ht="15.75" customHeight="1">
      <c r="A48" s="235"/>
      <c r="B48" s="235"/>
      <c r="C48" s="236"/>
      <c r="D48" s="235"/>
      <c r="E48" s="235"/>
      <c r="F48" s="235"/>
      <c r="G48" s="235"/>
      <c r="H48" s="235"/>
      <c r="I48" s="237"/>
      <c r="J48" s="237"/>
    </row>
    <row r="49" ht="15.75" customHeight="1">
      <c r="A49" s="235"/>
      <c r="B49" s="235"/>
      <c r="C49" s="236"/>
      <c r="D49" s="235"/>
      <c r="E49" s="235"/>
      <c r="F49" s="235"/>
      <c r="G49" s="235"/>
      <c r="H49" s="235"/>
      <c r="I49" s="237"/>
      <c r="J49" s="237"/>
    </row>
    <row r="50" ht="15.75" customHeight="1">
      <c r="A50" s="235"/>
      <c r="B50" s="235"/>
      <c r="C50" s="236"/>
      <c r="D50" s="235"/>
      <c r="E50" s="235"/>
      <c r="F50" s="235"/>
      <c r="G50" s="235"/>
      <c r="H50" s="235"/>
      <c r="I50" s="237"/>
      <c r="J50" s="237"/>
    </row>
    <row r="51" ht="15.75" customHeight="1">
      <c r="A51" s="235"/>
      <c r="B51" s="235"/>
      <c r="C51" s="236"/>
      <c r="D51" s="235"/>
      <c r="E51" s="235"/>
      <c r="F51" s="235"/>
      <c r="G51" s="235"/>
      <c r="H51" s="235"/>
      <c r="I51" s="237"/>
      <c r="J51" s="237"/>
    </row>
    <row r="52" ht="15.75" customHeight="1">
      <c r="A52" s="235"/>
      <c r="B52" s="235"/>
      <c r="C52" s="236"/>
      <c r="D52" s="235"/>
      <c r="E52" s="235"/>
      <c r="F52" s="235"/>
      <c r="G52" s="235"/>
      <c r="H52" s="235"/>
      <c r="I52" s="237"/>
      <c r="J52" s="237"/>
    </row>
    <row r="53" ht="15.75" customHeight="1">
      <c r="A53" s="235"/>
      <c r="B53" s="235"/>
      <c r="C53" s="236"/>
      <c r="D53" s="235"/>
      <c r="E53" s="235"/>
      <c r="F53" s="235"/>
      <c r="G53" s="235"/>
      <c r="H53" s="235"/>
      <c r="I53" s="237"/>
      <c r="J53" s="237"/>
    </row>
    <row r="54" ht="15.75" customHeight="1">
      <c r="A54" s="235"/>
      <c r="B54" s="235"/>
      <c r="C54" s="236"/>
      <c r="D54" s="235"/>
      <c r="E54" s="235"/>
      <c r="F54" s="235"/>
      <c r="G54" s="235"/>
      <c r="H54" s="235"/>
      <c r="I54" s="237"/>
      <c r="J54" s="237"/>
    </row>
    <row r="55" ht="15.75" customHeight="1">
      <c r="A55" s="235"/>
      <c r="B55" s="235"/>
      <c r="C55" s="236"/>
      <c r="D55" s="235"/>
      <c r="E55" s="235"/>
      <c r="F55" s="235"/>
      <c r="G55" s="235"/>
      <c r="H55" s="235"/>
      <c r="I55" s="237"/>
      <c r="J55" s="237"/>
    </row>
    <row r="56" ht="15.75" customHeight="1">
      <c r="A56" s="235"/>
      <c r="B56" s="235"/>
      <c r="C56" s="236"/>
      <c r="D56" s="235"/>
      <c r="E56" s="235"/>
      <c r="F56" s="235"/>
      <c r="G56" s="235"/>
      <c r="H56" s="235"/>
      <c r="I56" s="237"/>
      <c r="J56" s="237"/>
    </row>
    <row r="57" ht="15.75" customHeight="1">
      <c r="A57" s="235"/>
      <c r="B57" s="235"/>
      <c r="C57" s="236"/>
      <c r="D57" s="235"/>
      <c r="E57" s="235"/>
      <c r="F57" s="235"/>
      <c r="G57" s="235"/>
      <c r="H57" s="235"/>
      <c r="I57" s="237"/>
      <c r="J57" s="237"/>
    </row>
    <row r="58" ht="15.75" customHeight="1">
      <c r="A58" s="235"/>
      <c r="B58" s="235"/>
      <c r="C58" s="236"/>
      <c r="D58" s="235"/>
      <c r="E58" s="235"/>
      <c r="F58" s="235"/>
      <c r="G58" s="235"/>
      <c r="H58" s="235"/>
      <c r="I58" s="237"/>
      <c r="J58" s="237"/>
    </row>
    <row r="59" ht="15.75" customHeight="1">
      <c r="A59" s="235"/>
      <c r="B59" s="235"/>
      <c r="C59" s="236"/>
      <c r="D59" s="235"/>
      <c r="E59" s="235"/>
      <c r="F59" s="235"/>
      <c r="G59" s="235"/>
      <c r="H59" s="235"/>
      <c r="I59" s="237"/>
      <c r="J59" s="237"/>
    </row>
    <row r="60" ht="15.75" customHeight="1">
      <c r="A60" s="235"/>
      <c r="B60" s="235"/>
      <c r="C60" s="236"/>
      <c r="D60" s="235"/>
      <c r="E60" s="235"/>
      <c r="F60" s="235"/>
      <c r="G60" s="235"/>
      <c r="H60" s="235"/>
      <c r="I60" s="237"/>
      <c r="J60" s="237"/>
    </row>
    <row r="61" ht="15.75" customHeight="1">
      <c r="A61" s="235"/>
      <c r="B61" s="235"/>
      <c r="C61" s="236"/>
      <c r="D61" s="235"/>
      <c r="E61" s="235"/>
      <c r="F61" s="235"/>
      <c r="G61" s="235"/>
      <c r="H61" s="235"/>
      <c r="I61" s="237"/>
      <c r="J61" s="237"/>
    </row>
    <row r="62" ht="15.75" customHeight="1">
      <c r="A62" s="235"/>
      <c r="B62" s="235"/>
      <c r="C62" s="236"/>
      <c r="D62" s="235"/>
      <c r="E62" s="235"/>
      <c r="F62" s="235"/>
      <c r="G62" s="235"/>
      <c r="H62" s="235"/>
      <c r="I62" s="237"/>
      <c r="J62" s="237"/>
    </row>
    <row r="63" ht="15.75" customHeight="1">
      <c r="A63" s="235"/>
      <c r="B63" s="235"/>
      <c r="C63" s="236"/>
      <c r="D63" s="235"/>
      <c r="E63" s="235"/>
      <c r="F63" s="235"/>
      <c r="G63" s="235"/>
      <c r="H63" s="235"/>
      <c r="I63" s="237"/>
      <c r="J63" s="237"/>
    </row>
    <row r="64" ht="15.75" customHeight="1">
      <c r="A64" s="235"/>
      <c r="B64" s="235"/>
      <c r="C64" s="236"/>
      <c r="D64" s="235"/>
      <c r="E64" s="235"/>
      <c r="F64" s="235"/>
      <c r="G64" s="235"/>
      <c r="H64" s="235"/>
      <c r="I64" s="237"/>
      <c r="J64" s="237"/>
    </row>
    <row r="65" ht="15.75" customHeight="1">
      <c r="A65" s="235"/>
      <c r="B65" s="235"/>
      <c r="C65" s="236"/>
      <c r="D65" s="235"/>
      <c r="E65" s="235"/>
      <c r="F65" s="235"/>
      <c r="G65" s="235"/>
      <c r="H65" s="235"/>
      <c r="I65" s="237"/>
      <c r="J65" s="237"/>
    </row>
    <row r="66" ht="15.75" customHeight="1">
      <c r="A66" s="235"/>
      <c r="B66" s="235"/>
      <c r="C66" s="236"/>
      <c r="D66" s="235"/>
      <c r="E66" s="235"/>
      <c r="F66" s="235"/>
      <c r="G66" s="235"/>
      <c r="H66" s="235"/>
      <c r="I66" s="237"/>
      <c r="J66" s="237"/>
    </row>
    <row r="67" ht="15.75" customHeight="1">
      <c r="A67" s="235"/>
      <c r="B67" s="235"/>
      <c r="C67" s="236"/>
      <c r="D67" s="235"/>
      <c r="E67" s="235"/>
      <c r="F67" s="235"/>
      <c r="G67" s="235"/>
      <c r="H67" s="235"/>
      <c r="I67" s="237"/>
      <c r="J67" s="237"/>
    </row>
    <row r="68" ht="15.75" customHeight="1">
      <c r="A68" s="235"/>
      <c r="B68" s="235"/>
      <c r="C68" s="236"/>
      <c r="D68" s="235"/>
      <c r="E68" s="235"/>
      <c r="F68" s="235"/>
      <c r="G68" s="235"/>
      <c r="H68" s="235"/>
      <c r="I68" s="237"/>
      <c r="J68" s="237"/>
    </row>
    <row r="69" ht="15.75" customHeight="1">
      <c r="A69" s="235"/>
      <c r="B69" s="235"/>
      <c r="C69" s="236"/>
      <c r="D69" s="235"/>
      <c r="E69" s="235"/>
      <c r="F69" s="235"/>
      <c r="G69" s="235"/>
      <c r="H69" s="235"/>
      <c r="I69" s="237"/>
      <c r="J69" s="237"/>
    </row>
    <row r="70" ht="15.75" customHeight="1">
      <c r="A70" s="235"/>
      <c r="B70" s="235"/>
      <c r="C70" s="236"/>
      <c r="D70" s="235"/>
      <c r="E70" s="235"/>
      <c r="F70" s="235"/>
      <c r="G70" s="235"/>
      <c r="H70" s="235"/>
      <c r="I70" s="237"/>
      <c r="J70" s="237"/>
    </row>
    <row r="71" ht="15.75" customHeight="1">
      <c r="A71" s="235"/>
      <c r="B71" s="235"/>
      <c r="C71" s="236"/>
      <c r="D71" s="235"/>
      <c r="E71" s="235"/>
      <c r="F71" s="235"/>
      <c r="G71" s="235"/>
      <c r="H71" s="235"/>
      <c r="I71" s="237"/>
      <c r="J71" s="237"/>
    </row>
    <row r="72" ht="15.75" customHeight="1">
      <c r="A72" s="235"/>
      <c r="B72" s="235"/>
      <c r="C72" s="236"/>
      <c r="D72" s="235"/>
      <c r="E72" s="235"/>
      <c r="F72" s="235"/>
      <c r="G72" s="235"/>
      <c r="H72" s="235"/>
      <c r="I72" s="237"/>
      <c r="J72" s="237"/>
    </row>
    <row r="73" ht="15.75" customHeight="1">
      <c r="A73" s="235"/>
      <c r="B73" s="235"/>
      <c r="C73" s="236"/>
      <c r="D73" s="235"/>
      <c r="E73" s="235"/>
      <c r="F73" s="235"/>
      <c r="G73" s="235"/>
      <c r="H73" s="235"/>
      <c r="I73" s="237"/>
      <c r="J73" s="237"/>
    </row>
    <row r="74" ht="15.75" customHeight="1">
      <c r="A74" s="235"/>
      <c r="B74" s="235"/>
      <c r="C74" s="236"/>
      <c r="D74" s="235"/>
      <c r="E74" s="235"/>
      <c r="F74" s="235"/>
      <c r="G74" s="235"/>
      <c r="H74" s="235"/>
      <c r="I74" s="237"/>
      <c r="J74" s="237"/>
    </row>
    <row r="75" ht="15.75" customHeight="1">
      <c r="A75" s="235"/>
      <c r="B75" s="235"/>
      <c r="C75" s="236"/>
      <c r="D75" s="235"/>
      <c r="E75" s="235"/>
      <c r="F75" s="235"/>
      <c r="G75" s="235"/>
      <c r="H75" s="235"/>
      <c r="I75" s="237"/>
      <c r="J75" s="237"/>
    </row>
    <row r="76" ht="15.75" customHeight="1">
      <c r="A76" s="235"/>
      <c r="B76" s="235"/>
      <c r="C76" s="236"/>
      <c r="D76" s="235"/>
      <c r="E76" s="235"/>
      <c r="F76" s="235"/>
      <c r="G76" s="235"/>
      <c r="H76" s="235"/>
      <c r="I76" s="237"/>
      <c r="J76" s="237"/>
    </row>
    <row r="77" ht="15.75" customHeight="1">
      <c r="A77" s="235"/>
      <c r="B77" s="235"/>
      <c r="C77" s="236"/>
      <c r="D77" s="235"/>
      <c r="E77" s="235"/>
      <c r="F77" s="235"/>
      <c r="G77" s="235"/>
      <c r="H77" s="235"/>
      <c r="I77" s="237"/>
      <c r="J77" s="237"/>
    </row>
    <row r="78" ht="15.75" customHeight="1">
      <c r="A78" s="235"/>
      <c r="B78" s="235"/>
      <c r="C78" s="236"/>
      <c r="D78" s="235"/>
      <c r="E78" s="235"/>
      <c r="F78" s="235"/>
      <c r="G78" s="235"/>
      <c r="H78" s="235"/>
      <c r="I78" s="237"/>
      <c r="J78" s="237"/>
    </row>
    <row r="79" ht="15.75" customHeight="1">
      <c r="A79" s="235"/>
      <c r="B79" s="235"/>
      <c r="C79" s="236"/>
      <c r="D79" s="235"/>
      <c r="E79" s="235"/>
      <c r="F79" s="235"/>
      <c r="G79" s="235"/>
      <c r="H79" s="235"/>
      <c r="I79" s="237"/>
      <c r="J79" s="237"/>
    </row>
    <row r="80" ht="15.75" customHeight="1">
      <c r="A80" s="235"/>
      <c r="B80" s="235"/>
      <c r="C80" s="236"/>
      <c r="D80" s="235"/>
      <c r="E80" s="235"/>
      <c r="F80" s="235"/>
      <c r="G80" s="235"/>
      <c r="H80" s="235"/>
      <c r="I80" s="237"/>
      <c r="J80" s="237"/>
    </row>
    <row r="81" ht="15.75" customHeight="1">
      <c r="A81" s="235"/>
      <c r="B81" s="235"/>
      <c r="C81" s="236"/>
      <c r="D81" s="235"/>
      <c r="E81" s="235"/>
      <c r="F81" s="235"/>
      <c r="G81" s="235"/>
      <c r="H81" s="235"/>
      <c r="I81" s="237"/>
      <c r="J81" s="237"/>
    </row>
    <row r="82" ht="15.75" customHeight="1">
      <c r="A82" s="235"/>
      <c r="B82" s="235"/>
      <c r="C82" s="236"/>
      <c r="D82" s="235"/>
      <c r="E82" s="235"/>
      <c r="F82" s="235"/>
      <c r="G82" s="235"/>
      <c r="H82" s="235"/>
      <c r="I82" s="237"/>
      <c r="J82" s="237"/>
    </row>
    <row r="83" ht="15.75" customHeight="1">
      <c r="A83" s="235"/>
      <c r="B83" s="235"/>
      <c r="C83" s="236"/>
      <c r="D83" s="235"/>
      <c r="E83" s="235"/>
      <c r="F83" s="235"/>
      <c r="G83" s="235"/>
      <c r="H83" s="235"/>
      <c r="I83" s="237"/>
      <c r="J83" s="237"/>
    </row>
    <row r="84" ht="15.75" customHeight="1">
      <c r="A84" s="235"/>
      <c r="B84" s="235"/>
      <c r="C84" s="236"/>
      <c r="D84" s="235"/>
      <c r="E84" s="235"/>
      <c r="F84" s="235"/>
      <c r="G84" s="235"/>
      <c r="H84" s="235"/>
      <c r="I84" s="237"/>
      <c r="J84" s="237"/>
    </row>
    <row r="85" ht="15.75" customHeight="1">
      <c r="A85" s="235"/>
      <c r="B85" s="235"/>
      <c r="C85" s="236"/>
      <c r="D85" s="235"/>
      <c r="E85" s="235"/>
      <c r="F85" s="235"/>
      <c r="G85" s="235"/>
      <c r="H85" s="235"/>
      <c r="I85" s="237"/>
      <c r="J85" s="237"/>
    </row>
    <row r="86" ht="15.75" customHeight="1">
      <c r="A86" s="235"/>
      <c r="B86" s="235"/>
      <c r="C86" s="236"/>
      <c r="D86" s="235"/>
      <c r="E86" s="235"/>
      <c r="F86" s="235"/>
      <c r="G86" s="235"/>
      <c r="H86" s="235"/>
      <c r="I86" s="237"/>
      <c r="J86" s="237"/>
    </row>
    <row r="87" ht="15.75" customHeight="1">
      <c r="A87" s="235"/>
      <c r="B87" s="235"/>
      <c r="C87" s="236"/>
      <c r="D87" s="235"/>
      <c r="E87" s="235"/>
      <c r="F87" s="235"/>
      <c r="G87" s="235"/>
      <c r="H87" s="235"/>
      <c r="I87" s="237"/>
      <c r="J87" s="237"/>
    </row>
    <row r="88" ht="15.75" customHeight="1">
      <c r="A88" s="235"/>
      <c r="B88" s="235"/>
      <c r="C88" s="236"/>
      <c r="D88" s="235"/>
      <c r="E88" s="235"/>
      <c r="F88" s="235"/>
      <c r="G88" s="235"/>
      <c r="H88" s="235"/>
      <c r="I88" s="237"/>
      <c r="J88" s="237"/>
    </row>
    <row r="89" ht="15.75" customHeight="1">
      <c r="A89" s="235"/>
      <c r="B89" s="235"/>
      <c r="C89" s="236"/>
      <c r="D89" s="235"/>
      <c r="E89" s="235"/>
      <c r="F89" s="235"/>
      <c r="G89" s="235"/>
      <c r="H89" s="235"/>
      <c r="I89" s="237"/>
      <c r="J89" s="237"/>
    </row>
    <row r="90" ht="15.75" customHeight="1">
      <c r="A90" s="235"/>
      <c r="B90" s="235"/>
      <c r="C90" s="236"/>
      <c r="D90" s="235"/>
      <c r="E90" s="235"/>
      <c r="F90" s="235"/>
      <c r="G90" s="235"/>
      <c r="H90" s="235"/>
      <c r="I90" s="237"/>
      <c r="J90" s="237"/>
    </row>
    <row r="91" ht="15.75" customHeight="1">
      <c r="A91" s="235"/>
      <c r="B91" s="235"/>
      <c r="C91" s="236"/>
      <c r="D91" s="235"/>
      <c r="E91" s="235"/>
      <c r="F91" s="235"/>
      <c r="G91" s="235"/>
      <c r="H91" s="235"/>
      <c r="I91" s="237"/>
      <c r="J91" s="237"/>
    </row>
    <row r="92" ht="15.75" customHeight="1">
      <c r="A92" s="235"/>
      <c r="B92" s="235"/>
      <c r="C92" s="236"/>
      <c r="D92" s="235"/>
      <c r="E92" s="235"/>
      <c r="F92" s="235"/>
      <c r="G92" s="235"/>
      <c r="H92" s="235"/>
      <c r="I92" s="237"/>
      <c r="J92" s="237"/>
    </row>
    <row r="93" ht="15.75" customHeight="1">
      <c r="A93" s="235"/>
      <c r="B93" s="235"/>
      <c r="C93" s="236"/>
      <c r="D93" s="235"/>
      <c r="E93" s="235"/>
      <c r="F93" s="235"/>
      <c r="G93" s="235"/>
      <c r="H93" s="235"/>
      <c r="I93" s="237"/>
      <c r="J93" s="237"/>
    </row>
    <row r="94" ht="15.75" customHeight="1">
      <c r="A94" s="235"/>
      <c r="B94" s="235"/>
      <c r="C94" s="236"/>
      <c r="D94" s="235"/>
      <c r="E94" s="235"/>
      <c r="F94" s="235"/>
      <c r="G94" s="235"/>
      <c r="H94" s="235"/>
      <c r="I94" s="237"/>
      <c r="J94" s="237"/>
    </row>
    <row r="95" ht="15.75" customHeight="1">
      <c r="A95" s="235"/>
      <c r="B95" s="235"/>
      <c r="C95" s="236"/>
      <c r="D95" s="235"/>
      <c r="E95" s="235"/>
      <c r="F95" s="235"/>
      <c r="G95" s="235"/>
      <c r="H95" s="235"/>
      <c r="I95" s="237"/>
      <c r="J95" s="237"/>
    </row>
    <row r="96" ht="15.75" customHeight="1">
      <c r="A96" s="235"/>
      <c r="B96" s="235"/>
      <c r="C96" s="236"/>
      <c r="D96" s="235"/>
      <c r="E96" s="235"/>
      <c r="F96" s="235"/>
      <c r="G96" s="235"/>
      <c r="H96" s="235"/>
      <c r="I96" s="237"/>
      <c r="J96" s="237"/>
    </row>
    <row r="97" ht="15.75" customHeight="1">
      <c r="A97" s="235"/>
      <c r="B97" s="235"/>
      <c r="C97" s="236"/>
      <c r="D97" s="235"/>
      <c r="E97" s="235"/>
      <c r="F97" s="235"/>
      <c r="G97" s="235"/>
      <c r="H97" s="235"/>
      <c r="I97" s="237"/>
      <c r="J97" s="237"/>
    </row>
    <row r="98" ht="15.75" customHeight="1">
      <c r="A98" s="235"/>
      <c r="B98" s="235"/>
      <c r="C98" s="236"/>
      <c r="D98" s="235"/>
      <c r="E98" s="235"/>
      <c r="F98" s="235"/>
      <c r="G98" s="235"/>
      <c r="H98" s="235"/>
      <c r="I98" s="237"/>
      <c r="J98" s="237"/>
    </row>
    <row r="99" ht="15.75" customHeight="1">
      <c r="A99" s="235"/>
      <c r="B99" s="235"/>
      <c r="C99" s="236"/>
      <c r="D99" s="235"/>
      <c r="E99" s="235"/>
      <c r="F99" s="235"/>
      <c r="G99" s="235"/>
      <c r="H99" s="235"/>
      <c r="I99" s="237"/>
      <c r="J99" s="237"/>
    </row>
    <row r="100" ht="15.75" customHeight="1">
      <c r="A100" s="235"/>
      <c r="B100" s="235"/>
      <c r="C100" s="236"/>
      <c r="D100" s="235"/>
      <c r="E100" s="235"/>
      <c r="F100" s="235"/>
      <c r="G100" s="235"/>
      <c r="H100" s="235"/>
      <c r="I100" s="237"/>
      <c r="J100" s="237"/>
    </row>
    <row r="101" ht="15.75" customHeight="1">
      <c r="A101" s="235"/>
      <c r="B101" s="235"/>
      <c r="C101" s="236"/>
      <c r="D101" s="235"/>
      <c r="E101" s="235"/>
      <c r="F101" s="235"/>
      <c r="G101" s="235"/>
      <c r="H101" s="235"/>
      <c r="I101" s="237"/>
      <c r="J101" s="237"/>
    </row>
    <row r="102" ht="15.75" customHeight="1">
      <c r="A102" s="235"/>
      <c r="B102" s="235"/>
      <c r="C102" s="236"/>
      <c r="D102" s="235"/>
      <c r="E102" s="235"/>
      <c r="F102" s="235"/>
      <c r="G102" s="235"/>
      <c r="H102" s="235"/>
      <c r="I102" s="237"/>
      <c r="J102" s="237"/>
    </row>
    <row r="103" ht="15.75" customHeight="1">
      <c r="A103" s="235"/>
      <c r="B103" s="235"/>
      <c r="C103" s="236"/>
      <c r="D103" s="235"/>
      <c r="E103" s="235"/>
      <c r="F103" s="235"/>
      <c r="G103" s="235"/>
      <c r="H103" s="235"/>
      <c r="I103" s="237"/>
      <c r="J103" s="237"/>
    </row>
    <row r="104" ht="15.75" customHeight="1">
      <c r="A104" s="235"/>
      <c r="B104" s="235"/>
      <c r="C104" s="236"/>
      <c r="D104" s="235"/>
      <c r="E104" s="235"/>
      <c r="F104" s="235"/>
      <c r="G104" s="235"/>
      <c r="H104" s="235"/>
      <c r="I104" s="237"/>
      <c r="J104" s="237"/>
    </row>
    <row r="105" ht="15.75" customHeight="1">
      <c r="A105" s="235"/>
      <c r="B105" s="235"/>
      <c r="C105" s="236"/>
      <c r="D105" s="235"/>
      <c r="E105" s="235"/>
      <c r="F105" s="235"/>
      <c r="G105" s="235"/>
      <c r="H105" s="235"/>
      <c r="I105" s="237"/>
      <c r="J105" s="237"/>
    </row>
    <row r="106" ht="15.75" customHeight="1">
      <c r="A106" s="235"/>
      <c r="B106" s="235"/>
      <c r="C106" s="236"/>
      <c r="D106" s="235"/>
      <c r="E106" s="235"/>
      <c r="F106" s="235"/>
      <c r="G106" s="235"/>
      <c r="H106" s="235"/>
      <c r="I106" s="237"/>
      <c r="J106" s="237"/>
    </row>
    <row r="107" ht="15.75" customHeight="1">
      <c r="A107" s="235"/>
      <c r="B107" s="235"/>
      <c r="C107" s="236"/>
      <c r="D107" s="235"/>
      <c r="E107" s="235"/>
      <c r="F107" s="235"/>
      <c r="G107" s="235"/>
      <c r="H107" s="235"/>
      <c r="I107" s="237"/>
      <c r="J107" s="237"/>
    </row>
    <row r="108" ht="15.75" customHeight="1">
      <c r="A108" s="235"/>
      <c r="B108" s="235"/>
      <c r="C108" s="236"/>
      <c r="D108" s="235"/>
      <c r="E108" s="235"/>
      <c r="F108" s="235"/>
      <c r="G108" s="235"/>
      <c r="H108" s="235"/>
      <c r="I108" s="237"/>
      <c r="J108" s="237"/>
    </row>
    <row r="109" ht="15.75" customHeight="1">
      <c r="A109" s="235"/>
      <c r="B109" s="235"/>
      <c r="C109" s="236"/>
      <c r="D109" s="235"/>
      <c r="E109" s="235"/>
      <c r="F109" s="235"/>
      <c r="G109" s="235"/>
      <c r="H109" s="235"/>
      <c r="I109" s="237"/>
      <c r="J109" s="237"/>
    </row>
    <row r="110" ht="15.75" customHeight="1">
      <c r="A110" s="235"/>
      <c r="B110" s="235"/>
      <c r="C110" s="236"/>
      <c r="D110" s="235"/>
      <c r="E110" s="235"/>
      <c r="F110" s="235"/>
      <c r="G110" s="235"/>
      <c r="H110" s="235"/>
      <c r="I110" s="237"/>
      <c r="J110" s="237"/>
    </row>
    <row r="111" ht="15.75" customHeight="1">
      <c r="A111" s="235"/>
      <c r="B111" s="235"/>
      <c r="C111" s="236"/>
      <c r="D111" s="235"/>
      <c r="E111" s="235"/>
      <c r="F111" s="235"/>
      <c r="G111" s="235"/>
      <c r="H111" s="235"/>
      <c r="I111" s="237"/>
      <c r="J111" s="237"/>
    </row>
    <row r="112" ht="15.75" customHeight="1">
      <c r="A112" s="235"/>
      <c r="B112" s="235"/>
      <c r="C112" s="236"/>
      <c r="D112" s="235"/>
      <c r="E112" s="235"/>
      <c r="F112" s="235"/>
      <c r="G112" s="235"/>
      <c r="H112" s="235"/>
      <c r="I112" s="237"/>
      <c r="J112" s="237"/>
    </row>
    <row r="113" ht="15.75" customHeight="1">
      <c r="A113" s="235"/>
      <c r="B113" s="235"/>
      <c r="C113" s="236"/>
      <c r="D113" s="235"/>
      <c r="E113" s="235"/>
      <c r="F113" s="235"/>
      <c r="G113" s="235"/>
      <c r="H113" s="235"/>
      <c r="I113" s="237"/>
      <c r="J113" s="237"/>
    </row>
    <row r="114" ht="15.75" customHeight="1">
      <c r="A114" s="235"/>
      <c r="B114" s="235"/>
      <c r="C114" s="236"/>
      <c r="D114" s="235"/>
      <c r="E114" s="235"/>
      <c r="F114" s="235"/>
      <c r="G114" s="235"/>
      <c r="H114" s="235"/>
      <c r="I114" s="237"/>
      <c r="J114" s="237"/>
    </row>
    <row r="115" ht="15.75" customHeight="1">
      <c r="A115" s="235"/>
      <c r="B115" s="235"/>
      <c r="C115" s="236"/>
      <c r="D115" s="235"/>
      <c r="E115" s="235"/>
      <c r="F115" s="235"/>
      <c r="G115" s="235"/>
      <c r="H115" s="235"/>
      <c r="I115" s="237"/>
      <c r="J115" s="237"/>
    </row>
    <row r="116" ht="15.75" customHeight="1">
      <c r="A116" s="235"/>
      <c r="B116" s="235"/>
      <c r="C116" s="236"/>
      <c r="D116" s="235"/>
      <c r="E116" s="235"/>
      <c r="F116" s="235"/>
      <c r="G116" s="235"/>
      <c r="H116" s="235"/>
      <c r="I116" s="237"/>
      <c r="J116" s="237"/>
    </row>
    <row r="117" ht="15.75" customHeight="1">
      <c r="A117" s="235"/>
      <c r="B117" s="235"/>
      <c r="C117" s="236"/>
      <c r="D117" s="235"/>
      <c r="E117" s="235"/>
      <c r="F117" s="235"/>
      <c r="G117" s="235"/>
      <c r="H117" s="235"/>
      <c r="I117" s="237"/>
      <c r="J117" s="237"/>
    </row>
    <row r="118" ht="15.75" customHeight="1">
      <c r="A118" s="235"/>
      <c r="B118" s="235"/>
      <c r="C118" s="236"/>
      <c r="D118" s="235"/>
      <c r="E118" s="235"/>
      <c r="F118" s="235"/>
      <c r="G118" s="235"/>
      <c r="H118" s="235"/>
      <c r="I118" s="237"/>
      <c r="J118" s="237"/>
    </row>
    <row r="119" ht="15.75" customHeight="1">
      <c r="A119" s="235"/>
      <c r="B119" s="235"/>
      <c r="C119" s="236"/>
      <c r="D119" s="235"/>
      <c r="E119" s="235"/>
      <c r="F119" s="235"/>
      <c r="G119" s="235"/>
      <c r="H119" s="235"/>
      <c r="I119" s="237"/>
      <c r="J119" s="237"/>
    </row>
    <row r="120" ht="15.75" customHeight="1">
      <c r="A120" s="235"/>
      <c r="B120" s="235"/>
      <c r="C120" s="236"/>
      <c r="D120" s="235"/>
      <c r="E120" s="235"/>
      <c r="F120" s="235"/>
      <c r="G120" s="235"/>
      <c r="H120" s="235"/>
      <c r="I120" s="237"/>
      <c r="J120" s="237"/>
    </row>
    <row r="121" ht="15.75" customHeight="1">
      <c r="A121" s="235"/>
      <c r="B121" s="235"/>
      <c r="C121" s="236"/>
      <c r="D121" s="235"/>
      <c r="E121" s="235"/>
      <c r="F121" s="235"/>
      <c r="G121" s="235"/>
      <c r="H121" s="235"/>
      <c r="I121" s="237"/>
      <c r="J121" s="237"/>
    </row>
    <row r="122" ht="15.75" customHeight="1">
      <c r="A122" s="235"/>
      <c r="B122" s="235"/>
      <c r="C122" s="236"/>
      <c r="D122" s="235"/>
      <c r="E122" s="235"/>
      <c r="F122" s="235"/>
      <c r="G122" s="235"/>
      <c r="H122" s="235"/>
      <c r="I122" s="237"/>
      <c r="J122" s="237"/>
    </row>
    <row r="123" ht="15.75" customHeight="1">
      <c r="A123" s="235"/>
      <c r="B123" s="235"/>
      <c r="C123" s="236"/>
      <c r="D123" s="235"/>
      <c r="E123" s="235"/>
      <c r="F123" s="235"/>
      <c r="G123" s="235"/>
      <c r="H123" s="235"/>
      <c r="I123" s="237"/>
      <c r="J123" s="237"/>
    </row>
    <row r="124" ht="15.75" customHeight="1">
      <c r="A124" s="235"/>
      <c r="B124" s="235"/>
      <c r="C124" s="236"/>
      <c r="D124" s="235"/>
      <c r="E124" s="235"/>
      <c r="F124" s="235"/>
      <c r="G124" s="235"/>
      <c r="H124" s="235"/>
      <c r="I124" s="237"/>
      <c r="J124" s="237"/>
    </row>
    <row r="125" ht="15.75" customHeight="1">
      <c r="A125" s="235"/>
      <c r="B125" s="235"/>
      <c r="C125" s="236"/>
      <c r="D125" s="235"/>
      <c r="E125" s="235"/>
      <c r="F125" s="235"/>
      <c r="G125" s="235"/>
      <c r="H125" s="235"/>
      <c r="I125" s="237"/>
      <c r="J125" s="237"/>
    </row>
    <row r="126" ht="15.75" customHeight="1">
      <c r="A126" s="235"/>
      <c r="B126" s="235"/>
      <c r="C126" s="236"/>
      <c r="D126" s="235"/>
      <c r="E126" s="235"/>
      <c r="F126" s="235"/>
      <c r="G126" s="235"/>
      <c r="H126" s="235"/>
      <c r="I126" s="237"/>
      <c r="J126" s="237"/>
    </row>
    <row r="127" ht="15.75" customHeight="1">
      <c r="A127" s="235"/>
      <c r="B127" s="235"/>
      <c r="C127" s="236"/>
      <c r="D127" s="235"/>
      <c r="E127" s="235"/>
      <c r="F127" s="235"/>
      <c r="G127" s="235"/>
      <c r="H127" s="235"/>
      <c r="I127" s="237"/>
      <c r="J127" s="237"/>
    </row>
    <row r="128" ht="15.75" customHeight="1">
      <c r="A128" s="235"/>
      <c r="B128" s="235"/>
      <c r="C128" s="236"/>
      <c r="D128" s="235"/>
      <c r="E128" s="235"/>
      <c r="F128" s="235"/>
      <c r="G128" s="235"/>
      <c r="H128" s="235"/>
      <c r="I128" s="237"/>
      <c r="J128" s="237"/>
    </row>
    <row r="129" ht="15.75" customHeight="1">
      <c r="A129" s="235"/>
      <c r="B129" s="235"/>
      <c r="C129" s="236"/>
      <c r="D129" s="235"/>
      <c r="E129" s="235"/>
      <c r="F129" s="235"/>
      <c r="G129" s="235"/>
      <c r="H129" s="235"/>
      <c r="I129" s="237"/>
      <c r="J129" s="237"/>
    </row>
    <row r="130" ht="15.75" customHeight="1">
      <c r="A130" s="235"/>
      <c r="B130" s="235"/>
      <c r="C130" s="236"/>
      <c r="D130" s="235"/>
      <c r="E130" s="235"/>
      <c r="F130" s="235"/>
      <c r="G130" s="235"/>
      <c r="H130" s="235"/>
      <c r="I130" s="237"/>
      <c r="J130" s="237"/>
    </row>
    <row r="131" ht="15.75" customHeight="1">
      <c r="A131" s="235"/>
      <c r="B131" s="235"/>
      <c r="C131" s="236"/>
      <c r="D131" s="235"/>
      <c r="E131" s="235"/>
      <c r="F131" s="235"/>
      <c r="G131" s="235"/>
      <c r="H131" s="235"/>
      <c r="I131" s="237"/>
      <c r="J131" s="237"/>
    </row>
    <row r="132" ht="15.75" customHeight="1">
      <c r="A132" s="235"/>
      <c r="B132" s="235"/>
      <c r="C132" s="236"/>
      <c r="D132" s="235"/>
      <c r="E132" s="235"/>
      <c r="F132" s="235"/>
      <c r="G132" s="235"/>
      <c r="H132" s="235"/>
      <c r="I132" s="237"/>
      <c r="J132" s="237"/>
    </row>
    <row r="133" ht="15.75" customHeight="1">
      <c r="A133" s="235"/>
      <c r="B133" s="235"/>
      <c r="C133" s="236"/>
      <c r="D133" s="235"/>
      <c r="E133" s="235"/>
      <c r="F133" s="235"/>
      <c r="G133" s="235"/>
      <c r="H133" s="235"/>
      <c r="I133" s="237"/>
      <c r="J133" s="237"/>
    </row>
    <row r="134" ht="15.75" customHeight="1">
      <c r="A134" s="235"/>
      <c r="B134" s="235"/>
      <c r="C134" s="236"/>
      <c r="D134" s="235"/>
      <c r="E134" s="235"/>
      <c r="F134" s="235"/>
      <c r="G134" s="235"/>
      <c r="H134" s="235"/>
      <c r="I134" s="237"/>
      <c r="J134" s="237"/>
    </row>
    <row r="135" ht="15.75" customHeight="1">
      <c r="A135" s="235"/>
      <c r="B135" s="235"/>
      <c r="C135" s="236"/>
      <c r="D135" s="235"/>
      <c r="E135" s="235"/>
      <c r="F135" s="235"/>
      <c r="G135" s="235"/>
      <c r="H135" s="235"/>
      <c r="I135" s="237"/>
      <c r="J135" s="237"/>
    </row>
    <row r="136" ht="15.75" customHeight="1">
      <c r="A136" s="235"/>
      <c r="B136" s="235"/>
      <c r="C136" s="236"/>
      <c r="D136" s="235"/>
      <c r="E136" s="235"/>
      <c r="F136" s="235"/>
      <c r="G136" s="235"/>
      <c r="H136" s="235"/>
      <c r="I136" s="237"/>
      <c r="J136" s="237"/>
    </row>
    <row r="137" ht="15.75" customHeight="1">
      <c r="A137" s="235"/>
      <c r="B137" s="235"/>
      <c r="C137" s="236"/>
      <c r="D137" s="235"/>
      <c r="E137" s="235"/>
      <c r="F137" s="235"/>
      <c r="G137" s="235"/>
      <c r="H137" s="235"/>
      <c r="I137" s="237"/>
      <c r="J137" s="237"/>
    </row>
    <row r="138" ht="15.75" customHeight="1">
      <c r="A138" s="235"/>
      <c r="B138" s="235"/>
      <c r="C138" s="236"/>
      <c r="D138" s="235"/>
      <c r="E138" s="235"/>
      <c r="F138" s="235"/>
      <c r="G138" s="235"/>
      <c r="H138" s="235"/>
      <c r="I138" s="237"/>
      <c r="J138" s="237"/>
    </row>
    <row r="139" ht="15.75" customHeight="1">
      <c r="A139" s="235"/>
      <c r="B139" s="235"/>
      <c r="C139" s="236"/>
      <c r="D139" s="235"/>
      <c r="E139" s="235"/>
      <c r="F139" s="235"/>
      <c r="G139" s="235"/>
      <c r="H139" s="235"/>
      <c r="I139" s="237"/>
      <c r="J139" s="237"/>
    </row>
    <row r="140" ht="15.75" customHeight="1">
      <c r="A140" s="235"/>
      <c r="B140" s="235"/>
      <c r="C140" s="236"/>
      <c r="D140" s="235"/>
      <c r="E140" s="235"/>
      <c r="F140" s="235"/>
      <c r="G140" s="235"/>
      <c r="H140" s="235"/>
      <c r="I140" s="237"/>
      <c r="J140" s="237"/>
    </row>
    <row r="141" ht="15.75" customHeight="1">
      <c r="A141" s="235"/>
      <c r="B141" s="235"/>
      <c r="C141" s="236"/>
      <c r="D141" s="235"/>
      <c r="E141" s="235"/>
      <c r="F141" s="235"/>
      <c r="G141" s="235"/>
      <c r="H141" s="235"/>
      <c r="I141" s="237"/>
      <c r="J141" s="237"/>
    </row>
    <row r="142" ht="15.75" customHeight="1">
      <c r="A142" s="235"/>
      <c r="B142" s="235"/>
      <c r="C142" s="236"/>
      <c r="D142" s="235"/>
      <c r="E142" s="235"/>
      <c r="F142" s="235"/>
      <c r="G142" s="235"/>
      <c r="H142" s="235"/>
      <c r="I142" s="237"/>
      <c r="J142" s="237"/>
    </row>
    <row r="143" ht="15.75" customHeight="1">
      <c r="A143" s="235"/>
      <c r="B143" s="235"/>
      <c r="C143" s="236"/>
      <c r="D143" s="235"/>
      <c r="E143" s="235"/>
      <c r="F143" s="235"/>
      <c r="G143" s="235"/>
      <c r="H143" s="235"/>
      <c r="I143" s="237"/>
      <c r="J143" s="237"/>
    </row>
    <row r="144" ht="15.75" customHeight="1">
      <c r="A144" s="235"/>
      <c r="B144" s="235"/>
      <c r="C144" s="236"/>
      <c r="D144" s="235"/>
      <c r="E144" s="235"/>
      <c r="F144" s="235"/>
      <c r="G144" s="235"/>
      <c r="H144" s="235"/>
      <c r="I144" s="237"/>
      <c r="J144" s="237"/>
    </row>
    <row r="145" ht="15.75" customHeight="1">
      <c r="A145" s="235"/>
      <c r="B145" s="235"/>
      <c r="C145" s="236"/>
      <c r="D145" s="235"/>
      <c r="E145" s="235"/>
      <c r="F145" s="235"/>
      <c r="G145" s="235"/>
      <c r="H145" s="235"/>
      <c r="I145" s="237"/>
      <c r="J145" s="237"/>
    </row>
    <row r="146" ht="15.75" customHeight="1">
      <c r="A146" s="235"/>
      <c r="B146" s="235"/>
      <c r="C146" s="236"/>
      <c r="D146" s="235"/>
      <c r="E146" s="235"/>
      <c r="F146" s="235"/>
      <c r="G146" s="235"/>
      <c r="H146" s="235"/>
      <c r="I146" s="237"/>
      <c r="J146" s="237"/>
    </row>
    <row r="147" ht="15.75" customHeight="1">
      <c r="A147" s="235"/>
      <c r="B147" s="235"/>
      <c r="C147" s="236"/>
      <c r="D147" s="235"/>
      <c r="E147" s="235"/>
      <c r="F147" s="235"/>
      <c r="G147" s="235"/>
      <c r="H147" s="235"/>
      <c r="I147" s="237"/>
      <c r="J147" s="237"/>
    </row>
    <row r="148" ht="15.75" customHeight="1">
      <c r="A148" s="235"/>
      <c r="B148" s="235"/>
      <c r="C148" s="236"/>
      <c r="D148" s="235"/>
      <c r="E148" s="235"/>
      <c r="F148" s="235"/>
      <c r="G148" s="235"/>
      <c r="H148" s="235"/>
      <c r="I148" s="237"/>
      <c r="J148" s="237"/>
    </row>
    <row r="149" ht="15.75" customHeight="1">
      <c r="A149" s="235"/>
      <c r="B149" s="235"/>
      <c r="C149" s="236"/>
      <c r="D149" s="235"/>
      <c r="E149" s="235"/>
      <c r="F149" s="235"/>
      <c r="G149" s="235"/>
      <c r="H149" s="235"/>
      <c r="I149" s="237"/>
      <c r="J149" s="237"/>
    </row>
    <row r="150" ht="15.75" customHeight="1">
      <c r="A150" s="235"/>
      <c r="B150" s="235"/>
      <c r="C150" s="236"/>
      <c r="D150" s="235"/>
      <c r="E150" s="235"/>
      <c r="F150" s="235"/>
      <c r="G150" s="235"/>
      <c r="H150" s="235"/>
      <c r="I150" s="237"/>
      <c r="J150" s="237"/>
    </row>
    <row r="151" ht="15.75" customHeight="1">
      <c r="A151" s="235"/>
      <c r="B151" s="235"/>
      <c r="C151" s="236"/>
      <c r="D151" s="235"/>
      <c r="E151" s="235"/>
      <c r="F151" s="235"/>
      <c r="G151" s="235"/>
      <c r="H151" s="235"/>
      <c r="I151" s="237"/>
      <c r="J151" s="237"/>
    </row>
    <row r="152" ht="15.75" customHeight="1">
      <c r="A152" s="235"/>
      <c r="B152" s="235"/>
      <c r="C152" s="236"/>
      <c r="D152" s="235"/>
      <c r="E152" s="235"/>
      <c r="F152" s="235"/>
      <c r="G152" s="235"/>
      <c r="H152" s="235"/>
      <c r="I152" s="237"/>
      <c r="J152" s="237"/>
    </row>
    <row r="153" ht="15.75" customHeight="1">
      <c r="A153" s="235"/>
      <c r="B153" s="235"/>
      <c r="C153" s="236"/>
      <c r="D153" s="235"/>
      <c r="E153" s="235"/>
      <c r="F153" s="235"/>
      <c r="G153" s="235"/>
      <c r="H153" s="235"/>
      <c r="I153" s="237"/>
      <c r="J153" s="237"/>
    </row>
    <row r="154" ht="15.75" customHeight="1">
      <c r="A154" s="235"/>
      <c r="B154" s="235"/>
      <c r="C154" s="236"/>
      <c r="D154" s="235"/>
      <c r="E154" s="235"/>
      <c r="F154" s="235"/>
      <c r="G154" s="235"/>
      <c r="H154" s="235"/>
      <c r="I154" s="237"/>
      <c r="J154" s="237"/>
    </row>
    <row r="155" ht="15.75" customHeight="1">
      <c r="A155" s="235"/>
      <c r="B155" s="235"/>
      <c r="C155" s="236"/>
      <c r="D155" s="235"/>
      <c r="E155" s="235"/>
      <c r="F155" s="235"/>
      <c r="G155" s="235"/>
      <c r="H155" s="235"/>
      <c r="I155" s="237"/>
      <c r="J155" s="237"/>
    </row>
    <row r="156" ht="15.75" customHeight="1">
      <c r="A156" s="235"/>
      <c r="B156" s="235"/>
      <c r="C156" s="236"/>
      <c r="D156" s="235"/>
      <c r="E156" s="235"/>
      <c r="F156" s="235"/>
      <c r="G156" s="235"/>
      <c r="H156" s="235"/>
      <c r="I156" s="237"/>
      <c r="J156" s="237"/>
    </row>
    <row r="157" ht="15.75" customHeight="1">
      <c r="A157" s="235"/>
      <c r="B157" s="235"/>
      <c r="C157" s="236"/>
      <c r="D157" s="235"/>
      <c r="E157" s="235"/>
      <c r="F157" s="235"/>
      <c r="G157" s="235"/>
      <c r="H157" s="235"/>
      <c r="I157" s="237"/>
      <c r="J157" s="237"/>
    </row>
    <row r="158" ht="15.75" customHeight="1">
      <c r="A158" s="235"/>
      <c r="B158" s="235"/>
      <c r="C158" s="236"/>
      <c r="D158" s="235"/>
      <c r="E158" s="235"/>
      <c r="F158" s="235"/>
      <c r="G158" s="235"/>
      <c r="H158" s="235"/>
      <c r="I158" s="237"/>
      <c r="J158" s="237"/>
    </row>
    <row r="159" ht="15.75" customHeight="1">
      <c r="A159" s="235"/>
      <c r="B159" s="235"/>
      <c r="C159" s="236"/>
      <c r="D159" s="235"/>
      <c r="E159" s="235"/>
      <c r="F159" s="235"/>
      <c r="G159" s="235"/>
      <c r="H159" s="235"/>
      <c r="I159" s="237"/>
      <c r="J159" s="237"/>
    </row>
    <row r="160" ht="15.75" customHeight="1">
      <c r="A160" s="235"/>
      <c r="B160" s="235"/>
      <c r="C160" s="236"/>
      <c r="D160" s="235"/>
      <c r="E160" s="235"/>
      <c r="F160" s="235"/>
      <c r="G160" s="235"/>
      <c r="H160" s="235"/>
      <c r="I160" s="237"/>
      <c r="J160" s="237"/>
    </row>
    <row r="161" ht="15.75" customHeight="1">
      <c r="A161" s="235"/>
      <c r="B161" s="235"/>
      <c r="C161" s="236"/>
      <c r="D161" s="235"/>
      <c r="E161" s="235"/>
      <c r="F161" s="235"/>
      <c r="G161" s="235"/>
      <c r="H161" s="235"/>
      <c r="I161" s="237"/>
      <c r="J161" s="237"/>
    </row>
    <row r="162" ht="15.75" customHeight="1">
      <c r="A162" s="235"/>
      <c r="B162" s="235"/>
      <c r="C162" s="236"/>
      <c r="D162" s="235"/>
      <c r="E162" s="235"/>
      <c r="F162" s="235"/>
      <c r="G162" s="235"/>
      <c r="H162" s="235"/>
      <c r="I162" s="237"/>
      <c r="J162" s="237"/>
    </row>
    <row r="163" ht="15.75" customHeight="1">
      <c r="A163" s="235"/>
      <c r="B163" s="235"/>
      <c r="C163" s="236"/>
      <c r="D163" s="235"/>
      <c r="E163" s="235"/>
      <c r="F163" s="235"/>
      <c r="G163" s="235"/>
      <c r="H163" s="235"/>
      <c r="I163" s="237"/>
      <c r="J163" s="237"/>
    </row>
    <row r="164" ht="15.75" customHeight="1">
      <c r="A164" s="235"/>
      <c r="B164" s="235"/>
      <c r="C164" s="236"/>
      <c r="D164" s="235"/>
      <c r="E164" s="235"/>
      <c r="F164" s="235"/>
      <c r="G164" s="235"/>
      <c r="H164" s="235"/>
      <c r="I164" s="237"/>
      <c r="J164" s="237"/>
    </row>
    <row r="165" ht="15.75" customHeight="1">
      <c r="A165" s="235"/>
      <c r="B165" s="235"/>
      <c r="C165" s="236"/>
      <c r="D165" s="235"/>
      <c r="E165" s="235"/>
      <c r="F165" s="235"/>
      <c r="G165" s="235"/>
      <c r="H165" s="235"/>
      <c r="I165" s="237"/>
      <c r="J165" s="237"/>
    </row>
    <row r="166" ht="15.75" customHeight="1">
      <c r="A166" s="235"/>
      <c r="B166" s="235"/>
      <c r="C166" s="236"/>
      <c r="D166" s="235"/>
      <c r="E166" s="235"/>
      <c r="F166" s="235"/>
      <c r="G166" s="235"/>
      <c r="H166" s="235"/>
      <c r="I166" s="237"/>
      <c r="J166" s="237"/>
    </row>
    <row r="167" ht="15.75" customHeight="1">
      <c r="A167" s="235"/>
      <c r="B167" s="235"/>
      <c r="C167" s="236"/>
      <c r="D167" s="235"/>
      <c r="E167" s="235"/>
      <c r="F167" s="235"/>
      <c r="G167" s="235"/>
      <c r="H167" s="235"/>
      <c r="I167" s="237"/>
      <c r="J167" s="237"/>
    </row>
    <row r="168" ht="15.75" customHeight="1">
      <c r="A168" s="235"/>
      <c r="B168" s="235"/>
      <c r="C168" s="236"/>
      <c r="D168" s="235"/>
      <c r="E168" s="235"/>
      <c r="F168" s="235"/>
      <c r="G168" s="235"/>
      <c r="H168" s="235"/>
      <c r="I168" s="237"/>
      <c r="J168" s="237"/>
    </row>
    <row r="169" ht="15.75" customHeight="1">
      <c r="A169" s="235"/>
      <c r="B169" s="235"/>
      <c r="C169" s="236"/>
      <c r="D169" s="235"/>
      <c r="E169" s="235"/>
      <c r="F169" s="235"/>
      <c r="G169" s="235"/>
      <c r="H169" s="235"/>
      <c r="I169" s="237"/>
      <c r="J169" s="237"/>
    </row>
    <row r="170" ht="15.75" customHeight="1">
      <c r="A170" s="235"/>
      <c r="B170" s="235"/>
      <c r="C170" s="236"/>
      <c r="D170" s="235"/>
      <c r="E170" s="235"/>
      <c r="F170" s="235"/>
      <c r="G170" s="235"/>
      <c r="H170" s="235"/>
      <c r="I170" s="237"/>
      <c r="J170" s="237"/>
    </row>
    <row r="171" ht="15.75" customHeight="1">
      <c r="A171" s="235"/>
      <c r="B171" s="235"/>
      <c r="C171" s="236"/>
      <c r="D171" s="235"/>
      <c r="E171" s="235"/>
      <c r="F171" s="235"/>
      <c r="G171" s="235"/>
      <c r="H171" s="235"/>
      <c r="I171" s="237"/>
      <c r="J171" s="237"/>
    </row>
    <row r="172" ht="15.75" customHeight="1">
      <c r="A172" s="235"/>
      <c r="B172" s="235"/>
      <c r="C172" s="236"/>
      <c r="D172" s="235"/>
      <c r="E172" s="235"/>
      <c r="F172" s="235"/>
      <c r="G172" s="235"/>
      <c r="H172" s="235"/>
      <c r="I172" s="237"/>
      <c r="J172" s="237"/>
    </row>
    <row r="173" ht="15.75" customHeight="1">
      <c r="A173" s="235"/>
      <c r="B173" s="235"/>
      <c r="C173" s="236"/>
      <c r="D173" s="235"/>
      <c r="E173" s="235"/>
      <c r="F173" s="235"/>
      <c r="G173" s="235"/>
      <c r="H173" s="235"/>
      <c r="I173" s="237"/>
      <c r="J173" s="237"/>
    </row>
    <row r="174" ht="15.75" customHeight="1">
      <c r="A174" s="235"/>
      <c r="B174" s="235"/>
      <c r="C174" s="236"/>
      <c r="D174" s="235"/>
      <c r="E174" s="235"/>
      <c r="F174" s="235"/>
      <c r="G174" s="235"/>
      <c r="H174" s="235"/>
      <c r="I174" s="237"/>
      <c r="J174" s="237"/>
    </row>
    <row r="175" ht="15.75" customHeight="1">
      <c r="A175" s="235"/>
      <c r="B175" s="235"/>
      <c r="C175" s="236"/>
      <c r="D175" s="235"/>
      <c r="E175" s="235"/>
      <c r="F175" s="235"/>
      <c r="G175" s="235"/>
      <c r="H175" s="235"/>
      <c r="I175" s="237"/>
      <c r="J175" s="237"/>
    </row>
    <row r="176" ht="15.75" customHeight="1">
      <c r="A176" s="235"/>
      <c r="B176" s="235"/>
      <c r="C176" s="236"/>
      <c r="D176" s="235"/>
      <c r="E176" s="235"/>
      <c r="F176" s="235"/>
      <c r="G176" s="235"/>
      <c r="H176" s="235"/>
      <c r="I176" s="237"/>
      <c r="J176" s="237"/>
    </row>
    <row r="177" ht="15.75" customHeight="1">
      <c r="A177" s="235"/>
      <c r="B177" s="235"/>
      <c r="C177" s="236"/>
      <c r="D177" s="235"/>
      <c r="E177" s="235"/>
      <c r="F177" s="235"/>
      <c r="G177" s="235"/>
      <c r="H177" s="235"/>
      <c r="I177" s="237"/>
      <c r="J177" s="237"/>
    </row>
    <row r="178" ht="15.75" customHeight="1">
      <c r="A178" s="235"/>
      <c r="B178" s="235"/>
      <c r="C178" s="236"/>
      <c r="D178" s="235"/>
      <c r="E178" s="235"/>
      <c r="F178" s="235"/>
      <c r="G178" s="235"/>
      <c r="H178" s="235"/>
      <c r="I178" s="237"/>
      <c r="J178" s="237"/>
    </row>
    <row r="179" ht="15.75" customHeight="1">
      <c r="A179" s="235"/>
      <c r="B179" s="235"/>
      <c r="C179" s="236"/>
      <c r="D179" s="235"/>
      <c r="E179" s="235"/>
      <c r="F179" s="235"/>
      <c r="G179" s="235"/>
      <c r="H179" s="235"/>
      <c r="I179" s="237"/>
      <c r="J179" s="237"/>
    </row>
    <row r="180" ht="15.75" customHeight="1">
      <c r="A180" s="235"/>
      <c r="B180" s="235"/>
      <c r="C180" s="236"/>
      <c r="D180" s="235"/>
      <c r="E180" s="235"/>
      <c r="F180" s="235"/>
      <c r="G180" s="235"/>
      <c r="H180" s="235"/>
      <c r="I180" s="237"/>
      <c r="J180" s="237"/>
    </row>
    <row r="181" ht="15.75" customHeight="1">
      <c r="A181" s="235"/>
      <c r="B181" s="235"/>
      <c r="C181" s="236"/>
      <c r="D181" s="235"/>
      <c r="E181" s="235"/>
      <c r="F181" s="235"/>
      <c r="G181" s="235"/>
      <c r="H181" s="235"/>
      <c r="I181" s="237"/>
      <c r="J181" s="237"/>
    </row>
    <row r="182" ht="15.75" customHeight="1">
      <c r="A182" s="235"/>
      <c r="B182" s="235"/>
      <c r="C182" s="236"/>
      <c r="D182" s="235"/>
      <c r="E182" s="235"/>
      <c r="F182" s="235"/>
      <c r="G182" s="235"/>
      <c r="H182" s="235"/>
      <c r="I182" s="237"/>
      <c r="J182" s="237"/>
    </row>
    <row r="183" ht="15.75" customHeight="1">
      <c r="A183" s="235"/>
      <c r="B183" s="235"/>
      <c r="C183" s="236"/>
      <c r="D183" s="235"/>
      <c r="E183" s="235"/>
      <c r="F183" s="235"/>
      <c r="G183" s="235"/>
      <c r="H183" s="235"/>
      <c r="I183" s="237"/>
      <c r="J183" s="237"/>
    </row>
    <row r="184" ht="15.75" customHeight="1">
      <c r="A184" s="235"/>
      <c r="B184" s="235"/>
      <c r="C184" s="236"/>
      <c r="D184" s="235"/>
      <c r="E184" s="235"/>
      <c r="F184" s="235"/>
      <c r="G184" s="235"/>
      <c r="H184" s="235"/>
      <c r="I184" s="237"/>
      <c r="J184" s="237"/>
    </row>
    <row r="185" ht="15.75" customHeight="1">
      <c r="A185" s="235"/>
      <c r="B185" s="235"/>
      <c r="C185" s="236"/>
      <c r="D185" s="235"/>
      <c r="E185" s="235"/>
      <c r="F185" s="235"/>
      <c r="G185" s="235"/>
      <c r="H185" s="235"/>
      <c r="I185" s="237"/>
      <c r="J185" s="237"/>
    </row>
    <row r="186" ht="15.75" customHeight="1">
      <c r="A186" s="235"/>
      <c r="B186" s="235"/>
      <c r="C186" s="236"/>
      <c r="D186" s="235"/>
      <c r="E186" s="235"/>
      <c r="F186" s="235"/>
      <c r="G186" s="235"/>
      <c r="H186" s="235"/>
      <c r="I186" s="237"/>
      <c r="J186" s="237"/>
    </row>
    <row r="187" ht="15.75" customHeight="1">
      <c r="A187" s="235"/>
      <c r="B187" s="235"/>
      <c r="C187" s="236"/>
      <c r="D187" s="235"/>
      <c r="E187" s="235"/>
      <c r="F187" s="235"/>
      <c r="G187" s="235"/>
      <c r="H187" s="235"/>
      <c r="I187" s="237"/>
      <c r="J187" s="237"/>
    </row>
    <row r="188" ht="15.75" customHeight="1">
      <c r="A188" s="235"/>
      <c r="B188" s="235"/>
      <c r="C188" s="236"/>
      <c r="D188" s="235"/>
      <c r="E188" s="235"/>
      <c r="F188" s="235"/>
      <c r="G188" s="235"/>
      <c r="H188" s="235"/>
      <c r="I188" s="237"/>
      <c r="J188" s="237"/>
    </row>
    <row r="189" ht="15.75" customHeight="1">
      <c r="A189" s="235"/>
      <c r="B189" s="235"/>
      <c r="C189" s="236"/>
      <c r="D189" s="235"/>
      <c r="E189" s="235"/>
      <c r="F189" s="235"/>
      <c r="G189" s="235"/>
      <c r="H189" s="235"/>
      <c r="I189" s="237"/>
      <c r="J189" s="237"/>
    </row>
    <row r="190" ht="15.75" customHeight="1">
      <c r="A190" s="235"/>
      <c r="B190" s="235"/>
      <c r="C190" s="236"/>
      <c r="D190" s="235"/>
      <c r="E190" s="235"/>
      <c r="F190" s="235"/>
      <c r="G190" s="235"/>
      <c r="H190" s="235"/>
      <c r="I190" s="237"/>
      <c r="J190" s="237"/>
    </row>
    <row r="191" ht="15.75" customHeight="1">
      <c r="A191" s="235"/>
      <c r="B191" s="235"/>
      <c r="C191" s="236"/>
      <c r="D191" s="235"/>
      <c r="E191" s="235"/>
      <c r="F191" s="235"/>
      <c r="G191" s="235"/>
      <c r="H191" s="235"/>
      <c r="I191" s="237"/>
      <c r="J191" s="237"/>
    </row>
    <row r="192" ht="15.75" customHeight="1">
      <c r="A192" s="235"/>
      <c r="B192" s="235"/>
      <c r="C192" s="236"/>
      <c r="D192" s="235"/>
      <c r="E192" s="235"/>
      <c r="F192" s="235"/>
      <c r="G192" s="235"/>
      <c r="H192" s="235"/>
      <c r="I192" s="237"/>
      <c r="J192" s="237"/>
    </row>
    <row r="193" ht="15.75" customHeight="1">
      <c r="A193" s="235"/>
      <c r="B193" s="235"/>
      <c r="C193" s="236"/>
      <c r="D193" s="235"/>
      <c r="E193" s="235"/>
      <c r="F193" s="235"/>
      <c r="G193" s="235"/>
      <c r="H193" s="235"/>
      <c r="I193" s="237"/>
      <c r="J193" s="237"/>
    </row>
    <row r="194" ht="15.75" customHeight="1">
      <c r="A194" s="235"/>
      <c r="B194" s="235"/>
      <c r="C194" s="236"/>
      <c r="D194" s="235"/>
      <c r="E194" s="235"/>
      <c r="F194" s="235"/>
      <c r="G194" s="235"/>
      <c r="H194" s="235"/>
      <c r="I194" s="237"/>
      <c r="J194" s="237"/>
    </row>
    <row r="195" ht="15.75" customHeight="1">
      <c r="A195" s="235"/>
      <c r="B195" s="235"/>
      <c r="C195" s="236"/>
      <c r="D195" s="235"/>
      <c r="E195" s="235"/>
      <c r="F195" s="235"/>
      <c r="G195" s="235"/>
      <c r="H195" s="235"/>
      <c r="I195" s="237"/>
      <c r="J195" s="237"/>
    </row>
    <row r="196" ht="15.75" customHeight="1">
      <c r="A196" s="235"/>
      <c r="B196" s="235"/>
      <c r="C196" s="236"/>
      <c r="D196" s="235"/>
      <c r="E196" s="235"/>
      <c r="F196" s="235"/>
      <c r="G196" s="235"/>
      <c r="H196" s="235"/>
      <c r="I196" s="237"/>
      <c r="J196" s="237"/>
    </row>
    <row r="197" ht="15.75" customHeight="1">
      <c r="A197" s="235"/>
      <c r="B197" s="235"/>
      <c r="C197" s="236"/>
      <c r="D197" s="235"/>
      <c r="E197" s="235"/>
      <c r="F197" s="235"/>
      <c r="G197" s="235"/>
      <c r="H197" s="235"/>
      <c r="I197" s="237"/>
      <c r="J197" s="237"/>
    </row>
    <row r="198" ht="15.75" customHeight="1">
      <c r="A198" s="235"/>
      <c r="B198" s="235"/>
      <c r="C198" s="236"/>
      <c r="D198" s="235"/>
      <c r="E198" s="235"/>
      <c r="F198" s="235"/>
      <c r="G198" s="235"/>
      <c r="H198" s="235"/>
      <c r="I198" s="237"/>
      <c r="J198" s="237"/>
    </row>
    <row r="199" ht="15.75" customHeight="1">
      <c r="A199" s="235"/>
      <c r="B199" s="235"/>
      <c r="C199" s="236"/>
      <c r="D199" s="235"/>
      <c r="E199" s="235"/>
      <c r="F199" s="235"/>
      <c r="G199" s="235"/>
      <c r="H199" s="235"/>
      <c r="I199" s="237"/>
      <c r="J199" s="237"/>
    </row>
    <row r="200" ht="15.75" customHeight="1">
      <c r="A200" s="235"/>
      <c r="B200" s="235"/>
      <c r="C200" s="236"/>
      <c r="D200" s="235"/>
      <c r="E200" s="235"/>
      <c r="F200" s="235"/>
      <c r="G200" s="235"/>
      <c r="H200" s="235"/>
      <c r="I200" s="237"/>
      <c r="J200" s="237"/>
    </row>
    <row r="201" ht="15.75" customHeight="1">
      <c r="A201" s="235"/>
      <c r="B201" s="235"/>
      <c r="C201" s="236"/>
      <c r="D201" s="235"/>
      <c r="E201" s="235"/>
      <c r="F201" s="235"/>
      <c r="G201" s="235"/>
      <c r="H201" s="235"/>
      <c r="I201" s="237"/>
      <c r="J201" s="237"/>
    </row>
    <row r="202" ht="15.75" customHeight="1">
      <c r="A202" s="235"/>
      <c r="B202" s="235"/>
      <c r="C202" s="236"/>
      <c r="D202" s="235"/>
      <c r="E202" s="235"/>
      <c r="F202" s="235"/>
      <c r="G202" s="235"/>
      <c r="H202" s="235"/>
      <c r="I202" s="237"/>
      <c r="J202" s="237"/>
    </row>
    <row r="203" ht="15.75" customHeight="1">
      <c r="A203" s="235"/>
      <c r="B203" s="235"/>
      <c r="C203" s="236"/>
      <c r="D203" s="235"/>
      <c r="E203" s="235"/>
      <c r="F203" s="235"/>
      <c r="G203" s="235"/>
      <c r="H203" s="235"/>
      <c r="I203" s="237"/>
      <c r="J203" s="237"/>
    </row>
    <row r="204" ht="15.75" customHeight="1">
      <c r="A204" s="235"/>
      <c r="B204" s="235"/>
      <c r="C204" s="236"/>
      <c r="D204" s="235"/>
      <c r="E204" s="235"/>
      <c r="F204" s="235"/>
      <c r="G204" s="235"/>
      <c r="H204" s="235"/>
      <c r="I204" s="237"/>
      <c r="J204" s="237"/>
    </row>
    <row r="205" ht="15.75" customHeight="1">
      <c r="A205" s="235"/>
      <c r="B205" s="235"/>
      <c r="C205" s="236"/>
      <c r="D205" s="235"/>
      <c r="E205" s="235"/>
      <c r="F205" s="235"/>
      <c r="G205" s="235"/>
      <c r="H205" s="235"/>
      <c r="I205" s="237"/>
      <c r="J205" s="237"/>
    </row>
    <row r="206" ht="15.75" customHeight="1">
      <c r="A206" s="235"/>
      <c r="B206" s="235"/>
      <c r="C206" s="236"/>
      <c r="D206" s="235"/>
      <c r="E206" s="235"/>
      <c r="F206" s="235"/>
      <c r="G206" s="235"/>
      <c r="H206" s="235"/>
      <c r="I206" s="237"/>
      <c r="J206" s="237"/>
    </row>
    <row r="207" ht="15.75" customHeight="1">
      <c r="A207" s="235"/>
      <c r="B207" s="235"/>
      <c r="C207" s="236"/>
      <c r="D207" s="235"/>
      <c r="E207" s="235"/>
      <c r="F207" s="235"/>
      <c r="G207" s="235"/>
      <c r="H207" s="235"/>
      <c r="I207" s="237"/>
      <c r="J207" s="237"/>
    </row>
    <row r="208" ht="15.75" customHeight="1">
      <c r="A208" s="235"/>
      <c r="B208" s="235"/>
      <c r="C208" s="236"/>
      <c r="D208" s="235"/>
      <c r="E208" s="235"/>
      <c r="F208" s="235"/>
      <c r="G208" s="235"/>
      <c r="H208" s="235"/>
      <c r="I208" s="237"/>
      <c r="J208" s="237"/>
    </row>
    <row r="209" ht="15.75" customHeight="1">
      <c r="A209" s="235"/>
      <c r="B209" s="235"/>
      <c r="C209" s="236"/>
      <c r="D209" s="235"/>
      <c r="E209" s="235"/>
      <c r="F209" s="235"/>
      <c r="G209" s="235"/>
      <c r="H209" s="235"/>
      <c r="I209" s="237"/>
      <c r="J209" s="237"/>
    </row>
    <row r="210" ht="15.75" customHeight="1">
      <c r="A210" s="235"/>
      <c r="B210" s="235"/>
      <c r="C210" s="236"/>
      <c r="D210" s="235"/>
      <c r="E210" s="235"/>
      <c r="F210" s="235"/>
      <c r="G210" s="235"/>
      <c r="H210" s="235"/>
      <c r="I210" s="237"/>
      <c r="J210" s="237"/>
    </row>
    <row r="211" ht="15.75" customHeight="1">
      <c r="A211" s="235"/>
      <c r="B211" s="235"/>
      <c r="C211" s="236"/>
      <c r="D211" s="235"/>
      <c r="E211" s="235"/>
      <c r="F211" s="235"/>
      <c r="G211" s="235"/>
      <c r="H211" s="235"/>
      <c r="I211" s="237"/>
      <c r="J211" s="237"/>
    </row>
    <row r="212" ht="15.75" customHeight="1">
      <c r="A212" s="235"/>
      <c r="B212" s="235"/>
      <c r="C212" s="236"/>
      <c r="D212" s="235"/>
      <c r="E212" s="235"/>
      <c r="F212" s="235"/>
      <c r="G212" s="235"/>
      <c r="H212" s="235"/>
      <c r="I212" s="237"/>
      <c r="J212" s="237"/>
    </row>
    <row r="213" ht="15.75" customHeight="1">
      <c r="A213" s="235"/>
      <c r="B213" s="235"/>
      <c r="C213" s="236"/>
      <c r="D213" s="235"/>
      <c r="E213" s="235"/>
      <c r="F213" s="235"/>
      <c r="G213" s="235"/>
      <c r="H213" s="235"/>
      <c r="I213" s="237"/>
      <c r="J213" s="237"/>
    </row>
    <row r="214" ht="15.75" customHeight="1">
      <c r="A214" s="235"/>
      <c r="B214" s="235"/>
      <c r="C214" s="236"/>
      <c r="D214" s="235"/>
      <c r="E214" s="235"/>
      <c r="F214" s="235"/>
      <c r="G214" s="235"/>
      <c r="H214" s="235"/>
      <c r="I214" s="237"/>
      <c r="J214" s="237"/>
    </row>
    <row r="215" ht="15.75" customHeight="1">
      <c r="A215" s="235"/>
      <c r="B215" s="235"/>
      <c r="C215" s="236"/>
      <c r="D215" s="235"/>
      <c r="E215" s="235"/>
      <c r="F215" s="235"/>
      <c r="G215" s="235"/>
      <c r="H215" s="235"/>
      <c r="I215" s="237"/>
      <c r="J215" s="237"/>
    </row>
    <row r="216" ht="15.75" customHeight="1">
      <c r="A216" s="235"/>
      <c r="B216" s="235"/>
      <c r="C216" s="236"/>
      <c r="D216" s="235"/>
      <c r="E216" s="235"/>
      <c r="F216" s="235"/>
      <c r="G216" s="235"/>
      <c r="H216" s="235"/>
      <c r="I216" s="237"/>
      <c r="J216" s="237"/>
    </row>
    <row r="217" ht="15.75" customHeight="1">
      <c r="A217" s="235"/>
      <c r="B217" s="235"/>
      <c r="C217" s="236"/>
      <c r="D217" s="235"/>
      <c r="E217" s="235"/>
      <c r="F217" s="235"/>
      <c r="G217" s="235"/>
      <c r="H217" s="235"/>
      <c r="I217" s="237"/>
      <c r="J217" s="237"/>
    </row>
    <row r="218" ht="15.75" customHeight="1">
      <c r="A218" s="235"/>
      <c r="B218" s="235"/>
      <c r="C218" s="236"/>
      <c r="D218" s="235"/>
      <c r="E218" s="235"/>
      <c r="F218" s="235"/>
      <c r="G218" s="235"/>
      <c r="H218" s="235"/>
      <c r="I218" s="237"/>
      <c r="J218" s="237"/>
    </row>
    <row r="219" ht="15.75" customHeight="1">
      <c r="A219" s="235"/>
      <c r="B219" s="235"/>
      <c r="C219" s="236"/>
      <c r="D219" s="235"/>
      <c r="E219" s="235"/>
      <c r="F219" s="235"/>
      <c r="G219" s="235"/>
      <c r="H219" s="235"/>
      <c r="I219" s="237"/>
      <c r="J219" s="237"/>
    </row>
    <row r="220" ht="15.75" customHeight="1">
      <c r="A220" s="235"/>
      <c r="B220" s="235"/>
      <c r="C220" s="236"/>
      <c r="D220" s="235"/>
      <c r="E220" s="235"/>
      <c r="F220" s="235"/>
      <c r="G220" s="235"/>
      <c r="H220" s="235"/>
      <c r="I220" s="237"/>
      <c r="J220" s="237"/>
    </row>
    <row r="221" ht="15.75" customHeight="1">
      <c r="A221" s="235"/>
      <c r="B221" s="235"/>
      <c r="C221" s="236"/>
      <c r="D221" s="235"/>
      <c r="E221" s="235"/>
      <c r="F221" s="235"/>
      <c r="G221" s="235"/>
      <c r="H221" s="235"/>
      <c r="I221" s="237"/>
      <c r="J221" s="237"/>
    </row>
    <row r="222" ht="15.75" customHeight="1">
      <c r="A222" s="235"/>
      <c r="B222" s="235"/>
      <c r="C222" s="236"/>
      <c r="D222" s="235"/>
      <c r="E222" s="235"/>
      <c r="F222" s="235"/>
      <c r="G222" s="235"/>
      <c r="H222" s="235"/>
      <c r="I222" s="237"/>
      <c r="J222" s="237"/>
    </row>
    <row r="223" ht="15.75" customHeight="1">
      <c r="A223" s="235"/>
      <c r="B223" s="235"/>
      <c r="C223" s="236"/>
      <c r="D223" s="235"/>
      <c r="E223" s="235"/>
      <c r="F223" s="235"/>
      <c r="G223" s="235"/>
      <c r="H223" s="235"/>
      <c r="I223" s="237"/>
      <c r="J223" s="237"/>
    </row>
    <row r="224" ht="15.75" customHeight="1">
      <c r="A224" s="235"/>
      <c r="B224" s="235"/>
      <c r="C224" s="236"/>
      <c r="D224" s="235"/>
      <c r="E224" s="235"/>
      <c r="F224" s="235"/>
      <c r="G224" s="235"/>
      <c r="H224" s="235"/>
      <c r="I224" s="237"/>
      <c r="J224" s="237"/>
    </row>
    <row r="225" ht="15.75" customHeight="1">
      <c r="A225" s="235"/>
      <c r="B225" s="235"/>
      <c r="C225" s="236"/>
      <c r="D225" s="235"/>
      <c r="E225" s="235"/>
      <c r="F225" s="235"/>
      <c r="G225" s="235"/>
      <c r="H225" s="235"/>
      <c r="I225" s="237"/>
      <c r="J225" s="237"/>
    </row>
    <row r="226" ht="15.75" customHeight="1">
      <c r="A226" s="235"/>
      <c r="B226" s="235"/>
      <c r="C226" s="236"/>
      <c r="D226" s="235"/>
      <c r="E226" s="235"/>
      <c r="F226" s="235"/>
      <c r="G226" s="235"/>
      <c r="H226" s="235"/>
      <c r="I226" s="237"/>
      <c r="J226" s="237"/>
    </row>
    <row r="227" ht="15.75" customHeight="1">
      <c r="A227" s="235"/>
      <c r="B227" s="235"/>
      <c r="C227" s="236"/>
      <c r="D227" s="235"/>
      <c r="E227" s="235"/>
      <c r="F227" s="235"/>
      <c r="G227" s="235"/>
      <c r="H227" s="235"/>
      <c r="I227" s="237"/>
      <c r="J227" s="237"/>
    </row>
    <row r="228" ht="15.75" customHeight="1">
      <c r="A228" s="235"/>
      <c r="B228" s="235"/>
      <c r="C228" s="236"/>
      <c r="D228" s="235"/>
      <c r="E228" s="235"/>
      <c r="F228" s="235"/>
      <c r="G228" s="235"/>
      <c r="H228" s="235"/>
      <c r="I228" s="237"/>
      <c r="J228" s="237"/>
    </row>
    <row r="229" ht="15.75" customHeight="1">
      <c r="A229" s="235"/>
      <c r="B229" s="235"/>
      <c r="C229" s="236"/>
      <c r="D229" s="235"/>
      <c r="E229" s="235"/>
      <c r="F229" s="235"/>
      <c r="G229" s="235"/>
      <c r="H229" s="235"/>
      <c r="I229" s="237"/>
      <c r="J229" s="237"/>
    </row>
    <row r="230" ht="15.75" customHeight="1">
      <c r="A230" s="235"/>
      <c r="B230" s="235"/>
      <c r="C230" s="236"/>
      <c r="D230" s="235"/>
      <c r="E230" s="235"/>
      <c r="F230" s="235"/>
      <c r="G230" s="235"/>
      <c r="H230" s="235"/>
      <c r="I230" s="237"/>
      <c r="J230" s="237"/>
    </row>
    <row r="231" ht="15.75" customHeight="1">
      <c r="A231" s="235"/>
      <c r="B231" s="235"/>
      <c r="C231" s="236"/>
      <c r="D231" s="235"/>
      <c r="E231" s="235"/>
      <c r="F231" s="235"/>
      <c r="G231" s="235"/>
      <c r="H231" s="235"/>
      <c r="I231" s="237"/>
      <c r="J231" s="237"/>
    </row>
    <row r="232" ht="15.75" customHeight="1">
      <c r="A232" s="235"/>
      <c r="B232" s="235"/>
      <c r="C232" s="236"/>
      <c r="D232" s="235"/>
      <c r="E232" s="235"/>
      <c r="F232" s="235"/>
      <c r="G232" s="235"/>
      <c r="H232" s="235"/>
      <c r="I232" s="237"/>
      <c r="J232" s="237"/>
    </row>
    <row r="233" ht="15.75" customHeight="1">
      <c r="A233" s="235"/>
      <c r="B233" s="235"/>
      <c r="C233" s="236"/>
      <c r="D233" s="235"/>
      <c r="E233" s="235"/>
      <c r="F233" s="235"/>
      <c r="G233" s="235"/>
      <c r="H233" s="235"/>
      <c r="I233" s="237"/>
      <c r="J233" s="237"/>
    </row>
    <row r="234" ht="15.75" customHeight="1">
      <c r="A234" s="235"/>
      <c r="B234" s="235"/>
      <c r="C234" s="236"/>
      <c r="D234" s="235"/>
      <c r="E234" s="235"/>
      <c r="F234" s="235"/>
      <c r="G234" s="235"/>
      <c r="H234" s="235"/>
      <c r="I234" s="237"/>
      <c r="J234" s="237"/>
    </row>
    <row r="235" ht="15.75" customHeight="1">
      <c r="A235" s="235"/>
      <c r="B235" s="235"/>
      <c r="C235" s="236"/>
      <c r="D235" s="235"/>
      <c r="E235" s="235"/>
      <c r="F235" s="235"/>
      <c r="G235" s="235"/>
      <c r="H235" s="235"/>
      <c r="I235" s="237"/>
      <c r="J235" s="237"/>
    </row>
    <row r="236" ht="15.75" customHeight="1">
      <c r="A236" s="235"/>
      <c r="B236" s="235"/>
      <c r="C236" s="236"/>
      <c r="D236" s="235"/>
      <c r="E236" s="235"/>
      <c r="F236" s="235"/>
      <c r="G236" s="235"/>
      <c r="H236" s="235"/>
      <c r="I236" s="237"/>
      <c r="J236" s="237"/>
    </row>
    <row r="237" ht="15.75" customHeight="1">
      <c r="A237" s="235"/>
      <c r="B237" s="235"/>
      <c r="C237" s="236"/>
      <c r="D237" s="235"/>
      <c r="E237" s="235"/>
      <c r="F237" s="235"/>
      <c r="G237" s="235"/>
      <c r="H237" s="235"/>
      <c r="I237" s="237"/>
      <c r="J237" s="237"/>
    </row>
    <row r="238" ht="15.75" customHeight="1">
      <c r="A238" s="235"/>
      <c r="B238" s="235"/>
      <c r="C238" s="236"/>
      <c r="D238" s="235"/>
      <c r="E238" s="235"/>
      <c r="F238" s="235"/>
      <c r="G238" s="235"/>
      <c r="H238" s="235"/>
      <c r="I238" s="237"/>
      <c r="J238" s="237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8.38"/>
    <col customWidth="1" min="5" max="5" width="22.13"/>
    <col customWidth="1" min="6" max="6" width="24.63"/>
    <col customWidth="1" min="7" max="7" width="16.75"/>
    <col customWidth="1" min="8" max="8" width="19.0"/>
    <col customWidth="1" min="9" max="9" width="15.38"/>
  </cols>
  <sheetData>
    <row r="1" ht="15.75" customHeight="1">
      <c r="A1" s="226" t="s">
        <v>111</v>
      </c>
      <c r="B1" s="226" t="s">
        <v>112</v>
      </c>
      <c r="C1" s="227" t="s">
        <v>113</v>
      </c>
      <c r="D1" s="226" t="s">
        <v>114</v>
      </c>
      <c r="E1" s="226" t="s">
        <v>115</v>
      </c>
      <c r="F1" s="226" t="s">
        <v>211</v>
      </c>
      <c r="G1" s="226" t="s">
        <v>117</v>
      </c>
      <c r="H1" s="226" t="s">
        <v>212</v>
      </c>
      <c r="I1" s="228" t="s">
        <v>64</v>
      </c>
      <c r="J1" s="228" t="s">
        <v>36</v>
      </c>
    </row>
    <row r="2" ht="15.75" customHeight="1">
      <c r="A2" s="229">
        <v>44410.0</v>
      </c>
      <c r="B2" s="230"/>
      <c r="C2" s="231"/>
      <c r="D2" s="232"/>
      <c r="E2" s="232"/>
      <c r="F2" s="231" t="str">
        <f t="shared" ref="F2:F36" si="1">E2/D2</f>
        <v>#DIV/0!</v>
      </c>
      <c r="G2" s="232"/>
      <c r="H2" s="231" t="str">
        <f t="shared" ref="H2:H36" si="2">G2/E2</f>
        <v>#DIV/0!</v>
      </c>
      <c r="I2" s="233" t="str">
        <f t="shared" ref="I2:I36" si="3">J2/G2</f>
        <v>#DIV/0!</v>
      </c>
      <c r="J2" s="234"/>
    </row>
    <row r="3" ht="15.75" customHeight="1">
      <c r="A3" s="229">
        <v>44411.0</v>
      </c>
      <c r="B3" s="230"/>
      <c r="C3" s="231"/>
      <c r="D3" s="232"/>
      <c r="E3" s="232"/>
      <c r="F3" s="231" t="str">
        <f t="shared" si="1"/>
        <v>#DIV/0!</v>
      </c>
      <c r="G3" s="232"/>
      <c r="H3" s="231" t="str">
        <f t="shared" si="2"/>
        <v>#DIV/0!</v>
      </c>
      <c r="I3" s="233" t="str">
        <f t="shared" si="3"/>
        <v>#DIV/0!</v>
      </c>
      <c r="J3" s="234"/>
    </row>
    <row r="4" ht="15.75" customHeight="1">
      <c r="A4" s="229">
        <v>44412.0</v>
      </c>
      <c r="B4" s="232"/>
      <c r="C4" s="231"/>
      <c r="D4" s="232"/>
      <c r="E4" s="232"/>
      <c r="F4" s="231" t="str">
        <f t="shared" si="1"/>
        <v>#DIV/0!</v>
      </c>
      <c r="G4" s="232"/>
      <c r="H4" s="231" t="str">
        <f t="shared" si="2"/>
        <v>#DIV/0!</v>
      </c>
      <c r="I4" s="233" t="str">
        <f t="shared" si="3"/>
        <v>#DIV/0!</v>
      </c>
      <c r="J4" s="234"/>
    </row>
    <row r="5" ht="15.75" customHeight="1">
      <c r="A5" s="229">
        <v>44413.0</v>
      </c>
      <c r="B5" s="232"/>
      <c r="C5" s="231"/>
      <c r="D5" s="232"/>
      <c r="E5" s="232"/>
      <c r="F5" s="231" t="str">
        <f t="shared" si="1"/>
        <v>#DIV/0!</v>
      </c>
      <c r="G5" s="232"/>
      <c r="H5" s="231" t="str">
        <f t="shared" si="2"/>
        <v>#DIV/0!</v>
      </c>
      <c r="I5" s="233" t="str">
        <f t="shared" si="3"/>
        <v>#DIV/0!</v>
      </c>
      <c r="J5" s="234"/>
    </row>
    <row r="6" ht="15.75" customHeight="1">
      <c r="A6" s="229">
        <v>44414.0</v>
      </c>
      <c r="B6" s="232"/>
      <c r="C6" s="231"/>
      <c r="D6" s="232"/>
      <c r="E6" s="232"/>
      <c r="F6" s="231" t="str">
        <f t="shared" si="1"/>
        <v>#DIV/0!</v>
      </c>
      <c r="G6" s="232"/>
      <c r="H6" s="231" t="str">
        <f t="shared" si="2"/>
        <v>#DIV/0!</v>
      </c>
      <c r="I6" s="233" t="str">
        <f t="shared" si="3"/>
        <v>#DIV/0!</v>
      </c>
      <c r="J6" s="234"/>
    </row>
    <row r="7" ht="15.75" customHeight="1">
      <c r="A7" s="229">
        <v>44415.0</v>
      </c>
      <c r="B7" s="232"/>
      <c r="C7" s="231"/>
      <c r="D7" s="232"/>
      <c r="E7" s="232"/>
      <c r="F7" s="231" t="str">
        <f t="shared" si="1"/>
        <v>#DIV/0!</v>
      </c>
      <c r="G7" s="232"/>
      <c r="H7" s="231" t="str">
        <f t="shared" si="2"/>
        <v>#DIV/0!</v>
      </c>
      <c r="I7" s="233" t="str">
        <f t="shared" si="3"/>
        <v>#DIV/0!</v>
      </c>
      <c r="J7" s="234"/>
    </row>
    <row r="8" ht="15.75" customHeight="1">
      <c r="A8" s="229">
        <v>44416.0</v>
      </c>
      <c r="B8" s="232"/>
      <c r="C8" s="231"/>
      <c r="D8" s="232"/>
      <c r="E8" s="232"/>
      <c r="F8" s="231" t="str">
        <f t="shared" si="1"/>
        <v>#DIV/0!</v>
      </c>
      <c r="G8" s="232"/>
      <c r="H8" s="231" t="str">
        <f t="shared" si="2"/>
        <v>#DIV/0!</v>
      </c>
      <c r="I8" s="233" t="str">
        <f t="shared" si="3"/>
        <v>#DIV/0!</v>
      </c>
      <c r="J8" s="234"/>
    </row>
    <row r="9" ht="15.75" customHeight="1">
      <c r="A9" s="229">
        <v>44417.0</v>
      </c>
      <c r="B9" s="232"/>
      <c r="C9" s="231"/>
      <c r="D9" s="232"/>
      <c r="E9" s="232"/>
      <c r="F9" s="231" t="str">
        <f t="shared" si="1"/>
        <v>#DIV/0!</v>
      </c>
      <c r="G9" s="232"/>
      <c r="H9" s="231" t="str">
        <f t="shared" si="2"/>
        <v>#DIV/0!</v>
      </c>
      <c r="I9" s="233" t="str">
        <f t="shared" si="3"/>
        <v>#DIV/0!</v>
      </c>
      <c r="J9" s="234"/>
    </row>
    <row r="10" ht="15.75" customHeight="1">
      <c r="A10" s="229">
        <v>44418.0</v>
      </c>
      <c r="B10" s="232"/>
      <c r="C10" s="231"/>
      <c r="D10" s="232"/>
      <c r="E10" s="232"/>
      <c r="F10" s="231" t="str">
        <f t="shared" si="1"/>
        <v>#DIV/0!</v>
      </c>
      <c r="G10" s="232"/>
      <c r="H10" s="231" t="str">
        <f t="shared" si="2"/>
        <v>#DIV/0!</v>
      </c>
      <c r="I10" s="233" t="str">
        <f t="shared" si="3"/>
        <v>#DIV/0!</v>
      </c>
      <c r="J10" s="234"/>
    </row>
    <row r="11" ht="15.75" customHeight="1">
      <c r="A11" s="229">
        <v>44419.0</v>
      </c>
      <c r="B11" s="232"/>
      <c r="C11" s="231"/>
      <c r="D11" s="232"/>
      <c r="E11" s="232"/>
      <c r="F11" s="231" t="str">
        <f t="shared" si="1"/>
        <v>#DIV/0!</v>
      </c>
      <c r="G11" s="232"/>
      <c r="H11" s="231" t="str">
        <f t="shared" si="2"/>
        <v>#DIV/0!</v>
      </c>
      <c r="I11" s="233" t="str">
        <f t="shared" si="3"/>
        <v>#DIV/0!</v>
      </c>
      <c r="J11" s="234"/>
    </row>
    <row r="12" ht="15.75" customHeight="1">
      <c r="A12" s="229">
        <v>44420.0</v>
      </c>
      <c r="B12" s="232"/>
      <c r="C12" s="231"/>
      <c r="D12" s="232"/>
      <c r="E12" s="232"/>
      <c r="F12" s="231" t="str">
        <f t="shared" si="1"/>
        <v>#DIV/0!</v>
      </c>
      <c r="G12" s="232"/>
      <c r="H12" s="231" t="str">
        <f t="shared" si="2"/>
        <v>#DIV/0!</v>
      </c>
      <c r="I12" s="233" t="str">
        <f t="shared" si="3"/>
        <v>#DIV/0!</v>
      </c>
      <c r="J12" s="234"/>
    </row>
    <row r="13" ht="15.75" customHeight="1">
      <c r="A13" s="229">
        <v>44421.0</v>
      </c>
      <c r="B13" s="232"/>
      <c r="C13" s="231"/>
      <c r="D13" s="232"/>
      <c r="E13" s="232"/>
      <c r="F13" s="231" t="str">
        <f t="shared" si="1"/>
        <v>#DIV/0!</v>
      </c>
      <c r="G13" s="232"/>
      <c r="H13" s="231" t="str">
        <f t="shared" si="2"/>
        <v>#DIV/0!</v>
      </c>
      <c r="I13" s="233" t="str">
        <f t="shared" si="3"/>
        <v>#DIV/0!</v>
      </c>
      <c r="J13" s="234"/>
    </row>
    <row r="14" ht="15.75" customHeight="1">
      <c r="A14" s="229">
        <v>44422.0</v>
      </c>
      <c r="B14" s="232"/>
      <c r="C14" s="231"/>
      <c r="D14" s="232"/>
      <c r="E14" s="232"/>
      <c r="F14" s="231" t="str">
        <f t="shared" si="1"/>
        <v>#DIV/0!</v>
      </c>
      <c r="G14" s="232"/>
      <c r="H14" s="231" t="str">
        <f t="shared" si="2"/>
        <v>#DIV/0!</v>
      </c>
      <c r="I14" s="233" t="str">
        <f t="shared" si="3"/>
        <v>#DIV/0!</v>
      </c>
      <c r="J14" s="234"/>
    </row>
    <row r="15" ht="15.75" customHeight="1">
      <c r="A15" s="229">
        <v>44423.0</v>
      </c>
      <c r="B15" s="232"/>
      <c r="C15" s="231"/>
      <c r="D15" s="232"/>
      <c r="E15" s="232"/>
      <c r="F15" s="231" t="str">
        <f t="shared" si="1"/>
        <v>#DIV/0!</v>
      </c>
      <c r="G15" s="232"/>
      <c r="H15" s="231" t="str">
        <f t="shared" si="2"/>
        <v>#DIV/0!</v>
      </c>
      <c r="I15" s="233" t="str">
        <f t="shared" si="3"/>
        <v>#DIV/0!</v>
      </c>
      <c r="J15" s="234"/>
    </row>
    <row r="16" ht="15.75" customHeight="1">
      <c r="A16" s="229">
        <v>44424.0</v>
      </c>
      <c r="B16" s="232"/>
      <c r="C16" s="231"/>
      <c r="D16" s="232"/>
      <c r="E16" s="232"/>
      <c r="F16" s="231" t="str">
        <f t="shared" si="1"/>
        <v>#DIV/0!</v>
      </c>
      <c r="G16" s="232"/>
      <c r="H16" s="231" t="str">
        <f t="shared" si="2"/>
        <v>#DIV/0!</v>
      </c>
      <c r="I16" s="233" t="str">
        <f t="shared" si="3"/>
        <v>#DIV/0!</v>
      </c>
      <c r="J16" s="234"/>
    </row>
    <row r="17" ht="15.75" customHeight="1">
      <c r="A17" s="229">
        <v>44425.0</v>
      </c>
      <c r="B17" s="232"/>
      <c r="C17" s="231"/>
      <c r="D17" s="232"/>
      <c r="E17" s="232"/>
      <c r="F17" s="231" t="str">
        <f t="shared" si="1"/>
        <v>#DIV/0!</v>
      </c>
      <c r="G17" s="232"/>
      <c r="H17" s="231" t="str">
        <f t="shared" si="2"/>
        <v>#DIV/0!</v>
      </c>
      <c r="I17" s="233" t="str">
        <f t="shared" si="3"/>
        <v>#DIV/0!</v>
      </c>
      <c r="J17" s="234"/>
    </row>
    <row r="18" ht="15.75" customHeight="1">
      <c r="A18" s="229">
        <v>44426.0</v>
      </c>
      <c r="B18" s="232"/>
      <c r="C18" s="231"/>
      <c r="D18" s="232"/>
      <c r="E18" s="232"/>
      <c r="F18" s="231" t="str">
        <f t="shared" si="1"/>
        <v>#DIV/0!</v>
      </c>
      <c r="G18" s="232"/>
      <c r="H18" s="231" t="str">
        <f t="shared" si="2"/>
        <v>#DIV/0!</v>
      </c>
      <c r="I18" s="233" t="str">
        <f t="shared" si="3"/>
        <v>#DIV/0!</v>
      </c>
      <c r="J18" s="234"/>
    </row>
    <row r="19" ht="15.75" customHeight="1">
      <c r="A19" s="229">
        <v>44427.0</v>
      </c>
      <c r="B19" s="232"/>
      <c r="C19" s="231"/>
      <c r="D19" s="232"/>
      <c r="E19" s="232"/>
      <c r="F19" s="231" t="str">
        <f t="shared" si="1"/>
        <v>#DIV/0!</v>
      </c>
      <c r="G19" s="232"/>
      <c r="H19" s="231" t="str">
        <f t="shared" si="2"/>
        <v>#DIV/0!</v>
      </c>
      <c r="I19" s="233" t="str">
        <f t="shared" si="3"/>
        <v>#DIV/0!</v>
      </c>
      <c r="J19" s="234"/>
    </row>
    <row r="20" ht="15.75" customHeight="1">
      <c r="A20" s="229">
        <v>44428.0</v>
      </c>
      <c r="B20" s="232"/>
      <c r="C20" s="231"/>
      <c r="D20" s="232"/>
      <c r="E20" s="232"/>
      <c r="F20" s="231" t="str">
        <f t="shared" si="1"/>
        <v>#DIV/0!</v>
      </c>
      <c r="G20" s="232"/>
      <c r="H20" s="231" t="str">
        <f t="shared" si="2"/>
        <v>#DIV/0!</v>
      </c>
      <c r="I20" s="233" t="str">
        <f t="shared" si="3"/>
        <v>#DIV/0!</v>
      </c>
      <c r="J20" s="234"/>
    </row>
    <row r="21" ht="15.75" customHeight="1">
      <c r="A21" s="229">
        <v>44429.0</v>
      </c>
      <c r="B21" s="232"/>
      <c r="C21" s="231"/>
      <c r="D21" s="232"/>
      <c r="E21" s="232"/>
      <c r="F21" s="231" t="str">
        <f t="shared" si="1"/>
        <v>#DIV/0!</v>
      </c>
      <c r="G21" s="232"/>
      <c r="H21" s="231" t="str">
        <f t="shared" si="2"/>
        <v>#DIV/0!</v>
      </c>
      <c r="I21" s="233" t="str">
        <f t="shared" si="3"/>
        <v>#DIV/0!</v>
      </c>
      <c r="J21" s="234"/>
    </row>
    <row r="22" ht="15.75" customHeight="1">
      <c r="A22" s="229">
        <v>44430.0</v>
      </c>
      <c r="B22" s="232"/>
      <c r="C22" s="231"/>
      <c r="D22" s="232"/>
      <c r="E22" s="232"/>
      <c r="F22" s="231" t="str">
        <f t="shared" si="1"/>
        <v>#DIV/0!</v>
      </c>
      <c r="G22" s="232"/>
      <c r="H22" s="231" t="str">
        <f t="shared" si="2"/>
        <v>#DIV/0!</v>
      </c>
      <c r="I22" s="233" t="str">
        <f t="shared" si="3"/>
        <v>#DIV/0!</v>
      </c>
      <c r="J22" s="234"/>
    </row>
    <row r="23" ht="15.75" customHeight="1">
      <c r="A23" s="229">
        <v>44431.0</v>
      </c>
      <c r="B23" s="232"/>
      <c r="C23" s="231"/>
      <c r="D23" s="232"/>
      <c r="E23" s="232"/>
      <c r="F23" s="231" t="str">
        <f t="shared" si="1"/>
        <v>#DIV/0!</v>
      </c>
      <c r="G23" s="232"/>
      <c r="H23" s="231" t="str">
        <f t="shared" si="2"/>
        <v>#DIV/0!</v>
      </c>
      <c r="I23" s="233" t="str">
        <f t="shared" si="3"/>
        <v>#DIV/0!</v>
      </c>
      <c r="J23" s="234"/>
    </row>
    <row r="24" ht="15.75" customHeight="1">
      <c r="A24" s="229">
        <v>44432.0</v>
      </c>
      <c r="B24" s="232"/>
      <c r="C24" s="231"/>
      <c r="D24" s="232"/>
      <c r="E24" s="232"/>
      <c r="F24" s="231" t="str">
        <f t="shared" si="1"/>
        <v>#DIV/0!</v>
      </c>
      <c r="G24" s="232"/>
      <c r="H24" s="231" t="str">
        <f t="shared" si="2"/>
        <v>#DIV/0!</v>
      </c>
      <c r="I24" s="233" t="str">
        <f t="shared" si="3"/>
        <v>#DIV/0!</v>
      </c>
      <c r="J24" s="234"/>
    </row>
    <row r="25" ht="15.75" customHeight="1">
      <c r="A25" s="229">
        <v>44433.0</v>
      </c>
      <c r="B25" s="232"/>
      <c r="C25" s="231"/>
      <c r="D25" s="232"/>
      <c r="E25" s="232"/>
      <c r="F25" s="231" t="str">
        <f t="shared" si="1"/>
        <v>#DIV/0!</v>
      </c>
      <c r="G25" s="232"/>
      <c r="H25" s="231" t="str">
        <f t="shared" si="2"/>
        <v>#DIV/0!</v>
      </c>
      <c r="I25" s="233" t="str">
        <f t="shared" si="3"/>
        <v>#DIV/0!</v>
      </c>
      <c r="J25" s="234"/>
    </row>
    <row r="26" ht="15.75" customHeight="1">
      <c r="A26" s="229">
        <v>44434.0</v>
      </c>
      <c r="B26" s="232"/>
      <c r="C26" s="231"/>
      <c r="D26" s="232"/>
      <c r="E26" s="232"/>
      <c r="F26" s="231" t="str">
        <f t="shared" si="1"/>
        <v>#DIV/0!</v>
      </c>
      <c r="G26" s="232"/>
      <c r="H26" s="231" t="str">
        <f t="shared" si="2"/>
        <v>#DIV/0!</v>
      </c>
      <c r="I26" s="233" t="str">
        <f t="shared" si="3"/>
        <v>#DIV/0!</v>
      </c>
      <c r="J26" s="234"/>
    </row>
    <row r="27" ht="15.75" customHeight="1">
      <c r="A27" s="229">
        <v>44435.0</v>
      </c>
      <c r="B27" s="232"/>
      <c r="C27" s="231"/>
      <c r="D27" s="232"/>
      <c r="E27" s="232"/>
      <c r="F27" s="231" t="str">
        <f t="shared" si="1"/>
        <v>#DIV/0!</v>
      </c>
      <c r="G27" s="232"/>
      <c r="H27" s="231" t="str">
        <f t="shared" si="2"/>
        <v>#DIV/0!</v>
      </c>
      <c r="I27" s="233" t="str">
        <f t="shared" si="3"/>
        <v>#DIV/0!</v>
      </c>
      <c r="J27" s="234"/>
    </row>
    <row r="28" ht="15.75" customHeight="1">
      <c r="A28" s="229">
        <v>44436.0</v>
      </c>
      <c r="B28" s="232"/>
      <c r="C28" s="231"/>
      <c r="D28" s="232"/>
      <c r="E28" s="232"/>
      <c r="F28" s="231" t="str">
        <f t="shared" si="1"/>
        <v>#DIV/0!</v>
      </c>
      <c r="G28" s="232"/>
      <c r="H28" s="231" t="str">
        <f t="shared" si="2"/>
        <v>#DIV/0!</v>
      </c>
      <c r="I28" s="233" t="str">
        <f t="shared" si="3"/>
        <v>#DIV/0!</v>
      </c>
      <c r="J28" s="234"/>
    </row>
    <row r="29" ht="15.75" customHeight="1">
      <c r="A29" s="229">
        <v>44437.0</v>
      </c>
      <c r="B29" s="232"/>
      <c r="C29" s="231"/>
      <c r="D29" s="232"/>
      <c r="E29" s="232"/>
      <c r="F29" s="231" t="str">
        <f t="shared" si="1"/>
        <v>#DIV/0!</v>
      </c>
      <c r="G29" s="232"/>
      <c r="H29" s="231" t="str">
        <f t="shared" si="2"/>
        <v>#DIV/0!</v>
      </c>
      <c r="I29" s="233" t="str">
        <f t="shared" si="3"/>
        <v>#DIV/0!</v>
      </c>
      <c r="J29" s="234"/>
    </row>
    <row r="30" ht="15.75" customHeight="1">
      <c r="A30" s="229">
        <v>44438.0</v>
      </c>
      <c r="B30" s="232"/>
      <c r="C30" s="231"/>
      <c r="D30" s="232"/>
      <c r="E30" s="232"/>
      <c r="F30" s="231" t="str">
        <f t="shared" si="1"/>
        <v>#DIV/0!</v>
      </c>
      <c r="G30" s="232"/>
      <c r="H30" s="231" t="str">
        <f t="shared" si="2"/>
        <v>#DIV/0!</v>
      </c>
      <c r="I30" s="233" t="str">
        <f t="shared" si="3"/>
        <v>#DIV/0!</v>
      </c>
      <c r="J30" s="234"/>
    </row>
    <row r="31" ht="15.75" customHeight="1">
      <c r="A31" s="229">
        <v>44439.0</v>
      </c>
      <c r="B31" s="232"/>
      <c r="C31" s="231"/>
      <c r="D31" s="232"/>
      <c r="E31" s="232"/>
      <c r="F31" s="231" t="str">
        <f t="shared" si="1"/>
        <v>#DIV/0!</v>
      </c>
      <c r="G31" s="232"/>
      <c r="H31" s="231" t="str">
        <f t="shared" si="2"/>
        <v>#DIV/0!</v>
      </c>
      <c r="I31" s="233" t="str">
        <f t="shared" si="3"/>
        <v>#DIV/0!</v>
      </c>
      <c r="J31" s="234"/>
    </row>
    <row r="32" ht="15.75" customHeight="1">
      <c r="A32" s="229">
        <v>44440.0</v>
      </c>
      <c r="B32" s="232"/>
      <c r="C32" s="231"/>
      <c r="D32" s="232"/>
      <c r="E32" s="232"/>
      <c r="F32" s="231" t="str">
        <f t="shared" si="1"/>
        <v>#DIV/0!</v>
      </c>
      <c r="G32" s="232"/>
      <c r="H32" s="231" t="str">
        <f t="shared" si="2"/>
        <v>#DIV/0!</v>
      </c>
      <c r="I32" s="233" t="str">
        <f t="shared" si="3"/>
        <v>#DIV/0!</v>
      </c>
      <c r="J32" s="234"/>
    </row>
    <row r="33" ht="15.75" customHeight="1">
      <c r="A33" s="229">
        <v>44441.0</v>
      </c>
      <c r="B33" s="232"/>
      <c r="C33" s="231"/>
      <c r="D33" s="232"/>
      <c r="E33" s="232"/>
      <c r="F33" s="231" t="str">
        <f t="shared" si="1"/>
        <v>#DIV/0!</v>
      </c>
      <c r="G33" s="232"/>
      <c r="H33" s="231" t="str">
        <f t="shared" si="2"/>
        <v>#DIV/0!</v>
      </c>
      <c r="I33" s="233" t="str">
        <f t="shared" si="3"/>
        <v>#DIV/0!</v>
      </c>
      <c r="J33" s="234"/>
    </row>
    <row r="34" ht="15.75" customHeight="1">
      <c r="A34" s="229">
        <v>44442.0</v>
      </c>
      <c r="B34" s="232"/>
      <c r="C34" s="231"/>
      <c r="D34" s="232"/>
      <c r="E34" s="232"/>
      <c r="F34" s="231" t="str">
        <f t="shared" si="1"/>
        <v>#DIV/0!</v>
      </c>
      <c r="G34" s="232"/>
      <c r="H34" s="231" t="str">
        <f t="shared" si="2"/>
        <v>#DIV/0!</v>
      </c>
      <c r="I34" s="233" t="str">
        <f t="shared" si="3"/>
        <v>#DIV/0!</v>
      </c>
      <c r="J34" s="234"/>
    </row>
    <row r="35" ht="15.75" customHeight="1">
      <c r="A35" s="229">
        <v>44443.0</v>
      </c>
      <c r="B35" s="232"/>
      <c r="C35" s="231"/>
      <c r="D35" s="232"/>
      <c r="E35" s="232"/>
      <c r="F35" s="231" t="str">
        <f t="shared" si="1"/>
        <v>#DIV/0!</v>
      </c>
      <c r="G35" s="232"/>
      <c r="H35" s="231" t="str">
        <f t="shared" si="2"/>
        <v>#DIV/0!</v>
      </c>
      <c r="I35" s="233" t="str">
        <f t="shared" si="3"/>
        <v>#DIV/0!</v>
      </c>
      <c r="J35" s="234"/>
    </row>
    <row r="36" ht="15.75" customHeight="1">
      <c r="A36" s="229">
        <v>44444.0</v>
      </c>
      <c r="B36" s="232"/>
      <c r="C36" s="231"/>
      <c r="D36" s="232"/>
      <c r="E36" s="232"/>
      <c r="F36" s="231" t="str">
        <f t="shared" si="1"/>
        <v>#DIV/0!</v>
      </c>
      <c r="G36" s="232"/>
      <c r="H36" s="231" t="str">
        <f t="shared" si="2"/>
        <v>#DIV/0!</v>
      </c>
      <c r="I36" s="233" t="str">
        <f t="shared" si="3"/>
        <v>#DIV/0!</v>
      </c>
      <c r="J36" s="234"/>
    </row>
    <row r="37" ht="15.75" customHeight="1">
      <c r="A37" s="232" t="s">
        <v>119</v>
      </c>
      <c r="B37" s="230" t="str">
        <f t="shared" ref="B37:H37" si="4">MEDIAN(B2:B36)</f>
        <v>#NUM!</v>
      </c>
      <c r="C37" s="231" t="str">
        <f t="shared" si="4"/>
        <v>#NUM!</v>
      </c>
      <c r="D37" s="232" t="str">
        <f t="shared" si="4"/>
        <v>#NUM!</v>
      </c>
      <c r="E37" s="232" t="str">
        <f t="shared" si="4"/>
        <v>#NUM!</v>
      </c>
      <c r="F37" s="232" t="str">
        <f t="shared" si="4"/>
        <v>#DIV/0!</v>
      </c>
      <c r="G37" s="232" t="str">
        <f t="shared" si="4"/>
        <v>#NUM!</v>
      </c>
      <c r="H37" s="232" t="str">
        <f t="shared" si="4"/>
        <v>#DIV/0!</v>
      </c>
      <c r="I37" s="233"/>
      <c r="J37" s="234" t="str">
        <f>MEDIAN(J2:J36)</f>
        <v>#NUM!</v>
      </c>
    </row>
    <row r="38" ht="15.75" customHeight="1">
      <c r="A38" s="232" t="s">
        <v>39</v>
      </c>
      <c r="B38" s="230">
        <f>SUM(B2:B36)</f>
        <v>0</v>
      </c>
      <c r="C38" s="231"/>
      <c r="D38" s="232">
        <f t="shared" ref="D38:E38" si="5">SUM(D2:D36)</f>
        <v>0</v>
      </c>
      <c r="E38" s="232">
        <f t="shared" si="5"/>
        <v>0</v>
      </c>
      <c r="F38" s="232" t="str">
        <f>E38/D38</f>
        <v>#DIV/0!</v>
      </c>
      <c r="G38" s="232">
        <f>SUM(G2:G36)</f>
        <v>0</v>
      </c>
      <c r="H38" s="231" t="str">
        <f>G38/E38</f>
        <v>#DIV/0!</v>
      </c>
      <c r="I38" s="233" t="str">
        <f>J38/G38</f>
        <v>#DIV/0!</v>
      </c>
      <c r="J38" s="234">
        <f>SUM(J2:J36)</f>
        <v>0</v>
      </c>
    </row>
    <row r="39" ht="15.75" customHeight="1">
      <c r="A39" s="235"/>
      <c r="B39" s="235"/>
      <c r="C39" s="236"/>
      <c r="D39" s="235"/>
      <c r="E39" s="235"/>
      <c r="F39" s="235"/>
      <c r="G39" s="235"/>
      <c r="H39" s="235"/>
      <c r="I39" s="237"/>
      <c r="J39" s="237"/>
    </row>
    <row r="40" ht="15.75" customHeight="1">
      <c r="A40" s="235"/>
      <c r="B40" s="235"/>
      <c r="C40" s="236"/>
      <c r="D40" s="235"/>
      <c r="E40" s="235"/>
      <c r="F40" s="235"/>
      <c r="G40" s="235"/>
      <c r="H40" s="235"/>
      <c r="I40" s="237"/>
      <c r="J40" s="237"/>
    </row>
    <row r="41" ht="15.75" customHeight="1">
      <c r="A41" s="235"/>
      <c r="B41" s="235"/>
      <c r="C41" s="236"/>
      <c r="D41" s="235"/>
      <c r="E41" s="235"/>
      <c r="F41" s="235"/>
      <c r="G41" s="235"/>
      <c r="H41" s="235"/>
      <c r="I41" s="237"/>
      <c r="J41" s="237"/>
    </row>
    <row r="42" ht="15.75" customHeight="1">
      <c r="A42" s="235"/>
      <c r="B42" s="235"/>
      <c r="C42" s="236"/>
      <c r="D42" s="235"/>
      <c r="E42" s="235"/>
      <c r="F42" s="235"/>
      <c r="G42" s="235"/>
      <c r="H42" s="235"/>
      <c r="I42" s="237"/>
      <c r="J42" s="237"/>
    </row>
    <row r="43" ht="15.75" customHeight="1">
      <c r="A43" s="235"/>
      <c r="B43" s="235"/>
      <c r="C43" s="236"/>
      <c r="D43" s="235"/>
      <c r="E43" s="235"/>
      <c r="F43" s="235"/>
      <c r="G43" s="235"/>
      <c r="H43" s="235"/>
      <c r="I43" s="237"/>
      <c r="J43" s="237"/>
    </row>
    <row r="44" ht="15.75" customHeight="1">
      <c r="A44" s="235"/>
      <c r="B44" s="235"/>
      <c r="C44" s="236"/>
      <c r="D44" s="235"/>
      <c r="E44" s="235"/>
      <c r="F44" s="235"/>
      <c r="G44" s="235"/>
      <c r="H44" s="235"/>
      <c r="I44" s="237"/>
      <c r="J44" s="237"/>
    </row>
    <row r="45" ht="15.75" customHeight="1">
      <c r="A45" s="235"/>
      <c r="B45" s="235"/>
      <c r="C45" s="236"/>
      <c r="D45" s="235"/>
      <c r="E45" s="235"/>
      <c r="F45" s="235"/>
      <c r="G45" s="235"/>
      <c r="H45" s="235"/>
      <c r="I45" s="237"/>
      <c r="J45" s="237"/>
    </row>
    <row r="46" ht="15.75" customHeight="1">
      <c r="A46" s="235"/>
      <c r="B46" s="235"/>
      <c r="C46" s="236"/>
      <c r="D46" s="235"/>
      <c r="E46" s="235"/>
      <c r="F46" s="235"/>
      <c r="G46" s="235"/>
      <c r="H46" s="235"/>
      <c r="I46" s="237"/>
      <c r="J46" s="237"/>
    </row>
    <row r="47" ht="15.75" customHeight="1">
      <c r="A47" s="235"/>
      <c r="B47" s="235"/>
      <c r="C47" s="236"/>
      <c r="D47" s="235"/>
      <c r="E47" s="235"/>
      <c r="F47" s="235"/>
      <c r="G47" s="235"/>
      <c r="H47" s="235"/>
      <c r="I47" s="237"/>
      <c r="J47" s="237"/>
    </row>
    <row r="48" ht="15.75" customHeight="1">
      <c r="A48" s="235"/>
      <c r="B48" s="235"/>
      <c r="C48" s="236"/>
      <c r="D48" s="235"/>
      <c r="E48" s="235"/>
      <c r="F48" s="235"/>
      <c r="G48" s="235"/>
      <c r="H48" s="235"/>
      <c r="I48" s="237"/>
      <c r="J48" s="237"/>
    </row>
    <row r="49" ht="15.75" customHeight="1">
      <c r="A49" s="235"/>
      <c r="B49" s="235"/>
      <c r="C49" s="236"/>
      <c r="D49" s="235"/>
      <c r="E49" s="235"/>
      <c r="F49" s="235"/>
      <c r="G49" s="235"/>
      <c r="H49" s="235"/>
      <c r="I49" s="237"/>
      <c r="J49" s="237"/>
    </row>
    <row r="50" ht="15.75" customHeight="1">
      <c r="A50" s="235"/>
      <c r="B50" s="235"/>
      <c r="C50" s="236"/>
      <c r="D50" s="235"/>
      <c r="E50" s="235"/>
      <c r="F50" s="235"/>
      <c r="G50" s="235"/>
      <c r="H50" s="235"/>
      <c r="I50" s="237"/>
      <c r="J50" s="237"/>
    </row>
    <row r="51" ht="15.75" customHeight="1">
      <c r="A51" s="235"/>
      <c r="B51" s="235"/>
      <c r="C51" s="236"/>
      <c r="D51" s="235"/>
      <c r="E51" s="235"/>
      <c r="F51" s="235"/>
      <c r="G51" s="235"/>
      <c r="H51" s="235"/>
      <c r="I51" s="237"/>
      <c r="J51" s="237"/>
    </row>
    <row r="52" ht="15.75" customHeight="1">
      <c r="A52" s="235"/>
      <c r="B52" s="235"/>
      <c r="C52" s="236"/>
      <c r="D52" s="235"/>
      <c r="E52" s="235"/>
      <c r="F52" s="235"/>
      <c r="G52" s="235"/>
      <c r="H52" s="235"/>
      <c r="I52" s="237"/>
      <c r="J52" s="237"/>
    </row>
    <row r="53" ht="15.75" customHeight="1">
      <c r="A53" s="235"/>
      <c r="B53" s="235"/>
      <c r="C53" s="236"/>
      <c r="D53" s="235"/>
      <c r="E53" s="235"/>
      <c r="F53" s="235"/>
      <c r="G53" s="235"/>
      <c r="H53" s="235"/>
      <c r="I53" s="237"/>
      <c r="J53" s="237"/>
    </row>
    <row r="54" ht="15.75" customHeight="1">
      <c r="A54" s="235"/>
      <c r="B54" s="235"/>
      <c r="C54" s="236"/>
      <c r="D54" s="235"/>
      <c r="E54" s="235"/>
      <c r="F54" s="235"/>
      <c r="G54" s="235"/>
      <c r="H54" s="235"/>
      <c r="I54" s="237"/>
      <c r="J54" s="237"/>
    </row>
    <row r="55" ht="15.75" customHeight="1">
      <c r="A55" s="235"/>
      <c r="B55" s="235"/>
      <c r="C55" s="236"/>
      <c r="D55" s="235"/>
      <c r="E55" s="235"/>
      <c r="F55" s="235"/>
      <c r="G55" s="235"/>
      <c r="H55" s="235"/>
      <c r="I55" s="237"/>
      <c r="J55" s="237"/>
    </row>
    <row r="56" ht="15.75" customHeight="1">
      <c r="A56" s="235"/>
      <c r="B56" s="235"/>
      <c r="C56" s="236"/>
      <c r="D56" s="235"/>
      <c r="E56" s="235"/>
      <c r="F56" s="235"/>
      <c r="G56" s="235"/>
      <c r="H56" s="235"/>
      <c r="I56" s="237"/>
      <c r="J56" s="237"/>
    </row>
    <row r="57" ht="15.75" customHeight="1">
      <c r="A57" s="235"/>
      <c r="B57" s="235"/>
      <c r="C57" s="236"/>
      <c r="D57" s="235"/>
      <c r="E57" s="235"/>
      <c r="F57" s="235"/>
      <c r="G57" s="235"/>
      <c r="H57" s="235"/>
      <c r="I57" s="237"/>
      <c r="J57" s="237"/>
    </row>
    <row r="58" ht="15.75" customHeight="1">
      <c r="A58" s="235"/>
      <c r="B58" s="235"/>
      <c r="C58" s="236"/>
      <c r="D58" s="235"/>
      <c r="E58" s="235"/>
      <c r="F58" s="235"/>
      <c r="G58" s="235"/>
      <c r="H58" s="235"/>
      <c r="I58" s="237"/>
      <c r="J58" s="237"/>
    </row>
    <row r="59" ht="15.75" customHeight="1">
      <c r="A59" s="235"/>
      <c r="B59" s="235"/>
      <c r="C59" s="236"/>
      <c r="D59" s="235"/>
      <c r="E59" s="235"/>
      <c r="F59" s="235"/>
      <c r="G59" s="235"/>
      <c r="H59" s="235"/>
      <c r="I59" s="237"/>
      <c r="J59" s="237"/>
    </row>
    <row r="60" ht="15.75" customHeight="1">
      <c r="A60" s="235"/>
      <c r="B60" s="235"/>
      <c r="C60" s="236"/>
      <c r="D60" s="235"/>
      <c r="E60" s="235"/>
      <c r="F60" s="235"/>
      <c r="G60" s="235"/>
      <c r="H60" s="235"/>
      <c r="I60" s="237"/>
      <c r="J60" s="237"/>
    </row>
    <row r="61" ht="15.75" customHeight="1">
      <c r="A61" s="235"/>
      <c r="B61" s="235"/>
      <c r="C61" s="236"/>
      <c r="D61" s="235"/>
      <c r="E61" s="235"/>
      <c r="F61" s="235"/>
      <c r="G61" s="235"/>
      <c r="H61" s="235"/>
      <c r="I61" s="237"/>
      <c r="J61" s="237"/>
    </row>
    <row r="62" ht="15.75" customHeight="1">
      <c r="A62" s="235"/>
      <c r="B62" s="235"/>
      <c r="C62" s="236"/>
      <c r="D62" s="235"/>
      <c r="E62" s="235"/>
      <c r="F62" s="235"/>
      <c r="G62" s="235"/>
      <c r="H62" s="235"/>
      <c r="I62" s="237"/>
      <c r="J62" s="237"/>
    </row>
    <row r="63" ht="15.75" customHeight="1">
      <c r="A63" s="235"/>
      <c r="B63" s="235"/>
      <c r="C63" s="236"/>
      <c r="D63" s="235"/>
      <c r="E63" s="235"/>
      <c r="F63" s="235"/>
      <c r="G63" s="235"/>
      <c r="H63" s="235"/>
      <c r="I63" s="237"/>
      <c r="J63" s="237"/>
    </row>
    <row r="64" ht="15.75" customHeight="1">
      <c r="A64" s="235"/>
      <c r="B64" s="235"/>
      <c r="C64" s="236"/>
      <c r="D64" s="235"/>
      <c r="E64" s="235"/>
      <c r="F64" s="235"/>
      <c r="G64" s="235"/>
      <c r="H64" s="235"/>
      <c r="I64" s="237"/>
      <c r="J64" s="237"/>
    </row>
    <row r="65" ht="15.75" customHeight="1">
      <c r="A65" s="235"/>
      <c r="B65" s="235"/>
      <c r="C65" s="236"/>
      <c r="D65" s="235"/>
      <c r="E65" s="235"/>
      <c r="F65" s="235"/>
      <c r="G65" s="235"/>
      <c r="H65" s="235"/>
      <c r="I65" s="237"/>
      <c r="J65" s="237"/>
    </row>
    <row r="66" ht="15.75" customHeight="1">
      <c r="A66" s="235"/>
      <c r="B66" s="235"/>
      <c r="C66" s="236"/>
      <c r="D66" s="235"/>
      <c r="E66" s="235"/>
      <c r="F66" s="235"/>
      <c r="G66" s="235"/>
      <c r="H66" s="235"/>
      <c r="I66" s="237"/>
      <c r="J66" s="237"/>
    </row>
    <row r="67" ht="15.75" customHeight="1">
      <c r="A67" s="235"/>
      <c r="B67" s="235"/>
      <c r="C67" s="236"/>
      <c r="D67" s="235"/>
      <c r="E67" s="235"/>
      <c r="F67" s="235"/>
      <c r="G67" s="235"/>
      <c r="H67" s="235"/>
      <c r="I67" s="237"/>
      <c r="J67" s="237"/>
    </row>
    <row r="68" ht="15.75" customHeight="1">
      <c r="A68" s="235"/>
      <c r="B68" s="235"/>
      <c r="C68" s="236"/>
      <c r="D68" s="235"/>
      <c r="E68" s="235"/>
      <c r="F68" s="235"/>
      <c r="G68" s="235"/>
      <c r="H68" s="235"/>
      <c r="I68" s="237"/>
      <c r="J68" s="237"/>
    </row>
    <row r="69" ht="15.75" customHeight="1">
      <c r="A69" s="235"/>
      <c r="B69" s="235"/>
      <c r="C69" s="236"/>
      <c r="D69" s="235"/>
      <c r="E69" s="235"/>
      <c r="F69" s="235"/>
      <c r="G69" s="235"/>
      <c r="H69" s="235"/>
      <c r="I69" s="237"/>
      <c r="J69" s="237"/>
    </row>
    <row r="70" ht="15.75" customHeight="1">
      <c r="A70" s="235"/>
      <c r="B70" s="235"/>
      <c r="C70" s="236"/>
      <c r="D70" s="235"/>
      <c r="E70" s="235"/>
      <c r="F70" s="235"/>
      <c r="G70" s="235"/>
      <c r="H70" s="235"/>
      <c r="I70" s="237"/>
      <c r="J70" s="237"/>
    </row>
    <row r="71" ht="15.75" customHeight="1">
      <c r="A71" s="235"/>
      <c r="B71" s="235"/>
      <c r="C71" s="236"/>
      <c r="D71" s="235"/>
      <c r="E71" s="235"/>
      <c r="F71" s="235"/>
      <c r="G71" s="235"/>
      <c r="H71" s="235"/>
      <c r="I71" s="237"/>
      <c r="J71" s="237"/>
    </row>
    <row r="72" ht="15.75" customHeight="1">
      <c r="A72" s="235"/>
      <c r="B72" s="235"/>
      <c r="C72" s="236"/>
      <c r="D72" s="235"/>
      <c r="E72" s="235"/>
      <c r="F72" s="235"/>
      <c r="G72" s="235"/>
      <c r="H72" s="235"/>
      <c r="I72" s="237"/>
      <c r="J72" s="237"/>
    </row>
    <row r="73" ht="15.75" customHeight="1">
      <c r="A73" s="235"/>
      <c r="B73" s="235"/>
      <c r="C73" s="236"/>
      <c r="D73" s="235"/>
      <c r="E73" s="235"/>
      <c r="F73" s="235"/>
      <c r="G73" s="235"/>
      <c r="H73" s="235"/>
      <c r="I73" s="237"/>
      <c r="J73" s="237"/>
    </row>
    <row r="74" ht="15.75" customHeight="1">
      <c r="A74" s="235"/>
      <c r="B74" s="235"/>
      <c r="C74" s="236"/>
      <c r="D74" s="235"/>
      <c r="E74" s="235"/>
      <c r="F74" s="235"/>
      <c r="G74" s="235"/>
      <c r="H74" s="235"/>
      <c r="I74" s="237"/>
      <c r="J74" s="237"/>
    </row>
    <row r="75" ht="15.75" customHeight="1">
      <c r="A75" s="235"/>
      <c r="B75" s="235"/>
      <c r="C75" s="236"/>
      <c r="D75" s="235"/>
      <c r="E75" s="235"/>
      <c r="F75" s="235"/>
      <c r="G75" s="235"/>
      <c r="H75" s="235"/>
      <c r="I75" s="237"/>
      <c r="J75" s="237"/>
    </row>
    <row r="76" ht="15.75" customHeight="1">
      <c r="A76" s="235"/>
      <c r="B76" s="235"/>
      <c r="C76" s="236"/>
      <c r="D76" s="235"/>
      <c r="E76" s="235"/>
      <c r="F76" s="235"/>
      <c r="G76" s="235"/>
      <c r="H76" s="235"/>
      <c r="I76" s="237"/>
      <c r="J76" s="237"/>
    </row>
    <row r="77" ht="15.75" customHeight="1">
      <c r="A77" s="235"/>
      <c r="B77" s="235"/>
      <c r="C77" s="236"/>
      <c r="D77" s="235"/>
      <c r="E77" s="235"/>
      <c r="F77" s="235"/>
      <c r="G77" s="235"/>
      <c r="H77" s="235"/>
      <c r="I77" s="237"/>
      <c r="J77" s="237"/>
    </row>
    <row r="78" ht="15.75" customHeight="1">
      <c r="A78" s="235"/>
      <c r="B78" s="235"/>
      <c r="C78" s="236"/>
      <c r="D78" s="235"/>
      <c r="E78" s="235"/>
      <c r="F78" s="235"/>
      <c r="G78" s="235"/>
      <c r="H78" s="235"/>
      <c r="I78" s="237"/>
      <c r="J78" s="237"/>
    </row>
    <row r="79" ht="15.75" customHeight="1">
      <c r="A79" s="235"/>
      <c r="B79" s="235"/>
      <c r="C79" s="236"/>
      <c r="D79" s="235"/>
      <c r="E79" s="235"/>
      <c r="F79" s="235"/>
      <c r="G79" s="235"/>
      <c r="H79" s="235"/>
      <c r="I79" s="237"/>
      <c r="J79" s="237"/>
    </row>
    <row r="80" ht="15.75" customHeight="1">
      <c r="A80" s="235"/>
      <c r="B80" s="235"/>
      <c r="C80" s="236"/>
      <c r="D80" s="235"/>
      <c r="E80" s="235"/>
      <c r="F80" s="235"/>
      <c r="G80" s="235"/>
      <c r="H80" s="235"/>
      <c r="I80" s="237"/>
      <c r="J80" s="237"/>
    </row>
    <row r="81" ht="15.75" customHeight="1">
      <c r="A81" s="235"/>
      <c r="B81" s="235"/>
      <c r="C81" s="236"/>
      <c r="D81" s="235"/>
      <c r="E81" s="235"/>
      <c r="F81" s="235"/>
      <c r="G81" s="235"/>
      <c r="H81" s="235"/>
      <c r="I81" s="237"/>
      <c r="J81" s="237"/>
    </row>
    <row r="82" ht="15.75" customHeight="1">
      <c r="A82" s="235"/>
      <c r="B82" s="235"/>
      <c r="C82" s="236"/>
      <c r="D82" s="235"/>
      <c r="E82" s="235"/>
      <c r="F82" s="235"/>
      <c r="G82" s="235"/>
      <c r="H82" s="235"/>
      <c r="I82" s="237"/>
      <c r="J82" s="237"/>
    </row>
    <row r="83" ht="15.75" customHeight="1">
      <c r="A83" s="235"/>
      <c r="B83" s="235"/>
      <c r="C83" s="236"/>
      <c r="D83" s="235"/>
      <c r="E83" s="235"/>
      <c r="F83" s="235"/>
      <c r="G83" s="235"/>
      <c r="H83" s="235"/>
      <c r="I83" s="237"/>
      <c r="J83" s="237"/>
    </row>
    <row r="84" ht="15.75" customHeight="1">
      <c r="A84" s="235"/>
      <c r="B84" s="235"/>
      <c r="C84" s="236"/>
      <c r="D84" s="235"/>
      <c r="E84" s="235"/>
      <c r="F84" s="235"/>
      <c r="G84" s="235"/>
      <c r="H84" s="235"/>
      <c r="I84" s="237"/>
      <c r="J84" s="237"/>
    </row>
    <row r="85" ht="15.75" customHeight="1">
      <c r="A85" s="235"/>
      <c r="B85" s="235"/>
      <c r="C85" s="236"/>
      <c r="D85" s="235"/>
      <c r="E85" s="235"/>
      <c r="F85" s="235"/>
      <c r="G85" s="235"/>
      <c r="H85" s="235"/>
      <c r="I85" s="237"/>
      <c r="J85" s="237"/>
    </row>
    <row r="86" ht="15.75" customHeight="1">
      <c r="A86" s="235"/>
      <c r="B86" s="235"/>
      <c r="C86" s="236"/>
      <c r="D86" s="235"/>
      <c r="E86" s="235"/>
      <c r="F86" s="235"/>
      <c r="G86" s="235"/>
      <c r="H86" s="235"/>
      <c r="I86" s="237"/>
      <c r="J86" s="237"/>
    </row>
    <row r="87" ht="15.75" customHeight="1">
      <c r="A87" s="235"/>
      <c r="B87" s="235"/>
      <c r="C87" s="236"/>
      <c r="D87" s="235"/>
      <c r="E87" s="235"/>
      <c r="F87" s="235"/>
      <c r="G87" s="235"/>
      <c r="H87" s="235"/>
      <c r="I87" s="237"/>
      <c r="J87" s="237"/>
    </row>
    <row r="88" ht="15.75" customHeight="1">
      <c r="A88" s="235"/>
      <c r="B88" s="235"/>
      <c r="C88" s="236"/>
      <c r="D88" s="235"/>
      <c r="E88" s="235"/>
      <c r="F88" s="235"/>
      <c r="G88" s="235"/>
      <c r="H88" s="235"/>
      <c r="I88" s="237"/>
      <c r="J88" s="237"/>
    </row>
    <row r="89" ht="15.75" customHeight="1">
      <c r="A89" s="235"/>
      <c r="B89" s="235"/>
      <c r="C89" s="236"/>
      <c r="D89" s="235"/>
      <c r="E89" s="235"/>
      <c r="F89" s="235"/>
      <c r="G89" s="235"/>
      <c r="H89" s="235"/>
      <c r="I89" s="237"/>
      <c r="J89" s="237"/>
    </row>
    <row r="90" ht="15.75" customHeight="1">
      <c r="A90" s="235"/>
      <c r="B90" s="235"/>
      <c r="C90" s="236"/>
      <c r="D90" s="235"/>
      <c r="E90" s="235"/>
      <c r="F90" s="235"/>
      <c r="G90" s="235"/>
      <c r="H90" s="235"/>
      <c r="I90" s="237"/>
      <c r="J90" s="237"/>
    </row>
    <row r="91" ht="15.75" customHeight="1">
      <c r="A91" s="235"/>
      <c r="B91" s="235"/>
      <c r="C91" s="236"/>
      <c r="D91" s="235"/>
      <c r="E91" s="235"/>
      <c r="F91" s="235"/>
      <c r="G91" s="235"/>
      <c r="H91" s="235"/>
      <c r="I91" s="237"/>
      <c r="J91" s="237"/>
    </row>
    <row r="92" ht="15.75" customHeight="1">
      <c r="A92" s="235"/>
      <c r="B92" s="235"/>
      <c r="C92" s="236"/>
      <c r="D92" s="235"/>
      <c r="E92" s="235"/>
      <c r="F92" s="235"/>
      <c r="G92" s="235"/>
      <c r="H92" s="235"/>
      <c r="I92" s="237"/>
      <c r="J92" s="237"/>
    </row>
    <row r="93" ht="15.75" customHeight="1">
      <c r="A93" s="235"/>
      <c r="B93" s="235"/>
      <c r="C93" s="236"/>
      <c r="D93" s="235"/>
      <c r="E93" s="235"/>
      <c r="F93" s="235"/>
      <c r="G93" s="235"/>
      <c r="H93" s="235"/>
      <c r="I93" s="237"/>
      <c r="J93" s="237"/>
    </row>
    <row r="94" ht="15.75" customHeight="1">
      <c r="A94" s="235"/>
      <c r="B94" s="235"/>
      <c r="C94" s="236"/>
      <c r="D94" s="235"/>
      <c r="E94" s="235"/>
      <c r="F94" s="235"/>
      <c r="G94" s="235"/>
      <c r="H94" s="235"/>
      <c r="I94" s="237"/>
      <c r="J94" s="237"/>
    </row>
    <row r="95" ht="15.75" customHeight="1">
      <c r="A95" s="235"/>
      <c r="B95" s="235"/>
      <c r="C95" s="236"/>
      <c r="D95" s="235"/>
      <c r="E95" s="235"/>
      <c r="F95" s="235"/>
      <c r="G95" s="235"/>
      <c r="H95" s="235"/>
      <c r="I95" s="237"/>
      <c r="J95" s="237"/>
    </row>
    <row r="96" ht="15.75" customHeight="1">
      <c r="A96" s="235"/>
      <c r="B96" s="235"/>
      <c r="C96" s="236"/>
      <c r="D96" s="235"/>
      <c r="E96" s="235"/>
      <c r="F96" s="235"/>
      <c r="G96" s="235"/>
      <c r="H96" s="235"/>
      <c r="I96" s="237"/>
      <c r="J96" s="237"/>
    </row>
    <row r="97" ht="15.75" customHeight="1">
      <c r="A97" s="235"/>
      <c r="B97" s="235"/>
      <c r="C97" s="236"/>
      <c r="D97" s="235"/>
      <c r="E97" s="235"/>
      <c r="F97" s="235"/>
      <c r="G97" s="235"/>
      <c r="H97" s="235"/>
      <c r="I97" s="237"/>
      <c r="J97" s="237"/>
    </row>
    <row r="98" ht="15.75" customHeight="1">
      <c r="A98" s="235"/>
      <c r="B98" s="235"/>
      <c r="C98" s="236"/>
      <c r="D98" s="235"/>
      <c r="E98" s="235"/>
      <c r="F98" s="235"/>
      <c r="G98" s="235"/>
      <c r="H98" s="235"/>
      <c r="I98" s="237"/>
      <c r="J98" s="237"/>
    </row>
    <row r="99" ht="15.75" customHeight="1">
      <c r="A99" s="235"/>
      <c r="B99" s="235"/>
      <c r="C99" s="236"/>
      <c r="D99" s="235"/>
      <c r="E99" s="235"/>
      <c r="F99" s="235"/>
      <c r="G99" s="235"/>
      <c r="H99" s="235"/>
      <c r="I99" s="237"/>
      <c r="J99" s="237"/>
    </row>
    <row r="100" ht="15.75" customHeight="1">
      <c r="A100" s="235"/>
      <c r="B100" s="235"/>
      <c r="C100" s="236"/>
      <c r="D100" s="235"/>
      <c r="E100" s="235"/>
      <c r="F100" s="235"/>
      <c r="G100" s="235"/>
      <c r="H100" s="235"/>
      <c r="I100" s="237"/>
      <c r="J100" s="237"/>
    </row>
    <row r="101" ht="15.75" customHeight="1">
      <c r="A101" s="235"/>
      <c r="B101" s="235"/>
      <c r="C101" s="236"/>
      <c r="D101" s="235"/>
      <c r="E101" s="235"/>
      <c r="F101" s="235"/>
      <c r="G101" s="235"/>
      <c r="H101" s="235"/>
      <c r="I101" s="237"/>
      <c r="J101" s="237"/>
    </row>
    <row r="102" ht="15.75" customHeight="1">
      <c r="A102" s="235"/>
      <c r="B102" s="235"/>
      <c r="C102" s="236"/>
      <c r="D102" s="235"/>
      <c r="E102" s="235"/>
      <c r="F102" s="235"/>
      <c r="G102" s="235"/>
      <c r="H102" s="235"/>
      <c r="I102" s="237"/>
      <c r="J102" s="237"/>
    </row>
    <row r="103" ht="15.75" customHeight="1">
      <c r="A103" s="235"/>
      <c r="B103" s="235"/>
      <c r="C103" s="236"/>
      <c r="D103" s="235"/>
      <c r="E103" s="235"/>
      <c r="F103" s="235"/>
      <c r="G103" s="235"/>
      <c r="H103" s="235"/>
      <c r="I103" s="237"/>
      <c r="J103" s="237"/>
    </row>
    <row r="104" ht="15.75" customHeight="1">
      <c r="A104" s="235"/>
      <c r="B104" s="235"/>
      <c r="C104" s="236"/>
      <c r="D104" s="235"/>
      <c r="E104" s="235"/>
      <c r="F104" s="235"/>
      <c r="G104" s="235"/>
      <c r="H104" s="235"/>
      <c r="I104" s="237"/>
      <c r="J104" s="237"/>
    </row>
    <row r="105" ht="15.75" customHeight="1">
      <c r="A105" s="235"/>
      <c r="B105" s="235"/>
      <c r="C105" s="236"/>
      <c r="D105" s="235"/>
      <c r="E105" s="235"/>
      <c r="F105" s="235"/>
      <c r="G105" s="235"/>
      <c r="H105" s="235"/>
      <c r="I105" s="237"/>
      <c r="J105" s="237"/>
    </row>
    <row r="106" ht="15.75" customHeight="1">
      <c r="A106" s="235"/>
      <c r="B106" s="235"/>
      <c r="C106" s="236"/>
      <c r="D106" s="235"/>
      <c r="E106" s="235"/>
      <c r="F106" s="235"/>
      <c r="G106" s="235"/>
      <c r="H106" s="235"/>
      <c r="I106" s="237"/>
      <c r="J106" s="237"/>
    </row>
    <row r="107" ht="15.75" customHeight="1">
      <c r="A107" s="235"/>
      <c r="B107" s="235"/>
      <c r="C107" s="236"/>
      <c r="D107" s="235"/>
      <c r="E107" s="235"/>
      <c r="F107" s="235"/>
      <c r="G107" s="235"/>
      <c r="H107" s="235"/>
      <c r="I107" s="237"/>
      <c r="J107" s="237"/>
    </row>
    <row r="108" ht="15.75" customHeight="1">
      <c r="A108" s="235"/>
      <c r="B108" s="235"/>
      <c r="C108" s="236"/>
      <c r="D108" s="235"/>
      <c r="E108" s="235"/>
      <c r="F108" s="235"/>
      <c r="G108" s="235"/>
      <c r="H108" s="235"/>
      <c r="I108" s="237"/>
      <c r="J108" s="237"/>
    </row>
    <row r="109" ht="15.75" customHeight="1">
      <c r="A109" s="235"/>
      <c r="B109" s="235"/>
      <c r="C109" s="236"/>
      <c r="D109" s="235"/>
      <c r="E109" s="235"/>
      <c r="F109" s="235"/>
      <c r="G109" s="235"/>
      <c r="H109" s="235"/>
      <c r="I109" s="237"/>
      <c r="J109" s="237"/>
    </row>
    <row r="110" ht="15.75" customHeight="1">
      <c r="A110" s="235"/>
      <c r="B110" s="235"/>
      <c r="C110" s="236"/>
      <c r="D110" s="235"/>
      <c r="E110" s="235"/>
      <c r="F110" s="235"/>
      <c r="G110" s="235"/>
      <c r="H110" s="235"/>
      <c r="I110" s="237"/>
      <c r="J110" s="237"/>
    </row>
    <row r="111" ht="15.75" customHeight="1">
      <c r="A111" s="235"/>
      <c r="B111" s="235"/>
      <c r="C111" s="236"/>
      <c r="D111" s="235"/>
      <c r="E111" s="235"/>
      <c r="F111" s="235"/>
      <c r="G111" s="235"/>
      <c r="H111" s="235"/>
      <c r="I111" s="237"/>
      <c r="J111" s="237"/>
    </row>
    <row r="112" ht="15.75" customHeight="1">
      <c r="A112" s="235"/>
      <c r="B112" s="235"/>
      <c r="C112" s="236"/>
      <c r="D112" s="235"/>
      <c r="E112" s="235"/>
      <c r="F112" s="235"/>
      <c r="G112" s="235"/>
      <c r="H112" s="235"/>
      <c r="I112" s="237"/>
      <c r="J112" s="237"/>
    </row>
    <row r="113" ht="15.75" customHeight="1">
      <c r="A113" s="235"/>
      <c r="B113" s="235"/>
      <c r="C113" s="236"/>
      <c r="D113" s="235"/>
      <c r="E113" s="235"/>
      <c r="F113" s="235"/>
      <c r="G113" s="235"/>
      <c r="H113" s="235"/>
      <c r="I113" s="237"/>
      <c r="J113" s="237"/>
    </row>
    <row r="114" ht="15.75" customHeight="1">
      <c r="A114" s="235"/>
      <c r="B114" s="235"/>
      <c r="C114" s="236"/>
      <c r="D114" s="235"/>
      <c r="E114" s="235"/>
      <c r="F114" s="235"/>
      <c r="G114" s="235"/>
      <c r="H114" s="235"/>
      <c r="I114" s="237"/>
      <c r="J114" s="237"/>
    </row>
    <row r="115" ht="15.75" customHeight="1">
      <c r="A115" s="235"/>
      <c r="B115" s="235"/>
      <c r="C115" s="236"/>
      <c r="D115" s="235"/>
      <c r="E115" s="235"/>
      <c r="F115" s="235"/>
      <c r="G115" s="235"/>
      <c r="H115" s="235"/>
      <c r="I115" s="237"/>
      <c r="J115" s="237"/>
    </row>
    <row r="116" ht="15.75" customHeight="1">
      <c r="A116" s="235"/>
      <c r="B116" s="235"/>
      <c r="C116" s="236"/>
      <c r="D116" s="235"/>
      <c r="E116" s="235"/>
      <c r="F116" s="235"/>
      <c r="G116" s="235"/>
      <c r="H116" s="235"/>
      <c r="I116" s="237"/>
      <c r="J116" s="237"/>
    </row>
    <row r="117" ht="15.75" customHeight="1">
      <c r="A117" s="235"/>
      <c r="B117" s="235"/>
      <c r="C117" s="236"/>
      <c r="D117" s="235"/>
      <c r="E117" s="235"/>
      <c r="F117" s="235"/>
      <c r="G117" s="235"/>
      <c r="H117" s="235"/>
      <c r="I117" s="237"/>
      <c r="J117" s="237"/>
    </row>
    <row r="118" ht="15.75" customHeight="1">
      <c r="A118" s="235"/>
      <c r="B118" s="235"/>
      <c r="C118" s="236"/>
      <c r="D118" s="235"/>
      <c r="E118" s="235"/>
      <c r="F118" s="235"/>
      <c r="G118" s="235"/>
      <c r="H118" s="235"/>
      <c r="I118" s="237"/>
      <c r="J118" s="237"/>
    </row>
    <row r="119" ht="15.75" customHeight="1">
      <c r="A119" s="235"/>
      <c r="B119" s="235"/>
      <c r="C119" s="236"/>
      <c r="D119" s="235"/>
      <c r="E119" s="235"/>
      <c r="F119" s="235"/>
      <c r="G119" s="235"/>
      <c r="H119" s="235"/>
      <c r="I119" s="237"/>
      <c r="J119" s="237"/>
    </row>
    <row r="120" ht="15.75" customHeight="1">
      <c r="A120" s="235"/>
      <c r="B120" s="235"/>
      <c r="C120" s="236"/>
      <c r="D120" s="235"/>
      <c r="E120" s="235"/>
      <c r="F120" s="235"/>
      <c r="G120" s="235"/>
      <c r="H120" s="235"/>
      <c r="I120" s="237"/>
      <c r="J120" s="237"/>
    </row>
    <row r="121" ht="15.75" customHeight="1">
      <c r="A121" s="235"/>
      <c r="B121" s="235"/>
      <c r="C121" s="236"/>
      <c r="D121" s="235"/>
      <c r="E121" s="235"/>
      <c r="F121" s="235"/>
      <c r="G121" s="235"/>
      <c r="H121" s="235"/>
      <c r="I121" s="237"/>
      <c r="J121" s="237"/>
    </row>
    <row r="122" ht="15.75" customHeight="1">
      <c r="A122" s="235"/>
      <c r="B122" s="235"/>
      <c r="C122" s="236"/>
      <c r="D122" s="235"/>
      <c r="E122" s="235"/>
      <c r="F122" s="235"/>
      <c r="G122" s="235"/>
      <c r="H122" s="235"/>
      <c r="I122" s="237"/>
      <c r="J122" s="237"/>
    </row>
    <row r="123" ht="15.75" customHeight="1">
      <c r="A123" s="235"/>
      <c r="B123" s="235"/>
      <c r="C123" s="236"/>
      <c r="D123" s="235"/>
      <c r="E123" s="235"/>
      <c r="F123" s="235"/>
      <c r="G123" s="235"/>
      <c r="H123" s="235"/>
      <c r="I123" s="237"/>
      <c r="J123" s="237"/>
    </row>
    <row r="124" ht="15.75" customHeight="1">
      <c r="A124" s="235"/>
      <c r="B124" s="235"/>
      <c r="C124" s="236"/>
      <c r="D124" s="235"/>
      <c r="E124" s="235"/>
      <c r="F124" s="235"/>
      <c r="G124" s="235"/>
      <c r="H124" s="235"/>
      <c r="I124" s="237"/>
      <c r="J124" s="237"/>
    </row>
    <row r="125" ht="15.75" customHeight="1">
      <c r="A125" s="235"/>
      <c r="B125" s="235"/>
      <c r="C125" s="236"/>
      <c r="D125" s="235"/>
      <c r="E125" s="235"/>
      <c r="F125" s="235"/>
      <c r="G125" s="235"/>
      <c r="H125" s="235"/>
      <c r="I125" s="237"/>
      <c r="J125" s="237"/>
    </row>
    <row r="126" ht="15.75" customHeight="1">
      <c r="A126" s="235"/>
      <c r="B126" s="235"/>
      <c r="C126" s="236"/>
      <c r="D126" s="235"/>
      <c r="E126" s="235"/>
      <c r="F126" s="235"/>
      <c r="G126" s="235"/>
      <c r="H126" s="235"/>
      <c r="I126" s="237"/>
      <c r="J126" s="237"/>
    </row>
    <row r="127" ht="15.75" customHeight="1">
      <c r="A127" s="235"/>
      <c r="B127" s="235"/>
      <c r="C127" s="236"/>
      <c r="D127" s="235"/>
      <c r="E127" s="235"/>
      <c r="F127" s="235"/>
      <c r="G127" s="235"/>
      <c r="H127" s="235"/>
      <c r="I127" s="237"/>
      <c r="J127" s="237"/>
    </row>
    <row r="128" ht="15.75" customHeight="1">
      <c r="A128" s="235"/>
      <c r="B128" s="235"/>
      <c r="C128" s="236"/>
      <c r="D128" s="235"/>
      <c r="E128" s="235"/>
      <c r="F128" s="235"/>
      <c r="G128" s="235"/>
      <c r="H128" s="235"/>
      <c r="I128" s="237"/>
      <c r="J128" s="237"/>
    </row>
    <row r="129" ht="15.75" customHeight="1">
      <c r="A129" s="235"/>
      <c r="B129" s="235"/>
      <c r="C129" s="236"/>
      <c r="D129" s="235"/>
      <c r="E129" s="235"/>
      <c r="F129" s="235"/>
      <c r="G129" s="235"/>
      <c r="H129" s="235"/>
      <c r="I129" s="237"/>
      <c r="J129" s="237"/>
    </row>
    <row r="130" ht="15.75" customHeight="1">
      <c r="A130" s="235"/>
      <c r="B130" s="235"/>
      <c r="C130" s="236"/>
      <c r="D130" s="235"/>
      <c r="E130" s="235"/>
      <c r="F130" s="235"/>
      <c r="G130" s="235"/>
      <c r="H130" s="235"/>
      <c r="I130" s="237"/>
      <c r="J130" s="237"/>
    </row>
    <row r="131" ht="15.75" customHeight="1">
      <c r="A131" s="235"/>
      <c r="B131" s="235"/>
      <c r="C131" s="236"/>
      <c r="D131" s="235"/>
      <c r="E131" s="235"/>
      <c r="F131" s="235"/>
      <c r="G131" s="235"/>
      <c r="H131" s="235"/>
      <c r="I131" s="237"/>
      <c r="J131" s="237"/>
    </row>
    <row r="132" ht="15.75" customHeight="1">
      <c r="A132" s="235"/>
      <c r="B132" s="235"/>
      <c r="C132" s="236"/>
      <c r="D132" s="235"/>
      <c r="E132" s="235"/>
      <c r="F132" s="235"/>
      <c r="G132" s="235"/>
      <c r="H132" s="235"/>
      <c r="I132" s="237"/>
      <c r="J132" s="237"/>
    </row>
    <row r="133" ht="15.75" customHeight="1">
      <c r="A133" s="235"/>
      <c r="B133" s="235"/>
      <c r="C133" s="236"/>
      <c r="D133" s="235"/>
      <c r="E133" s="235"/>
      <c r="F133" s="235"/>
      <c r="G133" s="235"/>
      <c r="H133" s="235"/>
      <c r="I133" s="237"/>
      <c r="J133" s="237"/>
    </row>
    <row r="134" ht="15.75" customHeight="1">
      <c r="A134" s="235"/>
      <c r="B134" s="235"/>
      <c r="C134" s="236"/>
      <c r="D134" s="235"/>
      <c r="E134" s="235"/>
      <c r="F134" s="235"/>
      <c r="G134" s="235"/>
      <c r="H134" s="235"/>
      <c r="I134" s="237"/>
      <c r="J134" s="237"/>
    </row>
    <row r="135" ht="15.75" customHeight="1">
      <c r="A135" s="235"/>
      <c r="B135" s="235"/>
      <c r="C135" s="236"/>
      <c r="D135" s="235"/>
      <c r="E135" s="235"/>
      <c r="F135" s="235"/>
      <c r="G135" s="235"/>
      <c r="H135" s="235"/>
      <c r="I135" s="237"/>
      <c r="J135" s="237"/>
    </row>
    <row r="136" ht="15.75" customHeight="1">
      <c r="A136" s="235"/>
      <c r="B136" s="235"/>
      <c r="C136" s="236"/>
      <c r="D136" s="235"/>
      <c r="E136" s="235"/>
      <c r="F136" s="235"/>
      <c r="G136" s="235"/>
      <c r="H136" s="235"/>
      <c r="I136" s="237"/>
      <c r="J136" s="237"/>
    </row>
    <row r="137" ht="15.75" customHeight="1">
      <c r="A137" s="235"/>
      <c r="B137" s="235"/>
      <c r="C137" s="236"/>
      <c r="D137" s="235"/>
      <c r="E137" s="235"/>
      <c r="F137" s="235"/>
      <c r="G137" s="235"/>
      <c r="H137" s="235"/>
      <c r="I137" s="237"/>
      <c r="J137" s="237"/>
    </row>
    <row r="138" ht="15.75" customHeight="1">
      <c r="A138" s="235"/>
      <c r="B138" s="235"/>
      <c r="C138" s="236"/>
      <c r="D138" s="235"/>
      <c r="E138" s="235"/>
      <c r="F138" s="235"/>
      <c r="G138" s="235"/>
      <c r="H138" s="235"/>
      <c r="I138" s="237"/>
      <c r="J138" s="237"/>
    </row>
    <row r="139" ht="15.75" customHeight="1">
      <c r="A139" s="235"/>
      <c r="B139" s="235"/>
      <c r="C139" s="236"/>
      <c r="D139" s="235"/>
      <c r="E139" s="235"/>
      <c r="F139" s="235"/>
      <c r="G139" s="235"/>
      <c r="H139" s="235"/>
      <c r="I139" s="237"/>
      <c r="J139" s="237"/>
    </row>
    <row r="140" ht="15.75" customHeight="1">
      <c r="A140" s="235"/>
      <c r="B140" s="235"/>
      <c r="C140" s="236"/>
      <c r="D140" s="235"/>
      <c r="E140" s="235"/>
      <c r="F140" s="235"/>
      <c r="G140" s="235"/>
      <c r="H140" s="235"/>
      <c r="I140" s="237"/>
      <c r="J140" s="237"/>
    </row>
    <row r="141" ht="15.75" customHeight="1">
      <c r="A141" s="235"/>
      <c r="B141" s="235"/>
      <c r="C141" s="236"/>
      <c r="D141" s="235"/>
      <c r="E141" s="235"/>
      <c r="F141" s="235"/>
      <c r="G141" s="235"/>
      <c r="H141" s="235"/>
      <c r="I141" s="237"/>
      <c r="J141" s="237"/>
    </row>
    <row r="142" ht="15.75" customHeight="1">
      <c r="A142" s="235"/>
      <c r="B142" s="235"/>
      <c r="C142" s="236"/>
      <c r="D142" s="235"/>
      <c r="E142" s="235"/>
      <c r="F142" s="235"/>
      <c r="G142" s="235"/>
      <c r="H142" s="235"/>
      <c r="I142" s="237"/>
      <c r="J142" s="237"/>
    </row>
    <row r="143" ht="15.75" customHeight="1">
      <c r="A143" s="235"/>
      <c r="B143" s="235"/>
      <c r="C143" s="236"/>
      <c r="D143" s="235"/>
      <c r="E143" s="235"/>
      <c r="F143" s="235"/>
      <c r="G143" s="235"/>
      <c r="H143" s="235"/>
      <c r="I143" s="237"/>
      <c r="J143" s="237"/>
    </row>
    <row r="144" ht="15.75" customHeight="1">
      <c r="A144" s="235"/>
      <c r="B144" s="235"/>
      <c r="C144" s="236"/>
      <c r="D144" s="235"/>
      <c r="E144" s="235"/>
      <c r="F144" s="235"/>
      <c r="G144" s="235"/>
      <c r="H144" s="235"/>
      <c r="I144" s="237"/>
      <c r="J144" s="237"/>
    </row>
    <row r="145" ht="15.75" customHeight="1">
      <c r="A145" s="235"/>
      <c r="B145" s="235"/>
      <c r="C145" s="236"/>
      <c r="D145" s="235"/>
      <c r="E145" s="235"/>
      <c r="F145" s="235"/>
      <c r="G145" s="235"/>
      <c r="H145" s="235"/>
      <c r="I145" s="237"/>
      <c r="J145" s="237"/>
    </row>
    <row r="146" ht="15.75" customHeight="1">
      <c r="A146" s="235"/>
      <c r="B146" s="235"/>
      <c r="C146" s="236"/>
      <c r="D146" s="235"/>
      <c r="E146" s="235"/>
      <c r="F146" s="235"/>
      <c r="G146" s="235"/>
      <c r="H146" s="235"/>
      <c r="I146" s="237"/>
      <c r="J146" s="237"/>
    </row>
    <row r="147" ht="15.75" customHeight="1">
      <c r="A147" s="235"/>
      <c r="B147" s="235"/>
      <c r="C147" s="236"/>
      <c r="D147" s="235"/>
      <c r="E147" s="235"/>
      <c r="F147" s="235"/>
      <c r="G147" s="235"/>
      <c r="H147" s="235"/>
      <c r="I147" s="237"/>
      <c r="J147" s="237"/>
    </row>
    <row r="148" ht="15.75" customHeight="1">
      <c r="A148" s="235"/>
      <c r="B148" s="235"/>
      <c r="C148" s="236"/>
      <c r="D148" s="235"/>
      <c r="E148" s="235"/>
      <c r="F148" s="235"/>
      <c r="G148" s="235"/>
      <c r="H148" s="235"/>
      <c r="I148" s="237"/>
      <c r="J148" s="237"/>
    </row>
    <row r="149" ht="15.75" customHeight="1">
      <c r="A149" s="235"/>
      <c r="B149" s="235"/>
      <c r="C149" s="236"/>
      <c r="D149" s="235"/>
      <c r="E149" s="235"/>
      <c r="F149" s="235"/>
      <c r="G149" s="235"/>
      <c r="H149" s="235"/>
      <c r="I149" s="237"/>
      <c r="J149" s="237"/>
    </row>
    <row r="150" ht="15.75" customHeight="1">
      <c r="A150" s="235"/>
      <c r="B150" s="235"/>
      <c r="C150" s="236"/>
      <c r="D150" s="235"/>
      <c r="E150" s="235"/>
      <c r="F150" s="235"/>
      <c r="G150" s="235"/>
      <c r="H150" s="235"/>
      <c r="I150" s="237"/>
      <c r="J150" s="237"/>
    </row>
    <row r="151" ht="15.75" customHeight="1">
      <c r="A151" s="235"/>
      <c r="B151" s="235"/>
      <c r="C151" s="236"/>
      <c r="D151" s="235"/>
      <c r="E151" s="235"/>
      <c r="F151" s="235"/>
      <c r="G151" s="235"/>
      <c r="H151" s="235"/>
      <c r="I151" s="237"/>
      <c r="J151" s="237"/>
    </row>
    <row r="152" ht="15.75" customHeight="1">
      <c r="A152" s="235"/>
      <c r="B152" s="235"/>
      <c r="C152" s="236"/>
      <c r="D152" s="235"/>
      <c r="E152" s="235"/>
      <c r="F152" s="235"/>
      <c r="G152" s="235"/>
      <c r="H152" s="235"/>
      <c r="I152" s="237"/>
      <c r="J152" s="237"/>
    </row>
    <row r="153" ht="15.75" customHeight="1">
      <c r="A153" s="235"/>
      <c r="B153" s="235"/>
      <c r="C153" s="236"/>
      <c r="D153" s="235"/>
      <c r="E153" s="235"/>
      <c r="F153" s="235"/>
      <c r="G153" s="235"/>
      <c r="H153" s="235"/>
      <c r="I153" s="237"/>
      <c r="J153" s="237"/>
    </row>
    <row r="154" ht="15.75" customHeight="1">
      <c r="A154" s="235"/>
      <c r="B154" s="235"/>
      <c r="C154" s="236"/>
      <c r="D154" s="235"/>
      <c r="E154" s="235"/>
      <c r="F154" s="235"/>
      <c r="G154" s="235"/>
      <c r="H154" s="235"/>
      <c r="I154" s="237"/>
      <c r="J154" s="237"/>
    </row>
    <row r="155" ht="15.75" customHeight="1">
      <c r="A155" s="235"/>
      <c r="B155" s="235"/>
      <c r="C155" s="236"/>
      <c r="D155" s="235"/>
      <c r="E155" s="235"/>
      <c r="F155" s="235"/>
      <c r="G155" s="235"/>
      <c r="H155" s="235"/>
      <c r="I155" s="237"/>
      <c r="J155" s="237"/>
    </row>
    <row r="156" ht="15.75" customHeight="1">
      <c r="A156" s="235"/>
      <c r="B156" s="235"/>
      <c r="C156" s="236"/>
      <c r="D156" s="235"/>
      <c r="E156" s="235"/>
      <c r="F156" s="235"/>
      <c r="G156" s="235"/>
      <c r="H156" s="235"/>
      <c r="I156" s="237"/>
      <c r="J156" s="237"/>
    </row>
    <row r="157" ht="15.75" customHeight="1">
      <c r="A157" s="235"/>
      <c r="B157" s="235"/>
      <c r="C157" s="236"/>
      <c r="D157" s="235"/>
      <c r="E157" s="235"/>
      <c r="F157" s="235"/>
      <c r="G157" s="235"/>
      <c r="H157" s="235"/>
      <c r="I157" s="237"/>
      <c r="J157" s="237"/>
    </row>
    <row r="158" ht="15.75" customHeight="1">
      <c r="A158" s="235"/>
      <c r="B158" s="235"/>
      <c r="C158" s="236"/>
      <c r="D158" s="235"/>
      <c r="E158" s="235"/>
      <c r="F158" s="235"/>
      <c r="G158" s="235"/>
      <c r="H158" s="235"/>
      <c r="I158" s="237"/>
      <c r="J158" s="237"/>
    </row>
    <row r="159" ht="15.75" customHeight="1">
      <c r="A159" s="235"/>
      <c r="B159" s="235"/>
      <c r="C159" s="236"/>
      <c r="D159" s="235"/>
      <c r="E159" s="235"/>
      <c r="F159" s="235"/>
      <c r="G159" s="235"/>
      <c r="H159" s="235"/>
      <c r="I159" s="237"/>
      <c r="J159" s="237"/>
    </row>
    <row r="160" ht="15.75" customHeight="1">
      <c r="A160" s="235"/>
      <c r="B160" s="235"/>
      <c r="C160" s="236"/>
      <c r="D160" s="235"/>
      <c r="E160" s="235"/>
      <c r="F160" s="235"/>
      <c r="G160" s="235"/>
      <c r="H160" s="235"/>
      <c r="I160" s="237"/>
      <c r="J160" s="237"/>
    </row>
    <row r="161" ht="15.75" customHeight="1">
      <c r="A161" s="235"/>
      <c r="B161" s="235"/>
      <c r="C161" s="236"/>
      <c r="D161" s="235"/>
      <c r="E161" s="235"/>
      <c r="F161" s="235"/>
      <c r="G161" s="235"/>
      <c r="H161" s="235"/>
      <c r="I161" s="237"/>
      <c r="J161" s="237"/>
    </row>
    <row r="162" ht="15.75" customHeight="1">
      <c r="A162" s="235"/>
      <c r="B162" s="235"/>
      <c r="C162" s="236"/>
      <c r="D162" s="235"/>
      <c r="E162" s="235"/>
      <c r="F162" s="235"/>
      <c r="G162" s="235"/>
      <c r="H162" s="235"/>
      <c r="I162" s="237"/>
      <c r="J162" s="237"/>
    </row>
    <row r="163" ht="15.75" customHeight="1">
      <c r="A163" s="235"/>
      <c r="B163" s="235"/>
      <c r="C163" s="236"/>
      <c r="D163" s="235"/>
      <c r="E163" s="235"/>
      <c r="F163" s="235"/>
      <c r="G163" s="235"/>
      <c r="H163" s="235"/>
      <c r="I163" s="237"/>
      <c r="J163" s="237"/>
    </row>
    <row r="164" ht="15.75" customHeight="1">
      <c r="A164" s="235"/>
      <c r="B164" s="235"/>
      <c r="C164" s="236"/>
      <c r="D164" s="235"/>
      <c r="E164" s="235"/>
      <c r="F164" s="235"/>
      <c r="G164" s="235"/>
      <c r="H164" s="235"/>
      <c r="I164" s="237"/>
      <c r="J164" s="237"/>
    </row>
    <row r="165" ht="15.75" customHeight="1">
      <c r="A165" s="235"/>
      <c r="B165" s="235"/>
      <c r="C165" s="236"/>
      <c r="D165" s="235"/>
      <c r="E165" s="235"/>
      <c r="F165" s="235"/>
      <c r="G165" s="235"/>
      <c r="H165" s="235"/>
      <c r="I165" s="237"/>
      <c r="J165" s="237"/>
    </row>
    <row r="166" ht="15.75" customHeight="1">
      <c r="A166" s="235"/>
      <c r="B166" s="235"/>
      <c r="C166" s="236"/>
      <c r="D166" s="235"/>
      <c r="E166" s="235"/>
      <c r="F166" s="235"/>
      <c r="G166" s="235"/>
      <c r="H166" s="235"/>
      <c r="I166" s="237"/>
      <c r="J166" s="237"/>
    </row>
    <row r="167" ht="15.75" customHeight="1">
      <c r="A167" s="235"/>
      <c r="B167" s="235"/>
      <c r="C167" s="236"/>
      <c r="D167" s="235"/>
      <c r="E167" s="235"/>
      <c r="F167" s="235"/>
      <c r="G167" s="235"/>
      <c r="H167" s="235"/>
      <c r="I167" s="237"/>
      <c r="J167" s="237"/>
    </row>
    <row r="168" ht="15.75" customHeight="1">
      <c r="A168" s="235"/>
      <c r="B168" s="235"/>
      <c r="C168" s="236"/>
      <c r="D168" s="235"/>
      <c r="E168" s="235"/>
      <c r="F168" s="235"/>
      <c r="G168" s="235"/>
      <c r="H168" s="235"/>
      <c r="I168" s="237"/>
      <c r="J168" s="237"/>
    </row>
    <row r="169" ht="15.75" customHeight="1">
      <c r="A169" s="235"/>
      <c r="B169" s="235"/>
      <c r="C169" s="236"/>
      <c r="D169" s="235"/>
      <c r="E169" s="235"/>
      <c r="F169" s="235"/>
      <c r="G169" s="235"/>
      <c r="H169" s="235"/>
      <c r="I169" s="237"/>
      <c r="J169" s="237"/>
    </row>
    <row r="170" ht="15.75" customHeight="1">
      <c r="A170" s="235"/>
      <c r="B170" s="235"/>
      <c r="C170" s="236"/>
      <c r="D170" s="235"/>
      <c r="E170" s="235"/>
      <c r="F170" s="235"/>
      <c r="G170" s="235"/>
      <c r="H170" s="235"/>
      <c r="I170" s="237"/>
      <c r="J170" s="237"/>
    </row>
    <row r="171" ht="15.75" customHeight="1">
      <c r="A171" s="235"/>
      <c r="B171" s="235"/>
      <c r="C171" s="236"/>
      <c r="D171" s="235"/>
      <c r="E171" s="235"/>
      <c r="F171" s="235"/>
      <c r="G171" s="235"/>
      <c r="H171" s="235"/>
      <c r="I171" s="237"/>
      <c r="J171" s="237"/>
    </row>
    <row r="172" ht="15.75" customHeight="1">
      <c r="A172" s="235"/>
      <c r="B172" s="235"/>
      <c r="C172" s="236"/>
      <c r="D172" s="235"/>
      <c r="E172" s="235"/>
      <c r="F172" s="235"/>
      <c r="G172" s="235"/>
      <c r="H172" s="235"/>
      <c r="I172" s="237"/>
      <c r="J172" s="237"/>
    </row>
    <row r="173" ht="15.75" customHeight="1">
      <c r="A173" s="235"/>
      <c r="B173" s="235"/>
      <c r="C173" s="236"/>
      <c r="D173" s="235"/>
      <c r="E173" s="235"/>
      <c r="F173" s="235"/>
      <c r="G173" s="235"/>
      <c r="H173" s="235"/>
      <c r="I173" s="237"/>
      <c r="J173" s="237"/>
    </row>
    <row r="174" ht="15.75" customHeight="1">
      <c r="A174" s="235"/>
      <c r="B174" s="235"/>
      <c r="C174" s="236"/>
      <c r="D174" s="235"/>
      <c r="E174" s="235"/>
      <c r="F174" s="235"/>
      <c r="G174" s="235"/>
      <c r="H174" s="235"/>
      <c r="I174" s="237"/>
      <c r="J174" s="237"/>
    </row>
    <row r="175" ht="15.75" customHeight="1">
      <c r="A175" s="235"/>
      <c r="B175" s="235"/>
      <c r="C175" s="236"/>
      <c r="D175" s="235"/>
      <c r="E175" s="235"/>
      <c r="F175" s="235"/>
      <c r="G175" s="235"/>
      <c r="H175" s="235"/>
      <c r="I175" s="237"/>
      <c r="J175" s="237"/>
    </row>
    <row r="176" ht="15.75" customHeight="1">
      <c r="A176" s="235"/>
      <c r="B176" s="235"/>
      <c r="C176" s="236"/>
      <c r="D176" s="235"/>
      <c r="E176" s="235"/>
      <c r="F176" s="235"/>
      <c r="G176" s="235"/>
      <c r="H176" s="235"/>
      <c r="I176" s="237"/>
      <c r="J176" s="237"/>
    </row>
    <row r="177" ht="15.75" customHeight="1">
      <c r="A177" s="235"/>
      <c r="B177" s="235"/>
      <c r="C177" s="236"/>
      <c r="D177" s="235"/>
      <c r="E177" s="235"/>
      <c r="F177" s="235"/>
      <c r="G177" s="235"/>
      <c r="H177" s="235"/>
      <c r="I177" s="237"/>
      <c r="J177" s="237"/>
    </row>
    <row r="178" ht="15.75" customHeight="1">
      <c r="A178" s="235"/>
      <c r="B178" s="235"/>
      <c r="C178" s="236"/>
      <c r="D178" s="235"/>
      <c r="E178" s="235"/>
      <c r="F178" s="235"/>
      <c r="G178" s="235"/>
      <c r="H178" s="235"/>
      <c r="I178" s="237"/>
      <c r="J178" s="237"/>
    </row>
    <row r="179" ht="15.75" customHeight="1">
      <c r="A179" s="235"/>
      <c r="B179" s="235"/>
      <c r="C179" s="236"/>
      <c r="D179" s="235"/>
      <c r="E179" s="235"/>
      <c r="F179" s="235"/>
      <c r="G179" s="235"/>
      <c r="H179" s="235"/>
      <c r="I179" s="237"/>
      <c r="J179" s="237"/>
    </row>
    <row r="180" ht="15.75" customHeight="1">
      <c r="A180" s="235"/>
      <c r="B180" s="235"/>
      <c r="C180" s="236"/>
      <c r="D180" s="235"/>
      <c r="E180" s="235"/>
      <c r="F180" s="235"/>
      <c r="G180" s="235"/>
      <c r="H180" s="235"/>
      <c r="I180" s="237"/>
      <c r="J180" s="237"/>
    </row>
    <row r="181" ht="15.75" customHeight="1">
      <c r="A181" s="235"/>
      <c r="B181" s="235"/>
      <c r="C181" s="236"/>
      <c r="D181" s="235"/>
      <c r="E181" s="235"/>
      <c r="F181" s="235"/>
      <c r="G181" s="235"/>
      <c r="H181" s="235"/>
      <c r="I181" s="237"/>
      <c r="J181" s="237"/>
    </row>
    <row r="182" ht="15.75" customHeight="1">
      <c r="A182" s="235"/>
      <c r="B182" s="235"/>
      <c r="C182" s="236"/>
      <c r="D182" s="235"/>
      <c r="E182" s="235"/>
      <c r="F182" s="235"/>
      <c r="G182" s="235"/>
      <c r="H182" s="235"/>
      <c r="I182" s="237"/>
      <c r="J182" s="237"/>
    </row>
    <row r="183" ht="15.75" customHeight="1">
      <c r="A183" s="235"/>
      <c r="B183" s="235"/>
      <c r="C183" s="236"/>
      <c r="D183" s="235"/>
      <c r="E183" s="235"/>
      <c r="F183" s="235"/>
      <c r="G183" s="235"/>
      <c r="H183" s="235"/>
      <c r="I183" s="237"/>
      <c r="J183" s="237"/>
    </row>
    <row r="184" ht="15.75" customHeight="1">
      <c r="A184" s="235"/>
      <c r="B184" s="235"/>
      <c r="C184" s="236"/>
      <c r="D184" s="235"/>
      <c r="E184" s="235"/>
      <c r="F184" s="235"/>
      <c r="G184" s="235"/>
      <c r="H184" s="235"/>
      <c r="I184" s="237"/>
      <c r="J184" s="237"/>
    </row>
    <row r="185" ht="15.75" customHeight="1">
      <c r="A185" s="235"/>
      <c r="B185" s="235"/>
      <c r="C185" s="236"/>
      <c r="D185" s="235"/>
      <c r="E185" s="235"/>
      <c r="F185" s="235"/>
      <c r="G185" s="235"/>
      <c r="H185" s="235"/>
      <c r="I185" s="237"/>
      <c r="J185" s="237"/>
    </row>
    <row r="186" ht="15.75" customHeight="1">
      <c r="A186" s="235"/>
      <c r="B186" s="235"/>
      <c r="C186" s="236"/>
      <c r="D186" s="235"/>
      <c r="E186" s="235"/>
      <c r="F186" s="235"/>
      <c r="G186" s="235"/>
      <c r="H186" s="235"/>
      <c r="I186" s="237"/>
      <c r="J186" s="237"/>
    </row>
    <row r="187" ht="15.75" customHeight="1">
      <c r="A187" s="235"/>
      <c r="B187" s="235"/>
      <c r="C187" s="236"/>
      <c r="D187" s="235"/>
      <c r="E187" s="235"/>
      <c r="F187" s="235"/>
      <c r="G187" s="235"/>
      <c r="H187" s="235"/>
      <c r="I187" s="237"/>
      <c r="J187" s="237"/>
    </row>
    <row r="188" ht="15.75" customHeight="1">
      <c r="A188" s="235"/>
      <c r="B188" s="235"/>
      <c r="C188" s="236"/>
      <c r="D188" s="235"/>
      <c r="E188" s="235"/>
      <c r="F188" s="235"/>
      <c r="G188" s="235"/>
      <c r="H188" s="235"/>
      <c r="I188" s="237"/>
      <c r="J188" s="237"/>
    </row>
    <row r="189" ht="15.75" customHeight="1">
      <c r="A189" s="235"/>
      <c r="B189" s="235"/>
      <c r="C189" s="236"/>
      <c r="D189" s="235"/>
      <c r="E189" s="235"/>
      <c r="F189" s="235"/>
      <c r="G189" s="235"/>
      <c r="H189" s="235"/>
      <c r="I189" s="237"/>
      <c r="J189" s="237"/>
    </row>
    <row r="190" ht="15.75" customHeight="1">
      <c r="A190" s="235"/>
      <c r="B190" s="235"/>
      <c r="C190" s="236"/>
      <c r="D190" s="235"/>
      <c r="E190" s="235"/>
      <c r="F190" s="235"/>
      <c r="G190" s="235"/>
      <c r="H190" s="235"/>
      <c r="I190" s="237"/>
      <c r="J190" s="237"/>
    </row>
    <row r="191" ht="15.75" customHeight="1">
      <c r="A191" s="235"/>
      <c r="B191" s="235"/>
      <c r="C191" s="236"/>
      <c r="D191" s="235"/>
      <c r="E191" s="235"/>
      <c r="F191" s="235"/>
      <c r="G191" s="235"/>
      <c r="H191" s="235"/>
      <c r="I191" s="237"/>
      <c r="J191" s="237"/>
    </row>
    <row r="192" ht="15.75" customHeight="1">
      <c r="A192" s="235"/>
      <c r="B192" s="235"/>
      <c r="C192" s="236"/>
      <c r="D192" s="235"/>
      <c r="E192" s="235"/>
      <c r="F192" s="235"/>
      <c r="G192" s="235"/>
      <c r="H192" s="235"/>
      <c r="I192" s="237"/>
      <c r="J192" s="237"/>
    </row>
    <row r="193" ht="15.75" customHeight="1">
      <c r="A193" s="235"/>
      <c r="B193" s="235"/>
      <c r="C193" s="236"/>
      <c r="D193" s="235"/>
      <c r="E193" s="235"/>
      <c r="F193" s="235"/>
      <c r="G193" s="235"/>
      <c r="H193" s="235"/>
      <c r="I193" s="237"/>
      <c r="J193" s="237"/>
    </row>
    <row r="194" ht="15.75" customHeight="1">
      <c r="A194" s="235"/>
      <c r="B194" s="235"/>
      <c r="C194" s="236"/>
      <c r="D194" s="235"/>
      <c r="E194" s="235"/>
      <c r="F194" s="235"/>
      <c r="G194" s="235"/>
      <c r="H194" s="235"/>
      <c r="I194" s="237"/>
      <c r="J194" s="237"/>
    </row>
    <row r="195" ht="15.75" customHeight="1">
      <c r="A195" s="235"/>
      <c r="B195" s="235"/>
      <c r="C195" s="236"/>
      <c r="D195" s="235"/>
      <c r="E195" s="235"/>
      <c r="F195" s="235"/>
      <c r="G195" s="235"/>
      <c r="H195" s="235"/>
      <c r="I195" s="237"/>
      <c r="J195" s="237"/>
    </row>
    <row r="196" ht="15.75" customHeight="1">
      <c r="A196" s="235"/>
      <c r="B196" s="235"/>
      <c r="C196" s="236"/>
      <c r="D196" s="235"/>
      <c r="E196" s="235"/>
      <c r="F196" s="235"/>
      <c r="G196" s="235"/>
      <c r="H196" s="235"/>
      <c r="I196" s="237"/>
      <c r="J196" s="237"/>
    </row>
    <row r="197" ht="15.75" customHeight="1">
      <c r="A197" s="235"/>
      <c r="B197" s="235"/>
      <c r="C197" s="236"/>
      <c r="D197" s="235"/>
      <c r="E197" s="235"/>
      <c r="F197" s="235"/>
      <c r="G197" s="235"/>
      <c r="H197" s="235"/>
      <c r="I197" s="237"/>
      <c r="J197" s="237"/>
    </row>
    <row r="198" ht="15.75" customHeight="1">
      <c r="A198" s="235"/>
      <c r="B198" s="235"/>
      <c r="C198" s="236"/>
      <c r="D198" s="235"/>
      <c r="E198" s="235"/>
      <c r="F198" s="235"/>
      <c r="G198" s="235"/>
      <c r="H198" s="235"/>
      <c r="I198" s="237"/>
      <c r="J198" s="237"/>
    </row>
    <row r="199" ht="15.75" customHeight="1">
      <c r="A199" s="235"/>
      <c r="B199" s="235"/>
      <c r="C199" s="236"/>
      <c r="D199" s="235"/>
      <c r="E199" s="235"/>
      <c r="F199" s="235"/>
      <c r="G199" s="235"/>
      <c r="H199" s="235"/>
      <c r="I199" s="237"/>
      <c r="J199" s="237"/>
    </row>
    <row r="200" ht="15.75" customHeight="1">
      <c r="A200" s="235"/>
      <c r="B200" s="235"/>
      <c r="C200" s="236"/>
      <c r="D200" s="235"/>
      <c r="E200" s="235"/>
      <c r="F200" s="235"/>
      <c r="G200" s="235"/>
      <c r="H200" s="235"/>
      <c r="I200" s="237"/>
      <c r="J200" s="237"/>
    </row>
    <row r="201" ht="15.75" customHeight="1">
      <c r="A201" s="235"/>
      <c r="B201" s="235"/>
      <c r="C201" s="236"/>
      <c r="D201" s="235"/>
      <c r="E201" s="235"/>
      <c r="F201" s="235"/>
      <c r="G201" s="235"/>
      <c r="H201" s="235"/>
      <c r="I201" s="237"/>
      <c r="J201" s="237"/>
    </row>
    <row r="202" ht="15.75" customHeight="1">
      <c r="A202" s="235"/>
      <c r="B202" s="235"/>
      <c r="C202" s="236"/>
      <c r="D202" s="235"/>
      <c r="E202" s="235"/>
      <c r="F202" s="235"/>
      <c r="G202" s="235"/>
      <c r="H202" s="235"/>
      <c r="I202" s="237"/>
      <c r="J202" s="237"/>
    </row>
    <row r="203" ht="15.75" customHeight="1">
      <c r="A203" s="235"/>
      <c r="B203" s="235"/>
      <c r="C203" s="236"/>
      <c r="D203" s="235"/>
      <c r="E203" s="235"/>
      <c r="F203" s="235"/>
      <c r="G203" s="235"/>
      <c r="H203" s="235"/>
      <c r="I203" s="237"/>
      <c r="J203" s="237"/>
    </row>
    <row r="204" ht="15.75" customHeight="1">
      <c r="A204" s="235"/>
      <c r="B204" s="235"/>
      <c r="C204" s="236"/>
      <c r="D204" s="235"/>
      <c r="E204" s="235"/>
      <c r="F204" s="235"/>
      <c r="G204" s="235"/>
      <c r="H204" s="235"/>
      <c r="I204" s="237"/>
      <c r="J204" s="237"/>
    </row>
    <row r="205" ht="15.75" customHeight="1">
      <c r="A205" s="235"/>
      <c r="B205" s="235"/>
      <c r="C205" s="236"/>
      <c r="D205" s="235"/>
      <c r="E205" s="235"/>
      <c r="F205" s="235"/>
      <c r="G205" s="235"/>
      <c r="H205" s="235"/>
      <c r="I205" s="237"/>
      <c r="J205" s="237"/>
    </row>
    <row r="206" ht="15.75" customHeight="1">
      <c r="A206" s="235"/>
      <c r="B206" s="235"/>
      <c r="C206" s="236"/>
      <c r="D206" s="235"/>
      <c r="E206" s="235"/>
      <c r="F206" s="235"/>
      <c r="G206" s="235"/>
      <c r="H206" s="235"/>
      <c r="I206" s="237"/>
      <c r="J206" s="237"/>
    </row>
    <row r="207" ht="15.75" customHeight="1">
      <c r="A207" s="235"/>
      <c r="B207" s="235"/>
      <c r="C207" s="236"/>
      <c r="D207" s="235"/>
      <c r="E207" s="235"/>
      <c r="F207" s="235"/>
      <c r="G207" s="235"/>
      <c r="H207" s="235"/>
      <c r="I207" s="237"/>
      <c r="J207" s="237"/>
    </row>
    <row r="208" ht="15.75" customHeight="1">
      <c r="A208" s="235"/>
      <c r="B208" s="235"/>
      <c r="C208" s="236"/>
      <c r="D208" s="235"/>
      <c r="E208" s="235"/>
      <c r="F208" s="235"/>
      <c r="G208" s="235"/>
      <c r="H208" s="235"/>
      <c r="I208" s="237"/>
      <c r="J208" s="237"/>
    </row>
    <row r="209" ht="15.75" customHeight="1">
      <c r="A209" s="235"/>
      <c r="B209" s="235"/>
      <c r="C209" s="236"/>
      <c r="D209" s="235"/>
      <c r="E209" s="235"/>
      <c r="F209" s="235"/>
      <c r="G209" s="235"/>
      <c r="H209" s="235"/>
      <c r="I209" s="237"/>
      <c r="J209" s="237"/>
    </row>
    <row r="210" ht="15.75" customHeight="1">
      <c r="A210" s="235"/>
      <c r="B210" s="235"/>
      <c r="C210" s="236"/>
      <c r="D210" s="235"/>
      <c r="E210" s="235"/>
      <c r="F210" s="235"/>
      <c r="G210" s="235"/>
      <c r="H210" s="235"/>
      <c r="I210" s="237"/>
      <c r="J210" s="237"/>
    </row>
    <row r="211" ht="15.75" customHeight="1">
      <c r="A211" s="235"/>
      <c r="B211" s="235"/>
      <c r="C211" s="236"/>
      <c r="D211" s="235"/>
      <c r="E211" s="235"/>
      <c r="F211" s="235"/>
      <c r="G211" s="235"/>
      <c r="H211" s="235"/>
      <c r="I211" s="237"/>
      <c r="J211" s="237"/>
    </row>
    <row r="212" ht="15.75" customHeight="1">
      <c r="A212" s="235"/>
      <c r="B212" s="235"/>
      <c r="C212" s="236"/>
      <c r="D212" s="235"/>
      <c r="E212" s="235"/>
      <c r="F212" s="235"/>
      <c r="G212" s="235"/>
      <c r="H212" s="235"/>
      <c r="I212" s="237"/>
      <c r="J212" s="237"/>
    </row>
    <row r="213" ht="15.75" customHeight="1">
      <c r="A213" s="235"/>
      <c r="B213" s="235"/>
      <c r="C213" s="236"/>
      <c r="D213" s="235"/>
      <c r="E213" s="235"/>
      <c r="F213" s="235"/>
      <c r="G213" s="235"/>
      <c r="H213" s="235"/>
      <c r="I213" s="237"/>
      <c r="J213" s="237"/>
    </row>
    <row r="214" ht="15.75" customHeight="1">
      <c r="A214" s="235"/>
      <c r="B214" s="235"/>
      <c r="C214" s="236"/>
      <c r="D214" s="235"/>
      <c r="E214" s="235"/>
      <c r="F214" s="235"/>
      <c r="G214" s="235"/>
      <c r="H214" s="235"/>
      <c r="I214" s="237"/>
      <c r="J214" s="237"/>
    </row>
    <row r="215" ht="15.75" customHeight="1">
      <c r="A215" s="235"/>
      <c r="B215" s="235"/>
      <c r="C215" s="236"/>
      <c r="D215" s="235"/>
      <c r="E215" s="235"/>
      <c r="F215" s="235"/>
      <c r="G215" s="235"/>
      <c r="H215" s="235"/>
      <c r="I215" s="237"/>
      <c r="J215" s="237"/>
    </row>
    <row r="216" ht="15.75" customHeight="1">
      <c r="A216" s="235"/>
      <c r="B216" s="235"/>
      <c r="C216" s="236"/>
      <c r="D216" s="235"/>
      <c r="E216" s="235"/>
      <c r="F216" s="235"/>
      <c r="G216" s="235"/>
      <c r="H216" s="235"/>
      <c r="I216" s="237"/>
      <c r="J216" s="237"/>
    </row>
    <row r="217" ht="15.75" customHeight="1">
      <c r="A217" s="235"/>
      <c r="B217" s="235"/>
      <c r="C217" s="236"/>
      <c r="D217" s="235"/>
      <c r="E217" s="235"/>
      <c r="F217" s="235"/>
      <c r="G217" s="235"/>
      <c r="H217" s="235"/>
      <c r="I217" s="237"/>
      <c r="J217" s="237"/>
    </row>
    <row r="218" ht="15.75" customHeight="1">
      <c r="A218" s="235"/>
      <c r="B218" s="235"/>
      <c r="C218" s="236"/>
      <c r="D218" s="235"/>
      <c r="E218" s="235"/>
      <c r="F218" s="235"/>
      <c r="G218" s="235"/>
      <c r="H218" s="235"/>
      <c r="I218" s="237"/>
      <c r="J218" s="237"/>
    </row>
    <row r="219" ht="15.75" customHeight="1">
      <c r="A219" s="235"/>
      <c r="B219" s="235"/>
      <c r="C219" s="236"/>
      <c r="D219" s="235"/>
      <c r="E219" s="235"/>
      <c r="F219" s="235"/>
      <c r="G219" s="235"/>
      <c r="H219" s="235"/>
      <c r="I219" s="237"/>
      <c r="J219" s="237"/>
    </row>
    <row r="220" ht="15.75" customHeight="1">
      <c r="A220" s="235"/>
      <c r="B220" s="235"/>
      <c r="C220" s="236"/>
      <c r="D220" s="235"/>
      <c r="E220" s="235"/>
      <c r="F220" s="235"/>
      <c r="G220" s="235"/>
      <c r="H220" s="235"/>
      <c r="I220" s="237"/>
      <c r="J220" s="237"/>
    </row>
    <row r="221" ht="15.75" customHeight="1">
      <c r="A221" s="235"/>
      <c r="B221" s="235"/>
      <c r="C221" s="236"/>
      <c r="D221" s="235"/>
      <c r="E221" s="235"/>
      <c r="F221" s="235"/>
      <c r="G221" s="235"/>
      <c r="H221" s="235"/>
      <c r="I221" s="237"/>
      <c r="J221" s="237"/>
    </row>
    <row r="222" ht="15.75" customHeight="1">
      <c r="A222" s="235"/>
      <c r="B222" s="235"/>
      <c r="C222" s="236"/>
      <c r="D222" s="235"/>
      <c r="E222" s="235"/>
      <c r="F222" s="235"/>
      <c r="G222" s="235"/>
      <c r="H222" s="235"/>
      <c r="I222" s="237"/>
      <c r="J222" s="237"/>
    </row>
    <row r="223" ht="15.75" customHeight="1">
      <c r="A223" s="235"/>
      <c r="B223" s="235"/>
      <c r="C223" s="236"/>
      <c r="D223" s="235"/>
      <c r="E223" s="235"/>
      <c r="F223" s="235"/>
      <c r="G223" s="235"/>
      <c r="H223" s="235"/>
      <c r="I223" s="237"/>
      <c r="J223" s="237"/>
    </row>
    <row r="224" ht="15.75" customHeight="1">
      <c r="A224" s="235"/>
      <c r="B224" s="235"/>
      <c r="C224" s="236"/>
      <c r="D224" s="235"/>
      <c r="E224" s="235"/>
      <c r="F224" s="235"/>
      <c r="G224" s="235"/>
      <c r="H224" s="235"/>
      <c r="I224" s="237"/>
      <c r="J224" s="237"/>
    </row>
    <row r="225" ht="15.75" customHeight="1">
      <c r="A225" s="235"/>
      <c r="B225" s="235"/>
      <c r="C225" s="236"/>
      <c r="D225" s="235"/>
      <c r="E225" s="235"/>
      <c r="F225" s="235"/>
      <c r="G225" s="235"/>
      <c r="H225" s="235"/>
      <c r="I225" s="237"/>
      <c r="J225" s="237"/>
    </row>
    <row r="226" ht="15.75" customHeight="1">
      <c r="A226" s="235"/>
      <c r="B226" s="235"/>
      <c r="C226" s="236"/>
      <c r="D226" s="235"/>
      <c r="E226" s="235"/>
      <c r="F226" s="235"/>
      <c r="G226" s="235"/>
      <c r="H226" s="235"/>
      <c r="I226" s="237"/>
      <c r="J226" s="237"/>
    </row>
    <row r="227" ht="15.75" customHeight="1">
      <c r="A227" s="235"/>
      <c r="B227" s="235"/>
      <c r="C227" s="236"/>
      <c r="D227" s="235"/>
      <c r="E227" s="235"/>
      <c r="F227" s="235"/>
      <c r="G227" s="235"/>
      <c r="H227" s="235"/>
      <c r="I227" s="237"/>
      <c r="J227" s="237"/>
    </row>
    <row r="228" ht="15.75" customHeight="1">
      <c r="A228" s="235"/>
      <c r="B228" s="235"/>
      <c r="C228" s="236"/>
      <c r="D228" s="235"/>
      <c r="E228" s="235"/>
      <c r="F228" s="235"/>
      <c r="G228" s="235"/>
      <c r="H228" s="235"/>
      <c r="I228" s="237"/>
      <c r="J228" s="237"/>
    </row>
    <row r="229" ht="15.75" customHeight="1">
      <c r="A229" s="235"/>
      <c r="B229" s="235"/>
      <c r="C229" s="236"/>
      <c r="D229" s="235"/>
      <c r="E229" s="235"/>
      <c r="F229" s="235"/>
      <c r="G229" s="235"/>
      <c r="H229" s="235"/>
      <c r="I229" s="237"/>
      <c r="J229" s="237"/>
    </row>
    <row r="230" ht="15.75" customHeight="1">
      <c r="A230" s="235"/>
      <c r="B230" s="235"/>
      <c r="C230" s="236"/>
      <c r="D230" s="235"/>
      <c r="E230" s="235"/>
      <c r="F230" s="235"/>
      <c r="G230" s="235"/>
      <c r="H230" s="235"/>
      <c r="I230" s="237"/>
      <c r="J230" s="237"/>
    </row>
    <row r="231" ht="15.75" customHeight="1">
      <c r="A231" s="235"/>
      <c r="B231" s="235"/>
      <c r="C231" s="236"/>
      <c r="D231" s="235"/>
      <c r="E231" s="235"/>
      <c r="F231" s="235"/>
      <c r="G231" s="235"/>
      <c r="H231" s="235"/>
      <c r="I231" s="237"/>
      <c r="J231" s="237"/>
    </row>
    <row r="232" ht="15.75" customHeight="1">
      <c r="A232" s="235"/>
      <c r="B232" s="235"/>
      <c r="C232" s="236"/>
      <c r="D232" s="235"/>
      <c r="E232" s="235"/>
      <c r="F232" s="235"/>
      <c r="G232" s="235"/>
      <c r="H232" s="235"/>
      <c r="I232" s="237"/>
      <c r="J232" s="237"/>
    </row>
    <row r="233" ht="15.75" customHeight="1">
      <c r="A233" s="235"/>
      <c r="B233" s="235"/>
      <c r="C233" s="236"/>
      <c r="D233" s="235"/>
      <c r="E233" s="235"/>
      <c r="F233" s="235"/>
      <c r="G233" s="235"/>
      <c r="H233" s="235"/>
      <c r="I233" s="237"/>
      <c r="J233" s="237"/>
    </row>
    <row r="234" ht="15.75" customHeight="1">
      <c r="A234" s="235"/>
      <c r="B234" s="235"/>
      <c r="C234" s="236"/>
      <c r="D234" s="235"/>
      <c r="E234" s="235"/>
      <c r="F234" s="235"/>
      <c r="G234" s="235"/>
      <c r="H234" s="235"/>
      <c r="I234" s="237"/>
      <c r="J234" s="237"/>
    </row>
    <row r="235" ht="15.75" customHeight="1">
      <c r="A235" s="235"/>
      <c r="B235" s="235"/>
      <c r="C235" s="236"/>
      <c r="D235" s="235"/>
      <c r="E235" s="235"/>
      <c r="F235" s="235"/>
      <c r="G235" s="235"/>
      <c r="H235" s="235"/>
      <c r="I235" s="237"/>
      <c r="J235" s="237"/>
    </row>
    <row r="236" ht="15.75" customHeight="1">
      <c r="A236" s="235"/>
      <c r="B236" s="235"/>
      <c r="C236" s="236"/>
      <c r="D236" s="235"/>
      <c r="E236" s="235"/>
      <c r="F236" s="235"/>
      <c r="G236" s="235"/>
      <c r="H236" s="235"/>
      <c r="I236" s="237"/>
      <c r="J236" s="237"/>
    </row>
    <row r="237" ht="15.75" customHeight="1">
      <c r="A237" s="235"/>
      <c r="B237" s="235"/>
      <c r="C237" s="236"/>
      <c r="D237" s="235"/>
      <c r="E237" s="235"/>
      <c r="F237" s="235"/>
      <c r="G237" s="235"/>
      <c r="H237" s="235"/>
      <c r="I237" s="237"/>
      <c r="J237" s="237"/>
    </row>
    <row r="238" ht="15.75" customHeight="1">
      <c r="A238" s="235"/>
      <c r="B238" s="235"/>
      <c r="C238" s="236"/>
      <c r="D238" s="235"/>
      <c r="E238" s="235"/>
      <c r="F238" s="235"/>
      <c r="G238" s="235"/>
      <c r="H238" s="235"/>
      <c r="I238" s="237"/>
      <c r="J238" s="237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8.38"/>
    <col customWidth="1" min="5" max="5" width="22.13"/>
    <col customWidth="1" min="6" max="6" width="24.63"/>
    <col customWidth="1" min="7" max="7" width="16.75"/>
    <col customWidth="1" min="8" max="8" width="19.0"/>
    <col customWidth="1" min="9" max="9" width="15.38"/>
  </cols>
  <sheetData>
    <row r="1" ht="15.75" customHeight="1">
      <c r="A1" s="226" t="s">
        <v>111</v>
      </c>
      <c r="B1" s="226" t="s">
        <v>112</v>
      </c>
      <c r="C1" s="227" t="s">
        <v>113</v>
      </c>
      <c r="D1" s="226" t="s">
        <v>114</v>
      </c>
      <c r="E1" s="226" t="s">
        <v>115</v>
      </c>
      <c r="F1" s="226" t="s">
        <v>211</v>
      </c>
      <c r="G1" s="226" t="s">
        <v>117</v>
      </c>
      <c r="H1" s="226" t="s">
        <v>212</v>
      </c>
      <c r="I1" s="228" t="s">
        <v>64</v>
      </c>
      <c r="J1" s="228" t="s">
        <v>36</v>
      </c>
    </row>
    <row r="2" ht="15.75" customHeight="1">
      <c r="A2" s="229">
        <v>44410.0</v>
      </c>
      <c r="B2" s="230"/>
      <c r="C2" s="231"/>
      <c r="D2" s="232"/>
      <c r="E2" s="232"/>
      <c r="F2" s="231" t="str">
        <f t="shared" ref="F2:F36" si="1">E2/D2</f>
        <v>#DIV/0!</v>
      </c>
      <c r="G2" s="232"/>
      <c r="H2" s="231" t="str">
        <f t="shared" ref="H2:H36" si="2">G2/E2</f>
        <v>#DIV/0!</v>
      </c>
      <c r="I2" s="233" t="str">
        <f t="shared" ref="I2:I36" si="3">J2/G2</f>
        <v>#DIV/0!</v>
      </c>
      <c r="J2" s="234"/>
    </row>
    <row r="3" ht="15.75" customHeight="1">
      <c r="A3" s="229">
        <v>44411.0</v>
      </c>
      <c r="B3" s="230"/>
      <c r="C3" s="231"/>
      <c r="D3" s="232"/>
      <c r="E3" s="232"/>
      <c r="F3" s="231" t="str">
        <f t="shared" si="1"/>
        <v>#DIV/0!</v>
      </c>
      <c r="G3" s="232"/>
      <c r="H3" s="231" t="str">
        <f t="shared" si="2"/>
        <v>#DIV/0!</v>
      </c>
      <c r="I3" s="233" t="str">
        <f t="shared" si="3"/>
        <v>#DIV/0!</v>
      </c>
      <c r="J3" s="234"/>
    </row>
    <row r="4" ht="15.75" customHeight="1">
      <c r="A4" s="229">
        <v>44412.0</v>
      </c>
      <c r="B4" s="232"/>
      <c r="C4" s="231"/>
      <c r="D4" s="232"/>
      <c r="E4" s="232"/>
      <c r="F4" s="231" t="str">
        <f t="shared" si="1"/>
        <v>#DIV/0!</v>
      </c>
      <c r="G4" s="232"/>
      <c r="H4" s="231" t="str">
        <f t="shared" si="2"/>
        <v>#DIV/0!</v>
      </c>
      <c r="I4" s="233" t="str">
        <f t="shared" si="3"/>
        <v>#DIV/0!</v>
      </c>
      <c r="J4" s="234"/>
    </row>
    <row r="5" ht="15.75" customHeight="1">
      <c r="A5" s="229">
        <v>44413.0</v>
      </c>
      <c r="B5" s="232"/>
      <c r="C5" s="231"/>
      <c r="D5" s="232"/>
      <c r="E5" s="232"/>
      <c r="F5" s="231" t="str">
        <f t="shared" si="1"/>
        <v>#DIV/0!</v>
      </c>
      <c r="G5" s="232"/>
      <c r="H5" s="231" t="str">
        <f t="shared" si="2"/>
        <v>#DIV/0!</v>
      </c>
      <c r="I5" s="233" t="str">
        <f t="shared" si="3"/>
        <v>#DIV/0!</v>
      </c>
      <c r="J5" s="234"/>
    </row>
    <row r="6" ht="15.75" customHeight="1">
      <c r="A6" s="229">
        <v>44414.0</v>
      </c>
      <c r="B6" s="232"/>
      <c r="C6" s="231"/>
      <c r="D6" s="232"/>
      <c r="E6" s="232"/>
      <c r="F6" s="231" t="str">
        <f t="shared" si="1"/>
        <v>#DIV/0!</v>
      </c>
      <c r="G6" s="232"/>
      <c r="H6" s="231" t="str">
        <f t="shared" si="2"/>
        <v>#DIV/0!</v>
      </c>
      <c r="I6" s="233" t="str">
        <f t="shared" si="3"/>
        <v>#DIV/0!</v>
      </c>
      <c r="J6" s="234"/>
    </row>
    <row r="7" ht="15.75" customHeight="1">
      <c r="A7" s="229">
        <v>44415.0</v>
      </c>
      <c r="B7" s="232"/>
      <c r="C7" s="231"/>
      <c r="D7" s="232"/>
      <c r="E7" s="232"/>
      <c r="F7" s="231" t="str">
        <f t="shared" si="1"/>
        <v>#DIV/0!</v>
      </c>
      <c r="G7" s="232"/>
      <c r="H7" s="231" t="str">
        <f t="shared" si="2"/>
        <v>#DIV/0!</v>
      </c>
      <c r="I7" s="233" t="str">
        <f t="shared" si="3"/>
        <v>#DIV/0!</v>
      </c>
      <c r="J7" s="234"/>
    </row>
    <row r="8" ht="15.75" customHeight="1">
      <c r="A8" s="229">
        <v>44416.0</v>
      </c>
      <c r="B8" s="232"/>
      <c r="C8" s="231"/>
      <c r="D8" s="232"/>
      <c r="E8" s="232"/>
      <c r="F8" s="231" t="str">
        <f t="shared" si="1"/>
        <v>#DIV/0!</v>
      </c>
      <c r="G8" s="232"/>
      <c r="H8" s="231" t="str">
        <f t="shared" si="2"/>
        <v>#DIV/0!</v>
      </c>
      <c r="I8" s="233" t="str">
        <f t="shared" si="3"/>
        <v>#DIV/0!</v>
      </c>
      <c r="J8" s="234"/>
    </row>
    <row r="9" ht="15.75" customHeight="1">
      <c r="A9" s="229">
        <v>44417.0</v>
      </c>
      <c r="B9" s="232"/>
      <c r="C9" s="231"/>
      <c r="D9" s="232"/>
      <c r="E9" s="232"/>
      <c r="F9" s="231" t="str">
        <f t="shared" si="1"/>
        <v>#DIV/0!</v>
      </c>
      <c r="G9" s="232"/>
      <c r="H9" s="231" t="str">
        <f t="shared" si="2"/>
        <v>#DIV/0!</v>
      </c>
      <c r="I9" s="233" t="str">
        <f t="shared" si="3"/>
        <v>#DIV/0!</v>
      </c>
      <c r="J9" s="234"/>
    </row>
    <row r="10" ht="15.75" customHeight="1">
      <c r="A10" s="229">
        <v>44418.0</v>
      </c>
      <c r="B10" s="232"/>
      <c r="C10" s="231"/>
      <c r="D10" s="232"/>
      <c r="E10" s="232"/>
      <c r="F10" s="231" t="str">
        <f t="shared" si="1"/>
        <v>#DIV/0!</v>
      </c>
      <c r="G10" s="232"/>
      <c r="H10" s="231" t="str">
        <f t="shared" si="2"/>
        <v>#DIV/0!</v>
      </c>
      <c r="I10" s="233" t="str">
        <f t="shared" si="3"/>
        <v>#DIV/0!</v>
      </c>
      <c r="J10" s="234"/>
    </row>
    <row r="11" ht="15.75" customHeight="1">
      <c r="A11" s="229">
        <v>44419.0</v>
      </c>
      <c r="B11" s="232"/>
      <c r="C11" s="231"/>
      <c r="D11" s="232"/>
      <c r="E11" s="232"/>
      <c r="F11" s="231" t="str">
        <f t="shared" si="1"/>
        <v>#DIV/0!</v>
      </c>
      <c r="G11" s="232"/>
      <c r="H11" s="231" t="str">
        <f t="shared" si="2"/>
        <v>#DIV/0!</v>
      </c>
      <c r="I11" s="233" t="str">
        <f t="shared" si="3"/>
        <v>#DIV/0!</v>
      </c>
      <c r="J11" s="234"/>
    </row>
    <row r="12" ht="15.75" customHeight="1">
      <c r="A12" s="229">
        <v>44420.0</v>
      </c>
      <c r="B12" s="232"/>
      <c r="C12" s="231"/>
      <c r="D12" s="232"/>
      <c r="E12" s="232"/>
      <c r="F12" s="231" t="str">
        <f t="shared" si="1"/>
        <v>#DIV/0!</v>
      </c>
      <c r="G12" s="232"/>
      <c r="H12" s="231" t="str">
        <f t="shared" si="2"/>
        <v>#DIV/0!</v>
      </c>
      <c r="I12" s="233" t="str">
        <f t="shared" si="3"/>
        <v>#DIV/0!</v>
      </c>
      <c r="J12" s="234"/>
    </row>
    <row r="13" ht="15.75" customHeight="1">
      <c r="A13" s="229">
        <v>44421.0</v>
      </c>
      <c r="B13" s="232"/>
      <c r="C13" s="231"/>
      <c r="D13" s="232"/>
      <c r="E13" s="232"/>
      <c r="F13" s="231" t="str">
        <f t="shared" si="1"/>
        <v>#DIV/0!</v>
      </c>
      <c r="G13" s="232"/>
      <c r="H13" s="231" t="str">
        <f t="shared" si="2"/>
        <v>#DIV/0!</v>
      </c>
      <c r="I13" s="233" t="str">
        <f t="shared" si="3"/>
        <v>#DIV/0!</v>
      </c>
      <c r="J13" s="234"/>
    </row>
    <row r="14" ht="15.75" customHeight="1">
      <c r="A14" s="229">
        <v>44422.0</v>
      </c>
      <c r="B14" s="232"/>
      <c r="C14" s="231"/>
      <c r="D14" s="232"/>
      <c r="E14" s="232"/>
      <c r="F14" s="231" t="str">
        <f t="shared" si="1"/>
        <v>#DIV/0!</v>
      </c>
      <c r="G14" s="232"/>
      <c r="H14" s="231" t="str">
        <f t="shared" si="2"/>
        <v>#DIV/0!</v>
      </c>
      <c r="I14" s="233" t="str">
        <f t="shared" si="3"/>
        <v>#DIV/0!</v>
      </c>
      <c r="J14" s="234"/>
    </row>
    <row r="15" ht="15.75" customHeight="1">
      <c r="A15" s="229">
        <v>44423.0</v>
      </c>
      <c r="B15" s="232"/>
      <c r="C15" s="231"/>
      <c r="D15" s="232"/>
      <c r="E15" s="232"/>
      <c r="F15" s="231" t="str">
        <f t="shared" si="1"/>
        <v>#DIV/0!</v>
      </c>
      <c r="G15" s="232"/>
      <c r="H15" s="231" t="str">
        <f t="shared" si="2"/>
        <v>#DIV/0!</v>
      </c>
      <c r="I15" s="233" t="str">
        <f t="shared" si="3"/>
        <v>#DIV/0!</v>
      </c>
      <c r="J15" s="234"/>
    </row>
    <row r="16" ht="15.75" customHeight="1">
      <c r="A16" s="229">
        <v>44424.0</v>
      </c>
      <c r="B16" s="232"/>
      <c r="C16" s="231"/>
      <c r="D16" s="232"/>
      <c r="E16" s="232"/>
      <c r="F16" s="231" t="str">
        <f t="shared" si="1"/>
        <v>#DIV/0!</v>
      </c>
      <c r="G16" s="232"/>
      <c r="H16" s="231" t="str">
        <f t="shared" si="2"/>
        <v>#DIV/0!</v>
      </c>
      <c r="I16" s="233" t="str">
        <f t="shared" si="3"/>
        <v>#DIV/0!</v>
      </c>
      <c r="J16" s="234"/>
    </row>
    <row r="17" ht="15.75" customHeight="1">
      <c r="A17" s="229">
        <v>44425.0</v>
      </c>
      <c r="B17" s="232"/>
      <c r="C17" s="231"/>
      <c r="D17" s="232"/>
      <c r="E17" s="232"/>
      <c r="F17" s="231" t="str">
        <f t="shared" si="1"/>
        <v>#DIV/0!</v>
      </c>
      <c r="G17" s="232"/>
      <c r="H17" s="231" t="str">
        <f t="shared" si="2"/>
        <v>#DIV/0!</v>
      </c>
      <c r="I17" s="233" t="str">
        <f t="shared" si="3"/>
        <v>#DIV/0!</v>
      </c>
      <c r="J17" s="234"/>
    </row>
    <row r="18" ht="15.75" customHeight="1">
      <c r="A18" s="229">
        <v>44426.0</v>
      </c>
      <c r="B18" s="232"/>
      <c r="C18" s="231"/>
      <c r="D18" s="232"/>
      <c r="E18" s="232"/>
      <c r="F18" s="231" t="str">
        <f t="shared" si="1"/>
        <v>#DIV/0!</v>
      </c>
      <c r="G18" s="232"/>
      <c r="H18" s="231" t="str">
        <f t="shared" si="2"/>
        <v>#DIV/0!</v>
      </c>
      <c r="I18" s="233" t="str">
        <f t="shared" si="3"/>
        <v>#DIV/0!</v>
      </c>
      <c r="J18" s="234"/>
    </row>
    <row r="19" ht="15.75" customHeight="1">
      <c r="A19" s="229">
        <v>44427.0</v>
      </c>
      <c r="B19" s="232"/>
      <c r="C19" s="231"/>
      <c r="D19" s="232"/>
      <c r="E19" s="232"/>
      <c r="F19" s="231" t="str">
        <f t="shared" si="1"/>
        <v>#DIV/0!</v>
      </c>
      <c r="G19" s="232"/>
      <c r="H19" s="231" t="str">
        <f t="shared" si="2"/>
        <v>#DIV/0!</v>
      </c>
      <c r="I19" s="233" t="str">
        <f t="shared" si="3"/>
        <v>#DIV/0!</v>
      </c>
      <c r="J19" s="234"/>
    </row>
    <row r="20" ht="15.75" customHeight="1">
      <c r="A20" s="229">
        <v>44428.0</v>
      </c>
      <c r="B20" s="232"/>
      <c r="C20" s="231"/>
      <c r="D20" s="232"/>
      <c r="E20" s="232"/>
      <c r="F20" s="231" t="str">
        <f t="shared" si="1"/>
        <v>#DIV/0!</v>
      </c>
      <c r="G20" s="232"/>
      <c r="H20" s="231" t="str">
        <f t="shared" si="2"/>
        <v>#DIV/0!</v>
      </c>
      <c r="I20" s="233" t="str">
        <f t="shared" si="3"/>
        <v>#DIV/0!</v>
      </c>
      <c r="J20" s="234"/>
    </row>
    <row r="21" ht="15.75" customHeight="1">
      <c r="A21" s="229">
        <v>44429.0</v>
      </c>
      <c r="B21" s="232"/>
      <c r="C21" s="231"/>
      <c r="D21" s="232"/>
      <c r="E21" s="232"/>
      <c r="F21" s="231" t="str">
        <f t="shared" si="1"/>
        <v>#DIV/0!</v>
      </c>
      <c r="G21" s="232"/>
      <c r="H21" s="231" t="str">
        <f t="shared" si="2"/>
        <v>#DIV/0!</v>
      </c>
      <c r="I21" s="233" t="str">
        <f t="shared" si="3"/>
        <v>#DIV/0!</v>
      </c>
      <c r="J21" s="234"/>
    </row>
    <row r="22" ht="15.75" customHeight="1">
      <c r="A22" s="229">
        <v>44430.0</v>
      </c>
      <c r="B22" s="232"/>
      <c r="C22" s="231"/>
      <c r="D22" s="232"/>
      <c r="E22" s="232"/>
      <c r="F22" s="231" t="str">
        <f t="shared" si="1"/>
        <v>#DIV/0!</v>
      </c>
      <c r="G22" s="232"/>
      <c r="H22" s="231" t="str">
        <f t="shared" si="2"/>
        <v>#DIV/0!</v>
      </c>
      <c r="I22" s="233" t="str">
        <f t="shared" si="3"/>
        <v>#DIV/0!</v>
      </c>
      <c r="J22" s="234"/>
    </row>
    <row r="23" ht="15.75" customHeight="1">
      <c r="A23" s="229">
        <v>44431.0</v>
      </c>
      <c r="B23" s="232"/>
      <c r="C23" s="231"/>
      <c r="D23" s="232"/>
      <c r="E23" s="232"/>
      <c r="F23" s="231" t="str">
        <f t="shared" si="1"/>
        <v>#DIV/0!</v>
      </c>
      <c r="G23" s="232"/>
      <c r="H23" s="231" t="str">
        <f t="shared" si="2"/>
        <v>#DIV/0!</v>
      </c>
      <c r="I23" s="233" t="str">
        <f t="shared" si="3"/>
        <v>#DIV/0!</v>
      </c>
      <c r="J23" s="234"/>
    </row>
    <row r="24" ht="15.75" customHeight="1">
      <c r="A24" s="229">
        <v>44432.0</v>
      </c>
      <c r="B24" s="232"/>
      <c r="C24" s="231"/>
      <c r="D24" s="232"/>
      <c r="E24" s="232"/>
      <c r="F24" s="231" t="str">
        <f t="shared" si="1"/>
        <v>#DIV/0!</v>
      </c>
      <c r="G24" s="232"/>
      <c r="H24" s="231" t="str">
        <f t="shared" si="2"/>
        <v>#DIV/0!</v>
      </c>
      <c r="I24" s="233" t="str">
        <f t="shared" si="3"/>
        <v>#DIV/0!</v>
      </c>
      <c r="J24" s="234"/>
    </row>
    <row r="25" ht="15.75" customHeight="1">
      <c r="A25" s="229">
        <v>44433.0</v>
      </c>
      <c r="B25" s="232"/>
      <c r="C25" s="231"/>
      <c r="D25" s="232"/>
      <c r="E25" s="232"/>
      <c r="F25" s="231" t="str">
        <f t="shared" si="1"/>
        <v>#DIV/0!</v>
      </c>
      <c r="G25" s="232"/>
      <c r="H25" s="231" t="str">
        <f t="shared" si="2"/>
        <v>#DIV/0!</v>
      </c>
      <c r="I25" s="233" t="str">
        <f t="shared" si="3"/>
        <v>#DIV/0!</v>
      </c>
      <c r="J25" s="234"/>
    </row>
    <row r="26" ht="15.75" customHeight="1">
      <c r="A26" s="229">
        <v>44434.0</v>
      </c>
      <c r="B26" s="232"/>
      <c r="C26" s="231"/>
      <c r="D26" s="232"/>
      <c r="E26" s="232"/>
      <c r="F26" s="231" t="str">
        <f t="shared" si="1"/>
        <v>#DIV/0!</v>
      </c>
      <c r="G26" s="232"/>
      <c r="H26" s="231" t="str">
        <f t="shared" si="2"/>
        <v>#DIV/0!</v>
      </c>
      <c r="I26" s="233" t="str">
        <f t="shared" si="3"/>
        <v>#DIV/0!</v>
      </c>
      <c r="J26" s="234"/>
    </row>
    <row r="27" ht="15.75" customHeight="1">
      <c r="A27" s="229">
        <v>44435.0</v>
      </c>
      <c r="B27" s="232"/>
      <c r="C27" s="231"/>
      <c r="D27" s="232"/>
      <c r="E27" s="232"/>
      <c r="F27" s="231" t="str">
        <f t="shared" si="1"/>
        <v>#DIV/0!</v>
      </c>
      <c r="G27" s="232"/>
      <c r="H27" s="231" t="str">
        <f t="shared" si="2"/>
        <v>#DIV/0!</v>
      </c>
      <c r="I27" s="233" t="str">
        <f t="shared" si="3"/>
        <v>#DIV/0!</v>
      </c>
      <c r="J27" s="234"/>
    </row>
    <row r="28" ht="15.75" customHeight="1">
      <c r="A28" s="229">
        <v>44436.0</v>
      </c>
      <c r="B28" s="232"/>
      <c r="C28" s="231"/>
      <c r="D28" s="232"/>
      <c r="E28" s="232"/>
      <c r="F28" s="231" t="str">
        <f t="shared" si="1"/>
        <v>#DIV/0!</v>
      </c>
      <c r="G28" s="232"/>
      <c r="H28" s="231" t="str">
        <f t="shared" si="2"/>
        <v>#DIV/0!</v>
      </c>
      <c r="I28" s="233" t="str">
        <f t="shared" si="3"/>
        <v>#DIV/0!</v>
      </c>
      <c r="J28" s="234"/>
    </row>
    <row r="29" ht="15.75" customHeight="1">
      <c r="A29" s="229">
        <v>44437.0</v>
      </c>
      <c r="B29" s="232"/>
      <c r="C29" s="231"/>
      <c r="D29" s="232"/>
      <c r="E29" s="232"/>
      <c r="F29" s="231" t="str">
        <f t="shared" si="1"/>
        <v>#DIV/0!</v>
      </c>
      <c r="G29" s="232"/>
      <c r="H29" s="231" t="str">
        <f t="shared" si="2"/>
        <v>#DIV/0!</v>
      </c>
      <c r="I29" s="233" t="str">
        <f t="shared" si="3"/>
        <v>#DIV/0!</v>
      </c>
      <c r="J29" s="234"/>
    </row>
    <row r="30" ht="15.75" customHeight="1">
      <c r="A30" s="229">
        <v>44438.0</v>
      </c>
      <c r="B30" s="232"/>
      <c r="C30" s="231"/>
      <c r="D30" s="232"/>
      <c r="E30" s="232"/>
      <c r="F30" s="231" t="str">
        <f t="shared" si="1"/>
        <v>#DIV/0!</v>
      </c>
      <c r="G30" s="232"/>
      <c r="H30" s="231" t="str">
        <f t="shared" si="2"/>
        <v>#DIV/0!</v>
      </c>
      <c r="I30" s="233" t="str">
        <f t="shared" si="3"/>
        <v>#DIV/0!</v>
      </c>
      <c r="J30" s="234"/>
    </row>
    <row r="31" ht="15.75" customHeight="1">
      <c r="A31" s="229">
        <v>44439.0</v>
      </c>
      <c r="B31" s="232"/>
      <c r="C31" s="231"/>
      <c r="D31" s="232"/>
      <c r="E31" s="232"/>
      <c r="F31" s="231" t="str">
        <f t="shared" si="1"/>
        <v>#DIV/0!</v>
      </c>
      <c r="G31" s="232"/>
      <c r="H31" s="231" t="str">
        <f t="shared" si="2"/>
        <v>#DIV/0!</v>
      </c>
      <c r="I31" s="233" t="str">
        <f t="shared" si="3"/>
        <v>#DIV/0!</v>
      </c>
      <c r="J31" s="234"/>
    </row>
    <row r="32" ht="15.75" customHeight="1">
      <c r="A32" s="229">
        <v>44440.0</v>
      </c>
      <c r="B32" s="232"/>
      <c r="C32" s="231"/>
      <c r="D32" s="232"/>
      <c r="E32" s="232"/>
      <c r="F32" s="231" t="str">
        <f t="shared" si="1"/>
        <v>#DIV/0!</v>
      </c>
      <c r="G32" s="232"/>
      <c r="H32" s="231" t="str">
        <f t="shared" si="2"/>
        <v>#DIV/0!</v>
      </c>
      <c r="I32" s="233" t="str">
        <f t="shared" si="3"/>
        <v>#DIV/0!</v>
      </c>
      <c r="J32" s="234"/>
    </row>
    <row r="33" ht="15.75" customHeight="1">
      <c r="A33" s="229">
        <v>44441.0</v>
      </c>
      <c r="B33" s="232"/>
      <c r="C33" s="231"/>
      <c r="D33" s="232"/>
      <c r="E33" s="232"/>
      <c r="F33" s="231" t="str">
        <f t="shared" si="1"/>
        <v>#DIV/0!</v>
      </c>
      <c r="G33" s="232"/>
      <c r="H33" s="231" t="str">
        <f t="shared" si="2"/>
        <v>#DIV/0!</v>
      </c>
      <c r="I33" s="233" t="str">
        <f t="shared" si="3"/>
        <v>#DIV/0!</v>
      </c>
      <c r="J33" s="234"/>
    </row>
    <row r="34" ht="15.75" customHeight="1">
      <c r="A34" s="229">
        <v>44442.0</v>
      </c>
      <c r="B34" s="232"/>
      <c r="C34" s="231"/>
      <c r="D34" s="232"/>
      <c r="E34" s="232"/>
      <c r="F34" s="231" t="str">
        <f t="shared" si="1"/>
        <v>#DIV/0!</v>
      </c>
      <c r="G34" s="232"/>
      <c r="H34" s="231" t="str">
        <f t="shared" si="2"/>
        <v>#DIV/0!</v>
      </c>
      <c r="I34" s="233" t="str">
        <f t="shared" si="3"/>
        <v>#DIV/0!</v>
      </c>
      <c r="J34" s="234"/>
    </row>
    <row r="35" ht="15.75" customHeight="1">
      <c r="A35" s="229">
        <v>44443.0</v>
      </c>
      <c r="B35" s="232"/>
      <c r="C35" s="231"/>
      <c r="D35" s="232"/>
      <c r="E35" s="232"/>
      <c r="F35" s="231" t="str">
        <f t="shared" si="1"/>
        <v>#DIV/0!</v>
      </c>
      <c r="G35" s="232"/>
      <c r="H35" s="231" t="str">
        <f t="shared" si="2"/>
        <v>#DIV/0!</v>
      </c>
      <c r="I35" s="233" t="str">
        <f t="shared" si="3"/>
        <v>#DIV/0!</v>
      </c>
      <c r="J35" s="234"/>
    </row>
    <row r="36" ht="15.75" customHeight="1">
      <c r="A36" s="229">
        <v>44444.0</v>
      </c>
      <c r="B36" s="232"/>
      <c r="C36" s="231"/>
      <c r="D36" s="232"/>
      <c r="E36" s="232"/>
      <c r="F36" s="231" t="str">
        <f t="shared" si="1"/>
        <v>#DIV/0!</v>
      </c>
      <c r="G36" s="232"/>
      <c r="H36" s="231" t="str">
        <f t="shared" si="2"/>
        <v>#DIV/0!</v>
      </c>
      <c r="I36" s="233" t="str">
        <f t="shared" si="3"/>
        <v>#DIV/0!</v>
      </c>
      <c r="J36" s="234"/>
    </row>
    <row r="37" ht="15.75" customHeight="1">
      <c r="A37" s="232" t="s">
        <v>119</v>
      </c>
      <c r="B37" s="230" t="str">
        <f t="shared" ref="B37:H37" si="4">MEDIAN(B2:B36)</f>
        <v>#NUM!</v>
      </c>
      <c r="C37" s="231" t="str">
        <f t="shared" si="4"/>
        <v>#NUM!</v>
      </c>
      <c r="D37" s="232" t="str">
        <f t="shared" si="4"/>
        <v>#NUM!</v>
      </c>
      <c r="E37" s="232" t="str">
        <f t="shared" si="4"/>
        <v>#NUM!</v>
      </c>
      <c r="F37" s="232" t="str">
        <f t="shared" si="4"/>
        <v>#DIV/0!</v>
      </c>
      <c r="G37" s="232" t="str">
        <f t="shared" si="4"/>
        <v>#NUM!</v>
      </c>
      <c r="H37" s="232" t="str">
        <f t="shared" si="4"/>
        <v>#DIV/0!</v>
      </c>
      <c r="I37" s="233"/>
      <c r="J37" s="234" t="str">
        <f>MEDIAN(J2:J36)</f>
        <v>#NUM!</v>
      </c>
    </row>
    <row r="38" ht="15.75" customHeight="1">
      <c r="A38" s="232" t="s">
        <v>39</v>
      </c>
      <c r="B38" s="230">
        <f>SUM(B2:B36)</f>
        <v>0</v>
      </c>
      <c r="C38" s="231"/>
      <c r="D38" s="232">
        <f t="shared" ref="D38:E38" si="5">SUM(D2:D36)</f>
        <v>0</v>
      </c>
      <c r="E38" s="232">
        <f t="shared" si="5"/>
        <v>0</v>
      </c>
      <c r="F38" s="232" t="str">
        <f>E38/D38</f>
        <v>#DIV/0!</v>
      </c>
      <c r="G38" s="232">
        <f>SUM(G2:G36)</f>
        <v>0</v>
      </c>
      <c r="H38" s="231" t="str">
        <f>G38/E38</f>
        <v>#DIV/0!</v>
      </c>
      <c r="I38" s="233" t="str">
        <f>J38/G38</f>
        <v>#DIV/0!</v>
      </c>
      <c r="J38" s="234">
        <f>SUM(J2:J36)</f>
        <v>0</v>
      </c>
    </row>
    <row r="39" ht="15.75" customHeight="1">
      <c r="A39" s="235"/>
      <c r="B39" s="235"/>
      <c r="C39" s="236"/>
      <c r="D39" s="235"/>
      <c r="E39" s="235"/>
      <c r="F39" s="235"/>
      <c r="G39" s="235"/>
      <c r="H39" s="235"/>
      <c r="I39" s="237"/>
      <c r="J39" s="237"/>
    </row>
    <row r="40" ht="15.75" customHeight="1">
      <c r="A40" s="235"/>
      <c r="B40" s="235"/>
      <c r="C40" s="236"/>
      <c r="D40" s="235"/>
      <c r="E40" s="235"/>
      <c r="F40" s="235"/>
      <c r="G40" s="235"/>
      <c r="H40" s="235"/>
      <c r="I40" s="237"/>
      <c r="J40" s="237"/>
    </row>
    <row r="41" ht="15.75" customHeight="1">
      <c r="A41" s="235"/>
      <c r="B41" s="235"/>
      <c r="C41" s="236"/>
      <c r="D41" s="235"/>
      <c r="E41" s="235"/>
      <c r="F41" s="235"/>
      <c r="G41" s="235"/>
      <c r="H41" s="235"/>
      <c r="I41" s="237"/>
      <c r="J41" s="237"/>
    </row>
    <row r="42" ht="15.75" customHeight="1">
      <c r="A42" s="235"/>
      <c r="B42" s="235"/>
      <c r="C42" s="236"/>
      <c r="D42" s="235"/>
      <c r="E42" s="235"/>
      <c r="F42" s="235"/>
      <c r="G42" s="235"/>
      <c r="H42" s="235"/>
      <c r="I42" s="237"/>
      <c r="J42" s="237"/>
    </row>
    <row r="43" ht="15.75" customHeight="1">
      <c r="A43" s="235"/>
      <c r="B43" s="235"/>
      <c r="C43" s="236"/>
      <c r="D43" s="235"/>
      <c r="E43" s="235"/>
      <c r="F43" s="235"/>
      <c r="G43" s="235"/>
      <c r="H43" s="235"/>
      <c r="I43" s="237"/>
      <c r="J43" s="237"/>
    </row>
    <row r="44" ht="15.75" customHeight="1">
      <c r="A44" s="235"/>
      <c r="B44" s="235"/>
      <c r="C44" s="236"/>
      <c r="D44" s="235"/>
      <c r="E44" s="235"/>
      <c r="F44" s="235"/>
      <c r="G44" s="235"/>
      <c r="H44" s="235"/>
      <c r="I44" s="237"/>
      <c r="J44" s="237"/>
    </row>
    <row r="45" ht="15.75" customHeight="1">
      <c r="A45" s="235"/>
      <c r="B45" s="235"/>
      <c r="C45" s="236"/>
      <c r="D45" s="235"/>
      <c r="E45" s="235"/>
      <c r="F45" s="235"/>
      <c r="G45" s="235"/>
      <c r="H45" s="235"/>
      <c r="I45" s="237"/>
      <c r="J45" s="237"/>
    </row>
    <row r="46" ht="15.75" customHeight="1">
      <c r="A46" s="235"/>
      <c r="B46" s="235"/>
      <c r="C46" s="236"/>
      <c r="D46" s="235"/>
      <c r="E46" s="235"/>
      <c r="F46" s="235"/>
      <c r="G46" s="235"/>
      <c r="H46" s="235"/>
      <c r="I46" s="237"/>
      <c r="J46" s="237"/>
    </row>
    <row r="47" ht="15.75" customHeight="1">
      <c r="A47" s="235"/>
      <c r="B47" s="235"/>
      <c r="C47" s="236"/>
      <c r="D47" s="235"/>
      <c r="E47" s="235"/>
      <c r="F47" s="235"/>
      <c r="G47" s="235"/>
      <c r="H47" s="235"/>
      <c r="I47" s="237"/>
      <c r="J47" s="237"/>
    </row>
    <row r="48" ht="15.75" customHeight="1">
      <c r="A48" s="235"/>
      <c r="B48" s="235"/>
      <c r="C48" s="236"/>
      <c r="D48" s="235"/>
      <c r="E48" s="235"/>
      <c r="F48" s="235"/>
      <c r="G48" s="235"/>
      <c r="H48" s="235"/>
      <c r="I48" s="237"/>
      <c r="J48" s="237"/>
    </row>
    <row r="49" ht="15.75" customHeight="1">
      <c r="A49" s="235"/>
      <c r="B49" s="235"/>
      <c r="C49" s="236"/>
      <c r="D49" s="235"/>
      <c r="E49" s="235"/>
      <c r="F49" s="235"/>
      <c r="G49" s="235"/>
      <c r="H49" s="235"/>
      <c r="I49" s="237"/>
      <c r="J49" s="237"/>
    </row>
    <row r="50" ht="15.75" customHeight="1">
      <c r="A50" s="235"/>
      <c r="B50" s="235"/>
      <c r="C50" s="236"/>
      <c r="D50" s="235"/>
      <c r="E50" s="235"/>
      <c r="F50" s="235"/>
      <c r="G50" s="235"/>
      <c r="H50" s="235"/>
      <c r="I50" s="237"/>
      <c r="J50" s="237"/>
    </row>
    <row r="51" ht="15.75" customHeight="1">
      <c r="A51" s="235"/>
      <c r="B51" s="235"/>
      <c r="C51" s="236"/>
      <c r="D51" s="235"/>
      <c r="E51" s="235"/>
      <c r="F51" s="235"/>
      <c r="G51" s="235"/>
      <c r="H51" s="235"/>
      <c r="I51" s="237"/>
      <c r="J51" s="237"/>
    </row>
    <row r="52" ht="15.75" customHeight="1">
      <c r="A52" s="235"/>
      <c r="B52" s="235"/>
      <c r="C52" s="236"/>
      <c r="D52" s="235"/>
      <c r="E52" s="235"/>
      <c r="F52" s="235"/>
      <c r="G52" s="235"/>
      <c r="H52" s="235"/>
      <c r="I52" s="237"/>
      <c r="J52" s="237"/>
    </row>
    <row r="53" ht="15.75" customHeight="1">
      <c r="A53" s="235"/>
      <c r="B53" s="235"/>
      <c r="C53" s="236"/>
      <c r="D53" s="235"/>
      <c r="E53" s="235"/>
      <c r="F53" s="235"/>
      <c r="G53" s="235"/>
      <c r="H53" s="235"/>
      <c r="I53" s="237"/>
      <c r="J53" s="237"/>
    </row>
    <row r="54" ht="15.75" customHeight="1">
      <c r="A54" s="235"/>
      <c r="B54" s="235"/>
      <c r="C54" s="236"/>
      <c r="D54" s="235"/>
      <c r="E54" s="235"/>
      <c r="F54" s="235"/>
      <c r="G54" s="235"/>
      <c r="H54" s="235"/>
      <c r="I54" s="237"/>
      <c r="J54" s="237"/>
    </row>
    <row r="55" ht="15.75" customHeight="1">
      <c r="A55" s="235"/>
      <c r="B55" s="235"/>
      <c r="C55" s="236"/>
      <c r="D55" s="235"/>
      <c r="E55" s="235"/>
      <c r="F55" s="235"/>
      <c r="G55" s="235"/>
      <c r="H55" s="235"/>
      <c r="I55" s="237"/>
      <c r="J55" s="237"/>
    </row>
    <row r="56" ht="15.75" customHeight="1">
      <c r="A56" s="235"/>
      <c r="B56" s="235"/>
      <c r="C56" s="236"/>
      <c r="D56" s="235"/>
      <c r="E56" s="235"/>
      <c r="F56" s="235"/>
      <c r="G56" s="235"/>
      <c r="H56" s="235"/>
      <c r="I56" s="237"/>
      <c r="J56" s="237"/>
    </row>
    <row r="57" ht="15.75" customHeight="1">
      <c r="A57" s="235"/>
      <c r="B57" s="235"/>
      <c r="C57" s="236"/>
      <c r="D57" s="235"/>
      <c r="E57" s="235"/>
      <c r="F57" s="235"/>
      <c r="G57" s="235"/>
      <c r="H57" s="235"/>
      <c r="I57" s="237"/>
      <c r="J57" s="237"/>
    </row>
    <row r="58" ht="15.75" customHeight="1">
      <c r="A58" s="235"/>
      <c r="B58" s="235"/>
      <c r="C58" s="236"/>
      <c r="D58" s="235"/>
      <c r="E58" s="235"/>
      <c r="F58" s="235"/>
      <c r="G58" s="235"/>
      <c r="H58" s="235"/>
      <c r="I58" s="237"/>
      <c r="J58" s="237"/>
    </row>
    <row r="59" ht="15.75" customHeight="1">
      <c r="A59" s="235"/>
      <c r="B59" s="235"/>
      <c r="C59" s="236"/>
      <c r="D59" s="235"/>
      <c r="E59" s="235"/>
      <c r="F59" s="235"/>
      <c r="G59" s="235"/>
      <c r="H59" s="235"/>
      <c r="I59" s="237"/>
      <c r="J59" s="237"/>
    </row>
    <row r="60" ht="15.75" customHeight="1">
      <c r="A60" s="235"/>
      <c r="B60" s="235"/>
      <c r="C60" s="236"/>
      <c r="D60" s="235"/>
      <c r="E60" s="235"/>
      <c r="F60" s="235"/>
      <c r="G60" s="235"/>
      <c r="H60" s="235"/>
      <c r="I60" s="237"/>
      <c r="J60" s="237"/>
    </row>
    <row r="61" ht="15.75" customHeight="1">
      <c r="A61" s="235"/>
      <c r="B61" s="235"/>
      <c r="C61" s="236"/>
      <c r="D61" s="235"/>
      <c r="E61" s="235"/>
      <c r="F61" s="235"/>
      <c r="G61" s="235"/>
      <c r="H61" s="235"/>
      <c r="I61" s="237"/>
      <c r="J61" s="237"/>
    </row>
    <row r="62" ht="15.75" customHeight="1">
      <c r="A62" s="235"/>
      <c r="B62" s="235"/>
      <c r="C62" s="236"/>
      <c r="D62" s="235"/>
      <c r="E62" s="235"/>
      <c r="F62" s="235"/>
      <c r="G62" s="235"/>
      <c r="H62" s="235"/>
      <c r="I62" s="237"/>
      <c r="J62" s="237"/>
    </row>
    <row r="63" ht="15.75" customHeight="1">
      <c r="A63" s="235"/>
      <c r="B63" s="235"/>
      <c r="C63" s="236"/>
      <c r="D63" s="235"/>
      <c r="E63" s="235"/>
      <c r="F63" s="235"/>
      <c r="G63" s="235"/>
      <c r="H63" s="235"/>
      <c r="I63" s="237"/>
      <c r="J63" s="237"/>
    </row>
    <row r="64" ht="15.75" customHeight="1">
      <c r="A64" s="235"/>
      <c r="B64" s="235"/>
      <c r="C64" s="236"/>
      <c r="D64" s="235"/>
      <c r="E64" s="235"/>
      <c r="F64" s="235"/>
      <c r="G64" s="235"/>
      <c r="H64" s="235"/>
      <c r="I64" s="237"/>
      <c r="J64" s="237"/>
    </row>
    <row r="65" ht="15.75" customHeight="1">
      <c r="A65" s="235"/>
      <c r="B65" s="235"/>
      <c r="C65" s="236"/>
      <c r="D65" s="235"/>
      <c r="E65" s="235"/>
      <c r="F65" s="235"/>
      <c r="G65" s="235"/>
      <c r="H65" s="235"/>
      <c r="I65" s="237"/>
      <c r="J65" s="237"/>
    </row>
    <row r="66" ht="15.75" customHeight="1">
      <c r="A66" s="235"/>
      <c r="B66" s="235"/>
      <c r="C66" s="236"/>
      <c r="D66" s="235"/>
      <c r="E66" s="235"/>
      <c r="F66" s="235"/>
      <c r="G66" s="235"/>
      <c r="H66" s="235"/>
      <c r="I66" s="237"/>
      <c r="J66" s="237"/>
    </row>
    <row r="67" ht="15.75" customHeight="1">
      <c r="A67" s="235"/>
      <c r="B67" s="235"/>
      <c r="C67" s="236"/>
      <c r="D67" s="235"/>
      <c r="E67" s="235"/>
      <c r="F67" s="235"/>
      <c r="G67" s="235"/>
      <c r="H67" s="235"/>
      <c r="I67" s="237"/>
      <c r="J67" s="237"/>
    </row>
    <row r="68" ht="15.75" customHeight="1">
      <c r="A68" s="235"/>
      <c r="B68" s="235"/>
      <c r="C68" s="236"/>
      <c r="D68" s="235"/>
      <c r="E68" s="235"/>
      <c r="F68" s="235"/>
      <c r="G68" s="235"/>
      <c r="H68" s="235"/>
      <c r="I68" s="237"/>
      <c r="J68" s="237"/>
    </row>
    <row r="69" ht="15.75" customHeight="1">
      <c r="A69" s="235"/>
      <c r="B69" s="235"/>
      <c r="C69" s="236"/>
      <c r="D69" s="235"/>
      <c r="E69" s="235"/>
      <c r="F69" s="235"/>
      <c r="G69" s="235"/>
      <c r="H69" s="235"/>
      <c r="I69" s="237"/>
      <c r="J69" s="237"/>
    </row>
    <row r="70" ht="15.75" customHeight="1">
      <c r="A70" s="235"/>
      <c r="B70" s="235"/>
      <c r="C70" s="236"/>
      <c r="D70" s="235"/>
      <c r="E70" s="235"/>
      <c r="F70" s="235"/>
      <c r="G70" s="235"/>
      <c r="H70" s="235"/>
      <c r="I70" s="237"/>
      <c r="J70" s="237"/>
    </row>
    <row r="71" ht="15.75" customHeight="1">
      <c r="A71" s="235"/>
      <c r="B71" s="235"/>
      <c r="C71" s="236"/>
      <c r="D71" s="235"/>
      <c r="E71" s="235"/>
      <c r="F71" s="235"/>
      <c r="G71" s="235"/>
      <c r="H71" s="235"/>
      <c r="I71" s="237"/>
      <c r="J71" s="237"/>
    </row>
    <row r="72" ht="15.75" customHeight="1">
      <c r="A72" s="235"/>
      <c r="B72" s="235"/>
      <c r="C72" s="236"/>
      <c r="D72" s="235"/>
      <c r="E72" s="235"/>
      <c r="F72" s="235"/>
      <c r="G72" s="235"/>
      <c r="H72" s="235"/>
      <c r="I72" s="237"/>
      <c r="J72" s="237"/>
    </row>
    <row r="73" ht="15.75" customHeight="1">
      <c r="A73" s="235"/>
      <c r="B73" s="235"/>
      <c r="C73" s="236"/>
      <c r="D73" s="235"/>
      <c r="E73" s="235"/>
      <c r="F73" s="235"/>
      <c r="G73" s="235"/>
      <c r="H73" s="235"/>
      <c r="I73" s="237"/>
      <c r="J73" s="237"/>
    </row>
    <row r="74" ht="15.75" customHeight="1">
      <c r="A74" s="235"/>
      <c r="B74" s="235"/>
      <c r="C74" s="236"/>
      <c r="D74" s="235"/>
      <c r="E74" s="235"/>
      <c r="F74" s="235"/>
      <c r="G74" s="235"/>
      <c r="H74" s="235"/>
      <c r="I74" s="237"/>
      <c r="J74" s="237"/>
    </row>
    <row r="75" ht="15.75" customHeight="1">
      <c r="A75" s="235"/>
      <c r="B75" s="235"/>
      <c r="C75" s="236"/>
      <c r="D75" s="235"/>
      <c r="E75" s="235"/>
      <c r="F75" s="235"/>
      <c r="G75" s="235"/>
      <c r="H75" s="235"/>
      <c r="I75" s="237"/>
      <c r="J75" s="237"/>
    </row>
    <row r="76" ht="15.75" customHeight="1">
      <c r="A76" s="235"/>
      <c r="B76" s="235"/>
      <c r="C76" s="236"/>
      <c r="D76" s="235"/>
      <c r="E76" s="235"/>
      <c r="F76" s="235"/>
      <c r="G76" s="235"/>
      <c r="H76" s="235"/>
      <c r="I76" s="237"/>
      <c r="J76" s="237"/>
    </row>
    <row r="77" ht="15.75" customHeight="1">
      <c r="A77" s="235"/>
      <c r="B77" s="235"/>
      <c r="C77" s="236"/>
      <c r="D77" s="235"/>
      <c r="E77" s="235"/>
      <c r="F77" s="235"/>
      <c r="G77" s="235"/>
      <c r="H77" s="235"/>
      <c r="I77" s="237"/>
      <c r="J77" s="237"/>
    </row>
    <row r="78" ht="15.75" customHeight="1">
      <c r="A78" s="235"/>
      <c r="B78" s="235"/>
      <c r="C78" s="236"/>
      <c r="D78" s="235"/>
      <c r="E78" s="235"/>
      <c r="F78" s="235"/>
      <c r="G78" s="235"/>
      <c r="H78" s="235"/>
      <c r="I78" s="237"/>
      <c r="J78" s="237"/>
    </row>
    <row r="79" ht="15.75" customHeight="1">
      <c r="A79" s="235"/>
      <c r="B79" s="235"/>
      <c r="C79" s="236"/>
      <c r="D79" s="235"/>
      <c r="E79" s="235"/>
      <c r="F79" s="235"/>
      <c r="G79" s="235"/>
      <c r="H79" s="235"/>
      <c r="I79" s="237"/>
      <c r="J79" s="237"/>
    </row>
    <row r="80" ht="15.75" customHeight="1">
      <c r="A80" s="235"/>
      <c r="B80" s="235"/>
      <c r="C80" s="236"/>
      <c r="D80" s="235"/>
      <c r="E80" s="235"/>
      <c r="F80" s="235"/>
      <c r="G80" s="235"/>
      <c r="H80" s="235"/>
      <c r="I80" s="237"/>
      <c r="J80" s="237"/>
    </row>
    <row r="81" ht="15.75" customHeight="1">
      <c r="A81" s="235"/>
      <c r="B81" s="235"/>
      <c r="C81" s="236"/>
      <c r="D81" s="235"/>
      <c r="E81" s="235"/>
      <c r="F81" s="235"/>
      <c r="G81" s="235"/>
      <c r="H81" s="235"/>
      <c r="I81" s="237"/>
      <c r="J81" s="237"/>
    </row>
    <row r="82" ht="15.75" customHeight="1">
      <c r="A82" s="235"/>
      <c r="B82" s="235"/>
      <c r="C82" s="236"/>
      <c r="D82" s="235"/>
      <c r="E82" s="235"/>
      <c r="F82" s="235"/>
      <c r="G82" s="235"/>
      <c r="H82" s="235"/>
      <c r="I82" s="237"/>
      <c r="J82" s="237"/>
    </row>
    <row r="83" ht="15.75" customHeight="1">
      <c r="A83" s="235"/>
      <c r="B83" s="235"/>
      <c r="C83" s="236"/>
      <c r="D83" s="235"/>
      <c r="E83" s="235"/>
      <c r="F83" s="235"/>
      <c r="G83" s="235"/>
      <c r="H83" s="235"/>
      <c r="I83" s="237"/>
      <c r="J83" s="237"/>
    </row>
    <row r="84" ht="15.75" customHeight="1">
      <c r="A84" s="235"/>
      <c r="B84" s="235"/>
      <c r="C84" s="236"/>
      <c r="D84" s="235"/>
      <c r="E84" s="235"/>
      <c r="F84" s="235"/>
      <c r="G84" s="235"/>
      <c r="H84" s="235"/>
      <c r="I84" s="237"/>
      <c r="J84" s="237"/>
    </row>
    <row r="85" ht="15.75" customHeight="1">
      <c r="A85" s="235"/>
      <c r="B85" s="235"/>
      <c r="C85" s="236"/>
      <c r="D85" s="235"/>
      <c r="E85" s="235"/>
      <c r="F85" s="235"/>
      <c r="G85" s="235"/>
      <c r="H85" s="235"/>
      <c r="I85" s="237"/>
      <c r="J85" s="237"/>
    </row>
    <row r="86" ht="15.75" customHeight="1">
      <c r="A86" s="235"/>
      <c r="B86" s="235"/>
      <c r="C86" s="236"/>
      <c r="D86" s="235"/>
      <c r="E86" s="235"/>
      <c r="F86" s="235"/>
      <c r="G86" s="235"/>
      <c r="H86" s="235"/>
      <c r="I86" s="237"/>
      <c r="J86" s="237"/>
    </row>
    <row r="87" ht="15.75" customHeight="1">
      <c r="A87" s="235"/>
      <c r="B87" s="235"/>
      <c r="C87" s="236"/>
      <c r="D87" s="235"/>
      <c r="E87" s="235"/>
      <c r="F87" s="235"/>
      <c r="G87" s="235"/>
      <c r="H87" s="235"/>
      <c r="I87" s="237"/>
      <c r="J87" s="237"/>
    </row>
    <row r="88" ht="15.75" customHeight="1">
      <c r="A88" s="235"/>
      <c r="B88" s="235"/>
      <c r="C88" s="236"/>
      <c r="D88" s="235"/>
      <c r="E88" s="235"/>
      <c r="F88" s="235"/>
      <c r="G88" s="235"/>
      <c r="H88" s="235"/>
      <c r="I88" s="237"/>
      <c r="J88" s="237"/>
    </row>
    <row r="89" ht="15.75" customHeight="1">
      <c r="A89" s="235"/>
      <c r="B89" s="235"/>
      <c r="C89" s="236"/>
      <c r="D89" s="235"/>
      <c r="E89" s="235"/>
      <c r="F89" s="235"/>
      <c r="G89" s="235"/>
      <c r="H89" s="235"/>
      <c r="I89" s="237"/>
      <c r="J89" s="237"/>
    </row>
    <row r="90" ht="15.75" customHeight="1">
      <c r="A90" s="235"/>
      <c r="B90" s="235"/>
      <c r="C90" s="236"/>
      <c r="D90" s="235"/>
      <c r="E90" s="235"/>
      <c r="F90" s="235"/>
      <c r="G90" s="235"/>
      <c r="H90" s="235"/>
      <c r="I90" s="237"/>
      <c r="J90" s="237"/>
    </row>
    <row r="91" ht="15.75" customHeight="1">
      <c r="A91" s="235"/>
      <c r="B91" s="235"/>
      <c r="C91" s="236"/>
      <c r="D91" s="235"/>
      <c r="E91" s="235"/>
      <c r="F91" s="235"/>
      <c r="G91" s="235"/>
      <c r="H91" s="235"/>
      <c r="I91" s="237"/>
      <c r="J91" s="237"/>
    </row>
    <row r="92" ht="15.75" customHeight="1">
      <c r="A92" s="235"/>
      <c r="B92" s="235"/>
      <c r="C92" s="236"/>
      <c r="D92" s="235"/>
      <c r="E92" s="235"/>
      <c r="F92" s="235"/>
      <c r="G92" s="235"/>
      <c r="H92" s="235"/>
      <c r="I92" s="237"/>
      <c r="J92" s="237"/>
    </row>
    <row r="93" ht="15.75" customHeight="1">
      <c r="A93" s="235"/>
      <c r="B93" s="235"/>
      <c r="C93" s="236"/>
      <c r="D93" s="235"/>
      <c r="E93" s="235"/>
      <c r="F93" s="235"/>
      <c r="G93" s="235"/>
      <c r="H93" s="235"/>
      <c r="I93" s="237"/>
      <c r="J93" s="237"/>
    </row>
    <row r="94" ht="15.75" customHeight="1">
      <c r="A94" s="235"/>
      <c r="B94" s="235"/>
      <c r="C94" s="236"/>
      <c r="D94" s="235"/>
      <c r="E94" s="235"/>
      <c r="F94" s="235"/>
      <c r="G94" s="235"/>
      <c r="H94" s="235"/>
      <c r="I94" s="237"/>
      <c r="J94" s="237"/>
    </row>
    <row r="95" ht="15.75" customHeight="1">
      <c r="A95" s="235"/>
      <c r="B95" s="235"/>
      <c r="C95" s="236"/>
      <c r="D95" s="235"/>
      <c r="E95" s="235"/>
      <c r="F95" s="235"/>
      <c r="G95" s="235"/>
      <c r="H95" s="235"/>
      <c r="I95" s="237"/>
      <c r="J95" s="237"/>
    </row>
    <row r="96" ht="15.75" customHeight="1">
      <c r="A96" s="235"/>
      <c r="B96" s="235"/>
      <c r="C96" s="236"/>
      <c r="D96" s="235"/>
      <c r="E96" s="235"/>
      <c r="F96" s="235"/>
      <c r="G96" s="235"/>
      <c r="H96" s="235"/>
      <c r="I96" s="237"/>
      <c r="J96" s="237"/>
    </row>
    <row r="97" ht="15.75" customHeight="1">
      <c r="A97" s="235"/>
      <c r="B97" s="235"/>
      <c r="C97" s="236"/>
      <c r="D97" s="235"/>
      <c r="E97" s="235"/>
      <c r="F97" s="235"/>
      <c r="G97" s="235"/>
      <c r="H97" s="235"/>
      <c r="I97" s="237"/>
      <c r="J97" s="237"/>
    </row>
    <row r="98" ht="15.75" customHeight="1">
      <c r="A98" s="235"/>
      <c r="B98" s="235"/>
      <c r="C98" s="236"/>
      <c r="D98" s="235"/>
      <c r="E98" s="235"/>
      <c r="F98" s="235"/>
      <c r="G98" s="235"/>
      <c r="H98" s="235"/>
      <c r="I98" s="237"/>
      <c r="J98" s="237"/>
    </row>
    <row r="99" ht="15.75" customHeight="1">
      <c r="A99" s="235"/>
      <c r="B99" s="235"/>
      <c r="C99" s="236"/>
      <c r="D99" s="235"/>
      <c r="E99" s="235"/>
      <c r="F99" s="235"/>
      <c r="G99" s="235"/>
      <c r="H99" s="235"/>
      <c r="I99" s="237"/>
      <c r="J99" s="237"/>
    </row>
    <row r="100" ht="15.75" customHeight="1">
      <c r="A100" s="235"/>
      <c r="B100" s="235"/>
      <c r="C100" s="236"/>
      <c r="D100" s="235"/>
      <c r="E100" s="235"/>
      <c r="F100" s="235"/>
      <c r="G100" s="235"/>
      <c r="H100" s="235"/>
      <c r="I100" s="237"/>
      <c r="J100" s="237"/>
    </row>
    <row r="101" ht="15.75" customHeight="1">
      <c r="A101" s="235"/>
      <c r="B101" s="235"/>
      <c r="C101" s="236"/>
      <c r="D101" s="235"/>
      <c r="E101" s="235"/>
      <c r="F101" s="235"/>
      <c r="G101" s="235"/>
      <c r="H101" s="235"/>
      <c r="I101" s="237"/>
      <c r="J101" s="237"/>
    </row>
    <row r="102" ht="15.75" customHeight="1">
      <c r="A102" s="235"/>
      <c r="B102" s="235"/>
      <c r="C102" s="236"/>
      <c r="D102" s="235"/>
      <c r="E102" s="235"/>
      <c r="F102" s="235"/>
      <c r="G102" s="235"/>
      <c r="H102" s="235"/>
      <c r="I102" s="237"/>
      <c r="J102" s="237"/>
    </row>
    <row r="103" ht="15.75" customHeight="1">
      <c r="A103" s="235"/>
      <c r="B103" s="235"/>
      <c r="C103" s="236"/>
      <c r="D103" s="235"/>
      <c r="E103" s="235"/>
      <c r="F103" s="235"/>
      <c r="G103" s="235"/>
      <c r="H103" s="235"/>
      <c r="I103" s="237"/>
      <c r="J103" s="237"/>
    </row>
    <row r="104" ht="15.75" customHeight="1">
      <c r="A104" s="235"/>
      <c r="B104" s="235"/>
      <c r="C104" s="236"/>
      <c r="D104" s="235"/>
      <c r="E104" s="235"/>
      <c r="F104" s="235"/>
      <c r="G104" s="235"/>
      <c r="H104" s="235"/>
      <c r="I104" s="237"/>
      <c r="J104" s="237"/>
    </row>
    <row r="105" ht="15.75" customHeight="1">
      <c r="A105" s="235"/>
      <c r="B105" s="235"/>
      <c r="C105" s="236"/>
      <c r="D105" s="235"/>
      <c r="E105" s="235"/>
      <c r="F105" s="235"/>
      <c r="G105" s="235"/>
      <c r="H105" s="235"/>
      <c r="I105" s="237"/>
      <c r="J105" s="237"/>
    </row>
    <row r="106" ht="15.75" customHeight="1">
      <c r="A106" s="235"/>
      <c r="B106" s="235"/>
      <c r="C106" s="236"/>
      <c r="D106" s="235"/>
      <c r="E106" s="235"/>
      <c r="F106" s="235"/>
      <c r="G106" s="235"/>
      <c r="H106" s="235"/>
      <c r="I106" s="237"/>
      <c r="J106" s="237"/>
    </row>
    <row r="107" ht="15.75" customHeight="1">
      <c r="A107" s="235"/>
      <c r="B107" s="235"/>
      <c r="C107" s="236"/>
      <c r="D107" s="235"/>
      <c r="E107" s="235"/>
      <c r="F107" s="235"/>
      <c r="G107" s="235"/>
      <c r="H107" s="235"/>
      <c r="I107" s="237"/>
      <c r="J107" s="237"/>
    </row>
    <row r="108" ht="15.75" customHeight="1">
      <c r="A108" s="235"/>
      <c r="B108" s="235"/>
      <c r="C108" s="236"/>
      <c r="D108" s="235"/>
      <c r="E108" s="235"/>
      <c r="F108" s="235"/>
      <c r="G108" s="235"/>
      <c r="H108" s="235"/>
      <c r="I108" s="237"/>
      <c r="J108" s="237"/>
    </row>
    <row r="109" ht="15.75" customHeight="1">
      <c r="A109" s="235"/>
      <c r="B109" s="235"/>
      <c r="C109" s="236"/>
      <c r="D109" s="235"/>
      <c r="E109" s="235"/>
      <c r="F109" s="235"/>
      <c r="G109" s="235"/>
      <c r="H109" s="235"/>
      <c r="I109" s="237"/>
      <c r="J109" s="237"/>
    </row>
    <row r="110" ht="15.75" customHeight="1">
      <c r="A110" s="235"/>
      <c r="B110" s="235"/>
      <c r="C110" s="236"/>
      <c r="D110" s="235"/>
      <c r="E110" s="235"/>
      <c r="F110" s="235"/>
      <c r="G110" s="235"/>
      <c r="H110" s="235"/>
      <c r="I110" s="237"/>
      <c r="J110" s="237"/>
    </row>
    <row r="111" ht="15.75" customHeight="1">
      <c r="A111" s="235"/>
      <c r="B111" s="235"/>
      <c r="C111" s="236"/>
      <c r="D111" s="235"/>
      <c r="E111" s="235"/>
      <c r="F111" s="235"/>
      <c r="G111" s="235"/>
      <c r="H111" s="235"/>
      <c r="I111" s="237"/>
      <c r="J111" s="237"/>
    </row>
    <row r="112" ht="15.75" customHeight="1">
      <c r="A112" s="235"/>
      <c r="B112" s="235"/>
      <c r="C112" s="236"/>
      <c r="D112" s="235"/>
      <c r="E112" s="235"/>
      <c r="F112" s="235"/>
      <c r="G112" s="235"/>
      <c r="H112" s="235"/>
      <c r="I112" s="237"/>
      <c r="J112" s="237"/>
    </row>
    <row r="113" ht="15.75" customHeight="1">
      <c r="A113" s="235"/>
      <c r="B113" s="235"/>
      <c r="C113" s="236"/>
      <c r="D113" s="235"/>
      <c r="E113" s="235"/>
      <c r="F113" s="235"/>
      <c r="G113" s="235"/>
      <c r="H113" s="235"/>
      <c r="I113" s="237"/>
      <c r="J113" s="237"/>
    </row>
    <row r="114" ht="15.75" customHeight="1">
      <c r="A114" s="235"/>
      <c r="B114" s="235"/>
      <c r="C114" s="236"/>
      <c r="D114" s="235"/>
      <c r="E114" s="235"/>
      <c r="F114" s="235"/>
      <c r="G114" s="235"/>
      <c r="H114" s="235"/>
      <c r="I114" s="237"/>
      <c r="J114" s="237"/>
    </row>
    <row r="115" ht="15.75" customHeight="1">
      <c r="A115" s="235"/>
      <c r="B115" s="235"/>
      <c r="C115" s="236"/>
      <c r="D115" s="235"/>
      <c r="E115" s="235"/>
      <c r="F115" s="235"/>
      <c r="G115" s="235"/>
      <c r="H115" s="235"/>
      <c r="I115" s="237"/>
      <c r="J115" s="237"/>
    </row>
    <row r="116" ht="15.75" customHeight="1">
      <c r="A116" s="235"/>
      <c r="B116" s="235"/>
      <c r="C116" s="236"/>
      <c r="D116" s="235"/>
      <c r="E116" s="235"/>
      <c r="F116" s="235"/>
      <c r="G116" s="235"/>
      <c r="H116" s="235"/>
      <c r="I116" s="237"/>
      <c r="J116" s="237"/>
    </row>
    <row r="117" ht="15.75" customHeight="1">
      <c r="A117" s="235"/>
      <c r="B117" s="235"/>
      <c r="C117" s="236"/>
      <c r="D117" s="235"/>
      <c r="E117" s="235"/>
      <c r="F117" s="235"/>
      <c r="G117" s="235"/>
      <c r="H117" s="235"/>
      <c r="I117" s="237"/>
      <c r="J117" s="237"/>
    </row>
    <row r="118" ht="15.75" customHeight="1">
      <c r="A118" s="235"/>
      <c r="B118" s="235"/>
      <c r="C118" s="236"/>
      <c r="D118" s="235"/>
      <c r="E118" s="235"/>
      <c r="F118" s="235"/>
      <c r="G118" s="235"/>
      <c r="H118" s="235"/>
      <c r="I118" s="237"/>
      <c r="J118" s="237"/>
    </row>
    <row r="119" ht="15.75" customHeight="1">
      <c r="A119" s="235"/>
      <c r="B119" s="235"/>
      <c r="C119" s="236"/>
      <c r="D119" s="235"/>
      <c r="E119" s="235"/>
      <c r="F119" s="235"/>
      <c r="G119" s="235"/>
      <c r="H119" s="235"/>
      <c r="I119" s="237"/>
      <c r="J119" s="237"/>
    </row>
    <row r="120" ht="15.75" customHeight="1">
      <c r="A120" s="235"/>
      <c r="B120" s="235"/>
      <c r="C120" s="236"/>
      <c r="D120" s="235"/>
      <c r="E120" s="235"/>
      <c r="F120" s="235"/>
      <c r="G120" s="235"/>
      <c r="H120" s="235"/>
      <c r="I120" s="237"/>
      <c r="J120" s="237"/>
    </row>
    <row r="121" ht="15.75" customHeight="1">
      <c r="A121" s="235"/>
      <c r="B121" s="235"/>
      <c r="C121" s="236"/>
      <c r="D121" s="235"/>
      <c r="E121" s="235"/>
      <c r="F121" s="235"/>
      <c r="G121" s="235"/>
      <c r="H121" s="235"/>
      <c r="I121" s="237"/>
      <c r="J121" s="237"/>
    </row>
    <row r="122" ht="15.75" customHeight="1">
      <c r="A122" s="235"/>
      <c r="B122" s="235"/>
      <c r="C122" s="236"/>
      <c r="D122" s="235"/>
      <c r="E122" s="235"/>
      <c r="F122" s="235"/>
      <c r="G122" s="235"/>
      <c r="H122" s="235"/>
      <c r="I122" s="237"/>
      <c r="J122" s="237"/>
    </row>
    <row r="123" ht="15.75" customHeight="1">
      <c r="A123" s="235"/>
      <c r="B123" s="235"/>
      <c r="C123" s="236"/>
      <c r="D123" s="235"/>
      <c r="E123" s="235"/>
      <c r="F123" s="235"/>
      <c r="G123" s="235"/>
      <c r="H123" s="235"/>
      <c r="I123" s="237"/>
      <c r="J123" s="237"/>
    </row>
    <row r="124" ht="15.75" customHeight="1">
      <c r="A124" s="235"/>
      <c r="B124" s="235"/>
      <c r="C124" s="236"/>
      <c r="D124" s="235"/>
      <c r="E124" s="235"/>
      <c r="F124" s="235"/>
      <c r="G124" s="235"/>
      <c r="H124" s="235"/>
      <c r="I124" s="237"/>
      <c r="J124" s="237"/>
    </row>
    <row r="125" ht="15.75" customHeight="1">
      <c r="A125" s="235"/>
      <c r="B125" s="235"/>
      <c r="C125" s="236"/>
      <c r="D125" s="235"/>
      <c r="E125" s="235"/>
      <c r="F125" s="235"/>
      <c r="G125" s="235"/>
      <c r="H125" s="235"/>
      <c r="I125" s="237"/>
      <c r="J125" s="237"/>
    </row>
    <row r="126" ht="15.75" customHeight="1">
      <c r="A126" s="235"/>
      <c r="B126" s="235"/>
      <c r="C126" s="236"/>
      <c r="D126" s="235"/>
      <c r="E126" s="235"/>
      <c r="F126" s="235"/>
      <c r="G126" s="235"/>
      <c r="H126" s="235"/>
      <c r="I126" s="237"/>
      <c r="J126" s="237"/>
    </row>
    <row r="127" ht="15.75" customHeight="1">
      <c r="A127" s="235"/>
      <c r="B127" s="235"/>
      <c r="C127" s="236"/>
      <c r="D127" s="235"/>
      <c r="E127" s="235"/>
      <c r="F127" s="235"/>
      <c r="G127" s="235"/>
      <c r="H127" s="235"/>
      <c r="I127" s="237"/>
      <c r="J127" s="237"/>
    </row>
    <row r="128" ht="15.75" customHeight="1">
      <c r="A128" s="235"/>
      <c r="B128" s="235"/>
      <c r="C128" s="236"/>
      <c r="D128" s="235"/>
      <c r="E128" s="235"/>
      <c r="F128" s="235"/>
      <c r="G128" s="235"/>
      <c r="H128" s="235"/>
      <c r="I128" s="237"/>
      <c r="J128" s="237"/>
    </row>
    <row r="129" ht="15.75" customHeight="1">
      <c r="A129" s="235"/>
      <c r="B129" s="235"/>
      <c r="C129" s="236"/>
      <c r="D129" s="235"/>
      <c r="E129" s="235"/>
      <c r="F129" s="235"/>
      <c r="G129" s="235"/>
      <c r="H129" s="235"/>
      <c r="I129" s="237"/>
      <c r="J129" s="237"/>
    </row>
    <row r="130" ht="15.75" customHeight="1">
      <c r="A130" s="235"/>
      <c r="B130" s="235"/>
      <c r="C130" s="236"/>
      <c r="D130" s="235"/>
      <c r="E130" s="235"/>
      <c r="F130" s="235"/>
      <c r="G130" s="235"/>
      <c r="H130" s="235"/>
      <c r="I130" s="237"/>
      <c r="J130" s="237"/>
    </row>
    <row r="131" ht="15.75" customHeight="1">
      <c r="A131" s="235"/>
      <c r="B131" s="235"/>
      <c r="C131" s="236"/>
      <c r="D131" s="235"/>
      <c r="E131" s="235"/>
      <c r="F131" s="235"/>
      <c r="G131" s="235"/>
      <c r="H131" s="235"/>
      <c r="I131" s="237"/>
      <c r="J131" s="237"/>
    </row>
    <row r="132" ht="15.75" customHeight="1">
      <c r="A132" s="235"/>
      <c r="B132" s="235"/>
      <c r="C132" s="236"/>
      <c r="D132" s="235"/>
      <c r="E132" s="235"/>
      <c r="F132" s="235"/>
      <c r="G132" s="235"/>
      <c r="H132" s="235"/>
      <c r="I132" s="237"/>
      <c r="J132" s="237"/>
    </row>
    <row r="133" ht="15.75" customHeight="1">
      <c r="A133" s="235"/>
      <c r="B133" s="235"/>
      <c r="C133" s="236"/>
      <c r="D133" s="235"/>
      <c r="E133" s="235"/>
      <c r="F133" s="235"/>
      <c r="G133" s="235"/>
      <c r="H133" s="235"/>
      <c r="I133" s="237"/>
      <c r="J133" s="237"/>
    </row>
    <row r="134" ht="15.75" customHeight="1">
      <c r="A134" s="235"/>
      <c r="B134" s="235"/>
      <c r="C134" s="236"/>
      <c r="D134" s="235"/>
      <c r="E134" s="235"/>
      <c r="F134" s="235"/>
      <c r="G134" s="235"/>
      <c r="H134" s="235"/>
      <c r="I134" s="237"/>
      <c r="J134" s="237"/>
    </row>
    <row r="135" ht="15.75" customHeight="1">
      <c r="A135" s="235"/>
      <c r="B135" s="235"/>
      <c r="C135" s="236"/>
      <c r="D135" s="235"/>
      <c r="E135" s="235"/>
      <c r="F135" s="235"/>
      <c r="G135" s="235"/>
      <c r="H135" s="235"/>
      <c r="I135" s="237"/>
      <c r="J135" s="237"/>
    </row>
    <row r="136" ht="15.75" customHeight="1">
      <c r="A136" s="235"/>
      <c r="B136" s="235"/>
      <c r="C136" s="236"/>
      <c r="D136" s="235"/>
      <c r="E136" s="235"/>
      <c r="F136" s="235"/>
      <c r="G136" s="235"/>
      <c r="H136" s="235"/>
      <c r="I136" s="237"/>
      <c r="J136" s="237"/>
    </row>
    <row r="137" ht="15.75" customHeight="1">
      <c r="A137" s="235"/>
      <c r="B137" s="235"/>
      <c r="C137" s="236"/>
      <c r="D137" s="235"/>
      <c r="E137" s="235"/>
      <c r="F137" s="235"/>
      <c r="G137" s="235"/>
      <c r="H137" s="235"/>
      <c r="I137" s="237"/>
      <c r="J137" s="237"/>
    </row>
    <row r="138" ht="15.75" customHeight="1">
      <c r="A138" s="235"/>
      <c r="B138" s="235"/>
      <c r="C138" s="236"/>
      <c r="D138" s="235"/>
      <c r="E138" s="235"/>
      <c r="F138" s="235"/>
      <c r="G138" s="235"/>
      <c r="H138" s="235"/>
      <c r="I138" s="237"/>
      <c r="J138" s="237"/>
    </row>
    <row r="139" ht="15.75" customHeight="1">
      <c r="A139" s="235"/>
      <c r="B139" s="235"/>
      <c r="C139" s="236"/>
      <c r="D139" s="235"/>
      <c r="E139" s="235"/>
      <c r="F139" s="235"/>
      <c r="G139" s="235"/>
      <c r="H139" s="235"/>
      <c r="I139" s="237"/>
      <c r="J139" s="237"/>
    </row>
    <row r="140" ht="15.75" customHeight="1">
      <c r="A140" s="235"/>
      <c r="B140" s="235"/>
      <c r="C140" s="236"/>
      <c r="D140" s="235"/>
      <c r="E140" s="235"/>
      <c r="F140" s="235"/>
      <c r="G140" s="235"/>
      <c r="H140" s="235"/>
      <c r="I140" s="237"/>
      <c r="J140" s="237"/>
    </row>
    <row r="141" ht="15.75" customHeight="1">
      <c r="A141" s="235"/>
      <c r="B141" s="235"/>
      <c r="C141" s="236"/>
      <c r="D141" s="235"/>
      <c r="E141" s="235"/>
      <c r="F141" s="235"/>
      <c r="G141" s="235"/>
      <c r="H141" s="235"/>
      <c r="I141" s="237"/>
      <c r="J141" s="237"/>
    </row>
    <row r="142" ht="15.75" customHeight="1">
      <c r="A142" s="235"/>
      <c r="B142" s="235"/>
      <c r="C142" s="236"/>
      <c r="D142" s="235"/>
      <c r="E142" s="235"/>
      <c r="F142" s="235"/>
      <c r="G142" s="235"/>
      <c r="H142" s="235"/>
      <c r="I142" s="237"/>
      <c r="J142" s="237"/>
    </row>
    <row r="143" ht="15.75" customHeight="1">
      <c r="A143" s="235"/>
      <c r="B143" s="235"/>
      <c r="C143" s="236"/>
      <c r="D143" s="235"/>
      <c r="E143" s="235"/>
      <c r="F143" s="235"/>
      <c r="G143" s="235"/>
      <c r="H143" s="235"/>
      <c r="I143" s="237"/>
      <c r="J143" s="237"/>
    </row>
    <row r="144" ht="15.75" customHeight="1">
      <c r="A144" s="235"/>
      <c r="B144" s="235"/>
      <c r="C144" s="236"/>
      <c r="D144" s="235"/>
      <c r="E144" s="235"/>
      <c r="F144" s="235"/>
      <c r="G144" s="235"/>
      <c r="H144" s="235"/>
      <c r="I144" s="237"/>
      <c r="J144" s="237"/>
    </row>
    <row r="145" ht="15.75" customHeight="1">
      <c r="A145" s="235"/>
      <c r="B145" s="235"/>
      <c r="C145" s="236"/>
      <c r="D145" s="235"/>
      <c r="E145" s="235"/>
      <c r="F145" s="235"/>
      <c r="G145" s="235"/>
      <c r="H145" s="235"/>
      <c r="I145" s="237"/>
      <c r="J145" s="237"/>
    </row>
    <row r="146" ht="15.75" customHeight="1">
      <c r="A146" s="235"/>
      <c r="B146" s="235"/>
      <c r="C146" s="236"/>
      <c r="D146" s="235"/>
      <c r="E146" s="235"/>
      <c r="F146" s="235"/>
      <c r="G146" s="235"/>
      <c r="H146" s="235"/>
      <c r="I146" s="237"/>
      <c r="J146" s="237"/>
    </row>
    <row r="147" ht="15.75" customHeight="1">
      <c r="A147" s="235"/>
      <c r="B147" s="235"/>
      <c r="C147" s="236"/>
      <c r="D147" s="235"/>
      <c r="E147" s="235"/>
      <c r="F147" s="235"/>
      <c r="G147" s="235"/>
      <c r="H147" s="235"/>
      <c r="I147" s="237"/>
      <c r="J147" s="237"/>
    </row>
    <row r="148" ht="15.75" customHeight="1">
      <c r="A148" s="235"/>
      <c r="B148" s="235"/>
      <c r="C148" s="236"/>
      <c r="D148" s="235"/>
      <c r="E148" s="235"/>
      <c r="F148" s="235"/>
      <c r="G148" s="235"/>
      <c r="H148" s="235"/>
      <c r="I148" s="237"/>
      <c r="J148" s="237"/>
    </row>
    <row r="149" ht="15.75" customHeight="1">
      <c r="A149" s="235"/>
      <c r="B149" s="235"/>
      <c r="C149" s="236"/>
      <c r="D149" s="235"/>
      <c r="E149" s="235"/>
      <c r="F149" s="235"/>
      <c r="G149" s="235"/>
      <c r="H149" s="235"/>
      <c r="I149" s="237"/>
      <c r="J149" s="237"/>
    </row>
    <row r="150" ht="15.75" customHeight="1">
      <c r="A150" s="235"/>
      <c r="B150" s="235"/>
      <c r="C150" s="236"/>
      <c r="D150" s="235"/>
      <c r="E150" s="235"/>
      <c r="F150" s="235"/>
      <c r="G150" s="235"/>
      <c r="H150" s="235"/>
      <c r="I150" s="237"/>
      <c r="J150" s="237"/>
    </row>
    <row r="151" ht="15.75" customHeight="1">
      <c r="A151" s="235"/>
      <c r="B151" s="235"/>
      <c r="C151" s="236"/>
      <c r="D151" s="235"/>
      <c r="E151" s="235"/>
      <c r="F151" s="235"/>
      <c r="G151" s="235"/>
      <c r="H151" s="235"/>
      <c r="I151" s="237"/>
      <c r="J151" s="237"/>
    </row>
    <row r="152" ht="15.75" customHeight="1">
      <c r="A152" s="235"/>
      <c r="B152" s="235"/>
      <c r="C152" s="236"/>
      <c r="D152" s="235"/>
      <c r="E152" s="235"/>
      <c r="F152" s="235"/>
      <c r="G152" s="235"/>
      <c r="H152" s="235"/>
      <c r="I152" s="237"/>
      <c r="J152" s="237"/>
    </row>
    <row r="153" ht="15.75" customHeight="1">
      <c r="A153" s="235"/>
      <c r="B153" s="235"/>
      <c r="C153" s="236"/>
      <c r="D153" s="235"/>
      <c r="E153" s="235"/>
      <c r="F153" s="235"/>
      <c r="G153" s="235"/>
      <c r="H153" s="235"/>
      <c r="I153" s="237"/>
      <c r="J153" s="237"/>
    </row>
    <row r="154" ht="15.75" customHeight="1">
      <c r="A154" s="235"/>
      <c r="B154" s="235"/>
      <c r="C154" s="236"/>
      <c r="D154" s="235"/>
      <c r="E154" s="235"/>
      <c r="F154" s="235"/>
      <c r="G154" s="235"/>
      <c r="H154" s="235"/>
      <c r="I154" s="237"/>
      <c r="J154" s="237"/>
    </row>
    <row r="155" ht="15.75" customHeight="1">
      <c r="A155" s="235"/>
      <c r="B155" s="235"/>
      <c r="C155" s="236"/>
      <c r="D155" s="235"/>
      <c r="E155" s="235"/>
      <c r="F155" s="235"/>
      <c r="G155" s="235"/>
      <c r="H155" s="235"/>
      <c r="I155" s="237"/>
      <c r="J155" s="237"/>
    </row>
    <row r="156" ht="15.75" customHeight="1">
      <c r="A156" s="235"/>
      <c r="B156" s="235"/>
      <c r="C156" s="236"/>
      <c r="D156" s="235"/>
      <c r="E156" s="235"/>
      <c r="F156" s="235"/>
      <c r="G156" s="235"/>
      <c r="H156" s="235"/>
      <c r="I156" s="237"/>
      <c r="J156" s="237"/>
    </row>
    <row r="157" ht="15.75" customHeight="1">
      <c r="A157" s="235"/>
      <c r="B157" s="235"/>
      <c r="C157" s="236"/>
      <c r="D157" s="235"/>
      <c r="E157" s="235"/>
      <c r="F157" s="235"/>
      <c r="G157" s="235"/>
      <c r="H157" s="235"/>
      <c r="I157" s="237"/>
      <c r="J157" s="237"/>
    </row>
    <row r="158" ht="15.75" customHeight="1">
      <c r="A158" s="235"/>
      <c r="B158" s="235"/>
      <c r="C158" s="236"/>
      <c r="D158" s="235"/>
      <c r="E158" s="235"/>
      <c r="F158" s="235"/>
      <c r="G158" s="235"/>
      <c r="H158" s="235"/>
      <c r="I158" s="237"/>
      <c r="J158" s="237"/>
    </row>
    <row r="159" ht="15.75" customHeight="1">
      <c r="A159" s="235"/>
      <c r="B159" s="235"/>
      <c r="C159" s="236"/>
      <c r="D159" s="235"/>
      <c r="E159" s="235"/>
      <c r="F159" s="235"/>
      <c r="G159" s="235"/>
      <c r="H159" s="235"/>
      <c r="I159" s="237"/>
      <c r="J159" s="237"/>
    </row>
    <row r="160" ht="15.75" customHeight="1">
      <c r="A160" s="235"/>
      <c r="B160" s="235"/>
      <c r="C160" s="236"/>
      <c r="D160" s="235"/>
      <c r="E160" s="235"/>
      <c r="F160" s="235"/>
      <c r="G160" s="235"/>
      <c r="H160" s="235"/>
      <c r="I160" s="237"/>
      <c r="J160" s="237"/>
    </row>
    <row r="161" ht="15.75" customHeight="1">
      <c r="A161" s="235"/>
      <c r="B161" s="235"/>
      <c r="C161" s="236"/>
      <c r="D161" s="235"/>
      <c r="E161" s="235"/>
      <c r="F161" s="235"/>
      <c r="G161" s="235"/>
      <c r="H161" s="235"/>
      <c r="I161" s="237"/>
      <c r="J161" s="237"/>
    </row>
    <row r="162" ht="15.75" customHeight="1">
      <c r="A162" s="235"/>
      <c r="B162" s="235"/>
      <c r="C162" s="236"/>
      <c r="D162" s="235"/>
      <c r="E162" s="235"/>
      <c r="F162" s="235"/>
      <c r="G162" s="235"/>
      <c r="H162" s="235"/>
      <c r="I162" s="237"/>
      <c r="J162" s="237"/>
    </row>
    <row r="163" ht="15.75" customHeight="1">
      <c r="A163" s="235"/>
      <c r="B163" s="235"/>
      <c r="C163" s="236"/>
      <c r="D163" s="235"/>
      <c r="E163" s="235"/>
      <c r="F163" s="235"/>
      <c r="G163" s="235"/>
      <c r="H163" s="235"/>
      <c r="I163" s="237"/>
      <c r="J163" s="237"/>
    </row>
    <row r="164" ht="15.75" customHeight="1">
      <c r="A164" s="235"/>
      <c r="B164" s="235"/>
      <c r="C164" s="236"/>
      <c r="D164" s="235"/>
      <c r="E164" s="235"/>
      <c r="F164" s="235"/>
      <c r="G164" s="235"/>
      <c r="H164" s="235"/>
      <c r="I164" s="237"/>
      <c r="J164" s="237"/>
    </row>
    <row r="165" ht="15.75" customHeight="1">
      <c r="A165" s="235"/>
      <c r="B165" s="235"/>
      <c r="C165" s="236"/>
      <c r="D165" s="235"/>
      <c r="E165" s="235"/>
      <c r="F165" s="235"/>
      <c r="G165" s="235"/>
      <c r="H165" s="235"/>
      <c r="I165" s="237"/>
      <c r="J165" s="237"/>
    </row>
    <row r="166" ht="15.75" customHeight="1">
      <c r="A166" s="235"/>
      <c r="B166" s="235"/>
      <c r="C166" s="236"/>
      <c r="D166" s="235"/>
      <c r="E166" s="235"/>
      <c r="F166" s="235"/>
      <c r="G166" s="235"/>
      <c r="H166" s="235"/>
      <c r="I166" s="237"/>
      <c r="J166" s="237"/>
    </row>
    <row r="167" ht="15.75" customHeight="1">
      <c r="A167" s="235"/>
      <c r="B167" s="235"/>
      <c r="C167" s="236"/>
      <c r="D167" s="235"/>
      <c r="E167" s="235"/>
      <c r="F167" s="235"/>
      <c r="G167" s="235"/>
      <c r="H167" s="235"/>
      <c r="I167" s="237"/>
      <c r="J167" s="237"/>
    </row>
    <row r="168" ht="15.75" customHeight="1">
      <c r="A168" s="235"/>
      <c r="B168" s="235"/>
      <c r="C168" s="236"/>
      <c r="D168" s="235"/>
      <c r="E168" s="235"/>
      <c r="F168" s="235"/>
      <c r="G168" s="235"/>
      <c r="H168" s="235"/>
      <c r="I168" s="237"/>
      <c r="J168" s="237"/>
    </row>
    <row r="169" ht="15.75" customHeight="1">
      <c r="A169" s="235"/>
      <c r="B169" s="235"/>
      <c r="C169" s="236"/>
      <c r="D169" s="235"/>
      <c r="E169" s="235"/>
      <c r="F169" s="235"/>
      <c r="G169" s="235"/>
      <c r="H169" s="235"/>
      <c r="I169" s="237"/>
      <c r="J169" s="237"/>
    </row>
    <row r="170" ht="15.75" customHeight="1">
      <c r="A170" s="235"/>
      <c r="B170" s="235"/>
      <c r="C170" s="236"/>
      <c r="D170" s="235"/>
      <c r="E170" s="235"/>
      <c r="F170" s="235"/>
      <c r="G170" s="235"/>
      <c r="H170" s="235"/>
      <c r="I170" s="237"/>
      <c r="J170" s="237"/>
    </row>
    <row r="171" ht="15.75" customHeight="1">
      <c r="A171" s="235"/>
      <c r="B171" s="235"/>
      <c r="C171" s="236"/>
      <c r="D171" s="235"/>
      <c r="E171" s="235"/>
      <c r="F171" s="235"/>
      <c r="G171" s="235"/>
      <c r="H171" s="235"/>
      <c r="I171" s="237"/>
      <c r="J171" s="237"/>
    </row>
    <row r="172" ht="15.75" customHeight="1">
      <c r="A172" s="235"/>
      <c r="B172" s="235"/>
      <c r="C172" s="236"/>
      <c r="D172" s="235"/>
      <c r="E172" s="235"/>
      <c r="F172" s="235"/>
      <c r="G172" s="235"/>
      <c r="H172" s="235"/>
      <c r="I172" s="237"/>
      <c r="J172" s="237"/>
    </row>
    <row r="173" ht="15.75" customHeight="1">
      <c r="A173" s="235"/>
      <c r="B173" s="235"/>
      <c r="C173" s="236"/>
      <c r="D173" s="235"/>
      <c r="E173" s="235"/>
      <c r="F173" s="235"/>
      <c r="G173" s="235"/>
      <c r="H173" s="235"/>
      <c r="I173" s="237"/>
      <c r="J173" s="237"/>
    </row>
    <row r="174" ht="15.75" customHeight="1">
      <c r="A174" s="235"/>
      <c r="B174" s="235"/>
      <c r="C174" s="236"/>
      <c r="D174" s="235"/>
      <c r="E174" s="235"/>
      <c r="F174" s="235"/>
      <c r="G174" s="235"/>
      <c r="H174" s="235"/>
      <c r="I174" s="237"/>
      <c r="J174" s="237"/>
    </row>
    <row r="175" ht="15.75" customHeight="1">
      <c r="A175" s="235"/>
      <c r="B175" s="235"/>
      <c r="C175" s="236"/>
      <c r="D175" s="235"/>
      <c r="E175" s="235"/>
      <c r="F175" s="235"/>
      <c r="G175" s="235"/>
      <c r="H175" s="235"/>
      <c r="I175" s="237"/>
      <c r="J175" s="237"/>
    </row>
    <row r="176" ht="15.75" customHeight="1">
      <c r="A176" s="235"/>
      <c r="B176" s="235"/>
      <c r="C176" s="236"/>
      <c r="D176" s="235"/>
      <c r="E176" s="235"/>
      <c r="F176" s="235"/>
      <c r="G176" s="235"/>
      <c r="H176" s="235"/>
      <c r="I176" s="237"/>
      <c r="J176" s="237"/>
    </row>
    <row r="177" ht="15.75" customHeight="1">
      <c r="A177" s="235"/>
      <c r="B177" s="235"/>
      <c r="C177" s="236"/>
      <c r="D177" s="235"/>
      <c r="E177" s="235"/>
      <c r="F177" s="235"/>
      <c r="G177" s="235"/>
      <c r="H177" s="235"/>
      <c r="I177" s="237"/>
      <c r="J177" s="237"/>
    </row>
    <row r="178" ht="15.75" customHeight="1">
      <c r="A178" s="235"/>
      <c r="B178" s="235"/>
      <c r="C178" s="236"/>
      <c r="D178" s="235"/>
      <c r="E178" s="235"/>
      <c r="F178" s="235"/>
      <c r="G178" s="235"/>
      <c r="H178" s="235"/>
      <c r="I178" s="237"/>
      <c r="J178" s="237"/>
    </row>
    <row r="179" ht="15.75" customHeight="1">
      <c r="A179" s="235"/>
      <c r="B179" s="235"/>
      <c r="C179" s="236"/>
      <c r="D179" s="235"/>
      <c r="E179" s="235"/>
      <c r="F179" s="235"/>
      <c r="G179" s="235"/>
      <c r="H179" s="235"/>
      <c r="I179" s="237"/>
      <c r="J179" s="237"/>
    </row>
    <row r="180" ht="15.75" customHeight="1">
      <c r="A180" s="235"/>
      <c r="B180" s="235"/>
      <c r="C180" s="236"/>
      <c r="D180" s="235"/>
      <c r="E180" s="235"/>
      <c r="F180" s="235"/>
      <c r="G180" s="235"/>
      <c r="H180" s="235"/>
      <c r="I180" s="237"/>
      <c r="J180" s="237"/>
    </row>
    <row r="181" ht="15.75" customHeight="1">
      <c r="A181" s="235"/>
      <c r="B181" s="235"/>
      <c r="C181" s="236"/>
      <c r="D181" s="235"/>
      <c r="E181" s="235"/>
      <c r="F181" s="235"/>
      <c r="G181" s="235"/>
      <c r="H181" s="235"/>
      <c r="I181" s="237"/>
      <c r="J181" s="237"/>
    </row>
    <row r="182" ht="15.75" customHeight="1">
      <c r="A182" s="235"/>
      <c r="B182" s="235"/>
      <c r="C182" s="236"/>
      <c r="D182" s="235"/>
      <c r="E182" s="235"/>
      <c r="F182" s="235"/>
      <c r="G182" s="235"/>
      <c r="H182" s="235"/>
      <c r="I182" s="237"/>
      <c r="J182" s="237"/>
    </row>
    <row r="183" ht="15.75" customHeight="1">
      <c r="A183" s="235"/>
      <c r="B183" s="235"/>
      <c r="C183" s="236"/>
      <c r="D183" s="235"/>
      <c r="E183" s="235"/>
      <c r="F183" s="235"/>
      <c r="G183" s="235"/>
      <c r="H183" s="235"/>
      <c r="I183" s="237"/>
      <c r="J183" s="237"/>
    </row>
    <row r="184" ht="15.75" customHeight="1">
      <c r="A184" s="235"/>
      <c r="B184" s="235"/>
      <c r="C184" s="236"/>
      <c r="D184" s="235"/>
      <c r="E184" s="235"/>
      <c r="F184" s="235"/>
      <c r="G184" s="235"/>
      <c r="H184" s="235"/>
      <c r="I184" s="237"/>
      <c r="J184" s="237"/>
    </row>
    <row r="185" ht="15.75" customHeight="1">
      <c r="A185" s="235"/>
      <c r="B185" s="235"/>
      <c r="C185" s="236"/>
      <c r="D185" s="235"/>
      <c r="E185" s="235"/>
      <c r="F185" s="235"/>
      <c r="G185" s="235"/>
      <c r="H185" s="235"/>
      <c r="I185" s="237"/>
      <c r="J185" s="237"/>
    </row>
    <row r="186" ht="15.75" customHeight="1">
      <c r="A186" s="235"/>
      <c r="B186" s="235"/>
      <c r="C186" s="236"/>
      <c r="D186" s="235"/>
      <c r="E186" s="235"/>
      <c r="F186" s="235"/>
      <c r="G186" s="235"/>
      <c r="H186" s="235"/>
      <c r="I186" s="237"/>
      <c r="J186" s="237"/>
    </row>
    <row r="187" ht="15.75" customHeight="1">
      <c r="A187" s="235"/>
      <c r="B187" s="235"/>
      <c r="C187" s="236"/>
      <c r="D187" s="235"/>
      <c r="E187" s="235"/>
      <c r="F187" s="235"/>
      <c r="G187" s="235"/>
      <c r="H187" s="235"/>
      <c r="I187" s="237"/>
      <c r="J187" s="237"/>
    </row>
    <row r="188" ht="15.75" customHeight="1">
      <c r="A188" s="235"/>
      <c r="B188" s="235"/>
      <c r="C188" s="236"/>
      <c r="D188" s="235"/>
      <c r="E188" s="235"/>
      <c r="F188" s="235"/>
      <c r="G188" s="235"/>
      <c r="H188" s="235"/>
      <c r="I188" s="237"/>
      <c r="J188" s="237"/>
    </row>
    <row r="189" ht="15.75" customHeight="1">
      <c r="A189" s="235"/>
      <c r="B189" s="235"/>
      <c r="C189" s="236"/>
      <c r="D189" s="235"/>
      <c r="E189" s="235"/>
      <c r="F189" s="235"/>
      <c r="G189" s="235"/>
      <c r="H189" s="235"/>
      <c r="I189" s="237"/>
      <c r="J189" s="237"/>
    </row>
    <row r="190" ht="15.75" customHeight="1">
      <c r="A190" s="235"/>
      <c r="B190" s="235"/>
      <c r="C190" s="236"/>
      <c r="D190" s="235"/>
      <c r="E190" s="235"/>
      <c r="F190" s="235"/>
      <c r="G190" s="235"/>
      <c r="H190" s="235"/>
      <c r="I190" s="237"/>
      <c r="J190" s="237"/>
    </row>
    <row r="191" ht="15.75" customHeight="1">
      <c r="A191" s="235"/>
      <c r="B191" s="235"/>
      <c r="C191" s="236"/>
      <c r="D191" s="235"/>
      <c r="E191" s="235"/>
      <c r="F191" s="235"/>
      <c r="G191" s="235"/>
      <c r="H191" s="235"/>
      <c r="I191" s="237"/>
      <c r="J191" s="237"/>
    </row>
    <row r="192" ht="15.75" customHeight="1">
      <c r="A192" s="235"/>
      <c r="B192" s="235"/>
      <c r="C192" s="236"/>
      <c r="D192" s="235"/>
      <c r="E192" s="235"/>
      <c r="F192" s="235"/>
      <c r="G192" s="235"/>
      <c r="H192" s="235"/>
      <c r="I192" s="237"/>
      <c r="J192" s="237"/>
    </row>
    <row r="193" ht="15.75" customHeight="1">
      <c r="A193" s="235"/>
      <c r="B193" s="235"/>
      <c r="C193" s="236"/>
      <c r="D193" s="235"/>
      <c r="E193" s="235"/>
      <c r="F193" s="235"/>
      <c r="G193" s="235"/>
      <c r="H193" s="235"/>
      <c r="I193" s="237"/>
      <c r="J193" s="237"/>
    </row>
    <row r="194" ht="15.75" customHeight="1">
      <c r="A194" s="235"/>
      <c r="B194" s="235"/>
      <c r="C194" s="236"/>
      <c r="D194" s="235"/>
      <c r="E194" s="235"/>
      <c r="F194" s="235"/>
      <c r="G194" s="235"/>
      <c r="H194" s="235"/>
      <c r="I194" s="237"/>
      <c r="J194" s="237"/>
    </row>
    <row r="195" ht="15.75" customHeight="1">
      <c r="A195" s="235"/>
      <c r="B195" s="235"/>
      <c r="C195" s="236"/>
      <c r="D195" s="235"/>
      <c r="E195" s="235"/>
      <c r="F195" s="235"/>
      <c r="G195" s="235"/>
      <c r="H195" s="235"/>
      <c r="I195" s="237"/>
      <c r="J195" s="237"/>
    </row>
    <row r="196" ht="15.75" customHeight="1">
      <c r="A196" s="235"/>
      <c r="B196" s="235"/>
      <c r="C196" s="236"/>
      <c r="D196" s="235"/>
      <c r="E196" s="235"/>
      <c r="F196" s="235"/>
      <c r="G196" s="235"/>
      <c r="H196" s="235"/>
      <c r="I196" s="237"/>
      <c r="J196" s="237"/>
    </row>
    <row r="197" ht="15.75" customHeight="1">
      <c r="A197" s="235"/>
      <c r="B197" s="235"/>
      <c r="C197" s="236"/>
      <c r="D197" s="235"/>
      <c r="E197" s="235"/>
      <c r="F197" s="235"/>
      <c r="G197" s="235"/>
      <c r="H197" s="235"/>
      <c r="I197" s="237"/>
      <c r="J197" s="237"/>
    </row>
    <row r="198" ht="15.75" customHeight="1">
      <c r="A198" s="235"/>
      <c r="B198" s="235"/>
      <c r="C198" s="236"/>
      <c r="D198" s="235"/>
      <c r="E198" s="235"/>
      <c r="F198" s="235"/>
      <c r="G198" s="235"/>
      <c r="H198" s="235"/>
      <c r="I198" s="237"/>
      <c r="J198" s="237"/>
    </row>
    <row r="199" ht="15.75" customHeight="1">
      <c r="A199" s="235"/>
      <c r="B199" s="235"/>
      <c r="C199" s="236"/>
      <c r="D199" s="235"/>
      <c r="E199" s="235"/>
      <c r="F199" s="235"/>
      <c r="G199" s="235"/>
      <c r="H199" s="235"/>
      <c r="I199" s="237"/>
      <c r="J199" s="237"/>
    </row>
    <row r="200" ht="15.75" customHeight="1">
      <c r="A200" s="235"/>
      <c r="B200" s="235"/>
      <c r="C200" s="236"/>
      <c r="D200" s="235"/>
      <c r="E200" s="235"/>
      <c r="F200" s="235"/>
      <c r="G200" s="235"/>
      <c r="H200" s="235"/>
      <c r="I200" s="237"/>
      <c r="J200" s="237"/>
    </row>
    <row r="201" ht="15.75" customHeight="1">
      <c r="A201" s="235"/>
      <c r="B201" s="235"/>
      <c r="C201" s="236"/>
      <c r="D201" s="235"/>
      <c r="E201" s="235"/>
      <c r="F201" s="235"/>
      <c r="G201" s="235"/>
      <c r="H201" s="235"/>
      <c r="I201" s="237"/>
      <c r="J201" s="237"/>
    </row>
    <row r="202" ht="15.75" customHeight="1">
      <c r="A202" s="235"/>
      <c r="B202" s="235"/>
      <c r="C202" s="236"/>
      <c r="D202" s="235"/>
      <c r="E202" s="235"/>
      <c r="F202" s="235"/>
      <c r="G202" s="235"/>
      <c r="H202" s="235"/>
      <c r="I202" s="237"/>
      <c r="J202" s="237"/>
    </row>
    <row r="203" ht="15.75" customHeight="1">
      <c r="A203" s="235"/>
      <c r="B203" s="235"/>
      <c r="C203" s="236"/>
      <c r="D203" s="235"/>
      <c r="E203" s="235"/>
      <c r="F203" s="235"/>
      <c r="G203" s="235"/>
      <c r="H203" s="235"/>
      <c r="I203" s="237"/>
      <c r="J203" s="237"/>
    </row>
    <row r="204" ht="15.75" customHeight="1">
      <c r="A204" s="235"/>
      <c r="B204" s="235"/>
      <c r="C204" s="236"/>
      <c r="D204" s="235"/>
      <c r="E204" s="235"/>
      <c r="F204" s="235"/>
      <c r="G204" s="235"/>
      <c r="H204" s="235"/>
      <c r="I204" s="237"/>
      <c r="J204" s="237"/>
    </row>
    <row r="205" ht="15.75" customHeight="1">
      <c r="A205" s="235"/>
      <c r="B205" s="235"/>
      <c r="C205" s="236"/>
      <c r="D205" s="235"/>
      <c r="E205" s="235"/>
      <c r="F205" s="235"/>
      <c r="G205" s="235"/>
      <c r="H205" s="235"/>
      <c r="I205" s="237"/>
      <c r="J205" s="237"/>
    </row>
    <row r="206" ht="15.75" customHeight="1">
      <c r="A206" s="235"/>
      <c r="B206" s="235"/>
      <c r="C206" s="236"/>
      <c r="D206" s="235"/>
      <c r="E206" s="235"/>
      <c r="F206" s="235"/>
      <c r="G206" s="235"/>
      <c r="H206" s="235"/>
      <c r="I206" s="237"/>
      <c r="J206" s="237"/>
    </row>
    <row r="207" ht="15.75" customHeight="1">
      <c r="A207" s="235"/>
      <c r="B207" s="235"/>
      <c r="C207" s="236"/>
      <c r="D207" s="235"/>
      <c r="E207" s="235"/>
      <c r="F207" s="235"/>
      <c r="G207" s="235"/>
      <c r="H207" s="235"/>
      <c r="I207" s="237"/>
      <c r="J207" s="237"/>
    </row>
    <row r="208" ht="15.75" customHeight="1">
      <c r="A208" s="235"/>
      <c r="B208" s="235"/>
      <c r="C208" s="236"/>
      <c r="D208" s="235"/>
      <c r="E208" s="235"/>
      <c r="F208" s="235"/>
      <c r="G208" s="235"/>
      <c r="H208" s="235"/>
      <c r="I208" s="237"/>
      <c r="J208" s="237"/>
    </row>
    <row r="209" ht="15.75" customHeight="1">
      <c r="A209" s="235"/>
      <c r="B209" s="235"/>
      <c r="C209" s="236"/>
      <c r="D209" s="235"/>
      <c r="E209" s="235"/>
      <c r="F209" s="235"/>
      <c r="G209" s="235"/>
      <c r="H209" s="235"/>
      <c r="I209" s="237"/>
      <c r="J209" s="237"/>
    </row>
    <row r="210" ht="15.75" customHeight="1">
      <c r="A210" s="235"/>
      <c r="B210" s="235"/>
      <c r="C210" s="236"/>
      <c r="D210" s="235"/>
      <c r="E210" s="235"/>
      <c r="F210" s="235"/>
      <c r="G210" s="235"/>
      <c r="H210" s="235"/>
      <c r="I210" s="237"/>
      <c r="J210" s="237"/>
    </row>
    <row r="211" ht="15.75" customHeight="1">
      <c r="A211" s="235"/>
      <c r="B211" s="235"/>
      <c r="C211" s="236"/>
      <c r="D211" s="235"/>
      <c r="E211" s="235"/>
      <c r="F211" s="235"/>
      <c r="G211" s="235"/>
      <c r="H211" s="235"/>
      <c r="I211" s="237"/>
      <c r="J211" s="237"/>
    </row>
    <row r="212" ht="15.75" customHeight="1">
      <c r="A212" s="235"/>
      <c r="B212" s="235"/>
      <c r="C212" s="236"/>
      <c r="D212" s="235"/>
      <c r="E212" s="235"/>
      <c r="F212" s="235"/>
      <c r="G212" s="235"/>
      <c r="H212" s="235"/>
      <c r="I212" s="237"/>
      <c r="J212" s="237"/>
    </row>
    <row r="213" ht="15.75" customHeight="1">
      <c r="A213" s="235"/>
      <c r="B213" s="235"/>
      <c r="C213" s="236"/>
      <c r="D213" s="235"/>
      <c r="E213" s="235"/>
      <c r="F213" s="235"/>
      <c r="G213" s="235"/>
      <c r="H213" s="235"/>
      <c r="I213" s="237"/>
      <c r="J213" s="237"/>
    </row>
    <row r="214" ht="15.75" customHeight="1">
      <c r="A214" s="235"/>
      <c r="B214" s="235"/>
      <c r="C214" s="236"/>
      <c r="D214" s="235"/>
      <c r="E214" s="235"/>
      <c r="F214" s="235"/>
      <c r="G214" s="235"/>
      <c r="H214" s="235"/>
      <c r="I214" s="237"/>
      <c r="J214" s="237"/>
    </row>
    <row r="215" ht="15.75" customHeight="1">
      <c r="A215" s="235"/>
      <c r="B215" s="235"/>
      <c r="C215" s="236"/>
      <c r="D215" s="235"/>
      <c r="E215" s="235"/>
      <c r="F215" s="235"/>
      <c r="G215" s="235"/>
      <c r="H215" s="235"/>
      <c r="I215" s="237"/>
      <c r="J215" s="237"/>
    </row>
    <row r="216" ht="15.75" customHeight="1">
      <c r="A216" s="235"/>
      <c r="B216" s="235"/>
      <c r="C216" s="236"/>
      <c r="D216" s="235"/>
      <c r="E216" s="235"/>
      <c r="F216" s="235"/>
      <c r="G216" s="235"/>
      <c r="H216" s="235"/>
      <c r="I216" s="237"/>
      <c r="J216" s="237"/>
    </row>
    <row r="217" ht="15.75" customHeight="1">
      <c r="A217" s="235"/>
      <c r="B217" s="235"/>
      <c r="C217" s="236"/>
      <c r="D217" s="235"/>
      <c r="E217" s="235"/>
      <c r="F217" s="235"/>
      <c r="G217" s="235"/>
      <c r="H217" s="235"/>
      <c r="I217" s="237"/>
      <c r="J217" s="237"/>
    </row>
    <row r="218" ht="15.75" customHeight="1">
      <c r="A218" s="235"/>
      <c r="B218" s="235"/>
      <c r="C218" s="236"/>
      <c r="D218" s="235"/>
      <c r="E218" s="235"/>
      <c r="F218" s="235"/>
      <c r="G218" s="235"/>
      <c r="H218" s="235"/>
      <c r="I218" s="237"/>
      <c r="J218" s="237"/>
    </row>
    <row r="219" ht="15.75" customHeight="1">
      <c r="A219" s="235"/>
      <c r="B219" s="235"/>
      <c r="C219" s="236"/>
      <c r="D219" s="235"/>
      <c r="E219" s="235"/>
      <c r="F219" s="235"/>
      <c r="G219" s="235"/>
      <c r="H219" s="235"/>
      <c r="I219" s="237"/>
      <c r="J219" s="237"/>
    </row>
    <row r="220" ht="15.75" customHeight="1">
      <c r="A220" s="235"/>
      <c r="B220" s="235"/>
      <c r="C220" s="236"/>
      <c r="D220" s="235"/>
      <c r="E220" s="235"/>
      <c r="F220" s="235"/>
      <c r="G220" s="235"/>
      <c r="H220" s="235"/>
      <c r="I220" s="237"/>
      <c r="J220" s="237"/>
    </row>
    <row r="221" ht="15.75" customHeight="1">
      <c r="A221" s="235"/>
      <c r="B221" s="235"/>
      <c r="C221" s="236"/>
      <c r="D221" s="235"/>
      <c r="E221" s="235"/>
      <c r="F221" s="235"/>
      <c r="G221" s="235"/>
      <c r="H221" s="235"/>
      <c r="I221" s="237"/>
      <c r="J221" s="237"/>
    </row>
    <row r="222" ht="15.75" customHeight="1">
      <c r="A222" s="235"/>
      <c r="B222" s="235"/>
      <c r="C222" s="236"/>
      <c r="D222" s="235"/>
      <c r="E222" s="235"/>
      <c r="F222" s="235"/>
      <c r="G222" s="235"/>
      <c r="H222" s="235"/>
      <c r="I222" s="237"/>
      <c r="J222" s="237"/>
    </row>
    <row r="223" ht="15.75" customHeight="1">
      <c r="A223" s="235"/>
      <c r="B223" s="235"/>
      <c r="C223" s="236"/>
      <c r="D223" s="235"/>
      <c r="E223" s="235"/>
      <c r="F223" s="235"/>
      <c r="G223" s="235"/>
      <c r="H223" s="235"/>
      <c r="I223" s="237"/>
      <c r="J223" s="237"/>
    </row>
    <row r="224" ht="15.75" customHeight="1">
      <c r="A224" s="235"/>
      <c r="B224" s="235"/>
      <c r="C224" s="236"/>
      <c r="D224" s="235"/>
      <c r="E224" s="235"/>
      <c r="F224" s="235"/>
      <c r="G224" s="235"/>
      <c r="H224" s="235"/>
      <c r="I224" s="237"/>
      <c r="J224" s="237"/>
    </row>
    <row r="225" ht="15.75" customHeight="1">
      <c r="A225" s="235"/>
      <c r="B225" s="235"/>
      <c r="C225" s="236"/>
      <c r="D225" s="235"/>
      <c r="E225" s="235"/>
      <c r="F225" s="235"/>
      <c r="G225" s="235"/>
      <c r="H225" s="235"/>
      <c r="I225" s="237"/>
      <c r="J225" s="237"/>
    </row>
    <row r="226" ht="15.75" customHeight="1">
      <c r="A226" s="235"/>
      <c r="B226" s="235"/>
      <c r="C226" s="236"/>
      <c r="D226" s="235"/>
      <c r="E226" s="235"/>
      <c r="F226" s="235"/>
      <c r="G226" s="235"/>
      <c r="H226" s="235"/>
      <c r="I226" s="237"/>
      <c r="J226" s="237"/>
    </row>
    <row r="227" ht="15.75" customHeight="1">
      <c r="A227" s="235"/>
      <c r="B227" s="235"/>
      <c r="C227" s="236"/>
      <c r="D227" s="235"/>
      <c r="E227" s="235"/>
      <c r="F227" s="235"/>
      <c r="G227" s="235"/>
      <c r="H227" s="235"/>
      <c r="I227" s="237"/>
      <c r="J227" s="237"/>
    </row>
    <row r="228" ht="15.75" customHeight="1">
      <c r="A228" s="235"/>
      <c r="B228" s="235"/>
      <c r="C228" s="236"/>
      <c r="D228" s="235"/>
      <c r="E228" s="235"/>
      <c r="F228" s="235"/>
      <c r="G228" s="235"/>
      <c r="H228" s="235"/>
      <c r="I228" s="237"/>
      <c r="J228" s="237"/>
    </row>
    <row r="229" ht="15.75" customHeight="1">
      <c r="A229" s="235"/>
      <c r="B229" s="235"/>
      <c r="C229" s="236"/>
      <c r="D229" s="235"/>
      <c r="E229" s="235"/>
      <c r="F229" s="235"/>
      <c r="G229" s="235"/>
      <c r="H229" s="235"/>
      <c r="I229" s="237"/>
      <c r="J229" s="237"/>
    </row>
    <row r="230" ht="15.75" customHeight="1">
      <c r="A230" s="235"/>
      <c r="B230" s="235"/>
      <c r="C230" s="236"/>
      <c r="D230" s="235"/>
      <c r="E230" s="235"/>
      <c r="F230" s="235"/>
      <c r="G230" s="235"/>
      <c r="H230" s="235"/>
      <c r="I230" s="237"/>
      <c r="J230" s="237"/>
    </row>
    <row r="231" ht="15.75" customHeight="1">
      <c r="A231" s="235"/>
      <c r="B231" s="235"/>
      <c r="C231" s="236"/>
      <c r="D231" s="235"/>
      <c r="E231" s="235"/>
      <c r="F231" s="235"/>
      <c r="G231" s="235"/>
      <c r="H231" s="235"/>
      <c r="I231" s="237"/>
      <c r="J231" s="237"/>
    </row>
    <row r="232" ht="15.75" customHeight="1">
      <c r="A232" s="235"/>
      <c r="B232" s="235"/>
      <c r="C232" s="236"/>
      <c r="D232" s="235"/>
      <c r="E232" s="235"/>
      <c r="F232" s="235"/>
      <c r="G232" s="235"/>
      <c r="H232" s="235"/>
      <c r="I232" s="237"/>
      <c r="J232" s="237"/>
    </row>
    <row r="233" ht="15.75" customHeight="1">
      <c r="A233" s="235"/>
      <c r="B233" s="235"/>
      <c r="C233" s="236"/>
      <c r="D233" s="235"/>
      <c r="E233" s="235"/>
      <c r="F233" s="235"/>
      <c r="G233" s="235"/>
      <c r="H233" s="235"/>
      <c r="I233" s="237"/>
      <c r="J233" s="237"/>
    </row>
    <row r="234" ht="15.75" customHeight="1">
      <c r="A234" s="235"/>
      <c r="B234" s="235"/>
      <c r="C234" s="236"/>
      <c r="D234" s="235"/>
      <c r="E234" s="235"/>
      <c r="F234" s="235"/>
      <c r="G234" s="235"/>
      <c r="H234" s="235"/>
      <c r="I234" s="237"/>
      <c r="J234" s="237"/>
    </row>
    <row r="235" ht="15.75" customHeight="1">
      <c r="A235" s="235"/>
      <c r="B235" s="235"/>
      <c r="C235" s="236"/>
      <c r="D235" s="235"/>
      <c r="E235" s="235"/>
      <c r="F235" s="235"/>
      <c r="G235" s="235"/>
      <c r="H235" s="235"/>
      <c r="I235" s="237"/>
      <c r="J235" s="237"/>
    </row>
    <row r="236" ht="15.75" customHeight="1">
      <c r="A236" s="235"/>
      <c r="B236" s="235"/>
      <c r="C236" s="236"/>
      <c r="D236" s="235"/>
      <c r="E236" s="235"/>
      <c r="F236" s="235"/>
      <c r="G236" s="235"/>
      <c r="H236" s="235"/>
      <c r="I236" s="237"/>
      <c r="J236" s="237"/>
    </row>
    <row r="237" ht="15.75" customHeight="1">
      <c r="A237" s="235"/>
      <c r="B237" s="235"/>
      <c r="C237" s="236"/>
      <c r="D237" s="235"/>
      <c r="E237" s="235"/>
      <c r="F237" s="235"/>
      <c r="G237" s="235"/>
      <c r="H237" s="235"/>
      <c r="I237" s="237"/>
      <c r="J237" s="237"/>
    </row>
    <row r="238" ht="15.75" customHeight="1">
      <c r="A238" s="235"/>
      <c r="B238" s="235"/>
      <c r="C238" s="236"/>
      <c r="D238" s="235"/>
      <c r="E238" s="235"/>
      <c r="F238" s="235"/>
      <c r="G238" s="235"/>
      <c r="H238" s="235"/>
      <c r="I238" s="237"/>
      <c r="J238" s="237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8.38"/>
    <col customWidth="1" min="5" max="5" width="22.13"/>
    <col customWidth="1" min="6" max="6" width="24.63"/>
    <col customWidth="1" min="7" max="7" width="16.75"/>
    <col customWidth="1" min="8" max="8" width="19.0"/>
    <col customWidth="1" min="9" max="9" width="15.38"/>
  </cols>
  <sheetData>
    <row r="1" ht="15.75" customHeight="1">
      <c r="A1" s="226" t="s">
        <v>111</v>
      </c>
      <c r="B1" s="226" t="s">
        <v>112</v>
      </c>
      <c r="C1" s="227" t="s">
        <v>113</v>
      </c>
      <c r="D1" s="226" t="s">
        <v>114</v>
      </c>
      <c r="E1" s="226" t="s">
        <v>115</v>
      </c>
      <c r="F1" s="226" t="s">
        <v>211</v>
      </c>
      <c r="G1" s="226" t="s">
        <v>117</v>
      </c>
      <c r="H1" s="226" t="s">
        <v>212</v>
      </c>
      <c r="I1" s="228" t="s">
        <v>64</v>
      </c>
      <c r="J1" s="228" t="s">
        <v>36</v>
      </c>
    </row>
    <row r="2" ht="15.75" customHeight="1">
      <c r="A2" s="229">
        <v>44410.0</v>
      </c>
      <c r="B2" s="230"/>
      <c r="C2" s="231"/>
      <c r="D2" s="232"/>
      <c r="E2" s="232"/>
      <c r="F2" s="231" t="str">
        <f t="shared" ref="F2:F36" si="1">E2/D2</f>
        <v>#DIV/0!</v>
      </c>
      <c r="G2" s="232"/>
      <c r="H2" s="231" t="str">
        <f t="shared" ref="H2:H36" si="2">G2/E2</f>
        <v>#DIV/0!</v>
      </c>
      <c r="I2" s="233" t="str">
        <f t="shared" ref="I2:I36" si="3">J2/G2</f>
        <v>#DIV/0!</v>
      </c>
      <c r="J2" s="234"/>
    </row>
    <row r="3" ht="15.75" customHeight="1">
      <c r="A3" s="229">
        <v>44411.0</v>
      </c>
      <c r="B3" s="230"/>
      <c r="C3" s="231"/>
      <c r="D3" s="232"/>
      <c r="E3" s="232"/>
      <c r="F3" s="231" t="str">
        <f t="shared" si="1"/>
        <v>#DIV/0!</v>
      </c>
      <c r="G3" s="232"/>
      <c r="H3" s="231" t="str">
        <f t="shared" si="2"/>
        <v>#DIV/0!</v>
      </c>
      <c r="I3" s="233" t="str">
        <f t="shared" si="3"/>
        <v>#DIV/0!</v>
      </c>
      <c r="J3" s="234"/>
    </row>
    <row r="4" ht="15.75" customHeight="1">
      <c r="A4" s="229">
        <v>44412.0</v>
      </c>
      <c r="B4" s="232"/>
      <c r="C4" s="231"/>
      <c r="D4" s="232"/>
      <c r="E4" s="232"/>
      <c r="F4" s="231" t="str">
        <f t="shared" si="1"/>
        <v>#DIV/0!</v>
      </c>
      <c r="G4" s="232"/>
      <c r="H4" s="231" t="str">
        <f t="shared" si="2"/>
        <v>#DIV/0!</v>
      </c>
      <c r="I4" s="233" t="str">
        <f t="shared" si="3"/>
        <v>#DIV/0!</v>
      </c>
      <c r="J4" s="234"/>
    </row>
    <row r="5" ht="15.75" customHeight="1">
      <c r="A5" s="229">
        <v>44413.0</v>
      </c>
      <c r="B5" s="232"/>
      <c r="C5" s="231"/>
      <c r="D5" s="232"/>
      <c r="E5" s="232"/>
      <c r="F5" s="231" t="str">
        <f t="shared" si="1"/>
        <v>#DIV/0!</v>
      </c>
      <c r="G5" s="232"/>
      <c r="H5" s="231" t="str">
        <f t="shared" si="2"/>
        <v>#DIV/0!</v>
      </c>
      <c r="I5" s="233" t="str">
        <f t="shared" si="3"/>
        <v>#DIV/0!</v>
      </c>
      <c r="J5" s="234"/>
    </row>
    <row r="6" ht="15.75" customHeight="1">
      <c r="A6" s="229">
        <v>44414.0</v>
      </c>
      <c r="B6" s="232"/>
      <c r="C6" s="231"/>
      <c r="D6" s="232"/>
      <c r="E6" s="232"/>
      <c r="F6" s="231" t="str">
        <f t="shared" si="1"/>
        <v>#DIV/0!</v>
      </c>
      <c r="G6" s="232"/>
      <c r="H6" s="231" t="str">
        <f t="shared" si="2"/>
        <v>#DIV/0!</v>
      </c>
      <c r="I6" s="233" t="str">
        <f t="shared" si="3"/>
        <v>#DIV/0!</v>
      </c>
      <c r="J6" s="234"/>
    </row>
    <row r="7" ht="15.75" customHeight="1">
      <c r="A7" s="229">
        <v>44415.0</v>
      </c>
      <c r="B7" s="232"/>
      <c r="C7" s="231"/>
      <c r="D7" s="232"/>
      <c r="E7" s="232"/>
      <c r="F7" s="231" t="str">
        <f t="shared" si="1"/>
        <v>#DIV/0!</v>
      </c>
      <c r="G7" s="232"/>
      <c r="H7" s="231" t="str">
        <f t="shared" si="2"/>
        <v>#DIV/0!</v>
      </c>
      <c r="I7" s="233" t="str">
        <f t="shared" si="3"/>
        <v>#DIV/0!</v>
      </c>
      <c r="J7" s="234"/>
    </row>
    <row r="8" ht="15.75" customHeight="1">
      <c r="A8" s="229">
        <v>44416.0</v>
      </c>
      <c r="B8" s="232"/>
      <c r="C8" s="231"/>
      <c r="D8" s="232"/>
      <c r="E8" s="232"/>
      <c r="F8" s="231" t="str">
        <f t="shared" si="1"/>
        <v>#DIV/0!</v>
      </c>
      <c r="G8" s="232"/>
      <c r="H8" s="231" t="str">
        <f t="shared" si="2"/>
        <v>#DIV/0!</v>
      </c>
      <c r="I8" s="233" t="str">
        <f t="shared" si="3"/>
        <v>#DIV/0!</v>
      </c>
      <c r="J8" s="234"/>
    </row>
    <row r="9" ht="15.75" customHeight="1">
      <c r="A9" s="229">
        <v>44417.0</v>
      </c>
      <c r="B9" s="232"/>
      <c r="C9" s="231"/>
      <c r="D9" s="232"/>
      <c r="E9" s="232"/>
      <c r="F9" s="231" t="str">
        <f t="shared" si="1"/>
        <v>#DIV/0!</v>
      </c>
      <c r="G9" s="232"/>
      <c r="H9" s="231" t="str">
        <f t="shared" si="2"/>
        <v>#DIV/0!</v>
      </c>
      <c r="I9" s="233" t="str">
        <f t="shared" si="3"/>
        <v>#DIV/0!</v>
      </c>
      <c r="J9" s="234"/>
    </row>
    <row r="10" ht="15.75" customHeight="1">
      <c r="A10" s="229">
        <v>44418.0</v>
      </c>
      <c r="B10" s="232"/>
      <c r="C10" s="231"/>
      <c r="D10" s="232"/>
      <c r="E10" s="232"/>
      <c r="F10" s="231" t="str">
        <f t="shared" si="1"/>
        <v>#DIV/0!</v>
      </c>
      <c r="G10" s="232"/>
      <c r="H10" s="231" t="str">
        <f t="shared" si="2"/>
        <v>#DIV/0!</v>
      </c>
      <c r="I10" s="233" t="str">
        <f t="shared" si="3"/>
        <v>#DIV/0!</v>
      </c>
      <c r="J10" s="234"/>
    </row>
    <row r="11" ht="15.75" customHeight="1">
      <c r="A11" s="229">
        <v>44419.0</v>
      </c>
      <c r="B11" s="232"/>
      <c r="C11" s="231"/>
      <c r="D11" s="232"/>
      <c r="E11" s="232"/>
      <c r="F11" s="231" t="str">
        <f t="shared" si="1"/>
        <v>#DIV/0!</v>
      </c>
      <c r="G11" s="232"/>
      <c r="H11" s="231" t="str">
        <f t="shared" si="2"/>
        <v>#DIV/0!</v>
      </c>
      <c r="I11" s="233" t="str">
        <f t="shared" si="3"/>
        <v>#DIV/0!</v>
      </c>
      <c r="J11" s="234"/>
    </row>
    <row r="12" ht="15.75" customHeight="1">
      <c r="A12" s="229">
        <v>44420.0</v>
      </c>
      <c r="B12" s="232"/>
      <c r="C12" s="231"/>
      <c r="D12" s="232"/>
      <c r="E12" s="232"/>
      <c r="F12" s="231" t="str">
        <f t="shared" si="1"/>
        <v>#DIV/0!</v>
      </c>
      <c r="G12" s="232"/>
      <c r="H12" s="231" t="str">
        <f t="shared" si="2"/>
        <v>#DIV/0!</v>
      </c>
      <c r="I12" s="233" t="str">
        <f t="shared" si="3"/>
        <v>#DIV/0!</v>
      </c>
      <c r="J12" s="234"/>
    </row>
    <row r="13" ht="15.75" customHeight="1">
      <c r="A13" s="229">
        <v>44421.0</v>
      </c>
      <c r="B13" s="232"/>
      <c r="C13" s="231"/>
      <c r="D13" s="232"/>
      <c r="E13" s="232"/>
      <c r="F13" s="231" t="str">
        <f t="shared" si="1"/>
        <v>#DIV/0!</v>
      </c>
      <c r="G13" s="232"/>
      <c r="H13" s="231" t="str">
        <f t="shared" si="2"/>
        <v>#DIV/0!</v>
      </c>
      <c r="I13" s="233" t="str">
        <f t="shared" si="3"/>
        <v>#DIV/0!</v>
      </c>
      <c r="J13" s="234"/>
    </row>
    <row r="14" ht="15.75" customHeight="1">
      <c r="A14" s="229">
        <v>44422.0</v>
      </c>
      <c r="B14" s="232"/>
      <c r="C14" s="231"/>
      <c r="D14" s="232"/>
      <c r="E14" s="232"/>
      <c r="F14" s="231" t="str">
        <f t="shared" si="1"/>
        <v>#DIV/0!</v>
      </c>
      <c r="G14" s="232"/>
      <c r="H14" s="231" t="str">
        <f t="shared" si="2"/>
        <v>#DIV/0!</v>
      </c>
      <c r="I14" s="233" t="str">
        <f t="shared" si="3"/>
        <v>#DIV/0!</v>
      </c>
      <c r="J14" s="234"/>
    </row>
    <row r="15" ht="15.75" customHeight="1">
      <c r="A15" s="229">
        <v>44423.0</v>
      </c>
      <c r="B15" s="232"/>
      <c r="C15" s="231"/>
      <c r="D15" s="232"/>
      <c r="E15" s="232"/>
      <c r="F15" s="231" t="str">
        <f t="shared" si="1"/>
        <v>#DIV/0!</v>
      </c>
      <c r="G15" s="232"/>
      <c r="H15" s="231" t="str">
        <f t="shared" si="2"/>
        <v>#DIV/0!</v>
      </c>
      <c r="I15" s="233" t="str">
        <f t="shared" si="3"/>
        <v>#DIV/0!</v>
      </c>
      <c r="J15" s="234"/>
    </row>
    <row r="16" ht="15.75" customHeight="1">
      <c r="A16" s="229">
        <v>44424.0</v>
      </c>
      <c r="B16" s="232"/>
      <c r="C16" s="231"/>
      <c r="D16" s="232"/>
      <c r="E16" s="232"/>
      <c r="F16" s="231" t="str">
        <f t="shared" si="1"/>
        <v>#DIV/0!</v>
      </c>
      <c r="G16" s="232"/>
      <c r="H16" s="231" t="str">
        <f t="shared" si="2"/>
        <v>#DIV/0!</v>
      </c>
      <c r="I16" s="233" t="str">
        <f t="shared" si="3"/>
        <v>#DIV/0!</v>
      </c>
      <c r="J16" s="234"/>
    </row>
    <row r="17" ht="15.75" customHeight="1">
      <c r="A17" s="229">
        <v>44425.0</v>
      </c>
      <c r="B17" s="232"/>
      <c r="C17" s="231"/>
      <c r="D17" s="232"/>
      <c r="E17" s="232"/>
      <c r="F17" s="231" t="str">
        <f t="shared" si="1"/>
        <v>#DIV/0!</v>
      </c>
      <c r="G17" s="232"/>
      <c r="H17" s="231" t="str">
        <f t="shared" si="2"/>
        <v>#DIV/0!</v>
      </c>
      <c r="I17" s="233" t="str">
        <f t="shared" si="3"/>
        <v>#DIV/0!</v>
      </c>
      <c r="J17" s="234"/>
    </row>
    <row r="18" ht="15.75" customHeight="1">
      <c r="A18" s="229">
        <v>44426.0</v>
      </c>
      <c r="B18" s="232"/>
      <c r="C18" s="231"/>
      <c r="D18" s="232"/>
      <c r="E18" s="232"/>
      <c r="F18" s="231" t="str">
        <f t="shared" si="1"/>
        <v>#DIV/0!</v>
      </c>
      <c r="G18" s="232"/>
      <c r="H18" s="231" t="str">
        <f t="shared" si="2"/>
        <v>#DIV/0!</v>
      </c>
      <c r="I18" s="233" t="str">
        <f t="shared" si="3"/>
        <v>#DIV/0!</v>
      </c>
      <c r="J18" s="234"/>
    </row>
    <row r="19" ht="15.75" customHeight="1">
      <c r="A19" s="229">
        <v>44427.0</v>
      </c>
      <c r="B19" s="232"/>
      <c r="C19" s="231"/>
      <c r="D19" s="232"/>
      <c r="E19" s="232"/>
      <c r="F19" s="231" t="str">
        <f t="shared" si="1"/>
        <v>#DIV/0!</v>
      </c>
      <c r="G19" s="232"/>
      <c r="H19" s="231" t="str">
        <f t="shared" si="2"/>
        <v>#DIV/0!</v>
      </c>
      <c r="I19" s="233" t="str">
        <f t="shared" si="3"/>
        <v>#DIV/0!</v>
      </c>
      <c r="J19" s="234"/>
    </row>
    <row r="20" ht="15.75" customHeight="1">
      <c r="A20" s="229">
        <v>44428.0</v>
      </c>
      <c r="B20" s="232"/>
      <c r="C20" s="231"/>
      <c r="D20" s="232"/>
      <c r="E20" s="232"/>
      <c r="F20" s="231" t="str">
        <f t="shared" si="1"/>
        <v>#DIV/0!</v>
      </c>
      <c r="G20" s="232"/>
      <c r="H20" s="231" t="str">
        <f t="shared" si="2"/>
        <v>#DIV/0!</v>
      </c>
      <c r="I20" s="233" t="str">
        <f t="shared" si="3"/>
        <v>#DIV/0!</v>
      </c>
      <c r="J20" s="234"/>
    </row>
    <row r="21" ht="15.75" customHeight="1">
      <c r="A21" s="229">
        <v>44429.0</v>
      </c>
      <c r="B21" s="232"/>
      <c r="C21" s="231"/>
      <c r="D21" s="232"/>
      <c r="E21" s="232"/>
      <c r="F21" s="231" t="str">
        <f t="shared" si="1"/>
        <v>#DIV/0!</v>
      </c>
      <c r="G21" s="232"/>
      <c r="H21" s="231" t="str">
        <f t="shared" si="2"/>
        <v>#DIV/0!</v>
      </c>
      <c r="I21" s="233" t="str">
        <f t="shared" si="3"/>
        <v>#DIV/0!</v>
      </c>
      <c r="J21" s="234"/>
    </row>
    <row r="22" ht="15.75" customHeight="1">
      <c r="A22" s="229">
        <v>44430.0</v>
      </c>
      <c r="B22" s="232"/>
      <c r="C22" s="231"/>
      <c r="D22" s="232"/>
      <c r="E22" s="232"/>
      <c r="F22" s="231" t="str">
        <f t="shared" si="1"/>
        <v>#DIV/0!</v>
      </c>
      <c r="G22" s="232"/>
      <c r="H22" s="231" t="str">
        <f t="shared" si="2"/>
        <v>#DIV/0!</v>
      </c>
      <c r="I22" s="233" t="str">
        <f t="shared" si="3"/>
        <v>#DIV/0!</v>
      </c>
      <c r="J22" s="234"/>
    </row>
    <row r="23" ht="15.75" customHeight="1">
      <c r="A23" s="229">
        <v>44431.0</v>
      </c>
      <c r="B23" s="232"/>
      <c r="C23" s="231"/>
      <c r="D23" s="232"/>
      <c r="E23" s="232"/>
      <c r="F23" s="231" t="str">
        <f t="shared" si="1"/>
        <v>#DIV/0!</v>
      </c>
      <c r="G23" s="232"/>
      <c r="H23" s="231" t="str">
        <f t="shared" si="2"/>
        <v>#DIV/0!</v>
      </c>
      <c r="I23" s="233" t="str">
        <f t="shared" si="3"/>
        <v>#DIV/0!</v>
      </c>
      <c r="J23" s="234"/>
    </row>
    <row r="24" ht="15.75" customHeight="1">
      <c r="A24" s="229">
        <v>44432.0</v>
      </c>
      <c r="B24" s="232"/>
      <c r="C24" s="231"/>
      <c r="D24" s="232"/>
      <c r="E24" s="232"/>
      <c r="F24" s="231" t="str">
        <f t="shared" si="1"/>
        <v>#DIV/0!</v>
      </c>
      <c r="G24" s="232"/>
      <c r="H24" s="231" t="str">
        <f t="shared" si="2"/>
        <v>#DIV/0!</v>
      </c>
      <c r="I24" s="233" t="str">
        <f t="shared" si="3"/>
        <v>#DIV/0!</v>
      </c>
      <c r="J24" s="234"/>
    </row>
    <row r="25" ht="15.75" customHeight="1">
      <c r="A25" s="229">
        <v>44433.0</v>
      </c>
      <c r="B25" s="232"/>
      <c r="C25" s="231"/>
      <c r="D25" s="232"/>
      <c r="E25" s="232"/>
      <c r="F25" s="231" t="str">
        <f t="shared" si="1"/>
        <v>#DIV/0!</v>
      </c>
      <c r="G25" s="232"/>
      <c r="H25" s="231" t="str">
        <f t="shared" si="2"/>
        <v>#DIV/0!</v>
      </c>
      <c r="I25" s="233" t="str">
        <f t="shared" si="3"/>
        <v>#DIV/0!</v>
      </c>
      <c r="J25" s="234"/>
    </row>
    <row r="26" ht="15.75" customHeight="1">
      <c r="A26" s="229">
        <v>44434.0</v>
      </c>
      <c r="B26" s="232"/>
      <c r="C26" s="231"/>
      <c r="D26" s="232"/>
      <c r="E26" s="232"/>
      <c r="F26" s="231" t="str">
        <f t="shared" si="1"/>
        <v>#DIV/0!</v>
      </c>
      <c r="G26" s="232"/>
      <c r="H26" s="231" t="str">
        <f t="shared" si="2"/>
        <v>#DIV/0!</v>
      </c>
      <c r="I26" s="233" t="str">
        <f t="shared" si="3"/>
        <v>#DIV/0!</v>
      </c>
      <c r="J26" s="234"/>
    </row>
    <row r="27" ht="15.75" customHeight="1">
      <c r="A27" s="229">
        <v>44435.0</v>
      </c>
      <c r="B27" s="232"/>
      <c r="C27" s="231"/>
      <c r="D27" s="232"/>
      <c r="E27" s="232"/>
      <c r="F27" s="231" t="str">
        <f t="shared" si="1"/>
        <v>#DIV/0!</v>
      </c>
      <c r="G27" s="232"/>
      <c r="H27" s="231" t="str">
        <f t="shared" si="2"/>
        <v>#DIV/0!</v>
      </c>
      <c r="I27" s="233" t="str">
        <f t="shared" si="3"/>
        <v>#DIV/0!</v>
      </c>
      <c r="J27" s="234"/>
    </row>
    <row r="28" ht="15.75" customHeight="1">
      <c r="A28" s="229">
        <v>44436.0</v>
      </c>
      <c r="B28" s="232"/>
      <c r="C28" s="231"/>
      <c r="D28" s="232"/>
      <c r="E28" s="232"/>
      <c r="F28" s="231" t="str">
        <f t="shared" si="1"/>
        <v>#DIV/0!</v>
      </c>
      <c r="G28" s="232"/>
      <c r="H28" s="231" t="str">
        <f t="shared" si="2"/>
        <v>#DIV/0!</v>
      </c>
      <c r="I28" s="233" t="str">
        <f t="shared" si="3"/>
        <v>#DIV/0!</v>
      </c>
      <c r="J28" s="234"/>
    </row>
    <row r="29" ht="15.75" customHeight="1">
      <c r="A29" s="229">
        <v>44437.0</v>
      </c>
      <c r="B29" s="232"/>
      <c r="C29" s="231"/>
      <c r="D29" s="232"/>
      <c r="E29" s="232"/>
      <c r="F29" s="231" t="str">
        <f t="shared" si="1"/>
        <v>#DIV/0!</v>
      </c>
      <c r="G29" s="232"/>
      <c r="H29" s="231" t="str">
        <f t="shared" si="2"/>
        <v>#DIV/0!</v>
      </c>
      <c r="I29" s="233" t="str">
        <f t="shared" si="3"/>
        <v>#DIV/0!</v>
      </c>
      <c r="J29" s="234"/>
    </row>
    <row r="30" ht="15.75" customHeight="1">
      <c r="A30" s="229">
        <v>44438.0</v>
      </c>
      <c r="B30" s="232"/>
      <c r="C30" s="231"/>
      <c r="D30" s="232"/>
      <c r="E30" s="232"/>
      <c r="F30" s="231" t="str">
        <f t="shared" si="1"/>
        <v>#DIV/0!</v>
      </c>
      <c r="G30" s="232"/>
      <c r="H30" s="231" t="str">
        <f t="shared" si="2"/>
        <v>#DIV/0!</v>
      </c>
      <c r="I30" s="233" t="str">
        <f t="shared" si="3"/>
        <v>#DIV/0!</v>
      </c>
      <c r="J30" s="234"/>
    </row>
    <row r="31" ht="15.75" customHeight="1">
      <c r="A31" s="229">
        <v>44439.0</v>
      </c>
      <c r="B31" s="232"/>
      <c r="C31" s="231"/>
      <c r="D31" s="232"/>
      <c r="E31" s="232"/>
      <c r="F31" s="231" t="str">
        <f t="shared" si="1"/>
        <v>#DIV/0!</v>
      </c>
      <c r="G31" s="232"/>
      <c r="H31" s="231" t="str">
        <f t="shared" si="2"/>
        <v>#DIV/0!</v>
      </c>
      <c r="I31" s="233" t="str">
        <f t="shared" si="3"/>
        <v>#DIV/0!</v>
      </c>
      <c r="J31" s="234"/>
    </row>
    <row r="32" ht="15.75" customHeight="1">
      <c r="A32" s="229">
        <v>44440.0</v>
      </c>
      <c r="B32" s="232"/>
      <c r="C32" s="231"/>
      <c r="D32" s="232"/>
      <c r="E32" s="232"/>
      <c r="F32" s="231" t="str">
        <f t="shared" si="1"/>
        <v>#DIV/0!</v>
      </c>
      <c r="G32" s="232"/>
      <c r="H32" s="231" t="str">
        <f t="shared" si="2"/>
        <v>#DIV/0!</v>
      </c>
      <c r="I32" s="233" t="str">
        <f t="shared" si="3"/>
        <v>#DIV/0!</v>
      </c>
      <c r="J32" s="234"/>
    </row>
    <row r="33" ht="15.75" customHeight="1">
      <c r="A33" s="229">
        <v>44441.0</v>
      </c>
      <c r="B33" s="232"/>
      <c r="C33" s="231"/>
      <c r="D33" s="232"/>
      <c r="E33" s="232"/>
      <c r="F33" s="231" t="str">
        <f t="shared" si="1"/>
        <v>#DIV/0!</v>
      </c>
      <c r="G33" s="232"/>
      <c r="H33" s="231" t="str">
        <f t="shared" si="2"/>
        <v>#DIV/0!</v>
      </c>
      <c r="I33" s="233" t="str">
        <f t="shared" si="3"/>
        <v>#DIV/0!</v>
      </c>
      <c r="J33" s="234"/>
    </row>
    <row r="34" ht="15.75" customHeight="1">
      <c r="A34" s="229">
        <v>44442.0</v>
      </c>
      <c r="B34" s="232"/>
      <c r="C34" s="231"/>
      <c r="D34" s="232"/>
      <c r="E34" s="232"/>
      <c r="F34" s="231" t="str">
        <f t="shared" si="1"/>
        <v>#DIV/0!</v>
      </c>
      <c r="G34" s="232"/>
      <c r="H34" s="231" t="str">
        <f t="shared" si="2"/>
        <v>#DIV/0!</v>
      </c>
      <c r="I34" s="233" t="str">
        <f t="shared" si="3"/>
        <v>#DIV/0!</v>
      </c>
      <c r="J34" s="234"/>
    </row>
    <row r="35" ht="15.75" customHeight="1">
      <c r="A35" s="229">
        <v>44443.0</v>
      </c>
      <c r="B35" s="232"/>
      <c r="C35" s="231"/>
      <c r="D35" s="232"/>
      <c r="E35" s="232"/>
      <c r="F35" s="231" t="str">
        <f t="shared" si="1"/>
        <v>#DIV/0!</v>
      </c>
      <c r="G35" s="232"/>
      <c r="H35" s="231" t="str">
        <f t="shared" si="2"/>
        <v>#DIV/0!</v>
      </c>
      <c r="I35" s="233" t="str">
        <f t="shared" si="3"/>
        <v>#DIV/0!</v>
      </c>
      <c r="J35" s="234"/>
    </row>
    <row r="36" ht="15.75" customHeight="1">
      <c r="A36" s="229">
        <v>44444.0</v>
      </c>
      <c r="B36" s="232"/>
      <c r="C36" s="231"/>
      <c r="D36" s="232"/>
      <c r="E36" s="232"/>
      <c r="F36" s="231" t="str">
        <f t="shared" si="1"/>
        <v>#DIV/0!</v>
      </c>
      <c r="G36" s="232"/>
      <c r="H36" s="231" t="str">
        <f t="shared" si="2"/>
        <v>#DIV/0!</v>
      </c>
      <c r="I36" s="233" t="str">
        <f t="shared" si="3"/>
        <v>#DIV/0!</v>
      </c>
      <c r="J36" s="234"/>
    </row>
    <row r="37" ht="15.75" customHeight="1">
      <c r="A37" s="232" t="s">
        <v>119</v>
      </c>
      <c r="B37" s="230" t="str">
        <f t="shared" ref="B37:H37" si="4">MEDIAN(B2:B36)</f>
        <v>#NUM!</v>
      </c>
      <c r="C37" s="231" t="str">
        <f t="shared" si="4"/>
        <v>#NUM!</v>
      </c>
      <c r="D37" s="232" t="str">
        <f t="shared" si="4"/>
        <v>#NUM!</v>
      </c>
      <c r="E37" s="232" t="str">
        <f t="shared" si="4"/>
        <v>#NUM!</v>
      </c>
      <c r="F37" s="232" t="str">
        <f t="shared" si="4"/>
        <v>#DIV/0!</v>
      </c>
      <c r="G37" s="232" t="str">
        <f t="shared" si="4"/>
        <v>#NUM!</v>
      </c>
      <c r="H37" s="232" t="str">
        <f t="shared" si="4"/>
        <v>#DIV/0!</v>
      </c>
      <c r="I37" s="233"/>
      <c r="J37" s="234" t="str">
        <f>MEDIAN(J2:J36)</f>
        <v>#NUM!</v>
      </c>
    </row>
    <row r="38" ht="15.75" customHeight="1">
      <c r="A38" s="232" t="s">
        <v>39</v>
      </c>
      <c r="B38" s="230">
        <f>SUM(B2:B36)</f>
        <v>0</v>
      </c>
      <c r="C38" s="231"/>
      <c r="D38" s="232">
        <f t="shared" ref="D38:E38" si="5">SUM(D2:D36)</f>
        <v>0</v>
      </c>
      <c r="E38" s="232">
        <f t="shared" si="5"/>
        <v>0</v>
      </c>
      <c r="F38" s="232" t="str">
        <f>E38/D38</f>
        <v>#DIV/0!</v>
      </c>
      <c r="G38" s="232">
        <f>SUM(G2:G36)</f>
        <v>0</v>
      </c>
      <c r="H38" s="231" t="str">
        <f>G38/E38</f>
        <v>#DIV/0!</v>
      </c>
      <c r="I38" s="233" t="str">
        <f>J38/G38</f>
        <v>#DIV/0!</v>
      </c>
      <c r="J38" s="234">
        <f>SUM(J2:J36)</f>
        <v>0</v>
      </c>
    </row>
    <row r="39" ht="15.75" customHeight="1">
      <c r="A39" s="235"/>
      <c r="B39" s="235"/>
      <c r="C39" s="236"/>
      <c r="D39" s="235"/>
      <c r="E39" s="235"/>
      <c r="F39" s="235"/>
      <c r="G39" s="235"/>
      <c r="H39" s="235"/>
      <c r="I39" s="237"/>
      <c r="J39" s="237"/>
    </row>
    <row r="40" ht="15.75" customHeight="1">
      <c r="A40" s="235"/>
      <c r="B40" s="235"/>
      <c r="C40" s="236"/>
      <c r="D40" s="235"/>
      <c r="E40" s="235"/>
      <c r="F40" s="235"/>
      <c r="G40" s="235"/>
      <c r="H40" s="235"/>
      <c r="I40" s="237"/>
      <c r="J40" s="237"/>
    </row>
    <row r="41" ht="15.75" customHeight="1">
      <c r="A41" s="235"/>
      <c r="B41" s="235"/>
      <c r="C41" s="236"/>
      <c r="D41" s="235"/>
      <c r="E41" s="235"/>
      <c r="F41" s="235"/>
      <c r="G41" s="235"/>
      <c r="H41" s="235"/>
      <c r="I41" s="237"/>
      <c r="J41" s="237"/>
    </row>
    <row r="42" ht="15.75" customHeight="1">
      <c r="A42" s="235"/>
      <c r="B42" s="235"/>
      <c r="C42" s="236"/>
      <c r="D42" s="235"/>
      <c r="E42" s="235"/>
      <c r="F42" s="235"/>
      <c r="G42" s="235"/>
      <c r="H42" s="235"/>
      <c r="I42" s="237"/>
      <c r="J42" s="237"/>
    </row>
    <row r="43" ht="15.75" customHeight="1">
      <c r="A43" s="235"/>
      <c r="B43" s="235"/>
      <c r="C43" s="236"/>
      <c r="D43" s="235"/>
      <c r="E43" s="235"/>
      <c r="F43" s="235"/>
      <c r="G43" s="235"/>
      <c r="H43" s="235"/>
      <c r="I43" s="237"/>
      <c r="J43" s="237"/>
    </row>
    <row r="44" ht="15.75" customHeight="1">
      <c r="A44" s="235"/>
      <c r="B44" s="235"/>
      <c r="C44" s="236"/>
      <c r="D44" s="235"/>
      <c r="E44" s="235"/>
      <c r="F44" s="235"/>
      <c r="G44" s="235"/>
      <c r="H44" s="235"/>
      <c r="I44" s="237"/>
      <c r="J44" s="237"/>
    </row>
    <row r="45" ht="15.75" customHeight="1">
      <c r="A45" s="235"/>
      <c r="B45" s="235"/>
      <c r="C45" s="236"/>
      <c r="D45" s="235"/>
      <c r="E45" s="235"/>
      <c r="F45" s="235"/>
      <c r="G45" s="235"/>
      <c r="H45" s="235"/>
      <c r="I45" s="237"/>
      <c r="J45" s="237"/>
    </row>
    <row r="46" ht="15.75" customHeight="1">
      <c r="A46" s="235"/>
      <c r="B46" s="235"/>
      <c r="C46" s="236"/>
      <c r="D46" s="235"/>
      <c r="E46" s="235"/>
      <c r="F46" s="235"/>
      <c r="G46" s="235"/>
      <c r="H46" s="235"/>
      <c r="I46" s="237"/>
      <c r="J46" s="237"/>
    </row>
    <row r="47" ht="15.75" customHeight="1">
      <c r="A47" s="235"/>
      <c r="B47" s="235"/>
      <c r="C47" s="236"/>
      <c r="D47" s="235"/>
      <c r="E47" s="235"/>
      <c r="F47" s="235"/>
      <c r="G47" s="235"/>
      <c r="H47" s="235"/>
      <c r="I47" s="237"/>
      <c r="J47" s="237"/>
    </row>
    <row r="48" ht="15.75" customHeight="1">
      <c r="A48" s="235"/>
      <c r="B48" s="235"/>
      <c r="C48" s="236"/>
      <c r="D48" s="235"/>
      <c r="E48" s="235"/>
      <c r="F48" s="235"/>
      <c r="G48" s="235"/>
      <c r="H48" s="235"/>
      <c r="I48" s="237"/>
      <c r="J48" s="237"/>
    </row>
    <row r="49" ht="15.75" customHeight="1">
      <c r="A49" s="235"/>
      <c r="B49" s="235"/>
      <c r="C49" s="236"/>
      <c r="D49" s="235"/>
      <c r="E49" s="235"/>
      <c r="F49" s="235"/>
      <c r="G49" s="235"/>
      <c r="H49" s="235"/>
      <c r="I49" s="237"/>
      <c r="J49" s="237"/>
    </row>
    <row r="50" ht="15.75" customHeight="1">
      <c r="A50" s="235"/>
      <c r="B50" s="235"/>
      <c r="C50" s="236"/>
      <c r="D50" s="235"/>
      <c r="E50" s="235"/>
      <c r="F50" s="235"/>
      <c r="G50" s="235"/>
      <c r="H50" s="235"/>
      <c r="I50" s="237"/>
      <c r="J50" s="237"/>
    </row>
    <row r="51" ht="15.75" customHeight="1">
      <c r="A51" s="235"/>
      <c r="B51" s="235"/>
      <c r="C51" s="236"/>
      <c r="D51" s="235"/>
      <c r="E51" s="235"/>
      <c r="F51" s="235"/>
      <c r="G51" s="235"/>
      <c r="H51" s="235"/>
      <c r="I51" s="237"/>
      <c r="J51" s="237"/>
    </row>
    <row r="52" ht="15.75" customHeight="1">
      <c r="A52" s="235"/>
      <c r="B52" s="235"/>
      <c r="C52" s="236"/>
      <c r="D52" s="235"/>
      <c r="E52" s="235"/>
      <c r="F52" s="235"/>
      <c r="G52" s="235"/>
      <c r="H52" s="235"/>
      <c r="I52" s="237"/>
      <c r="J52" s="237"/>
    </row>
    <row r="53" ht="15.75" customHeight="1">
      <c r="A53" s="235"/>
      <c r="B53" s="235"/>
      <c r="C53" s="236"/>
      <c r="D53" s="235"/>
      <c r="E53" s="235"/>
      <c r="F53" s="235"/>
      <c r="G53" s="235"/>
      <c r="H53" s="235"/>
      <c r="I53" s="237"/>
      <c r="J53" s="237"/>
    </row>
    <row r="54" ht="15.75" customHeight="1">
      <c r="A54" s="235"/>
      <c r="B54" s="235"/>
      <c r="C54" s="236"/>
      <c r="D54" s="235"/>
      <c r="E54" s="235"/>
      <c r="F54" s="235"/>
      <c r="G54" s="235"/>
      <c r="H54" s="235"/>
      <c r="I54" s="237"/>
      <c r="J54" s="237"/>
    </row>
    <row r="55" ht="15.75" customHeight="1">
      <c r="A55" s="235"/>
      <c r="B55" s="235"/>
      <c r="C55" s="236"/>
      <c r="D55" s="235"/>
      <c r="E55" s="235"/>
      <c r="F55" s="235"/>
      <c r="G55" s="235"/>
      <c r="H55" s="235"/>
      <c r="I55" s="237"/>
      <c r="J55" s="237"/>
    </row>
    <row r="56" ht="15.75" customHeight="1">
      <c r="A56" s="235"/>
      <c r="B56" s="235"/>
      <c r="C56" s="236"/>
      <c r="D56" s="235"/>
      <c r="E56" s="235"/>
      <c r="F56" s="235"/>
      <c r="G56" s="235"/>
      <c r="H56" s="235"/>
      <c r="I56" s="237"/>
      <c r="J56" s="237"/>
    </row>
    <row r="57" ht="15.75" customHeight="1">
      <c r="A57" s="235"/>
      <c r="B57" s="235"/>
      <c r="C57" s="236"/>
      <c r="D57" s="235"/>
      <c r="E57" s="235"/>
      <c r="F57" s="235"/>
      <c r="G57" s="235"/>
      <c r="H57" s="235"/>
      <c r="I57" s="237"/>
      <c r="J57" s="237"/>
    </row>
    <row r="58" ht="15.75" customHeight="1">
      <c r="A58" s="235"/>
      <c r="B58" s="235"/>
      <c r="C58" s="236"/>
      <c r="D58" s="235"/>
      <c r="E58" s="235"/>
      <c r="F58" s="235"/>
      <c r="G58" s="235"/>
      <c r="H58" s="235"/>
      <c r="I58" s="237"/>
      <c r="J58" s="237"/>
    </row>
    <row r="59" ht="15.75" customHeight="1">
      <c r="A59" s="235"/>
      <c r="B59" s="235"/>
      <c r="C59" s="236"/>
      <c r="D59" s="235"/>
      <c r="E59" s="235"/>
      <c r="F59" s="235"/>
      <c r="G59" s="235"/>
      <c r="H59" s="235"/>
      <c r="I59" s="237"/>
      <c r="J59" s="237"/>
    </row>
    <row r="60" ht="15.75" customHeight="1">
      <c r="A60" s="235"/>
      <c r="B60" s="235"/>
      <c r="C60" s="236"/>
      <c r="D60" s="235"/>
      <c r="E60" s="235"/>
      <c r="F60" s="235"/>
      <c r="G60" s="235"/>
      <c r="H60" s="235"/>
      <c r="I60" s="237"/>
      <c r="J60" s="237"/>
    </row>
    <row r="61" ht="15.75" customHeight="1">
      <c r="A61" s="235"/>
      <c r="B61" s="235"/>
      <c r="C61" s="236"/>
      <c r="D61" s="235"/>
      <c r="E61" s="235"/>
      <c r="F61" s="235"/>
      <c r="G61" s="235"/>
      <c r="H61" s="235"/>
      <c r="I61" s="237"/>
      <c r="J61" s="237"/>
    </row>
    <row r="62" ht="15.75" customHeight="1">
      <c r="A62" s="235"/>
      <c r="B62" s="235"/>
      <c r="C62" s="236"/>
      <c r="D62" s="235"/>
      <c r="E62" s="235"/>
      <c r="F62" s="235"/>
      <c r="G62" s="235"/>
      <c r="H62" s="235"/>
      <c r="I62" s="237"/>
      <c r="J62" s="237"/>
    </row>
    <row r="63" ht="15.75" customHeight="1">
      <c r="A63" s="235"/>
      <c r="B63" s="235"/>
      <c r="C63" s="236"/>
      <c r="D63" s="235"/>
      <c r="E63" s="235"/>
      <c r="F63" s="235"/>
      <c r="G63" s="235"/>
      <c r="H63" s="235"/>
      <c r="I63" s="237"/>
      <c r="J63" s="237"/>
    </row>
    <row r="64" ht="15.75" customHeight="1">
      <c r="A64" s="235"/>
      <c r="B64" s="235"/>
      <c r="C64" s="236"/>
      <c r="D64" s="235"/>
      <c r="E64" s="235"/>
      <c r="F64" s="235"/>
      <c r="G64" s="235"/>
      <c r="H64" s="235"/>
      <c r="I64" s="237"/>
      <c r="J64" s="237"/>
    </row>
    <row r="65" ht="15.75" customHeight="1">
      <c r="A65" s="235"/>
      <c r="B65" s="235"/>
      <c r="C65" s="236"/>
      <c r="D65" s="235"/>
      <c r="E65" s="235"/>
      <c r="F65" s="235"/>
      <c r="G65" s="235"/>
      <c r="H65" s="235"/>
      <c r="I65" s="237"/>
      <c r="J65" s="237"/>
    </row>
    <row r="66" ht="15.75" customHeight="1">
      <c r="A66" s="235"/>
      <c r="B66" s="235"/>
      <c r="C66" s="236"/>
      <c r="D66" s="235"/>
      <c r="E66" s="235"/>
      <c r="F66" s="235"/>
      <c r="G66" s="235"/>
      <c r="H66" s="235"/>
      <c r="I66" s="237"/>
      <c r="J66" s="237"/>
    </row>
    <row r="67" ht="15.75" customHeight="1">
      <c r="A67" s="235"/>
      <c r="B67" s="235"/>
      <c r="C67" s="236"/>
      <c r="D67" s="235"/>
      <c r="E67" s="235"/>
      <c r="F67" s="235"/>
      <c r="G67" s="235"/>
      <c r="H67" s="235"/>
      <c r="I67" s="237"/>
      <c r="J67" s="237"/>
    </row>
    <row r="68" ht="15.75" customHeight="1">
      <c r="A68" s="235"/>
      <c r="B68" s="235"/>
      <c r="C68" s="236"/>
      <c r="D68" s="235"/>
      <c r="E68" s="235"/>
      <c r="F68" s="235"/>
      <c r="G68" s="235"/>
      <c r="H68" s="235"/>
      <c r="I68" s="237"/>
      <c r="J68" s="237"/>
    </row>
    <row r="69" ht="15.75" customHeight="1">
      <c r="A69" s="235"/>
      <c r="B69" s="235"/>
      <c r="C69" s="236"/>
      <c r="D69" s="235"/>
      <c r="E69" s="235"/>
      <c r="F69" s="235"/>
      <c r="G69" s="235"/>
      <c r="H69" s="235"/>
      <c r="I69" s="237"/>
      <c r="J69" s="237"/>
    </row>
    <row r="70" ht="15.75" customHeight="1">
      <c r="A70" s="235"/>
      <c r="B70" s="235"/>
      <c r="C70" s="236"/>
      <c r="D70" s="235"/>
      <c r="E70" s="235"/>
      <c r="F70" s="235"/>
      <c r="G70" s="235"/>
      <c r="H70" s="235"/>
      <c r="I70" s="237"/>
      <c r="J70" s="237"/>
    </row>
    <row r="71" ht="15.75" customHeight="1">
      <c r="A71" s="235"/>
      <c r="B71" s="235"/>
      <c r="C71" s="236"/>
      <c r="D71" s="235"/>
      <c r="E71" s="235"/>
      <c r="F71" s="235"/>
      <c r="G71" s="235"/>
      <c r="H71" s="235"/>
      <c r="I71" s="237"/>
      <c r="J71" s="237"/>
    </row>
    <row r="72" ht="15.75" customHeight="1">
      <c r="A72" s="235"/>
      <c r="B72" s="235"/>
      <c r="C72" s="236"/>
      <c r="D72" s="235"/>
      <c r="E72" s="235"/>
      <c r="F72" s="235"/>
      <c r="G72" s="235"/>
      <c r="H72" s="235"/>
      <c r="I72" s="237"/>
      <c r="J72" s="237"/>
    </row>
    <row r="73" ht="15.75" customHeight="1">
      <c r="A73" s="235"/>
      <c r="B73" s="235"/>
      <c r="C73" s="236"/>
      <c r="D73" s="235"/>
      <c r="E73" s="235"/>
      <c r="F73" s="235"/>
      <c r="G73" s="235"/>
      <c r="H73" s="235"/>
      <c r="I73" s="237"/>
      <c r="J73" s="237"/>
    </row>
    <row r="74" ht="15.75" customHeight="1">
      <c r="A74" s="235"/>
      <c r="B74" s="235"/>
      <c r="C74" s="236"/>
      <c r="D74" s="235"/>
      <c r="E74" s="235"/>
      <c r="F74" s="235"/>
      <c r="G74" s="235"/>
      <c r="H74" s="235"/>
      <c r="I74" s="237"/>
      <c r="J74" s="237"/>
    </row>
    <row r="75" ht="15.75" customHeight="1">
      <c r="A75" s="235"/>
      <c r="B75" s="235"/>
      <c r="C75" s="236"/>
      <c r="D75" s="235"/>
      <c r="E75" s="235"/>
      <c r="F75" s="235"/>
      <c r="G75" s="235"/>
      <c r="H75" s="235"/>
      <c r="I75" s="237"/>
      <c r="J75" s="237"/>
    </row>
    <row r="76" ht="15.75" customHeight="1">
      <c r="A76" s="235"/>
      <c r="B76" s="235"/>
      <c r="C76" s="236"/>
      <c r="D76" s="235"/>
      <c r="E76" s="235"/>
      <c r="F76" s="235"/>
      <c r="G76" s="235"/>
      <c r="H76" s="235"/>
      <c r="I76" s="237"/>
      <c r="J76" s="237"/>
    </row>
    <row r="77" ht="15.75" customHeight="1">
      <c r="A77" s="235"/>
      <c r="B77" s="235"/>
      <c r="C77" s="236"/>
      <c r="D77" s="235"/>
      <c r="E77" s="235"/>
      <c r="F77" s="235"/>
      <c r="G77" s="235"/>
      <c r="H77" s="235"/>
      <c r="I77" s="237"/>
      <c r="J77" s="237"/>
    </row>
    <row r="78" ht="15.75" customHeight="1">
      <c r="A78" s="235"/>
      <c r="B78" s="235"/>
      <c r="C78" s="236"/>
      <c r="D78" s="235"/>
      <c r="E78" s="235"/>
      <c r="F78" s="235"/>
      <c r="G78" s="235"/>
      <c r="H78" s="235"/>
      <c r="I78" s="237"/>
      <c r="J78" s="237"/>
    </row>
    <row r="79" ht="15.75" customHeight="1">
      <c r="A79" s="235"/>
      <c r="B79" s="235"/>
      <c r="C79" s="236"/>
      <c r="D79" s="235"/>
      <c r="E79" s="235"/>
      <c r="F79" s="235"/>
      <c r="G79" s="235"/>
      <c r="H79" s="235"/>
      <c r="I79" s="237"/>
      <c r="J79" s="237"/>
    </row>
    <row r="80" ht="15.75" customHeight="1">
      <c r="A80" s="235"/>
      <c r="B80" s="235"/>
      <c r="C80" s="236"/>
      <c r="D80" s="235"/>
      <c r="E80" s="235"/>
      <c r="F80" s="235"/>
      <c r="G80" s="235"/>
      <c r="H80" s="235"/>
      <c r="I80" s="237"/>
      <c r="J80" s="237"/>
    </row>
    <row r="81" ht="15.75" customHeight="1">
      <c r="A81" s="235"/>
      <c r="B81" s="235"/>
      <c r="C81" s="236"/>
      <c r="D81" s="235"/>
      <c r="E81" s="235"/>
      <c r="F81" s="235"/>
      <c r="G81" s="235"/>
      <c r="H81" s="235"/>
      <c r="I81" s="237"/>
      <c r="J81" s="237"/>
    </row>
    <row r="82" ht="15.75" customHeight="1">
      <c r="A82" s="235"/>
      <c r="B82" s="235"/>
      <c r="C82" s="236"/>
      <c r="D82" s="235"/>
      <c r="E82" s="235"/>
      <c r="F82" s="235"/>
      <c r="G82" s="235"/>
      <c r="H82" s="235"/>
      <c r="I82" s="237"/>
      <c r="J82" s="237"/>
    </row>
    <row r="83" ht="15.75" customHeight="1">
      <c r="A83" s="235"/>
      <c r="B83" s="235"/>
      <c r="C83" s="236"/>
      <c r="D83" s="235"/>
      <c r="E83" s="235"/>
      <c r="F83" s="235"/>
      <c r="G83" s="235"/>
      <c r="H83" s="235"/>
      <c r="I83" s="237"/>
      <c r="J83" s="237"/>
    </row>
    <row r="84" ht="15.75" customHeight="1">
      <c r="A84" s="235"/>
      <c r="B84" s="235"/>
      <c r="C84" s="236"/>
      <c r="D84" s="235"/>
      <c r="E84" s="235"/>
      <c r="F84" s="235"/>
      <c r="G84" s="235"/>
      <c r="H84" s="235"/>
      <c r="I84" s="237"/>
      <c r="J84" s="237"/>
    </row>
    <row r="85" ht="15.75" customHeight="1">
      <c r="A85" s="235"/>
      <c r="B85" s="235"/>
      <c r="C85" s="236"/>
      <c r="D85" s="235"/>
      <c r="E85" s="235"/>
      <c r="F85" s="235"/>
      <c r="G85" s="235"/>
      <c r="H85" s="235"/>
      <c r="I85" s="237"/>
      <c r="J85" s="237"/>
    </row>
    <row r="86" ht="15.75" customHeight="1">
      <c r="A86" s="235"/>
      <c r="B86" s="235"/>
      <c r="C86" s="236"/>
      <c r="D86" s="235"/>
      <c r="E86" s="235"/>
      <c r="F86" s="235"/>
      <c r="G86" s="235"/>
      <c r="H86" s="235"/>
      <c r="I86" s="237"/>
      <c r="J86" s="237"/>
    </row>
    <row r="87" ht="15.75" customHeight="1">
      <c r="A87" s="235"/>
      <c r="B87" s="235"/>
      <c r="C87" s="236"/>
      <c r="D87" s="235"/>
      <c r="E87" s="235"/>
      <c r="F87" s="235"/>
      <c r="G87" s="235"/>
      <c r="H87" s="235"/>
      <c r="I87" s="237"/>
      <c r="J87" s="237"/>
    </row>
    <row r="88" ht="15.75" customHeight="1">
      <c r="A88" s="235"/>
      <c r="B88" s="235"/>
      <c r="C88" s="236"/>
      <c r="D88" s="235"/>
      <c r="E88" s="235"/>
      <c r="F88" s="235"/>
      <c r="G88" s="235"/>
      <c r="H88" s="235"/>
      <c r="I88" s="237"/>
      <c r="J88" s="237"/>
    </row>
    <row r="89" ht="15.75" customHeight="1">
      <c r="A89" s="235"/>
      <c r="B89" s="235"/>
      <c r="C89" s="236"/>
      <c r="D89" s="235"/>
      <c r="E89" s="235"/>
      <c r="F89" s="235"/>
      <c r="G89" s="235"/>
      <c r="H89" s="235"/>
      <c r="I89" s="237"/>
      <c r="J89" s="237"/>
    </row>
    <row r="90" ht="15.75" customHeight="1">
      <c r="A90" s="235"/>
      <c r="B90" s="235"/>
      <c r="C90" s="236"/>
      <c r="D90" s="235"/>
      <c r="E90" s="235"/>
      <c r="F90" s="235"/>
      <c r="G90" s="235"/>
      <c r="H90" s="235"/>
      <c r="I90" s="237"/>
      <c r="J90" s="237"/>
    </row>
    <row r="91" ht="15.75" customHeight="1">
      <c r="A91" s="235"/>
      <c r="B91" s="235"/>
      <c r="C91" s="236"/>
      <c r="D91" s="235"/>
      <c r="E91" s="235"/>
      <c r="F91" s="235"/>
      <c r="G91" s="235"/>
      <c r="H91" s="235"/>
      <c r="I91" s="237"/>
      <c r="J91" s="237"/>
    </row>
    <row r="92" ht="15.75" customHeight="1">
      <c r="A92" s="235"/>
      <c r="B92" s="235"/>
      <c r="C92" s="236"/>
      <c r="D92" s="235"/>
      <c r="E92" s="235"/>
      <c r="F92" s="235"/>
      <c r="G92" s="235"/>
      <c r="H92" s="235"/>
      <c r="I92" s="237"/>
      <c r="J92" s="237"/>
    </row>
    <row r="93" ht="15.75" customHeight="1">
      <c r="A93" s="235"/>
      <c r="B93" s="235"/>
      <c r="C93" s="236"/>
      <c r="D93" s="235"/>
      <c r="E93" s="235"/>
      <c r="F93" s="235"/>
      <c r="G93" s="235"/>
      <c r="H93" s="235"/>
      <c r="I93" s="237"/>
      <c r="J93" s="237"/>
    </row>
    <row r="94" ht="15.75" customHeight="1">
      <c r="A94" s="235"/>
      <c r="B94" s="235"/>
      <c r="C94" s="236"/>
      <c r="D94" s="235"/>
      <c r="E94" s="235"/>
      <c r="F94" s="235"/>
      <c r="G94" s="235"/>
      <c r="H94" s="235"/>
      <c r="I94" s="237"/>
      <c r="J94" s="237"/>
    </row>
    <row r="95" ht="15.75" customHeight="1">
      <c r="A95" s="235"/>
      <c r="B95" s="235"/>
      <c r="C95" s="236"/>
      <c r="D95" s="235"/>
      <c r="E95" s="235"/>
      <c r="F95" s="235"/>
      <c r="G95" s="235"/>
      <c r="H95" s="235"/>
      <c r="I95" s="237"/>
      <c r="J95" s="237"/>
    </row>
    <row r="96" ht="15.75" customHeight="1">
      <c r="A96" s="235"/>
      <c r="B96" s="235"/>
      <c r="C96" s="236"/>
      <c r="D96" s="235"/>
      <c r="E96" s="235"/>
      <c r="F96" s="235"/>
      <c r="G96" s="235"/>
      <c r="H96" s="235"/>
      <c r="I96" s="237"/>
      <c r="J96" s="237"/>
    </row>
    <row r="97" ht="15.75" customHeight="1">
      <c r="A97" s="235"/>
      <c r="B97" s="235"/>
      <c r="C97" s="236"/>
      <c r="D97" s="235"/>
      <c r="E97" s="235"/>
      <c r="F97" s="235"/>
      <c r="G97" s="235"/>
      <c r="H97" s="235"/>
      <c r="I97" s="237"/>
      <c r="J97" s="237"/>
    </row>
    <row r="98" ht="15.75" customHeight="1">
      <c r="A98" s="235"/>
      <c r="B98" s="235"/>
      <c r="C98" s="236"/>
      <c r="D98" s="235"/>
      <c r="E98" s="235"/>
      <c r="F98" s="235"/>
      <c r="G98" s="235"/>
      <c r="H98" s="235"/>
      <c r="I98" s="237"/>
      <c r="J98" s="237"/>
    </row>
    <row r="99" ht="15.75" customHeight="1">
      <c r="A99" s="235"/>
      <c r="B99" s="235"/>
      <c r="C99" s="236"/>
      <c r="D99" s="235"/>
      <c r="E99" s="235"/>
      <c r="F99" s="235"/>
      <c r="G99" s="235"/>
      <c r="H99" s="235"/>
      <c r="I99" s="237"/>
      <c r="J99" s="237"/>
    </row>
    <row r="100" ht="15.75" customHeight="1">
      <c r="A100" s="235"/>
      <c r="B100" s="235"/>
      <c r="C100" s="236"/>
      <c r="D100" s="235"/>
      <c r="E100" s="235"/>
      <c r="F100" s="235"/>
      <c r="G100" s="235"/>
      <c r="H100" s="235"/>
      <c r="I100" s="237"/>
      <c r="J100" s="237"/>
    </row>
    <row r="101" ht="15.75" customHeight="1">
      <c r="A101" s="235"/>
      <c r="B101" s="235"/>
      <c r="C101" s="236"/>
      <c r="D101" s="235"/>
      <c r="E101" s="235"/>
      <c r="F101" s="235"/>
      <c r="G101" s="235"/>
      <c r="H101" s="235"/>
      <c r="I101" s="237"/>
      <c r="J101" s="237"/>
    </row>
    <row r="102" ht="15.75" customHeight="1">
      <c r="A102" s="235"/>
      <c r="B102" s="235"/>
      <c r="C102" s="236"/>
      <c r="D102" s="235"/>
      <c r="E102" s="235"/>
      <c r="F102" s="235"/>
      <c r="G102" s="235"/>
      <c r="H102" s="235"/>
      <c r="I102" s="237"/>
      <c r="J102" s="237"/>
    </row>
    <row r="103" ht="15.75" customHeight="1">
      <c r="A103" s="235"/>
      <c r="B103" s="235"/>
      <c r="C103" s="236"/>
      <c r="D103" s="235"/>
      <c r="E103" s="235"/>
      <c r="F103" s="235"/>
      <c r="G103" s="235"/>
      <c r="H103" s="235"/>
      <c r="I103" s="237"/>
      <c r="J103" s="237"/>
    </row>
    <row r="104" ht="15.75" customHeight="1">
      <c r="A104" s="235"/>
      <c r="B104" s="235"/>
      <c r="C104" s="236"/>
      <c r="D104" s="235"/>
      <c r="E104" s="235"/>
      <c r="F104" s="235"/>
      <c r="G104" s="235"/>
      <c r="H104" s="235"/>
      <c r="I104" s="237"/>
      <c r="J104" s="237"/>
    </row>
    <row r="105" ht="15.75" customHeight="1">
      <c r="A105" s="235"/>
      <c r="B105" s="235"/>
      <c r="C105" s="236"/>
      <c r="D105" s="235"/>
      <c r="E105" s="235"/>
      <c r="F105" s="235"/>
      <c r="G105" s="235"/>
      <c r="H105" s="235"/>
      <c r="I105" s="237"/>
      <c r="J105" s="237"/>
    </row>
    <row r="106" ht="15.75" customHeight="1">
      <c r="A106" s="235"/>
      <c r="B106" s="235"/>
      <c r="C106" s="236"/>
      <c r="D106" s="235"/>
      <c r="E106" s="235"/>
      <c r="F106" s="235"/>
      <c r="G106" s="235"/>
      <c r="H106" s="235"/>
      <c r="I106" s="237"/>
      <c r="J106" s="237"/>
    </row>
    <row r="107" ht="15.75" customHeight="1">
      <c r="A107" s="235"/>
      <c r="B107" s="235"/>
      <c r="C107" s="236"/>
      <c r="D107" s="235"/>
      <c r="E107" s="235"/>
      <c r="F107" s="235"/>
      <c r="G107" s="235"/>
      <c r="H107" s="235"/>
      <c r="I107" s="237"/>
      <c r="J107" s="237"/>
    </row>
    <row r="108" ht="15.75" customHeight="1">
      <c r="A108" s="235"/>
      <c r="B108" s="235"/>
      <c r="C108" s="236"/>
      <c r="D108" s="235"/>
      <c r="E108" s="235"/>
      <c r="F108" s="235"/>
      <c r="G108" s="235"/>
      <c r="H108" s="235"/>
      <c r="I108" s="237"/>
      <c r="J108" s="237"/>
    </row>
    <row r="109" ht="15.75" customHeight="1">
      <c r="A109" s="235"/>
      <c r="B109" s="235"/>
      <c r="C109" s="236"/>
      <c r="D109" s="235"/>
      <c r="E109" s="235"/>
      <c r="F109" s="235"/>
      <c r="G109" s="235"/>
      <c r="H109" s="235"/>
      <c r="I109" s="237"/>
      <c r="J109" s="237"/>
    </row>
    <row r="110" ht="15.75" customHeight="1">
      <c r="A110" s="235"/>
      <c r="B110" s="235"/>
      <c r="C110" s="236"/>
      <c r="D110" s="235"/>
      <c r="E110" s="235"/>
      <c r="F110" s="235"/>
      <c r="G110" s="235"/>
      <c r="H110" s="235"/>
      <c r="I110" s="237"/>
      <c r="J110" s="237"/>
    </row>
    <row r="111" ht="15.75" customHeight="1">
      <c r="A111" s="235"/>
      <c r="B111" s="235"/>
      <c r="C111" s="236"/>
      <c r="D111" s="235"/>
      <c r="E111" s="235"/>
      <c r="F111" s="235"/>
      <c r="G111" s="235"/>
      <c r="H111" s="235"/>
      <c r="I111" s="237"/>
      <c r="J111" s="237"/>
    </row>
    <row r="112" ht="15.75" customHeight="1">
      <c r="A112" s="235"/>
      <c r="B112" s="235"/>
      <c r="C112" s="236"/>
      <c r="D112" s="235"/>
      <c r="E112" s="235"/>
      <c r="F112" s="235"/>
      <c r="G112" s="235"/>
      <c r="H112" s="235"/>
      <c r="I112" s="237"/>
      <c r="J112" s="237"/>
    </row>
    <row r="113" ht="15.75" customHeight="1">
      <c r="A113" s="235"/>
      <c r="B113" s="235"/>
      <c r="C113" s="236"/>
      <c r="D113" s="235"/>
      <c r="E113" s="235"/>
      <c r="F113" s="235"/>
      <c r="G113" s="235"/>
      <c r="H113" s="235"/>
      <c r="I113" s="237"/>
      <c r="J113" s="237"/>
    </row>
    <row r="114" ht="15.75" customHeight="1">
      <c r="A114" s="235"/>
      <c r="B114" s="235"/>
      <c r="C114" s="236"/>
      <c r="D114" s="235"/>
      <c r="E114" s="235"/>
      <c r="F114" s="235"/>
      <c r="G114" s="235"/>
      <c r="H114" s="235"/>
      <c r="I114" s="237"/>
      <c r="J114" s="237"/>
    </row>
    <row r="115" ht="15.75" customHeight="1">
      <c r="A115" s="235"/>
      <c r="B115" s="235"/>
      <c r="C115" s="236"/>
      <c r="D115" s="235"/>
      <c r="E115" s="235"/>
      <c r="F115" s="235"/>
      <c r="G115" s="235"/>
      <c r="H115" s="235"/>
      <c r="I115" s="237"/>
      <c r="J115" s="237"/>
    </row>
    <row r="116" ht="15.75" customHeight="1">
      <c r="A116" s="235"/>
      <c r="B116" s="235"/>
      <c r="C116" s="236"/>
      <c r="D116" s="235"/>
      <c r="E116" s="235"/>
      <c r="F116" s="235"/>
      <c r="G116" s="235"/>
      <c r="H116" s="235"/>
      <c r="I116" s="237"/>
      <c r="J116" s="237"/>
    </row>
    <row r="117" ht="15.75" customHeight="1">
      <c r="A117" s="235"/>
      <c r="B117" s="235"/>
      <c r="C117" s="236"/>
      <c r="D117" s="235"/>
      <c r="E117" s="235"/>
      <c r="F117" s="235"/>
      <c r="G117" s="235"/>
      <c r="H117" s="235"/>
      <c r="I117" s="237"/>
      <c r="J117" s="237"/>
    </row>
    <row r="118" ht="15.75" customHeight="1">
      <c r="A118" s="235"/>
      <c r="B118" s="235"/>
      <c r="C118" s="236"/>
      <c r="D118" s="235"/>
      <c r="E118" s="235"/>
      <c r="F118" s="235"/>
      <c r="G118" s="235"/>
      <c r="H118" s="235"/>
      <c r="I118" s="237"/>
      <c r="J118" s="237"/>
    </row>
    <row r="119" ht="15.75" customHeight="1">
      <c r="A119" s="235"/>
      <c r="B119" s="235"/>
      <c r="C119" s="236"/>
      <c r="D119" s="235"/>
      <c r="E119" s="235"/>
      <c r="F119" s="235"/>
      <c r="G119" s="235"/>
      <c r="H119" s="235"/>
      <c r="I119" s="237"/>
      <c r="J119" s="237"/>
    </row>
    <row r="120" ht="15.75" customHeight="1">
      <c r="A120" s="235"/>
      <c r="B120" s="235"/>
      <c r="C120" s="236"/>
      <c r="D120" s="235"/>
      <c r="E120" s="235"/>
      <c r="F120" s="235"/>
      <c r="G120" s="235"/>
      <c r="H120" s="235"/>
      <c r="I120" s="237"/>
      <c r="J120" s="237"/>
    </row>
    <row r="121" ht="15.75" customHeight="1">
      <c r="A121" s="235"/>
      <c r="B121" s="235"/>
      <c r="C121" s="236"/>
      <c r="D121" s="235"/>
      <c r="E121" s="235"/>
      <c r="F121" s="235"/>
      <c r="G121" s="235"/>
      <c r="H121" s="235"/>
      <c r="I121" s="237"/>
      <c r="J121" s="237"/>
    </row>
    <row r="122" ht="15.75" customHeight="1">
      <c r="A122" s="235"/>
      <c r="B122" s="235"/>
      <c r="C122" s="236"/>
      <c r="D122" s="235"/>
      <c r="E122" s="235"/>
      <c r="F122" s="235"/>
      <c r="G122" s="235"/>
      <c r="H122" s="235"/>
      <c r="I122" s="237"/>
      <c r="J122" s="237"/>
    </row>
    <row r="123" ht="15.75" customHeight="1">
      <c r="A123" s="235"/>
      <c r="B123" s="235"/>
      <c r="C123" s="236"/>
      <c r="D123" s="235"/>
      <c r="E123" s="235"/>
      <c r="F123" s="235"/>
      <c r="G123" s="235"/>
      <c r="H123" s="235"/>
      <c r="I123" s="237"/>
      <c r="J123" s="237"/>
    </row>
    <row r="124" ht="15.75" customHeight="1">
      <c r="A124" s="235"/>
      <c r="B124" s="235"/>
      <c r="C124" s="236"/>
      <c r="D124" s="235"/>
      <c r="E124" s="235"/>
      <c r="F124" s="235"/>
      <c r="G124" s="235"/>
      <c r="H124" s="235"/>
      <c r="I124" s="237"/>
      <c r="J124" s="237"/>
    </row>
    <row r="125" ht="15.75" customHeight="1">
      <c r="A125" s="235"/>
      <c r="B125" s="235"/>
      <c r="C125" s="236"/>
      <c r="D125" s="235"/>
      <c r="E125" s="235"/>
      <c r="F125" s="235"/>
      <c r="G125" s="235"/>
      <c r="H125" s="235"/>
      <c r="I125" s="237"/>
      <c r="J125" s="237"/>
    </row>
    <row r="126" ht="15.75" customHeight="1">
      <c r="A126" s="235"/>
      <c r="B126" s="235"/>
      <c r="C126" s="236"/>
      <c r="D126" s="235"/>
      <c r="E126" s="235"/>
      <c r="F126" s="235"/>
      <c r="G126" s="235"/>
      <c r="H126" s="235"/>
      <c r="I126" s="237"/>
      <c r="J126" s="237"/>
    </row>
    <row r="127" ht="15.75" customHeight="1">
      <c r="A127" s="235"/>
      <c r="B127" s="235"/>
      <c r="C127" s="236"/>
      <c r="D127" s="235"/>
      <c r="E127" s="235"/>
      <c r="F127" s="235"/>
      <c r="G127" s="235"/>
      <c r="H127" s="235"/>
      <c r="I127" s="237"/>
      <c r="J127" s="237"/>
    </row>
    <row r="128" ht="15.75" customHeight="1">
      <c r="A128" s="235"/>
      <c r="B128" s="235"/>
      <c r="C128" s="236"/>
      <c r="D128" s="235"/>
      <c r="E128" s="235"/>
      <c r="F128" s="235"/>
      <c r="G128" s="235"/>
      <c r="H128" s="235"/>
      <c r="I128" s="237"/>
      <c r="J128" s="237"/>
    </row>
    <row r="129" ht="15.75" customHeight="1">
      <c r="A129" s="235"/>
      <c r="B129" s="235"/>
      <c r="C129" s="236"/>
      <c r="D129" s="235"/>
      <c r="E129" s="235"/>
      <c r="F129" s="235"/>
      <c r="G129" s="235"/>
      <c r="H129" s="235"/>
      <c r="I129" s="237"/>
      <c r="J129" s="237"/>
    </row>
    <row r="130" ht="15.75" customHeight="1">
      <c r="A130" s="235"/>
      <c r="B130" s="235"/>
      <c r="C130" s="236"/>
      <c r="D130" s="235"/>
      <c r="E130" s="235"/>
      <c r="F130" s="235"/>
      <c r="G130" s="235"/>
      <c r="H130" s="235"/>
      <c r="I130" s="237"/>
      <c r="J130" s="237"/>
    </row>
    <row r="131" ht="15.75" customHeight="1">
      <c r="A131" s="235"/>
      <c r="B131" s="235"/>
      <c r="C131" s="236"/>
      <c r="D131" s="235"/>
      <c r="E131" s="235"/>
      <c r="F131" s="235"/>
      <c r="G131" s="235"/>
      <c r="H131" s="235"/>
      <c r="I131" s="237"/>
      <c r="J131" s="237"/>
    </row>
    <row r="132" ht="15.75" customHeight="1">
      <c r="A132" s="235"/>
      <c r="B132" s="235"/>
      <c r="C132" s="236"/>
      <c r="D132" s="235"/>
      <c r="E132" s="235"/>
      <c r="F132" s="235"/>
      <c r="G132" s="235"/>
      <c r="H132" s="235"/>
      <c r="I132" s="237"/>
      <c r="J132" s="237"/>
    </row>
    <row r="133" ht="15.75" customHeight="1">
      <c r="A133" s="235"/>
      <c r="B133" s="235"/>
      <c r="C133" s="236"/>
      <c r="D133" s="235"/>
      <c r="E133" s="235"/>
      <c r="F133" s="235"/>
      <c r="G133" s="235"/>
      <c r="H133" s="235"/>
      <c r="I133" s="237"/>
      <c r="J133" s="237"/>
    </row>
    <row r="134" ht="15.75" customHeight="1">
      <c r="A134" s="235"/>
      <c r="B134" s="235"/>
      <c r="C134" s="236"/>
      <c r="D134" s="235"/>
      <c r="E134" s="235"/>
      <c r="F134" s="235"/>
      <c r="G134" s="235"/>
      <c r="H134" s="235"/>
      <c r="I134" s="237"/>
      <c r="J134" s="237"/>
    </row>
    <row r="135" ht="15.75" customHeight="1">
      <c r="A135" s="235"/>
      <c r="B135" s="235"/>
      <c r="C135" s="236"/>
      <c r="D135" s="235"/>
      <c r="E135" s="235"/>
      <c r="F135" s="235"/>
      <c r="G135" s="235"/>
      <c r="H135" s="235"/>
      <c r="I135" s="237"/>
      <c r="J135" s="237"/>
    </row>
    <row r="136" ht="15.75" customHeight="1">
      <c r="A136" s="235"/>
      <c r="B136" s="235"/>
      <c r="C136" s="236"/>
      <c r="D136" s="235"/>
      <c r="E136" s="235"/>
      <c r="F136" s="235"/>
      <c r="G136" s="235"/>
      <c r="H136" s="235"/>
      <c r="I136" s="237"/>
      <c r="J136" s="237"/>
    </row>
    <row r="137" ht="15.75" customHeight="1">
      <c r="A137" s="235"/>
      <c r="B137" s="235"/>
      <c r="C137" s="236"/>
      <c r="D137" s="235"/>
      <c r="E137" s="235"/>
      <c r="F137" s="235"/>
      <c r="G137" s="235"/>
      <c r="H137" s="235"/>
      <c r="I137" s="237"/>
      <c r="J137" s="237"/>
    </row>
    <row r="138" ht="15.75" customHeight="1">
      <c r="A138" s="235"/>
      <c r="B138" s="235"/>
      <c r="C138" s="236"/>
      <c r="D138" s="235"/>
      <c r="E138" s="235"/>
      <c r="F138" s="235"/>
      <c r="G138" s="235"/>
      <c r="H138" s="235"/>
      <c r="I138" s="237"/>
      <c r="J138" s="237"/>
    </row>
    <row r="139" ht="15.75" customHeight="1">
      <c r="A139" s="235"/>
      <c r="B139" s="235"/>
      <c r="C139" s="236"/>
      <c r="D139" s="235"/>
      <c r="E139" s="235"/>
      <c r="F139" s="235"/>
      <c r="G139" s="235"/>
      <c r="H139" s="235"/>
      <c r="I139" s="237"/>
      <c r="J139" s="237"/>
    </row>
    <row r="140" ht="15.75" customHeight="1">
      <c r="A140" s="235"/>
      <c r="B140" s="235"/>
      <c r="C140" s="236"/>
      <c r="D140" s="235"/>
      <c r="E140" s="235"/>
      <c r="F140" s="235"/>
      <c r="G140" s="235"/>
      <c r="H140" s="235"/>
      <c r="I140" s="237"/>
      <c r="J140" s="237"/>
    </row>
    <row r="141" ht="15.75" customHeight="1">
      <c r="A141" s="235"/>
      <c r="B141" s="235"/>
      <c r="C141" s="236"/>
      <c r="D141" s="235"/>
      <c r="E141" s="235"/>
      <c r="F141" s="235"/>
      <c r="G141" s="235"/>
      <c r="H141" s="235"/>
      <c r="I141" s="237"/>
      <c r="J141" s="237"/>
    </row>
    <row r="142" ht="15.75" customHeight="1">
      <c r="A142" s="235"/>
      <c r="B142" s="235"/>
      <c r="C142" s="236"/>
      <c r="D142" s="235"/>
      <c r="E142" s="235"/>
      <c r="F142" s="235"/>
      <c r="G142" s="235"/>
      <c r="H142" s="235"/>
      <c r="I142" s="237"/>
      <c r="J142" s="237"/>
    </row>
    <row r="143" ht="15.75" customHeight="1">
      <c r="A143" s="235"/>
      <c r="B143" s="235"/>
      <c r="C143" s="236"/>
      <c r="D143" s="235"/>
      <c r="E143" s="235"/>
      <c r="F143" s="235"/>
      <c r="G143" s="235"/>
      <c r="H143" s="235"/>
      <c r="I143" s="237"/>
      <c r="J143" s="237"/>
    </row>
    <row r="144" ht="15.75" customHeight="1">
      <c r="A144" s="235"/>
      <c r="B144" s="235"/>
      <c r="C144" s="236"/>
      <c r="D144" s="235"/>
      <c r="E144" s="235"/>
      <c r="F144" s="235"/>
      <c r="G144" s="235"/>
      <c r="H144" s="235"/>
      <c r="I144" s="237"/>
      <c r="J144" s="237"/>
    </row>
    <row r="145" ht="15.75" customHeight="1">
      <c r="A145" s="235"/>
      <c r="B145" s="235"/>
      <c r="C145" s="236"/>
      <c r="D145" s="235"/>
      <c r="E145" s="235"/>
      <c r="F145" s="235"/>
      <c r="G145" s="235"/>
      <c r="H145" s="235"/>
      <c r="I145" s="237"/>
      <c r="J145" s="237"/>
    </row>
    <row r="146" ht="15.75" customHeight="1">
      <c r="A146" s="235"/>
      <c r="B146" s="235"/>
      <c r="C146" s="236"/>
      <c r="D146" s="235"/>
      <c r="E146" s="235"/>
      <c r="F146" s="235"/>
      <c r="G146" s="235"/>
      <c r="H146" s="235"/>
      <c r="I146" s="237"/>
      <c r="J146" s="237"/>
    </row>
    <row r="147" ht="15.75" customHeight="1">
      <c r="A147" s="235"/>
      <c r="B147" s="235"/>
      <c r="C147" s="236"/>
      <c r="D147" s="235"/>
      <c r="E147" s="235"/>
      <c r="F147" s="235"/>
      <c r="G147" s="235"/>
      <c r="H147" s="235"/>
      <c r="I147" s="237"/>
      <c r="J147" s="237"/>
    </row>
    <row r="148" ht="15.75" customHeight="1">
      <c r="A148" s="235"/>
      <c r="B148" s="235"/>
      <c r="C148" s="236"/>
      <c r="D148" s="235"/>
      <c r="E148" s="235"/>
      <c r="F148" s="235"/>
      <c r="G148" s="235"/>
      <c r="H148" s="235"/>
      <c r="I148" s="237"/>
      <c r="J148" s="237"/>
    </row>
    <row r="149" ht="15.75" customHeight="1">
      <c r="A149" s="235"/>
      <c r="B149" s="235"/>
      <c r="C149" s="236"/>
      <c r="D149" s="235"/>
      <c r="E149" s="235"/>
      <c r="F149" s="235"/>
      <c r="G149" s="235"/>
      <c r="H149" s="235"/>
      <c r="I149" s="237"/>
      <c r="J149" s="237"/>
    </row>
    <row r="150" ht="15.75" customHeight="1">
      <c r="A150" s="235"/>
      <c r="B150" s="235"/>
      <c r="C150" s="236"/>
      <c r="D150" s="235"/>
      <c r="E150" s="235"/>
      <c r="F150" s="235"/>
      <c r="G150" s="235"/>
      <c r="H150" s="235"/>
      <c r="I150" s="237"/>
      <c r="J150" s="237"/>
    </row>
    <row r="151" ht="15.75" customHeight="1">
      <c r="A151" s="235"/>
      <c r="B151" s="235"/>
      <c r="C151" s="236"/>
      <c r="D151" s="235"/>
      <c r="E151" s="235"/>
      <c r="F151" s="235"/>
      <c r="G151" s="235"/>
      <c r="H151" s="235"/>
      <c r="I151" s="237"/>
      <c r="J151" s="237"/>
    </row>
    <row r="152" ht="15.75" customHeight="1">
      <c r="A152" s="235"/>
      <c r="B152" s="235"/>
      <c r="C152" s="236"/>
      <c r="D152" s="235"/>
      <c r="E152" s="235"/>
      <c r="F152" s="235"/>
      <c r="G152" s="235"/>
      <c r="H152" s="235"/>
      <c r="I152" s="237"/>
      <c r="J152" s="237"/>
    </row>
    <row r="153" ht="15.75" customHeight="1">
      <c r="A153" s="235"/>
      <c r="B153" s="235"/>
      <c r="C153" s="236"/>
      <c r="D153" s="235"/>
      <c r="E153" s="235"/>
      <c r="F153" s="235"/>
      <c r="G153" s="235"/>
      <c r="H153" s="235"/>
      <c r="I153" s="237"/>
      <c r="J153" s="237"/>
    </row>
    <row r="154" ht="15.75" customHeight="1">
      <c r="A154" s="235"/>
      <c r="B154" s="235"/>
      <c r="C154" s="236"/>
      <c r="D154" s="235"/>
      <c r="E154" s="235"/>
      <c r="F154" s="235"/>
      <c r="G154" s="235"/>
      <c r="H154" s="235"/>
      <c r="I154" s="237"/>
      <c r="J154" s="237"/>
    </row>
    <row r="155" ht="15.75" customHeight="1">
      <c r="A155" s="235"/>
      <c r="B155" s="235"/>
      <c r="C155" s="236"/>
      <c r="D155" s="235"/>
      <c r="E155" s="235"/>
      <c r="F155" s="235"/>
      <c r="G155" s="235"/>
      <c r="H155" s="235"/>
      <c r="I155" s="237"/>
      <c r="J155" s="237"/>
    </row>
    <row r="156" ht="15.75" customHeight="1">
      <c r="A156" s="235"/>
      <c r="B156" s="235"/>
      <c r="C156" s="236"/>
      <c r="D156" s="235"/>
      <c r="E156" s="235"/>
      <c r="F156" s="235"/>
      <c r="G156" s="235"/>
      <c r="H156" s="235"/>
      <c r="I156" s="237"/>
      <c r="J156" s="237"/>
    </row>
    <row r="157" ht="15.75" customHeight="1">
      <c r="A157" s="235"/>
      <c r="B157" s="235"/>
      <c r="C157" s="236"/>
      <c r="D157" s="235"/>
      <c r="E157" s="235"/>
      <c r="F157" s="235"/>
      <c r="G157" s="235"/>
      <c r="H157" s="235"/>
      <c r="I157" s="237"/>
      <c r="J157" s="237"/>
    </row>
    <row r="158" ht="15.75" customHeight="1">
      <c r="A158" s="235"/>
      <c r="B158" s="235"/>
      <c r="C158" s="236"/>
      <c r="D158" s="235"/>
      <c r="E158" s="235"/>
      <c r="F158" s="235"/>
      <c r="G158" s="235"/>
      <c r="H158" s="235"/>
      <c r="I158" s="237"/>
      <c r="J158" s="237"/>
    </row>
    <row r="159" ht="15.75" customHeight="1">
      <c r="A159" s="235"/>
      <c r="B159" s="235"/>
      <c r="C159" s="236"/>
      <c r="D159" s="235"/>
      <c r="E159" s="235"/>
      <c r="F159" s="235"/>
      <c r="G159" s="235"/>
      <c r="H159" s="235"/>
      <c r="I159" s="237"/>
      <c r="J159" s="237"/>
    </row>
    <row r="160" ht="15.75" customHeight="1">
      <c r="A160" s="235"/>
      <c r="B160" s="235"/>
      <c r="C160" s="236"/>
      <c r="D160" s="235"/>
      <c r="E160" s="235"/>
      <c r="F160" s="235"/>
      <c r="G160" s="235"/>
      <c r="H160" s="235"/>
      <c r="I160" s="237"/>
      <c r="J160" s="237"/>
    </row>
    <row r="161" ht="15.75" customHeight="1">
      <c r="A161" s="235"/>
      <c r="B161" s="235"/>
      <c r="C161" s="236"/>
      <c r="D161" s="235"/>
      <c r="E161" s="235"/>
      <c r="F161" s="235"/>
      <c r="G161" s="235"/>
      <c r="H161" s="235"/>
      <c r="I161" s="237"/>
      <c r="J161" s="237"/>
    </row>
    <row r="162" ht="15.75" customHeight="1">
      <c r="A162" s="235"/>
      <c r="B162" s="235"/>
      <c r="C162" s="236"/>
      <c r="D162" s="235"/>
      <c r="E162" s="235"/>
      <c r="F162" s="235"/>
      <c r="G162" s="235"/>
      <c r="H162" s="235"/>
      <c r="I162" s="237"/>
      <c r="J162" s="237"/>
    </row>
    <row r="163" ht="15.75" customHeight="1">
      <c r="A163" s="235"/>
      <c r="B163" s="235"/>
      <c r="C163" s="236"/>
      <c r="D163" s="235"/>
      <c r="E163" s="235"/>
      <c r="F163" s="235"/>
      <c r="G163" s="235"/>
      <c r="H163" s="235"/>
      <c r="I163" s="237"/>
      <c r="J163" s="237"/>
    </row>
    <row r="164" ht="15.75" customHeight="1">
      <c r="A164" s="235"/>
      <c r="B164" s="235"/>
      <c r="C164" s="236"/>
      <c r="D164" s="235"/>
      <c r="E164" s="235"/>
      <c r="F164" s="235"/>
      <c r="G164" s="235"/>
      <c r="H164" s="235"/>
      <c r="I164" s="237"/>
      <c r="J164" s="237"/>
    </row>
    <row r="165" ht="15.75" customHeight="1">
      <c r="A165" s="235"/>
      <c r="B165" s="235"/>
      <c r="C165" s="236"/>
      <c r="D165" s="235"/>
      <c r="E165" s="235"/>
      <c r="F165" s="235"/>
      <c r="G165" s="235"/>
      <c r="H165" s="235"/>
      <c r="I165" s="237"/>
      <c r="J165" s="237"/>
    </row>
    <row r="166" ht="15.75" customHeight="1">
      <c r="A166" s="235"/>
      <c r="B166" s="235"/>
      <c r="C166" s="236"/>
      <c r="D166" s="235"/>
      <c r="E166" s="235"/>
      <c r="F166" s="235"/>
      <c r="G166" s="235"/>
      <c r="H166" s="235"/>
      <c r="I166" s="237"/>
      <c r="J166" s="237"/>
    </row>
    <row r="167" ht="15.75" customHeight="1">
      <c r="A167" s="235"/>
      <c r="B167" s="235"/>
      <c r="C167" s="236"/>
      <c r="D167" s="235"/>
      <c r="E167" s="235"/>
      <c r="F167" s="235"/>
      <c r="G167" s="235"/>
      <c r="H167" s="235"/>
      <c r="I167" s="237"/>
      <c r="J167" s="237"/>
    </row>
    <row r="168" ht="15.75" customHeight="1">
      <c r="A168" s="235"/>
      <c r="B168" s="235"/>
      <c r="C168" s="236"/>
      <c r="D168" s="235"/>
      <c r="E168" s="235"/>
      <c r="F168" s="235"/>
      <c r="G168" s="235"/>
      <c r="H168" s="235"/>
      <c r="I168" s="237"/>
      <c r="J168" s="237"/>
    </row>
    <row r="169" ht="15.75" customHeight="1">
      <c r="A169" s="235"/>
      <c r="B169" s="235"/>
      <c r="C169" s="236"/>
      <c r="D169" s="235"/>
      <c r="E169" s="235"/>
      <c r="F169" s="235"/>
      <c r="G169" s="235"/>
      <c r="H169" s="235"/>
      <c r="I169" s="237"/>
      <c r="J169" s="237"/>
    </row>
    <row r="170" ht="15.75" customHeight="1">
      <c r="A170" s="235"/>
      <c r="B170" s="235"/>
      <c r="C170" s="236"/>
      <c r="D170" s="235"/>
      <c r="E170" s="235"/>
      <c r="F170" s="235"/>
      <c r="G170" s="235"/>
      <c r="H170" s="235"/>
      <c r="I170" s="237"/>
      <c r="J170" s="237"/>
    </row>
    <row r="171" ht="15.75" customHeight="1">
      <c r="A171" s="235"/>
      <c r="B171" s="235"/>
      <c r="C171" s="236"/>
      <c r="D171" s="235"/>
      <c r="E171" s="235"/>
      <c r="F171" s="235"/>
      <c r="G171" s="235"/>
      <c r="H171" s="235"/>
      <c r="I171" s="237"/>
      <c r="J171" s="237"/>
    </row>
    <row r="172" ht="15.75" customHeight="1">
      <c r="A172" s="235"/>
      <c r="B172" s="235"/>
      <c r="C172" s="236"/>
      <c r="D172" s="235"/>
      <c r="E172" s="235"/>
      <c r="F172" s="235"/>
      <c r="G172" s="235"/>
      <c r="H172" s="235"/>
      <c r="I172" s="237"/>
      <c r="J172" s="237"/>
    </row>
    <row r="173" ht="15.75" customHeight="1">
      <c r="A173" s="235"/>
      <c r="B173" s="235"/>
      <c r="C173" s="236"/>
      <c r="D173" s="235"/>
      <c r="E173" s="235"/>
      <c r="F173" s="235"/>
      <c r="G173" s="235"/>
      <c r="H173" s="235"/>
      <c r="I173" s="237"/>
      <c r="J173" s="237"/>
    </row>
    <row r="174" ht="15.75" customHeight="1">
      <c r="A174" s="235"/>
      <c r="B174" s="235"/>
      <c r="C174" s="236"/>
      <c r="D174" s="235"/>
      <c r="E174" s="235"/>
      <c r="F174" s="235"/>
      <c r="G174" s="235"/>
      <c r="H174" s="235"/>
      <c r="I174" s="237"/>
      <c r="J174" s="237"/>
    </row>
    <row r="175" ht="15.75" customHeight="1">
      <c r="A175" s="235"/>
      <c r="B175" s="235"/>
      <c r="C175" s="236"/>
      <c r="D175" s="235"/>
      <c r="E175" s="235"/>
      <c r="F175" s="235"/>
      <c r="G175" s="235"/>
      <c r="H175" s="235"/>
      <c r="I175" s="237"/>
      <c r="J175" s="237"/>
    </row>
    <row r="176" ht="15.75" customHeight="1">
      <c r="A176" s="235"/>
      <c r="B176" s="235"/>
      <c r="C176" s="236"/>
      <c r="D176" s="235"/>
      <c r="E176" s="235"/>
      <c r="F176" s="235"/>
      <c r="G176" s="235"/>
      <c r="H176" s="235"/>
      <c r="I176" s="237"/>
      <c r="J176" s="237"/>
    </row>
    <row r="177" ht="15.75" customHeight="1">
      <c r="A177" s="235"/>
      <c r="B177" s="235"/>
      <c r="C177" s="236"/>
      <c r="D177" s="235"/>
      <c r="E177" s="235"/>
      <c r="F177" s="235"/>
      <c r="G177" s="235"/>
      <c r="H177" s="235"/>
      <c r="I177" s="237"/>
      <c r="J177" s="237"/>
    </row>
    <row r="178" ht="15.75" customHeight="1">
      <c r="A178" s="235"/>
      <c r="B178" s="235"/>
      <c r="C178" s="236"/>
      <c r="D178" s="235"/>
      <c r="E178" s="235"/>
      <c r="F178" s="235"/>
      <c r="G178" s="235"/>
      <c r="H178" s="235"/>
      <c r="I178" s="237"/>
      <c r="J178" s="237"/>
    </row>
    <row r="179" ht="15.75" customHeight="1">
      <c r="A179" s="235"/>
      <c r="B179" s="235"/>
      <c r="C179" s="236"/>
      <c r="D179" s="235"/>
      <c r="E179" s="235"/>
      <c r="F179" s="235"/>
      <c r="G179" s="235"/>
      <c r="H179" s="235"/>
      <c r="I179" s="237"/>
      <c r="J179" s="237"/>
    </row>
    <row r="180" ht="15.75" customHeight="1">
      <c r="A180" s="235"/>
      <c r="B180" s="235"/>
      <c r="C180" s="236"/>
      <c r="D180" s="235"/>
      <c r="E180" s="235"/>
      <c r="F180" s="235"/>
      <c r="G180" s="235"/>
      <c r="H180" s="235"/>
      <c r="I180" s="237"/>
      <c r="J180" s="237"/>
    </row>
    <row r="181" ht="15.75" customHeight="1">
      <c r="A181" s="235"/>
      <c r="B181" s="235"/>
      <c r="C181" s="236"/>
      <c r="D181" s="235"/>
      <c r="E181" s="235"/>
      <c r="F181" s="235"/>
      <c r="G181" s="235"/>
      <c r="H181" s="235"/>
      <c r="I181" s="237"/>
      <c r="J181" s="237"/>
    </row>
    <row r="182" ht="15.75" customHeight="1">
      <c r="A182" s="235"/>
      <c r="B182" s="235"/>
      <c r="C182" s="236"/>
      <c r="D182" s="235"/>
      <c r="E182" s="235"/>
      <c r="F182" s="235"/>
      <c r="G182" s="235"/>
      <c r="H182" s="235"/>
      <c r="I182" s="237"/>
      <c r="J182" s="237"/>
    </row>
    <row r="183" ht="15.75" customHeight="1">
      <c r="A183" s="235"/>
      <c r="B183" s="235"/>
      <c r="C183" s="236"/>
      <c r="D183" s="235"/>
      <c r="E183" s="235"/>
      <c r="F183" s="235"/>
      <c r="G183" s="235"/>
      <c r="H183" s="235"/>
      <c r="I183" s="237"/>
      <c r="J183" s="237"/>
    </row>
    <row r="184" ht="15.75" customHeight="1">
      <c r="A184" s="235"/>
      <c r="B184" s="235"/>
      <c r="C184" s="236"/>
      <c r="D184" s="235"/>
      <c r="E184" s="235"/>
      <c r="F184" s="235"/>
      <c r="G184" s="235"/>
      <c r="H184" s="235"/>
      <c r="I184" s="237"/>
      <c r="J184" s="237"/>
    </row>
    <row r="185" ht="15.75" customHeight="1">
      <c r="A185" s="235"/>
      <c r="B185" s="235"/>
      <c r="C185" s="236"/>
      <c r="D185" s="235"/>
      <c r="E185" s="235"/>
      <c r="F185" s="235"/>
      <c r="G185" s="235"/>
      <c r="H185" s="235"/>
      <c r="I185" s="237"/>
      <c r="J185" s="237"/>
    </row>
    <row r="186" ht="15.75" customHeight="1">
      <c r="A186" s="235"/>
      <c r="B186" s="235"/>
      <c r="C186" s="236"/>
      <c r="D186" s="235"/>
      <c r="E186" s="235"/>
      <c r="F186" s="235"/>
      <c r="G186" s="235"/>
      <c r="H186" s="235"/>
      <c r="I186" s="237"/>
      <c r="J186" s="237"/>
    </row>
    <row r="187" ht="15.75" customHeight="1">
      <c r="A187" s="235"/>
      <c r="B187" s="235"/>
      <c r="C187" s="236"/>
      <c r="D187" s="235"/>
      <c r="E187" s="235"/>
      <c r="F187" s="235"/>
      <c r="G187" s="235"/>
      <c r="H187" s="235"/>
      <c r="I187" s="237"/>
      <c r="J187" s="237"/>
    </row>
    <row r="188" ht="15.75" customHeight="1">
      <c r="A188" s="235"/>
      <c r="B188" s="235"/>
      <c r="C188" s="236"/>
      <c r="D188" s="235"/>
      <c r="E188" s="235"/>
      <c r="F188" s="235"/>
      <c r="G188" s="235"/>
      <c r="H188" s="235"/>
      <c r="I188" s="237"/>
      <c r="J188" s="237"/>
    </row>
    <row r="189" ht="15.75" customHeight="1">
      <c r="A189" s="235"/>
      <c r="B189" s="235"/>
      <c r="C189" s="236"/>
      <c r="D189" s="235"/>
      <c r="E189" s="235"/>
      <c r="F189" s="235"/>
      <c r="G189" s="235"/>
      <c r="H189" s="235"/>
      <c r="I189" s="237"/>
      <c r="J189" s="237"/>
    </row>
    <row r="190" ht="15.75" customHeight="1">
      <c r="A190" s="235"/>
      <c r="B190" s="235"/>
      <c r="C190" s="236"/>
      <c r="D190" s="235"/>
      <c r="E190" s="235"/>
      <c r="F190" s="235"/>
      <c r="G190" s="235"/>
      <c r="H190" s="235"/>
      <c r="I190" s="237"/>
      <c r="J190" s="237"/>
    </row>
    <row r="191" ht="15.75" customHeight="1">
      <c r="A191" s="235"/>
      <c r="B191" s="235"/>
      <c r="C191" s="236"/>
      <c r="D191" s="235"/>
      <c r="E191" s="235"/>
      <c r="F191" s="235"/>
      <c r="G191" s="235"/>
      <c r="H191" s="235"/>
      <c r="I191" s="237"/>
      <c r="J191" s="237"/>
    </row>
    <row r="192" ht="15.75" customHeight="1">
      <c r="A192" s="235"/>
      <c r="B192" s="235"/>
      <c r="C192" s="236"/>
      <c r="D192" s="235"/>
      <c r="E192" s="235"/>
      <c r="F192" s="235"/>
      <c r="G192" s="235"/>
      <c r="H192" s="235"/>
      <c r="I192" s="237"/>
      <c r="J192" s="237"/>
    </row>
    <row r="193" ht="15.75" customHeight="1">
      <c r="A193" s="235"/>
      <c r="B193" s="235"/>
      <c r="C193" s="236"/>
      <c r="D193" s="235"/>
      <c r="E193" s="235"/>
      <c r="F193" s="235"/>
      <c r="G193" s="235"/>
      <c r="H193" s="235"/>
      <c r="I193" s="237"/>
      <c r="J193" s="237"/>
    </row>
    <row r="194" ht="15.75" customHeight="1">
      <c r="A194" s="235"/>
      <c r="B194" s="235"/>
      <c r="C194" s="236"/>
      <c r="D194" s="235"/>
      <c r="E194" s="235"/>
      <c r="F194" s="235"/>
      <c r="G194" s="235"/>
      <c r="H194" s="235"/>
      <c r="I194" s="237"/>
      <c r="J194" s="237"/>
    </row>
    <row r="195" ht="15.75" customHeight="1">
      <c r="A195" s="235"/>
      <c r="B195" s="235"/>
      <c r="C195" s="236"/>
      <c r="D195" s="235"/>
      <c r="E195" s="235"/>
      <c r="F195" s="235"/>
      <c r="G195" s="235"/>
      <c r="H195" s="235"/>
      <c r="I195" s="237"/>
      <c r="J195" s="237"/>
    </row>
    <row r="196" ht="15.75" customHeight="1">
      <c r="A196" s="235"/>
      <c r="B196" s="235"/>
      <c r="C196" s="236"/>
      <c r="D196" s="235"/>
      <c r="E196" s="235"/>
      <c r="F196" s="235"/>
      <c r="G196" s="235"/>
      <c r="H196" s="235"/>
      <c r="I196" s="237"/>
      <c r="J196" s="237"/>
    </row>
    <row r="197" ht="15.75" customHeight="1">
      <c r="A197" s="235"/>
      <c r="B197" s="235"/>
      <c r="C197" s="236"/>
      <c r="D197" s="235"/>
      <c r="E197" s="235"/>
      <c r="F197" s="235"/>
      <c r="G197" s="235"/>
      <c r="H197" s="235"/>
      <c r="I197" s="237"/>
      <c r="J197" s="237"/>
    </row>
    <row r="198" ht="15.75" customHeight="1">
      <c r="A198" s="235"/>
      <c r="B198" s="235"/>
      <c r="C198" s="236"/>
      <c r="D198" s="235"/>
      <c r="E198" s="235"/>
      <c r="F198" s="235"/>
      <c r="G198" s="235"/>
      <c r="H198" s="235"/>
      <c r="I198" s="237"/>
      <c r="J198" s="237"/>
    </row>
    <row r="199" ht="15.75" customHeight="1">
      <c r="A199" s="235"/>
      <c r="B199" s="235"/>
      <c r="C199" s="236"/>
      <c r="D199" s="235"/>
      <c r="E199" s="235"/>
      <c r="F199" s="235"/>
      <c r="G199" s="235"/>
      <c r="H199" s="235"/>
      <c r="I199" s="237"/>
      <c r="J199" s="237"/>
    </row>
    <row r="200" ht="15.75" customHeight="1">
      <c r="A200" s="235"/>
      <c r="B200" s="235"/>
      <c r="C200" s="236"/>
      <c r="D200" s="235"/>
      <c r="E200" s="235"/>
      <c r="F200" s="235"/>
      <c r="G200" s="235"/>
      <c r="H200" s="235"/>
      <c r="I200" s="237"/>
      <c r="J200" s="237"/>
    </row>
    <row r="201" ht="15.75" customHeight="1">
      <c r="A201" s="235"/>
      <c r="B201" s="235"/>
      <c r="C201" s="236"/>
      <c r="D201" s="235"/>
      <c r="E201" s="235"/>
      <c r="F201" s="235"/>
      <c r="G201" s="235"/>
      <c r="H201" s="235"/>
      <c r="I201" s="237"/>
      <c r="J201" s="237"/>
    </row>
    <row r="202" ht="15.75" customHeight="1">
      <c r="A202" s="235"/>
      <c r="B202" s="235"/>
      <c r="C202" s="236"/>
      <c r="D202" s="235"/>
      <c r="E202" s="235"/>
      <c r="F202" s="235"/>
      <c r="G202" s="235"/>
      <c r="H202" s="235"/>
      <c r="I202" s="237"/>
      <c r="J202" s="237"/>
    </row>
    <row r="203" ht="15.75" customHeight="1">
      <c r="A203" s="235"/>
      <c r="B203" s="235"/>
      <c r="C203" s="236"/>
      <c r="D203" s="235"/>
      <c r="E203" s="235"/>
      <c r="F203" s="235"/>
      <c r="G203" s="235"/>
      <c r="H203" s="235"/>
      <c r="I203" s="237"/>
      <c r="J203" s="237"/>
    </row>
    <row r="204" ht="15.75" customHeight="1">
      <c r="A204" s="235"/>
      <c r="B204" s="235"/>
      <c r="C204" s="236"/>
      <c r="D204" s="235"/>
      <c r="E204" s="235"/>
      <c r="F204" s="235"/>
      <c r="G204" s="235"/>
      <c r="H204" s="235"/>
      <c r="I204" s="237"/>
      <c r="J204" s="237"/>
    </row>
    <row r="205" ht="15.75" customHeight="1">
      <c r="A205" s="235"/>
      <c r="B205" s="235"/>
      <c r="C205" s="236"/>
      <c r="D205" s="235"/>
      <c r="E205" s="235"/>
      <c r="F205" s="235"/>
      <c r="G205" s="235"/>
      <c r="H205" s="235"/>
      <c r="I205" s="237"/>
      <c r="J205" s="237"/>
    </row>
    <row r="206" ht="15.75" customHeight="1">
      <c r="A206" s="235"/>
      <c r="B206" s="235"/>
      <c r="C206" s="236"/>
      <c r="D206" s="235"/>
      <c r="E206" s="235"/>
      <c r="F206" s="235"/>
      <c r="G206" s="235"/>
      <c r="H206" s="235"/>
      <c r="I206" s="237"/>
      <c r="J206" s="237"/>
    </row>
    <row r="207" ht="15.75" customHeight="1">
      <c r="A207" s="235"/>
      <c r="B207" s="235"/>
      <c r="C207" s="236"/>
      <c r="D207" s="235"/>
      <c r="E207" s="235"/>
      <c r="F207" s="235"/>
      <c r="G207" s="235"/>
      <c r="H207" s="235"/>
      <c r="I207" s="237"/>
      <c r="J207" s="237"/>
    </row>
    <row r="208" ht="15.75" customHeight="1">
      <c r="A208" s="235"/>
      <c r="B208" s="235"/>
      <c r="C208" s="236"/>
      <c r="D208" s="235"/>
      <c r="E208" s="235"/>
      <c r="F208" s="235"/>
      <c r="G208" s="235"/>
      <c r="H208" s="235"/>
      <c r="I208" s="237"/>
      <c r="J208" s="237"/>
    </row>
    <row r="209" ht="15.75" customHeight="1">
      <c r="A209" s="235"/>
      <c r="B209" s="235"/>
      <c r="C209" s="236"/>
      <c r="D209" s="235"/>
      <c r="E209" s="235"/>
      <c r="F209" s="235"/>
      <c r="G209" s="235"/>
      <c r="H209" s="235"/>
      <c r="I209" s="237"/>
      <c r="J209" s="237"/>
    </row>
    <row r="210" ht="15.75" customHeight="1">
      <c r="A210" s="235"/>
      <c r="B210" s="235"/>
      <c r="C210" s="236"/>
      <c r="D210" s="235"/>
      <c r="E210" s="235"/>
      <c r="F210" s="235"/>
      <c r="G210" s="235"/>
      <c r="H210" s="235"/>
      <c r="I210" s="237"/>
      <c r="J210" s="237"/>
    </row>
    <row r="211" ht="15.75" customHeight="1">
      <c r="A211" s="235"/>
      <c r="B211" s="235"/>
      <c r="C211" s="236"/>
      <c r="D211" s="235"/>
      <c r="E211" s="235"/>
      <c r="F211" s="235"/>
      <c r="G211" s="235"/>
      <c r="H211" s="235"/>
      <c r="I211" s="237"/>
      <c r="J211" s="237"/>
    </row>
    <row r="212" ht="15.75" customHeight="1">
      <c r="A212" s="235"/>
      <c r="B212" s="235"/>
      <c r="C212" s="236"/>
      <c r="D212" s="235"/>
      <c r="E212" s="235"/>
      <c r="F212" s="235"/>
      <c r="G212" s="235"/>
      <c r="H212" s="235"/>
      <c r="I212" s="237"/>
      <c r="J212" s="237"/>
    </row>
    <row r="213" ht="15.75" customHeight="1">
      <c r="A213" s="235"/>
      <c r="B213" s="235"/>
      <c r="C213" s="236"/>
      <c r="D213" s="235"/>
      <c r="E213" s="235"/>
      <c r="F213" s="235"/>
      <c r="G213" s="235"/>
      <c r="H213" s="235"/>
      <c r="I213" s="237"/>
      <c r="J213" s="237"/>
    </row>
    <row r="214" ht="15.75" customHeight="1">
      <c r="A214" s="235"/>
      <c r="B214" s="235"/>
      <c r="C214" s="236"/>
      <c r="D214" s="235"/>
      <c r="E214" s="235"/>
      <c r="F214" s="235"/>
      <c r="G214" s="235"/>
      <c r="H214" s="235"/>
      <c r="I214" s="237"/>
      <c r="J214" s="237"/>
    </row>
    <row r="215" ht="15.75" customHeight="1">
      <c r="A215" s="235"/>
      <c r="B215" s="235"/>
      <c r="C215" s="236"/>
      <c r="D215" s="235"/>
      <c r="E215" s="235"/>
      <c r="F215" s="235"/>
      <c r="G215" s="235"/>
      <c r="H215" s="235"/>
      <c r="I215" s="237"/>
      <c r="J215" s="237"/>
    </row>
    <row r="216" ht="15.75" customHeight="1">
      <c r="A216" s="235"/>
      <c r="B216" s="235"/>
      <c r="C216" s="236"/>
      <c r="D216" s="235"/>
      <c r="E216" s="235"/>
      <c r="F216" s="235"/>
      <c r="G216" s="235"/>
      <c r="H216" s="235"/>
      <c r="I216" s="237"/>
      <c r="J216" s="237"/>
    </row>
    <row r="217" ht="15.75" customHeight="1">
      <c r="A217" s="235"/>
      <c r="B217" s="235"/>
      <c r="C217" s="236"/>
      <c r="D217" s="235"/>
      <c r="E217" s="235"/>
      <c r="F217" s="235"/>
      <c r="G217" s="235"/>
      <c r="H217" s="235"/>
      <c r="I217" s="237"/>
      <c r="J217" s="237"/>
    </row>
    <row r="218" ht="15.75" customHeight="1">
      <c r="A218" s="235"/>
      <c r="B218" s="235"/>
      <c r="C218" s="236"/>
      <c r="D218" s="235"/>
      <c r="E218" s="235"/>
      <c r="F218" s="235"/>
      <c r="G218" s="235"/>
      <c r="H218" s="235"/>
      <c r="I218" s="237"/>
      <c r="J218" s="237"/>
    </row>
    <row r="219" ht="15.75" customHeight="1">
      <c r="A219" s="235"/>
      <c r="B219" s="235"/>
      <c r="C219" s="236"/>
      <c r="D219" s="235"/>
      <c r="E219" s="235"/>
      <c r="F219" s="235"/>
      <c r="G219" s="235"/>
      <c r="H219" s="235"/>
      <c r="I219" s="237"/>
      <c r="J219" s="237"/>
    </row>
    <row r="220" ht="15.75" customHeight="1">
      <c r="A220" s="235"/>
      <c r="B220" s="235"/>
      <c r="C220" s="236"/>
      <c r="D220" s="235"/>
      <c r="E220" s="235"/>
      <c r="F220" s="235"/>
      <c r="G220" s="235"/>
      <c r="H220" s="235"/>
      <c r="I220" s="237"/>
      <c r="J220" s="237"/>
    </row>
    <row r="221" ht="15.75" customHeight="1">
      <c r="A221" s="235"/>
      <c r="B221" s="235"/>
      <c r="C221" s="236"/>
      <c r="D221" s="235"/>
      <c r="E221" s="235"/>
      <c r="F221" s="235"/>
      <c r="G221" s="235"/>
      <c r="H221" s="235"/>
      <c r="I221" s="237"/>
      <c r="J221" s="237"/>
    </row>
    <row r="222" ht="15.75" customHeight="1">
      <c r="A222" s="235"/>
      <c r="B222" s="235"/>
      <c r="C222" s="236"/>
      <c r="D222" s="235"/>
      <c r="E222" s="235"/>
      <c r="F222" s="235"/>
      <c r="G222" s="235"/>
      <c r="H222" s="235"/>
      <c r="I222" s="237"/>
      <c r="J222" s="237"/>
    </row>
    <row r="223" ht="15.75" customHeight="1">
      <c r="A223" s="235"/>
      <c r="B223" s="235"/>
      <c r="C223" s="236"/>
      <c r="D223" s="235"/>
      <c r="E223" s="235"/>
      <c r="F223" s="235"/>
      <c r="G223" s="235"/>
      <c r="H223" s="235"/>
      <c r="I223" s="237"/>
      <c r="J223" s="237"/>
    </row>
    <row r="224" ht="15.75" customHeight="1">
      <c r="A224" s="235"/>
      <c r="B224" s="235"/>
      <c r="C224" s="236"/>
      <c r="D224" s="235"/>
      <c r="E224" s="235"/>
      <c r="F224" s="235"/>
      <c r="G224" s="235"/>
      <c r="H224" s="235"/>
      <c r="I224" s="237"/>
      <c r="J224" s="237"/>
    </row>
    <row r="225" ht="15.75" customHeight="1">
      <c r="A225" s="235"/>
      <c r="B225" s="235"/>
      <c r="C225" s="236"/>
      <c r="D225" s="235"/>
      <c r="E225" s="235"/>
      <c r="F225" s="235"/>
      <c r="G225" s="235"/>
      <c r="H225" s="235"/>
      <c r="I225" s="237"/>
      <c r="J225" s="237"/>
    </row>
    <row r="226" ht="15.75" customHeight="1">
      <c r="A226" s="235"/>
      <c r="B226" s="235"/>
      <c r="C226" s="236"/>
      <c r="D226" s="235"/>
      <c r="E226" s="235"/>
      <c r="F226" s="235"/>
      <c r="G226" s="235"/>
      <c r="H226" s="235"/>
      <c r="I226" s="237"/>
      <c r="J226" s="237"/>
    </row>
    <row r="227" ht="15.75" customHeight="1">
      <c r="A227" s="235"/>
      <c r="B227" s="235"/>
      <c r="C227" s="236"/>
      <c r="D227" s="235"/>
      <c r="E227" s="235"/>
      <c r="F227" s="235"/>
      <c r="G227" s="235"/>
      <c r="H227" s="235"/>
      <c r="I227" s="237"/>
      <c r="J227" s="237"/>
    </row>
    <row r="228" ht="15.75" customHeight="1">
      <c r="A228" s="235"/>
      <c r="B228" s="235"/>
      <c r="C228" s="236"/>
      <c r="D228" s="235"/>
      <c r="E228" s="235"/>
      <c r="F228" s="235"/>
      <c r="G228" s="235"/>
      <c r="H228" s="235"/>
      <c r="I228" s="237"/>
      <c r="J228" s="237"/>
    </row>
    <row r="229" ht="15.75" customHeight="1">
      <c r="A229" s="235"/>
      <c r="B229" s="235"/>
      <c r="C229" s="236"/>
      <c r="D229" s="235"/>
      <c r="E229" s="235"/>
      <c r="F229" s="235"/>
      <c r="G229" s="235"/>
      <c r="H229" s="235"/>
      <c r="I229" s="237"/>
      <c r="J229" s="237"/>
    </row>
    <row r="230" ht="15.75" customHeight="1">
      <c r="A230" s="235"/>
      <c r="B230" s="235"/>
      <c r="C230" s="236"/>
      <c r="D230" s="235"/>
      <c r="E230" s="235"/>
      <c r="F230" s="235"/>
      <c r="G230" s="235"/>
      <c r="H230" s="235"/>
      <c r="I230" s="237"/>
      <c r="J230" s="237"/>
    </row>
    <row r="231" ht="15.75" customHeight="1">
      <c r="A231" s="235"/>
      <c r="B231" s="235"/>
      <c r="C231" s="236"/>
      <c r="D231" s="235"/>
      <c r="E231" s="235"/>
      <c r="F231" s="235"/>
      <c r="G231" s="235"/>
      <c r="H231" s="235"/>
      <c r="I231" s="237"/>
      <c r="J231" s="237"/>
    </row>
    <row r="232" ht="15.75" customHeight="1">
      <c r="A232" s="235"/>
      <c r="B232" s="235"/>
      <c r="C232" s="236"/>
      <c r="D232" s="235"/>
      <c r="E232" s="235"/>
      <c r="F232" s="235"/>
      <c r="G232" s="235"/>
      <c r="H232" s="235"/>
      <c r="I232" s="237"/>
      <c r="J232" s="237"/>
    </row>
    <row r="233" ht="15.75" customHeight="1">
      <c r="A233" s="235"/>
      <c r="B233" s="235"/>
      <c r="C233" s="236"/>
      <c r="D233" s="235"/>
      <c r="E233" s="235"/>
      <c r="F233" s="235"/>
      <c r="G233" s="235"/>
      <c r="H233" s="235"/>
      <c r="I233" s="237"/>
      <c r="J233" s="237"/>
    </row>
    <row r="234" ht="15.75" customHeight="1">
      <c r="A234" s="235"/>
      <c r="B234" s="235"/>
      <c r="C234" s="236"/>
      <c r="D234" s="235"/>
      <c r="E234" s="235"/>
      <c r="F234" s="235"/>
      <c r="G234" s="235"/>
      <c r="H234" s="235"/>
      <c r="I234" s="237"/>
      <c r="J234" s="237"/>
    </row>
    <row r="235" ht="15.75" customHeight="1">
      <c r="A235" s="235"/>
      <c r="B235" s="235"/>
      <c r="C235" s="236"/>
      <c r="D235" s="235"/>
      <c r="E235" s="235"/>
      <c r="F235" s="235"/>
      <c r="G235" s="235"/>
      <c r="H235" s="235"/>
      <c r="I235" s="237"/>
      <c r="J235" s="237"/>
    </row>
    <row r="236" ht="15.75" customHeight="1">
      <c r="A236" s="235"/>
      <c r="B236" s="235"/>
      <c r="C236" s="236"/>
      <c r="D236" s="235"/>
      <c r="E236" s="235"/>
      <c r="F236" s="235"/>
      <c r="G236" s="235"/>
      <c r="H236" s="235"/>
      <c r="I236" s="237"/>
      <c r="J236" s="237"/>
    </row>
    <row r="237" ht="15.75" customHeight="1">
      <c r="A237" s="235"/>
      <c r="B237" s="235"/>
      <c r="C237" s="236"/>
      <c r="D237" s="235"/>
      <c r="E237" s="235"/>
      <c r="F237" s="235"/>
      <c r="G237" s="235"/>
      <c r="H237" s="235"/>
      <c r="I237" s="237"/>
      <c r="J237" s="237"/>
    </row>
    <row r="238" ht="15.75" customHeight="1">
      <c r="A238" s="235"/>
      <c r="B238" s="235"/>
      <c r="C238" s="236"/>
      <c r="D238" s="235"/>
      <c r="E238" s="235"/>
      <c r="F238" s="235"/>
      <c r="G238" s="235"/>
      <c r="H238" s="235"/>
      <c r="I238" s="237"/>
      <c r="J238" s="237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4.0"/>
    <col customWidth="1" hidden="1" min="5" max="5" width="22.13"/>
    <col customWidth="1" hidden="1" min="6" max="6" width="25.63"/>
    <col customWidth="1" min="7" max="7" width="16.75"/>
    <col customWidth="1" hidden="1" min="8" max="8" width="20.0"/>
    <col customWidth="1" min="9" max="9" width="15.38"/>
  </cols>
  <sheetData>
    <row r="1" ht="15.75" customHeight="1">
      <c r="A1" s="241" t="s">
        <v>111</v>
      </c>
      <c r="B1" s="241" t="s">
        <v>112</v>
      </c>
      <c r="C1" s="242" t="s">
        <v>113</v>
      </c>
      <c r="D1" s="241" t="s">
        <v>114</v>
      </c>
      <c r="E1" s="241" t="s">
        <v>115</v>
      </c>
      <c r="F1" s="241" t="s">
        <v>116</v>
      </c>
      <c r="G1" s="241" t="s">
        <v>117</v>
      </c>
      <c r="H1" s="241" t="s">
        <v>118</v>
      </c>
      <c r="I1" s="243" t="s">
        <v>64</v>
      </c>
      <c r="J1" s="244" t="s">
        <v>36</v>
      </c>
    </row>
    <row r="2" ht="15.75" customHeight="1">
      <c r="A2" s="229">
        <v>44410.0</v>
      </c>
      <c r="B2" s="162"/>
      <c r="C2" s="158"/>
      <c r="D2" s="163"/>
      <c r="E2" s="163"/>
      <c r="F2" s="158"/>
      <c r="G2" s="163"/>
      <c r="H2" s="158"/>
      <c r="I2" s="245" t="str">
        <f t="shared" ref="I2:I36" si="1">J2/G2</f>
        <v>#DIV/0!</v>
      </c>
      <c r="J2" s="246"/>
    </row>
    <row r="3" ht="15.75" customHeight="1">
      <c r="A3" s="229">
        <v>44411.0</v>
      </c>
      <c r="B3" s="162"/>
      <c r="C3" s="158"/>
      <c r="D3" s="162"/>
      <c r="E3" s="163"/>
      <c r="F3" s="158"/>
      <c r="G3" s="163"/>
      <c r="H3" s="158"/>
      <c r="I3" s="245" t="str">
        <f t="shared" si="1"/>
        <v>#DIV/0!</v>
      </c>
      <c r="J3" s="246"/>
    </row>
    <row r="4" ht="15.75" customHeight="1">
      <c r="A4" s="229">
        <v>44412.0</v>
      </c>
      <c r="B4" s="162"/>
      <c r="C4" s="158"/>
      <c r="D4" s="162"/>
      <c r="E4" s="163"/>
      <c r="F4" s="158"/>
      <c r="G4" s="162"/>
      <c r="H4" s="158"/>
      <c r="I4" s="245" t="str">
        <f t="shared" si="1"/>
        <v>#DIV/0!</v>
      </c>
      <c r="J4" s="246"/>
    </row>
    <row r="5" ht="15.75" customHeight="1">
      <c r="A5" s="229">
        <v>44413.0</v>
      </c>
      <c r="B5" s="162"/>
      <c r="C5" s="158"/>
      <c r="D5" s="162"/>
      <c r="E5" s="163"/>
      <c r="F5" s="158"/>
      <c r="G5" s="162"/>
      <c r="H5" s="158"/>
      <c r="I5" s="245" t="str">
        <f t="shared" si="1"/>
        <v>#DIV/0!</v>
      </c>
      <c r="J5" s="246"/>
    </row>
    <row r="6" ht="15.75" customHeight="1">
      <c r="A6" s="229">
        <v>44414.0</v>
      </c>
      <c r="B6" s="162"/>
      <c r="C6" s="158"/>
      <c r="D6" s="162"/>
      <c r="E6" s="163"/>
      <c r="F6" s="158"/>
      <c r="G6" s="162"/>
      <c r="H6" s="158"/>
      <c r="I6" s="245" t="str">
        <f t="shared" si="1"/>
        <v>#DIV/0!</v>
      </c>
      <c r="J6" s="246"/>
    </row>
    <row r="7" ht="15.75" customHeight="1">
      <c r="A7" s="229">
        <v>44415.0</v>
      </c>
      <c r="B7" s="162"/>
      <c r="C7" s="158"/>
      <c r="D7" s="162"/>
      <c r="E7" s="163"/>
      <c r="F7" s="158"/>
      <c r="G7" s="162"/>
      <c r="H7" s="158"/>
      <c r="I7" s="245" t="str">
        <f t="shared" si="1"/>
        <v>#DIV/0!</v>
      </c>
      <c r="J7" s="246"/>
    </row>
    <row r="8" ht="15.75" customHeight="1">
      <c r="A8" s="229">
        <v>44416.0</v>
      </c>
      <c r="B8" s="162"/>
      <c r="C8" s="158"/>
      <c r="D8" s="162"/>
      <c r="E8" s="163"/>
      <c r="F8" s="158"/>
      <c r="G8" s="162"/>
      <c r="H8" s="158"/>
      <c r="I8" s="245" t="str">
        <f t="shared" si="1"/>
        <v>#DIV/0!</v>
      </c>
      <c r="J8" s="246"/>
    </row>
    <row r="9" ht="15.75" customHeight="1">
      <c r="A9" s="229">
        <v>44417.0</v>
      </c>
      <c r="B9" s="247"/>
      <c r="C9" s="248"/>
      <c r="D9" s="162"/>
      <c r="E9" s="163"/>
      <c r="F9" s="158"/>
      <c r="G9" s="163"/>
      <c r="H9" s="158" t="str">
        <f t="shared" ref="H9:H21" si="2">G9/E9</f>
        <v>#DIV/0!</v>
      </c>
      <c r="I9" s="245" t="str">
        <f t="shared" si="1"/>
        <v>#DIV/0!</v>
      </c>
      <c r="J9" s="246"/>
    </row>
    <row r="10" ht="15.75" customHeight="1">
      <c r="A10" s="229">
        <v>44418.0</v>
      </c>
      <c r="B10" s="162"/>
      <c r="C10" s="158"/>
      <c r="D10" s="162"/>
      <c r="E10" s="163"/>
      <c r="F10" s="158"/>
      <c r="G10" s="162"/>
      <c r="H10" s="158" t="str">
        <f t="shared" si="2"/>
        <v>#DIV/0!</v>
      </c>
      <c r="I10" s="245" t="str">
        <f t="shared" si="1"/>
        <v>#DIV/0!</v>
      </c>
      <c r="J10" s="249"/>
    </row>
    <row r="11" ht="15.75" customHeight="1">
      <c r="A11" s="229">
        <v>44419.0</v>
      </c>
      <c r="B11" s="247"/>
      <c r="C11" s="248"/>
      <c r="D11" s="163"/>
      <c r="E11" s="163"/>
      <c r="F11" s="158"/>
      <c r="G11" s="163"/>
      <c r="H11" s="158" t="str">
        <f t="shared" si="2"/>
        <v>#DIV/0!</v>
      </c>
      <c r="I11" s="245" t="str">
        <f t="shared" si="1"/>
        <v>#DIV/0!</v>
      </c>
      <c r="J11" s="249"/>
    </row>
    <row r="12" ht="15.75" customHeight="1">
      <c r="A12" s="229">
        <v>44420.0</v>
      </c>
      <c r="B12" s="162"/>
      <c r="C12" s="158"/>
      <c r="D12" s="162"/>
      <c r="E12" s="163"/>
      <c r="F12" s="158"/>
      <c r="G12" s="162"/>
      <c r="H12" s="158" t="str">
        <f t="shared" si="2"/>
        <v>#DIV/0!</v>
      </c>
      <c r="I12" s="245" t="str">
        <f t="shared" si="1"/>
        <v>#DIV/0!</v>
      </c>
      <c r="J12" s="249"/>
    </row>
    <row r="13" ht="15.75" customHeight="1">
      <c r="A13" s="229">
        <v>44421.0</v>
      </c>
      <c r="B13" s="162"/>
      <c r="C13" s="158"/>
      <c r="D13" s="162"/>
      <c r="E13" s="163"/>
      <c r="F13" s="158"/>
      <c r="G13" s="162"/>
      <c r="H13" s="158" t="str">
        <f t="shared" si="2"/>
        <v>#DIV/0!</v>
      </c>
      <c r="I13" s="245" t="str">
        <f t="shared" si="1"/>
        <v>#DIV/0!</v>
      </c>
      <c r="J13" s="249"/>
    </row>
    <row r="14" ht="15.75" customHeight="1">
      <c r="A14" s="229">
        <v>44422.0</v>
      </c>
      <c r="B14" s="162"/>
      <c r="C14" s="158"/>
      <c r="D14" s="162"/>
      <c r="E14" s="163"/>
      <c r="F14" s="158"/>
      <c r="G14" s="162"/>
      <c r="H14" s="158" t="str">
        <f t="shared" si="2"/>
        <v>#DIV/0!</v>
      </c>
      <c r="I14" s="245" t="str">
        <f t="shared" si="1"/>
        <v>#DIV/0!</v>
      </c>
      <c r="J14" s="249"/>
    </row>
    <row r="15" ht="15.75" customHeight="1">
      <c r="A15" s="229">
        <v>44423.0</v>
      </c>
      <c r="B15" s="162"/>
      <c r="C15" s="158"/>
      <c r="D15" s="162"/>
      <c r="E15" s="163"/>
      <c r="F15" s="158"/>
      <c r="G15" s="162"/>
      <c r="H15" s="158" t="str">
        <f t="shared" si="2"/>
        <v>#DIV/0!</v>
      </c>
      <c r="I15" s="245" t="str">
        <f t="shared" si="1"/>
        <v>#DIV/0!</v>
      </c>
      <c r="J15" s="249"/>
    </row>
    <row r="16" ht="15.75" customHeight="1">
      <c r="A16" s="229">
        <v>44424.0</v>
      </c>
      <c r="B16" s="162"/>
      <c r="C16" s="158"/>
      <c r="D16" s="162"/>
      <c r="E16" s="163"/>
      <c r="F16" s="158"/>
      <c r="G16" s="162"/>
      <c r="H16" s="158" t="str">
        <f t="shared" si="2"/>
        <v>#DIV/0!</v>
      </c>
      <c r="I16" s="245" t="str">
        <f t="shared" si="1"/>
        <v>#DIV/0!</v>
      </c>
      <c r="J16" s="249"/>
    </row>
    <row r="17" ht="15.75" customHeight="1">
      <c r="A17" s="229">
        <v>44425.0</v>
      </c>
      <c r="B17" s="162"/>
      <c r="C17" s="158"/>
      <c r="D17" s="162"/>
      <c r="E17" s="163"/>
      <c r="F17" s="158"/>
      <c r="G17" s="162"/>
      <c r="H17" s="158" t="str">
        <f t="shared" si="2"/>
        <v>#DIV/0!</v>
      </c>
      <c r="I17" s="245" t="str">
        <f t="shared" si="1"/>
        <v>#DIV/0!</v>
      </c>
      <c r="J17" s="249"/>
    </row>
    <row r="18" ht="15.75" customHeight="1">
      <c r="A18" s="229">
        <v>44426.0</v>
      </c>
      <c r="B18" s="162"/>
      <c r="C18" s="158"/>
      <c r="D18" s="162"/>
      <c r="E18" s="163"/>
      <c r="F18" s="158"/>
      <c r="G18" s="162"/>
      <c r="H18" s="158" t="str">
        <f t="shared" si="2"/>
        <v>#DIV/0!</v>
      </c>
      <c r="I18" s="245" t="str">
        <f t="shared" si="1"/>
        <v>#DIV/0!</v>
      </c>
      <c r="J18" s="249"/>
    </row>
    <row r="19" ht="15.75" customHeight="1">
      <c r="A19" s="229">
        <v>44427.0</v>
      </c>
      <c r="B19" s="162"/>
      <c r="C19" s="158"/>
      <c r="D19" s="162"/>
      <c r="E19" s="163"/>
      <c r="F19" s="158"/>
      <c r="G19" s="162"/>
      <c r="H19" s="158" t="str">
        <f t="shared" si="2"/>
        <v>#DIV/0!</v>
      </c>
      <c r="I19" s="245" t="str">
        <f t="shared" si="1"/>
        <v>#DIV/0!</v>
      </c>
      <c r="J19" s="249"/>
    </row>
    <row r="20" ht="15.75" customHeight="1">
      <c r="A20" s="229">
        <v>44428.0</v>
      </c>
      <c r="B20" s="162"/>
      <c r="C20" s="158"/>
      <c r="D20" s="162"/>
      <c r="E20" s="163"/>
      <c r="F20" s="158"/>
      <c r="G20" s="162"/>
      <c r="H20" s="158" t="str">
        <f t="shared" si="2"/>
        <v>#DIV/0!</v>
      </c>
      <c r="I20" s="245" t="str">
        <f t="shared" si="1"/>
        <v>#DIV/0!</v>
      </c>
      <c r="J20" s="249"/>
    </row>
    <row r="21" ht="15.75" customHeight="1">
      <c r="A21" s="229">
        <v>44429.0</v>
      </c>
      <c r="B21" s="162"/>
      <c r="C21" s="158"/>
      <c r="D21" s="162"/>
      <c r="E21" s="163"/>
      <c r="F21" s="158"/>
      <c r="G21" s="162"/>
      <c r="H21" s="158" t="str">
        <f t="shared" si="2"/>
        <v>#DIV/0!</v>
      </c>
      <c r="I21" s="245" t="str">
        <f t="shared" si="1"/>
        <v>#DIV/0!</v>
      </c>
      <c r="J21" s="249"/>
    </row>
    <row r="22" ht="15.75" customHeight="1">
      <c r="A22" s="229">
        <v>44430.0</v>
      </c>
      <c r="B22" s="247"/>
      <c r="C22" s="248"/>
      <c r="D22" s="162"/>
      <c r="E22" s="163"/>
      <c r="F22" s="163"/>
      <c r="G22" s="162"/>
      <c r="H22" s="163"/>
      <c r="I22" s="245" t="str">
        <f t="shared" si="1"/>
        <v>#DIV/0!</v>
      </c>
      <c r="J22" s="250"/>
    </row>
    <row r="23" ht="15.75" customHeight="1">
      <c r="A23" s="229">
        <v>44431.0</v>
      </c>
      <c r="B23" s="162"/>
      <c r="C23" s="158"/>
      <c r="D23" s="162"/>
      <c r="E23" s="163"/>
      <c r="F23" s="163"/>
      <c r="G23" s="162"/>
      <c r="H23" s="163"/>
      <c r="I23" s="245" t="str">
        <f t="shared" si="1"/>
        <v>#DIV/0!</v>
      </c>
      <c r="J23" s="249"/>
    </row>
    <row r="24" ht="15.75" customHeight="1">
      <c r="A24" s="229">
        <v>44432.0</v>
      </c>
      <c r="B24" s="162"/>
      <c r="C24" s="158"/>
      <c r="D24" s="162"/>
      <c r="E24" s="163"/>
      <c r="F24" s="163"/>
      <c r="G24" s="162"/>
      <c r="H24" s="163"/>
      <c r="I24" s="245" t="str">
        <f t="shared" si="1"/>
        <v>#DIV/0!</v>
      </c>
      <c r="J24" s="249"/>
    </row>
    <row r="25" ht="15.75" customHeight="1">
      <c r="A25" s="229">
        <v>44433.0</v>
      </c>
      <c r="B25" s="162"/>
      <c r="C25" s="158"/>
      <c r="D25" s="162"/>
      <c r="E25" s="163"/>
      <c r="F25" s="163"/>
      <c r="G25" s="162"/>
      <c r="H25" s="163"/>
      <c r="I25" s="245" t="str">
        <f t="shared" si="1"/>
        <v>#DIV/0!</v>
      </c>
      <c r="J25" s="249"/>
    </row>
    <row r="26" ht="15.75" customHeight="1">
      <c r="A26" s="229">
        <v>44434.0</v>
      </c>
      <c r="B26" s="163"/>
      <c r="C26" s="158"/>
      <c r="D26" s="163"/>
      <c r="E26" s="163"/>
      <c r="F26" s="163"/>
      <c r="G26" s="163"/>
      <c r="H26" s="163"/>
      <c r="I26" s="245" t="str">
        <f t="shared" si="1"/>
        <v>#DIV/0!</v>
      </c>
      <c r="J26" s="249"/>
    </row>
    <row r="27" ht="15.75" customHeight="1">
      <c r="A27" s="229">
        <v>44435.0</v>
      </c>
      <c r="B27" s="251"/>
      <c r="C27" s="248"/>
      <c r="D27" s="163"/>
      <c r="E27" s="163"/>
      <c r="F27" s="163"/>
      <c r="G27" s="163"/>
      <c r="H27" s="163"/>
      <c r="I27" s="245" t="str">
        <f t="shared" si="1"/>
        <v>#DIV/0!</v>
      </c>
      <c r="J27" s="249"/>
    </row>
    <row r="28" ht="15.75" customHeight="1">
      <c r="A28" s="229">
        <v>44436.0</v>
      </c>
      <c r="B28" s="163"/>
      <c r="C28" s="158"/>
      <c r="D28" s="163"/>
      <c r="E28" s="163"/>
      <c r="F28" s="163"/>
      <c r="G28" s="163"/>
      <c r="H28" s="163"/>
      <c r="I28" s="245" t="str">
        <f t="shared" si="1"/>
        <v>#DIV/0!</v>
      </c>
      <c r="J28" s="249"/>
    </row>
    <row r="29" ht="15.75" customHeight="1">
      <c r="A29" s="229">
        <v>44437.0</v>
      </c>
      <c r="B29" s="163"/>
      <c r="C29" s="158"/>
      <c r="D29" s="163"/>
      <c r="E29" s="163"/>
      <c r="F29" s="163"/>
      <c r="G29" s="163"/>
      <c r="H29" s="163"/>
      <c r="I29" s="245" t="str">
        <f t="shared" si="1"/>
        <v>#DIV/0!</v>
      </c>
      <c r="J29" s="249"/>
    </row>
    <row r="30" ht="15.75" customHeight="1">
      <c r="A30" s="229">
        <v>44438.0</v>
      </c>
      <c r="B30" s="163"/>
      <c r="C30" s="158"/>
      <c r="D30" s="163"/>
      <c r="E30" s="163"/>
      <c r="F30" s="163"/>
      <c r="G30" s="163"/>
      <c r="H30" s="163"/>
      <c r="I30" s="245" t="str">
        <f t="shared" si="1"/>
        <v>#DIV/0!</v>
      </c>
      <c r="J30" s="249"/>
    </row>
    <row r="31" ht="15.75" customHeight="1">
      <c r="A31" s="229">
        <v>44439.0</v>
      </c>
      <c r="B31" s="163"/>
      <c r="C31" s="158"/>
      <c r="D31" s="163"/>
      <c r="E31" s="163"/>
      <c r="F31" s="163"/>
      <c r="G31" s="163"/>
      <c r="H31" s="163"/>
      <c r="I31" s="245" t="str">
        <f t="shared" si="1"/>
        <v>#DIV/0!</v>
      </c>
      <c r="J31" s="249"/>
    </row>
    <row r="32" ht="15.75" customHeight="1">
      <c r="A32" s="229">
        <v>44440.0</v>
      </c>
      <c r="B32" s="163"/>
      <c r="C32" s="158"/>
      <c r="D32" s="163"/>
      <c r="E32" s="163"/>
      <c r="F32" s="163"/>
      <c r="G32" s="163"/>
      <c r="H32" s="163"/>
      <c r="I32" s="245" t="str">
        <f t="shared" si="1"/>
        <v>#DIV/0!</v>
      </c>
      <c r="J32" s="249"/>
    </row>
    <row r="33" ht="15.75" customHeight="1">
      <c r="A33" s="229">
        <v>44441.0</v>
      </c>
      <c r="B33" s="163"/>
      <c r="C33" s="158"/>
      <c r="D33" s="163"/>
      <c r="E33" s="163"/>
      <c r="F33" s="163"/>
      <c r="G33" s="163"/>
      <c r="H33" s="163"/>
      <c r="I33" s="245" t="str">
        <f t="shared" si="1"/>
        <v>#DIV/0!</v>
      </c>
      <c r="J33" s="249"/>
      <c r="K33" s="48" t="s">
        <v>126</v>
      </c>
    </row>
    <row r="34" ht="15.75" customHeight="1">
      <c r="A34" s="229">
        <v>44442.0</v>
      </c>
      <c r="B34" s="163"/>
      <c r="C34" s="158"/>
      <c r="D34" s="163"/>
      <c r="E34" s="163"/>
      <c r="F34" s="163"/>
      <c r="G34" s="163"/>
      <c r="H34" s="163"/>
      <c r="I34" s="245" t="str">
        <f t="shared" si="1"/>
        <v>#DIV/0!</v>
      </c>
      <c r="J34" s="249"/>
    </row>
    <row r="35" ht="15.75" customHeight="1">
      <c r="A35" s="229">
        <v>44443.0</v>
      </c>
      <c r="B35" s="163"/>
      <c r="C35" s="158"/>
      <c r="D35" s="163"/>
      <c r="E35" s="163"/>
      <c r="F35" s="163"/>
      <c r="G35" s="163"/>
      <c r="H35" s="163"/>
      <c r="I35" s="245" t="str">
        <f t="shared" si="1"/>
        <v>#DIV/0!</v>
      </c>
      <c r="J35" s="249"/>
    </row>
    <row r="36" ht="15.75" customHeight="1">
      <c r="A36" s="229">
        <v>44444.0</v>
      </c>
      <c r="B36" s="163"/>
      <c r="C36" s="158"/>
      <c r="D36" s="163"/>
      <c r="E36" s="163"/>
      <c r="F36" s="163"/>
      <c r="G36" s="163"/>
      <c r="H36" s="163"/>
      <c r="I36" s="245" t="str">
        <f t="shared" si="1"/>
        <v>#DIV/0!</v>
      </c>
      <c r="J36" s="249"/>
    </row>
    <row r="37" ht="15.75" customHeight="1">
      <c r="A37" s="232" t="s">
        <v>119</v>
      </c>
      <c r="B37" s="162" t="str">
        <f t="shared" ref="B37:G37" si="3">AVERAGE(B2:B36)</f>
        <v>#DIV/0!</v>
      </c>
      <c r="C37" s="158" t="str">
        <f t="shared" si="3"/>
        <v>#DIV/0!</v>
      </c>
      <c r="D37" s="163" t="str">
        <f t="shared" si="3"/>
        <v>#DIV/0!</v>
      </c>
      <c r="E37" s="163" t="str">
        <f t="shared" si="3"/>
        <v>#DIV/0!</v>
      </c>
      <c r="F37" s="158" t="str">
        <f t="shared" si="3"/>
        <v>#DIV/0!</v>
      </c>
      <c r="G37" s="163" t="str">
        <f t="shared" si="3"/>
        <v>#DIV/0!</v>
      </c>
      <c r="H37" s="163"/>
      <c r="I37" s="245"/>
      <c r="J37" s="249"/>
    </row>
    <row r="38" ht="15.75" customHeight="1">
      <c r="A38" s="252" t="s">
        <v>39</v>
      </c>
      <c r="B38" s="157">
        <f>SUM(B2:B36)</f>
        <v>0</v>
      </c>
      <c r="C38" s="158"/>
      <c r="D38" s="163">
        <f>SUM(D2:D36)</f>
        <v>0</v>
      </c>
      <c r="E38" s="163" t="str">
        <f t="shared" ref="E38:F38" si="4">AVERAGE(E9:E27)</f>
        <v>#DIV/0!</v>
      </c>
      <c r="F38" s="158" t="str">
        <f t="shared" si="4"/>
        <v>#DIV/0!</v>
      </c>
      <c r="G38" s="163">
        <f>SUM(G2:G36)</f>
        <v>0</v>
      </c>
      <c r="H38" s="163" t="str">
        <f>AVERAGE(H9:H27)</f>
        <v>#DIV/0!</v>
      </c>
      <c r="I38" s="245" t="str">
        <f>J38/G38</f>
        <v>#DIV/0!</v>
      </c>
      <c r="J38" s="249">
        <f>SUM(J2:J36)</f>
        <v>0</v>
      </c>
    </row>
    <row r="39" ht="15.75" customHeight="1">
      <c r="A39" s="253"/>
      <c r="B39" s="191"/>
      <c r="C39" s="254"/>
      <c r="I39" s="122"/>
      <c r="J39" s="255"/>
    </row>
    <row r="40" ht="15.75" customHeight="1">
      <c r="A40" s="253"/>
      <c r="B40" s="191"/>
      <c r="C40" s="254"/>
      <c r="I40" s="122"/>
      <c r="J40" s="255"/>
    </row>
    <row r="41" ht="15.75" customHeight="1">
      <c r="A41" s="253"/>
      <c r="B41" s="191"/>
      <c r="C41" s="254"/>
      <c r="I41" s="122"/>
      <c r="J41" s="255"/>
    </row>
    <row r="42" ht="15.75" customHeight="1">
      <c r="A42" s="253"/>
      <c r="B42" s="191"/>
      <c r="C42" s="254"/>
      <c r="I42" s="122"/>
      <c r="J42" s="255"/>
    </row>
    <row r="43" ht="15.75" customHeight="1">
      <c r="A43" s="253"/>
      <c r="B43" s="191"/>
      <c r="C43" s="254"/>
      <c r="I43" s="122"/>
      <c r="J43" s="255"/>
    </row>
    <row r="44" ht="15.75" customHeight="1">
      <c r="A44" s="253"/>
      <c r="B44" s="191"/>
      <c r="C44" s="254"/>
      <c r="I44" s="122"/>
      <c r="J44" s="255"/>
    </row>
    <row r="45" ht="15.75" customHeight="1">
      <c r="A45" s="253"/>
      <c r="B45" s="191"/>
      <c r="C45" s="254"/>
      <c r="I45" s="122"/>
      <c r="J45" s="255"/>
    </row>
    <row r="46" ht="15.75" customHeight="1">
      <c r="A46" s="253"/>
      <c r="B46" s="191"/>
      <c r="C46" s="254"/>
      <c r="I46" s="122"/>
      <c r="J46" s="255"/>
    </row>
    <row r="47" ht="15.75" customHeight="1">
      <c r="A47" s="253"/>
      <c r="B47" s="191"/>
      <c r="C47" s="254"/>
      <c r="I47" s="122"/>
      <c r="J47" s="255"/>
    </row>
    <row r="48" ht="15.75" customHeight="1">
      <c r="A48" s="253"/>
      <c r="B48" s="191"/>
      <c r="C48" s="254"/>
      <c r="I48" s="122"/>
      <c r="J48" s="255"/>
    </row>
    <row r="49" ht="15.75" customHeight="1">
      <c r="A49" s="253"/>
      <c r="B49" s="191"/>
      <c r="C49" s="254"/>
      <c r="I49" s="122"/>
      <c r="J49" s="255"/>
    </row>
    <row r="50" ht="15.75" customHeight="1">
      <c r="A50" s="253"/>
      <c r="B50" s="191"/>
      <c r="C50" s="254"/>
      <c r="I50" s="122"/>
      <c r="J50" s="255"/>
    </row>
    <row r="51" ht="15.75" customHeight="1">
      <c r="A51" s="253"/>
      <c r="B51" s="191"/>
      <c r="C51" s="254"/>
      <c r="I51" s="122"/>
      <c r="J51" s="255"/>
    </row>
    <row r="52" ht="15.75" customHeight="1">
      <c r="A52" s="253"/>
      <c r="B52" s="191"/>
      <c r="C52" s="254"/>
      <c r="I52" s="122"/>
      <c r="J52" s="255"/>
    </row>
    <row r="53" ht="15.75" customHeight="1">
      <c r="A53" s="253"/>
      <c r="B53" s="191"/>
      <c r="C53" s="254"/>
      <c r="I53" s="122"/>
      <c r="J53" s="255"/>
    </row>
    <row r="54" ht="15.75" customHeight="1">
      <c r="A54" s="253"/>
      <c r="B54" s="191"/>
      <c r="C54" s="254"/>
      <c r="I54" s="122"/>
      <c r="J54" s="255"/>
    </row>
    <row r="55" ht="15.75" customHeight="1">
      <c r="A55" s="253"/>
      <c r="B55" s="191"/>
      <c r="C55" s="254"/>
      <c r="I55" s="122"/>
      <c r="J55" s="255"/>
    </row>
    <row r="56" ht="15.75" customHeight="1">
      <c r="A56" s="253"/>
      <c r="B56" s="191"/>
      <c r="C56" s="254"/>
      <c r="I56" s="122"/>
      <c r="J56" s="255"/>
    </row>
    <row r="57" ht="15.75" customHeight="1">
      <c r="A57" s="253"/>
      <c r="B57" s="191"/>
      <c r="C57" s="254"/>
      <c r="I57" s="122"/>
      <c r="J57" s="255"/>
    </row>
    <row r="58" ht="15.75" customHeight="1">
      <c r="A58" s="253"/>
      <c r="B58" s="191"/>
      <c r="C58" s="254"/>
      <c r="I58" s="122"/>
      <c r="J58" s="255"/>
    </row>
    <row r="59" ht="15.75" customHeight="1">
      <c r="A59" s="253"/>
      <c r="B59" s="191"/>
      <c r="C59" s="254"/>
      <c r="I59" s="122"/>
      <c r="J59" s="255"/>
    </row>
    <row r="60" ht="15.75" customHeight="1">
      <c r="A60" s="253"/>
      <c r="B60" s="191"/>
      <c r="C60" s="254"/>
      <c r="I60" s="122"/>
      <c r="J60" s="255"/>
    </row>
    <row r="61" ht="15.75" customHeight="1">
      <c r="A61" s="253"/>
      <c r="B61" s="191"/>
      <c r="C61" s="254"/>
      <c r="I61" s="122"/>
      <c r="J61" s="255"/>
    </row>
    <row r="62" ht="15.75" customHeight="1">
      <c r="A62" s="253"/>
      <c r="B62" s="191"/>
      <c r="C62" s="254"/>
      <c r="I62" s="122"/>
      <c r="J62" s="255"/>
    </row>
    <row r="63" ht="15.75" customHeight="1">
      <c r="A63" s="253"/>
      <c r="B63" s="191"/>
      <c r="C63" s="254"/>
      <c r="I63" s="122"/>
      <c r="J63" s="255"/>
    </row>
    <row r="64" ht="15.75" customHeight="1">
      <c r="A64" s="253"/>
      <c r="B64" s="191"/>
      <c r="C64" s="254"/>
      <c r="I64" s="122"/>
      <c r="J64" s="255"/>
    </row>
    <row r="65" ht="15.75" customHeight="1">
      <c r="A65" s="253"/>
      <c r="B65" s="191"/>
      <c r="C65" s="254"/>
      <c r="I65" s="122"/>
      <c r="J65" s="255"/>
    </row>
    <row r="66" ht="15.75" customHeight="1">
      <c r="A66" s="253"/>
      <c r="B66" s="191"/>
      <c r="C66" s="254"/>
      <c r="I66" s="122"/>
      <c r="J66" s="255"/>
    </row>
    <row r="67" ht="15.75" customHeight="1">
      <c r="A67" s="253"/>
      <c r="B67" s="191"/>
      <c r="C67" s="254"/>
      <c r="I67" s="122"/>
      <c r="J67" s="255"/>
    </row>
    <row r="68" ht="15.75" customHeight="1">
      <c r="A68" s="253"/>
      <c r="B68" s="191"/>
      <c r="C68" s="254"/>
      <c r="I68" s="122"/>
      <c r="J68" s="255"/>
    </row>
    <row r="69" ht="15.75" customHeight="1">
      <c r="A69" s="253"/>
      <c r="B69" s="191"/>
      <c r="C69" s="254"/>
      <c r="I69" s="122"/>
      <c r="J69" s="255"/>
    </row>
    <row r="70" ht="15.75" customHeight="1">
      <c r="A70" s="253"/>
      <c r="B70" s="191"/>
      <c r="C70" s="254"/>
      <c r="I70" s="122"/>
      <c r="J70" s="255"/>
    </row>
    <row r="71" ht="15.75" customHeight="1">
      <c r="A71" s="253"/>
      <c r="B71" s="191"/>
      <c r="C71" s="254"/>
      <c r="I71" s="122"/>
      <c r="J71" s="255"/>
    </row>
    <row r="72" ht="15.75" customHeight="1">
      <c r="A72" s="253"/>
      <c r="B72" s="191"/>
      <c r="C72" s="254"/>
      <c r="I72" s="122"/>
      <c r="J72" s="255"/>
    </row>
    <row r="73" ht="15.75" customHeight="1">
      <c r="A73" s="253"/>
      <c r="B73" s="191"/>
      <c r="C73" s="254"/>
      <c r="I73" s="122"/>
      <c r="J73" s="255"/>
    </row>
    <row r="74" ht="15.75" customHeight="1">
      <c r="A74" s="253"/>
      <c r="B74" s="191"/>
      <c r="C74" s="254"/>
      <c r="I74" s="122"/>
      <c r="J74" s="255"/>
    </row>
    <row r="75" ht="15.75" customHeight="1">
      <c r="A75" s="253"/>
      <c r="B75" s="191"/>
      <c r="C75" s="254"/>
      <c r="I75" s="122"/>
      <c r="J75" s="255"/>
    </row>
    <row r="76" ht="15.75" customHeight="1">
      <c r="A76" s="253"/>
      <c r="B76" s="191"/>
      <c r="C76" s="254"/>
      <c r="I76" s="122"/>
      <c r="J76" s="255"/>
    </row>
    <row r="77" ht="15.75" customHeight="1">
      <c r="A77" s="253"/>
      <c r="B77" s="191"/>
      <c r="C77" s="254"/>
      <c r="I77" s="122"/>
      <c r="J77" s="255"/>
    </row>
    <row r="78" ht="15.75" customHeight="1">
      <c r="A78" s="253"/>
      <c r="B78" s="191"/>
      <c r="C78" s="254"/>
      <c r="I78" s="122"/>
      <c r="J78" s="255"/>
    </row>
    <row r="79" ht="15.75" customHeight="1">
      <c r="A79" s="253"/>
      <c r="B79" s="191"/>
      <c r="C79" s="254"/>
      <c r="I79" s="122"/>
      <c r="J79" s="255"/>
    </row>
    <row r="80" ht="15.75" customHeight="1">
      <c r="A80" s="253"/>
      <c r="B80" s="191"/>
      <c r="C80" s="254"/>
      <c r="I80" s="122"/>
      <c r="J80" s="255"/>
    </row>
    <row r="81" ht="15.75" customHeight="1">
      <c r="A81" s="253"/>
      <c r="B81" s="191"/>
      <c r="C81" s="254"/>
      <c r="I81" s="122"/>
      <c r="J81" s="255"/>
    </row>
    <row r="82" ht="15.75" customHeight="1">
      <c r="A82" s="253"/>
      <c r="B82" s="191"/>
      <c r="C82" s="254"/>
      <c r="I82" s="122"/>
      <c r="J82" s="255"/>
    </row>
    <row r="83" ht="15.75" customHeight="1">
      <c r="A83" s="253"/>
      <c r="B83" s="191"/>
      <c r="C83" s="254"/>
      <c r="I83" s="122"/>
      <c r="J83" s="255"/>
    </row>
    <row r="84" ht="15.75" customHeight="1">
      <c r="A84" s="253"/>
      <c r="B84" s="191"/>
      <c r="C84" s="254"/>
      <c r="I84" s="122"/>
      <c r="J84" s="255"/>
    </row>
    <row r="85" ht="15.75" customHeight="1">
      <c r="A85" s="253"/>
      <c r="B85" s="191"/>
      <c r="C85" s="254"/>
      <c r="I85" s="122"/>
      <c r="J85" s="255"/>
    </row>
    <row r="86" ht="15.75" customHeight="1">
      <c r="A86" s="253"/>
      <c r="B86" s="191"/>
      <c r="C86" s="254"/>
      <c r="I86" s="122"/>
      <c r="J86" s="255"/>
    </row>
    <row r="87" ht="15.75" customHeight="1">
      <c r="A87" s="253"/>
      <c r="B87" s="191"/>
      <c r="C87" s="254"/>
      <c r="I87" s="122"/>
      <c r="J87" s="255"/>
    </row>
    <row r="88" ht="15.75" customHeight="1">
      <c r="A88" s="253"/>
      <c r="B88" s="191"/>
      <c r="C88" s="254"/>
      <c r="I88" s="122"/>
      <c r="J88" s="255"/>
    </row>
    <row r="89" ht="15.75" customHeight="1">
      <c r="A89" s="253"/>
      <c r="B89" s="191"/>
      <c r="C89" s="254"/>
      <c r="I89" s="122"/>
      <c r="J89" s="255"/>
    </row>
    <row r="90" ht="15.75" customHeight="1">
      <c r="A90" s="253"/>
      <c r="B90" s="191"/>
      <c r="C90" s="254"/>
      <c r="I90" s="122"/>
      <c r="J90" s="255"/>
    </row>
    <row r="91" ht="15.75" customHeight="1">
      <c r="A91" s="253"/>
      <c r="B91" s="191"/>
      <c r="C91" s="254"/>
      <c r="I91" s="122"/>
      <c r="J91" s="255"/>
    </row>
    <row r="92" ht="15.75" customHeight="1">
      <c r="A92" s="253"/>
      <c r="B92" s="191"/>
      <c r="C92" s="254"/>
      <c r="I92" s="122"/>
      <c r="J92" s="255"/>
    </row>
    <row r="93" ht="15.75" customHeight="1">
      <c r="A93" s="253"/>
      <c r="B93" s="191"/>
      <c r="C93" s="254"/>
      <c r="I93" s="122"/>
      <c r="J93" s="255"/>
    </row>
    <row r="94" ht="15.75" customHeight="1">
      <c r="A94" s="253"/>
      <c r="B94" s="191"/>
      <c r="C94" s="254"/>
      <c r="I94" s="122"/>
      <c r="J94" s="255"/>
    </row>
    <row r="95" ht="15.75" customHeight="1">
      <c r="A95" s="253"/>
      <c r="B95" s="191"/>
      <c r="C95" s="254"/>
      <c r="I95" s="122"/>
      <c r="J95" s="255"/>
    </row>
    <row r="96" ht="15.75" customHeight="1">
      <c r="A96" s="253"/>
      <c r="B96" s="191"/>
      <c r="C96" s="254"/>
      <c r="I96" s="122"/>
      <c r="J96" s="255"/>
    </row>
    <row r="97" ht="15.75" customHeight="1">
      <c r="A97" s="253"/>
      <c r="B97" s="191"/>
      <c r="C97" s="254"/>
      <c r="I97" s="122"/>
      <c r="J97" s="255"/>
    </row>
    <row r="98" ht="15.75" customHeight="1">
      <c r="A98" s="253"/>
      <c r="B98" s="191"/>
      <c r="C98" s="254"/>
      <c r="I98" s="122"/>
      <c r="J98" s="255"/>
    </row>
    <row r="99" ht="15.75" customHeight="1">
      <c r="A99" s="253"/>
      <c r="B99" s="191"/>
      <c r="C99" s="254"/>
      <c r="I99" s="122"/>
      <c r="J99" s="255"/>
    </row>
    <row r="100" ht="15.75" customHeight="1">
      <c r="A100" s="253"/>
      <c r="B100" s="191"/>
      <c r="C100" s="254"/>
      <c r="I100" s="122"/>
      <c r="J100" s="255"/>
    </row>
    <row r="101" ht="15.75" customHeight="1">
      <c r="A101" s="253"/>
      <c r="B101" s="191"/>
      <c r="C101" s="254"/>
      <c r="I101" s="122"/>
      <c r="J101" s="255"/>
    </row>
    <row r="102" ht="15.75" customHeight="1">
      <c r="A102" s="253"/>
      <c r="B102" s="191"/>
      <c r="C102" s="254"/>
      <c r="I102" s="122"/>
      <c r="J102" s="255"/>
    </row>
    <row r="103" ht="15.75" customHeight="1">
      <c r="A103" s="253"/>
      <c r="B103" s="191"/>
      <c r="C103" s="254"/>
      <c r="I103" s="122"/>
      <c r="J103" s="255"/>
    </row>
    <row r="104" ht="15.75" customHeight="1">
      <c r="A104" s="253"/>
      <c r="B104" s="191"/>
      <c r="C104" s="254"/>
      <c r="I104" s="122"/>
      <c r="J104" s="255"/>
    </row>
    <row r="105" ht="15.75" customHeight="1">
      <c r="A105" s="253"/>
      <c r="B105" s="191"/>
      <c r="C105" s="254"/>
      <c r="I105" s="122"/>
      <c r="J105" s="255"/>
    </row>
    <row r="106" ht="15.75" customHeight="1">
      <c r="A106" s="253"/>
      <c r="B106" s="191"/>
      <c r="C106" s="254"/>
      <c r="I106" s="122"/>
      <c r="J106" s="255"/>
    </row>
    <row r="107" ht="15.75" customHeight="1">
      <c r="A107" s="253"/>
      <c r="B107" s="191"/>
      <c r="C107" s="254"/>
      <c r="I107" s="122"/>
      <c r="J107" s="255"/>
    </row>
    <row r="108" ht="15.75" customHeight="1">
      <c r="A108" s="253"/>
      <c r="B108" s="191"/>
      <c r="C108" s="254"/>
      <c r="I108" s="122"/>
      <c r="J108" s="255"/>
    </row>
    <row r="109" ht="15.75" customHeight="1">
      <c r="A109" s="253"/>
      <c r="B109" s="191"/>
      <c r="C109" s="254"/>
      <c r="I109" s="122"/>
      <c r="J109" s="255"/>
    </row>
    <row r="110" ht="15.75" customHeight="1">
      <c r="A110" s="253"/>
      <c r="B110" s="191"/>
      <c r="C110" s="254"/>
      <c r="I110" s="122"/>
      <c r="J110" s="255"/>
    </row>
    <row r="111" ht="15.75" customHeight="1">
      <c r="A111" s="253"/>
      <c r="B111" s="191"/>
      <c r="C111" s="254"/>
      <c r="I111" s="122"/>
      <c r="J111" s="255"/>
    </row>
    <row r="112" ht="15.75" customHeight="1">
      <c r="A112" s="253"/>
      <c r="B112" s="191"/>
      <c r="C112" s="254"/>
      <c r="I112" s="122"/>
      <c r="J112" s="255"/>
    </row>
    <row r="113" ht="15.75" customHeight="1">
      <c r="A113" s="253"/>
      <c r="B113" s="191"/>
      <c r="C113" s="254"/>
      <c r="I113" s="122"/>
      <c r="J113" s="255"/>
    </row>
    <row r="114" ht="15.75" customHeight="1">
      <c r="A114" s="253"/>
      <c r="B114" s="191"/>
      <c r="C114" s="254"/>
      <c r="I114" s="122"/>
      <c r="J114" s="255"/>
    </row>
    <row r="115" ht="15.75" customHeight="1">
      <c r="A115" s="253"/>
      <c r="B115" s="191"/>
      <c r="C115" s="254"/>
      <c r="I115" s="122"/>
      <c r="J115" s="255"/>
    </row>
    <row r="116" ht="15.75" customHeight="1">
      <c r="A116" s="253"/>
      <c r="B116" s="191"/>
      <c r="C116" s="254"/>
      <c r="I116" s="122"/>
      <c r="J116" s="255"/>
    </row>
    <row r="117" ht="15.75" customHeight="1">
      <c r="A117" s="253"/>
      <c r="B117" s="191"/>
      <c r="C117" s="254"/>
      <c r="I117" s="122"/>
      <c r="J117" s="255"/>
    </row>
    <row r="118" ht="15.75" customHeight="1">
      <c r="A118" s="253"/>
      <c r="B118" s="191"/>
      <c r="C118" s="254"/>
      <c r="I118" s="122"/>
      <c r="J118" s="255"/>
    </row>
    <row r="119" ht="15.75" customHeight="1">
      <c r="A119" s="253"/>
      <c r="B119" s="191"/>
      <c r="C119" s="254"/>
      <c r="I119" s="122"/>
      <c r="J119" s="255"/>
    </row>
    <row r="120" ht="15.75" customHeight="1">
      <c r="A120" s="253"/>
      <c r="B120" s="191"/>
      <c r="C120" s="254"/>
      <c r="I120" s="122"/>
      <c r="J120" s="255"/>
    </row>
    <row r="121" ht="15.75" customHeight="1">
      <c r="A121" s="253"/>
      <c r="B121" s="191"/>
      <c r="C121" s="254"/>
      <c r="I121" s="122"/>
      <c r="J121" s="255"/>
    </row>
    <row r="122" ht="15.75" customHeight="1">
      <c r="A122" s="253"/>
      <c r="B122" s="191"/>
      <c r="C122" s="254"/>
      <c r="I122" s="122"/>
      <c r="J122" s="255"/>
    </row>
    <row r="123" ht="15.75" customHeight="1">
      <c r="A123" s="253"/>
      <c r="B123" s="191"/>
      <c r="C123" s="254"/>
      <c r="I123" s="122"/>
      <c r="J123" s="255"/>
    </row>
    <row r="124" ht="15.75" customHeight="1">
      <c r="A124" s="253"/>
      <c r="B124" s="191"/>
      <c r="C124" s="254"/>
      <c r="I124" s="122"/>
      <c r="J124" s="255"/>
    </row>
    <row r="125" ht="15.75" customHeight="1">
      <c r="A125" s="253"/>
      <c r="B125" s="191"/>
      <c r="C125" s="254"/>
      <c r="I125" s="122"/>
      <c r="J125" s="255"/>
    </row>
    <row r="126" ht="15.75" customHeight="1">
      <c r="A126" s="253"/>
      <c r="B126" s="191"/>
      <c r="C126" s="254"/>
      <c r="I126" s="122"/>
      <c r="J126" s="255"/>
    </row>
    <row r="127" ht="15.75" customHeight="1">
      <c r="A127" s="253"/>
      <c r="B127" s="191"/>
      <c r="C127" s="254"/>
      <c r="I127" s="122"/>
      <c r="J127" s="255"/>
    </row>
    <row r="128" ht="15.75" customHeight="1">
      <c r="A128" s="253"/>
      <c r="B128" s="191"/>
      <c r="C128" s="254"/>
      <c r="I128" s="122"/>
      <c r="J128" s="255"/>
    </row>
    <row r="129" ht="15.75" customHeight="1">
      <c r="A129" s="253"/>
      <c r="B129" s="191"/>
      <c r="C129" s="254"/>
      <c r="I129" s="122"/>
      <c r="J129" s="255"/>
    </row>
    <row r="130" ht="15.75" customHeight="1">
      <c r="A130" s="253"/>
      <c r="B130" s="191"/>
      <c r="C130" s="254"/>
      <c r="I130" s="122"/>
      <c r="J130" s="255"/>
    </row>
    <row r="131" ht="15.75" customHeight="1">
      <c r="A131" s="253"/>
      <c r="B131" s="191"/>
      <c r="C131" s="254"/>
      <c r="I131" s="122"/>
      <c r="J131" s="255"/>
    </row>
    <row r="132" ht="15.75" customHeight="1">
      <c r="A132" s="253"/>
      <c r="B132" s="191"/>
      <c r="C132" s="254"/>
      <c r="I132" s="122"/>
      <c r="J132" s="255"/>
    </row>
    <row r="133" ht="15.75" customHeight="1">
      <c r="A133" s="253"/>
      <c r="B133" s="191"/>
      <c r="C133" s="254"/>
      <c r="I133" s="122"/>
      <c r="J133" s="255"/>
    </row>
    <row r="134" ht="15.75" customHeight="1">
      <c r="A134" s="253"/>
      <c r="B134" s="191"/>
      <c r="C134" s="254"/>
      <c r="I134" s="122"/>
      <c r="J134" s="255"/>
    </row>
    <row r="135" ht="15.75" customHeight="1">
      <c r="A135" s="253"/>
      <c r="B135" s="191"/>
      <c r="C135" s="254"/>
      <c r="I135" s="122"/>
      <c r="J135" s="255"/>
    </row>
    <row r="136" ht="15.75" customHeight="1">
      <c r="A136" s="253"/>
      <c r="B136" s="191"/>
      <c r="C136" s="254"/>
      <c r="I136" s="122"/>
      <c r="J136" s="255"/>
    </row>
    <row r="137" ht="15.75" customHeight="1">
      <c r="A137" s="253"/>
      <c r="B137" s="191"/>
      <c r="C137" s="254"/>
      <c r="I137" s="122"/>
      <c r="J137" s="255"/>
    </row>
    <row r="138" ht="15.75" customHeight="1">
      <c r="A138" s="253"/>
      <c r="B138" s="191"/>
      <c r="C138" s="254"/>
      <c r="I138" s="122"/>
      <c r="J138" s="255"/>
    </row>
    <row r="139" ht="15.75" customHeight="1">
      <c r="A139" s="253"/>
      <c r="B139" s="191"/>
      <c r="C139" s="254"/>
      <c r="I139" s="122"/>
      <c r="J139" s="255"/>
    </row>
    <row r="140" ht="15.75" customHeight="1">
      <c r="A140" s="253"/>
      <c r="B140" s="191"/>
      <c r="C140" s="254"/>
      <c r="I140" s="122"/>
      <c r="J140" s="255"/>
    </row>
    <row r="141" ht="15.75" customHeight="1">
      <c r="A141" s="253"/>
      <c r="B141" s="191"/>
      <c r="C141" s="254"/>
      <c r="I141" s="122"/>
      <c r="J141" s="255"/>
    </row>
    <row r="142" ht="15.75" customHeight="1">
      <c r="A142" s="253"/>
      <c r="B142" s="191"/>
      <c r="C142" s="254"/>
      <c r="I142" s="122"/>
      <c r="J142" s="255"/>
    </row>
    <row r="143" ht="15.75" customHeight="1">
      <c r="A143" s="253"/>
      <c r="B143" s="191"/>
      <c r="C143" s="254"/>
      <c r="I143" s="122"/>
      <c r="J143" s="255"/>
    </row>
    <row r="144" ht="15.75" customHeight="1">
      <c r="A144" s="253"/>
      <c r="B144" s="191"/>
      <c r="C144" s="254"/>
      <c r="I144" s="122"/>
      <c r="J144" s="255"/>
    </row>
    <row r="145" ht="15.75" customHeight="1">
      <c r="A145" s="253"/>
      <c r="B145" s="191"/>
      <c r="C145" s="254"/>
      <c r="I145" s="122"/>
      <c r="J145" s="255"/>
    </row>
    <row r="146" ht="15.75" customHeight="1">
      <c r="A146" s="253"/>
      <c r="B146" s="191"/>
      <c r="C146" s="254"/>
      <c r="I146" s="122"/>
      <c r="J146" s="255"/>
    </row>
    <row r="147" ht="15.75" customHeight="1">
      <c r="A147" s="253"/>
      <c r="B147" s="191"/>
      <c r="C147" s="254"/>
      <c r="I147" s="122"/>
      <c r="J147" s="255"/>
    </row>
    <row r="148" ht="15.75" customHeight="1">
      <c r="A148" s="253"/>
      <c r="B148" s="191"/>
      <c r="C148" s="254"/>
      <c r="I148" s="122"/>
      <c r="J148" s="255"/>
    </row>
    <row r="149" ht="15.75" customHeight="1">
      <c r="A149" s="253"/>
      <c r="B149" s="191"/>
      <c r="C149" s="254"/>
      <c r="I149" s="122"/>
      <c r="J149" s="255"/>
    </row>
    <row r="150" ht="15.75" customHeight="1">
      <c r="A150" s="253"/>
      <c r="B150" s="191"/>
      <c r="C150" s="254"/>
      <c r="I150" s="122"/>
      <c r="J150" s="255"/>
    </row>
    <row r="151" ht="15.75" customHeight="1">
      <c r="A151" s="253"/>
      <c r="B151" s="191"/>
      <c r="C151" s="254"/>
      <c r="I151" s="122"/>
      <c r="J151" s="255"/>
    </row>
    <row r="152" ht="15.75" customHeight="1">
      <c r="A152" s="253"/>
      <c r="B152" s="191"/>
      <c r="C152" s="254"/>
      <c r="I152" s="122"/>
      <c r="J152" s="255"/>
    </row>
    <row r="153" ht="15.75" customHeight="1">
      <c r="A153" s="253"/>
      <c r="B153" s="191"/>
      <c r="C153" s="254"/>
      <c r="I153" s="122"/>
      <c r="J153" s="255"/>
    </row>
    <row r="154" ht="15.75" customHeight="1">
      <c r="A154" s="253"/>
      <c r="B154" s="191"/>
      <c r="C154" s="254"/>
      <c r="I154" s="122"/>
      <c r="J154" s="255"/>
    </row>
    <row r="155" ht="15.75" customHeight="1">
      <c r="A155" s="253"/>
      <c r="B155" s="191"/>
      <c r="C155" s="254"/>
      <c r="I155" s="122"/>
      <c r="J155" s="255"/>
    </row>
    <row r="156" ht="15.75" customHeight="1">
      <c r="A156" s="253"/>
      <c r="B156" s="191"/>
      <c r="C156" s="254"/>
      <c r="I156" s="122"/>
      <c r="J156" s="255"/>
    </row>
    <row r="157" ht="15.75" customHeight="1">
      <c r="A157" s="253"/>
      <c r="B157" s="191"/>
      <c r="C157" s="254"/>
      <c r="I157" s="122"/>
      <c r="J157" s="255"/>
    </row>
    <row r="158" ht="15.75" customHeight="1">
      <c r="A158" s="253"/>
      <c r="B158" s="191"/>
      <c r="C158" s="254"/>
      <c r="I158" s="122"/>
      <c r="J158" s="255"/>
    </row>
    <row r="159" ht="15.75" customHeight="1">
      <c r="A159" s="253"/>
      <c r="B159" s="191"/>
      <c r="C159" s="254"/>
      <c r="I159" s="122"/>
      <c r="J159" s="255"/>
    </row>
    <row r="160" ht="15.75" customHeight="1">
      <c r="A160" s="253"/>
      <c r="B160" s="191"/>
      <c r="C160" s="254"/>
      <c r="I160" s="122"/>
      <c r="J160" s="255"/>
    </row>
    <row r="161" ht="15.75" customHeight="1">
      <c r="A161" s="253"/>
      <c r="B161" s="191"/>
      <c r="C161" s="254"/>
      <c r="I161" s="122"/>
      <c r="J161" s="255"/>
    </row>
    <row r="162" ht="15.75" customHeight="1">
      <c r="A162" s="253"/>
      <c r="B162" s="191"/>
      <c r="C162" s="254"/>
      <c r="I162" s="122"/>
      <c r="J162" s="255"/>
    </row>
    <row r="163" ht="15.75" customHeight="1">
      <c r="A163" s="253"/>
      <c r="B163" s="191"/>
      <c r="C163" s="254"/>
      <c r="I163" s="122"/>
      <c r="J163" s="255"/>
    </row>
    <row r="164" ht="15.75" customHeight="1">
      <c r="A164" s="253"/>
      <c r="B164" s="191"/>
      <c r="C164" s="254"/>
      <c r="I164" s="122"/>
      <c r="J164" s="255"/>
    </row>
    <row r="165" ht="15.75" customHeight="1">
      <c r="A165" s="253"/>
      <c r="B165" s="191"/>
      <c r="C165" s="254"/>
      <c r="I165" s="122"/>
      <c r="J165" s="255"/>
    </row>
    <row r="166" ht="15.75" customHeight="1">
      <c r="A166" s="253"/>
      <c r="B166" s="191"/>
      <c r="C166" s="254"/>
      <c r="I166" s="122"/>
      <c r="J166" s="255"/>
    </row>
    <row r="167" ht="15.75" customHeight="1">
      <c r="A167" s="253"/>
      <c r="B167" s="191"/>
      <c r="C167" s="254"/>
      <c r="I167" s="122"/>
      <c r="J167" s="255"/>
    </row>
    <row r="168" ht="15.75" customHeight="1">
      <c r="A168" s="253"/>
      <c r="B168" s="191"/>
      <c r="C168" s="254"/>
      <c r="I168" s="122"/>
      <c r="J168" s="255"/>
    </row>
    <row r="169" ht="15.75" customHeight="1">
      <c r="A169" s="253"/>
      <c r="B169" s="191"/>
      <c r="C169" s="254"/>
      <c r="I169" s="122"/>
      <c r="J169" s="255"/>
    </row>
    <row r="170" ht="15.75" customHeight="1">
      <c r="A170" s="253"/>
      <c r="B170" s="191"/>
      <c r="C170" s="254"/>
      <c r="I170" s="122"/>
      <c r="J170" s="255"/>
    </row>
    <row r="171" ht="15.75" customHeight="1">
      <c r="A171" s="253"/>
      <c r="B171" s="191"/>
      <c r="C171" s="254"/>
      <c r="I171" s="122"/>
      <c r="J171" s="255"/>
    </row>
    <row r="172" ht="15.75" customHeight="1">
      <c r="A172" s="253"/>
      <c r="B172" s="191"/>
      <c r="C172" s="254"/>
      <c r="I172" s="122"/>
      <c r="J172" s="255"/>
    </row>
    <row r="173" ht="15.75" customHeight="1">
      <c r="A173" s="253"/>
      <c r="B173" s="191"/>
      <c r="C173" s="254"/>
      <c r="I173" s="122"/>
      <c r="J173" s="255"/>
    </row>
    <row r="174" ht="15.75" customHeight="1">
      <c r="A174" s="253"/>
      <c r="B174" s="191"/>
      <c r="C174" s="254"/>
      <c r="I174" s="122"/>
      <c r="J174" s="255"/>
    </row>
    <row r="175" ht="15.75" customHeight="1">
      <c r="A175" s="253"/>
      <c r="B175" s="191"/>
      <c r="C175" s="254"/>
      <c r="I175" s="122"/>
      <c r="J175" s="255"/>
    </row>
    <row r="176" ht="15.75" customHeight="1">
      <c r="A176" s="253"/>
      <c r="B176" s="191"/>
      <c r="C176" s="254"/>
      <c r="I176" s="122"/>
      <c r="J176" s="255"/>
    </row>
    <row r="177" ht="15.75" customHeight="1">
      <c r="A177" s="253"/>
      <c r="B177" s="191"/>
      <c r="C177" s="254"/>
      <c r="I177" s="122"/>
      <c r="J177" s="255"/>
    </row>
    <row r="178" ht="15.75" customHeight="1">
      <c r="A178" s="253"/>
      <c r="B178" s="191"/>
      <c r="C178" s="254"/>
      <c r="I178" s="122"/>
      <c r="J178" s="255"/>
    </row>
    <row r="179" ht="15.75" customHeight="1">
      <c r="A179" s="253"/>
      <c r="B179" s="191"/>
      <c r="C179" s="254"/>
      <c r="I179" s="122"/>
      <c r="J179" s="255"/>
    </row>
    <row r="180" ht="15.75" customHeight="1">
      <c r="A180" s="253"/>
      <c r="B180" s="191"/>
      <c r="C180" s="254"/>
      <c r="I180" s="122"/>
      <c r="J180" s="255"/>
    </row>
    <row r="181" ht="15.75" customHeight="1">
      <c r="A181" s="253"/>
      <c r="B181" s="191"/>
      <c r="C181" s="254"/>
      <c r="I181" s="122"/>
      <c r="J181" s="255"/>
    </row>
    <row r="182" ht="15.75" customHeight="1">
      <c r="A182" s="253"/>
      <c r="B182" s="191"/>
      <c r="C182" s="254"/>
      <c r="I182" s="122"/>
      <c r="J182" s="255"/>
    </row>
    <row r="183" ht="15.75" customHeight="1">
      <c r="A183" s="253"/>
      <c r="B183" s="191"/>
      <c r="C183" s="254"/>
      <c r="I183" s="122"/>
      <c r="J183" s="255"/>
    </row>
    <row r="184" ht="15.75" customHeight="1">
      <c r="A184" s="253"/>
      <c r="B184" s="191"/>
      <c r="C184" s="254"/>
      <c r="I184" s="122"/>
      <c r="J184" s="255"/>
    </row>
    <row r="185" ht="15.75" customHeight="1">
      <c r="A185" s="253"/>
      <c r="B185" s="191"/>
      <c r="C185" s="254"/>
      <c r="I185" s="122"/>
      <c r="J185" s="255"/>
    </row>
    <row r="186" ht="15.75" customHeight="1">
      <c r="A186" s="253"/>
      <c r="B186" s="191"/>
      <c r="C186" s="254"/>
      <c r="I186" s="122"/>
      <c r="J186" s="255"/>
    </row>
    <row r="187" ht="15.75" customHeight="1">
      <c r="A187" s="253"/>
      <c r="B187" s="191"/>
      <c r="C187" s="254"/>
      <c r="I187" s="122"/>
      <c r="J187" s="255"/>
    </row>
    <row r="188" ht="15.75" customHeight="1">
      <c r="A188" s="253"/>
      <c r="B188" s="191"/>
      <c r="C188" s="254"/>
      <c r="I188" s="122"/>
      <c r="J188" s="255"/>
    </row>
    <row r="189" ht="15.75" customHeight="1">
      <c r="A189" s="253"/>
      <c r="B189" s="191"/>
      <c r="C189" s="254"/>
      <c r="I189" s="122"/>
      <c r="J189" s="255"/>
    </row>
    <row r="190" ht="15.75" customHeight="1">
      <c r="A190" s="253"/>
      <c r="B190" s="191"/>
      <c r="C190" s="254"/>
      <c r="I190" s="122"/>
      <c r="J190" s="255"/>
    </row>
    <row r="191" ht="15.75" customHeight="1">
      <c r="A191" s="253"/>
      <c r="B191" s="191"/>
      <c r="C191" s="254"/>
      <c r="I191" s="122"/>
      <c r="J191" s="255"/>
    </row>
    <row r="192" ht="15.75" customHeight="1">
      <c r="A192" s="253"/>
      <c r="B192" s="191"/>
      <c r="C192" s="254"/>
      <c r="I192" s="122"/>
      <c r="J192" s="255"/>
    </row>
    <row r="193" ht="15.75" customHeight="1">
      <c r="A193" s="253"/>
      <c r="B193" s="191"/>
      <c r="C193" s="254"/>
      <c r="I193" s="122"/>
      <c r="J193" s="255"/>
    </row>
    <row r="194" ht="15.75" customHeight="1">
      <c r="A194" s="253"/>
      <c r="B194" s="191"/>
      <c r="C194" s="254"/>
      <c r="I194" s="122"/>
      <c r="J194" s="255"/>
    </row>
    <row r="195" ht="15.75" customHeight="1">
      <c r="A195" s="253"/>
      <c r="B195" s="191"/>
      <c r="C195" s="254"/>
      <c r="I195" s="122"/>
      <c r="J195" s="255"/>
    </row>
    <row r="196" ht="15.75" customHeight="1">
      <c r="A196" s="253"/>
      <c r="B196" s="191"/>
      <c r="C196" s="254"/>
      <c r="I196" s="122"/>
      <c r="J196" s="255"/>
    </row>
    <row r="197" ht="15.75" customHeight="1">
      <c r="A197" s="253"/>
      <c r="B197" s="191"/>
      <c r="C197" s="254"/>
      <c r="I197" s="122"/>
      <c r="J197" s="255"/>
    </row>
    <row r="198" ht="15.75" customHeight="1">
      <c r="A198" s="253"/>
      <c r="B198" s="191"/>
      <c r="C198" s="254"/>
      <c r="I198" s="122"/>
      <c r="J198" s="255"/>
    </row>
    <row r="199" ht="15.75" customHeight="1">
      <c r="A199" s="253"/>
      <c r="B199" s="191"/>
      <c r="C199" s="254"/>
      <c r="I199" s="122"/>
      <c r="J199" s="255"/>
    </row>
    <row r="200" ht="15.75" customHeight="1">
      <c r="A200" s="253"/>
      <c r="B200" s="191"/>
      <c r="C200" s="254"/>
      <c r="I200" s="122"/>
      <c r="J200" s="255"/>
    </row>
    <row r="201" ht="15.75" customHeight="1">
      <c r="A201" s="253"/>
      <c r="B201" s="191"/>
      <c r="C201" s="254"/>
      <c r="I201" s="122"/>
      <c r="J201" s="255"/>
    </row>
    <row r="202" ht="15.75" customHeight="1">
      <c r="A202" s="253"/>
      <c r="B202" s="191"/>
      <c r="C202" s="254"/>
      <c r="I202" s="122"/>
      <c r="J202" s="255"/>
    </row>
    <row r="203" ht="15.75" customHeight="1">
      <c r="A203" s="253"/>
      <c r="B203" s="191"/>
      <c r="C203" s="254"/>
      <c r="I203" s="122"/>
      <c r="J203" s="255"/>
    </row>
    <row r="204" ht="15.75" customHeight="1">
      <c r="A204" s="253"/>
      <c r="B204" s="191"/>
      <c r="C204" s="254"/>
      <c r="I204" s="122"/>
      <c r="J204" s="255"/>
    </row>
    <row r="205" ht="15.75" customHeight="1">
      <c r="A205" s="253"/>
      <c r="B205" s="191"/>
      <c r="C205" s="254"/>
      <c r="I205" s="122"/>
      <c r="J205" s="255"/>
    </row>
    <row r="206" ht="15.75" customHeight="1">
      <c r="A206" s="253"/>
      <c r="B206" s="191"/>
      <c r="C206" s="254"/>
      <c r="I206" s="122"/>
      <c r="J206" s="255"/>
    </row>
    <row r="207" ht="15.75" customHeight="1">
      <c r="A207" s="253"/>
      <c r="B207" s="191"/>
      <c r="C207" s="254"/>
      <c r="I207" s="122"/>
      <c r="J207" s="255"/>
    </row>
    <row r="208" ht="15.75" customHeight="1">
      <c r="A208" s="253"/>
      <c r="B208" s="191"/>
      <c r="C208" s="254"/>
      <c r="I208" s="122"/>
      <c r="J208" s="255"/>
    </row>
    <row r="209" ht="15.75" customHeight="1">
      <c r="A209" s="253"/>
      <c r="B209" s="191"/>
      <c r="C209" s="254"/>
      <c r="I209" s="122"/>
      <c r="J209" s="255"/>
    </row>
    <row r="210" ht="15.75" customHeight="1">
      <c r="A210" s="253"/>
      <c r="B210" s="191"/>
      <c r="C210" s="254"/>
      <c r="I210" s="122"/>
      <c r="J210" s="255"/>
    </row>
    <row r="211" ht="15.75" customHeight="1">
      <c r="A211" s="253"/>
      <c r="B211" s="191"/>
      <c r="C211" s="254"/>
      <c r="I211" s="122"/>
      <c r="J211" s="255"/>
    </row>
    <row r="212" ht="15.75" customHeight="1">
      <c r="A212" s="253"/>
      <c r="B212" s="191"/>
      <c r="C212" s="254"/>
      <c r="I212" s="122"/>
      <c r="J212" s="255"/>
    </row>
    <row r="213" ht="15.75" customHeight="1">
      <c r="A213" s="253"/>
      <c r="B213" s="191"/>
      <c r="C213" s="254"/>
      <c r="I213" s="122"/>
      <c r="J213" s="255"/>
    </row>
    <row r="214" ht="15.75" customHeight="1">
      <c r="A214" s="253"/>
      <c r="B214" s="191"/>
      <c r="C214" s="254"/>
      <c r="I214" s="122"/>
      <c r="J214" s="255"/>
    </row>
    <row r="215" ht="15.75" customHeight="1">
      <c r="A215" s="253"/>
      <c r="B215" s="191"/>
      <c r="C215" s="254"/>
      <c r="I215" s="122"/>
      <c r="J215" s="255"/>
    </row>
    <row r="216" ht="15.75" customHeight="1">
      <c r="A216" s="253"/>
      <c r="B216" s="191"/>
      <c r="C216" s="254"/>
      <c r="I216" s="122"/>
      <c r="J216" s="255"/>
    </row>
    <row r="217" ht="15.75" customHeight="1">
      <c r="A217" s="253"/>
      <c r="B217" s="191"/>
      <c r="C217" s="254"/>
      <c r="I217" s="122"/>
      <c r="J217" s="255"/>
    </row>
    <row r="218" ht="15.75" customHeight="1">
      <c r="A218" s="253"/>
      <c r="B218" s="191"/>
      <c r="C218" s="254"/>
      <c r="I218" s="122"/>
      <c r="J218" s="255"/>
    </row>
    <row r="219" ht="15.75" customHeight="1">
      <c r="A219" s="253"/>
      <c r="B219" s="191"/>
      <c r="C219" s="254"/>
      <c r="I219" s="122"/>
      <c r="J219" s="255"/>
    </row>
    <row r="220" ht="15.75" customHeight="1">
      <c r="A220" s="253"/>
      <c r="B220" s="191"/>
      <c r="C220" s="254"/>
      <c r="I220" s="122"/>
      <c r="J220" s="255"/>
    </row>
    <row r="221" ht="15.75" customHeight="1">
      <c r="A221" s="253"/>
      <c r="B221" s="191"/>
      <c r="C221" s="254"/>
      <c r="I221" s="122"/>
      <c r="J221" s="255"/>
    </row>
    <row r="222" ht="15.75" customHeight="1">
      <c r="A222" s="253"/>
      <c r="B222" s="191"/>
      <c r="C222" s="254"/>
      <c r="I222" s="122"/>
      <c r="J222" s="255"/>
    </row>
    <row r="223" ht="15.75" customHeight="1">
      <c r="A223" s="253"/>
      <c r="B223" s="191"/>
      <c r="C223" s="254"/>
      <c r="I223" s="122"/>
      <c r="J223" s="255"/>
    </row>
    <row r="224" ht="15.75" customHeight="1">
      <c r="A224" s="253"/>
      <c r="B224" s="191"/>
      <c r="C224" s="254"/>
      <c r="I224" s="122"/>
      <c r="J224" s="255"/>
    </row>
    <row r="225" ht="15.75" customHeight="1">
      <c r="A225" s="253"/>
      <c r="B225" s="191"/>
      <c r="C225" s="254"/>
      <c r="I225" s="122"/>
      <c r="J225" s="255"/>
    </row>
    <row r="226" ht="15.75" customHeight="1">
      <c r="A226" s="253"/>
      <c r="B226" s="191"/>
      <c r="C226" s="254"/>
      <c r="I226" s="122"/>
      <c r="J226" s="255"/>
    </row>
    <row r="227" ht="15.75" customHeight="1">
      <c r="A227" s="253"/>
      <c r="B227" s="191"/>
      <c r="C227" s="254"/>
      <c r="I227" s="122"/>
      <c r="J227" s="255"/>
    </row>
    <row r="228" ht="15.75" customHeight="1">
      <c r="A228" s="253"/>
      <c r="B228" s="191"/>
      <c r="C228" s="254"/>
      <c r="I228" s="122"/>
      <c r="J228" s="255"/>
    </row>
    <row r="229" ht="15.75" customHeight="1">
      <c r="A229" s="253"/>
      <c r="B229" s="191"/>
      <c r="C229" s="254"/>
      <c r="I229" s="122"/>
      <c r="J229" s="255"/>
    </row>
    <row r="230" ht="15.75" customHeight="1">
      <c r="A230" s="253"/>
      <c r="B230" s="191"/>
      <c r="C230" s="254"/>
      <c r="I230" s="122"/>
      <c r="J230" s="255"/>
    </row>
    <row r="231" ht="15.75" customHeight="1">
      <c r="A231" s="253"/>
      <c r="B231" s="191"/>
      <c r="C231" s="254"/>
      <c r="I231" s="122"/>
      <c r="J231" s="255"/>
    </row>
    <row r="232" ht="15.75" customHeight="1">
      <c r="A232" s="253"/>
      <c r="B232" s="191"/>
      <c r="C232" s="254"/>
      <c r="I232" s="122"/>
      <c r="J232" s="255"/>
    </row>
    <row r="233" ht="15.75" customHeight="1">
      <c r="A233" s="253"/>
      <c r="B233" s="191"/>
      <c r="C233" s="254"/>
      <c r="I233" s="122"/>
      <c r="J233" s="255"/>
    </row>
    <row r="234" ht="15.75" customHeight="1">
      <c r="A234" s="253"/>
      <c r="B234" s="191"/>
      <c r="C234" s="254"/>
      <c r="I234" s="122"/>
      <c r="J234" s="255"/>
    </row>
    <row r="235" ht="15.75" customHeight="1">
      <c r="A235" s="253"/>
      <c r="B235" s="191"/>
      <c r="C235" s="254"/>
      <c r="I235" s="122"/>
      <c r="J235" s="255"/>
    </row>
    <row r="236" ht="15.75" customHeight="1">
      <c r="A236" s="253"/>
      <c r="B236" s="191"/>
      <c r="C236" s="254"/>
      <c r="I236" s="122"/>
      <c r="J236" s="255"/>
    </row>
    <row r="237" ht="15.75" customHeight="1">
      <c r="A237" s="253"/>
      <c r="B237" s="191"/>
      <c r="C237" s="254"/>
      <c r="I237" s="122"/>
      <c r="J237" s="255"/>
    </row>
    <row r="238" ht="15.75" customHeight="1">
      <c r="A238" s="253"/>
      <c r="B238" s="191"/>
      <c r="C238" s="254"/>
      <c r="I238" s="122"/>
      <c r="J238" s="255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4.0"/>
    <col customWidth="1" hidden="1" min="5" max="5" width="22.13"/>
    <col customWidth="1" hidden="1" min="6" max="6" width="25.63"/>
    <col customWidth="1" min="7" max="7" width="16.75"/>
    <col customWidth="1" hidden="1" min="8" max="8" width="20.0"/>
    <col customWidth="1" min="9" max="9" width="15.38"/>
  </cols>
  <sheetData>
    <row r="1" ht="15.75" customHeight="1">
      <c r="A1" s="241" t="s">
        <v>111</v>
      </c>
      <c r="B1" s="241" t="s">
        <v>112</v>
      </c>
      <c r="C1" s="242" t="s">
        <v>113</v>
      </c>
      <c r="D1" s="241" t="s">
        <v>114</v>
      </c>
      <c r="E1" s="241" t="s">
        <v>115</v>
      </c>
      <c r="F1" s="241" t="s">
        <v>116</v>
      </c>
      <c r="G1" s="241" t="s">
        <v>117</v>
      </c>
      <c r="H1" s="241" t="s">
        <v>118</v>
      </c>
      <c r="I1" s="243" t="s">
        <v>64</v>
      </c>
      <c r="J1" s="244" t="s">
        <v>36</v>
      </c>
    </row>
    <row r="2" ht="15.75" customHeight="1">
      <c r="A2" s="229">
        <v>44410.0</v>
      </c>
      <c r="B2" s="162"/>
      <c r="C2" s="158"/>
      <c r="D2" s="163"/>
      <c r="E2" s="163"/>
      <c r="F2" s="158"/>
      <c r="G2" s="163"/>
      <c r="H2" s="158"/>
      <c r="I2" s="245" t="str">
        <f t="shared" ref="I2:I36" si="1">J2/G2</f>
        <v>#DIV/0!</v>
      </c>
      <c r="J2" s="246"/>
    </row>
    <row r="3" ht="15.75" customHeight="1">
      <c r="A3" s="229">
        <v>44411.0</v>
      </c>
      <c r="B3" s="162"/>
      <c r="C3" s="158"/>
      <c r="D3" s="162"/>
      <c r="E3" s="163"/>
      <c r="F3" s="158"/>
      <c r="G3" s="163"/>
      <c r="H3" s="158"/>
      <c r="I3" s="245" t="str">
        <f t="shared" si="1"/>
        <v>#DIV/0!</v>
      </c>
      <c r="J3" s="246"/>
    </row>
    <row r="4" ht="15.75" customHeight="1">
      <c r="A4" s="229">
        <v>44412.0</v>
      </c>
      <c r="B4" s="162"/>
      <c r="C4" s="158"/>
      <c r="D4" s="162"/>
      <c r="E4" s="163"/>
      <c r="F4" s="158"/>
      <c r="G4" s="162"/>
      <c r="H4" s="158"/>
      <c r="I4" s="245" t="str">
        <f t="shared" si="1"/>
        <v>#DIV/0!</v>
      </c>
      <c r="J4" s="246"/>
    </row>
    <row r="5" ht="15.75" customHeight="1">
      <c r="A5" s="229">
        <v>44413.0</v>
      </c>
      <c r="B5" s="162"/>
      <c r="C5" s="158"/>
      <c r="D5" s="162"/>
      <c r="E5" s="163"/>
      <c r="F5" s="158"/>
      <c r="G5" s="162"/>
      <c r="H5" s="158"/>
      <c r="I5" s="245" t="str">
        <f t="shared" si="1"/>
        <v>#DIV/0!</v>
      </c>
      <c r="J5" s="246"/>
    </row>
    <row r="6" ht="15.75" customHeight="1">
      <c r="A6" s="229">
        <v>44414.0</v>
      </c>
      <c r="B6" s="162"/>
      <c r="C6" s="158"/>
      <c r="D6" s="162"/>
      <c r="E6" s="163"/>
      <c r="F6" s="158"/>
      <c r="G6" s="162"/>
      <c r="H6" s="158"/>
      <c r="I6" s="245" t="str">
        <f t="shared" si="1"/>
        <v>#DIV/0!</v>
      </c>
      <c r="J6" s="246"/>
    </row>
    <row r="7" ht="15.75" customHeight="1">
      <c r="A7" s="229">
        <v>44415.0</v>
      </c>
      <c r="B7" s="162"/>
      <c r="C7" s="158"/>
      <c r="D7" s="162"/>
      <c r="E7" s="163"/>
      <c r="F7" s="158"/>
      <c r="G7" s="162"/>
      <c r="H7" s="158"/>
      <c r="I7" s="245" t="str">
        <f t="shared" si="1"/>
        <v>#DIV/0!</v>
      </c>
      <c r="J7" s="246"/>
    </row>
    <row r="8" ht="15.75" customHeight="1">
      <c r="A8" s="229">
        <v>44416.0</v>
      </c>
      <c r="B8" s="162"/>
      <c r="C8" s="158"/>
      <c r="D8" s="162"/>
      <c r="E8" s="163"/>
      <c r="F8" s="158"/>
      <c r="G8" s="162"/>
      <c r="H8" s="158"/>
      <c r="I8" s="245" t="str">
        <f t="shared" si="1"/>
        <v>#DIV/0!</v>
      </c>
      <c r="J8" s="246"/>
    </row>
    <row r="9" ht="15.75" customHeight="1">
      <c r="A9" s="229">
        <v>44417.0</v>
      </c>
      <c r="B9" s="247"/>
      <c r="C9" s="248"/>
      <c r="D9" s="162"/>
      <c r="E9" s="163"/>
      <c r="F9" s="158"/>
      <c r="G9" s="163"/>
      <c r="H9" s="158" t="str">
        <f t="shared" ref="H9:H21" si="2">G9/E9</f>
        <v>#DIV/0!</v>
      </c>
      <c r="I9" s="245" t="str">
        <f t="shared" si="1"/>
        <v>#DIV/0!</v>
      </c>
      <c r="J9" s="246"/>
    </row>
    <row r="10" ht="15.75" customHeight="1">
      <c r="A10" s="229">
        <v>44418.0</v>
      </c>
      <c r="B10" s="162"/>
      <c r="C10" s="158"/>
      <c r="D10" s="162"/>
      <c r="E10" s="163"/>
      <c r="F10" s="158"/>
      <c r="G10" s="162"/>
      <c r="H10" s="158" t="str">
        <f t="shared" si="2"/>
        <v>#DIV/0!</v>
      </c>
      <c r="I10" s="245" t="str">
        <f t="shared" si="1"/>
        <v>#DIV/0!</v>
      </c>
      <c r="J10" s="249"/>
    </row>
    <row r="11" ht="15.75" customHeight="1">
      <c r="A11" s="229">
        <v>44419.0</v>
      </c>
      <c r="B11" s="247"/>
      <c r="C11" s="248"/>
      <c r="D11" s="163"/>
      <c r="E11" s="163"/>
      <c r="F11" s="158"/>
      <c r="G11" s="163"/>
      <c r="H11" s="158" t="str">
        <f t="shared" si="2"/>
        <v>#DIV/0!</v>
      </c>
      <c r="I11" s="245" t="str">
        <f t="shared" si="1"/>
        <v>#DIV/0!</v>
      </c>
      <c r="J11" s="249"/>
    </row>
    <row r="12" ht="15.75" customHeight="1">
      <c r="A12" s="229">
        <v>44420.0</v>
      </c>
      <c r="B12" s="162"/>
      <c r="C12" s="158"/>
      <c r="D12" s="162"/>
      <c r="E12" s="163"/>
      <c r="F12" s="158"/>
      <c r="G12" s="162"/>
      <c r="H12" s="158" t="str">
        <f t="shared" si="2"/>
        <v>#DIV/0!</v>
      </c>
      <c r="I12" s="245" t="str">
        <f t="shared" si="1"/>
        <v>#DIV/0!</v>
      </c>
      <c r="J12" s="249"/>
    </row>
    <row r="13" ht="15.75" customHeight="1">
      <c r="A13" s="229">
        <v>44421.0</v>
      </c>
      <c r="B13" s="162"/>
      <c r="C13" s="158"/>
      <c r="D13" s="162"/>
      <c r="E13" s="163"/>
      <c r="F13" s="158"/>
      <c r="G13" s="162"/>
      <c r="H13" s="158" t="str">
        <f t="shared" si="2"/>
        <v>#DIV/0!</v>
      </c>
      <c r="I13" s="245" t="str">
        <f t="shared" si="1"/>
        <v>#DIV/0!</v>
      </c>
      <c r="J13" s="249"/>
    </row>
    <row r="14" ht="15.75" customHeight="1">
      <c r="A14" s="229">
        <v>44422.0</v>
      </c>
      <c r="B14" s="162"/>
      <c r="C14" s="158"/>
      <c r="D14" s="162"/>
      <c r="E14" s="163"/>
      <c r="F14" s="158"/>
      <c r="G14" s="162"/>
      <c r="H14" s="158" t="str">
        <f t="shared" si="2"/>
        <v>#DIV/0!</v>
      </c>
      <c r="I14" s="245" t="str">
        <f t="shared" si="1"/>
        <v>#DIV/0!</v>
      </c>
      <c r="J14" s="249"/>
    </row>
    <row r="15" ht="15.75" customHeight="1">
      <c r="A15" s="229">
        <v>44423.0</v>
      </c>
      <c r="B15" s="162"/>
      <c r="C15" s="158"/>
      <c r="D15" s="162"/>
      <c r="E15" s="163"/>
      <c r="F15" s="158"/>
      <c r="G15" s="162"/>
      <c r="H15" s="158" t="str">
        <f t="shared" si="2"/>
        <v>#DIV/0!</v>
      </c>
      <c r="I15" s="245" t="str">
        <f t="shared" si="1"/>
        <v>#DIV/0!</v>
      </c>
      <c r="J15" s="249"/>
    </row>
    <row r="16" ht="15.75" customHeight="1">
      <c r="A16" s="229">
        <v>44424.0</v>
      </c>
      <c r="B16" s="162"/>
      <c r="C16" s="158"/>
      <c r="D16" s="162"/>
      <c r="E16" s="163"/>
      <c r="F16" s="158"/>
      <c r="G16" s="162"/>
      <c r="H16" s="158" t="str">
        <f t="shared" si="2"/>
        <v>#DIV/0!</v>
      </c>
      <c r="I16" s="245" t="str">
        <f t="shared" si="1"/>
        <v>#DIV/0!</v>
      </c>
      <c r="J16" s="249"/>
    </row>
    <row r="17" ht="15.75" customHeight="1">
      <c r="A17" s="229">
        <v>44425.0</v>
      </c>
      <c r="B17" s="162"/>
      <c r="C17" s="158"/>
      <c r="D17" s="162"/>
      <c r="E17" s="163"/>
      <c r="F17" s="158"/>
      <c r="G17" s="162"/>
      <c r="H17" s="158" t="str">
        <f t="shared" si="2"/>
        <v>#DIV/0!</v>
      </c>
      <c r="I17" s="245" t="str">
        <f t="shared" si="1"/>
        <v>#DIV/0!</v>
      </c>
      <c r="J17" s="249"/>
    </row>
    <row r="18" ht="15.75" customHeight="1">
      <c r="A18" s="229">
        <v>44426.0</v>
      </c>
      <c r="B18" s="162"/>
      <c r="C18" s="158"/>
      <c r="D18" s="162"/>
      <c r="E18" s="163"/>
      <c r="F18" s="158"/>
      <c r="G18" s="162"/>
      <c r="H18" s="158" t="str">
        <f t="shared" si="2"/>
        <v>#DIV/0!</v>
      </c>
      <c r="I18" s="245" t="str">
        <f t="shared" si="1"/>
        <v>#DIV/0!</v>
      </c>
      <c r="J18" s="249"/>
    </row>
    <row r="19" ht="15.75" customHeight="1">
      <c r="A19" s="229">
        <v>44427.0</v>
      </c>
      <c r="B19" s="162"/>
      <c r="C19" s="158"/>
      <c r="D19" s="162"/>
      <c r="E19" s="163"/>
      <c r="F19" s="158"/>
      <c r="G19" s="162"/>
      <c r="H19" s="158" t="str">
        <f t="shared" si="2"/>
        <v>#DIV/0!</v>
      </c>
      <c r="I19" s="245" t="str">
        <f t="shared" si="1"/>
        <v>#DIV/0!</v>
      </c>
      <c r="J19" s="249"/>
    </row>
    <row r="20" ht="15.75" customHeight="1">
      <c r="A20" s="229">
        <v>44428.0</v>
      </c>
      <c r="B20" s="162"/>
      <c r="C20" s="158"/>
      <c r="D20" s="162"/>
      <c r="E20" s="163"/>
      <c r="F20" s="158"/>
      <c r="G20" s="162"/>
      <c r="H20" s="158" t="str">
        <f t="shared" si="2"/>
        <v>#DIV/0!</v>
      </c>
      <c r="I20" s="245" t="str">
        <f t="shared" si="1"/>
        <v>#DIV/0!</v>
      </c>
      <c r="J20" s="249"/>
    </row>
    <row r="21" ht="15.75" customHeight="1">
      <c r="A21" s="229">
        <v>44429.0</v>
      </c>
      <c r="B21" s="162"/>
      <c r="C21" s="158"/>
      <c r="D21" s="162"/>
      <c r="E21" s="163"/>
      <c r="F21" s="158"/>
      <c r="G21" s="162"/>
      <c r="H21" s="158" t="str">
        <f t="shared" si="2"/>
        <v>#DIV/0!</v>
      </c>
      <c r="I21" s="245" t="str">
        <f t="shared" si="1"/>
        <v>#DIV/0!</v>
      </c>
      <c r="J21" s="249"/>
    </row>
    <row r="22" ht="15.75" customHeight="1">
      <c r="A22" s="229">
        <v>44430.0</v>
      </c>
      <c r="B22" s="247"/>
      <c r="C22" s="248"/>
      <c r="D22" s="162"/>
      <c r="E22" s="163"/>
      <c r="F22" s="163"/>
      <c r="G22" s="162"/>
      <c r="H22" s="163"/>
      <c r="I22" s="245" t="str">
        <f t="shared" si="1"/>
        <v>#DIV/0!</v>
      </c>
      <c r="J22" s="250"/>
    </row>
    <row r="23" ht="15.75" customHeight="1">
      <c r="A23" s="229">
        <v>44431.0</v>
      </c>
      <c r="B23" s="162"/>
      <c r="C23" s="158"/>
      <c r="D23" s="162"/>
      <c r="E23" s="163"/>
      <c r="F23" s="163"/>
      <c r="G23" s="162"/>
      <c r="H23" s="163"/>
      <c r="I23" s="245" t="str">
        <f t="shared" si="1"/>
        <v>#DIV/0!</v>
      </c>
      <c r="J23" s="249"/>
    </row>
    <row r="24" ht="15.75" customHeight="1">
      <c r="A24" s="229">
        <v>44432.0</v>
      </c>
      <c r="B24" s="162"/>
      <c r="C24" s="158"/>
      <c r="D24" s="162"/>
      <c r="E24" s="163"/>
      <c r="F24" s="163"/>
      <c r="G24" s="162"/>
      <c r="H24" s="163"/>
      <c r="I24" s="245" t="str">
        <f t="shared" si="1"/>
        <v>#DIV/0!</v>
      </c>
      <c r="J24" s="249"/>
    </row>
    <row r="25" ht="15.75" customHeight="1">
      <c r="A25" s="229">
        <v>44433.0</v>
      </c>
      <c r="B25" s="162"/>
      <c r="C25" s="158"/>
      <c r="D25" s="162"/>
      <c r="E25" s="163"/>
      <c r="F25" s="163"/>
      <c r="G25" s="162"/>
      <c r="H25" s="163"/>
      <c r="I25" s="245" t="str">
        <f t="shared" si="1"/>
        <v>#DIV/0!</v>
      </c>
      <c r="J25" s="249"/>
    </row>
    <row r="26" ht="15.75" customHeight="1">
      <c r="A26" s="229">
        <v>44434.0</v>
      </c>
      <c r="B26" s="163"/>
      <c r="C26" s="158"/>
      <c r="D26" s="163"/>
      <c r="E26" s="163"/>
      <c r="F26" s="163"/>
      <c r="G26" s="163"/>
      <c r="H26" s="163"/>
      <c r="I26" s="245" t="str">
        <f t="shared" si="1"/>
        <v>#DIV/0!</v>
      </c>
      <c r="J26" s="249"/>
    </row>
    <row r="27" ht="15.75" customHeight="1">
      <c r="A27" s="229">
        <v>44435.0</v>
      </c>
      <c r="B27" s="251"/>
      <c r="C27" s="248"/>
      <c r="D27" s="163"/>
      <c r="E27" s="163"/>
      <c r="F27" s="163"/>
      <c r="G27" s="163"/>
      <c r="H27" s="163"/>
      <c r="I27" s="245" t="str">
        <f t="shared" si="1"/>
        <v>#DIV/0!</v>
      </c>
      <c r="J27" s="249"/>
    </row>
    <row r="28" ht="15.75" customHeight="1">
      <c r="A28" s="229">
        <v>44436.0</v>
      </c>
      <c r="B28" s="163"/>
      <c r="C28" s="158"/>
      <c r="D28" s="163"/>
      <c r="E28" s="163"/>
      <c r="F28" s="163"/>
      <c r="G28" s="163"/>
      <c r="H28" s="163"/>
      <c r="I28" s="245" t="str">
        <f t="shared" si="1"/>
        <v>#DIV/0!</v>
      </c>
      <c r="J28" s="249"/>
    </row>
    <row r="29" ht="15.75" customHeight="1">
      <c r="A29" s="229">
        <v>44437.0</v>
      </c>
      <c r="B29" s="163"/>
      <c r="C29" s="158"/>
      <c r="D29" s="163"/>
      <c r="E29" s="163"/>
      <c r="F29" s="163"/>
      <c r="G29" s="163"/>
      <c r="H29" s="163"/>
      <c r="I29" s="245" t="str">
        <f t="shared" si="1"/>
        <v>#DIV/0!</v>
      </c>
      <c r="J29" s="249"/>
    </row>
    <row r="30" ht="15.75" customHeight="1">
      <c r="A30" s="229">
        <v>44438.0</v>
      </c>
      <c r="B30" s="163"/>
      <c r="C30" s="158"/>
      <c r="D30" s="163"/>
      <c r="E30" s="163"/>
      <c r="F30" s="163"/>
      <c r="G30" s="163"/>
      <c r="H30" s="163"/>
      <c r="I30" s="245" t="str">
        <f t="shared" si="1"/>
        <v>#DIV/0!</v>
      </c>
      <c r="J30" s="249"/>
    </row>
    <row r="31" ht="15.75" customHeight="1">
      <c r="A31" s="229">
        <v>44439.0</v>
      </c>
      <c r="B31" s="163"/>
      <c r="C31" s="158"/>
      <c r="D31" s="163"/>
      <c r="E31" s="163"/>
      <c r="F31" s="163"/>
      <c r="G31" s="163"/>
      <c r="H31" s="163"/>
      <c r="I31" s="245" t="str">
        <f t="shared" si="1"/>
        <v>#DIV/0!</v>
      </c>
      <c r="J31" s="249"/>
    </row>
    <row r="32" ht="15.75" customHeight="1">
      <c r="A32" s="229">
        <v>44440.0</v>
      </c>
      <c r="B32" s="163"/>
      <c r="C32" s="158"/>
      <c r="D32" s="163"/>
      <c r="E32" s="163"/>
      <c r="F32" s="163"/>
      <c r="G32" s="163"/>
      <c r="H32" s="163"/>
      <c r="I32" s="245" t="str">
        <f t="shared" si="1"/>
        <v>#DIV/0!</v>
      </c>
      <c r="J32" s="249"/>
    </row>
    <row r="33" ht="15.75" customHeight="1">
      <c r="A33" s="229">
        <v>44441.0</v>
      </c>
      <c r="B33" s="163"/>
      <c r="C33" s="158"/>
      <c r="D33" s="163"/>
      <c r="E33" s="163"/>
      <c r="F33" s="163"/>
      <c r="G33" s="163"/>
      <c r="H33" s="163"/>
      <c r="I33" s="245" t="str">
        <f t="shared" si="1"/>
        <v>#DIV/0!</v>
      </c>
      <c r="J33" s="249"/>
      <c r="K33" s="48" t="s">
        <v>126</v>
      </c>
    </row>
    <row r="34" ht="15.75" customHeight="1">
      <c r="A34" s="229">
        <v>44442.0</v>
      </c>
      <c r="B34" s="163"/>
      <c r="C34" s="158"/>
      <c r="D34" s="163"/>
      <c r="E34" s="163"/>
      <c r="F34" s="163"/>
      <c r="G34" s="163"/>
      <c r="H34" s="163"/>
      <c r="I34" s="245" t="str">
        <f t="shared" si="1"/>
        <v>#DIV/0!</v>
      </c>
      <c r="J34" s="249"/>
    </row>
    <row r="35" ht="15.75" customHeight="1">
      <c r="A35" s="229">
        <v>44443.0</v>
      </c>
      <c r="B35" s="163"/>
      <c r="C35" s="158"/>
      <c r="D35" s="163"/>
      <c r="E35" s="163"/>
      <c r="F35" s="163"/>
      <c r="G35" s="163"/>
      <c r="H35" s="163"/>
      <c r="I35" s="245" t="str">
        <f t="shared" si="1"/>
        <v>#DIV/0!</v>
      </c>
      <c r="J35" s="249"/>
    </row>
    <row r="36" ht="15.75" customHeight="1">
      <c r="A36" s="229">
        <v>44444.0</v>
      </c>
      <c r="B36" s="163"/>
      <c r="C36" s="158"/>
      <c r="D36" s="163"/>
      <c r="E36" s="163"/>
      <c r="F36" s="163"/>
      <c r="G36" s="163"/>
      <c r="H36" s="163"/>
      <c r="I36" s="245" t="str">
        <f t="shared" si="1"/>
        <v>#DIV/0!</v>
      </c>
      <c r="J36" s="249"/>
    </row>
    <row r="37" ht="15.75" customHeight="1">
      <c r="A37" s="232" t="s">
        <v>119</v>
      </c>
      <c r="B37" s="162" t="str">
        <f t="shared" ref="B37:H37" si="3">AVERAGE(B2:B36)</f>
        <v>#DIV/0!</v>
      </c>
      <c r="C37" s="158" t="str">
        <f t="shared" si="3"/>
        <v>#DIV/0!</v>
      </c>
      <c r="D37" s="163" t="str">
        <f t="shared" si="3"/>
        <v>#DIV/0!</v>
      </c>
      <c r="E37" s="163" t="str">
        <f t="shared" si="3"/>
        <v>#DIV/0!</v>
      </c>
      <c r="F37" s="158" t="str">
        <f t="shared" si="3"/>
        <v>#DIV/0!</v>
      </c>
      <c r="G37" s="163" t="str">
        <f t="shared" si="3"/>
        <v>#DIV/0!</v>
      </c>
      <c r="H37" s="163" t="str">
        <f t="shared" si="3"/>
        <v>#DIV/0!</v>
      </c>
      <c r="I37" s="163"/>
      <c r="J37" s="250" t="str">
        <f>AVERAGE(J2:J36)</f>
        <v>#DIV/0!</v>
      </c>
    </row>
    <row r="38" ht="15.75" customHeight="1">
      <c r="A38" s="252" t="s">
        <v>39</v>
      </c>
      <c r="B38" s="157">
        <f>SUM(B2:B36)</f>
        <v>0</v>
      </c>
      <c r="C38" s="158"/>
      <c r="D38" s="163">
        <f>SUM(D2:D36)</f>
        <v>0</v>
      </c>
      <c r="E38" s="163" t="str">
        <f t="shared" ref="E38:F38" si="4">AVERAGE(E9:E27)</f>
        <v>#DIV/0!</v>
      </c>
      <c r="F38" s="158" t="str">
        <f t="shared" si="4"/>
        <v>#DIV/0!</v>
      </c>
      <c r="G38" s="163">
        <f>SUM(G2:G36)</f>
        <v>0</v>
      </c>
      <c r="H38" s="163" t="str">
        <f>AVERAGE(H9:H27)</f>
        <v>#DIV/0!</v>
      </c>
      <c r="I38" s="245" t="str">
        <f>J38/G38</f>
        <v>#DIV/0!</v>
      </c>
      <c r="J38" s="249">
        <f>SUM(J2:J36)</f>
        <v>0</v>
      </c>
    </row>
    <row r="39" ht="15.75" customHeight="1">
      <c r="A39" s="253"/>
      <c r="B39" s="191"/>
      <c r="C39" s="254"/>
      <c r="I39" s="122"/>
      <c r="J39" s="255"/>
    </row>
    <row r="40" ht="15.75" customHeight="1">
      <c r="A40" s="253"/>
      <c r="B40" s="191"/>
      <c r="C40" s="254"/>
      <c r="I40" s="122"/>
      <c r="J40" s="255"/>
    </row>
    <row r="41" ht="15.75" customHeight="1">
      <c r="A41" s="253"/>
      <c r="B41" s="191"/>
      <c r="C41" s="254"/>
      <c r="I41" s="122"/>
      <c r="J41" s="255"/>
    </row>
    <row r="42" ht="15.75" customHeight="1">
      <c r="A42" s="253"/>
      <c r="B42" s="191"/>
      <c r="C42" s="254"/>
      <c r="I42" s="122"/>
      <c r="J42" s="255"/>
    </row>
    <row r="43" ht="15.75" customHeight="1">
      <c r="A43" s="253"/>
      <c r="B43" s="191"/>
      <c r="C43" s="254"/>
      <c r="I43" s="122"/>
      <c r="J43" s="255"/>
    </row>
    <row r="44" ht="15.75" customHeight="1">
      <c r="A44" s="253"/>
      <c r="B44" s="191"/>
      <c r="C44" s="254"/>
      <c r="I44" s="122"/>
      <c r="J44" s="255"/>
    </row>
    <row r="45" ht="15.75" customHeight="1">
      <c r="A45" s="253"/>
      <c r="B45" s="191"/>
      <c r="C45" s="254"/>
      <c r="I45" s="122"/>
      <c r="J45" s="255"/>
    </row>
    <row r="46" ht="15.75" customHeight="1">
      <c r="A46" s="253"/>
      <c r="B46" s="191"/>
      <c r="C46" s="254"/>
      <c r="I46" s="122"/>
      <c r="J46" s="255"/>
    </row>
    <row r="47" ht="15.75" customHeight="1">
      <c r="A47" s="253"/>
      <c r="B47" s="191"/>
      <c r="C47" s="254"/>
      <c r="I47" s="122"/>
      <c r="J47" s="255"/>
    </row>
    <row r="48" ht="15.75" customHeight="1">
      <c r="A48" s="253"/>
      <c r="B48" s="191"/>
      <c r="C48" s="254"/>
      <c r="I48" s="122"/>
      <c r="J48" s="255"/>
    </row>
    <row r="49" ht="15.75" customHeight="1">
      <c r="A49" s="253"/>
      <c r="B49" s="191"/>
      <c r="C49" s="254"/>
      <c r="I49" s="122"/>
      <c r="J49" s="255"/>
    </row>
    <row r="50" ht="15.75" customHeight="1">
      <c r="A50" s="253"/>
      <c r="B50" s="191"/>
      <c r="C50" s="254"/>
      <c r="I50" s="122"/>
      <c r="J50" s="255"/>
    </row>
    <row r="51" ht="15.75" customHeight="1">
      <c r="A51" s="253"/>
      <c r="B51" s="191"/>
      <c r="C51" s="254"/>
      <c r="I51" s="122"/>
      <c r="J51" s="255"/>
    </row>
    <row r="52" ht="15.75" customHeight="1">
      <c r="A52" s="253"/>
      <c r="B52" s="191"/>
      <c r="C52" s="254"/>
      <c r="I52" s="122"/>
      <c r="J52" s="255"/>
    </row>
    <row r="53" ht="15.75" customHeight="1">
      <c r="A53" s="253"/>
      <c r="B53" s="191"/>
      <c r="C53" s="254"/>
      <c r="I53" s="122"/>
      <c r="J53" s="255"/>
    </row>
    <row r="54" ht="15.75" customHeight="1">
      <c r="A54" s="253"/>
      <c r="B54" s="191"/>
      <c r="C54" s="254"/>
      <c r="I54" s="122"/>
      <c r="J54" s="255"/>
    </row>
    <row r="55" ht="15.75" customHeight="1">
      <c r="A55" s="253"/>
      <c r="B55" s="191"/>
      <c r="C55" s="254"/>
      <c r="I55" s="122"/>
      <c r="J55" s="255"/>
    </row>
    <row r="56" ht="15.75" customHeight="1">
      <c r="A56" s="253"/>
      <c r="B56" s="191"/>
      <c r="C56" s="254"/>
      <c r="I56" s="122"/>
      <c r="J56" s="255"/>
    </row>
    <row r="57" ht="15.75" customHeight="1">
      <c r="A57" s="253"/>
      <c r="B57" s="191"/>
      <c r="C57" s="254"/>
      <c r="I57" s="122"/>
      <c r="J57" s="255"/>
    </row>
    <row r="58" ht="15.75" customHeight="1">
      <c r="A58" s="253"/>
      <c r="B58" s="191"/>
      <c r="C58" s="254"/>
      <c r="I58" s="122"/>
      <c r="J58" s="255"/>
    </row>
    <row r="59" ht="15.75" customHeight="1">
      <c r="A59" s="253"/>
      <c r="B59" s="191"/>
      <c r="C59" s="254"/>
      <c r="I59" s="122"/>
      <c r="J59" s="255"/>
    </row>
    <row r="60" ht="15.75" customHeight="1">
      <c r="A60" s="253"/>
      <c r="B60" s="191"/>
      <c r="C60" s="254"/>
      <c r="I60" s="122"/>
      <c r="J60" s="255"/>
    </row>
    <row r="61" ht="15.75" customHeight="1">
      <c r="A61" s="253"/>
      <c r="B61" s="191"/>
      <c r="C61" s="254"/>
      <c r="I61" s="122"/>
      <c r="J61" s="255"/>
    </row>
    <row r="62" ht="15.75" customHeight="1">
      <c r="A62" s="253"/>
      <c r="B62" s="191"/>
      <c r="C62" s="254"/>
      <c r="I62" s="122"/>
      <c r="J62" s="255"/>
    </row>
    <row r="63" ht="15.75" customHeight="1">
      <c r="A63" s="253"/>
      <c r="B63" s="191"/>
      <c r="C63" s="254"/>
      <c r="I63" s="122"/>
      <c r="J63" s="255"/>
    </row>
    <row r="64" ht="15.75" customHeight="1">
      <c r="A64" s="253"/>
      <c r="B64" s="191"/>
      <c r="C64" s="254"/>
      <c r="I64" s="122"/>
      <c r="J64" s="255"/>
    </row>
    <row r="65" ht="15.75" customHeight="1">
      <c r="A65" s="253"/>
      <c r="B65" s="191"/>
      <c r="C65" s="254"/>
      <c r="I65" s="122"/>
      <c r="J65" s="255"/>
    </row>
    <row r="66" ht="15.75" customHeight="1">
      <c r="A66" s="253"/>
      <c r="B66" s="191"/>
      <c r="C66" s="254"/>
      <c r="I66" s="122"/>
      <c r="J66" s="255"/>
    </row>
    <row r="67" ht="15.75" customHeight="1">
      <c r="A67" s="253"/>
      <c r="B67" s="191"/>
      <c r="C67" s="254"/>
      <c r="I67" s="122"/>
      <c r="J67" s="255"/>
    </row>
    <row r="68" ht="15.75" customHeight="1">
      <c r="A68" s="253"/>
      <c r="B68" s="191"/>
      <c r="C68" s="254"/>
      <c r="I68" s="122"/>
      <c r="J68" s="255"/>
    </row>
    <row r="69" ht="15.75" customHeight="1">
      <c r="A69" s="253"/>
      <c r="B69" s="191"/>
      <c r="C69" s="254"/>
      <c r="I69" s="122"/>
      <c r="J69" s="255"/>
    </row>
    <row r="70" ht="15.75" customHeight="1">
      <c r="A70" s="253"/>
      <c r="B70" s="191"/>
      <c r="C70" s="254"/>
      <c r="I70" s="122"/>
      <c r="J70" s="255"/>
    </row>
    <row r="71" ht="15.75" customHeight="1">
      <c r="A71" s="253"/>
      <c r="B71" s="191"/>
      <c r="C71" s="254"/>
      <c r="I71" s="122"/>
      <c r="J71" s="255"/>
    </row>
    <row r="72" ht="15.75" customHeight="1">
      <c r="A72" s="253"/>
      <c r="B72" s="191"/>
      <c r="C72" s="254"/>
      <c r="I72" s="122"/>
      <c r="J72" s="255"/>
    </row>
    <row r="73" ht="15.75" customHeight="1">
      <c r="A73" s="253"/>
      <c r="B73" s="191"/>
      <c r="C73" s="254"/>
      <c r="I73" s="122"/>
      <c r="J73" s="255"/>
    </row>
    <row r="74" ht="15.75" customHeight="1">
      <c r="A74" s="253"/>
      <c r="B74" s="191"/>
      <c r="C74" s="254"/>
      <c r="I74" s="122"/>
      <c r="J74" s="255"/>
    </row>
    <row r="75" ht="15.75" customHeight="1">
      <c r="A75" s="253"/>
      <c r="B75" s="191"/>
      <c r="C75" s="254"/>
      <c r="I75" s="122"/>
      <c r="J75" s="255"/>
    </row>
    <row r="76" ht="15.75" customHeight="1">
      <c r="A76" s="253"/>
      <c r="B76" s="191"/>
      <c r="C76" s="254"/>
      <c r="I76" s="122"/>
      <c r="J76" s="255"/>
    </row>
    <row r="77" ht="15.75" customHeight="1">
      <c r="A77" s="253"/>
      <c r="B77" s="191"/>
      <c r="C77" s="254"/>
      <c r="I77" s="122"/>
      <c r="J77" s="255"/>
    </row>
    <row r="78" ht="15.75" customHeight="1">
      <c r="A78" s="253"/>
      <c r="B78" s="191"/>
      <c r="C78" s="254"/>
      <c r="I78" s="122"/>
      <c r="J78" s="255"/>
    </row>
    <row r="79" ht="15.75" customHeight="1">
      <c r="A79" s="253"/>
      <c r="B79" s="191"/>
      <c r="C79" s="254"/>
      <c r="I79" s="122"/>
      <c r="J79" s="255"/>
    </row>
    <row r="80" ht="15.75" customHeight="1">
      <c r="A80" s="253"/>
      <c r="B80" s="191"/>
      <c r="C80" s="254"/>
      <c r="I80" s="122"/>
      <c r="J80" s="255"/>
    </row>
    <row r="81" ht="15.75" customHeight="1">
      <c r="A81" s="253"/>
      <c r="B81" s="191"/>
      <c r="C81" s="254"/>
      <c r="I81" s="122"/>
      <c r="J81" s="255"/>
    </row>
    <row r="82" ht="15.75" customHeight="1">
      <c r="A82" s="253"/>
      <c r="B82" s="191"/>
      <c r="C82" s="254"/>
      <c r="I82" s="122"/>
      <c r="J82" s="255"/>
    </row>
    <row r="83" ht="15.75" customHeight="1">
      <c r="A83" s="253"/>
      <c r="B83" s="191"/>
      <c r="C83" s="254"/>
      <c r="I83" s="122"/>
      <c r="J83" s="255"/>
    </row>
    <row r="84" ht="15.75" customHeight="1">
      <c r="A84" s="253"/>
      <c r="B84" s="191"/>
      <c r="C84" s="254"/>
      <c r="I84" s="122"/>
      <c r="J84" s="255"/>
    </row>
    <row r="85" ht="15.75" customHeight="1">
      <c r="A85" s="253"/>
      <c r="B85" s="191"/>
      <c r="C85" s="254"/>
      <c r="I85" s="122"/>
      <c r="J85" s="255"/>
    </row>
    <row r="86" ht="15.75" customHeight="1">
      <c r="A86" s="253"/>
      <c r="B86" s="191"/>
      <c r="C86" s="254"/>
      <c r="I86" s="122"/>
      <c r="J86" s="255"/>
    </row>
    <row r="87" ht="15.75" customHeight="1">
      <c r="A87" s="253"/>
      <c r="B87" s="191"/>
      <c r="C87" s="254"/>
      <c r="I87" s="122"/>
      <c r="J87" s="255"/>
    </row>
    <row r="88" ht="15.75" customHeight="1">
      <c r="A88" s="253"/>
      <c r="B88" s="191"/>
      <c r="C88" s="254"/>
      <c r="I88" s="122"/>
      <c r="J88" s="255"/>
    </row>
    <row r="89" ht="15.75" customHeight="1">
      <c r="A89" s="253"/>
      <c r="B89" s="191"/>
      <c r="C89" s="254"/>
      <c r="I89" s="122"/>
      <c r="J89" s="255"/>
    </row>
    <row r="90" ht="15.75" customHeight="1">
      <c r="A90" s="253"/>
      <c r="B90" s="191"/>
      <c r="C90" s="254"/>
      <c r="I90" s="122"/>
      <c r="J90" s="255"/>
    </row>
    <row r="91" ht="15.75" customHeight="1">
      <c r="A91" s="253"/>
      <c r="B91" s="191"/>
      <c r="C91" s="254"/>
      <c r="I91" s="122"/>
      <c r="J91" s="255"/>
    </row>
    <row r="92" ht="15.75" customHeight="1">
      <c r="A92" s="253"/>
      <c r="B92" s="191"/>
      <c r="C92" s="254"/>
      <c r="I92" s="122"/>
      <c r="J92" s="255"/>
    </row>
    <row r="93" ht="15.75" customHeight="1">
      <c r="A93" s="253"/>
      <c r="B93" s="191"/>
      <c r="C93" s="254"/>
      <c r="I93" s="122"/>
      <c r="J93" s="255"/>
    </row>
    <row r="94" ht="15.75" customHeight="1">
      <c r="A94" s="253"/>
      <c r="B94" s="191"/>
      <c r="C94" s="254"/>
      <c r="I94" s="122"/>
      <c r="J94" s="255"/>
    </row>
    <row r="95" ht="15.75" customHeight="1">
      <c r="A95" s="253"/>
      <c r="B95" s="191"/>
      <c r="C95" s="254"/>
      <c r="I95" s="122"/>
      <c r="J95" s="255"/>
    </row>
    <row r="96" ht="15.75" customHeight="1">
      <c r="A96" s="253"/>
      <c r="B96" s="191"/>
      <c r="C96" s="254"/>
      <c r="I96" s="122"/>
      <c r="J96" s="255"/>
    </row>
    <row r="97" ht="15.75" customHeight="1">
      <c r="A97" s="253"/>
      <c r="B97" s="191"/>
      <c r="C97" s="254"/>
      <c r="I97" s="122"/>
      <c r="J97" s="255"/>
    </row>
    <row r="98" ht="15.75" customHeight="1">
      <c r="A98" s="253"/>
      <c r="B98" s="191"/>
      <c r="C98" s="254"/>
      <c r="I98" s="122"/>
      <c r="J98" s="255"/>
    </row>
    <row r="99" ht="15.75" customHeight="1">
      <c r="A99" s="253"/>
      <c r="B99" s="191"/>
      <c r="C99" s="254"/>
      <c r="I99" s="122"/>
      <c r="J99" s="255"/>
    </row>
    <row r="100" ht="15.75" customHeight="1">
      <c r="A100" s="253"/>
      <c r="B100" s="191"/>
      <c r="C100" s="254"/>
      <c r="I100" s="122"/>
      <c r="J100" s="255"/>
    </row>
    <row r="101" ht="15.75" customHeight="1">
      <c r="A101" s="253"/>
      <c r="B101" s="191"/>
      <c r="C101" s="254"/>
      <c r="I101" s="122"/>
      <c r="J101" s="255"/>
    </row>
    <row r="102" ht="15.75" customHeight="1">
      <c r="A102" s="253"/>
      <c r="B102" s="191"/>
      <c r="C102" s="254"/>
      <c r="I102" s="122"/>
      <c r="J102" s="255"/>
    </row>
    <row r="103" ht="15.75" customHeight="1">
      <c r="A103" s="253"/>
      <c r="B103" s="191"/>
      <c r="C103" s="254"/>
      <c r="I103" s="122"/>
      <c r="J103" s="255"/>
    </row>
    <row r="104" ht="15.75" customHeight="1">
      <c r="A104" s="253"/>
      <c r="B104" s="191"/>
      <c r="C104" s="254"/>
      <c r="I104" s="122"/>
      <c r="J104" s="255"/>
    </row>
    <row r="105" ht="15.75" customHeight="1">
      <c r="A105" s="253"/>
      <c r="B105" s="191"/>
      <c r="C105" s="254"/>
      <c r="I105" s="122"/>
      <c r="J105" s="255"/>
    </row>
    <row r="106" ht="15.75" customHeight="1">
      <c r="A106" s="253"/>
      <c r="B106" s="191"/>
      <c r="C106" s="254"/>
      <c r="I106" s="122"/>
      <c r="J106" s="255"/>
    </row>
    <row r="107" ht="15.75" customHeight="1">
      <c r="A107" s="253"/>
      <c r="B107" s="191"/>
      <c r="C107" s="254"/>
      <c r="I107" s="122"/>
      <c r="J107" s="255"/>
    </row>
    <row r="108" ht="15.75" customHeight="1">
      <c r="A108" s="253"/>
      <c r="B108" s="191"/>
      <c r="C108" s="254"/>
      <c r="I108" s="122"/>
      <c r="J108" s="255"/>
    </row>
    <row r="109" ht="15.75" customHeight="1">
      <c r="A109" s="253"/>
      <c r="B109" s="191"/>
      <c r="C109" s="254"/>
      <c r="I109" s="122"/>
      <c r="J109" s="255"/>
    </row>
    <row r="110" ht="15.75" customHeight="1">
      <c r="A110" s="253"/>
      <c r="B110" s="191"/>
      <c r="C110" s="254"/>
      <c r="I110" s="122"/>
      <c r="J110" s="255"/>
    </row>
    <row r="111" ht="15.75" customHeight="1">
      <c r="A111" s="253"/>
      <c r="B111" s="191"/>
      <c r="C111" s="254"/>
      <c r="I111" s="122"/>
      <c r="J111" s="255"/>
    </row>
    <row r="112" ht="15.75" customHeight="1">
      <c r="A112" s="253"/>
      <c r="B112" s="191"/>
      <c r="C112" s="254"/>
      <c r="I112" s="122"/>
      <c r="J112" s="255"/>
    </row>
    <row r="113" ht="15.75" customHeight="1">
      <c r="A113" s="253"/>
      <c r="B113" s="191"/>
      <c r="C113" s="254"/>
      <c r="I113" s="122"/>
      <c r="J113" s="255"/>
    </row>
    <row r="114" ht="15.75" customHeight="1">
      <c r="A114" s="253"/>
      <c r="B114" s="191"/>
      <c r="C114" s="254"/>
      <c r="I114" s="122"/>
      <c r="J114" s="255"/>
    </row>
    <row r="115" ht="15.75" customHeight="1">
      <c r="A115" s="253"/>
      <c r="B115" s="191"/>
      <c r="C115" s="254"/>
      <c r="I115" s="122"/>
      <c r="J115" s="255"/>
    </row>
    <row r="116" ht="15.75" customHeight="1">
      <c r="A116" s="253"/>
      <c r="B116" s="191"/>
      <c r="C116" s="254"/>
      <c r="I116" s="122"/>
      <c r="J116" s="255"/>
    </row>
    <row r="117" ht="15.75" customHeight="1">
      <c r="A117" s="253"/>
      <c r="B117" s="191"/>
      <c r="C117" s="254"/>
      <c r="I117" s="122"/>
      <c r="J117" s="255"/>
    </row>
    <row r="118" ht="15.75" customHeight="1">
      <c r="A118" s="253"/>
      <c r="B118" s="191"/>
      <c r="C118" s="254"/>
      <c r="I118" s="122"/>
      <c r="J118" s="255"/>
    </row>
    <row r="119" ht="15.75" customHeight="1">
      <c r="A119" s="253"/>
      <c r="B119" s="191"/>
      <c r="C119" s="254"/>
      <c r="I119" s="122"/>
      <c r="J119" s="255"/>
    </row>
    <row r="120" ht="15.75" customHeight="1">
      <c r="A120" s="253"/>
      <c r="B120" s="191"/>
      <c r="C120" s="254"/>
      <c r="I120" s="122"/>
      <c r="J120" s="255"/>
    </row>
    <row r="121" ht="15.75" customHeight="1">
      <c r="A121" s="253"/>
      <c r="B121" s="191"/>
      <c r="C121" s="254"/>
      <c r="I121" s="122"/>
      <c r="J121" s="255"/>
    </row>
    <row r="122" ht="15.75" customHeight="1">
      <c r="A122" s="253"/>
      <c r="B122" s="191"/>
      <c r="C122" s="254"/>
      <c r="I122" s="122"/>
      <c r="J122" s="255"/>
    </row>
    <row r="123" ht="15.75" customHeight="1">
      <c r="A123" s="253"/>
      <c r="B123" s="191"/>
      <c r="C123" s="254"/>
      <c r="I123" s="122"/>
      <c r="J123" s="255"/>
    </row>
    <row r="124" ht="15.75" customHeight="1">
      <c r="A124" s="253"/>
      <c r="B124" s="191"/>
      <c r="C124" s="254"/>
      <c r="I124" s="122"/>
      <c r="J124" s="255"/>
    </row>
    <row r="125" ht="15.75" customHeight="1">
      <c r="A125" s="253"/>
      <c r="B125" s="191"/>
      <c r="C125" s="254"/>
      <c r="I125" s="122"/>
      <c r="J125" s="255"/>
    </row>
    <row r="126" ht="15.75" customHeight="1">
      <c r="A126" s="253"/>
      <c r="B126" s="191"/>
      <c r="C126" s="254"/>
      <c r="I126" s="122"/>
      <c r="J126" s="255"/>
    </row>
    <row r="127" ht="15.75" customHeight="1">
      <c r="A127" s="253"/>
      <c r="B127" s="191"/>
      <c r="C127" s="254"/>
      <c r="I127" s="122"/>
      <c r="J127" s="255"/>
    </row>
    <row r="128" ht="15.75" customHeight="1">
      <c r="A128" s="253"/>
      <c r="B128" s="191"/>
      <c r="C128" s="254"/>
      <c r="I128" s="122"/>
      <c r="J128" s="255"/>
    </row>
    <row r="129" ht="15.75" customHeight="1">
      <c r="A129" s="253"/>
      <c r="B129" s="191"/>
      <c r="C129" s="254"/>
      <c r="I129" s="122"/>
      <c r="J129" s="255"/>
    </row>
    <row r="130" ht="15.75" customHeight="1">
      <c r="A130" s="253"/>
      <c r="B130" s="191"/>
      <c r="C130" s="254"/>
      <c r="I130" s="122"/>
      <c r="J130" s="255"/>
    </row>
    <row r="131" ht="15.75" customHeight="1">
      <c r="A131" s="253"/>
      <c r="B131" s="191"/>
      <c r="C131" s="254"/>
      <c r="I131" s="122"/>
      <c r="J131" s="255"/>
    </row>
    <row r="132" ht="15.75" customHeight="1">
      <c r="A132" s="253"/>
      <c r="B132" s="191"/>
      <c r="C132" s="254"/>
      <c r="I132" s="122"/>
      <c r="J132" s="255"/>
    </row>
    <row r="133" ht="15.75" customHeight="1">
      <c r="A133" s="253"/>
      <c r="B133" s="191"/>
      <c r="C133" s="254"/>
      <c r="I133" s="122"/>
      <c r="J133" s="255"/>
    </row>
    <row r="134" ht="15.75" customHeight="1">
      <c r="A134" s="253"/>
      <c r="B134" s="191"/>
      <c r="C134" s="254"/>
      <c r="I134" s="122"/>
      <c r="J134" s="255"/>
    </row>
    <row r="135" ht="15.75" customHeight="1">
      <c r="A135" s="253"/>
      <c r="B135" s="191"/>
      <c r="C135" s="254"/>
      <c r="I135" s="122"/>
      <c r="J135" s="255"/>
    </row>
    <row r="136" ht="15.75" customHeight="1">
      <c r="A136" s="253"/>
      <c r="B136" s="191"/>
      <c r="C136" s="254"/>
      <c r="I136" s="122"/>
      <c r="J136" s="255"/>
    </row>
    <row r="137" ht="15.75" customHeight="1">
      <c r="A137" s="253"/>
      <c r="B137" s="191"/>
      <c r="C137" s="254"/>
      <c r="I137" s="122"/>
      <c r="J137" s="255"/>
    </row>
    <row r="138" ht="15.75" customHeight="1">
      <c r="A138" s="253"/>
      <c r="B138" s="191"/>
      <c r="C138" s="254"/>
      <c r="I138" s="122"/>
      <c r="J138" s="255"/>
    </row>
    <row r="139" ht="15.75" customHeight="1">
      <c r="A139" s="253"/>
      <c r="B139" s="191"/>
      <c r="C139" s="254"/>
      <c r="I139" s="122"/>
      <c r="J139" s="255"/>
    </row>
    <row r="140" ht="15.75" customHeight="1">
      <c r="A140" s="253"/>
      <c r="B140" s="191"/>
      <c r="C140" s="254"/>
      <c r="I140" s="122"/>
      <c r="J140" s="255"/>
    </row>
    <row r="141" ht="15.75" customHeight="1">
      <c r="A141" s="253"/>
      <c r="B141" s="191"/>
      <c r="C141" s="254"/>
      <c r="I141" s="122"/>
      <c r="J141" s="255"/>
    </row>
    <row r="142" ht="15.75" customHeight="1">
      <c r="A142" s="253"/>
      <c r="B142" s="191"/>
      <c r="C142" s="254"/>
      <c r="I142" s="122"/>
      <c r="J142" s="255"/>
    </row>
    <row r="143" ht="15.75" customHeight="1">
      <c r="A143" s="253"/>
      <c r="B143" s="191"/>
      <c r="C143" s="254"/>
      <c r="I143" s="122"/>
      <c r="J143" s="255"/>
    </row>
    <row r="144" ht="15.75" customHeight="1">
      <c r="A144" s="253"/>
      <c r="B144" s="191"/>
      <c r="C144" s="254"/>
      <c r="I144" s="122"/>
      <c r="J144" s="255"/>
    </row>
    <row r="145" ht="15.75" customHeight="1">
      <c r="A145" s="253"/>
      <c r="B145" s="191"/>
      <c r="C145" s="254"/>
      <c r="I145" s="122"/>
      <c r="J145" s="255"/>
    </row>
    <row r="146" ht="15.75" customHeight="1">
      <c r="A146" s="253"/>
      <c r="B146" s="191"/>
      <c r="C146" s="254"/>
      <c r="I146" s="122"/>
      <c r="J146" s="255"/>
    </row>
    <row r="147" ht="15.75" customHeight="1">
      <c r="A147" s="253"/>
      <c r="B147" s="191"/>
      <c r="C147" s="254"/>
      <c r="I147" s="122"/>
      <c r="J147" s="255"/>
    </row>
    <row r="148" ht="15.75" customHeight="1">
      <c r="A148" s="253"/>
      <c r="B148" s="191"/>
      <c r="C148" s="254"/>
      <c r="I148" s="122"/>
      <c r="J148" s="255"/>
    </row>
    <row r="149" ht="15.75" customHeight="1">
      <c r="A149" s="253"/>
      <c r="B149" s="191"/>
      <c r="C149" s="254"/>
      <c r="I149" s="122"/>
      <c r="J149" s="255"/>
    </row>
    <row r="150" ht="15.75" customHeight="1">
      <c r="A150" s="253"/>
      <c r="B150" s="191"/>
      <c r="C150" s="254"/>
      <c r="I150" s="122"/>
      <c r="J150" s="255"/>
    </row>
    <row r="151" ht="15.75" customHeight="1">
      <c r="A151" s="253"/>
      <c r="B151" s="191"/>
      <c r="C151" s="254"/>
      <c r="I151" s="122"/>
      <c r="J151" s="255"/>
    </row>
    <row r="152" ht="15.75" customHeight="1">
      <c r="A152" s="253"/>
      <c r="B152" s="191"/>
      <c r="C152" s="254"/>
      <c r="I152" s="122"/>
      <c r="J152" s="255"/>
    </row>
    <row r="153" ht="15.75" customHeight="1">
      <c r="A153" s="253"/>
      <c r="B153" s="191"/>
      <c r="C153" s="254"/>
      <c r="I153" s="122"/>
      <c r="J153" s="255"/>
    </row>
    <row r="154" ht="15.75" customHeight="1">
      <c r="A154" s="253"/>
      <c r="B154" s="191"/>
      <c r="C154" s="254"/>
      <c r="I154" s="122"/>
      <c r="J154" s="255"/>
    </row>
    <row r="155" ht="15.75" customHeight="1">
      <c r="A155" s="253"/>
      <c r="B155" s="191"/>
      <c r="C155" s="254"/>
      <c r="I155" s="122"/>
      <c r="J155" s="255"/>
    </row>
    <row r="156" ht="15.75" customHeight="1">
      <c r="A156" s="253"/>
      <c r="B156" s="191"/>
      <c r="C156" s="254"/>
      <c r="I156" s="122"/>
      <c r="J156" s="255"/>
    </row>
    <row r="157" ht="15.75" customHeight="1">
      <c r="A157" s="253"/>
      <c r="B157" s="191"/>
      <c r="C157" s="254"/>
      <c r="I157" s="122"/>
      <c r="J157" s="255"/>
    </row>
    <row r="158" ht="15.75" customHeight="1">
      <c r="A158" s="253"/>
      <c r="B158" s="191"/>
      <c r="C158" s="254"/>
      <c r="I158" s="122"/>
      <c r="J158" s="255"/>
    </row>
    <row r="159" ht="15.75" customHeight="1">
      <c r="A159" s="253"/>
      <c r="B159" s="191"/>
      <c r="C159" s="254"/>
      <c r="I159" s="122"/>
      <c r="J159" s="255"/>
    </row>
    <row r="160" ht="15.75" customHeight="1">
      <c r="A160" s="253"/>
      <c r="B160" s="191"/>
      <c r="C160" s="254"/>
      <c r="I160" s="122"/>
      <c r="J160" s="255"/>
    </row>
    <row r="161" ht="15.75" customHeight="1">
      <c r="A161" s="253"/>
      <c r="B161" s="191"/>
      <c r="C161" s="254"/>
      <c r="I161" s="122"/>
      <c r="J161" s="255"/>
    </row>
    <row r="162" ht="15.75" customHeight="1">
      <c r="A162" s="253"/>
      <c r="B162" s="191"/>
      <c r="C162" s="254"/>
      <c r="I162" s="122"/>
      <c r="J162" s="255"/>
    </row>
    <row r="163" ht="15.75" customHeight="1">
      <c r="A163" s="253"/>
      <c r="B163" s="191"/>
      <c r="C163" s="254"/>
      <c r="I163" s="122"/>
      <c r="J163" s="255"/>
    </row>
    <row r="164" ht="15.75" customHeight="1">
      <c r="A164" s="253"/>
      <c r="B164" s="191"/>
      <c r="C164" s="254"/>
      <c r="I164" s="122"/>
      <c r="J164" s="255"/>
    </row>
    <row r="165" ht="15.75" customHeight="1">
      <c r="A165" s="253"/>
      <c r="B165" s="191"/>
      <c r="C165" s="254"/>
      <c r="I165" s="122"/>
      <c r="J165" s="255"/>
    </row>
    <row r="166" ht="15.75" customHeight="1">
      <c r="A166" s="253"/>
      <c r="B166" s="191"/>
      <c r="C166" s="254"/>
      <c r="I166" s="122"/>
      <c r="J166" s="255"/>
    </row>
    <row r="167" ht="15.75" customHeight="1">
      <c r="A167" s="253"/>
      <c r="B167" s="191"/>
      <c r="C167" s="254"/>
      <c r="I167" s="122"/>
      <c r="J167" s="255"/>
    </row>
    <row r="168" ht="15.75" customHeight="1">
      <c r="A168" s="253"/>
      <c r="B168" s="191"/>
      <c r="C168" s="254"/>
      <c r="I168" s="122"/>
      <c r="J168" s="255"/>
    </row>
    <row r="169" ht="15.75" customHeight="1">
      <c r="A169" s="253"/>
      <c r="B169" s="191"/>
      <c r="C169" s="254"/>
      <c r="I169" s="122"/>
      <c r="J169" s="255"/>
    </row>
    <row r="170" ht="15.75" customHeight="1">
      <c r="A170" s="253"/>
      <c r="B170" s="191"/>
      <c r="C170" s="254"/>
      <c r="I170" s="122"/>
      <c r="J170" s="255"/>
    </row>
    <row r="171" ht="15.75" customHeight="1">
      <c r="A171" s="253"/>
      <c r="B171" s="191"/>
      <c r="C171" s="254"/>
      <c r="I171" s="122"/>
      <c r="J171" s="255"/>
    </row>
    <row r="172" ht="15.75" customHeight="1">
      <c r="A172" s="253"/>
      <c r="B172" s="191"/>
      <c r="C172" s="254"/>
      <c r="I172" s="122"/>
      <c r="J172" s="255"/>
    </row>
    <row r="173" ht="15.75" customHeight="1">
      <c r="A173" s="253"/>
      <c r="B173" s="191"/>
      <c r="C173" s="254"/>
      <c r="I173" s="122"/>
      <c r="J173" s="255"/>
    </row>
    <row r="174" ht="15.75" customHeight="1">
      <c r="A174" s="253"/>
      <c r="B174" s="191"/>
      <c r="C174" s="254"/>
      <c r="I174" s="122"/>
      <c r="J174" s="255"/>
    </row>
    <row r="175" ht="15.75" customHeight="1">
      <c r="A175" s="253"/>
      <c r="B175" s="191"/>
      <c r="C175" s="254"/>
      <c r="I175" s="122"/>
      <c r="J175" s="255"/>
    </row>
    <row r="176" ht="15.75" customHeight="1">
      <c r="A176" s="253"/>
      <c r="B176" s="191"/>
      <c r="C176" s="254"/>
      <c r="I176" s="122"/>
      <c r="J176" s="255"/>
    </row>
    <row r="177" ht="15.75" customHeight="1">
      <c r="A177" s="253"/>
      <c r="B177" s="191"/>
      <c r="C177" s="254"/>
      <c r="I177" s="122"/>
      <c r="J177" s="255"/>
    </row>
    <row r="178" ht="15.75" customHeight="1">
      <c r="A178" s="253"/>
      <c r="B178" s="191"/>
      <c r="C178" s="254"/>
      <c r="I178" s="122"/>
      <c r="J178" s="255"/>
    </row>
    <row r="179" ht="15.75" customHeight="1">
      <c r="A179" s="253"/>
      <c r="B179" s="191"/>
      <c r="C179" s="254"/>
      <c r="I179" s="122"/>
      <c r="J179" s="255"/>
    </row>
    <row r="180" ht="15.75" customHeight="1">
      <c r="A180" s="253"/>
      <c r="B180" s="191"/>
      <c r="C180" s="254"/>
      <c r="I180" s="122"/>
      <c r="J180" s="255"/>
    </row>
    <row r="181" ht="15.75" customHeight="1">
      <c r="A181" s="253"/>
      <c r="B181" s="191"/>
      <c r="C181" s="254"/>
      <c r="I181" s="122"/>
      <c r="J181" s="255"/>
    </row>
    <row r="182" ht="15.75" customHeight="1">
      <c r="A182" s="253"/>
      <c r="B182" s="191"/>
      <c r="C182" s="254"/>
      <c r="I182" s="122"/>
      <c r="J182" s="255"/>
    </row>
    <row r="183" ht="15.75" customHeight="1">
      <c r="A183" s="253"/>
      <c r="B183" s="191"/>
      <c r="C183" s="254"/>
      <c r="I183" s="122"/>
      <c r="J183" s="255"/>
    </row>
    <row r="184" ht="15.75" customHeight="1">
      <c r="A184" s="253"/>
      <c r="B184" s="191"/>
      <c r="C184" s="254"/>
      <c r="I184" s="122"/>
      <c r="J184" s="255"/>
    </row>
    <row r="185" ht="15.75" customHeight="1">
      <c r="A185" s="253"/>
      <c r="B185" s="191"/>
      <c r="C185" s="254"/>
      <c r="I185" s="122"/>
      <c r="J185" s="255"/>
    </row>
    <row r="186" ht="15.75" customHeight="1">
      <c r="A186" s="253"/>
      <c r="B186" s="191"/>
      <c r="C186" s="254"/>
      <c r="I186" s="122"/>
      <c r="J186" s="255"/>
    </row>
    <row r="187" ht="15.75" customHeight="1">
      <c r="A187" s="253"/>
      <c r="B187" s="191"/>
      <c r="C187" s="254"/>
      <c r="I187" s="122"/>
      <c r="J187" s="255"/>
    </row>
    <row r="188" ht="15.75" customHeight="1">
      <c r="A188" s="253"/>
      <c r="B188" s="191"/>
      <c r="C188" s="254"/>
      <c r="I188" s="122"/>
      <c r="J188" s="255"/>
    </row>
    <row r="189" ht="15.75" customHeight="1">
      <c r="A189" s="253"/>
      <c r="B189" s="191"/>
      <c r="C189" s="254"/>
      <c r="I189" s="122"/>
      <c r="J189" s="255"/>
    </row>
    <row r="190" ht="15.75" customHeight="1">
      <c r="A190" s="253"/>
      <c r="B190" s="191"/>
      <c r="C190" s="254"/>
      <c r="I190" s="122"/>
      <c r="J190" s="255"/>
    </row>
    <row r="191" ht="15.75" customHeight="1">
      <c r="A191" s="253"/>
      <c r="B191" s="191"/>
      <c r="C191" s="254"/>
      <c r="I191" s="122"/>
      <c r="J191" s="255"/>
    </row>
    <row r="192" ht="15.75" customHeight="1">
      <c r="A192" s="253"/>
      <c r="B192" s="191"/>
      <c r="C192" s="254"/>
      <c r="I192" s="122"/>
      <c r="J192" s="255"/>
    </row>
    <row r="193" ht="15.75" customHeight="1">
      <c r="A193" s="253"/>
      <c r="B193" s="191"/>
      <c r="C193" s="254"/>
      <c r="I193" s="122"/>
      <c r="J193" s="255"/>
    </row>
    <row r="194" ht="15.75" customHeight="1">
      <c r="A194" s="253"/>
      <c r="B194" s="191"/>
      <c r="C194" s="254"/>
      <c r="I194" s="122"/>
      <c r="J194" s="255"/>
    </row>
    <row r="195" ht="15.75" customHeight="1">
      <c r="A195" s="253"/>
      <c r="B195" s="191"/>
      <c r="C195" s="254"/>
      <c r="I195" s="122"/>
      <c r="J195" s="255"/>
    </row>
    <row r="196" ht="15.75" customHeight="1">
      <c r="A196" s="253"/>
      <c r="B196" s="191"/>
      <c r="C196" s="254"/>
      <c r="I196" s="122"/>
      <c r="J196" s="255"/>
    </row>
    <row r="197" ht="15.75" customHeight="1">
      <c r="A197" s="253"/>
      <c r="B197" s="191"/>
      <c r="C197" s="254"/>
      <c r="I197" s="122"/>
      <c r="J197" s="255"/>
    </row>
    <row r="198" ht="15.75" customHeight="1">
      <c r="A198" s="253"/>
      <c r="B198" s="191"/>
      <c r="C198" s="254"/>
      <c r="I198" s="122"/>
      <c r="J198" s="255"/>
    </row>
    <row r="199" ht="15.75" customHeight="1">
      <c r="A199" s="253"/>
      <c r="B199" s="191"/>
      <c r="C199" s="254"/>
      <c r="I199" s="122"/>
      <c r="J199" s="255"/>
    </row>
    <row r="200" ht="15.75" customHeight="1">
      <c r="A200" s="253"/>
      <c r="B200" s="191"/>
      <c r="C200" s="254"/>
      <c r="I200" s="122"/>
      <c r="J200" s="255"/>
    </row>
    <row r="201" ht="15.75" customHeight="1">
      <c r="A201" s="253"/>
      <c r="B201" s="191"/>
      <c r="C201" s="254"/>
      <c r="I201" s="122"/>
      <c r="J201" s="255"/>
    </row>
    <row r="202" ht="15.75" customHeight="1">
      <c r="A202" s="253"/>
      <c r="B202" s="191"/>
      <c r="C202" s="254"/>
      <c r="I202" s="122"/>
      <c r="J202" s="255"/>
    </row>
    <row r="203" ht="15.75" customHeight="1">
      <c r="A203" s="253"/>
      <c r="B203" s="191"/>
      <c r="C203" s="254"/>
      <c r="I203" s="122"/>
      <c r="J203" s="255"/>
    </row>
    <row r="204" ht="15.75" customHeight="1">
      <c r="A204" s="253"/>
      <c r="B204" s="191"/>
      <c r="C204" s="254"/>
      <c r="I204" s="122"/>
      <c r="J204" s="255"/>
    </row>
    <row r="205" ht="15.75" customHeight="1">
      <c r="A205" s="253"/>
      <c r="B205" s="191"/>
      <c r="C205" s="254"/>
      <c r="I205" s="122"/>
      <c r="J205" s="255"/>
    </row>
    <row r="206" ht="15.75" customHeight="1">
      <c r="A206" s="253"/>
      <c r="B206" s="191"/>
      <c r="C206" s="254"/>
      <c r="I206" s="122"/>
      <c r="J206" s="255"/>
    </row>
    <row r="207" ht="15.75" customHeight="1">
      <c r="A207" s="253"/>
      <c r="B207" s="191"/>
      <c r="C207" s="254"/>
      <c r="I207" s="122"/>
      <c r="J207" s="255"/>
    </row>
    <row r="208" ht="15.75" customHeight="1">
      <c r="A208" s="253"/>
      <c r="B208" s="191"/>
      <c r="C208" s="254"/>
      <c r="I208" s="122"/>
      <c r="J208" s="255"/>
    </row>
    <row r="209" ht="15.75" customHeight="1">
      <c r="A209" s="253"/>
      <c r="B209" s="191"/>
      <c r="C209" s="254"/>
      <c r="I209" s="122"/>
      <c r="J209" s="255"/>
    </row>
    <row r="210" ht="15.75" customHeight="1">
      <c r="A210" s="253"/>
      <c r="B210" s="191"/>
      <c r="C210" s="254"/>
      <c r="I210" s="122"/>
      <c r="J210" s="255"/>
    </row>
    <row r="211" ht="15.75" customHeight="1">
      <c r="A211" s="253"/>
      <c r="B211" s="191"/>
      <c r="C211" s="254"/>
      <c r="I211" s="122"/>
      <c r="J211" s="255"/>
    </row>
    <row r="212" ht="15.75" customHeight="1">
      <c r="A212" s="253"/>
      <c r="B212" s="191"/>
      <c r="C212" s="254"/>
      <c r="I212" s="122"/>
      <c r="J212" s="255"/>
    </row>
    <row r="213" ht="15.75" customHeight="1">
      <c r="A213" s="253"/>
      <c r="B213" s="191"/>
      <c r="C213" s="254"/>
      <c r="I213" s="122"/>
      <c r="J213" s="255"/>
    </row>
    <row r="214" ht="15.75" customHeight="1">
      <c r="A214" s="253"/>
      <c r="B214" s="191"/>
      <c r="C214" s="254"/>
      <c r="I214" s="122"/>
      <c r="J214" s="255"/>
    </row>
    <row r="215" ht="15.75" customHeight="1">
      <c r="A215" s="253"/>
      <c r="B215" s="191"/>
      <c r="C215" s="254"/>
      <c r="I215" s="122"/>
      <c r="J215" s="255"/>
    </row>
    <row r="216" ht="15.75" customHeight="1">
      <c r="A216" s="253"/>
      <c r="B216" s="191"/>
      <c r="C216" s="254"/>
      <c r="I216" s="122"/>
      <c r="J216" s="255"/>
    </row>
    <row r="217" ht="15.75" customHeight="1">
      <c r="A217" s="253"/>
      <c r="B217" s="191"/>
      <c r="C217" s="254"/>
      <c r="I217" s="122"/>
      <c r="J217" s="255"/>
    </row>
    <row r="218" ht="15.75" customHeight="1">
      <c r="A218" s="253"/>
      <c r="B218" s="191"/>
      <c r="C218" s="254"/>
      <c r="I218" s="122"/>
      <c r="J218" s="255"/>
    </row>
    <row r="219" ht="15.75" customHeight="1">
      <c r="A219" s="253"/>
      <c r="B219" s="191"/>
      <c r="C219" s="254"/>
      <c r="I219" s="122"/>
      <c r="J219" s="255"/>
    </row>
    <row r="220" ht="15.75" customHeight="1">
      <c r="A220" s="253"/>
      <c r="B220" s="191"/>
      <c r="C220" s="254"/>
      <c r="I220" s="122"/>
      <c r="J220" s="255"/>
    </row>
    <row r="221" ht="15.75" customHeight="1">
      <c r="A221" s="253"/>
      <c r="B221" s="191"/>
      <c r="C221" s="254"/>
      <c r="I221" s="122"/>
      <c r="J221" s="255"/>
    </row>
    <row r="222" ht="15.75" customHeight="1">
      <c r="A222" s="253"/>
      <c r="B222" s="191"/>
      <c r="C222" s="254"/>
      <c r="I222" s="122"/>
      <c r="J222" s="255"/>
    </row>
    <row r="223" ht="15.75" customHeight="1">
      <c r="A223" s="253"/>
      <c r="B223" s="191"/>
      <c r="C223" s="254"/>
      <c r="I223" s="122"/>
      <c r="J223" s="255"/>
    </row>
    <row r="224" ht="15.75" customHeight="1">
      <c r="A224" s="253"/>
      <c r="B224" s="191"/>
      <c r="C224" s="254"/>
      <c r="I224" s="122"/>
      <c r="J224" s="255"/>
    </row>
    <row r="225" ht="15.75" customHeight="1">
      <c r="A225" s="253"/>
      <c r="B225" s="191"/>
      <c r="C225" s="254"/>
      <c r="I225" s="122"/>
      <c r="J225" s="255"/>
    </row>
    <row r="226" ht="15.75" customHeight="1">
      <c r="A226" s="253"/>
      <c r="B226" s="191"/>
      <c r="C226" s="254"/>
      <c r="I226" s="122"/>
      <c r="J226" s="255"/>
    </row>
    <row r="227" ht="15.75" customHeight="1">
      <c r="A227" s="253"/>
      <c r="B227" s="191"/>
      <c r="C227" s="254"/>
      <c r="I227" s="122"/>
      <c r="J227" s="255"/>
    </row>
    <row r="228" ht="15.75" customHeight="1">
      <c r="A228" s="253"/>
      <c r="B228" s="191"/>
      <c r="C228" s="254"/>
      <c r="I228" s="122"/>
      <c r="J228" s="255"/>
    </row>
    <row r="229" ht="15.75" customHeight="1">
      <c r="A229" s="253"/>
      <c r="B229" s="191"/>
      <c r="C229" s="254"/>
      <c r="I229" s="122"/>
      <c r="J229" s="255"/>
    </row>
    <row r="230" ht="15.75" customHeight="1">
      <c r="A230" s="253"/>
      <c r="B230" s="191"/>
      <c r="C230" s="254"/>
      <c r="I230" s="122"/>
      <c r="J230" s="255"/>
    </row>
    <row r="231" ht="15.75" customHeight="1">
      <c r="A231" s="253"/>
      <c r="B231" s="191"/>
      <c r="C231" s="254"/>
      <c r="I231" s="122"/>
      <c r="J231" s="255"/>
    </row>
    <row r="232" ht="15.75" customHeight="1">
      <c r="A232" s="253"/>
      <c r="B232" s="191"/>
      <c r="C232" s="254"/>
      <c r="I232" s="122"/>
      <c r="J232" s="255"/>
    </row>
    <row r="233" ht="15.75" customHeight="1">
      <c r="A233" s="253"/>
      <c r="B233" s="191"/>
      <c r="C233" s="254"/>
      <c r="I233" s="122"/>
      <c r="J233" s="255"/>
    </row>
    <row r="234" ht="15.75" customHeight="1">
      <c r="A234" s="253"/>
      <c r="B234" s="191"/>
      <c r="C234" s="254"/>
      <c r="I234" s="122"/>
      <c r="J234" s="255"/>
    </row>
    <row r="235" ht="15.75" customHeight="1">
      <c r="A235" s="253"/>
      <c r="B235" s="191"/>
      <c r="C235" s="254"/>
      <c r="I235" s="122"/>
      <c r="J235" s="255"/>
    </row>
    <row r="236" ht="15.75" customHeight="1">
      <c r="A236" s="253"/>
      <c r="B236" s="191"/>
      <c r="C236" s="254"/>
      <c r="I236" s="122"/>
      <c r="J236" s="255"/>
    </row>
    <row r="237" ht="15.75" customHeight="1">
      <c r="A237" s="253"/>
      <c r="B237" s="191"/>
      <c r="C237" s="254"/>
      <c r="I237" s="122"/>
      <c r="J237" s="255"/>
    </row>
    <row r="238" ht="15.75" customHeight="1">
      <c r="A238" s="253"/>
      <c r="B238" s="191"/>
      <c r="C238" s="254"/>
      <c r="I238" s="122"/>
      <c r="J238" s="255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