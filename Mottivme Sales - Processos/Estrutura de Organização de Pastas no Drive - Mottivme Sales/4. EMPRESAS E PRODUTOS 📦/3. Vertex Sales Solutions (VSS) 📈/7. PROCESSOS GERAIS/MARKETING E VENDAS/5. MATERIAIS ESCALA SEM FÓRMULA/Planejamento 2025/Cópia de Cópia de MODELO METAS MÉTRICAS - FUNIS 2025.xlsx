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INAR SEMANAL" sheetId="1" r:id="rId4"/>
    <sheet state="visible" name="TRAINING DAY (FORA DE SP)" sheetId="2" r:id="rId5"/>
    <sheet state="visible" name="CAPTAÇÃO PRO COMERCIAL" sheetId="3" r:id="rId6"/>
    <sheet state="visible" name="✂️CORTE" sheetId="4" r:id="rId7"/>
    <sheet state="visible" name="🗺️MICRO" sheetId="5" r:id="rId8"/>
    <sheet state="hidden" name="🧮 CALCULADORA" sheetId="6" r:id="rId9"/>
    <sheet state="hidden" name="🌱 RECORRÊNCIA LIVRO FLUXO" sheetId="7" r:id="rId10"/>
    <sheet state="hidden" name="SupermetricsQueries" sheetId="8" r:id="rId11"/>
    <sheet state="hidden" name="Página20" sheetId="9" r:id="rId12"/>
    <sheet state="hidden" name="TRACK" sheetId="10" r:id="rId13"/>
    <sheet state="hidden" name="x" sheetId="11" r:id="rId14"/>
    <sheet state="hidden" name="ESTEIRA" sheetId="12" r:id="rId15"/>
    <sheet state="hidden" name="LINHA DE CRÉDITO FB" sheetId="13" r:id="rId16"/>
    <sheet state="hidden" name="MONETIZAÇÕES" sheetId="14" r:id="rId17"/>
    <sheet state="hidden" name="SU - VENDAS" sheetId="15" r:id="rId18"/>
    <sheet state="hidden" name="SU - LEADS" sheetId="16" r:id="rId19"/>
    <sheet state="hidden" name="EA - LEADS" sheetId="17" r:id="rId20"/>
    <sheet state="hidden" name="SA - VENDAS" sheetId="18" r:id="rId21"/>
    <sheet state="hidden" name="SA - LEADS" sheetId="19" r:id="rId22"/>
    <sheet state="hidden" name="CP - VENDAS" sheetId="20" r:id="rId23"/>
    <sheet state="hidden" name="MN - VENDAS" sheetId="21" r:id="rId24"/>
    <sheet state="hidden" name="FT - VENDAS" sheetId="22" r:id="rId25"/>
    <sheet state="hidden" name="ST - VENDAS" sheetId="23" r:id="rId26"/>
    <sheet state="hidden" name="C" sheetId="24" r:id="rId27"/>
    <sheet state="hidden" name="Z" sheetId="25" r:id="rId28"/>
  </sheets>
  <definedNames>
    <definedName name="zsupermetrics_refreshAll">SupermetricsQueries!$H$5</definedName>
    <definedName name="zsupermetrics_forceRefresh">SupermetricsQueries!$H$4</definedName>
    <definedName name="zsupermetrics_refreshAllSilent">SupermetricsQueries!$H$6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
      <text>
        <t xml:space="preserve">======
ID#AAABCrgpDvM
Gabriel Rucci    (2023-12-18 18:43:02)
TUTORES - CALLS EM GRUPO E 4 INDIVIDUAIS: R$1.000 
IMPOSTO: R$2.500
TRÁFEGO: R$4.000
COMERCIAL 8%: R$2.400
IMERSAO P: R$1.500
------
ID#AAABCrgpDvY
Gabriel Rucci    (2023-12-18 19:10:23)
_Marcada como resolvida_
------
ID#AAABCrgpDvc
Gabriel Rucci    (2023-12-18 19:11:03)
_Reaberta_</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
ID#AAAAlUr6ovQ
Special settings for the query, possible values include    (2022-12-12 21:56:53)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
ID#AAAAlUr6ovI
    (2022-12-12 21:56:53)
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<sst xmlns="http://schemas.openxmlformats.org/spreadsheetml/2006/main" count="4336" uniqueCount="672">
  <si>
    <t>WEBINAR SEMANAL (MKT)</t>
  </si>
  <si>
    <t>VOLUME</t>
  </si>
  <si>
    <t>CUSTOS</t>
  </si>
  <si>
    <t>NUM FINAIS</t>
  </si>
  <si>
    <t>VOLUME SEMANAL</t>
  </si>
  <si>
    <t>NÚMEROS FINAIS SEMANAL</t>
  </si>
  <si>
    <t>Leads</t>
  </si>
  <si>
    <t>Leads +MQL</t>
  </si>
  <si>
    <t>AGENDAMENTOS</t>
  </si>
  <si>
    <t>CALLS</t>
  </si>
  <si>
    <t>PESSOAS NO PITCH</t>
  </si>
  <si>
    <t>VENDAS</t>
  </si>
  <si>
    <t>V. MKT</t>
  </si>
  <si>
    <t>V. COM</t>
  </si>
  <si>
    <t>CPL</t>
  </si>
  <si>
    <t>CPL MQL</t>
  </si>
  <si>
    <t xml:space="preserve">CP AG </t>
  </si>
  <si>
    <t>CP. C.R</t>
  </si>
  <si>
    <t>C P/ PESSOA PITCH</t>
  </si>
  <si>
    <t>CAC GERAL</t>
  </si>
  <si>
    <t>CAC MKT</t>
  </si>
  <si>
    <t>CAC COM</t>
  </si>
  <si>
    <t>INVESTIMENTO</t>
  </si>
  <si>
    <t>FATURAMENTO</t>
  </si>
  <si>
    <t>FAT MKT</t>
  </si>
  <si>
    <t>FAT COM</t>
  </si>
  <si>
    <t>Ticket médio</t>
  </si>
  <si>
    <t>T.M MKT</t>
  </si>
  <si>
    <t>T.M COM</t>
  </si>
  <si>
    <t>ROAS</t>
  </si>
  <si>
    <t>ROAS MKT</t>
  </si>
  <si>
    <t>ROAS COM</t>
  </si>
  <si>
    <t>Janeiro</t>
  </si>
  <si>
    <t>fevereiro</t>
  </si>
  <si>
    <t>março</t>
  </si>
  <si>
    <t>abril</t>
  </si>
  <si>
    <t>maio</t>
  </si>
  <si>
    <t>junho</t>
  </si>
  <si>
    <t>julho</t>
  </si>
  <si>
    <t>agosto</t>
  </si>
  <si>
    <t>setembro</t>
  </si>
  <si>
    <t>outubro</t>
  </si>
  <si>
    <t>novembro</t>
  </si>
  <si>
    <t>dezembro</t>
  </si>
  <si>
    <t>TOTAL</t>
  </si>
  <si>
    <t>TRAINING DAY (FORA DE SP)</t>
  </si>
  <si>
    <t>Compras Pres</t>
  </si>
  <si>
    <t>Compras +MQL</t>
  </si>
  <si>
    <t>CAC</t>
  </si>
  <si>
    <t>CAC MQL</t>
  </si>
  <si>
    <t>COMPRAS</t>
  </si>
  <si>
    <t>CAPTAÇÃO P/ COMERCIAL</t>
  </si>
  <si>
    <t>CAC DO TRAFEGO</t>
  </si>
  <si>
    <t>CAIXA DA VENDA MED</t>
  </si>
  <si>
    <t>CUSTO DA OFERTA (FORA TRÁFEGO)</t>
  </si>
  <si>
    <t>Lucro</t>
  </si>
  <si>
    <t>Cliente</t>
  </si>
  <si>
    <t>CONTA 2024</t>
  </si>
  <si>
    <t>JANEIRO</t>
  </si>
  <si>
    <t>LEADS</t>
  </si>
  <si>
    <t>TICKET</t>
  </si>
  <si>
    <t>GATWAY</t>
  </si>
  <si>
    <t>IMPOSTOS</t>
  </si>
  <si>
    <t>LIQUIDO</t>
  </si>
  <si>
    <t>TRÁFEGO</t>
  </si>
  <si>
    <t>BRUTO</t>
  </si>
  <si>
    <t>Q1</t>
  </si>
  <si>
    <t>OPERACIONAL</t>
  </si>
  <si>
    <t>FEVEREIRO</t>
  </si>
  <si>
    <t>EVENTO</t>
  </si>
  <si>
    <t>MARÇO</t>
  </si>
  <si>
    <t>ABRIL</t>
  </si>
  <si>
    <t>Q2</t>
  </si>
  <si>
    <t>MAIO</t>
  </si>
  <si>
    <t>JUNHO</t>
  </si>
  <si>
    <t>CALCULADORA DE PORCENTAGEM LIVRO</t>
  </si>
  <si>
    <t>CALCULADORA DE PORCENTAGEM CURSO</t>
  </si>
  <si>
    <t>Ticket</t>
  </si>
  <si>
    <t>Plataforma Gatway</t>
  </si>
  <si>
    <t>Agência %</t>
  </si>
  <si>
    <t>Agência Investidora</t>
  </si>
  <si>
    <t>Produtor</t>
  </si>
  <si>
    <t>CALCULADORA DE PORCENTAGEM LIVRO AFF</t>
  </si>
  <si>
    <t>CALCULADORA DE PORCENTAGEM CURSO AFF</t>
  </si>
  <si>
    <t>Afiliado %</t>
  </si>
  <si>
    <t>Afiliado Investidor</t>
  </si>
  <si>
    <t>MÉTRICAS GERAIS</t>
  </si>
  <si>
    <t>janeiro</t>
  </si>
  <si>
    <t>INVESTIMENTO TOTAL</t>
  </si>
  <si>
    <t>FACEBOOK</t>
  </si>
  <si>
    <t>CLIQUES ÚNICOS</t>
  </si>
  <si>
    <t>CUSTO/CLIQUES ÚNICOS</t>
  </si>
  <si>
    <t>PÁGINA DE VENDAS</t>
  </si>
  <si>
    <t>CUSTO/ PÁGINA DE VENDAS</t>
  </si>
  <si>
    <t>CHECKOUT</t>
  </si>
  <si>
    <t>CUSTO/CHECKOUT</t>
  </si>
  <si>
    <t>CUSTO/VENDAS</t>
  </si>
  <si>
    <t>KPIS:</t>
  </si>
  <si>
    <t>_% Conversão Pg Vendas</t>
  </si>
  <si>
    <t>_% Conversão Checkout</t>
  </si>
  <si>
    <t>_% Conversão Vendas</t>
  </si>
  <si>
    <t>_% Order Bump</t>
  </si>
  <si>
    <t>_% Upsell 1</t>
  </si>
  <si>
    <t>_% Upsell 2</t>
  </si>
  <si>
    <t>FACEBOOK ADS (OFERTA DIRETA)</t>
  </si>
  <si>
    <t>FACEBOOK ADS (RMKT)</t>
  </si>
  <si>
    <t>GOOGLE ADS (OFERTA DIRETA)</t>
  </si>
  <si>
    <t>GOOGLE ADS (RMKT)</t>
  </si>
  <si>
    <t>Março</t>
  </si>
  <si>
    <t>DATA</t>
  </si>
  <si>
    <t>Investimento</t>
  </si>
  <si>
    <t>Compras</t>
  </si>
  <si>
    <t>Custo por Vendas</t>
  </si>
  <si>
    <t>Inicialização de Finalização de Compras</t>
  </si>
  <si>
    <t>Custo por Inicialização de Finalização de Compras</t>
  </si>
  <si>
    <t>Visualização Única de Página de destino</t>
  </si>
  <si>
    <t>Custo porVisualização Única de Página</t>
  </si>
  <si>
    <t>Cliques no link único</t>
  </si>
  <si>
    <t>Custo por Cliques no link único</t>
  </si>
  <si>
    <t>% Conversão Visualização Pg Vendas</t>
  </si>
  <si>
    <t>% Conversão de Compra</t>
  </si>
  <si>
    <t>Diário de Bordo</t>
  </si>
  <si>
    <t>% Conversão Pg Vendas</t>
  </si>
  <si>
    <t>Sexta-feira</t>
  </si>
  <si>
    <t>Planejamento e Metas Esperadas</t>
  </si>
  <si>
    <t>Números Reais</t>
  </si>
  <si>
    <t>Sábado</t>
  </si>
  <si>
    <t>Domingo</t>
  </si>
  <si>
    <t>Meta de Faturamento</t>
  </si>
  <si>
    <t>Investimento Realizado</t>
  </si>
  <si>
    <t>Segunda-feira</t>
  </si>
  <si>
    <t>Terça-feira</t>
  </si>
  <si>
    <t>Ticket do Produto</t>
  </si>
  <si>
    <t>Vendas Realizadas</t>
  </si>
  <si>
    <t>Quarta-feira</t>
  </si>
  <si>
    <t>Quinta-feira</t>
  </si>
  <si>
    <t>Taxas da Plataforma</t>
  </si>
  <si>
    <t>CPA Real</t>
  </si>
  <si>
    <t>Taxas de Coprodução</t>
  </si>
  <si>
    <t>Faturamento Real</t>
  </si>
  <si>
    <t>Receita final do Produto</t>
  </si>
  <si>
    <t>Lucro Bruto Real</t>
  </si>
  <si>
    <t>CPA Esperado</t>
  </si>
  <si>
    <t>Vendas Necessárias</t>
  </si>
  <si>
    <t>Investimento Necessário</t>
  </si>
  <si>
    <t>Lucro Bruto</t>
  </si>
  <si>
    <t>Dias para alcançar a Meta</t>
  </si>
  <si>
    <t>Investimento Diário</t>
  </si>
  <si>
    <t>Vendas Diárias</t>
  </si>
  <si>
    <t>% Remarketing Diário (por inicialização)</t>
  </si>
  <si>
    <t>Programar novo CJA  A campanha *[ABO][BM1-EA-CA001][INICIALIZAÇÃO][EA] — SKIN CARE NATURAL - FEVEREIRO foi programada para iniciar as 23:59 do dia 31/01/21, os conjuntos serão ativados gradualmente sendo analisado a cada 3 dias o seu desempenho.</t>
  </si>
  <si>
    <t>Abril</t>
  </si>
  <si>
    <t>Média de Vendas por Dia</t>
  </si>
  <si>
    <t>RESET (mudança de pub e posiconamento ) + pg vendas</t>
  </si>
  <si>
    <t>PAUSADO</t>
  </si>
  <si>
    <t>MORNO ATIVADO</t>
  </si>
  <si>
    <t>Maio</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</si>
  <si>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</si>
  <si>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</si>
  <si>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</si>
  <si>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</si>
  <si>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</si>
  <si>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America/Los_Angeles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</si>
  <si>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</si>
  <si>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</si>
  <si>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</si>
  <si>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</si>
  <si>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</si>
  <si>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</si>
  <si>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</si>
  <si>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</si>
  <si>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</si>
  <si>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</si>
  <si>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</si>
  <si>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</si>
  <si>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</si>
  <si>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</si>
  <si>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</si>
  <si>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</si>
  <si>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</si>
  <si>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</si>
  <si>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</si>
  <si>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</si>
  <si>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</si>
  <si>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</si>
  <si>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</si>
  <si>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</si>
  <si>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</si>
  <si>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</si>
  <si>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</si>
  <si>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</si>
  <si>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</si>
  <si>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</si>
  <si>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</si>
  <si>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</si>
  <si>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</si>
  <si>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</si>
  <si>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</si>
  <si>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</si>
  <si>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</si>
  <si>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</si>
  <si>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</si>
  <si>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</si>
  <si>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</si>
  <si>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</si>
  <si>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</si>
  <si>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</si>
  <si>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</si>
  <si>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</si>
  <si>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</si>
  <si>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</si>
  <si>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</si>
  <si>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</si>
  <si>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</si>
  <si>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</si>
  <si>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</si>
  <si>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</si>
  <si>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</si>
  <si>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</si>
  <si>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</si>
  <si>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</si>
  <si>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</si>
  <si>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</si>
  <si>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</si>
  <si>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</si>
  <si>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</si>
  <si>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</si>
  <si>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</si>
  <si>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</si>
  <si>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</si>
  <si>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</si>
  <si>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</si>
  <si>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</si>
  <si>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</si>
  <si>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</si>
  <si>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</si>
  <si>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</si>
  <si>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</si>
  <si>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</si>
  <si>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</si>
  <si>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</si>
  <si>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</si>
  <si>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</si>
  <si>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</si>
  <si>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</si>
  <si>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2H</t>
  </si>
  <si>
    <t>1H</t>
  </si>
  <si>
    <t>GOOGLE</t>
  </si>
  <si>
    <t>{lpurl}?utm_source=adwords&amp;utm_medium={_adcampaign}&amp;utm_campaign=perpetuo-sa&amp;utm_content={_adgroupname}&amp;utm_term={_adname}</t>
  </si>
  <si>
    <t>adcampaign</t>
  </si>
  <si>
    <t>s_ekanta</t>
  </si>
  <si>
    <t>adgroupname</t>
  </si>
  <si>
    <t>GP01</t>
  </si>
  <si>
    <t>adname</t>
  </si>
  <si>
    <t>AD01</t>
  </si>
  <si>
    <t>FACEBOOK ADS</t>
  </si>
  <si>
    <t>PRODUTO</t>
  </si>
  <si>
    <t>LANÇAMENTO</t>
  </si>
  <si>
    <t>Parâmetros de URL - Facebook Ads</t>
  </si>
  <si>
    <t>UTM_CAMPAIGN</t>
  </si>
  <si>
    <t>Formação Aroma</t>
  </si>
  <si>
    <t>Classico</t>
  </si>
  <si>
    <t>utm_source=facebook&amp;utm_medium={{campaign.name}}&amp;utm_campaign=perpetuo-sa&amp;utm_content={{adset.name}}&amp;utm_term={{ad.name}}</t>
  </si>
  <si>
    <t>lancamento-fa</t>
  </si>
  <si>
    <t>Apostila Sexualidade Tantra</t>
  </si>
  <si>
    <t>Perpetuo</t>
  </si>
  <si>
    <t>perpetuo-st</t>
  </si>
  <si>
    <t>Apostila Cold Process</t>
  </si>
  <si>
    <t>perpetuo-cp</t>
  </si>
  <si>
    <t>Apostila Make Natural</t>
  </si>
  <si>
    <t>perpetuo-mn</t>
  </si>
  <si>
    <t>Apostila Fitoterapia</t>
  </si>
  <si>
    <t>perpetuo-fi</t>
  </si>
  <si>
    <t>Beleza Aroma</t>
  </si>
  <si>
    <t>perpetuo-ba</t>
  </si>
  <si>
    <t>Lavanda Experience</t>
  </si>
  <si>
    <t>perpetuo-le</t>
  </si>
  <si>
    <t>Empreende Aroma</t>
  </si>
  <si>
    <t>perpetuo-ea</t>
  </si>
  <si>
    <t>Saboaria Aroma</t>
  </si>
  <si>
    <t>perpetuo-sa</t>
  </si>
  <si>
    <t>Saúde Aroma</t>
  </si>
  <si>
    <t>perpetuo-su</t>
  </si>
  <si>
    <t>Relacionamento Consciente</t>
  </si>
  <si>
    <t>perpetuo-rc</t>
  </si>
  <si>
    <t>Meteorico</t>
  </si>
  <si>
    <t>meteorico-sa</t>
  </si>
  <si>
    <t>meteorico-ea</t>
  </si>
  <si>
    <t>meteorico-su</t>
  </si>
  <si>
    <t>meteorico-rc</t>
  </si>
  <si>
    <t>META ANUAL 2020 PROJETADA</t>
  </si>
  <si>
    <t>Q3</t>
  </si>
  <si>
    <t>Q4</t>
  </si>
  <si>
    <t>JULHO</t>
  </si>
  <si>
    <t>AGOSTO</t>
  </si>
  <si>
    <t>SETEMBRO</t>
  </si>
  <si>
    <t>OUTUBRO</t>
  </si>
  <si>
    <t>NOVEMBRO</t>
  </si>
  <si>
    <t>DEZEMBRO</t>
  </si>
  <si>
    <t>Acesso Vitalício Saúde Aroma</t>
  </si>
  <si>
    <t>Acesso Vitalício Empreende Aroma</t>
  </si>
  <si>
    <t>Acesso Vitalício Saboaria Aroma</t>
  </si>
  <si>
    <t>Apostila Digital Cold Process</t>
  </si>
  <si>
    <t>Fitoterapia Integrativa</t>
  </si>
  <si>
    <t>Make Natural</t>
  </si>
  <si>
    <t>Mini-Curso Beleza Aroma</t>
  </si>
  <si>
    <t>Formação Fitoterapia NOVO</t>
  </si>
  <si>
    <t>Apostila Aromaterapia e Sexualidade  NOVO</t>
  </si>
  <si>
    <t>Academia da Saúde Integrativa (recorrência) NOVO</t>
  </si>
  <si>
    <t>Formação Tantra NOVO</t>
  </si>
  <si>
    <t>Certificação Fitoretapia NOVO</t>
  </si>
  <si>
    <t>META ALCANÇADA 2020</t>
  </si>
  <si>
    <t>Empreende Aroma DESC</t>
  </si>
  <si>
    <t>Saboaria Aroma DESC</t>
  </si>
  <si>
    <t>Saúde Aroma DESC</t>
  </si>
  <si>
    <t>Jabon Aroma</t>
  </si>
  <si>
    <t>Formação Tantra NOVO Sem KIT</t>
  </si>
  <si>
    <t>ANO 2019</t>
  </si>
  <si>
    <t>Formação Tantra NOVO Com KIT</t>
  </si>
  <si>
    <t>IMÃS DIGITAIS</t>
  </si>
  <si>
    <t>1ª OFERTA</t>
  </si>
  <si>
    <t>2ª OFERTA (order bump / plataforma)</t>
  </si>
  <si>
    <t>3ª OFERTA (order bump / plataforma)</t>
  </si>
  <si>
    <t>4ª OFERTA (order bump / plataforma)</t>
  </si>
  <si>
    <t>5ª OFERTA (plataforma / página de obrigada)</t>
  </si>
  <si>
    <t>4ª OFERTA (plataforma / página de obrigada)</t>
  </si>
  <si>
    <t>Front End (Entrada) 
PARA VOCÊ (R$ 97 &gt; R$ 397)</t>
  </si>
  <si>
    <t>Back End (Estrela) 
CERTIFICAÇÃO / 
NA PRÁTICA AVANÇADO 
(R$ 497 &gt; R$ 997)</t>
  </si>
  <si>
    <t>High End (Alto Valor) 
PROFISSÃO (R$ 1997 - INFINITO)</t>
  </si>
  <si>
    <t>Amostra Plataforma  Apostila Digital Cold Process</t>
  </si>
  <si>
    <t>Apostila Digital Cold Process R$ 47</t>
  </si>
  <si>
    <t xml:space="preserve"> Empreende Aroma</t>
  </si>
  <si>
    <t>Aprenda Como Viver de Forma PLENA utilizando a Aromaterapia no seu dia-a-dia</t>
  </si>
  <si>
    <t>KIT LAVANDA EXPERIENCE</t>
  </si>
  <si>
    <t>Acesso Vitalício Formação Aroma</t>
  </si>
  <si>
    <t xml:space="preserve">
Como descobrir as causas da ansiedade e depressão
</t>
  </si>
  <si>
    <t>Amostra Plataforma Saúde Aroma</t>
  </si>
  <si>
    <t>Amostra Plataforma  Apostila Fitoterapia Integrativa</t>
  </si>
  <si>
    <t>Apostila Fitoterapia Integrativa R$97</t>
  </si>
  <si>
    <t>Saúde Aroma por R$ 197</t>
  </si>
  <si>
    <t>Aprenda a fazer 5 Produtos para Cuidar da Beleza e Ganhar Dinheiro com a Aromaterapia</t>
  </si>
  <si>
    <t xml:space="preserve"> Formação Fitoterapia NOVO</t>
  </si>
  <si>
    <t>Acesso Vitalício Formação Fitoterapia</t>
  </si>
  <si>
    <t xml:space="preserve">Amostra Plataforma  Empreende Aroma
</t>
  </si>
  <si>
    <t>Webinar Prosperando com Aromaterapia</t>
  </si>
  <si>
    <t>Amostra Plataforma  Make Natural</t>
  </si>
  <si>
    <t>Saboaria Chatboot</t>
  </si>
  <si>
    <t>Mentoria Negócio de Cosmeticos Naturais</t>
  </si>
  <si>
    <t>Como fazer sabonetes naturais com os beneficios da Aromaterapia</t>
  </si>
  <si>
    <t xml:space="preserve">Amostra Plataforma  Saboaria Aroma
</t>
  </si>
  <si>
    <t>Amostra Plataforma   Mini-Curso Beleza Aroma</t>
  </si>
  <si>
    <t xml:space="preserve"> Mini-Curso Beleza Aroma</t>
  </si>
  <si>
    <t>Webinar Sexualidade Sagrada</t>
  </si>
  <si>
    <t>Tantra NOVO</t>
  </si>
  <si>
    <t>Acesso Vitalício Tantra</t>
  </si>
  <si>
    <t xml:space="preserve">KIT FÍSICO </t>
  </si>
  <si>
    <t>Amostra Plataforma   Apostila Aromaterapia e Sexualidade NOVO</t>
  </si>
  <si>
    <t>Apostila Aromaterapia e Sexualidade NOVO</t>
  </si>
  <si>
    <t>Amostra Plataforma  Lavanda Experience</t>
  </si>
  <si>
    <t>Amostra Plataforma   Academia da Saúde Integrativa (recorrência) NOVO</t>
  </si>
  <si>
    <t>-</t>
  </si>
  <si>
    <t>Amostra Plataforma Academia Revendedores Ekanta</t>
  </si>
  <si>
    <t>Academia Revendedores Ekanta</t>
  </si>
  <si>
    <t>Aquisição com Oferta Imediata</t>
  </si>
  <si>
    <t>Produtos</t>
  </si>
  <si>
    <t>Custo Méd Lead</t>
  </si>
  <si>
    <t>Cosmética Natural</t>
  </si>
  <si>
    <t>Saboaria Natural</t>
  </si>
  <si>
    <t>Aromaterapia</t>
  </si>
  <si>
    <t>Sexualidade</t>
  </si>
  <si>
    <t>Aquisição com Modulo Grátis</t>
  </si>
  <si>
    <t>Cosmética Natural - Make Natural</t>
  </si>
  <si>
    <t>Aquisição com Aula Gravada</t>
  </si>
  <si>
    <t>Monetizações com Lançamento Meteórico</t>
  </si>
  <si>
    <t>Empreende Aroma
Back End R$ 297</t>
  </si>
  <si>
    <t>Saboaria Aroma
Back End R$ 297</t>
  </si>
  <si>
    <t>Saúde Aroma
Back End R$ 297</t>
  </si>
  <si>
    <t>Sexualidade ?
Back End R$ 297</t>
  </si>
  <si>
    <t>Tráfego Direto</t>
  </si>
  <si>
    <t>Custo Méd Venda</t>
  </si>
  <si>
    <t>Vendas</t>
  </si>
  <si>
    <t>Apostila Fitoterapia
Front End R$ 97</t>
  </si>
  <si>
    <t>Apostila Make Natural
Front End R$ 97</t>
  </si>
  <si>
    <t>Empreende Aroma
Back End R$ 397</t>
  </si>
  <si>
    <t>Apostila Cold Process
Front End R$ 47</t>
  </si>
  <si>
    <t>Saboaria Aroma
Back End R$ 397</t>
  </si>
  <si>
    <t>Saúde Aroma
Front End R$ 97</t>
  </si>
  <si>
    <t>Saúde Aroma
Back End R$ 397</t>
  </si>
  <si>
    <t>Apostila Sexualidade
Front End R$ 37</t>
  </si>
  <si>
    <t>Sexualidade ?
Back End R$ 397</t>
  </si>
  <si>
    <t>Lançamentos</t>
  </si>
  <si>
    <t>RMKT</t>
  </si>
  <si>
    <t>Formação Aroma
High End 
com KIT R$ 1394
sem KIT R$ 997</t>
  </si>
  <si>
    <t>R$ 1,40</t>
  </si>
  <si>
    <t>Tantra Healing
High End
com KIT R$ 1394
sem KIT R$ 997</t>
  </si>
  <si>
    <t>INVESTIMENTO MENSAL</t>
  </si>
  <si>
    <t>INVESTIMENTO TRIMESTRAL</t>
  </si>
  <si>
    <t>INVESTIMENTO ANUAL</t>
  </si>
  <si>
    <t>Status</t>
  </si>
  <si>
    <t>Lista</t>
  </si>
  <si>
    <t>Segmentação</t>
  </si>
  <si>
    <t>Campanha</t>
  </si>
  <si>
    <t>Produto</t>
  </si>
  <si>
    <t>Data Envio</t>
  </si>
  <si>
    <t>Hora</t>
  </si>
  <si>
    <t>Assunto</t>
  </si>
  <si>
    <t>Tamanho Lista</t>
  </si>
  <si>
    <t>%</t>
  </si>
  <si>
    <t>Abertura</t>
  </si>
  <si>
    <t>Cliques</t>
  </si>
  <si>
    <t>Link no e-mail</t>
  </si>
  <si>
    <t>✅ ENVIADO</t>
  </si>
  <si>
    <t>LISTA DE CONTATO PRINCIPAL</t>
  </si>
  <si>
    <t>INTERESSE SABOARIA ENGAJADO</t>
  </si>
  <si>
    <t>[MO-OUT][SAB][E1A-ENG]</t>
  </si>
  <si>
    <t>EMPREENDE AROMA</t>
  </si>
  <si>
    <t>INTERESSE COSMÉTICA DESENGAJADO</t>
  </si>
  <si>
    <t>[MO1-OUT][EA][E1D-DESENG]</t>
  </si>
  <si>
    <t>[MO-OUT][SAB][E2A-ENG]</t>
  </si>
  <si>
    <t>APOSTILA</t>
  </si>
  <si>
    <t>[MO-OUT][SAB][E1C-ENG]</t>
  </si>
  <si>
    <t>[MO1-OUT][APOSTILA][E3A-ENG]</t>
  </si>
  <si>
    <t>[MO1-OUT][APOSTILA][E5 A-ENG]</t>
  </si>
  <si>
    <t xml:space="preserve"> </t>
  </si>
  <si>
    <t>Novembro</t>
  </si>
  <si>
    <t>DIÁRIO DE BORDO</t>
  </si>
  <si>
    <t>DIA</t>
  </si>
  <si>
    <t>Produto Principal</t>
  </si>
  <si>
    <t>CPA Principal</t>
  </si>
  <si>
    <t>Receita</t>
  </si>
  <si>
    <t>domingo</t>
  </si>
  <si>
    <t>0</t>
  </si>
  <si>
    <t>segunda-feira</t>
  </si>
  <si>
    <t>terça-feira</t>
  </si>
  <si>
    <t>quarta-feira</t>
  </si>
  <si>
    <t>quinta-feira</t>
  </si>
  <si>
    <t>sexta-feira</t>
  </si>
  <si>
    <t>sábado</t>
  </si>
  <si>
    <t>Desativadas as campanhas</t>
  </si>
  <si>
    <t>Dezembro</t>
  </si>
  <si>
    <t>NOVEMBRO - FACEBOOK ADS</t>
  </si>
  <si>
    <t>Custo por Lead</t>
  </si>
  <si>
    <t>Meta de Leads</t>
  </si>
  <si>
    <t>0,10</t>
  </si>
  <si>
    <t>100,99</t>
  </si>
  <si>
    <t>Isis alterou controle de custo por lead de 1,50 para 1,30</t>
  </si>
  <si>
    <t>CPL Esperado</t>
  </si>
  <si>
    <t>Leads Capturados</t>
  </si>
  <si>
    <t>24,09</t>
  </si>
  <si>
    <t>28,99</t>
  </si>
  <si>
    <t>CPL Primário</t>
  </si>
  <si>
    <t>17,34</t>
  </si>
  <si>
    <t>18,58</t>
  </si>
  <si>
    <t>Dias de Captura</t>
  </si>
  <si>
    <t>Vendas do Upsell</t>
  </si>
  <si>
    <t>56,06</t>
  </si>
  <si>
    <t>Abrimos mais 2 conjuntos de anúncios para os públicos 02 e 03</t>
  </si>
  <si>
    <t>52,34</t>
  </si>
  <si>
    <t>Faturamento do Upsell</t>
  </si>
  <si>
    <t>80,07</t>
  </si>
  <si>
    <t>Leads por Dia</t>
  </si>
  <si>
    <t>CPL Final</t>
  </si>
  <si>
    <t>Ticket Upsell Paga Tráfego</t>
  </si>
  <si>
    <t>Caixa do Upsell</t>
  </si>
  <si>
    <t>74,8</t>
  </si>
  <si>
    <t>Taxas do Upsell</t>
  </si>
  <si>
    <t>Ticket Real Upsell</t>
  </si>
  <si>
    <t>DEZEMBRO - FACEBOOK ADS</t>
  </si>
  <si>
    <t>270,81</t>
  </si>
  <si>
    <t>2</t>
  </si>
  <si>
    <t>Considerando número de vendas = compras no site</t>
  </si>
  <si>
    <t>337,46</t>
  </si>
  <si>
    <t>1</t>
  </si>
  <si>
    <t>290,54</t>
  </si>
  <si>
    <t>Início utilização conversão personalizada</t>
  </si>
  <si>
    <t>285,07</t>
  </si>
  <si>
    <t>285,47</t>
  </si>
  <si>
    <t>285,90</t>
  </si>
  <si>
    <t>270,26</t>
  </si>
  <si>
    <t>280,50</t>
  </si>
  <si>
    <t>295,39</t>
  </si>
  <si>
    <t>160,22</t>
  </si>
  <si>
    <t>Campanha de inicialização de compra foi desativada</t>
  </si>
  <si>
    <t>94,38</t>
  </si>
  <si>
    <t>94,65</t>
  </si>
  <si>
    <t>89,67</t>
  </si>
  <si>
    <t>% Remarketing Diário (por compra)</t>
  </si>
  <si>
    <t>329,51</t>
  </si>
  <si>
    <t>329,52</t>
  </si>
  <si>
    <t>Isis alterou o limite de custo por lead de 0,50 para 0,30</t>
  </si>
  <si>
    <t>Abrimos mais 3 conjuntos de anúncios para os públicos 00, 02 e 03</t>
  </si>
  <si>
    <t>138,76</t>
  </si>
  <si>
    <t>4</t>
  </si>
  <si>
    <t>142,12</t>
  </si>
  <si>
    <t>138,46</t>
  </si>
  <si>
    <t>46,22</t>
  </si>
  <si>
    <t>38,67</t>
  </si>
  <si>
    <t>38,37</t>
  </si>
  <si>
    <t>36,63</t>
  </si>
  <si>
    <t>Conversão personalizada não está marcando a venda</t>
  </si>
  <si>
    <t>38,18</t>
  </si>
  <si>
    <t>38,55</t>
  </si>
  <si>
    <t>38,74</t>
  </si>
  <si>
    <t>38,78</t>
  </si>
  <si>
    <t>61,50</t>
  </si>
  <si>
    <t>10</t>
  </si>
  <si>
    <t>Revisar resultado</t>
  </si>
  <si>
    <t>61,58</t>
  </si>
  <si>
    <t>57,2</t>
  </si>
  <si>
    <t>57,95</t>
  </si>
  <si>
    <t>99,64</t>
  </si>
  <si>
    <t>101,07</t>
  </si>
  <si>
    <t>100,40</t>
  </si>
  <si>
    <t>55,01</t>
  </si>
  <si>
    <t>162,98</t>
  </si>
  <si>
    <t>163,99</t>
  </si>
  <si>
    <t>160,04</t>
  </si>
  <si>
    <t>Alterada a conversão personalizada porque a anterior estava no pixel errado</t>
  </si>
  <si>
    <t>165,60</t>
  </si>
  <si>
    <t>170,35</t>
  </si>
  <si>
    <t>169,33</t>
  </si>
  <si>
    <t>170,75</t>
  </si>
  <si>
    <t>169,30</t>
  </si>
  <si>
    <t>167,26</t>
  </si>
  <si>
    <t>168,4</t>
  </si>
  <si>
    <t>166,71</t>
  </si>
  <si>
    <t>165,36</t>
  </si>
  <si>
    <t>3</t>
  </si>
  <si>
    <t>40,53</t>
  </si>
  <si>
    <t>41,86</t>
  </si>
  <si>
    <t>23,60</t>
  </si>
  <si>
    <t>41,33</t>
  </si>
  <si>
    <t>36,09</t>
  </si>
  <si>
    <t>35,97</t>
  </si>
  <si>
    <t>64,30</t>
  </si>
  <si>
    <t>70,54</t>
  </si>
  <si>
    <t>87,48</t>
  </si>
  <si>
    <t>65,00</t>
  </si>
  <si>
    <t>66,19</t>
  </si>
  <si>
    <t>49,37</t>
  </si>
  <si>
    <t>42,89</t>
  </si>
  <si>
    <t>97,09</t>
  </si>
  <si>
    <t>101,34</t>
  </si>
  <si>
    <t>5</t>
  </si>
  <si>
    <t>98,75</t>
  </si>
  <si>
    <t>99,72</t>
  </si>
  <si>
    <t>97,06</t>
  </si>
  <si>
    <t>51,08</t>
  </si>
  <si>
    <t>50,96</t>
  </si>
  <si>
    <t>51,25</t>
  </si>
  <si>
    <t>51,53</t>
  </si>
  <si>
    <t>62,63</t>
  </si>
  <si>
    <t>38,71</t>
  </si>
  <si>
    <t>34,87</t>
  </si>
  <si>
    <t>34,68</t>
  </si>
  <si>
    <t>34,69</t>
  </si>
  <si>
    <t>34,9</t>
  </si>
  <si>
    <t>Campanhas</t>
  </si>
  <si>
    <t>% Hotmart</t>
  </si>
  <si>
    <t>Aff</t>
  </si>
  <si>
    <t>Mês</t>
  </si>
  <si>
    <t>Dias</t>
  </si>
  <si>
    <t>Data Início</t>
  </si>
  <si>
    <t>Data Fim</t>
  </si>
  <si>
    <t>Faturado</t>
  </si>
  <si>
    <t>Faturado/Dia</t>
  </si>
  <si>
    <t>R$ Lucro</t>
  </si>
  <si>
    <t>R$ Lucro / Dia</t>
  </si>
  <si>
    <t>JAN</t>
  </si>
  <si>
    <t>FEV</t>
  </si>
  <si>
    <t>MAR</t>
  </si>
  <si>
    <t>ABR</t>
  </si>
  <si>
    <t>• Fitoterapia Integrativa</t>
  </si>
  <si>
    <t>Oferta Direta</t>
  </si>
  <si>
    <t>• Apostila Digital Cold Process</t>
  </si>
  <si>
    <t>• Empreende Aroma</t>
  </si>
  <si>
    <t>• Formação Aroma</t>
  </si>
  <si>
    <t>Maratona</t>
  </si>
  <si>
    <t>• Lavanda Experience</t>
  </si>
  <si>
    <t>• Make Natural</t>
  </si>
  <si>
    <t>• Mini-Curso Beleza Aroma</t>
  </si>
  <si>
    <t>• Saboaria Aroma</t>
  </si>
  <si>
    <t>• Saúde Aroma</t>
  </si>
  <si>
    <t>Lançamento Whatsapp</t>
  </si>
  <si>
    <t>MAI</t>
  </si>
  <si>
    <t>• Apostila Aromaterapia e Sexualidade  NOVO</t>
  </si>
  <si>
    <t>Funil Tripware</t>
  </si>
  <si>
    <t>Lead Plataforma</t>
  </si>
  <si>
    <t>Ativação Plataforma</t>
  </si>
  <si>
    <t>Ativação Email</t>
  </si>
  <si>
    <t>Ativação Chatboot</t>
  </si>
  <si>
    <t>• Certificação Tantra NOVO</t>
  </si>
  <si>
    <t>Webinario Ao Vivo</t>
  </si>
  <si>
    <t>Webinario Gravado (Perpetuo)</t>
  </si>
  <si>
    <t>JUN</t>
  </si>
  <si>
    <t>• Formação Tantra NOVO</t>
  </si>
  <si>
    <t>• Ekanta Branding</t>
  </si>
  <si>
    <t>Engajamento Instagram</t>
  </si>
  <si>
    <t>JUL</t>
  </si>
  <si>
    <t>AGO</t>
  </si>
  <si>
    <t>SET</t>
  </si>
  <si>
    <t>OUT</t>
  </si>
  <si>
    <t>NOV</t>
  </si>
  <si>
    <t>DEZ</t>
  </si>
  <si>
    <t>NIVEL DE PRODUTO</t>
  </si>
  <si>
    <t>VALOR</t>
  </si>
  <si>
    <t>ISCAS DIGITAIS</t>
  </si>
  <si>
    <t>Reset de Atenção</t>
  </si>
  <si>
    <t>Ações de Venda</t>
  </si>
  <si>
    <t>Status Campanhas</t>
  </si>
  <si>
    <t>Primeiro Engajamento</t>
  </si>
  <si>
    <t>Tipo de Campanha</t>
  </si>
  <si>
    <t>Horário</t>
  </si>
  <si>
    <t>• Acesso Vitalício Saúde Aroma</t>
  </si>
  <si>
    <t>Front End (Entrada)</t>
  </si>
  <si>
    <t>Isca 1</t>
  </si>
  <si>
    <t>Artigo 1</t>
  </si>
  <si>
    <t>Campanha de e-mail 1</t>
  </si>
  <si>
    <t>✅ Enviado</t>
  </si>
  <si>
    <t>Assistiu aula 1</t>
  </si>
  <si>
    <t>✅</t>
  </si>
  <si>
    <t>Enviado</t>
  </si>
  <si>
    <t>Campanha Relâmpago</t>
  </si>
  <si>
    <t>Alunos</t>
  </si>
  <si>
    <t>ANTECIPAÇÃO</t>
  </si>
  <si>
    <t>• Acesso Vitalício Empreende Aroma</t>
  </si>
  <si>
    <t>Back End (Estrela)</t>
  </si>
  <si>
    <t>Isca 2</t>
  </si>
  <si>
    <t>Artigo 2</t>
  </si>
  <si>
    <t>Campanha de e-mail 2</t>
  </si>
  <si>
    <t>⚠️ Em produção</t>
  </si>
  <si>
    <t>Não assisitiu aula 1</t>
  </si>
  <si>
    <t>⚠️</t>
  </si>
  <si>
    <t>Em produção</t>
  </si>
  <si>
    <t>Masterclass</t>
  </si>
  <si>
    <t>Alunos High Ticket</t>
  </si>
  <si>
    <t>SEGMENTAÇÃO</t>
  </si>
  <si>
    <t>• Acesso Vitalício Saboaria Aroma</t>
  </si>
  <si>
    <t>High End (Alto Valor)</t>
  </si>
  <si>
    <t>Isca 3</t>
  </si>
  <si>
    <t>Artigo 3</t>
  </si>
  <si>
    <t>Webinário Perpetuo 1</t>
  </si>
  <si>
    <t>⏳ Agendado</t>
  </si>
  <si>
    <t>Lista Segmentada</t>
  </si>
  <si>
    <t>⏳</t>
  </si>
  <si>
    <t>Agendado</t>
  </si>
  <si>
    <t>Alunos Front End</t>
  </si>
  <si>
    <t>ENGAJAMENTO</t>
  </si>
  <si>
    <t>Webinario ao vivo 1</t>
  </si>
  <si>
    <t>Baixou Isca Checklist Facebook</t>
  </si>
  <si>
    <t>Lista Abriu</t>
  </si>
  <si>
    <t>OFERTA</t>
  </si>
  <si>
    <t>Mini treinamento</t>
  </si>
  <si>
    <t>Assisitiu Masterclass Publico Fcebook</t>
  </si>
  <si>
    <t>Mini Treinamento em Texto - Lições</t>
  </si>
  <si>
    <t>Lista Clicou</t>
  </si>
  <si>
    <t>Baixou Isca Modelos de Anúncios</t>
  </si>
  <si>
    <t>Mini Treinamento em Video</t>
  </si>
  <si>
    <t>Lista Geral</t>
  </si>
  <si>
    <t>Inscritos Série</t>
  </si>
  <si>
    <t>Mentoria Online</t>
  </si>
  <si>
    <t>Baú de Leads</t>
  </si>
  <si>
    <t>Workshop Pago</t>
  </si>
  <si>
    <t>Workshop Presencial</t>
  </si>
  <si>
    <t>Recorrrência</t>
  </si>
  <si>
    <t>• Formação Fitoterapia NOVO</t>
  </si>
  <si>
    <t>Ficha de Aplicação</t>
  </si>
  <si>
    <t>Club de Compras VIP</t>
  </si>
  <si>
    <t>• Academia da Saúde Integrativa (recorrência) NOVO</t>
  </si>
  <si>
    <t>• Certificação Fitoretapia NOVO</t>
  </si>
  <si>
    <t>Engajamento Telegram</t>
  </si>
  <si>
    <t>Engajamento Youtube</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</si>
</sst>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R$ -416]#,##0.00"/>
    <numFmt numFmtId="165" formatCode="[$R$]#,##0"/>
    <numFmt numFmtId="166" formatCode="[$R$ -416]#,##0"/>
    <numFmt numFmtId="167" formatCode="0.0"/>
    <numFmt numFmtId="168" formatCode="dd/mm"/>
    <numFmt numFmtId="169" formatCode="_-&quot;R$&quot;* #,##0.00_-;\-&quot;R$&quot;* #,##0.00_-;_-&quot;R$&quot;* &quot;-&quot;??_-;_-@"/>
    <numFmt numFmtId="170" formatCode="yyyy-mm-dd"/>
    <numFmt numFmtId="171" formatCode="dd/MM/yyyy"/>
    <numFmt numFmtId="172" formatCode="hh:mm"/>
  </numFmts>
  <fonts count="79">
    <font>
      <sz val="10.0"/>
      <color rgb="FF000000"/>
      <name val="Calibri"/>
      <scheme val="minor"/>
    </font>
    <font>
      <b/>
      <color rgb="FFFFFFFF"/>
      <name val="Arial"/>
    </font>
    <font/>
    <font>
      <b/>
      <sz val="11.0"/>
      <color theme="1"/>
      <name val="Arial"/>
    </font>
    <font>
      <sz val="10.0"/>
      <color theme="1"/>
      <name val="Calibri"/>
    </font>
    <font>
      <b/>
      <sz val="10.0"/>
      <color rgb="FFFFFFFF"/>
      <name val="Arial"/>
    </font>
    <font>
      <b/>
      <sz val="6.0"/>
      <color rgb="FFFFFFFF"/>
      <name val="Arial"/>
    </font>
    <font>
      <b/>
      <sz val="6.0"/>
      <color theme="1"/>
      <name val="Arial"/>
    </font>
    <font>
      <b/>
      <sz val="7.0"/>
      <color theme="1"/>
      <name val="Arial"/>
    </font>
    <font>
      <b/>
      <sz val="6.0"/>
      <color rgb="FF000000"/>
      <name val="Arial"/>
    </font>
    <font>
      <b/>
      <sz val="8.0"/>
      <color theme="1"/>
      <name val="Arial"/>
    </font>
    <font>
      <b/>
      <sz val="7.0"/>
      <color rgb="FF000000"/>
      <name val="Arial"/>
    </font>
    <font>
      <b/>
      <sz val="9.0"/>
      <color rgb="FFFFFFFF"/>
      <name val="Arial"/>
    </font>
    <font>
      <b/>
      <sz val="5.0"/>
      <color rgb="FFFFFFFF"/>
      <name val="Arial"/>
    </font>
    <font>
      <sz val="11.0"/>
      <color theme="1"/>
      <name val="Calibri"/>
    </font>
    <font>
      <b/>
      <sz val="9.0"/>
      <color theme="1"/>
      <name val="Arial"/>
    </font>
    <font>
      <b/>
      <sz val="8.0"/>
      <color rgb="FFFF0000"/>
      <name val="Arial"/>
    </font>
    <font>
      <b/>
      <sz val="8.0"/>
      <color rgb="FF000000"/>
      <name val="Arial"/>
    </font>
    <font>
      <b/>
      <sz val="8.0"/>
      <color rgb="FFFFFFFF"/>
      <name val="Arial"/>
    </font>
    <font>
      <sz val="9.0"/>
      <color theme="1"/>
      <name val="Calibri"/>
    </font>
    <font>
      <sz val="13.0"/>
      <color theme="1"/>
      <name val="Calibri"/>
    </font>
    <font>
      <sz val="8.0"/>
      <color theme="1"/>
      <name val="Calibri"/>
    </font>
    <font>
      <color theme="1"/>
      <name val="Calibri"/>
    </font>
    <font>
      <b/>
      <sz val="12.0"/>
      <color theme="1"/>
      <name val="Calibri"/>
    </font>
    <font>
      <sz val="12.0"/>
      <color theme="1"/>
      <name val="Calibri"/>
    </font>
    <font>
      <b/>
      <sz val="14.0"/>
      <color theme="1"/>
      <name val="Calibri"/>
    </font>
    <font>
      <sz val="11.0"/>
      <color rgb="FFF7981D"/>
      <name val="Inconsolata"/>
    </font>
    <font>
      <sz val="10.0"/>
      <color rgb="FFFFFFFF"/>
      <name val="Calibri"/>
    </font>
    <font>
      <b/>
      <sz val="13.0"/>
      <color rgb="FFFFFFFF"/>
      <name val="Calibri"/>
    </font>
    <font>
      <b/>
      <sz val="13.0"/>
      <color theme="1"/>
      <name val="Calibri"/>
    </font>
    <font>
      <b/>
      <color theme="1"/>
      <name val="Arial"/>
    </font>
    <font>
      <b/>
      <sz val="24.0"/>
      <color theme="1"/>
      <name val="Calibri"/>
    </font>
    <font>
      <b/>
      <sz val="14.0"/>
      <color rgb="FFFFFFFF"/>
      <name val="Calibri"/>
    </font>
    <font>
      <sz val="14.0"/>
      <color theme="1"/>
      <name val="Calibri"/>
    </font>
    <font>
      <b/>
      <sz val="11.0"/>
      <color rgb="FFFFFFFF"/>
      <name val="Calibri"/>
    </font>
    <font>
      <b/>
      <sz val="11.0"/>
      <color theme="1"/>
      <name val="Calibri"/>
    </font>
    <font>
      <b/>
      <sz val="11.0"/>
      <color rgb="FF000000"/>
      <name val="Calibri"/>
    </font>
    <font>
      <sz val="11.0"/>
      <color rgb="FF000000"/>
      <name val="Calibri"/>
    </font>
    <font>
      <color theme="1"/>
      <name val="Arial"/>
    </font>
    <font>
      <b/>
      <color theme="1"/>
      <name val="Calibri"/>
    </font>
    <font>
      <b/>
      <color rgb="FF000000"/>
      <name val="Calibri"/>
    </font>
    <font>
      <b/>
      <sz val="22.0"/>
      <color rgb="FFFFFFFF"/>
      <name val="Calibri"/>
    </font>
    <font>
      <b/>
      <color rgb="FFFFFFFF"/>
      <name val="Calibri"/>
    </font>
    <font>
      <color rgb="FFD9D9D9"/>
      <name val="Arial"/>
    </font>
    <font>
      <color rgb="FFD9D9D9"/>
      <name val="Calibri"/>
    </font>
    <font>
      <b/>
      <color rgb="FFD9D9D9"/>
      <name val="Calibri"/>
    </font>
    <font>
      <b/>
      <sz val="12.0"/>
      <color rgb="FFFFFFFF"/>
      <name val="Calibri"/>
    </font>
    <font>
      <sz val="11.0"/>
      <color rgb="FF006100"/>
      <name val="Calibri"/>
    </font>
    <font>
      <color rgb="FF000000"/>
      <name val="Calibri"/>
    </font>
    <font>
      <b/>
      <sz val="20.0"/>
      <color theme="1"/>
      <name val="Calibri"/>
    </font>
    <font>
      <color rgb="FFEEEEEE"/>
      <name val="Calibri"/>
    </font>
    <font>
      <b/>
      <sz val="36.0"/>
      <color theme="1"/>
      <name val="Calibri"/>
    </font>
    <font>
      <sz val="24.0"/>
      <color rgb="FFFFFFFF"/>
      <name val="Calibri"/>
    </font>
    <font>
      <sz val="24.0"/>
      <color rgb="FFFFFFFF"/>
      <name val="Arial"/>
    </font>
    <font>
      <b/>
      <sz val="36.0"/>
      <color theme="1"/>
      <name val="Arial"/>
    </font>
    <font>
      <sz val="20.0"/>
      <color theme="1"/>
      <name val="Calibri"/>
    </font>
    <font>
      <sz val="20.0"/>
      <color theme="1"/>
      <name val="Arial"/>
    </font>
    <font>
      <b/>
      <sz val="10.0"/>
      <color theme="1"/>
      <name val="Calibri"/>
    </font>
    <font>
      <sz val="9.0"/>
      <color rgb="FFFFFFFF"/>
      <name val="Arial"/>
    </font>
    <font>
      <b/>
      <sz val="11.0"/>
      <color rgb="FF000000"/>
      <name val="Arial"/>
    </font>
    <font>
      <sz val="11.0"/>
      <color rgb="FF000000"/>
      <name val="Arial"/>
    </font>
    <font>
      <color rgb="FF000000"/>
      <name val="Arial"/>
    </font>
    <font>
      <b/>
      <sz val="12.0"/>
      <color rgb="FFFFFFFF"/>
      <name val="Arial"/>
    </font>
    <font>
      <sz val="9.0"/>
      <color rgb="FF000000"/>
      <name val="Arial"/>
    </font>
    <font>
      <sz val="9.0"/>
      <color theme="1"/>
      <name val="Arial"/>
    </font>
    <font>
      <sz val="24.0"/>
      <color theme="1"/>
      <name val="Calibri"/>
    </font>
    <font>
      <sz val="11.0"/>
      <color rgb="FF9C0006"/>
      <name val="Calibri"/>
    </font>
    <font>
      <b/>
      <sz val="14.0"/>
      <color rgb="FFFFFFFF"/>
      <name val="Arial"/>
    </font>
    <font>
      <color rgb="FFEFEFEF"/>
      <name val="Arial"/>
    </font>
    <font>
      <color rgb="FFFFFFFF"/>
      <name val="Arial"/>
    </font>
    <font>
      <sz val="36.0"/>
      <color theme="1"/>
      <name val="Arial"/>
    </font>
    <font>
      <color rgb="FF999999"/>
      <name val="Arial"/>
    </font>
    <font>
      <b/>
      <color rgb="FF666666"/>
      <name val="Arial"/>
    </font>
    <font>
      <color rgb="FF666666"/>
      <name val="Arial"/>
    </font>
    <font>
      <color rgb="FFAE0FFF"/>
      <name val="Arial"/>
    </font>
    <font>
      <color rgb="FFB7B7B7"/>
      <name val="Arial"/>
    </font>
    <font>
      <b/>
      <color rgb="FF039BE5"/>
      <name val="Arial"/>
    </font>
    <font>
      <b/>
      <color rgb="FFAE0FFF"/>
      <name val="Arial"/>
    </font>
    <font>
      <color rgb="FFFFFFFF"/>
      <name val="Calibri"/>
    </font>
  </fonts>
  <fills count="53">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999999"/>
        <bgColor rgb="FF999999"/>
      </patternFill>
    </fill>
    <fill>
      <patternFill patternType="solid">
        <fgColor rgb="FFD9D9D9"/>
        <bgColor rgb="FFD9D9D9"/>
      </patternFill>
    </fill>
    <fill>
      <patternFill patternType="solid">
        <fgColor rgb="FF6AA84F"/>
        <bgColor rgb="FF6AA84F"/>
      </patternFill>
    </fill>
    <fill>
      <patternFill patternType="solid">
        <fgColor rgb="FFB6D7A8"/>
        <bgColor rgb="FFB6D7A8"/>
      </patternFill>
    </fill>
    <fill>
      <patternFill patternType="solid">
        <fgColor rgb="FF3C78D8"/>
        <bgColor rgb="FF3C78D8"/>
      </patternFill>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rgb="FF9BBB59"/>
        <bgColor rgb="FF9BBB59"/>
      </patternFill>
    </fill>
    <fill>
      <patternFill patternType="solid">
        <fgColor rgb="FFB7B7B7"/>
        <bgColor rgb="FFB7B7B7"/>
      </patternFill>
    </fill>
    <fill>
      <patternFill patternType="solid">
        <fgColor rgb="FFEBEFF1"/>
        <bgColor rgb="FFEBEFF1"/>
      </patternFill>
    </fill>
    <fill>
      <patternFill patternType="solid">
        <fgColor rgb="FF6FA8DC"/>
        <bgColor rgb="FF6FA8DC"/>
      </patternFill>
    </fill>
    <fill>
      <patternFill patternType="solid">
        <fgColor rgb="FFCC0000"/>
        <bgColor rgb="FFCC0000"/>
      </patternFill>
    </fill>
    <fill>
      <patternFill patternType="solid">
        <fgColor rgb="FF134F5C"/>
        <bgColor rgb="FF134F5C"/>
      </patternFill>
    </fill>
    <fill>
      <patternFill patternType="solid">
        <fgColor rgb="FFCFE2F3"/>
        <bgColor rgb="FFCFE2F3"/>
      </patternFill>
    </fill>
    <fill>
      <patternFill patternType="solid">
        <fgColor rgb="FFFFF2CC"/>
        <bgColor rgb="FFFFF2CC"/>
      </patternFill>
    </fill>
    <fill>
      <patternFill patternType="solid">
        <fgColor rgb="FFF6B26B"/>
        <bgColor rgb="FFF6B26B"/>
      </patternFill>
    </fill>
    <fill>
      <patternFill patternType="solid">
        <fgColor rgb="FFEA9999"/>
        <bgColor rgb="FFEA9999"/>
      </patternFill>
    </fill>
    <fill>
      <patternFill patternType="solid">
        <fgColor rgb="FFA2C4C9"/>
        <bgColor rgb="FFA2C4C9"/>
      </patternFill>
    </fill>
    <fill>
      <patternFill patternType="solid">
        <fgColor rgb="FF434343"/>
        <bgColor rgb="FF434343"/>
      </patternFill>
    </fill>
    <fill>
      <patternFill patternType="solid">
        <fgColor rgb="FF0C0C0C"/>
        <bgColor rgb="FF0C0C0C"/>
      </patternFill>
    </fill>
    <fill>
      <patternFill patternType="solid">
        <fgColor rgb="FFFF0000"/>
        <bgColor rgb="FFFF0000"/>
      </patternFill>
    </fill>
    <fill>
      <patternFill patternType="solid">
        <fgColor rgb="FFCCCCCC"/>
        <bgColor rgb="FFCCCCCC"/>
      </patternFill>
    </fill>
    <fill>
      <patternFill patternType="solid">
        <fgColor rgb="FF7F7F7F"/>
        <bgColor rgb="FF7F7F7F"/>
      </patternFill>
    </fill>
    <fill>
      <patternFill patternType="solid">
        <fgColor rgb="FF548135"/>
        <bgColor rgb="FF548135"/>
      </patternFill>
    </fill>
    <fill>
      <patternFill patternType="solid">
        <fgColor rgb="FFF2F2F2"/>
        <bgColor rgb="FFF2F2F2"/>
      </patternFill>
    </fill>
    <fill>
      <patternFill patternType="solid">
        <fgColor rgb="FFE3F9FD"/>
        <bgColor rgb="FFE3F9FD"/>
      </patternFill>
    </fill>
    <fill>
      <patternFill patternType="solid">
        <fgColor rgb="FFFFFF00"/>
        <bgColor rgb="FFFFFF00"/>
      </patternFill>
    </fill>
    <fill>
      <patternFill patternType="solid">
        <fgColor rgb="FFC6EFCE"/>
        <bgColor rgb="FFC6EFCE"/>
      </patternFill>
    </fill>
    <fill>
      <patternFill patternType="solid">
        <fgColor rgb="FFFF00FF"/>
        <bgColor rgb="FFFF00FF"/>
      </patternFill>
    </fill>
    <fill>
      <patternFill patternType="solid">
        <fgColor rgb="FFF4CCCC"/>
        <bgColor rgb="FFF4CCCC"/>
      </patternFill>
    </fill>
    <fill>
      <patternFill patternType="solid">
        <fgColor rgb="FF00FFFF"/>
        <bgColor rgb="FF00FFFF"/>
      </patternFill>
    </fill>
    <fill>
      <patternFill patternType="solid">
        <fgColor rgb="FFC9DAF8"/>
        <bgColor rgb="FFC9DAF8"/>
      </patternFill>
    </fill>
    <fill>
      <patternFill patternType="solid">
        <fgColor theme="4"/>
        <bgColor theme="4"/>
      </patternFill>
    </fill>
    <fill>
      <patternFill patternType="solid">
        <fgColor rgb="FFF3F3F3"/>
        <bgColor rgb="FFF3F3F3"/>
      </patternFill>
    </fill>
    <fill>
      <patternFill patternType="solid">
        <fgColor rgb="FFEFEFEF"/>
        <bgColor rgb="FFEFEFEF"/>
      </patternFill>
    </fill>
    <fill>
      <patternFill patternType="solid">
        <fgColor rgb="FFA4C2F4"/>
        <bgColor rgb="FFA4C2F4"/>
      </patternFill>
    </fill>
    <fill>
      <patternFill patternType="solid">
        <fgColor rgb="FFE06666"/>
        <bgColor rgb="FFE06666"/>
      </patternFill>
    </fill>
    <fill>
      <patternFill patternType="solid">
        <fgColor rgb="FFD9EAD3"/>
        <bgColor rgb="FFD9EAD3"/>
      </patternFill>
    </fill>
    <fill>
      <patternFill patternType="solid">
        <fgColor rgb="FF9FC5E8"/>
        <bgColor rgb="FF9FC5E8"/>
      </patternFill>
    </fill>
    <fill>
      <patternFill patternType="solid">
        <fgColor rgb="FFF9CB9C"/>
        <bgColor rgb="FFF9CB9C"/>
      </patternFill>
    </fill>
    <fill>
      <patternFill patternType="solid">
        <fgColor rgb="FFFFF9E9"/>
        <bgColor rgb="FFFFF9E9"/>
      </patternFill>
    </fill>
    <fill>
      <patternFill patternType="solid">
        <fgColor rgb="FF7030A0"/>
        <bgColor rgb="FF7030A0"/>
      </patternFill>
    </fill>
    <fill>
      <patternFill patternType="solid">
        <fgColor rgb="FF4A3078"/>
        <bgColor rgb="FF4A3078"/>
      </patternFill>
    </fill>
    <fill>
      <patternFill patternType="solid">
        <fgColor rgb="FF312050"/>
        <bgColor rgb="FF312050"/>
      </patternFill>
    </fill>
    <fill>
      <patternFill patternType="solid">
        <fgColor rgb="FFFFC7CE"/>
        <bgColor rgb="FFFFC7CE"/>
      </patternFill>
    </fill>
    <fill>
      <patternFill patternType="solid">
        <fgColor rgb="FF039BE5"/>
        <bgColor rgb="FF039BE5"/>
      </patternFill>
    </fill>
    <fill>
      <patternFill patternType="solid">
        <fgColor rgb="FFE8FFF0"/>
        <bgColor rgb="FFE8FFF0"/>
      </patternFill>
    </fill>
    <fill>
      <patternFill patternType="solid">
        <fgColor rgb="FFFFFCF2"/>
        <bgColor rgb="FFFFFCF2"/>
      </patternFill>
    </fill>
  </fills>
  <borders count="5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rder>
    <border>
      <left style="thin">
        <color rgb="FF000000"/>
      </left>
    </border>
    <border>
      <left style="thick">
        <color rgb="FFFFFF00"/>
      </left>
      <top style="thick">
        <color rgb="FFFFFF00"/>
      </top>
    </border>
    <border>
      <top style="thick">
        <color rgb="FFFFFF00"/>
      </top>
    </border>
    <border>
      <right style="thick">
        <color rgb="FFFFFF00"/>
      </right>
      <top style="thick">
        <color rgb="FFFFFF00"/>
      </top>
    </border>
    <border>
      <left style="thick">
        <color rgb="FFFFFF00"/>
      </left>
    </border>
    <border>
      <right style="thick">
        <color rgb="FFFFFF00"/>
      </right>
    </border>
    <border>
      <left style="thick">
        <color rgb="FFFFFF00"/>
      </left>
      <bottom style="thin">
        <color rgb="FF000000"/>
      </bottom>
    </border>
    <border>
      <right style="thick">
        <color rgb="FFFFFF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B7B7B7"/>
      </bottom>
    </border>
    <border>
      <top style="thin">
        <color rgb="FF000000"/>
      </top>
      <bottom style="thin">
        <color rgb="FFB7B7B7"/>
      </bottom>
    </border>
    <border>
      <right style="thin">
        <color rgb="FF000000"/>
      </right>
      <top style="thin">
        <color rgb="FF000000"/>
      </top>
      <bottom style="thin">
        <color rgb="FFB7B7B7"/>
      </bottom>
    </border>
    <border>
      <left style="thin">
        <color rgb="FF000000"/>
      </left>
      <bottom style="thin">
        <color rgb="FF999999"/>
      </bottom>
    </border>
    <border>
      <bottom style="thin">
        <color rgb="FF999999"/>
      </bottom>
    </border>
    <border>
      <right style="thin">
        <color rgb="FF000000"/>
      </right>
      <bottom style="thin">
        <color rgb="FF999999"/>
      </bottom>
    </border>
    <border>
      <left style="thick">
        <color rgb="FFFFFF00"/>
      </left>
      <bottom style="thin">
        <color rgb="FF999999"/>
      </bottom>
    </border>
    <border>
      <right style="thick">
        <color rgb="FFFFFF00"/>
      </right>
      <bottom style="thin">
        <color rgb="FF999999"/>
      </bottom>
    </border>
    <border>
      <left style="thin">
        <color rgb="FF000000"/>
      </left>
      <right style="thin">
        <color rgb="FFB7B7B7"/>
      </right>
      <top style="thin">
        <color rgb="FF999999"/>
      </top>
      <bottom style="thin">
        <color rgb="FFB7B7B7"/>
      </bottom>
    </border>
    <border>
      <left style="thin">
        <color rgb="FFB7B7B7"/>
      </left>
      <right style="thin">
        <color rgb="FFB7B7B7"/>
      </right>
      <top style="thin">
        <color rgb="FF999999"/>
      </top>
      <bottom style="thin">
        <color rgb="FFB7B7B7"/>
      </bottom>
    </border>
    <border>
      <left style="thin">
        <color rgb="FFB7B7B7"/>
      </left>
      <right style="thin">
        <color rgb="FF000000"/>
      </right>
      <top style="thin">
        <color rgb="FF999999"/>
      </top>
      <bottom style="thin">
        <color rgb="FFB7B7B7"/>
      </bottom>
    </border>
    <border>
      <right style="thin">
        <color rgb="FFB7B7B7"/>
      </right>
      <top style="thin">
        <color rgb="FF999999"/>
      </top>
      <bottom style="thin">
        <color rgb="FFB7B7B7"/>
      </bottom>
    </border>
    <border>
      <left style="thin">
        <color rgb="FF000000"/>
      </left>
      <right style="thin">
        <color rgb="FF000000"/>
      </right>
      <bottom style="thin">
        <color rgb="FFB7B7B7"/>
      </bottom>
    </border>
    <border>
      <right style="thin">
        <color rgb="FFB7B7B7"/>
      </right>
      <bottom style="thin">
        <color rgb="FFB7B7B7"/>
      </bottom>
    </border>
    <border>
      <bottom style="thin">
        <color rgb="FFB7B7B7"/>
      </bottom>
    </border>
    <border>
      <left style="thick">
        <color rgb="FFFFFF00"/>
      </left>
      <right style="thin">
        <color rgb="FF000000"/>
      </right>
      <bottom style="thin">
        <color rgb="FFB7B7B7"/>
      </bottom>
    </border>
    <border>
      <right style="thick">
        <color rgb="FFFFFF00"/>
      </right>
      <bottom style="thin">
        <color rgb="FFB7B7B7"/>
      </bottom>
    </border>
    <border>
      <right style="thin">
        <color rgb="FF000000"/>
      </right>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B7B7B7"/>
      </left>
      <right style="thick">
        <color rgb="FFFFFF00"/>
      </right>
      <top style="thin">
        <color rgb="FFB7B7B7"/>
      </top>
      <bottom style="thin">
        <color rgb="FFB7B7B7"/>
      </bottom>
    </border>
    <border>
      <left style="thin">
        <color rgb="FF000000"/>
      </left>
      <right style="thin">
        <color rgb="FFB7B7B7"/>
      </right>
      <top style="thin">
        <color rgb="FFB7B7B7"/>
      </top>
      <bottom style="thin">
        <color rgb="FFB7B7B7"/>
      </bottom>
    </border>
    <border>
      <left style="thick">
        <color rgb="FFFFFF00"/>
      </left>
      <right style="thin">
        <color rgb="FFB7B7B7"/>
      </right>
      <top style="thin">
        <color rgb="FFB7B7B7"/>
      </top>
      <bottom style="thin">
        <color rgb="FFB7B7B7"/>
      </bottom>
    </border>
    <border>
      <left style="thin">
        <color rgb="FFB7B7B7"/>
      </left>
      <right style="thin">
        <color rgb="FFB7B7B7"/>
      </right>
      <top style="thin">
        <color rgb="FFB7B7B7"/>
      </top>
    </border>
    <border>
      <right style="thin">
        <color rgb="FFB7B7B7"/>
      </right>
    </border>
    <border>
      <left style="thin">
        <color rgb="FFD9D9D9"/>
      </left>
      <right style="thin">
        <color rgb="FFD9D9D9"/>
      </right>
      <top style="thin">
        <color rgb="FFD9D9D9"/>
      </top>
      <bottom style="thin">
        <color rgb="FFD9D9D9"/>
      </bottom>
    </border>
    <border>
      <left style="thick">
        <color rgb="FFFFFF00"/>
      </left>
      <right style="thin">
        <color rgb="FFB7B7B7"/>
      </right>
      <top style="thin">
        <color rgb="FFB7B7B7"/>
      </top>
    </border>
    <border>
      <right style="thin">
        <color rgb="FFB7B7B7"/>
      </right>
      <top style="thin">
        <color rgb="FFB7B7B7"/>
      </top>
    </border>
    <border>
      <left style="thick">
        <color rgb="FFFFFF00"/>
      </left>
      <right style="thin">
        <color rgb="FFB7B7B7"/>
      </right>
      <top style="thin">
        <color rgb="FFB7B7B7"/>
      </top>
      <bottom style="thick">
        <color rgb="FFFFFF00"/>
      </bottom>
    </border>
    <border>
      <left style="thin">
        <color rgb="FFB7B7B7"/>
      </left>
      <right style="thin">
        <color rgb="FFB7B7B7"/>
      </right>
      <top style="thin">
        <color rgb="FFB7B7B7"/>
      </top>
      <bottom style="thick">
        <color rgb="FFFFFF00"/>
      </bottom>
    </border>
    <border>
      <right style="thin">
        <color rgb="FFB7B7B7"/>
      </right>
      <top style="thin">
        <color rgb="FFB7B7B7"/>
      </top>
      <bottom style="thick">
        <color rgb="FFFFFF00"/>
      </bottom>
    </border>
    <border>
      <left style="thin">
        <color rgb="FFB7B7B7"/>
      </left>
      <top style="thin">
        <color rgb="FFB7B7B7"/>
      </top>
      <bottom style="thick">
        <color rgb="FFFFFF00"/>
      </bottom>
    </border>
    <border>
      <left style="thin">
        <color rgb="FF000000"/>
      </left>
      <right style="thin">
        <color rgb="FFB7B7B7"/>
      </right>
      <bottom style="thin">
        <color rgb="FFB7B7B7"/>
      </bottom>
    </border>
    <border>
      <right/>
    </border>
  </borders>
  <cellStyleXfs count="1">
    <xf borderId="0" fillId="0" fontId="0" numFmtId="0" applyAlignment="1" applyFont="1"/>
  </cellStyleXfs>
  <cellXfs count="469">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3" fontId="1" numFmtId="3" xfId="0" applyAlignment="1" applyBorder="1" applyFill="1" applyFont="1" applyNumberFormat="1">
      <alignment horizontal="center"/>
    </xf>
    <xf borderId="2" fillId="0" fontId="2" numFmtId="0" xfId="0" applyBorder="1" applyFont="1"/>
    <xf borderId="1" fillId="4" fontId="3" numFmtId="3" xfId="0" applyAlignment="1" applyBorder="1" applyFill="1" applyFont="1" applyNumberFormat="1">
      <alignment horizontal="center" shrinkToFit="0" wrapText="1"/>
    </xf>
    <xf borderId="3" fillId="0" fontId="2" numFmtId="0" xfId="0" applyBorder="1" applyFont="1"/>
    <xf borderId="1" fillId="5" fontId="3" numFmtId="164" xfId="0" applyAlignment="1" applyBorder="1" applyFill="1" applyFont="1" applyNumberFormat="1">
      <alignment horizontal="center" shrinkToFit="0" wrapText="1"/>
    </xf>
    <xf borderId="0" fillId="2" fontId="4" numFmtId="1" xfId="0" applyAlignment="1" applyFont="1" applyNumberFormat="1">
      <alignment horizontal="right" vertical="bottom"/>
    </xf>
    <xf borderId="1" fillId="3" fontId="5" numFmtId="3" xfId="0" applyAlignment="1" applyBorder="1" applyFont="1" applyNumberFormat="1">
      <alignment horizontal="center" vertical="center"/>
    </xf>
    <xf borderId="0" fillId="3" fontId="6" numFmtId="3" xfId="0" applyAlignment="1" applyFont="1" applyNumberFormat="1">
      <alignment horizontal="center" shrinkToFit="0" vertical="center" wrapText="1"/>
    </xf>
    <xf borderId="0" fillId="6" fontId="6" numFmtId="164" xfId="0" applyAlignment="1" applyFill="1" applyFont="1" applyNumberFormat="1">
      <alignment horizontal="center" shrinkToFit="0" vertical="center" wrapText="1"/>
    </xf>
    <xf borderId="0" fillId="6" fontId="6" numFmtId="3" xfId="0" applyAlignment="1" applyFont="1" applyNumberFormat="1">
      <alignment horizontal="center" shrinkToFit="0" vertical="center" wrapText="1"/>
    </xf>
    <xf borderId="0" fillId="3" fontId="6" numFmtId="164" xfId="0" applyAlignment="1" applyFont="1" applyNumberFormat="1">
      <alignment horizontal="center" shrinkToFit="0" vertical="center" wrapText="1"/>
    </xf>
    <xf borderId="0" fillId="3" fontId="6" numFmtId="1" xfId="0" applyAlignment="1" applyFont="1" applyNumberFormat="1">
      <alignment horizontal="center" shrinkToFit="0" vertical="center" wrapText="1"/>
    </xf>
    <xf borderId="0" fillId="6" fontId="6" numFmtId="1" xfId="0" applyAlignment="1" applyFont="1" applyNumberFormat="1">
      <alignment horizontal="center" shrinkToFit="0" vertical="center" wrapText="1"/>
    </xf>
    <xf borderId="4" fillId="4" fontId="7" numFmtId="164" xfId="0" applyAlignment="1" applyBorder="1" applyFont="1" applyNumberFormat="1">
      <alignment horizontal="center" shrinkToFit="0" vertical="center" wrapText="1"/>
    </xf>
    <xf borderId="4" fillId="4" fontId="7" numFmtId="3" xfId="0" applyAlignment="1" applyBorder="1" applyFont="1" applyNumberFormat="1">
      <alignment horizontal="center" shrinkToFit="0" vertical="center" wrapText="1"/>
    </xf>
    <xf borderId="4" fillId="7" fontId="7" numFmtId="3" xfId="0" applyAlignment="1" applyBorder="1" applyFill="1" applyFont="1" applyNumberFormat="1">
      <alignment horizontal="center" shrinkToFit="0" vertical="center" wrapText="1"/>
    </xf>
    <xf borderId="4" fillId="5" fontId="7" numFmtId="164" xfId="0" applyAlignment="1" applyBorder="1" applyFont="1" applyNumberFormat="1">
      <alignment horizontal="center" shrinkToFit="0" vertical="center" wrapText="1"/>
    </xf>
    <xf borderId="4" fillId="5" fontId="7" numFmtId="3" xfId="0" applyAlignment="1" applyBorder="1" applyFont="1" applyNumberFormat="1">
      <alignment horizontal="center" shrinkToFit="0" vertical="center" wrapText="1"/>
    </xf>
    <xf borderId="4" fillId="5" fontId="8" numFmtId="3" xfId="0" applyAlignment="1" applyBorder="1" applyFont="1" applyNumberFormat="1">
      <alignment horizontal="center" shrinkToFit="0" vertical="center" wrapText="1"/>
    </xf>
    <xf borderId="4" fillId="7" fontId="9" numFmtId="3" xfId="0" applyAlignment="1" applyBorder="1" applyFont="1" applyNumberFormat="1">
      <alignment horizontal="center" shrinkToFit="0" vertical="center" wrapText="1"/>
    </xf>
    <xf borderId="4" fillId="5" fontId="8" numFmtId="164" xfId="0" applyAlignment="1" applyBorder="1" applyFont="1" applyNumberFormat="1">
      <alignment horizontal="center" shrinkToFit="0" vertical="center" wrapText="1"/>
    </xf>
    <xf borderId="4" fillId="5" fontId="10" numFmtId="3" xfId="0" applyAlignment="1" applyBorder="1" applyFont="1" applyNumberFormat="1">
      <alignment horizontal="center" shrinkToFit="0" vertical="center" wrapText="1"/>
    </xf>
    <xf borderId="4" fillId="7" fontId="11" numFmtId="164" xfId="0" applyAlignment="1" applyBorder="1" applyFont="1" applyNumberFormat="1">
      <alignment horizontal="center" shrinkToFit="0" vertical="center" wrapText="1"/>
    </xf>
    <xf borderId="4" fillId="5" fontId="7" numFmtId="165" xfId="0" applyAlignment="1" applyBorder="1" applyFont="1" applyNumberFormat="1">
      <alignment horizontal="center" shrinkToFit="0" vertical="center" wrapText="1"/>
    </xf>
    <xf borderId="4" fillId="7" fontId="9" numFmtId="164" xfId="0" applyAlignment="1" applyBorder="1" applyFont="1" applyNumberFormat="1">
      <alignment horizontal="center" shrinkToFit="0" vertical="center" wrapText="1"/>
    </xf>
    <xf borderId="0" fillId="3" fontId="12" numFmtId="3" xfId="0" applyAlignment="1" applyFont="1" applyNumberFormat="1">
      <alignment horizontal="center" shrinkToFit="0" vertical="center" wrapText="1"/>
    </xf>
    <xf borderId="0" fillId="3" fontId="13" numFmtId="164" xfId="0" applyAlignment="1" applyFont="1" applyNumberFormat="1">
      <alignment horizontal="center" shrinkToFit="0" vertical="center" wrapText="1"/>
    </xf>
    <xf borderId="0" fillId="0" fontId="14" numFmtId="0" xfId="0" applyAlignment="1" applyFont="1">
      <alignment horizontal="center"/>
    </xf>
    <xf borderId="0" fillId="6" fontId="12" numFmtId="3" xfId="0" applyAlignment="1" applyFont="1" applyNumberFormat="1">
      <alignment horizontal="center" shrinkToFit="0" vertical="center" wrapText="1"/>
    </xf>
    <xf borderId="4" fillId="4" fontId="10" numFmtId="166" xfId="0" applyAlignment="1" applyBorder="1" applyFont="1" applyNumberFormat="1">
      <alignment horizontal="center" shrinkToFit="0" vertical="center" wrapText="1"/>
    </xf>
    <xf borderId="4" fillId="7" fontId="10" numFmtId="166" xfId="0" applyAlignment="1" applyBorder="1" applyFont="1" applyNumberFormat="1">
      <alignment horizontal="center" shrinkToFit="0" vertical="center" wrapText="1"/>
    </xf>
    <xf borderId="4" fillId="4" fontId="15" numFmtId="166" xfId="0" applyAlignment="1" applyBorder="1" applyFont="1" applyNumberFormat="1">
      <alignment horizontal="center" shrinkToFit="0" vertical="center" wrapText="1"/>
    </xf>
    <xf borderId="4" fillId="5" fontId="16" numFmtId="166" xfId="0" applyAlignment="1" applyBorder="1" applyFont="1" applyNumberFormat="1">
      <alignment horizontal="center" shrinkToFit="0" vertical="center" wrapText="1"/>
    </xf>
    <xf borderId="4" fillId="7" fontId="17" numFmtId="166" xfId="0" applyAlignment="1" applyBorder="1" applyFont="1" applyNumberFormat="1">
      <alignment horizontal="center" shrinkToFit="0" vertical="center" wrapText="1"/>
    </xf>
    <xf borderId="4" fillId="5" fontId="10" numFmtId="166" xfId="0" applyAlignment="1" applyBorder="1" applyFont="1" applyNumberFormat="1">
      <alignment horizontal="center" shrinkToFit="0" vertical="center" wrapText="1"/>
    </xf>
    <xf borderId="0" fillId="5" fontId="10" numFmtId="4" xfId="0" applyAlignment="1" applyFont="1" applyNumberFormat="1">
      <alignment horizontal="center" shrinkToFit="0" vertical="center" wrapText="1"/>
    </xf>
    <xf borderId="4" fillId="7" fontId="11" numFmtId="3" xfId="0" applyAlignment="1" applyBorder="1" applyFont="1" applyNumberFormat="1">
      <alignment horizontal="center" shrinkToFit="0" vertical="center" wrapText="1"/>
    </xf>
    <xf borderId="0" fillId="6" fontId="18" numFmtId="3" xfId="0" applyAlignment="1" applyFont="1" applyNumberFormat="1">
      <alignment horizontal="center" shrinkToFit="0" vertical="center" wrapText="1"/>
    </xf>
    <xf borderId="0" fillId="6" fontId="18" numFmtId="1" xfId="0" applyAlignment="1" applyFont="1" applyNumberFormat="1">
      <alignment horizontal="center" shrinkToFit="0" vertical="center" wrapText="1"/>
    </xf>
    <xf borderId="4" fillId="7" fontId="17" numFmtId="3" xfId="0" applyAlignment="1" applyBorder="1" applyFont="1" applyNumberFormat="1">
      <alignment horizontal="center" shrinkToFit="0" vertical="center" wrapText="1"/>
    </xf>
    <xf borderId="0" fillId="0" fontId="14" numFmtId="0" xfId="0" applyFont="1"/>
    <xf borderId="0" fillId="0" fontId="4" numFmtId="1" xfId="0" applyAlignment="1" applyFont="1" applyNumberFormat="1">
      <alignment horizontal="center" vertical="bottom"/>
    </xf>
    <xf borderId="0" fillId="0" fontId="4" numFmtId="1" xfId="0" applyAlignment="1" applyFont="1" applyNumberFormat="1">
      <alignment horizontal="right" vertical="bottom"/>
    </xf>
    <xf borderId="0" fillId="0" fontId="19" numFmtId="164" xfId="0" applyAlignment="1" applyFont="1" applyNumberFormat="1">
      <alignment horizontal="right" vertical="bottom"/>
    </xf>
    <xf borderId="0" fillId="0" fontId="4" numFmtId="164" xfId="0" applyAlignment="1" applyFont="1" applyNumberFormat="1">
      <alignment horizontal="right"/>
    </xf>
    <xf borderId="0" fillId="0" fontId="20" numFmtId="0" xfId="0" applyAlignment="1" applyFont="1">
      <alignment horizontal="center"/>
    </xf>
    <xf borderId="0" fillId="0" fontId="19" numFmtId="166" xfId="0" applyAlignment="1" applyFont="1" applyNumberFormat="1">
      <alignment horizontal="center" vertical="bottom"/>
    </xf>
    <xf borderId="0" fillId="0" fontId="21" numFmtId="166" xfId="0" applyAlignment="1" applyFont="1" applyNumberFormat="1">
      <alignment horizontal="center" vertical="bottom"/>
    </xf>
    <xf borderId="0" fillId="3" fontId="18" numFmtId="3" xfId="0" applyAlignment="1" applyFont="1" applyNumberFormat="1">
      <alignment horizontal="center" shrinkToFit="0" vertical="center" wrapText="1"/>
    </xf>
    <xf borderId="0" fillId="0" fontId="22" numFmtId="0" xfId="0" applyAlignment="1" applyFont="1">
      <alignment vertical="bottom"/>
    </xf>
    <xf borderId="0" fillId="0" fontId="23" numFmtId="0" xfId="0" applyAlignment="1" applyFont="1">
      <alignment horizontal="center" vertical="bottom"/>
    </xf>
    <xf borderId="0" fillId="0" fontId="24" numFmtId="0" xfId="0" applyFont="1"/>
    <xf borderId="0" fillId="0" fontId="23" numFmtId="0" xfId="0" applyAlignment="1" applyFont="1">
      <alignment horizontal="center"/>
    </xf>
    <xf borderId="0" fillId="0" fontId="24" numFmtId="0" xfId="0" applyAlignment="1" applyFont="1">
      <alignment horizontal="center"/>
    </xf>
    <xf borderId="0" fillId="0" fontId="22" numFmtId="0" xfId="0" applyFont="1"/>
    <xf borderId="0" fillId="8" fontId="25" numFmtId="0" xfId="0" applyAlignment="1" applyFill="1" applyFont="1">
      <alignment vertical="bottom"/>
    </xf>
    <xf borderId="0" fillId="0" fontId="24" numFmtId="9" xfId="0" applyAlignment="1" applyFont="1" applyNumberFormat="1">
      <alignment horizontal="center" vertical="bottom"/>
    </xf>
    <xf borderId="0" fillId="0" fontId="24" numFmtId="164" xfId="0" applyAlignment="1" applyFont="1" applyNumberFormat="1">
      <alignment horizontal="right" vertical="bottom"/>
    </xf>
    <xf borderId="0" fillId="9" fontId="26" numFmtId="164" xfId="0" applyAlignment="1" applyFill="1" applyFont="1" applyNumberFormat="1">
      <alignment horizontal="right" vertical="bottom"/>
    </xf>
    <xf borderId="0" fillId="9" fontId="22" numFmtId="164" xfId="0" applyAlignment="1" applyFont="1" applyNumberFormat="1">
      <alignment vertical="bottom"/>
    </xf>
    <xf borderId="0" fillId="2" fontId="27" numFmtId="164" xfId="0" applyAlignment="1" applyFont="1" applyNumberFormat="1">
      <alignment horizontal="center" vertical="bottom"/>
    </xf>
    <xf borderId="0" fillId="0" fontId="27" numFmtId="164" xfId="0" applyAlignment="1" applyFont="1" applyNumberFormat="1">
      <alignment horizontal="center" vertical="bottom"/>
    </xf>
    <xf borderId="0" fillId="0" fontId="24" numFmtId="164" xfId="0" applyAlignment="1" applyFont="1" applyNumberFormat="1">
      <alignment horizontal="center"/>
    </xf>
    <xf borderId="0" fillId="10" fontId="24" numFmtId="164" xfId="0" applyAlignment="1" applyFill="1" applyFont="1" applyNumberFormat="1">
      <alignment horizontal="right" vertical="bottom"/>
    </xf>
    <xf borderId="0" fillId="0" fontId="4" numFmtId="0" xfId="0" applyFont="1"/>
    <xf borderId="0" fillId="11" fontId="25" numFmtId="0" xfId="0" applyAlignment="1" applyFill="1" applyFont="1">
      <alignment vertical="bottom"/>
    </xf>
    <xf borderId="5" fillId="2" fontId="28" numFmtId="0" xfId="0" applyAlignment="1" applyBorder="1" applyFont="1">
      <alignment horizontal="center" vertical="bottom"/>
    </xf>
    <xf borderId="5" fillId="0" fontId="2" numFmtId="0" xfId="0" applyBorder="1" applyFont="1"/>
    <xf borderId="0" fillId="12" fontId="29" numFmtId="0" xfId="0" applyAlignment="1" applyFill="1" applyFont="1">
      <alignment vertical="bottom"/>
    </xf>
    <xf borderId="0" fillId="13" fontId="30" numFmtId="0" xfId="0" applyAlignment="1" applyFill="1" applyFont="1">
      <alignment horizontal="center" vertical="bottom"/>
    </xf>
    <xf borderId="0" fillId="14" fontId="31" numFmtId="0" xfId="0" applyAlignment="1" applyFill="1" applyFont="1">
      <alignment horizontal="center" vertical="center"/>
    </xf>
    <xf borderId="0" fillId="9" fontId="22" numFmtId="1" xfId="0" applyAlignment="1" applyFont="1" applyNumberFormat="1">
      <alignment horizontal="right" vertical="bottom"/>
    </xf>
    <xf borderId="0" fillId="9" fontId="22" numFmtId="167" xfId="0" applyAlignment="1" applyFont="1" applyNumberFormat="1">
      <alignment horizontal="right" vertical="bottom"/>
    </xf>
    <xf borderId="0" fillId="9" fontId="22" numFmtId="164" xfId="0" applyAlignment="1" applyFont="1" applyNumberFormat="1">
      <alignment horizontal="right" vertical="bottom"/>
    </xf>
    <xf borderId="0" fillId="9" fontId="24" numFmtId="164" xfId="0" applyAlignment="1" applyFont="1" applyNumberFormat="1">
      <alignment horizontal="right" vertical="bottom"/>
    </xf>
    <xf borderId="0" fillId="9" fontId="22" numFmtId="0" xfId="0" applyAlignment="1" applyFont="1">
      <alignment horizontal="right" vertical="bottom"/>
    </xf>
    <xf borderId="0" fillId="9" fontId="22" numFmtId="0" xfId="0" applyAlignment="1" applyFont="1">
      <alignment vertical="bottom"/>
    </xf>
    <xf borderId="0" fillId="0" fontId="22" numFmtId="164" xfId="0" applyAlignment="1" applyFont="1" applyNumberFormat="1">
      <alignment horizontal="center" vertical="bottom"/>
    </xf>
    <xf borderId="0" fillId="0" fontId="24" numFmtId="3" xfId="0" applyAlignment="1" applyFont="1" applyNumberFormat="1">
      <alignment horizontal="center"/>
    </xf>
    <xf borderId="0" fillId="0" fontId="22" numFmtId="9" xfId="0" applyAlignment="1" applyFont="1" applyNumberFormat="1">
      <alignment vertical="bottom"/>
    </xf>
    <xf borderId="0" fillId="0" fontId="22" numFmtId="164" xfId="0" applyAlignment="1" applyFont="1" applyNumberFormat="1">
      <alignment horizontal="right" vertical="bottom"/>
    </xf>
    <xf borderId="5" fillId="0" fontId="22" numFmtId="0" xfId="0" applyAlignment="1" applyBorder="1" applyFont="1">
      <alignment vertical="bottom"/>
    </xf>
    <xf borderId="6" fillId="15" fontId="29" numFmtId="0" xfId="0" applyAlignment="1" applyBorder="1" applyFill="1" applyFont="1">
      <alignment vertical="bottom"/>
    </xf>
    <xf borderId="0" fillId="0" fontId="22" numFmtId="4" xfId="0" applyAlignment="1" applyFont="1" applyNumberFormat="1">
      <alignment vertical="bottom"/>
    </xf>
    <xf borderId="0" fillId="0" fontId="14" numFmtId="164" xfId="0" applyAlignment="1" applyFont="1" applyNumberFormat="1">
      <alignment horizontal="center"/>
    </xf>
    <xf borderId="0" fillId="9" fontId="22" numFmtId="0" xfId="0" applyAlignment="1" applyFont="1">
      <alignment shrinkToFit="0" vertical="bottom" wrapText="0"/>
    </xf>
    <xf borderId="0" fillId="9" fontId="22" numFmtId="1" xfId="0" applyAlignment="1" applyFont="1" applyNumberFormat="1">
      <alignment vertical="bottom"/>
    </xf>
    <xf borderId="0" fillId="0" fontId="22" numFmtId="164" xfId="0" applyAlignment="1" applyFont="1" applyNumberFormat="1">
      <alignment vertical="bottom"/>
    </xf>
    <xf borderId="7" fillId="11" fontId="29" numFmtId="0" xfId="0" applyAlignment="1" applyBorder="1" applyFont="1">
      <alignment vertical="bottom"/>
    </xf>
    <xf borderId="0" fillId="9" fontId="22" numFmtId="164" xfId="0" applyAlignment="1" applyFont="1" applyNumberFormat="1">
      <alignment horizontal="right"/>
    </xf>
    <xf borderId="0" fillId="9" fontId="22" numFmtId="164" xfId="0" applyFont="1" applyNumberFormat="1"/>
    <xf borderId="0" fillId="9" fontId="22" numFmtId="164" xfId="0" applyAlignment="1" applyFont="1" applyNumberFormat="1">
      <alignment horizontal="center"/>
    </xf>
    <xf borderId="0" fillId="13" fontId="31" numFmtId="0" xfId="0" applyAlignment="1" applyFont="1">
      <alignment horizontal="center" vertical="center"/>
    </xf>
    <xf borderId="0" fillId="9" fontId="22" numFmtId="0" xfId="0" applyAlignment="1" applyFont="1">
      <alignment horizontal="center"/>
    </xf>
    <xf borderId="0" fillId="2" fontId="22" numFmtId="0" xfId="0" applyAlignment="1" applyFont="1">
      <alignment vertical="bottom"/>
    </xf>
    <xf borderId="0" fillId="2" fontId="32" numFmtId="0" xfId="0" applyAlignment="1" applyFont="1">
      <alignment horizontal="center" vertical="bottom"/>
    </xf>
    <xf borderId="0" fillId="16" fontId="32" numFmtId="0" xfId="0" applyAlignment="1" applyFill="1" applyFont="1">
      <alignment horizontal="center" vertical="bottom"/>
    </xf>
    <xf borderId="0" fillId="0" fontId="25" numFmtId="0" xfId="0" applyAlignment="1" applyFont="1">
      <alignment vertical="bottom"/>
    </xf>
    <xf borderId="0" fillId="0" fontId="33" numFmtId="164" xfId="0" applyAlignment="1" applyFont="1" applyNumberFormat="1">
      <alignment horizontal="right" vertical="bottom"/>
    </xf>
    <xf borderId="0" fillId="0" fontId="33" numFmtId="0" xfId="0" applyAlignment="1" applyFont="1">
      <alignment horizontal="right" vertical="bottom"/>
    </xf>
    <xf borderId="0" fillId="2" fontId="22" numFmtId="164" xfId="0" applyAlignment="1" applyFont="1" applyNumberFormat="1">
      <alignment horizontal="right" vertical="bottom"/>
    </xf>
    <xf borderId="0" fillId="2" fontId="22" numFmtId="0" xfId="0" applyFont="1"/>
    <xf borderId="0" fillId="0" fontId="25" numFmtId="164" xfId="0" applyAlignment="1" applyFont="1" applyNumberFormat="1">
      <alignment vertical="bottom"/>
    </xf>
    <xf borderId="0" fillId="0" fontId="33" numFmtId="164" xfId="0" applyFont="1" applyNumberFormat="1"/>
    <xf borderId="0" fillId="0" fontId="22" numFmtId="3" xfId="0" applyFont="1" applyNumberFormat="1"/>
    <xf borderId="0" fillId="17" fontId="32" numFmtId="0" xfId="0" applyAlignment="1" applyFill="1" applyFont="1">
      <alignment horizontal="center" vertical="bottom"/>
    </xf>
    <xf borderId="4" fillId="0" fontId="22" numFmtId="0" xfId="0" applyAlignment="1" applyBorder="1" applyFont="1">
      <alignment vertical="bottom"/>
    </xf>
    <xf borderId="4" fillId="17" fontId="22" numFmtId="0" xfId="0" applyAlignment="1" applyBorder="1" applyFont="1">
      <alignment vertical="bottom"/>
    </xf>
    <xf borderId="4" fillId="17" fontId="34" numFmtId="0" xfId="0" applyAlignment="1" applyBorder="1" applyFont="1">
      <alignment horizontal="center" vertical="bottom"/>
    </xf>
    <xf borderId="4" fillId="0" fontId="35" numFmtId="0" xfId="0" applyAlignment="1" applyBorder="1" applyFont="1">
      <alignment vertical="bottom"/>
    </xf>
    <xf borderId="4" fillId="0" fontId="35" numFmtId="4" xfId="0" applyAlignment="1" applyBorder="1" applyFont="1" applyNumberFormat="1">
      <alignment horizontal="center" vertical="bottom"/>
    </xf>
    <xf borderId="4" fillId="13" fontId="14" numFmtId="4" xfId="0" applyAlignment="1" applyBorder="1" applyFont="1" applyNumberFormat="1">
      <alignment horizontal="center" vertical="bottom"/>
    </xf>
    <xf borderId="4" fillId="0" fontId="14" numFmtId="4" xfId="0" applyAlignment="1" applyBorder="1" applyFont="1" applyNumberFormat="1">
      <alignment vertical="bottom"/>
    </xf>
    <xf borderId="4" fillId="13" fontId="14" numFmtId="3" xfId="0" applyAlignment="1" applyBorder="1" applyFont="1" applyNumberFormat="1">
      <alignment horizontal="center" vertical="bottom"/>
    </xf>
    <xf borderId="4" fillId="18" fontId="14" numFmtId="3" xfId="0" applyAlignment="1" applyBorder="1" applyFill="1" applyFont="1" applyNumberFormat="1">
      <alignment horizontal="center" vertical="bottom"/>
    </xf>
    <xf borderId="4" fillId="0" fontId="14" numFmtId="4" xfId="0" applyAlignment="1" applyBorder="1" applyFont="1" applyNumberFormat="1">
      <alignment horizontal="center" vertical="bottom"/>
    </xf>
    <xf borderId="4" fillId="0" fontId="14" numFmtId="164" xfId="0" applyAlignment="1" applyBorder="1" applyFont="1" applyNumberFormat="1">
      <alignment horizontal="center" vertical="bottom"/>
    </xf>
    <xf borderId="4" fillId="19" fontId="14" numFmtId="3" xfId="0" applyAlignment="1" applyBorder="1" applyFill="1" applyFont="1" applyNumberFormat="1">
      <alignment horizontal="center" vertical="bottom"/>
    </xf>
    <xf borderId="0" fillId="0" fontId="22" numFmtId="10" xfId="0" applyFont="1" applyNumberFormat="1"/>
    <xf borderId="4" fillId="0" fontId="35" numFmtId="164" xfId="0" applyAlignment="1" applyBorder="1" applyFont="1" applyNumberFormat="1">
      <alignment horizontal="center" vertical="bottom"/>
    </xf>
    <xf borderId="4" fillId="20" fontId="14" numFmtId="3" xfId="0" applyAlignment="1" applyBorder="1" applyFill="1" applyFont="1" applyNumberFormat="1">
      <alignment horizontal="center" vertical="bottom"/>
    </xf>
    <xf borderId="4" fillId="21" fontId="14" numFmtId="3" xfId="0" applyAlignment="1" applyBorder="1" applyFill="1" applyFont="1" applyNumberFormat="1">
      <alignment horizontal="center" vertical="bottom"/>
    </xf>
    <xf borderId="4" fillId="22" fontId="36" numFmtId="0" xfId="0" applyAlignment="1" applyBorder="1" applyFill="1" applyFont="1">
      <alignment vertical="bottom"/>
    </xf>
    <xf borderId="4" fillId="22" fontId="22" numFmtId="0" xfId="0" applyAlignment="1" applyBorder="1" applyFont="1">
      <alignment vertical="bottom"/>
    </xf>
    <xf borderId="4" fillId="22" fontId="22" numFmtId="10" xfId="0" applyAlignment="1" applyBorder="1" applyFont="1" applyNumberFormat="1">
      <alignment vertical="bottom"/>
    </xf>
    <xf borderId="4" fillId="22" fontId="37" numFmtId="0" xfId="0" applyAlignment="1" applyBorder="1" applyFont="1">
      <alignment vertical="bottom"/>
    </xf>
    <xf borderId="4" fillId="22" fontId="38" numFmtId="10" xfId="0" applyAlignment="1" applyBorder="1" applyFont="1" applyNumberFormat="1">
      <alignment horizontal="right" vertical="bottom"/>
    </xf>
    <xf borderId="4" fillId="22" fontId="38" numFmtId="10" xfId="0" applyAlignment="1" applyBorder="1" applyFont="1" applyNumberFormat="1">
      <alignment horizontal="center" vertical="bottom"/>
    </xf>
    <xf borderId="0" fillId="0" fontId="22" numFmtId="10" xfId="0" applyAlignment="1" applyFont="1" applyNumberFormat="1">
      <alignment horizontal="center"/>
    </xf>
    <xf borderId="0" fillId="23" fontId="22" numFmtId="0" xfId="0" applyAlignment="1" applyFill="1" applyFont="1">
      <alignment vertical="bottom"/>
    </xf>
    <xf borderId="0" fillId="8" fontId="39" numFmtId="0" xfId="0" applyAlignment="1" applyFont="1">
      <alignment horizontal="center" vertical="bottom"/>
    </xf>
    <xf borderId="0" fillId="0" fontId="39" numFmtId="0" xfId="0" applyAlignment="1" applyFont="1">
      <alignment horizontal="center" vertical="bottom"/>
    </xf>
    <xf borderId="0" fillId="11" fontId="40" numFmtId="0" xfId="0" applyAlignment="1" applyFont="1">
      <alignment horizontal="center" vertical="bottom"/>
    </xf>
    <xf borderId="0" fillId="24" fontId="41" numFmtId="0" xfId="0" applyAlignment="1" applyFill="1" applyFont="1">
      <alignment vertical="bottom"/>
    </xf>
    <xf borderId="0" fillId="2" fontId="42" numFmtId="0" xfId="0" applyAlignment="1" applyFont="1">
      <alignment horizontal="center" shrinkToFit="0" wrapText="1"/>
    </xf>
    <xf borderId="0" fillId="2" fontId="42" numFmtId="0" xfId="0" applyAlignment="1" applyFont="1">
      <alignment horizontal="center" shrinkToFit="0" vertical="bottom" wrapText="1"/>
    </xf>
    <xf borderId="0" fillId="2" fontId="42" numFmtId="3" xfId="0" applyAlignment="1" applyFont="1" applyNumberFormat="1">
      <alignment horizontal="center" shrinkToFit="0" vertical="bottom" wrapText="1"/>
    </xf>
    <xf borderId="0" fillId="0" fontId="42" numFmtId="0" xfId="0" applyAlignment="1" applyFont="1">
      <alignment horizontal="center" shrinkToFit="0" wrapText="1"/>
    </xf>
    <xf borderId="0" fillId="23" fontId="42" numFmtId="164" xfId="0" applyAlignment="1" applyFont="1" applyNumberFormat="1">
      <alignment horizontal="center" shrinkToFit="0" wrapText="1"/>
    </xf>
    <xf borderId="0" fillId="23" fontId="42" numFmtId="0" xfId="0" applyAlignment="1" applyFont="1">
      <alignment horizontal="center" shrinkToFit="0" wrapText="1"/>
    </xf>
    <xf borderId="0" fillId="25" fontId="42" numFmtId="164" xfId="0" applyAlignment="1" applyFill="1" applyFont="1" applyNumberFormat="1">
      <alignment horizontal="center"/>
    </xf>
    <xf borderId="0" fillId="23" fontId="42" numFmtId="3" xfId="0" applyAlignment="1" applyFont="1" applyNumberFormat="1">
      <alignment horizontal="center" shrinkToFit="0" wrapText="1"/>
    </xf>
    <xf borderId="0" fillId="25" fontId="42" numFmtId="4" xfId="0" applyAlignment="1" applyFont="1" applyNumberFormat="1">
      <alignment horizontal="center"/>
    </xf>
    <xf borderId="0" fillId="23" fontId="42" numFmtId="164" xfId="0" applyAlignment="1" applyFont="1" applyNumberFormat="1">
      <alignment horizontal="center"/>
    </xf>
    <xf borderId="0" fillId="25" fontId="42" numFmtId="10" xfId="0" applyAlignment="1" applyFont="1" applyNumberFormat="1">
      <alignment horizontal="center"/>
    </xf>
    <xf borderId="0" fillId="10" fontId="42" numFmtId="164" xfId="0" applyAlignment="1" applyFont="1" applyNumberFormat="1">
      <alignment horizontal="center"/>
    </xf>
    <xf borderId="0" fillId="10" fontId="42" numFmtId="4" xfId="0" applyAlignment="1" applyFont="1" applyNumberFormat="1">
      <alignment horizontal="center"/>
    </xf>
    <xf borderId="0" fillId="23" fontId="42" numFmtId="10" xfId="0" applyAlignment="1" applyFont="1" applyNumberFormat="1">
      <alignment horizontal="center"/>
    </xf>
    <xf borderId="0" fillId="23" fontId="34" numFmtId="0" xfId="0" applyAlignment="1" applyFont="1">
      <alignment horizontal="center" vertical="bottom"/>
    </xf>
    <xf borderId="0" fillId="0" fontId="39" numFmtId="168" xfId="0" applyAlignment="1" applyFont="1" applyNumberFormat="1">
      <alignment horizontal="center" vertical="bottom"/>
    </xf>
    <xf borderId="0" fillId="26" fontId="43" numFmtId="164" xfId="0" applyAlignment="1" applyFill="1" applyFont="1" applyNumberFormat="1">
      <alignment horizontal="center" vertical="bottom"/>
    </xf>
    <xf borderId="0" fillId="26" fontId="43" numFmtId="0" xfId="0" applyAlignment="1" applyFont="1">
      <alignment horizontal="center" vertical="bottom"/>
    </xf>
    <xf borderId="0" fillId="0" fontId="43" numFmtId="164" xfId="0" applyAlignment="1" applyFont="1" applyNumberFormat="1">
      <alignment horizontal="center" vertical="bottom"/>
    </xf>
    <xf borderId="0" fillId="26" fontId="43" numFmtId="3" xfId="0" applyAlignment="1" applyFont="1" applyNumberFormat="1">
      <alignment horizontal="center" vertical="bottom"/>
    </xf>
    <xf borderId="0" fillId="0" fontId="43" numFmtId="4" xfId="0" applyAlignment="1" applyFont="1" applyNumberFormat="1">
      <alignment horizontal="center" vertical="bottom"/>
    </xf>
    <xf borderId="0" fillId="0" fontId="43" numFmtId="10" xfId="0" applyAlignment="1" applyFont="1" applyNumberFormat="1">
      <alignment horizontal="center" vertical="bottom"/>
    </xf>
    <xf borderId="0" fillId="0" fontId="44" numFmtId="4" xfId="0" applyAlignment="1" applyFont="1" applyNumberFormat="1">
      <alignment vertical="bottom"/>
    </xf>
    <xf borderId="0" fillId="0" fontId="45" numFmtId="168" xfId="0" applyAlignment="1" applyFont="1" applyNumberFormat="1">
      <alignment horizontal="center" vertical="bottom"/>
    </xf>
    <xf borderId="0" fillId="27" fontId="46" numFmtId="0" xfId="0" applyAlignment="1" applyFill="1" applyFont="1">
      <alignment vertical="bottom"/>
    </xf>
    <xf borderId="0" fillId="28" fontId="34" numFmtId="0" xfId="0" applyAlignment="1" applyFill="1" applyFont="1">
      <alignment vertical="bottom"/>
    </xf>
    <xf borderId="0" fillId="0" fontId="44" numFmtId="0" xfId="0" applyAlignment="1" applyFont="1">
      <alignment vertical="bottom"/>
    </xf>
    <xf borderId="0" fillId="0" fontId="44" numFmtId="10" xfId="0" applyAlignment="1" applyFont="1" applyNumberFormat="1">
      <alignment vertical="bottom"/>
    </xf>
    <xf borderId="0" fillId="0" fontId="22" numFmtId="10" xfId="0" applyAlignment="1" applyFont="1" applyNumberFormat="1">
      <alignment vertical="bottom"/>
    </xf>
    <xf borderId="0" fillId="29" fontId="14" numFmtId="0" xfId="0" applyAlignment="1" applyFill="1" applyFont="1">
      <alignment vertical="bottom"/>
    </xf>
    <xf borderId="0" fillId="30" fontId="14" numFmtId="0" xfId="0" applyAlignment="1" applyFill="1" applyFont="1">
      <alignment horizontal="center" vertical="bottom"/>
    </xf>
    <xf borderId="0" fillId="0" fontId="14" numFmtId="0" xfId="0" applyAlignment="1" applyFont="1">
      <alignment vertical="bottom"/>
    </xf>
    <xf borderId="0" fillId="30" fontId="14" numFmtId="169" xfId="0" applyAlignment="1" applyFont="1" applyNumberFormat="1">
      <alignment horizontal="center" vertical="bottom"/>
    </xf>
    <xf borderId="0" fillId="9" fontId="22" numFmtId="10" xfId="0" applyAlignment="1" applyFont="1" applyNumberFormat="1">
      <alignment vertical="bottom"/>
    </xf>
    <xf borderId="0" fillId="9" fontId="44" numFmtId="10" xfId="0" applyAlignment="1" applyFont="1" applyNumberFormat="1">
      <alignment vertical="bottom"/>
    </xf>
    <xf borderId="0" fillId="31" fontId="14" numFmtId="169" xfId="0" applyAlignment="1" applyFill="1" applyFont="1" applyNumberFormat="1">
      <alignment horizontal="center" vertical="bottom"/>
    </xf>
    <xf borderId="0" fillId="31" fontId="14" numFmtId="169" xfId="0" applyAlignment="1" applyFont="1" applyNumberFormat="1">
      <alignment horizontal="right" vertical="bottom"/>
    </xf>
    <xf borderId="0" fillId="32" fontId="47" numFmtId="169" xfId="0" applyAlignment="1" applyFill="1" applyFont="1" applyNumberFormat="1">
      <alignment horizontal="right" vertical="bottom"/>
    </xf>
    <xf borderId="0" fillId="31" fontId="14" numFmtId="0" xfId="0" applyAlignment="1" applyFont="1">
      <alignment horizontal="center" vertical="bottom"/>
    </xf>
    <xf borderId="0" fillId="31" fontId="14" numFmtId="1" xfId="0" applyAlignment="1" applyFont="1" applyNumberFormat="1">
      <alignment horizontal="center" vertical="bottom"/>
    </xf>
    <xf borderId="0" fillId="26" fontId="38" numFmtId="164" xfId="0" applyAlignment="1" applyFont="1" applyNumberFormat="1">
      <alignment horizontal="center" vertical="bottom"/>
    </xf>
    <xf borderId="0" fillId="26" fontId="38" numFmtId="0" xfId="0" applyAlignment="1" applyFont="1">
      <alignment horizontal="center" vertical="bottom"/>
    </xf>
    <xf borderId="0" fillId="0" fontId="38" numFmtId="164" xfId="0" applyAlignment="1" applyFont="1" applyNumberFormat="1">
      <alignment horizontal="center" vertical="bottom"/>
    </xf>
    <xf borderId="0" fillId="26" fontId="38" numFmtId="3" xfId="0" applyAlignment="1" applyFont="1" applyNumberFormat="1">
      <alignment horizontal="center" vertical="bottom"/>
    </xf>
    <xf borderId="0" fillId="0" fontId="38" numFmtId="4" xfId="0" applyAlignment="1" applyFont="1" applyNumberFormat="1">
      <alignment horizontal="center" vertical="bottom"/>
    </xf>
    <xf borderId="0" fillId="0" fontId="38" numFmtId="10" xfId="0" applyAlignment="1" applyFont="1" applyNumberFormat="1">
      <alignment horizontal="center" vertical="bottom"/>
    </xf>
    <xf borderId="0" fillId="9" fontId="39" numFmtId="168" xfId="0" applyAlignment="1" applyFont="1" applyNumberFormat="1">
      <alignment horizontal="center" vertical="bottom"/>
    </xf>
    <xf borderId="0" fillId="33" fontId="39" numFmtId="168" xfId="0" applyAlignment="1" applyFill="1" applyFont="1" applyNumberFormat="1">
      <alignment horizontal="center" vertical="bottom"/>
    </xf>
    <xf borderId="0" fillId="9" fontId="44" numFmtId="0" xfId="0" applyAlignment="1" applyFont="1">
      <alignment vertical="bottom"/>
    </xf>
    <xf borderId="0" fillId="9" fontId="48" numFmtId="10" xfId="0" applyAlignment="1" applyFont="1" applyNumberFormat="1">
      <alignment horizontal="center"/>
    </xf>
    <xf borderId="0" fillId="34" fontId="47" numFmtId="1" xfId="0" applyAlignment="1" applyFill="1" applyFont="1" applyNumberFormat="1">
      <alignment horizontal="right" vertical="bottom"/>
    </xf>
    <xf borderId="0" fillId="33" fontId="46" numFmtId="0" xfId="0" applyAlignment="1" applyFont="1">
      <alignment horizontal="left" vertical="bottom"/>
    </xf>
    <xf borderId="0" fillId="35" fontId="39" numFmtId="0" xfId="0" applyAlignment="1" applyFill="1" applyFont="1">
      <alignment vertical="bottom"/>
    </xf>
    <xf borderId="0" fillId="0" fontId="49" numFmtId="0" xfId="0" applyFont="1"/>
    <xf borderId="0" fillId="0" fontId="22" numFmtId="0" xfId="0" applyAlignment="1" applyFont="1">
      <alignment vertical="top"/>
    </xf>
    <xf borderId="0" fillId="0" fontId="50" numFmtId="0" xfId="0" applyFont="1"/>
    <xf borderId="0" fillId="0" fontId="22" numFmtId="0" xfId="0" applyAlignment="1" applyFont="1">
      <alignment shrinkToFit="0" vertical="top" wrapText="1"/>
    </xf>
    <xf borderId="0" fillId="36" fontId="39" numFmtId="0" xfId="0" applyFill="1" applyFont="1"/>
    <xf borderId="0" fillId="31" fontId="22" numFmtId="0" xfId="0" applyAlignment="1" applyFont="1">
      <alignment horizontal="center"/>
    </xf>
    <xf borderId="0" fillId="0" fontId="23" numFmtId="164" xfId="0" applyFont="1" applyNumberFormat="1"/>
    <xf borderId="0" fillId="0" fontId="23" numFmtId="0" xfId="0" applyFont="1"/>
    <xf borderId="0" fillId="0" fontId="39" numFmtId="0" xfId="0" applyFont="1"/>
    <xf borderId="0" fillId="0" fontId="22" numFmtId="0" xfId="0" applyAlignment="1" applyFont="1">
      <alignment shrinkToFit="0" wrapText="1"/>
    </xf>
    <xf borderId="0" fillId="37" fontId="42" numFmtId="0" xfId="0" applyAlignment="1" applyFill="1" applyFont="1">
      <alignment horizontal="center"/>
    </xf>
    <xf borderId="0" fillId="0" fontId="39" numFmtId="0" xfId="0" applyAlignment="1" applyFont="1">
      <alignment vertical="bottom"/>
    </xf>
    <xf borderId="0" fillId="0" fontId="22" numFmtId="0" xfId="0" applyAlignment="1" applyFont="1">
      <alignment vertical="center"/>
    </xf>
    <xf borderId="0" fillId="0" fontId="22" numFmtId="0" xfId="0" applyAlignment="1" applyFont="1">
      <alignment horizontal="left" vertical="center"/>
    </xf>
    <xf borderId="0" fillId="0" fontId="22" numFmtId="0" xfId="0" applyAlignment="1" applyFont="1">
      <alignment horizontal="center" vertical="center"/>
    </xf>
    <xf borderId="0" fillId="0" fontId="33" numFmtId="0" xfId="0" applyAlignment="1" applyFont="1">
      <alignment horizontal="right" vertical="center"/>
    </xf>
    <xf borderId="0" fillId="31" fontId="25" numFmtId="0" xfId="0" applyAlignment="1" applyFont="1">
      <alignment horizontal="center" vertical="center"/>
    </xf>
    <xf borderId="0" fillId="31" fontId="51" numFmtId="164" xfId="0" applyAlignment="1" applyFont="1" applyNumberFormat="1">
      <alignment horizontal="center" vertical="center"/>
    </xf>
    <xf borderId="0" fillId="0" fontId="33" numFmtId="0" xfId="0" applyAlignment="1" applyFont="1">
      <alignment horizontal="left" vertical="center"/>
    </xf>
    <xf borderId="0" fillId="0" fontId="33" numFmtId="0" xfId="0" applyAlignment="1" applyFont="1">
      <alignment vertical="center"/>
    </xf>
    <xf borderId="0" fillId="0" fontId="33" numFmtId="0" xfId="0" applyAlignment="1" applyFont="1">
      <alignment horizontal="center" vertical="center"/>
    </xf>
    <xf borderId="0" fillId="2" fontId="52" numFmtId="0" xfId="0" applyAlignment="1" applyFont="1">
      <alignment horizontal="center" vertical="center"/>
    </xf>
    <xf borderId="0" fillId="3" fontId="53" numFmtId="0" xfId="0" applyAlignment="1" applyFont="1">
      <alignment horizontal="center" vertical="center"/>
    </xf>
    <xf borderId="0" fillId="0" fontId="51" numFmtId="164" xfId="0" applyAlignment="1" applyFont="1" applyNumberFormat="1">
      <alignment horizontal="center" vertical="center"/>
    </xf>
    <xf borderId="0" fillId="38" fontId="54" numFmtId="164" xfId="0" applyAlignment="1" applyFill="1" applyFont="1" applyNumberFormat="1">
      <alignment horizontal="center" vertical="center"/>
    </xf>
    <xf borderId="0" fillId="0" fontId="33" numFmtId="10" xfId="0" applyAlignment="1" applyFont="1" applyNumberFormat="1">
      <alignment horizontal="center" vertical="center"/>
    </xf>
    <xf borderId="0" fillId="38" fontId="38" numFmtId="0" xfId="0" applyAlignment="1" applyFont="1">
      <alignment vertical="center"/>
    </xf>
    <xf borderId="0" fillId="38" fontId="38" numFmtId="10" xfId="0" applyAlignment="1" applyFont="1" applyNumberFormat="1">
      <alignment vertical="center"/>
    </xf>
    <xf borderId="0" fillId="0" fontId="55" numFmtId="164" xfId="0" applyAlignment="1" applyFont="1" applyNumberFormat="1">
      <alignment horizontal="center" vertical="center"/>
    </xf>
    <xf borderId="0" fillId="38" fontId="56" numFmtId="164" xfId="0" applyAlignment="1" applyFont="1" applyNumberFormat="1">
      <alignment horizontal="center" vertical="center"/>
    </xf>
    <xf borderId="8" fillId="38" fontId="56" numFmtId="164" xfId="0" applyAlignment="1" applyBorder="1" applyFont="1" applyNumberFormat="1">
      <alignment horizontal="center" vertical="center"/>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1" fillId="38" fontId="38" numFmtId="0" xfId="0" applyAlignment="1" applyBorder="1" applyFont="1">
      <alignment vertical="center"/>
    </xf>
    <xf borderId="12" fillId="38" fontId="38" numFmtId="0" xfId="0" applyAlignment="1" applyBorder="1" applyFont="1">
      <alignment vertical="center"/>
    </xf>
    <xf borderId="5" fillId="38" fontId="38" numFmtId="0" xfId="0" applyAlignment="1" applyBorder="1" applyFont="1">
      <alignment vertical="center"/>
    </xf>
    <xf borderId="13" fillId="38" fontId="38" numFmtId="0" xfId="0" applyAlignment="1" applyBorder="1" applyFont="1">
      <alignment vertical="center"/>
    </xf>
    <xf borderId="14" fillId="38" fontId="38" numFmtId="0" xfId="0" applyAlignment="1" applyBorder="1" applyFont="1">
      <alignment vertical="center"/>
    </xf>
    <xf borderId="0" fillId="13" fontId="57" numFmtId="0" xfId="0" applyAlignment="1" applyFont="1">
      <alignment horizontal="center" vertical="center"/>
    </xf>
    <xf borderId="15" fillId="13" fontId="57" numFmtId="0" xfId="0" applyAlignment="1" applyBorder="1" applyFont="1">
      <alignment horizontal="center" vertical="center"/>
    </xf>
    <xf borderId="16" fillId="0" fontId="2" numFmtId="0" xfId="0" applyBorder="1" applyFont="1"/>
    <xf borderId="17" fillId="0" fontId="2" numFmtId="0" xfId="0" applyBorder="1" applyFont="1"/>
    <xf borderId="18" fillId="13" fontId="57" numFmtId="0" xfId="0" applyAlignment="1" applyBorder="1" applyFont="1">
      <alignment horizontal="center" vertical="center"/>
    </xf>
    <xf borderId="19" fillId="0" fontId="2" numFmtId="0" xfId="0" applyBorder="1" applyFont="1"/>
    <xf borderId="20" fillId="0" fontId="2" numFmtId="0" xfId="0" applyBorder="1" applyFont="1"/>
    <xf borderId="21" fillId="13" fontId="30" numFmtId="0" xfId="0" applyAlignment="1" applyBorder="1" applyFont="1">
      <alignment horizontal="center" vertical="center"/>
    </xf>
    <xf borderId="22" fillId="0" fontId="2" numFmtId="0" xfId="0" applyBorder="1" applyFont="1"/>
    <xf borderId="23" fillId="0" fontId="2" numFmtId="0" xfId="0" applyBorder="1" applyFont="1"/>
    <xf borderId="24" fillId="13" fontId="30" numFmtId="0" xfId="0" applyAlignment="1" applyBorder="1" applyFont="1">
      <alignment horizontal="center" vertical="center"/>
    </xf>
    <xf borderId="25" fillId="0" fontId="2" numFmtId="0" xfId="0" applyBorder="1" applyFont="1"/>
    <xf borderId="22" fillId="13" fontId="30" numFmtId="0" xfId="0" applyAlignment="1" applyBorder="1" applyFont="1">
      <alignment horizontal="center" vertical="center"/>
    </xf>
    <xf borderId="0" fillId="38" fontId="19" numFmtId="164" xfId="0" applyAlignment="1" applyFont="1" applyNumberFormat="1">
      <alignment horizontal="center" vertical="center"/>
    </xf>
    <xf borderId="26" fillId="38" fontId="19" numFmtId="164" xfId="0" applyAlignment="1" applyBorder="1" applyFont="1" applyNumberFormat="1">
      <alignment horizontal="center" vertical="center"/>
    </xf>
    <xf borderId="27" fillId="38" fontId="19" numFmtId="164" xfId="0" applyAlignment="1" applyBorder="1" applyFont="1" applyNumberFormat="1">
      <alignment horizontal="center" vertical="center"/>
    </xf>
    <xf borderId="28" fillId="38" fontId="19" numFmtId="164" xfId="0" applyAlignment="1" applyBorder="1" applyFont="1" applyNumberFormat="1">
      <alignment horizontal="center" vertical="center"/>
    </xf>
    <xf borderId="29" fillId="38" fontId="19" numFmtId="164" xfId="0" applyAlignment="1" applyBorder="1" applyFont="1" applyNumberFormat="1">
      <alignment horizontal="center" vertical="center"/>
    </xf>
    <xf borderId="30" fillId="4" fontId="58" numFmtId="164" xfId="0" applyAlignment="1" applyBorder="1" applyFont="1" applyNumberFormat="1">
      <alignment horizontal="center" vertical="center"/>
    </xf>
    <xf borderId="31" fillId="4" fontId="58" numFmtId="164" xfId="0" applyAlignment="1" applyBorder="1" applyFont="1" applyNumberFormat="1">
      <alignment horizontal="center" vertical="center"/>
    </xf>
    <xf borderId="32" fillId="4" fontId="58" numFmtId="164" xfId="0" applyAlignment="1" applyBorder="1" applyFont="1" applyNumberFormat="1">
      <alignment horizontal="center" vertical="center"/>
    </xf>
    <xf borderId="33" fillId="4" fontId="58" numFmtId="164" xfId="0" applyAlignment="1" applyBorder="1" applyFont="1" applyNumberFormat="1">
      <alignment horizontal="center" vertical="center"/>
    </xf>
    <xf borderId="34" fillId="4" fontId="58" numFmtId="164" xfId="0" applyAlignment="1" applyBorder="1" applyFont="1" applyNumberFormat="1">
      <alignment horizontal="center" vertical="center"/>
    </xf>
    <xf borderId="35" fillId="4" fontId="58" numFmtId="164" xfId="0" applyAlignment="1" applyBorder="1" applyFont="1" applyNumberFormat="1">
      <alignment horizontal="center" vertical="center"/>
    </xf>
    <xf borderId="0" fillId="0" fontId="4" numFmtId="164" xfId="0" applyAlignment="1" applyFont="1" applyNumberFormat="1">
      <alignment horizontal="center" vertical="center"/>
    </xf>
    <xf borderId="36" fillId="0" fontId="4" numFmtId="1" xfId="0" applyAlignment="1" applyBorder="1" applyFont="1" applyNumberFormat="1">
      <alignment horizontal="center" vertical="center"/>
    </xf>
    <xf borderId="36" fillId="0" fontId="4" numFmtId="164" xfId="0" applyAlignment="1" applyBorder="1" applyFont="1" applyNumberFormat="1">
      <alignment horizontal="center" vertical="center"/>
    </xf>
    <xf borderId="37" fillId="0" fontId="4" numFmtId="164" xfId="0" applyAlignment="1" applyBorder="1" applyFont="1" applyNumberFormat="1">
      <alignment horizontal="center" vertical="center"/>
    </xf>
    <xf borderId="36" fillId="0" fontId="22" numFmtId="164" xfId="0" applyAlignment="1" applyBorder="1" applyFont="1" applyNumberFormat="1">
      <alignment horizontal="center"/>
    </xf>
    <xf borderId="0" fillId="39" fontId="22" numFmtId="0" xfId="0" applyFill="1" applyFont="1"/>
    <xf borderId="36" fillId="39" fontId="4" numFmtId="1" xfId="0" applyAlignment="1" applyBorder="1" applyFont="1" applyNumberFormat="1">
      <alignment horizontal="center" vertical="center"/>
    </xf>
    <xf borderId="36" fillId="39" fontId="22" numFmtId="164" xfId="0" applyAlignment="1" applyBorder="1" applyFont="1" applyNumberFormat="1">
      <alignment horizontal="center"/>
    </xf>
    <xf borderId="38" fillId="39" fontId="4" numFmtId="164" xfId="0" applyAlignment="1" applyBorder="1" applyFont="1" applyNumberFormat="1">
      <alignment horizontal="center" vertical="center"/>
    </xf>
    <xf borderId="11" fillId="39" fontId="22" numFmtId="0" xfId="0" applyBorder="1" applyFont="1"/>
    <xf borderId="39" fillId="39" fontId="4" numFmtId="164" xfId="0" applyAlignment="1" applyBorder="1" applyFont="1" applyNumberFormat="1">
      <alignment horizontal="center" vertical="center"/>
    </xf>
    <xf borderId="37" fillId="39" fontId="4" numFmtId="164" xfId="0" applyAlignment="1" applyBorder="1" applyFont="1" applyNumberFormat="1">
      <alignment horizontal="center" vertical="center"/>
    </xf>
    <xf borderId="40" fillId="0" fontId="4" numFmtId="164" xfId="0" applyAlignment="1" applyBorder="1" applyFont="1" applyNumberFormat="1">
      <alignment horizontal="left" vertical="center"/>
    </xf>
    <xf borderId="40" fillId="39" fontId="4" numFmtId="164" xfId="0" applyAlignment="1" applyBorder="1" applyFont="1" applyNumberFormat="1">
      <alignment horizontal="left" vertical="center"/>
    </xf>
    <xf borderId="41" fillId="39" fontId="4" numFmtId="164" xfId="0" applyAlignment="1" applyBorder="1" applyFont="1" applyNumberFormat="1">
      <alignment horizontal="left" vertical="center"/>
    </xf>
    <xf borderId="36" fillId="39" fontId="4" numFmtId="164" xfId="0" applyAlignment="1" applyBorder="1" applyFont="1" applyNumberFormat="1">
      <alignment horizontal="left" vertical="center"/>
    </xf>
    <xf borderId="37" fillId="0" fontId="4" numFmtId="0" xfId="0" applyAlignment="1" applyBorder="1" applyFont="1">
      <alignment vertical="center"/>
    </xf>
    <xf borderId="37" fillId="39" fontId="4" numFmtId="0" xfId="0" applyAlignment="1" applyBorder="1" applyFont="1">
      <alignment vertical="center"/>
    </xf>
    <xf borderId="41" fillId="39" fontId="4" numFmtId="0" xfId="0" applyAlignment="1" applyBorder="1" applyFont="1">
      <alignment vertical="center"/>
    </xf>
    <xf borderId="36" fillId="39" fontId="4" numFmtId="0" xfId="0" applyAlignment="1" applyBorder="1" applyFont="1">
      <alignment vertical="center"/>
    </xf>
    <xf borderId="42" fillId="0" fontId="4" numFmtId="0" xfId="0" applyAlignment="1" applyBorder="1" applyFont="1">
      <alignment vertical="center"/>
    </xf>
    <xf borderId="42" fillId="0" fontId="4" numFmtId="164" xfId="0" applyAlignment="1" applyBorder="1" applyFont="1" applyNumberFormat="1">
      <alignment horizontal="center" vertical="center"/>
    </xf>
    <xf borderId="37" fillId="0" fontId="22" numFmtId="0" xfId="0" applyAlignment="1" applyBorder="1" applyFont="1">
      <alignment horizontal="left"/>
    </xf>
    <xf borderId="37" fillId="39" fontId="22" numFmtId="0" xfId="0" applyAlignment="1" applyBorder="1" applyFont="1">
      <alignment horizontal="left"/>
    </xf>
    <xf borderId="41" fillId="39" fontId="22" numFmtId="0" xfId="0" applyAlignment="1" applyBorder="1" applyFont="1">
      <alignment horizontal="left"/>
    </xf>
    <xf borderId="36" fillId="39" fontId="22" numFmtId="0" xfId="0" applyAlignment="1" applyBorder="1" applyFont="1">
      <alignment horizontal="left"/>
    </xf>
    <xf borderId="43" fillId="4" fontId="58" numFmtId="164" xfId="0" applyAlignment="1" applyBorder="1" applyFont="1" applyNumberFormat="1">
      <alignment horizontal="center" vertical="center"/>
    </xf>
    <xf borderId="6" fillId="4" fontId="58" numFmtId="164" xfId="0" applyAlignment="1" applyBorder="1" applyFont="1" applyNumberFormat="1">
      <alignment horizontal="center" vertical="center"/>
    </xf>
    <xf borderId="37" fillId="0" fontId="4" numFmtId="1" xfId="0" applyAlignment="1" applyBorder="1" applyFont="1" applyNumberFormat="1">
      <alignment horizontal="center" vertical="center"/>
    </xf>
    <xf borderId="37" fillId="39" fontId="4" numFmtId="1" xfId="0" applyAlignment="1" applyBorder="1" applyFont="1" applyNumberFormat="1">
      <alignment horizontal="center" vertical="center"/>
    </xf>
    <xf borderId="44" fillId="39" fontId="22" numFmtId="0" xfId="0" applyBorder="1" applyFont="1"/>
    <xf borderId="44" fillId="39" fontId="4" numFmtId="1" xfId="0" applyAlignment="1" applyBorder="1" applyFont="1" applyNumberFormat="1">
      <alignment horizontal="center" vertical="center"/>
    </xf>
    <xf borderId="44" fillId="39" fontId="22" numFmtId="164" xfId="0" applyAlignment="1" applyBorder="1" applyFont="1" applyNumberFormat="1">
      <alignment horizontal="center"/>
    </xf>
    <xf borderId="44" fillId="39" fontId="4" numFmtId="164" xfId="0" applyAlignment="1" applyBorder="1" applyFont="1" applyNumberFormat="1">
      <alignment horizontal="center" vertical="center"/>
    </xf>
    <xf borderId="37" fillId="9" fontId="4" numFmtId="1" xfId="0" applyAlignment="1" applyBorder="1" applyFont="1" applyNumberFormat="1">
      <alignment horizontal="center" vertical="center"/>
    </xf>
    <xf borderId="36" fillId="9" fontId="22" numFmtId="164" xfId="0" applyAlignment="1" applyBorder="1" applyFont="1" applyNumberFormat="1">
      <alignment horizontal="center"/>
    </xf>
    <xf borderId="37" fillId="9" fontId="4" numFmtId="164" xfId="0" applyAlignment="1" applyBorder="1" applyFont="1" applyNumberFormat="1">
      <alignment horizontal="center" vertical="center"/>
    </xf>
    <xf borderId="44" fillId="31" fontId="4" numFmtId="164" xfId="0" applyAlignment="1" applyBorder="1" applyFont="1" applyNumberFormat="1">
      <alignment horizontal="left" vertical="center"/>
    </xf>
    <xf borderId="44" fillId="31" fontId="4" numFmtId="1" xfId="0" applyAlignment="1" applyBorder="1" applyFont="1" applyNumberFormat="1">
      <alignment horizontal="center" vertical="center"/>
    </xf>
    <xf borderId="44" fillId="31" fontId="22" numFmtId="164" xfId="0" applyAlignment="1" applyBorder="1" applyFont="1" applyNumberFormat="1">
      <alignment horizontal="center"/>
    </xf>
    <xf borderId="44" fillId="31" fontId="4" numFmtId="164" xfId="0" applyAlignment="1" applyBorder="1" applyFont="1" applyNumberFormat="1">
      <alignment horizontal="center" vertical="center"/>
    </xf>
    <xf borderId="36" fillId="0" fontId="4" numFmtId="164" xfId="0" applyAlignment="1" applyBorder="1" applyFont="1" applyNumberFormat="1">
      <alignment horizontal="left" vertical="center"/>
    </xf>
    <xf borderId="44" fillId="39" fontId="4" numFmtId="164" xfId="0" applyAlignment="1" applyBorder="1" applyFont="1" applyNumberFormat="1">
      <alignment horizontal="left" vertical="center"/>
    </xf>
    <xf borderId="11" fillId="39" fontId="22" numFmtId="164" xfId="0" applyAlignment="1" applyBorder="1" applyFont="1" applyNumberFormat="1">
      <alignment vertical="bottom"/>
    </xf>
    <xf borderId="0" fillId="39" fontId="22" numFmtId="1" xfId="0" applyAlignment="1" applyFont="1" applyNumberFormat="1">
      <alignment horizontal="center" vertical="bottom"/>
    </xf>
    <xf borderId="0" fillId="39" fontId="22" numFmtId="164" xfId="0" applyAlignment="1" applyFont="1" applyNumberFormat="1">
      <alignment horizontal="center" vertical="bottom"/>
    </xf>
    <xf borderId="44" fillId="0" fontId="22" numFmtId="164" xfId="0" applyAlignment="1" applyBorder="1" applyFont="1" applyNumberFormat="1">
      <alignment vertical="bottom"/>
    </xf>
    <xf borderId="44" fillId="0" fontId="22" numFmtId="1" xfId="0" applyAlignment="1" applyBorder="1" applyFont="1" applyNumberFormat="1">
      <alignment horizontal="center" vertical="bottom"/>
    </xf>
    <xf borderId="44" fillId="0" fontId="22" numFmtId="164" xfId="0" applyAlignment="1" applyBorder="1" applyFont="1" applyNumberFormat="1">
      <alignment horizontal="center" vertical="bottom"/>
    </xf>
    <xf borderId="44" fillId="0" fontId="48" numFmtId="164" xfId="0" applyAlignment="1" applyBorder="1" applyFont="1" applyNumberFormat="1">
      <alignment horizontal="center"/>
    </xf>
    <xf borderId="44" fillId="39" fontId="4" numFmtId="0" xfId="0" applyAlignment="1" applyBorder="1" applyFont="1">
      <alignment vertical="center"/>
    </xf>
    <xf borderId="36" fillId="0" fontId="4" numFmtId="0" xfId="0" applyAlignment="1" applyBorder="1" applyFont="1">
      <alignment vertical="center"/>
    </xf>
    <xf borderId="44" fillId="0" fontId="4" numFmtId="0" xfId="0" applyAlignment="1" applyBorder="1" applyFont="1">
      <alignment vertical="center"/>
    </xf>
    <xf borderId="44" fillId="0" fontId="4" numFmtId="1" xfId="0" applyAlignment="1" applyBorder="1" applyFont="1" applyNumberFormat="1">
      <alignment horizontal="center" vertical="center"/>
    </xf>
    <xf borderId="44" fillId="0" fontId="22" numFmtId="164" xfId="0" applyAlignment="1" applyBorder="1" applyFont="1" applyNumberFormat="1">
      <alignment horizontal="center"/>
    </xf>
    <xf borderId="44" fillId="0" fontId="4" numFmtId="164" xfId="0" applyAlignment="1" applyBorder="1" applyFont="1" applyNumberFormat="1">
      <alignment horizontal="center" vertical="center"/>
    </xf>
    <xf borderId="42" fillId="39" fontId="4" numFmtId="0" xfId="0" applyAlignment="1" applyBorder="1" applyFont="1">
      <alignment vertical="center"/>
    </xf>
    <xf borderId="45" fillId="39" fontId="4" numFmtId="0" xfId="0" applyAlignment="1" applyBorder="1" applyFont="1">
      <alignment vertical="center"/>
    </xf>
    <xf borderId="46" fillId="0" fontId="4" numFmtId="0" xfId="0" applyAlignment="1" applyBorder="1" applyFont="1">
      <alignment vertical="center"/>
    </xf>
    <xf borderId="42" fillId="0" fontId="22" numFmtId="0" xfId="0" applyAlignment="1" applyBorder="1" applyFont="1">
      <alignment horizontal="left"/>
    </xf>
    <xf borderId="46" fillId="0" fontId="22" numFmtId="0" xfId="0" applyAlignment="1" applyBorder="1" applyFont="1">
      <alignment horizontal="left"/>
    </xf>
    <xf borderId="42" fillId="39" fontId="22" numFmtId="0" xfId="0" applyAlignment="1" applyBorder="1" applyFont="1">
      <alignment horizontal="left"/>
    </xf>
    <xf borderId="36" fillId="0" fontId="22" numFmtId="0" xfId="0" applyAlignment="1" applyBorder="1" applyFont="1">
      <alignment horizontal="left"/>
    </xf>
    <xf borderId="44" fillId="39" fontId="22" numFmtId="0" xfId="0" applyAlignment="1" applyBorder="1" applyFont="1">
      <alignment horizontal="left"/>
    </xf>
    <xf borderId="0" fillId="0" fontId="4" numFmtId="0" xfId="0" applyAlignment="1" applyFont="1">
      <alignment vertical="center"/>
    </xf>
    <xf borderId="0" fillId="0" fontId="4" numFmtId="0" xfId="0" applyAlignment="1" applyFont="1">
      <alignment horizontal="center" vertical="center"/>
    </xf>
    <xf borderId="0" fillId="0" fontId="4" numFmtId="164" xfId="0" applyAlignment="1" applyFont="1" applyNumberFormat="1">
      <alignment horizontal="left" vertical="center"/>
    </xf>
    <xf borderId="47" fillId="39" fontId="22" numFmtId="0" xfId="0" applyAlignment="1" applyBorder="1" applyFont="1">
      <alignment horizontal="left"/>
    </xf>
    <xf borderId="48" fillId="39" fontId="4" numFmtId="1" xfId="0" applyAlignment="1" applyBorder="1" applyFont="1" applyNumberFormat="1">
      <alignment horizontal="center" vertical="center"/>
    </xf>
    <xf borderId="49" fillId="39" fontId="22" numFmtId="164" xfId="0" applyAlignment="1" applyBorder="1" applyFont="1" applyNumberFormat="1">
      <alignment horizontal="center"/>
    </xf>
    <xf borderId="50" fillId="39" fontId="4" numFmtId="164" xfId="0" applyAlignment="1" applyBorder="1" applyFont="1" applyNumberFormat="1">
      <alignment horizontal="center" vertical="center"/>
    </xf>
    <xf borderId="0" fillId="0" fontId="38" numFmtId="164" xfId="0" applyAlignment="1" applyFont="1" applyNumberFormat="1">
      <alignment vertical="center"/>
    </xf>
    <xf borderId="0" fillId="0" fontId="38" numFmtId="0" xfId="0" applyAlignment="1" applyFont="1">
      <alignment vertical="center"/>
    </xf>
    <xf borderId="7" fillId="13" fontId="30" numFmtId="0" xfId="0" applyAlignment="1" applyBorder="1" applyFont="1">
      <alignment horizontal="center" vertical="center"/>
    </xf>
    <xf borderId="6" fillId="0" fontId="2" numFmtId="0" xfId="0" applyBorder="1" applyFont="1"/>
    <xf borderId="0" fillId="13" fontId="30" numFmtId="0" xfId="0" applyAlignment="1" applyFont="1">
      <alignment horizontal="center" vertical="center"/>
    </xf>
    <xf borderId="0" fillId="4" fontId="58" numFmtId="164" xfId="0" applyAlignment="1" applyFont="1" applyNumberFormat="1">
      <alignment horizontal="center" vertical="center"/>
    </xf>
    <xf borderId="44" fillId="0" fontId="22" numFmtId="0" xfId="0" applyBorder="1" applyFont="1"/>
    <xf borderId="44" fillId="0" fontId="4" numFmtId="0" xfId="0" applyAlignment="1" applyBorder="1" applyFont="1">
      <alignment horizontal="center" vertical="center"/>
    </xf>
    <xf borderId="44" fillId="39" fontId="4" numFmtId="0" xfId="0" applyAlignment="1" applyBorder="1" applyFont="1">
      <alignment horizontal="center" vertical="center"/>
    </xf>
    <xf borderId="44" fillId="39" fontId="38" numFmtId="164" xfId="0" applyAlignment="1" applyBorder="1" applyFont="1" applyNumberFormat="1">
      <alignment horizontal="center" vertical="center"/>
    </xf>
    <xf borderId="44" fillId="0" fontId="4" numFmtId="164" xfId="0" applyAlignment="1" applyBorder="1" applyFont="1" applyNumberFormat="1">
      <alignment horizontal="left" vertical="center"/>
    </xf>
    <xf borderId="51" fillId="0" fontId="22" numFmtId="164" xfId="0" applyBorder="1" applyFont="1" applyNumberFormat="1"/>
    <xf borderId="51" fillId="39" fontId="22" numFmtId="164" xfId="0" applyBorder="1" applyFont="1" applyNumberFormat="1"/>
    <xf borderId="44" fillId="0" fontId="22" numFmtId="0" xfId="0" applyAlignment="1" applyBorder="1" applyFont="1">
      <alignment horizontal="left"/>
    </xf>
    <xf borderId="44" fillId="39" fontId="22" numFmtId="164" xfId="0" applyAlignment="1" applyBorder="1" applyFont="1" applyNumberFormat="1">
      <alignment horizontal="center" vertical="bottom"/>
    </xf>
    <xf borderId="0" fillId="38" fontId="38" numFmtId="164" xfId="0" applyAlignment="1" applyFont="1" applyNumberFormat="1">
      <alignment vertical="center"/>
    </xf>
    <xf borderId="0" fillId="31" fontId="25" numFmtId="0" xfId="0" applyAlignment="1" applyFont="1">
      <alignment horizontal="center" shrinkToFit="0" vertical="center" wrapText="1"/>
    </xf>
    <xf borderId="0" fillId="0" fontId="25" numFmtId="0" xfId="0" applyAlignment="1" applyFont="1">
      <alignment horizontal="center" vertical="center"/>
    </xf>
    <xf borderId="0" fillId="0" fontId="25" numFmtId="0" xfId="0" applyAlignment="1" applyFont="1">
      <alignment horizontal="center" shrinkToFit="0" vertical="center" wrapText="1"/>
    </xf>
    <xf borderId="0" fillId="4" fontId="25" numFmtId="0" xfId="0" applyAlignment="1" applyFont="1">
      <alignment horizontal="center" vertical="center"/>
    </xf>
    <xf borderId="0" fillId="40" fontId="25" numFmtId="0" xfId="0" applyAlignment="1" applyFill="1" applyFont="1">
      <alignment horizontal="center" shrinkToFit="0" vertical="center" wrapText="1"/>
    </xf>
    <xf borderId="0" fillId="4" fontId="25" numFmtId="0" xfId="0" applyAlignment="1" applyFont="1">
      <alignment horizontal="center" shrinkToFit="0" vertical="center" wrapText="1"/>
    </xf>
    <xf borderId="0" fillId="20" fontId="25" numFmtId="0" xfId="0" applyAlignment="1" applyFont="1">
      <alignment horizontal="center" shrinkToFit="0" vertical="center" wrapText="1"/>
    </xf>
    <xf borderId="0" fillId="41" fontId="25" numFmtId="0" xfId="0" applyAlignment="1" applyFill="1" applyFont="1">
      <alignment horizontal="center" shrinkToFit="0" vertical="center" wrapText="1"/>
    </xf>
    <xf borderId="0" fillId="9" fontId="25" numFmtId="0" xfId="0" applyAlignment="1" applyFont="1">
      <alignment horizontal="center" shrinkToFit="0" vertical="center" wrapText="1"/>
    </xf>
    <xf borderId="0" fillId="9" fontId="22" numFmtId="0" xfId="0" applyAlignment="1" applyFont="1">
      <alignment horizontal="center" shrinkToFit="0" vertical="center" wrapText="1"/>
    </xf>
    <xf borderId="0" fillId="36" fontId="22" numFmtId="0" xfId="0" applyAlignment="1" applyFont="1">
      <alignment horizontal="center" shrinkToFit="0" vertical="center" wrapText="1"/>
    </xf>
    <xf borderId="0" fillId="0" fontId="22" numFmtId="0" xfId="0" applyAlignment="1" applyFont="1">
      <alignment horizontal="center" shrinkToFit="0" vertical="center" wrapText="1"/>
    </xf>
    <xf borderId="0" fillId="4" fontId="22" numFmtId="0" xfId="0" applyAlignment="1" applyFont="1">
      <alignment horizontal="center" shrinkToFit="0" vertical="center" wrapText="1"/>
    </xf>
    <xf borderId="0" fillId="20" fontId="22" numFmtId="0" xfId="0" applyAlignment="1" applyFont="1">
      <alignment horizontal="center" shrinkToFit="0" vertical="center" wrapText="1"/>
    </xf>
    <xf borderId="0" fillId="21" fontId="22" numFmtId="0" xfId="0" applyAlignment="1" applyFont="1">
      <alignment horizontal="center" shrinkToFit="0" vertical="center" wrapText="1"/>
    </xf>
    <xf borderId="0" fillId="42" fontId="22" numFmtId="0" xfId="0" applyAlignment="1" applyFill="1" applyFont="1">
      <alignment horizontal="center" shrinkToFit="0" vertical="center" wrapText="1"/>
    </xf>
    <xf borderId="0" fillId="20" fontId="22" numFmtId="0" xfId="0" applyAlignment="1" applyFont="1">
      <alignment horizontal="center" vertical="center"/>
    </xf>
    <xf borderId="0" fillId="4" fontId="22" numFmtId="0" xfId="0" applyAlignment="1" applyFont="1">
      <alignment horizontal="center" vertical="center"/>
    </xf>
    <xf borderId="0" fillId="21" fontId="22" numFmtId="0" xfId="0" applyAlignment="1" applyFont="1">
      <alignment horizontal="center" vertical="center"/>
    </xf>
    <xf borderId="0" fillId="4" fontId="22" numFmtId="0" xfId="0" applyFont="1"/>
    <xf borderId="0" fillId="0" fontId="59" numFmtId="0" xfId="0" applyFont="1"/>
    <xf borderId="4" fillId="0" fontId="59" numFmtId="0" xfId="0" applyAlignment="1" applyBorder="1" applyFont="1">
      <alignment horizontal="left" shrinkToFit="0" wrapText="1"/>
    </xf>
    <xf borderId="4" fillId="7" fontId="60" numFmtId="0" xfId="0" applyAlignment="1" applyBorder="1" applyFont="1">
      <alignment horizontal="left" shrinkToFit="0" wrapText="1"/>
    </xf>
    <xf borderId="4" fillId="9" fontId="61" numFmtId="164" xfId="0" applyAlignment="1" applyBorder="1" applyFont="1" applyNumberFormat="1">
      <alignment horizontal="left" shrinkToFit="0" wrapText="1"/>
    </xf>
    <xf borderId="4" fillId="0" fontId="60" numFmtId="3" xfId="0" applyAlignment="1" applyBorder="1" applyFont="1" applyNumberFormat="1">
      <alignment horizontal="left" shrinkToFit="0" wrapText="1"/>
    </xf>
    <xf borderId="4" fillId="0" fontId="60" numFmtId="164" xfId="0" applyAlignment="1" applyBorder="1" applyFont="1" applyNumberFormat="1">
      <alignment horizontal="left" shrinkToFit="0" wrapText="1"/>
    </xf>
    <xf borderId="4" fillId="43" fontId="60" numFmtId="0" xfId="0" applyAlignment="1" applyBorder="1" applyFill="1" applyFont="1">
      <alignment horizontal="left" shrinkToFit="0" wrapText="1"/>
    </xf>
    <xf borderId="4" fillId="44" fontId="60" numFmtId="0" xfId="0" applyAlignment="1" applyBorder="1" applyFill="1" applyFont="1">
      <alignment horizontal="left" shrinkToFit="0" wrapText="1"/>
    </xf>
    <xf borderId="4" fillId="0" fontId="60" numFmtId="164" xfId="0" applyAlignment="1" applyBorder="1" applyFont="1" applyNumberFormat="1">
      <alignment horizontal="left" shrinkToFit="0" vertical="top" wrapText="1"/>
    </xf>
    <xf borderId="4" fillId="41" fontId="60" numFmtId="0" xfId="0" applyAlignment="1" applyBorder="1" applyFont="1">
      <alignment horizontal="left" shrinkToFit="0" wrapText="1"/>
    </xf>
    <xf borderId="0" fillId="0" fontId="59" numFmtId="0" xfId="0" applyAlignment="1" applyFont="1">
      <alignment horizontal="left"/>
    </xf>
    <xf borderId="0" fillId="0" fontId="22" numFmtId="0" xfId="0" applyAlignment="1" applyFont="1">
      <alignment horizontal="left"/>
    </xf>
    <xf borderId="4" fillId="0" fontId="60" numFmtId="0" xfId="0" applyAlignment="1" applyBorder="1" applyFont="1">
      <alignment horizontal="left" shrinkToFit="0" vertical="top" wrapText="1"/>
    </xf>
    <xf borderId="0" fillId="0" fontId="22" numFmtId="164" xfId="0" applyFont="1" applyNumberFormat="1"/>
    <xf borderId="4" fillId="40" fontId="60" numFmtId="0" xfId="0" applyAlignment="1" applyBorder="1" applyFont="1">
      <alignment horizontal="left" shrinkToFit="0" wrapText="1"/>
    </xf>
    <xf borderId="4" fillId="0" fontId="23" numFmtId="0" xfId="0" applyAlignment="1" applyBorder="1" applyFont="1">
      <alignment horizontal="center"/>
    </xf>
    <xf borderId="4" fillId="0" fontId="60" numFmtId="0" xfId="0" applyAlignment="1" applyBorder="1" applyFont="1">
      <alignment horizontal="left" shrinkToFit="0" wrapText="1"/>
    </xf>
    <xf borderId="4" fillId="0" fontId="22" numFmtId="164" xfId="0" applyAlignment="1" applyBorder="1" applyFont="1" applyNumberFormat="1">
      <alignment horizontal="left"/>
    </xf>
    <xf borderId="4" fillId="0" fontId="24" numFmtId="0" xfId="0" applyAlignment="1" applyBorder="1" applyFont="1">
      <alignment horizontal="center" vertical="center"/>
    </xf>
    <xf borderId="4" fillId="0" fontId="24" numFmtId="164" xfId="0" applyAlignment="1" applyBorder="1" applyFont="1" applyNumberFormat="1">
      <alignment horizontal="center" vertical="center"/>
    </xf>
    <xf borderId="4" fillId="0" fontId="60" numFmtId="164" xfId="0" applyAlignment="1" applyBorder="1" applyFont="1" applyNumberFormat="1">
      <alignment horizontal="left" shrinkToFit="0" vertical="bottom" wrapText="1"/>
    </xf>
    <xf borderId="4" fillId="0" fontId="60" numFmtId="0" xfId="0" applyAlignment="1" applyBorder="1" applyFont="1">
      <alignment horizontal="left" shrinkToFit="0" vertical="bottom" wrapText="1"/>
    </xf>
    <xf borderId="0" fillId="2" fontId="62" numFmtId="0" xfId="0" applyAlignment="1" applyFont="1">
      <alignment horizontal="center" shrinkToFit="0" wrapText="1"/>
    </xf>
    <xf borderId="0" fillId="0" fontId="63" numFmtId="0" xfId="0" applyFont="1"/>
    <xf borderId="0" fillId="9" fontId="63" numFmtId="0" xfId="0" applyAlignment="1" applyFont="1">
      <alignment horizontal="left" shrinkToFit="0" wrapText="1"/>
    </xf>
    <xf borderId="0" fillId="0" fontId="64" numFmtId="0" xfId="0" applyAlignment="1" applyFont="1">
      <alignment shrinkToFit="0" wrapText="1"/>
    </xf>
    <xf borderId="0" fillId="0" fontId="19" numFmtId="0" xfId="0" applyAlignment="1" applyFont="1">
      <alignment shrinkToFit="0" wrapText="1"/>
    </xf>
    <xf borderId="0" fillId="45" fontId="64" numFmtId="10" xfId="0" applyAlignment="1" applyFill="1" applyFont="1" applyNumberFormat="1">
      <alignment shrinkToFit="0" wrapText="1"/>
    </xf>
    <xf borderId="0" fillId="9" fontId="63" numFmtId="0" xfId="0" applyAlignment="1" applyFont="1">
      <alignment horizontal="left"/>
    </xf>
    <xf borderId="0" fillId="0" fontId="60" numFmtId="0" xfId="0" applyFont="1"/>
    <xf borderId="0" fillId="24" fontId="41" numFmtId="0" xfId="0" applyFont="1"/>
    <xf borderId="0" fillId="2" fontId="42" numFmtId="0" xfId="0" applyAlignment="1" applyFont="1">
      <alignment horizontal="center"/>
    </xf>
    <xf borderId="0" fillId="0" fontId="39" numFmtId="0" xfId="0" applyAlignment="1" applyFont="1">
      <alignment horizontal="center"/>
    </xf>
    <xf borderId="0" fillId="0" fontId="22" numFmtId="164" xfId="0" applyAlignment="1" applyFont="1" applyNumberFormat="1">
      <alignment horizontal="center"/>
    </xf>
    <xf borderId="0" fillId="0" fontId="22" numFmtId="49" xfId="0" applyAlignment="1" applyFont="1" applyNumberFormat="1">
      <alignment horizontal="center"/>
    </xf>
    <xf borderId="0" fillId="27" fontId="46" numFmtId="0" xfId="0" applyFont="1"/>
    <xf borderId="0" fillId="9" fontId="14" numFmtId="0" xfId="0" applyAlignment="1" applyFont="1">
      <alignment vertical="bottom"/>
    </xf>
    <xf borderId="0" fillId="28" fontId="34" numFmtId="0" xfId="0" applyFont="1"/>
    <xf borderId="0" fillId="29" fontId="14" numFmtId="0" xfId="0" applyFont="1"/>
    <xf borderId="0" fillId="30" fontId="14" numFmtId="169" xfId="0" applyAlignment="1" applyFont="1" applyNumberFormat="1">
      <alignment horizontal="center"/>
    </xf>
    <xf borderId="0" fillId="30" fontId="14" numFmtId="0" xfId="0" applyAlignment="1" applyFont="1">
      <alignment horizontal="center"/>
    </xf>
    <xf borderId="0" fillId="31" fontId="14" numFmtId="169" xfId="0" applyFont="1" applyNumberFormat="1"/>
    <xf borderId="0" fillId="0" fontId="22" numFmtId="0" xfId="0" applyAlignment="1" applyFont="1">
      <alignment horizontal="center"/>
    </xf>
    <xf borderId="0" fillId="31" fontId="14" numFmtId="169" xfId="0" applyAlignment="1" applyFont="1" applyNumberFormat="1">
      <alignment horizontal="center"/>
    </xf>
    <xf borderId="0" fillId="32" fontId="47" numFmtId="169" xfId="0" applyFont="1" applyNumberFormat="1"/>
    <xf borderId="0" fillId="31" fontId="14" numFmtId="0" xfId="0" applyAlignment="1" applyFont="1">
      <alignment horizontal="center"/>
    </xf>
    <xf borderId="0" fillId="31" fontId="14" numFmtId="1" xfId="0" applyAlignment="1" applyFont="1" applyNumberFormat="1">
      <alignment horizontal="center"/>
    </xf>
    <xf borderId="0" fillId="0" fontId="65" numFmtId="0" xfId="0" applyAlignment="1" applyFont="1">
      <alignment horizontal="center" textRotation="90" vertical="center"/>
    </xf>
    <xf borderId="0" fillId="46" fontId="41" numFmtId="0" xfId="0" applyFill="1" applyFont="1"/>
    <xf borderId="0" fillId="0" fontId="22" numFmtId="3" xfId="0" applyAlignment="1" applyFont="1" applyNumberFormat="1">
      <alignment horizontal="center"/>
    </xf>
    <xf borderId="0" fillId="47" fontId="46" numFmtId="0" xfId="0" applyFill="1" applyFont="1"/>
    <xf borderId="0" fillId="48" fontId="34" numFmtId="0" xfId="0" applyFill="1" applyFont="1"/>
    <xf borderId="0" fillId="30" fontId="14" numFmtId="0" xfId="0" applyAlignment="1" applyFont="1">
      <alignment horizontal="right"/>
    </xf>
    <xf borderId="0" fillId="49" fontId="66" numFmtId="169" xfId="0" applyFill="1" applyFont="1" applyNumberFormat="1"/>
    <xf borderId="0" fillId="0" fontId="39" numFmtId="170" xfId="0" applyAlignment="1" applyFont="1" applyNumberFormat="1">
      <alignment horizontal="center"/>
    </xf>
    <xf borderId="0" fillId="0" fontId="39" numFmtId="170" xfId="0" applyAlignment="1" applyFont="1" applyNumberFormat="1">
      <alignment horizontal="center" vertical="bottom"/>
    </xf>
    <xf borderId="0" fillId="0" fontId="22" numFmtId="49" xfId="0" applyAlignment="1" applyFont="1" applyNumberFormat="1">
      <alignment horizontal="center" vertical="bottom"/>
    </xf>
    <xf borderId="0" fillId="0" fontId="22" numFmtId="3" xfId="0" applyAlignment="1" applyFont="1" applyNumberFormat="1">
      <alignment horizontal="center" vertical="bottom"/>
    </xf>
    <xf borderId="0" fillId="0" fontId="48" numFmtId="164" xfId="0" applyAlignment="1" applyFont="1" applyNumberFormat="1">
      <alignment horizontal="center"/>
    </xf>
    <xf borderId="0" fillId="30" fontId="14" numFmtId="3" xfId="0" applyAlignment="1" applyFont="1" applyNumberFormat="1">
      <alignment horizontal="right"/>
    </xf>
    <xf borderId="52" fillId="2" fontId="67" numFmtId="0" xfId="0" applyAlignment="1" applyBorder="1" applyFont="1">
      <alignment shrinkToFit="0" wrapText="0"/>
    </xf>
    <xf borderId="52" fillId="2" fontId="38" numFmtId="0" xfId="0" applyBorder="1" applyFont="1"/>
    <xf borderId="0" fillId="2" fontId="38" numFmtId="0" xfId="0" applyFont="1"/>
    <xf borderId="0" fillId="2" fontId="68" numFmtId="0" xfId="0" applyAlignment="1" applyFont="1">
      <alignment horizontal="center"/>
    </xf>
    <xf borderId="0" fillId="2" fontId="68" numFmtId="10" xfId="0" applyAlignment="1" applyFont="1" applyNumberFormat="1">
      <alignment horizontal="center"/>
    </xf>
    <xf borderId="0" fillId="2" fontId="38" numFmtId="164" xfId="0" applyFont="1" applyNumberFormat="1"/>
    <xf borderId="0" fillId="0" fontId="38" numFmtId="0" xfId="0" applyAlignment="1" applyFont="1">
      <alignment vertical="bottom"/>
    </xf>
    <xf borderId="0" fillId="2" fontId="1" numFmtId="0" xfId="0" applyAlignment="1" applyFont="1">
      <alignment horizontal="center"/>
    </xf>
    <xf borderId="0" fillId="2" fontId="1" numFmtId="0" xfId="0" applyFont="1"/>
    <xf borderId="0" fillId="2" fontId="69" numFmtId="0" xfId="0" applyAlignment="1" applyFont="1">
      <alignment horizontal="center"/>
    </xf>
    <xf borderId="0" fillId="2" fontId="69" numFmtId="164" xfId="0" applyAlignment="1" applyFont="1" applyNumberFormat="1">
      <alignment horizontal="center"/>
    </xf>
    <xf borderId="0" fillId="50" fontId="1" numFmtId="0" xfId="0" applyAlignment="1" applyFill="1" applyFont="1">
      <alignment horizontal="center"/>
    </xf>
    <xf borderId="0" fillId="0" fontId="38" numFmtId="0" xfId="0" applyFont="1"/>
    <xf borderId="0" fillId="0" fontId="38" numFmtId="0" xfId="0" applyAlignment="1" applyFont="1">
      <alignment horizontal="center"/>
    </xf>
    <xf borderId="0" fillId="0" fontId="38" numFmtId="164" xfId="0" applyFont="1" applyNumberFormat="1"/>
    <xf borderId="0" fillId="51" fontId="30" numFmtId="164" xfId="0" applyAlignment="1" applyFill="1" applyFont="1" applyNumberFormat="1">
      <alignment horizontal="center"/>
    </xf>
    <xf borderId="0" fillId="0" fontId="70" numFmtId="0" xfId="0" applyAlignment="1" applyFont="1">
      <alignment horizontal="center" vertical="center"/>
    </xf>
    <xf borderId="0" fillId="0" fontId="71" numFmtId="0" xfId="0" applyAlignment="1" applyFont="1">
      <alignment horizontal="center"/>
    </xf>
    <xf borderId="0" fillId="9" fontId="40" numFmtId="0" xfId="0" applyAlignment="1" applyFont="1">
      <alignment horizontal="left"/>
    </xf>
    <xf borderId="0" fillId="52" fontId="72" numFmtId="0" xfId="0" applyAlignment="1" applyFill="1" applyFont="1">
      <alignment horizontal="center"/>
    </xf>
    <xf borderId="0" fillId="52" fontId="38" numFmtId="0" xfId="0" applyAlignment="1" applyFont="1">
      <alignment horizontal="center"/>
    </xf>
    <xf borderId="0" fillId="52" fontId="73" numFmtId="171" xfId="0" applyAlignment="1" applyFont="1" applyNumberFormat="1">
      <alignment horizontal="center"/>
    </xf>
    <xf borderId="0" fillId="52" fontId="73" numFmtId="164" xfId="0" applyFont="1" applyNumberFormat="1"/>
    <xf borderId="0" fillId="52" fontId="74" numFmtId="0" xfId="0" applyAlignment="1" applyFont="1">
      <alignment horizontal="center"/>
    </xf>
    <xf borderId="0" fillId="52" fontId="73" numFmtId="164" xfId="0" applyAlignment="1" applyFont="1" applyNumberFormat="1">
      <alignment horizontal="center"/>
    </xf>
    <xf borderId="0" fillId="0" fontId="75" numFmtId="0" xfId="0" applyAlignment="1" applyFont="1">
      <alignment horizontal="center"/>
    </xf>
    <xf borderId="0" fillId="0" fontId="76" numFmtId="164" xfId="0" applyAlignment="1" applyFont="1" applyNumberFormat="1">
      <alignment horizontal="center"/>
    </xf>
    <xf borderId="0" fillId="0" fontId="71" numFmtId="164" xfId="0" applyAlignment="1" applyFont="1" applyNumberFormat="1">
      <alignment horizontal="center"/>
    </xf>
    <xf borderId="0" fillId="26" fontId="70" numFmtId="0" xfId="0" applyAlignment="1" applyFont="1">
      <alignment horizontal="center" vertical="center"/>
    </xf>
    <xf borderId="0" fillId="52" fontId="77" numFmtId="0" xfId="0" applyAlignment="1" applyFont="1">
      <alignment horizontal="center"/>
    </xf>
    <xf borderId="0" fillId="19" fontId="72" numFmtId="0" xfId="0" applyAlignment="1" applyFont="1">
      <alignment horizontal="center"/>
    </xf>
    <xf borderId="0" fillId="19" fontId="38" numFmtId="0" xfId="0" applyAlignment="1" applyFont="1">
      <alignment horizontal="center"/>
    </xf>
    <xf borderId="0" fillId="19" fontId="73" numFmtId="171" xfId="0" applyAlignment="1" applyFont="1" applyNumberFormat="1">
      <alignment horizontal="center"/>
    </xf>
    <xf borderId="0" fillId="19" fontId="73" numFmtId="164" xfId="0" applyFont="1" applyNumberFormat="1"/>
    <xf borderId="0" fillId="19" fontId="74" numFmtId="0" xfId="0" applyAlignment="1" applyFont="1">
      <alignment horizontal="center"/>
    </xf>
    <xf borderId="0" fillId="19" fontId="73" numFmtId="164" xfId="0" applyAlignment="1" applyFont="1" applyNumberFormat="1">
      <alignment horizontal="center"/>
    </xf>
    <xf borderId="0" fillId="0" fontId="40" numFmtId="0" xfId="0" applyAlignment="1" applyFont="1">
      <alignment horizontal="left"/>
    </xf>
    <xf borderId="0" fillId="19" fontId="77" numFmtId="0" xfId="0" applyAlignment="1" applyFont="1">
      <alignment horizontal="center"/>
    </xf>
    <xf borderId="0" fillId="0" fontId="72" numFmtId="0" xfId="0" applyAlignment="1" applyFont="1">
      <alignment horizontal="center"/>
    </xf>
    <xf borderId="0" fillId="23" fontId="78" numFmtId="0" xfId="0" applyAlignment="1" applyFont="1">
      <alignment horizontal="center"/>
    </xf>
    <xf borderId="0" fillId="23" fontId="78" numFmtId="0" xfId="0" applyFont="1"/>
    <xf borderId="0" fillId="0" fontId="40" numFmtId="0" xfId="0" applyAlignment="1" applyFont="1">
      <alignment horizontal="center" vertical="bottom"/>
    </xf>
    <xf borderId="0" fillId="0" fontId="38" numFmtId="0" xfId="0" applyAlignment="1" applyFont="1">
      <alignment horizontal="center" vertical="bottom"/>
    </xf>
    <xf borderId="0" fillId="0" fontId="22" numFmtId="172" xfId="0" applyAlignment="1" applyFont="1" applyNumberFormat="1">
      <alignment horizontal="center"/>
    </xf>
    <xf borderId="0" fillId="0" fontId="40" numFmtId="164" xfId="0" applyAlignment="1" applyFont="1" applyNumberFormat="1">
      <alignment horizontal="center" vertical="bottom"/>
    </xf>
    <xf borderId="0" fillId="0" fontId="22" numFmtId="172" xfId="0" applyFont="1" applyNumberFormat="1"/>
    <xf borderId="0" fillId="0" fontId="40" numFmtId="0" xfId="0" applyAlignment="1" applyFont="1">
      <alignment horizontal="center"/>
    </xf>
    <xf borderId="0" fillId="38" fontId="39" numFmtId="0" xfId="0" applyAlignment="1" applyFont="1">
      <alignment horizontal="center"/>
    </xf>
    <xf borderId="0" fillId="0" fontId="22" numFmtId="164"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1"/>
    <col customWidth="1" hidden="1" min="5" max="5" width="12.57" outlineLevel="1"/>
    <col customWidth="1" hidden="1" min="6" max="6" width="14.0" outlineLevel="1"/>
    <col customWidth="1" hidden="1" min="7" max="7" width="13.71" outlineLevel="1"/>
    <col customWidth="1" hidden="1" min="8" max="9" width="6.71" outlineLevel="2"/>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0</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6</v>
      </c>
      <c r="C2" s="9" t="s">
        <v>7</v>
      </c>
      <c r="D2" s="10" t="s">
        <v>8</v>
      </c>
      <c r="E2" s="11" t="s">
        <v>9</v>
      </c>
      <c r="F2" s="12" t="s">
        <v>10</v>
      </c>
      <c r="G2" s="13" t="s">
        <v>11</v>
      </c>
      <c r="H2" s="13" t="s">
        <v>12</v>
      </c>
      <c r="I2" s="14" t="s">
        <v>13</v>
      </c>
      <c r="J2" s="15" t="s">
        <v>14</v>
      </c>
      <c r="K2" s="16" t="s">
        <v>15</v>
      </c>
      <c r="L2" s="17" t="s">
        <v>16</v>
      </c>
      <c r="M2" s="17" t="s">
        <v>17</v>
      </c>
      <c r="N2" s="16" t="s">
        <v>18</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27" t="s">
        <v>6</v>
      </c>
      <c r="AD2" s="9" t="s">
        <v>7</v>
      </c>
      <c r="AE2" s="10" t="s">
        <v>8</v>
      </c>
      <c r="AF2" s="11" t="s">
        <v>9</v>
      </c>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4">R3/J3</f>
        <v>500</v>
      </c>
      <c r="C3" s="27">
        <f t="shared" ref="C3:C14" si="5">B3*0.25</f>
        <v>125</v>
      </c>
      <c r="D3" s="30">
        <f t="shared" ref="D3:D14" si="6">B3*0.1</f>
        <v>50</v>
      </c>
      <c r="E3" s="30">
        <f t="shared" ref="E3:E14" si="7">D3*0.7</f>
        <v>35</v>
      </c>
      <c r="F3" s="27">
        <f t="shared" ref="F3:F14" si="8">B3*0.25</f>
        <v>125</v>
      </c>
      <c r="G3" s="27">
        <f t="shared" ref="G3:G14" si="9">H3+I3</f>
        <v>17</v>
      </c>
      <c r="H3" s="27">
        <f t="shared" ref="H3:H14" si="10">F3*0.08</f>
        <v>10</v>
      </c>
      <c r="I3" s="30">
        <f t="shared" ref="I3:I14" si="11">E3*0.2</f>
        <v>7</v>
      </c>
      <c r="J3" s="31">
        <f t="shared" ref="J3:J14" si="12">20</f>
        <v>20</v>
      </c>
      <c r="K3" s="31">
        <f t="shared" ref="K3:K14" si="13">R3/C3</f>
        <v>80</v>
      </c>
      <c r="L3" s="32">
        <f t="shared" ref="L3:L14" si="14">R3/D3</f>
        <v>200</v>
      </c>
      <c r="M3" s="32">
        <f t="shared" ref="M3:M14" si="15">R3/E3</f>
        <v>285.7142857</v>
      </c>
      <c r="N3" s="33">
        <f t="shared" ref="N3:N14" si="16">R3/F3</f>
        <v>80</v>
      </c>
      <c r="O3" s="31">
        <f t="shared" ref="O3:O14" si="17">R3/G3</f>
        <v>588.2352941</v>
      </c>
      <c r="P3" s="31">
        <f t="shared" ref="P3:P14" si="18">R3/H3</f>
        <v>1000</v>
      </c>
      <c r="Q3" s="32">
        <f t="shared" ref="Q3:Q14" si="19">R3/I3</f>
        <v>1428.571429</v>
      </c>
      <c r="R3" s="34">
        <f>10000</f>
        <v>10000</v>
      </c>
      <c r="S3" s="34">
        <f t="shared" ref="S3:S14" si="20">T3+U3</f>
        <v>165000</v>
      </c>
      <c r="T3" s="23">
        <f t="shared" ref="T3:U3" si="1">W3*H3</f>
        <v>25000</v>
      </c>
      <c r="U3" s="35">
        <f t="shared" si="1"/>
        <v>140000</v>
      </c>
      <c r="V3" s="36">
        <f t="shared" ref="V3:V14" si="22">S3/G3</f>
        <v>9705.882353</v>
      </c>
      <c r="W3" s="23">
        <v>2500.0</v>
      </c>
      <c r="X3" s="35">
        <f t="shared" ref="X3:X14" si="23">20000</f>
        <v>20000</v>
      </c>
      <c r="Y3" s="23">
        <f t="shared" ref="Y3:Y14" si="24">S3/R3</f>
        <v>16.5</v>
      </c>
      <c r="Z3" s="37">
        <f t="shared" ref="Z3:Z14" si="25">T3/R3</f>
        <v>2.5</v>
      </c>
      <c r="AA3" s="38">
        <f t="shared" ref="AA3:AA14" si="26">U3/R3</f>
        <v>14</v>
      </c>
      <c r="AB3" s="7"/>
      <c r="AC3" s="27">
        <f t="shared" ref="AC3:AJ3" si="2">B3/4</f>
        <v>125</v>
      </c>
      <c r="AD3" s="27">
        <f t="shared" si="2"/>
        <v>31.25</v>
      </c>
      <c r="AE3" s="39">
        <f t="shared" si="2"/>
        <v>12.5</v>
      </c>
      <c r="AF3" s="39">
        <f t="shared" si="2"/>
        <v>8.75</v>
      </c>
      <c r="AG3" s="27">
        <f t="shared" si="2"/>
        <v>31.25</v>
      </c>
      <c r="AH3" s="27">
        <f t="shared" si="2"/>
        <v>4.25</v>
      </c>
      <c r="AI3" s="27">
        <f t="shared" si="2"/>
        <v>2.5</v>
      </c>
      <c r="AJ3" s="40">
        <f t="shared" si="2"/>
        <v>1.75</v>
      </c>
      <c r="AK3" s="34">
        <f t="shared" ref="AK3:AN3" si="3">R3/4</f>
        <v>2500</v>
      </c>
      <c r="AL3" s="34">
        <f t="shared" si="3"/>
        <v>41250</v>
      </c>
      <c r="AM3" s="23">
        <f t="shared" si="3"/>
        <v>6250</v>
      </c>
      <c r="AN3" s="41">
        <f t="shared" si="3"/>
        <v>35000</v>
      </c>
      <c r="AO3" s="36">
        <f t="shared" ref="AO3:AO14" si="29">AL3/AH3</f>
        <v>9705.882353</v>
      </c>
      <c r="AP3" s="23">
        <v>2500.0</v>
      </c>
      <c r="AQ3" s="35">
        <f t="shared" ref="AQ3:AQ14" si="30">20000</f>
        <v>20000</v>
      </c>
      <c r="AR3" s="23">
        <f t="shared" ref="AR3:AR14" si="31">AL3/AK3</f>
        <v>16.5</v>
      </c>
      <c r="AS3" s="37">
        <f t="shared" ref="AS3:AS14" si="32">AM3/AK3</f>
        <v>2.5</v>
      </c>
      <c r="AT3" s="38">
        <f t="shared" ref="AT3:AT14" si="33">AN3/AK3</f>
        <v>14</v>
      </c>
    </row>
    <row r="4">
      <c r="A4" s="29" t="s">
        <v>33</v>
      </c>
      <c r="B4" s="27">
        <f t="shared" si="4"/>
        <v>1000</v>
      </c>
      <c r="C4" s="27">
        <f t="shared" si="5"/>
        <v>250</v>
      </c>
      <c r="D4" s="30">
        <f t="shared" si="6"/>
        <v>100</v>
      </c>
      <c r="E4" s="30">
        <f t="shared" si="7"/>
        <v>70</v>
      </c>
      <c r="F4" s="27">
        <f t="shared" si="8"/>
        <v>250</v>
      </c>
      <c r="G4" s="27">
        <f t="shared" si="9"/>
        <v>34</v>
      </c>
      <c r="H4" s="27">
        <f t="shared" si="10"/>
        <v>20</v>
      </c>
      <c r="I4" s="30">
        <f t="shared" si="11"/>
        <v>14</v>
      </c>
      <c r="J4" s="31">
        <f t="shared" si="12"/>
        <v>20</v>
      </c>
      <c r="K4" s="31">
        <f t="shared" si="13"/>
        <v>80</v>
      </c>
      <c r="L4" s="32">
        <f t="shared" si="14"/>
        <v>200</v>
      </c>
      <c r="M4" s="32">
        <f t="shared" si="15"/>
        <v>285.7142857</v>
      </c>
      <c r="N4" s="33">
        <f t="shared" si="16"/>
        <v>80</v>
      </c>
      <c r="O4" s="31">
        <f t="shared" si="17"/>
        <v>588.2352941</v>
      </c>
      <c r="P4" s="31">
        <f t="shared" si="18"/>
        <v>1000</v>
      </c>
      <c r="Q4" s="32">
        <f t="shared" si="19"/>
        <v>1428.571429</v>
      </c>
      <c r="R4" s="34">
        <f>20000</f>
        <v>20000</v>
      </c>
      <c r="S4" s="34">
        <f t="shared" si="20"/>
        <v>330000</v>
      </c>
      <c r="T4" s="23">
        <f t="shared" ref="T4:U4" si="21">W4*H4</f>
        <v>50000</v>
      </c>
      <c r="U4" s="35">
        <f t="shared" si="21"/>
        <v>280000</v>
      </c>
      <c r="V4" s="36">
        <f t="shared" si="22"/>
        <v>9705.882353</v>
      </c>
      <c r="W4" s="23">
        <v>2500.0</v>
      </c>
      <c r="X4" s="35">
        <f t="shared" si="23"/>
        <v>20000</v>
      </c>
      <c r="Y4" s="23">
        <f t="shared" si="24"/>
        <v>16.5</v>
      </c>
      <c r="Z4" s="37">
        <f t="shared" si="25"/>
        <v>2.5</v>
      </c>
      <c r="AA4" s="38">
        <f t="shared" si="26"/>
        <v>14</v>
      </c>
      <c r="AB4" s="7"/>
      <c r="AC4" s="27">
        <f t="shared" ref="AC4:AJ4" si="27">B4/4</f>
        <v>250</v>
      </c>
      <c r="AD4" s="27">
        <f t="shared" si="27"/>
        <v>62.5</v>
      </c>
      <c r="AE4" s="39">
        <f t="shared" si="27"/>
        <v>25</v>
      </c>
      <c r="AF4" s="39">
        <f t="shared" si="27"/>
        <v>17.5</v>
      </c>
      <c r="AG4" s="27">
        <f t="shared" si="27"/>
        <v>62.5</v>
      </c>
      <c r="AH4" s="27">
        <f t="shared" si="27"/>
        <v>8.5</v>
      </c>
      <c r="AI4" s="27">
        <f t="shared" si="27"/>
        <v>5</v>
      </c>
      <c r="AJ4" s="40">
        <f t="shared" si="27"/>
        <v>3.5</v>
      </c>
      <c r="AK4" s="34">
        <f t="shared" ref="AK4:AN4" si="28">R4/4</f>
        <v>5000</v>
      </c>
      <c r="AL4" s="34">
        <f t="shared" si="28"/>
        <v>82500</v>
      </c>
      <c r="AM4" s="23">
        <f t="shared" si="28"/>
        <v>12500</v>
      </c>
      <c r="AN4" s="41">
        <f t="shared" si="28"/>
        <v>70000</v>
      </c>
      <c r="AO4" s="36">
        <f t="shared" si="29"/>
        <v>9705.882353</v>
      </c>
      <c r="AP4" s="23">
        <v>2500.0</v>
      </c>
      <c r="AQ4" s="35">
        <f t="shared" si="30"/>
        <v>20000</v>
      </c>
      <c r="AR4" s="23">
        <f t="shared" si="31"/>
        <v>16.5</v>
      </c>
      <c r="AS4" s="37">
        <f t="shared" si="32"/>
        <v>2.5</v>
      </c>
      <c r="AT4" s="38">
        <f t="shared" si="33"/>
        <v>14</v>
      </c>
    </row>
    <row r="5">
      <c r="A5" s="29" t="s">
        <v>34</v>
      </c>
      <c r="B5" s="27">
        <f t="shared" si="4"/>
        <v>1500</v>
      </c>
      <c r="C5" s="27">
        <f t="shared" si="5"/>
        <v>375</v>
      </c>
      <c r="D5" s="30">
        <f t="shared" si="6"/>
        <v>150</v>
      </c>
      <c r="E5" s="30">
        <f t="shared" si="7"/>
        <v>105</v>
      </c>
      <c r="F5" s="27">
        <f t="shared" si="8"/>
        <v>375</v>
      </c>
      <c r="G5" s="27">
        <f t="shared" si="9"/>
        <v>51</v>
      </c>
      <c r="H5" s="27">
        <f t="shared" si="10"/>
        <v>30</v>
      </c>
      <c r="I5" s="30">
        <f t="shared" si="11"/>
        <v>21</v>
      </c>
      <c r="J5" s="31">
        <f t="shared" si="12"/>
        <v>20</v>
      </c>
      <c r="K5" s="31">
        <f t="shared" si="13"/>
        <v>80</v>
      </c>
      <c r="L5" s="32">
        <f t="shared" si="14"/>
        <v>200</v>
      </c>
      <c r="M5" s="32">
        <f t="shared" si="15"/>
        <v>285.7142857</v>
      </c>
      <c r="N5" s="33">
        <f t="shared" si="16"/>
        <v>80</v>
      </c>
      <c r="O5" s="31">
        <f t="shared" si="17"/>
        <v>588.2352941</v>
      </c>
      <c r="P5" s="31">
        <f t="shared" si="18"/>
        <v>1000</v>
      </c>
      <c r="Q5" s="32">
        <f t="shared" si="19"/>
        <v>1428.571429</v>
      </c>
      <c r="R5" s="34">
        <f>30000</f>
        <v>30000</v>
      </c>
      <c r="S5" s="34">
        <f t="shared" si="20"/>
        <v>495000</v>
      </c>
      <c r="T5" s="23">
        <f t="shared" ref="T5:U5" si="34">W5*H5</f>
        <v>75000</v>
      </c>
      <c r="U5" s="35">
        <f t="shared" si="34"/>
        <v>420000</v>
      </c>
      <c r="V5" s="36">
        <f t="shared" si="22"/>
        <v>9705.882353</v>
      </c>
      <c r="W5" s="23">
        <v>2500.0</v>
      </c>
      <c r="X5" s="35">
        <f t="shared" si="23"/>
        <v>20000</v>
      </c>
      <c r="Y5" s="23">
        <f t="shared" si="24"/>
        <v>16.5</v>
      </c>
      <c r="Z5" s="37">
        <f t="shared" si="25"/>
        <v>2.5</v>
      </c>
      <c r="AA5" s="38">
        <f t="shared" si="26"/>
        <v>14</v>
      </c>
      <c r="AB5" s="7"/>
      <c r="AC5" s="27">
        <f t="shared" ref="AC5:AJ5" si="35">B5/4</f>
        <v>375</v>
      </c>
      <c r="AD5" s="27">
        <f t="shared" si="35"/>
        <v>93.75</v>
      </c>
      <c r="AE5" s="39">
        <f t="shared" si="35"/>
        <v>37.5</v>
      </c>
      <c r="AF5" s="39">
        <f t="shared" si="35"/>
        <v>26.25</v>
      </c>
      <c r="AG5" s="27">
        <f t="shared" si="35"/>
        <v>93.75</v>
      </c>
      <c r="AH5" s="27">
        <f t="shared" si="35"/>
        <v>12.75</v>
      </c>
      <c r="AI5" s="27">
        <f t="shared" si="35"/>
        <v>7.5</v>
      </c>
      <c r="AJ5" s="40">
        <f t="shared" si="35"/>
        <v>5.25</v>
      </c>
      <c r="AK5" s="34">
        <f t="shared" ref="AK5:AN5" si="36">R5/4</f>
        <v>7500</v>
      </c>
      <c r="AL5" s="34">
        <f t="shared" si="36"/>
        <v>123750</v>
      </c>
      <c r="AM5" s="23">
        <f t="shared" si="36"/>
        <v>18750</v>
      </c>
      <c r="AN5" s="41">
        <f t="shared" si="36"/>
        <v>105000</v>
      </c>
      <c r="AO5" s="36">
        <f t="shared" si="29"/>
        <v>9705.882353</v>
      </c>
      <c r="AP5" s="23">
        <v>2500.0</v>
      </c>
      <c r="AQ5" s="35">
        <f t="shared" si="30"/>
        <v>20000</v>
      </c>
      <c r="AR5" s="23">
        <f t="shared" si="31"/>
        <v>16.5</v>
      </c>
      <c r="AS5" s="37">
        <f t="shared" si="32"/>
        <v>2.5</v>
      </c>
      <c r="AT5" s="38">
        <f t="shared" si="33"/>
        <v>14</v>
      </c>
    </row>
    <row r="6">
      <c r="A6" s="29" t="s">
        <v>35</v>
      </c>
      <c r="B6" s="27">
        <f t="shared" si="4"/>
        <v>2500</v>
      </c>
      <c r="C6" s="27">
        <f t="shared" si="5"/>
        <v>625</v>
      </c>
      <c r="D6" s="30">
        <f t="shared" si="6"/>
        <v>250</v>
      </c>
      <c r="E6" s="30">
        <f t="shared" si="7"/>
        <v>175</v>
      </c>
      <c r="F6" s="27">
        <f t="shared" si="8"/>
        <v>625</v>
      </c>
      <c r="G6" s="27">
        <f t="shared" si="9"/>
        <v>85</v>
      </c>
      <c r="H6" s="27">
        <f t="shared" si="10"/>
        <v>50</v>
      </c>
      <c r="I6" s="30">
        <f t="shared" si="11"/>
        <v>35</v>
      </c>
      <c r="J6" s="31">
        <f t="shared" si="12"/>
        <v>20</v>
      </c>
      <c r="K6" s="31">
        <f t="shared" si="13"/>
        <v>80</v>
      </c>
      <c r="L6" s="32">
        <f t="shared" si="14"/>
        <v>200</v>
      </c>
      <c r="M6" s="32">
        <f t="shared" si="15"/>
        <v>285.7142857</v>
      </c>
      <c r="N6" s="33">
        <f t="shared" si="16"/>
        <v>80</v>
      </c>
      <c r="O6" s="31">
        <f t="shared" si="17"/>
        <v>588.2352941</v>
      </c>
      <c r="P6" s="31">
        <f t="shared" si="18"/>
        <v>1000</v>
      </c>
      <c r="Q6" s="32">
        <f t="shared" si="19"/>
        <v>1428.571429</v>
      </c>
      <c r="R6" s="34">
        <f t="shared" ref="R6:R7" si="40">50000</f>
        <v>50000</v>
      </c>
      <c r="S6" s="34">
        <f t="shared" si="20"/>
        <v>825000</v>
      </c>
      <c r="T6" s="23">
        <f t="shared" ref="T6:U6" si="37">W6*H6</f>
        <v>125000</v>
      </c>
      <c r="U6" s="35">
        <f t="shared" si="37"/>
        <v>700000</v>
      </c>
      <c r="V6" s="36">
        <f t="shared" si="22"/>
        <v>9705.882353</v>
      </c>
      <c r="W6" s="23">
        <v>2500.0</v>
      </c>
      <c r="X6" s="35">
        <f t="shared" si="23"/>
        <v>20000</v>
      </c>
      <c r="Y6" s="23">
        <f t="shared" si="24"/>
        <v>16.5</v>
      </c>
      <c r="Z6" s="37">
        <f t="shared" si="25"/>
        <v>2.5</v>
      </c>
      <c r="AA6" s="38">
        <f t="shared" si="26"/>
        <v>14</v>
      </c>
      <c r="AB6" s="7"/>
      <c r="AC6" s="27">
        <f t="shared" ref="AC6:AJ6" si="38">B6/4</f>
        <v>625</v>
      </c>
      <c r="AD6" s="27">
        <f t="shared" si="38"/>
        <v>156.25</v>
      </c>
      <c r="AE6" s="39">
        <f t="shared" si="38"/>
        <v>62.5</v>
      </c>
      <c r="AF6" s="39">
        <f t="shared" si="38"/>
        <v>43.75</v>
      </c>
      <c r="AG6" s="27">
        <f t="shared" si="38"/>
        <v>156.25</v>
      </c>
      <c r="AH6" s="27">
        <f t="shared" si="38"/>
        <v>21.25</v>
      </c>
      <c r="AI6" s="27">
        <f t="shared" si="38"/>
        <v>12.5</v>
      </c>
      <c r="AJ6" s="40">
        <f t="shared" si="38"/>
        <v>8.75</v>
      </c>
      <c r="AK6" s="34">
        <f t="shared" ref="AK6:AN6" si="39">R6/4</f>
        <v>12500</v>
      </c>
      <c r="AL6" s="34">
        <f t="shared" si="39"/>
        <v>206250</v>
      </c>
      <c r="AM6" s="23">
        <f t="shared" si="39"/>
        <v>31250</v>
      </c>
      <c r="AN6" s="41">
        <f t="shared" si="39"/>
        <v>175000</v>
      </c>
      <c r="AO6" s="36">
        <f t="shared" si="29"/>
        <v>9705.882353</v>
      </c>
      <c r="AP6" s="23">
        <v>2500.0</v>
      </c>
      <c r="AQ6" s="35">
        <f t="shared" si="30"/>
        <v>20000</v>
      </c>
      <c r="AR6" s="23">
        <f t="shared" si="31"/>
        <v>16.5</v>
      </c>
      <c r="AS6" s="37">
        <f t="shared" si="32"/>
        <v>2.5</v>
      </c>
      <c r="AT6" s="38">
        <f t="shared" si="33"/>
        <v>14</v>
      </c>
    </row>
    <row r="7">
      <c r="A7" s="29" t="s">
        <v>36</v>
      </c>
      <c r="B7" s="27">
        <f t="shared" si="4"/>
        <v>2500</v>
      </c>
      <c r="C7" s="27">
        <f t="shared" si="5"/>
        <v>625</v>
      </c>
      <c r="D7" s="30">
        <f t="shared" si="6"/>
        <v>250</v>
      </c>
      <c r="E7" s="30">
        <f t="shared" si="7"/>
        <v>175</v>
      </c>
      <c r="F7" s="27">
        <f t="shared" si="8"/>
        <v>625</v>
      </c>
      <c r="G7" s="27">
        <f t="shared" si="9"/>
        <v>85</v>
      </c>
      <c r="H7" s="27">
        <f t="shared" si="10"/>
        <v>50</v>
      </c>
      <c r="I7" s="30">
        <f t="shared" si="11"/>
        <v>35</v>
      </c>
      <c r="J7" s="31">
        <f t="shared" si="12"/>
        <v>20</v>
      </c>
      <c r="K7" s="31">
        <f t="shared" si="13"/>
        <v>80</v>
      </c>
      <c r="L7" s="32">
        <f t="shared" si="14"/>
        <v>200</v>
      </c>
      <c r="M7" s="32">
        <f t="shared" si="15"/>
        <v>285.7142857</v>
      </c>
      <c r="N7" s="33">
        <f t="shared" si="16"/>
        <v>80</v>
      </c>
      <c r="O7" s="31">
        <f t="shared" si="17"/>
        <v>588.2352941</v>
      </c>
      <c r="P7" s="31">
        <f t="shared" si="18"/>
        <v>1000</v>
      </c>
      <c r="Q7" s="32">
        <f t="shared" si="19"/>
        <v>1428.571429</v>
      </c>
      <c r="R7" s="34">
        <f t="shared" si="40"/>
        <v>50000</v>
      </c>
      <c r="S7" s="34">
        <f t="shared" si="20"/>
        <v>825000</v>
      </c>
      <c r="T7" s="23">
        <f t="shared" ref="T7:U7" si="41">W7*H7</f>
        <v>125000</v>
      </c>
      <c r="U7" s="35">
        <f t="shared" si="41"/>
        <v>700000</v>
      </c>
      <c r="V7" s="36">
        <f t="shared" si="22"/>
        <v>9705.882353</v>
      </c>
      <c r="W7" s="23">
        <v>2500.0</v>
      </c>
      <c r="X7" s="35">
        <f t="shared" si="23"/>
        <v>20000</v>
      </c>
      <c r="Y7" s="23">
        <f t="shared" si="24"/>
        <v>16.5</v>
      </c>
      <c r="Z7" s="37">
        <f t="shared" si="25"/>
        <v>2.5</v>
      </c>
      <c r="AA7" s="38">
        <f t="shared" si="26"/>
        <v>14</v>
      </c>
      <c r="AB7" s="7"/>
      <c r="AC7" s="27">
        <f t="shared" ref="AC7:AJ7" si="42">B7/4</f>
        <v>625</v>
      </c>
      <c r="AD7" s="27">
        <f t="shared" si="42"/>
        <v>156.25</v>
      </c>
      <c r="AE7" s="39">
        <f t="shared" si="42"/>
        <v>62.5</v>
      </c>
      <c r="AF7" s="39">
        <f t="shared" si="42"/>
        <v>43.75</v>
      </c>
      <c r="AG7" s="27">
        <f t="shared" si="42"/>
        <v>156.25</v>
      </c>
      <c r="AH7" s="27">
        <f t="shared" si="42"/>
        <v>21.25</v>
      </c>
      <c r="AI7" s="27">
        <f t="shared" si="42"/>
        <v>12.5</v>
      </c>
      <c r="AJ7" s="40">
        <f t="shared" si="42"/>
        <v>8.75</v>
      </c>
      <c r="AK7" s="34">
        <f t="shared" ref="AK7:AN7" si="43">R7/4</f>
        <v>12500</v>
      </c>
      <c r="AL7" s="34">
        <f t="shared" si="43"/>
        <v>206250</v>
      </c>
      <c r="AM7" s="23">
        <f t="shared" si="43"/>
        <v>31250</v>
      </c>
      <c r="AN7" s="41">
        <f t="shared" si="43"/>
        <v>175000</v>
      </c>
      <c r="AO7" s="36">
        <f t="shared" si="29"/>
        <v>9705.882353</v>
      </c>
      <c r="AP7" s="23">
        <v>2500.0</v>
      </c>
      <c r="AQ7" s="35">
        <f t="shared" si="30"/>
        <v>20000</v>
      </c>
      <c r="AR7" s="23">
        <f t="shared" si="31"/>
        <v>16.5</v>
      </c>
      <c r="AS7" s="37">
        <f t="shared" si="32"/>
        <v>2.5</v>
      </c>
      <c r="AT7" s="38">
        <f t="shared" si="33"/>
        <v>14</v>
      </c>
    </row>
    <row r="8">
      <c r="A8" s="29" t="s">
        <v>37</v>
      </c>
      <c r="B8" s="27">
        <f t="shared" si="4"/>
        <v>500</v>
      </c>
      <c r="C8" s="27">
        <f t="shared" si="5"/>
        <v>125</v>
      </c>
      <c r="D8" s="30">
        <f t="shared" si="6"/>
        <v>50</v>
      </c>
      <c r="E8" s="30">
        <f t="shared" si="7"/>
        <v>35</v>
      </c>
      <c r="F8" s="27">
        <f t="shared" si="8"/>
        <v>125</v>
      </c>
      <c r="G8" s="27">
        <f t="shared" si="9"/>
        <v>17</v>
      </c>
      <c r="H8" s="27">
        <f t="shared" si="10"/>
        <v>10</v>
      </c>
      <c r="I8" s="30">
        <f t="shared" si="11"/>
        <v>7</v>
      </c>
      <c r="J8" s="31">
        <f t="shared" si="12"/>
        <v>20</v>
      </c>
      <c r="K8" s="31">
        <f t="shared" si="13"/>
        <v>80</v>
      </c>
      <c r="L8" s="32">
        <f t="shared" si="14"/>
        <v>200</v>
      </c>
      <c r="M8" s="32">
        <f t="shared" si="15"/>
        <v>285.7142857</v>
      </c>
      <c r="N8" s="33">
        <f t="shared" si="16"/>
        <v>80</v>
      </c>
      <c r="O8" s="31">
        <f t="shared" si="17"/>
        <v>588.2352941</v>
      </c>
      <c r="P8" s="31">
        <f t="shared" si="18"/>
        <v>1000</v>
      </c>
      <c r="Q8" s="32">
        <f t="shared" si="19"/>
        <v>1428.571429</v>
      </c>
      <c r="R8" s="34">
        <f>10000</f>
        <v>10000</v>
      </c>
      <c r="S8" s="34">
        <f t="shared" si="20"/>
        <v>165000</v>
      </c>
      <c r="T8" s="23">
        <f t="shared" ref="T8:U8" si="44">W8*H8</f>
        <v>25000</v>
      </c>
      <c r="U8" s="35">
        <f t="shared" si="44"/>
        <v>140000</v>
      </c>
      <c r="V8" s="36">
        <f t="shared" si="22"/>
        <v>9705.882353</v>
      </c>
      <c r="W8" s="23">
        <v>2500.0</v>
      </c>
      <c r="X8" s="35">
        <f t="shared" si="23"/>
        <v>20000</v>
      </c>
      <c r="Y8" s="23">
        <f t="shared" si="24"/>
        <v>16.5</v>
      </c>
      <c r="Z8" s="37">
        <f t="shared" si="25"/>
        <v>2.5</v>
      </c>
      <c r="AA8" s="38">
        <f t="shared" si="26"/>
        <v>14</v>
      </c>
      <c r="AB8" s="7"/>
      <c r="AC8" s="27">
        <f t="shared" ref="AC8:AJ8" si="45">B8/4</f>
        <v>125</v>
      </c>
      <c r="AD8" s="27">
        <f t="shared" si="45"/>
        <v>31.25</v>
      </c>
      <c r="AE8" s="39">
        <f t="shared" si="45"/>
        <v>12.5</v>
      </c>
      <c r="AF8" s="39">
        <f t="shared" si="45"/>
        <v>8.75</v>
      </c>
      <c r="AG8" s="27">
        <f t="shared" si="45"/>
        <v>31.25</v>
      </c>
      <c r="AH8" s="27">
        <f t="shared" si="45"/>
        <v>4.25</v>
      </c>
      <c r="AI8" s="27">
        <f t="shared" si="45"/>
        <v>2.5</v>
      </c>
      <c r="AJ8" s="40">
        <f t="shared" si="45"/>
        <v>1.75</v>
      </c>
      <c r="AK8" s="34">
        <f t="shared" ref="AK8:AN8" si="46">R8/4</f>
        <v>2500</v>
      </c>
      <c r="AL8" s="34">
        <f t="shared" si="46"/>
        <v>41250</v>
      </c>
      <c r="AM8" s="23">
        <f t="shared" si="46"/>
        <v>6250</v>
      </c>
      <c r="AN8" s="41">
        <f t="shared" si="46"/>
        <v>35000</v>
      </c>
      <c r="AO8" s="36">
        <f t="shared" si="29"/>
        <v>9705.882353</v>
      </c>
      <c r="AP8" s="23">
        <v>2500.0</v>
      </c>
      <c r="AQ8" s="35">
        <f t="shared" si="30"/>
        <v>20000</v>
      </c>
      <c r="AR8" s="23">
        <f t="shared" si="31"/>
        <v>16.5</v>
      </c>
      <c r="AS8" s="37">
        <f t="shared" si="32"/>
        <v>2.5</v>
      </c>
      <c r="AT8" s="38">
        <f t="shared" si="33"/>
        <v>14</v>
      </c>
    </row>
    <row r="9">
      <c r="A9" s="29" t="s">
        <v>38</v>
      </c>
      <c r="B9" s="27">
        <f t="shared" si="4"/>
        <v>1500</v>
      </c>
      <c r="C9" s="27">
        <f t="shared" si="5"/>
        <v>375</v>
      </c>
      <c r="D9" s="30">
        <f t="shared" si="6"/>
        <v>150</v>
      </c>
      <c r="E9" s="30">
        <f t="shared" si="7"/>
        <v>105</v>
      </c>
      <c r="F9" s="27">
        <f t="shared" si="8"/>
        <v>375</v>
      </c>
      <c r="G9" s="27">
        <f t="shared" si="9"/>
        <v>51</v>
      </c>
      <c r="H9" s="27">
        <f t="shared" si="10"/>
        <v>30</v>
      </c>
      <c r="I9" s="30">
        <f t="shared" si="11"/>
        <v>21</v>
      </c>
      <c r="J9" s="31">
        <f t="shared" si="12"/>
        <v>20</v>
      </c>
      <c r="K9" s="31">
        <f t="shared" si="13"/>
        <v>80</v>
      </c>
      <c r="L9" s="32">
        <f t="shared" si="14"/>
        <v>200</v>
      </c>
      <c r="M9" s="32">
        <f t="shared" si="15"/>
        <v>285.7142857</v>
      </c>
      <c r="N9" s="33">
        <f t="shared" si="16"/>
        <v>80</v>
      </c>
      <c r="O9" s="31">
        <f t="shared" si="17"/>
        <v>588.2352941</v>
      </c>
      <c r="P9" s="31">
        <f t="shared" si="18"/>
        <v>1000</v>
      </c>
      <c r="Q9" s="32">
        <f t="shared" si="19"/>
        <v>1428.571429</v>
      </c>
      <c r="R9" s="34">
        <v>30000.0</v>
      </c>
      <c r="S9" s="34">
        <f t="shared" si="20"/>
        <v>495000</v>
      </c>
      <c r="T9" s="23">
        <f t="shared" ref="T9:U9" si="47">W9*H9</f>
        <v>75000</v>
      </c>
      <c r="U9" s="35">
        <f t="shared" si="47"/>
        <v>420000</v>
      </c>
      <c r="V9" s="36">
        <f t="shared" si="22"/>
        <v>9705.882353</v>
      </c>
      <c r="W9" s="23">
        <v>2500.0</v>
      </c>
      <c r="X9" s="35">
        <f t="shared" si="23"/>
        <v>20000</v>
      </c>
      <c r="Y9" s="23">
        <f t="shared" si="24"/>
        <v>16.5</v>
      </c>
      <c r="Z9" s="37">
        <f t="shared" si="25"/>
        <v>2.5</v>
      </c>
      <c r="AA9" s="38">
        <f t="shared" si="26"/>
        <v>14</v>
      </c>
      <c r="AB9" s="7"/>
      <c r="AC9" s="27">
        <f t="shared" ref="AC9:AJ9" si="48">B9/4</f>
        <v>375</v>
      </c>
      <c r="AD9" s="27">
        <f t="shared" si="48"/>
        <v>93.75</v>
      </c>
      <c r="AE9" s="39">
        <f t="shared" si="48"/>
        <v>37.5</v>
      </c>
      <c r="AF9" s="39">
        <f t="shared" si="48"/>
        <v>26.25</v>
      </c>
      <c r="AG9" s="27">
        <f t="shared" si="48"/>
        <v>93.75</v>
      </c>
      <c r="AH9" s="27">
        <f t="shared" si="48"/>
        <v>12.75</v>
      </c>
      <c r="AI9" s="27">
        <f t="shared" si="48"/>
        <v>7.5</v>
      </c>
      <c r="AJ9" s="40">
        <f t="shared" si="48"/>
        <v>5.25</v>
      </c>
      <c r="AK9" s="34">
        <f t="shared" ref="AK9:AN9" si="49">R9/4</f>
        <v>7500</v>
      </c>
      <c r="AL9" s="34">
        <f t="shared" si="49"/>
        <v>123750</v>
      </c>
      <c r="AM9" s="23">
        <f t="shared" si="49"/>
        <v>18750</v>
      </c>
      <c r="AN9" s="41">
        <f t="shared" si="49"/>
        <v>105000</v>
      </c>
      <c r="AO9" s="36">
        <f t="shared" si="29"/>
        <v>9705.882353</v>
      </c>
      <c r="AP9" s="23">
        <v>2500.0</v>
      </c>
      <c r="AQ9" s="35">
        <f t="shared" si="30"/>
        <v>20000</v>
      </c>
      <c r="AR9" s="23">
        <f t="shared" si="31"/>
        <v>16.5</v>
      </c>
      <c r="AS9" s="37">
        <f t="shared" si="32"/>
        <v>2.5</v>
      </c>
      <c r="AT9" s="38">
        <f t="shared" si="33"/>
        <v>14</v>
      </c>
    </row>
    <row r="10">
      <c r="A10" s="29" t="s">
        <v>39</v>
      </c>
      <c r="B10" s="27">
        <f t="shared" si="4"/>
        <v>1500</v>
      </c>
      <c r="C10" s="27">
        <f t="shared" si="5"/>
        <v>375</v>
      </c>
      <c r="D10" s="30">
        <f t="shared" si="6"/>
        <v>150</v>
      </c>
      <c r="E10" s="30">
        <f t="shared" si="7"/>
        <v>105</v>
      </c>
      <c r="F10" s="27">
        <f t="shared" si="8"/>
        <v>375</v>
      </c>
      <c r="G10" s="27">
        <f t="shared" si="9"/>
        <v>51</v>
      </c>
      <c r="H10" s="27">
        <f t="shared" si="10"/>
        <v>30</v>
      </c>
      <c r="I10" s="30">
        <f t="shared" si="11"/>
        <v>21</v>
      </c>
      <c r="J10" s="31">
        <f t="shared" si="12"/>
        <v>20</v>
      </c>
      <c r="K10" s="31">
        <f t="shared" si="13"/>
        <v>80</v>
      </c>
      <c r="L10" s="32">
        <f t="shared" si="14"/>
        <v>200</v>
      </c>
      <c r="M10" s="32">
        <f t="shared" si="15"/>
        <v>285.7142857</v>
      </c>
      <c r="N10" s="33">
        <f t="shared" si="16"/>
        <v>80</v>
      </c>
      <c r="O10" s="31">
        <f t="shared" si="17"/>
        <v>588.2352941</v>
      </c>
      <c r="P10" s="31">
        <f t="shared" si="18"/>
        <v>1000</v>
      </c>
      <c r="Q10" s="32">
        <f t="shared" si="19"/>
        <v>1428.571429</v>
      </c>
      <c r="R10" s="34">
        <f t="shared" ref="R10:R11" si="53">30000</f>
        <v>30000</v>
      </c>
      <c r="S10" s="34">
        <f t="shared" si="20"/>
        <v>495000</v>
      </c>
      <c r="T10" s="23">
        <f t="shared" ref="T10:U10" si="50">W10*H10</f>
        <v>75000</v>
      </c>
      <c r="U10" s="35">
        <f t="shared" si="50"/>
        <v>420000</v>
      </c>
      <c r="V10" s="36">
        <f t="shared" si="22"/>
        <v>9705.882353</v>
      </c>
      <c r="W10" s="23">
        <v>2500.0</v>
      </c>
      <c r="X10" s="35">
        <f t="shared" si="23"/>
        <v>20000</v>
      </c>
      <c r="Y10" s="23">
        <f t="shared" si="24"/>
        <v>16.5</v>
      </c>
      <c r="Z10" s="37">
        <f t="shared" si="25"/>
        <v>2.5</v>
      </c>
      <c r="AA10" s="38">
        <f t="shared" si="26"/>
        <v>14</v>
      </c>
      <c r="AB10" s="7"/>
      <c r="AC10" s="27">
        <f t="shared" ref="AC10:AJ10" si="51">B10/4</f>
        <v>375</v>
      </c>
      <c r="AD10" s="27">
        <f t="shared" si="51"/>
        <v>93.75</v>
      </c>
      <c r="AE10" s="39">
        <f t="shared" si="51"/>
        <v>37.5</v>
      </c>
      <c r="AF10" s="39">
        <f t="shared" si="51"/>
        <v>26.25</v>
      </c>
      <c r="AG10" s="27">
        <f t="shared" si="51"/>
        <v>93.75</v>
      </c>
      <c r="AH10" s="27">
        <f t="shared" si="51"/>
        <v>12.75</v>
      </c>
      <c r="AI10" s="27">
        <f t="shared" si="51"/>
        <v>7.5</v>
      </c>
      <c r="AJ10" s="40">
        <f t="shared" si="51"/>
        <v>5.25</v>
      </c>
      <c r="AK10" s="34">
        <f t="shared" ref="AK10:AN10" si="52">R10/4</f>
        <v>7500</v>
      </c>
      <c r="AL10" s="34">
        <f t="shared" si="52"/>
        <v>123750</v>
      </c>
      <c r="AM10" s="23">
        <f t="shared" si="52"/>
        <v>18750</v>
      </c>
      <c r="AN10" s="41">
        <f t="shared" si="52"/>
        <v>105000</v>
      </c>
      <c r="AO10" s="36">
        <f t="shared" si="29"/>
        <v>9705.882353</v>
      </c>
      <c r="AP10" s="23">
        <v>2500.0</v>
      </c>
      <c r="AQ10" s="35">
        <f t="shared" si="30"/>
        <v>20000</v>
      </c>
      <c r="AR10" s="23">
        <f t="shared" si="31"/>
        <v>16.5</v>
      </c>
      <c r="AS10" s="37">
        <f t="shared" si="32"/>
        <v>2.5</v>
      </c>
      <c r="AT10" s="38">
        <f t="shared" si="33"/>
        <v>14</v>
      </c>
    </row>
    <row r="11">
      <c r="A11" s="29" t="s">
        <v>40</v>
      </c>
      <c r="B11" s="27">
        <f t="shared" si="4"/>
        <v>1500</v>
      </c>
      <c r="C11" s="27">
        <f t="shared" si="5"/>
        <v>375</v>
      </c>
      <c r="D11" s="30">
        <f t="shared" si="6"/>
        <v>150</v>
      </c>
      <c r="E11" s="30">
        <f t="shared" si="7"/>
        <v>105</v>
      </c>
      <c r="F11" s="27">
        <f t="shared" si="8"/>
        <v>375</v>
      </c>
      <c r="G11" s="27">
        <f t="shared" si="9"/>
        <v>51</v>
      </c>
      <c r="H11" s="27">
        <f t="shared" si="10"/>
        <v>30</v>
      </c>
      <c r="I11" s="30">
        <f t="shared" si="11"/>
        <v>21</v>
      </c>
      <c r="J11" s="31">
        <f t="shared" si="12"/>
        <v>20</v>
      </c>
      <c r="K11" s="31">
        <f t="shared" si="13"/>
        <v>80</v>
      </c>
      <c r="L11" s="32">
        <f t="shared" si="14"/>
        <v>200</v>
      </c>
      <c r="M11" s="32">
        <f t="shared" si="15"/>
        <v>285.7142857</v>
      </c>
      <c r="N11" s="33">
        <f t="shared" si="16"/>
        <v>80</v>
      </c>
      <c r="O11" s="31">
        <f t="shared" si="17"/>
        <v>588.2352941</v>
      </c>
      <c r="P11" s="31">
        <f t="shared" si="18"/>
        <v>1000</v>
      </c>
      <c r="Q11" s="32">
        <f t="shared" si="19"/>
        <v>1428.571429</v>
      </c>
      <c r="R11" s="34">
        <f t="shared" si="53"/>
        <v>30000</v>
      </c>
      <c r="S11" s="34">
        <f t="shared" si="20"/>
        <v>495000</v>
      </c>
      <c r="T11" s="23">
        <f t="shared" ref="T11:U11" si="54">W11*H11</f>
        <v>75000</v>
      </c>
      <c r="U11" s="35">
        <f t="shared" si="54"/>
        <v>420000</v>
      </c>
      <c r="V11" s="36">
        <f t="shared" si="22"/>
        <v>9705.882353</v>
      </c>
      <c r="W11" s="23">
        <v>2500.0</v>
      </c>
      <c r="X11" s="35">
        <f t="shared" si="23"/>
        <v>20000</v>
      </c>
      <c r="Y11" s="23">
        <f t="shared" si="24"/>
        <v>16.5</v>
      </c>
      <c r="Z11" s="37">
        <f t="shared" si="25"/>
        <v>2.5</v>
      </c>
      <c r="AA11" s="38">
        <f t="shared" si="26"/>
        <v>14</v>
      </c>
      <c r="AB11" s="7"/>
      <c r="AC11" s="27">
        <f t="shared" ref="AC11:AJ11" si="55">B11/4</f>
        <v>375</v>
      </c>
      <c r="AD11" s="27">
        <f t="shared" si="55"/>
        <v>93.75</v>
      </c>
      <c r="AE11" s="39">
        <f t="shared" si="55"/>
        <v>37.5</v>
      </c>
      <c r="AF11" s="39">
        <f t="shared" si="55"/>
        <v>26.25</v>
      </c>
      <c r="AG11" s="27">
        <f t="shared" si="55"/>
        <v>93.75</v>
      </c>
      <c r="AH11" s="27">
        <f t="shared" si="55"/>
        <v>12.75</v>
      </c>
      <c r="AI11" s="27">
        <f t="shared" si="55"/>
        <v>7.5</v>
      </c>
      <c r="AJ11" s="40">
        <f t="shared" si="55"/>
        <v>5.25</v>
      </c>
      <c r="AK11" s="34">
        <f t="shared" ref="AK11:AN11" si="56">R11/4</f>
        <v>7500</v>
      </c>
      <c r="AL11" s="34">
        <f t="shared" si="56"/>
        <v>123750</v>
      </c>
      <c r="AM11" s="23">
        <f t="shared" si="56"/>
        <v>18750</v>
      </c>
      <c r="AN11" s="41">
        <f t="shared" si="56"/>
        <v>105000</v>
      </c>
      <c r="AO11" s="36">
        <f t="shared" si="29"/>
        <v>9705.882353</v>
      </c>
      <c r="AP11" s="23">
        <v>2500.0</v>
      </c>
      <c r="AQ11" s="35">
        <f t="shared" si="30"/>
        <v>20000</v>
      </c>
      <c r="AR11" s="23">
        <f t="shared" si="31"/>
        <v>16.5</v>
      </c>
      <c r="AS11" s="37">
        <f t="shared" si="32"/>
        <v>2.5</v>
      </c>
      <c r="AT11" s="38">
        <f t="shared" si="33"/>
        <v>14</v>
      </c>
    </row>
    <row r="12">
      <c r="A12" s="29" t="s">
        <v>41</v>
      </c>
      <c r="B12" s="27">
        <f t="shared" si="4"/>
        <v>2500</v>
      </c>
      <c r="C12" s="27">
        <f t="shared" si="5"/>
        <v>625</v>
      </c>
      <c r="D12" s="30">
        <f t="shared" si="6"/>
        <v>250</v>
      </c>
      <c r="E12" s="30">
        <f t="shared" si="7"/>
        <v>175</v>
      </c>
      <c r="F12" s="27">
        <f t="shared" si="8"/>
        <v>625</v>
      </c>
      <c r="G12" s="27">
        <f t="shared" si="9"/>
        <v>85</v>
      </c>
      <c r="H12" s="27">
        <f t="shared" si="10"/>
        <v>50</v>
      </c>
      <c r="I12" s="30">
        <f t="shared" si="11"/>
        <v>35</v>
      </c>
      <c r="J12" s="31">
        <f t="shared" si="12"/>
        <v>20</v>
      </c>
      <c r="K12" s="31">
        <f t="shared" si="13"/>
        <v>80</v>
      </c>
      <c r="L12" s="32">
        <f t="shared" si="14"/>
        <v>200</v>
      </c>
      <c r="M12" s="32">
        <f t="shared" si="15"/>
        <v>285.7142857</v>
      </c>
      <c r="N12" s="33">
        <f t="shared" si="16"/>
        <v>80</v>
      </c>
      <c r="O12" s="31">
        <f t="shared" si="17"/>
        <v>588.2352941</v>
      </c>
      <c r="P12" s="31">
        <f t="shared" si="18"/>
        <v>1000</v>
      </c>
      <c r="Q12" s="32">
        <f t="shared" si="19"/>
        <v>1428.571429</v>
      </c>
      <c r="R12" s="34">
        <f t="shared" ref="R12:R13" si="60">50000</f>
        <v>50000</v>
      </c>
      <c r="S12" s="34">
        <f t="shared" si="20"/>
        <v>825000</v>
      </c>
      <c r="T12" s="23">
        <f t="shared" ref="T12:U12" si="57">W12*H12</f>
        <v>125000</v>
      </c>
      <c r="U12" s="35">
        <f t="shared" si="57"/>
        <v>700000</v>
      </c>
      <c r="V12" s="36">
        <f t="shared" si="22"/>
        <v>9705.882353</v>
      </c>
      <c r="W12" s="23">
        <v>2500.0</v>
      </c>
      <c r="X12" s="35">
        <f t="shared" si="23"/>
        <v>20000</v>
      </c>
      <c r="Y12" s="23">
        <f t="shared" si="24"/>
        <v>16.5</v>
      </c>
      <c r="Z12" s="37">
        <f t="shared" si="25"/>
        <v>2.5</v>
      </c>
      <c r="AA12" s="38">
        <f t="shared" si="26"/>
        <v>14</v>
      </c>
      <c r="AB12" s="7"/>
      <c r="AC12" s="27">
        <f t="shared" ref="AC12:AJ12" si="58">B12/4</f>
        <v>625</v>
      </c>
      <c r="AD12" s="27">
        <f t="shared" si="58"/>
        <v>156.25</v>
      </c>
      <c r="AE12" s="39">
        <f t="shared" si="58"/>
        <v>62.5</v>
      </c>
      <c r="AF12" s="39">
        <f t="shared" si="58"/>
        <v>43.75</v>
      </c>
      <c r="AG12" s="27">
        <f t="shared" si="58"/>
        <v>156.25</v>
      </c>
      <c r="AH12" s="27">
        <f t="shared" si="58"/>
        <v>21.25</v>
      </c>
      <c r="AI12" s="27">
        <f t="shared" si="58"/>
        <v>12.5</v>
      </c>
      <c r="AJ12" s="40">
        <f t="shared" si="58"/>
        <v>8.75</v>
      </c>
      <c r="AK12" s="34">
        <f t="shared" ref="AK12:AN12" si="59">R12/4</f>
        <v>12500</v>
      </c>
      <c r="AL12" s="34">
        <f t="shared" si="59"/>
        <v>206250</v>
      </c>
      <c r="AM12" s="23">
        <f t="shared" si="59"/>
        <v>31250</v>
      </c>
      <c r="AN12" s="41">
        <f t="shared" si="59"/>
        <v>175000</v>
      </c>
      <c r="AO12" s="36">
        <f t="shared" si="29"/>
        <v>9705.882353</v>
      </c>
      <c r="AP12" s="23">
        <v>2500.0</v>
      </c>
      <c r="AQ12" s="35">
        <f t="shared" si="30"/>
        <v>20000</v>
      </c>
      <c r="AR12" s="23">
        <f t="shared" si="31"/>
        <v>16.5</v>
      </c>
      <c r="AS12" s="37">
        <f t="shared" si="32"/>
        <v>2.5</v>
      </c>
      <c r="AT12" s="38">
        <f t="shared" si="33"/>
        <v>14</v>
      </c>
    </row>
    <row r="13">
      <c r="A13" s="29" t="s">
        <v>42</v>
      </c>
      <c r="B13" s="27">
        <f t="shared" si="4"/>
        <v>2500</v>
      </c>
      <c r="C13" s="27">
        <f t="shared" si="5"/>
        <v>625</v>
      </c>
      <c r="D13" s="30">
        <f t="shared" si="6"/>
        <v>250</v>
      </c>
      <c r="E13" s="30">
        <f t="shared" si="7"/>
        <v>175</v>
      </c>
      <c r="F13" s="27">
        <f t="shared" si="8"/>
        <v>625</v>
      </c>
      <c r="G13" s="27">
        <f t="shared" si="9"/>
        <v>85</v>
      </c>
      <c r="H13" s="27">
        <f t="shared" si="10"/>
        <v>50</v>
      </c>
      <c r="I13" s="30">
        <f t="shared" si="11"/>
        <v>35</v>
      </c>
      <c r="J13" s="31">
        <f t="shared" si="12"/>
        <v>20</v>
      </c>
      <c r="K13" s="31">
        <f t="shared" si="13"/>
        <v>80</v>
      </c>
      <c r="L13" s="32">
        <f t="shared" si="14"/>
        <v>200</v>
      </c>
      <c r="M13" s="32">
        <f t="shared" si="15"/>
        <v>285.7142857</v>
      </c>
      <c r="N13" s="33">
        <f t="shared" si="16"/>
        <v>80</v>
      </c>
      <c r="O13" s="31">
        <f t="shared" si="17"/>
        <v>588.2352941</v>
      </c>
      <c r="P13" s="31">
        <f t="shared" si="18"/>
        <v>1000</v>
      </c>
      <c r="Q13" s="32">
        <f t="shared" si="19"/>
        <v>1428.571429</v>
      </c>
      <c r="R13" s="34">
        <f t="shared" si="60"/>
        <v>50000</v>
      </c>
      <c r="S13" s="34">
        <f t="shared" si="20"/>
        <v>825000</v>
      </c>
      <c r="T13" s="23">
        <f t="shared" ref="T13:U13" si="61">W13*H13</f>
        <v>125000</v>
      </c>
      <c r="U13" s="35">
        <f t="shared" si="61"/>
        <v>700000</v>
      </c>
      <c r="V13" s="36">
        <f t="shared" si="22"/>
        <v>9705.882353</v>
      </c>
      <c r="W13" s="23">
        <v>2500.0</v>
      </c>
      <c r="X13" s="35">
        <f t="shared" si="23"/>
        <v>20000</v>
      </c>
      <c r="Y13" s="23">
        <f t="shared" si="24"/>
        <v>16.5</v>
      </c>
      <c r="Z13" s="37">
        <f t="shared" si="25"/>
        <v>2.5</v>
      </c>
      <c r="AA13" s="38">
        <f t="shared" si="26"/>
        <v>14</v>
      </c>
      <c r="AB13" s="7"/>
      <c r="AC13" s="27">
        <f t="shared" ref="AC13:AJ13" si="62">B13/4</f>
        <v>625</v>
      </c>
      <c r="AD13" s="27">
        <f t="shared" si="62"/>
        <v>156.25</v>
      </c>
      <c r="AE13" s="39">
        <f t="shared" si="62"/>
        <v>62.5</v>
      </c>
      <c r="AF13" s="39">
        <f t="shared" si="62"/>
        <v>43.75</v>
      </c>
      <c r="AG13" s="27">
        <f t="shared" si="62"/>
        <v>156.25</v>
      </c>
      <c r="AH13" s="27">
        <f t="shared" si="62"/>
        <v>21.25</v>
      </c>
      <c r="AI13" s="27">
        <f t="shared" si="62"/>
        <v>12.5</v>
      </c>
      <c r="AJ13" s="40">
        <f t="shared" si="62"/>
        <v>8.75</v>
      </c>
      <c r="AK13" s="34">
        <f t="shared" ref="AK13:AN13" si="63">R13/4</f>
        <v>12500</v>
      </c>
      <c r="AL13" s="34">
        <f t="shared" si="63"/>
        <v>206250</v>
      </c>
      <c r="AM13" s="23">
        <f t="shared" si="63"/>
        <v>31250</v>
      </c>
      <c r="AN13" s="41">
        <f t="shared" si="63"/>
        <v>175000</v>
      </c>
      <c r="AO13" s="36">
        <f t="shared" si="29"/>
        <v>9705.882353</v>
      </c>
      <c r="AP13" s="23">
        <v>2500.0</v>
      </c>
      <c r="AQ13" s="35">
        <f t="shared" si="30"/>
        <v>20000</v>
      </c>
      <c r="AR13" s="23">
        <f t="shared" si="31"/>
        <v>16.5</v>
      </c>
      <c r="AS13" s="37">
        <f t="shared" si="32"/>
        <v>2.5</v>
      </c>
      <c r="AT13" s="38">
        <f t="shared" si="33"/>
        <v>14</v>
      </c>
    </row>
    <row r="14">
      <c r="A14" s="29" t="s">
        <v>43</v>
      </c>
      <c r="B14" s="27">
        <f t="shared" si="4"/>
        <v>500</v>
      </c>
      <c r="C14" s="27">
        <f t="shared" si="5"/>
        <v>125</v>
      </c>
      <c r="D14" s="30">
        <f t="shared" si="6"/>
        <v>50</v>
      </c>
      <c r="E14" s="30">
        <f t="shared" si="7"/>
        <v>35</v>
      </c>
      <c r="F14" s="27">
        <f t="shared" si="8"/>
        <v>125</v>
      </c>
      <c r="G14" s="27">
        <f t="shared" si="9"/>
        <v>17</v>
      </c>
      <c r="H14" s="27">
        <f t="shared" si="10"/>
        <v>10</v>
      </c>
      <c r="I14" s="30">
        <f t="shared" si="11"/>
        <v>7</v>
      </c>
      <c r="J14" s="31">
        <f t="shared" si="12"/>
        <v>20</v>
      </c>
      <c r="K14" s="31">
        <f t="shared" si="13"/>
        <v>80</v>
      </c>
      <c r="L14" s="32">
        <f t="shared" si="14"/>
        <v>200</v>
      </c>
      <c r="M14" s="32">
        <f t="shared" si="15"/>
        <v>285.7142857</v>
      </c>
      <c r="N14" s="33">
        <f t="shared" si="16"/>
        <v>80</v>
      </c>
      <c r="O14" s="31">
        <f t="shared" si="17"/>
        <v>588.2352941</v>
      </c>
      <c r="P14" s="31">
        <f t="shared" si="18"/>
        <v>1000</v>
      </c>
      <c r="Q14" s="32">
        <f t="shared" si="19"/>
        <v>1428.571429</v>
      </c>
      <c r="R14" s="34">
        <f>10000</f>
        <v>10000</v>
      </c>
      <c r="S14" s="34">
        <f t="shared" si="20"/>
        <v>165000</v>
      </c>
      <c r="T14" s="23">
        <f t="shared" ref="T14:U14" si="64">W14*H14</f>
        <v>25000</v>
      </c>
      <c r="U14" s="35">
        <f t="shared" si="64"/>
        <v>140000</v>
      </c>
      <c r="V14" s="36">
        <f t="shared" si="22"/>
        <v>9705.882353</v>
      </c>
      <c r="W14" s="23">
        <v>2500.0</v>
      </c>
      <c r="X14" s="35">
        <f t="shared" si="23"/>
        <v>20000</v>
      </c>
      <c r="Y14" s="23">
        <f t="shared" si="24"/>
        <v>16.5</v>
      </c>
      <c r="Z14" s="37">
        <f t="shared" si="25"/>
        <v>2.5</v>
      </c>
      <c r="AA14" s="38">
        <f t="shared" si="26"/>
        <v>14</v>
      </c>
      <c r="AB14" s="7"/>
      <c r="AC14" s="27">
        <f t="shared" ref="AC14:AJ14" si="65">B14/4</f>
        <v>125</v>
      </c>
      <c r="AD14" s="27">
        <f t="shared" si="65"/>
        <v>31.25</v>
      </c>
      <c r="AE14" s="39">
        <f t="shared" si="65"/>
        <v>12.5</v>
      </c>
      <c r="AF14" s="39">
        <f t="shared" si="65"/>
        <v>8.75</v>
      </c>
      <c r="AG14" s="27">
        <f t="shared" si="65"/>
        <v>31.25</v>
      </c>
      <c r="AH14" s="27">
        <f t="shared" si="65"/>
        <v>4.25</v>
      </c>
      <c r="AI14" s="27">
        <f t="shared" si="65"/>
        <v>2.5</v>
      </c>
      <c r="AJ14" s="40">
        <f t="shared" si="65"/>
        <v>1.75</v>
      </c>
      <c r="AK14" s="34">
        <f t="shared" ref="AK14:AN14" si="66">R14/4</f>
        <v>2500</v>
      </c>
      <c r="AL14" s="34">
        <f t="shared" si="66"/>
        <v>41250</v>
      </c>
      <c r="AM14" s="23">
        <f t="shared" si="66"/>
        <v>6250</v>
      </c>
      <c r="AN14" s="41">
        <f t="shared" si="66"/>
        <v>35000</v>
      </c>
      <c r="AO14" s="36">
        <f t="shared" si="29"/>
        <v>9705.882353</v>
      </c>
      <c r="AP14" s="23">
        <v>2500.0</v>
      </c>
      <c r="AQ14" s="35">
        <f t="shared" si="30"/>
        <v>20000</v>
      </c>
      <c r="AR14" s="23">
        <f t="shared" si="31"/>
        <v>16.5</v>
      </c>
      <c r="AS14" s="37">
        <f t="shared" si="32"/>
        <v>2.5</v>
      </c>
      <c r="AT14" s="38">
        <f t="shared" si="33"/>
        <v>14</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67">SUM(B3:B14)</f>
        <v>18500</v>
      </c>
      <c r="C16" s="43">
        <f t="shared" si="67"/>
        <v>4625</v>
      </c>
      <c r="D16" s="43">
        <f t="shared" si="67"/>
        <v>1850</v>
      </c>
      <c r="E16" s="43">
        <f t="shared" si="67"/>
        <v>1295</v>
      </c>
      <c r="F16" s="43">
        <f t="shared" si="67"/>
        <v>4625</v>
      </c>
      <c r="G16" s="43">
        <f t="shared" si="67"/>
        <v>629</v>
      </c>
      <c r="H16" s="43">
        <f t="shared" si="67"/>
        <v>370</v>
      </c>
      <c r="I16" s="43">
        <f t="shared" si="67"/>
        <v>259</v>
      </c>
      <c r="J16" s="44"/>
      <c r="K16" s="44"/>
      <c r="L16" s="44"/>
      <c r="M16" s="44"/>
      <c r="N16" s="44"/>
      <c r="O16" s="44"/>
      <c r="P16" s="44"/>
      <c r="Q16" s="44"/>
      <c r="R16" s="48">
        <f t="shared" ref="R16:U16" si="68">SUM(R3:R14)</f>
        <v>370000</v>
      </c>
      <c r="S16" s="49">
        <f t="shared" si="68"/>
        <v>6105000</v>
      </c>
      <c r="T16" s="49">
        <f t="shared" si="68"/>
        <v>925000</v>
      </c>
      <c r="U16" s="49">
        <f t="shared" si="68"/>
        <v>5180000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2"/>
    <col customWidth="1" hidden="1" min="5" max="5" width="12.57" outlineLevel="2"/>
    <col customWidth="1" hidden="1" min="6" max="6" width="14.0" outlineLevel="1"/>
    <col customWidth="1" hidden="1" min="7" max="7" width="13.71" outlineLevel="1"/>
    <col customWidth="1" hidden="1" min="8" max="9" width="6.71" outlineLevel="1"/>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45</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46</v>
      </c>
      <c r="C2" s="9" t="s">
        <v>47</v>
      </c>
      <c r="D2" s="12"/>
      <c r="E2" s="9"/>
      <c r="F2" s="12" t="s">
        <v>10</v>
      </c>
      <c r="G2" s="13" t="s">
        <v>11</v>
      </c>
      <c r="H2" s="13" t="s">
        <v>12</v>
      </c>
      <c r="I2" s="14" t="s">
        <v>13</v>
      </c>
      <c r="J2" s="15" t="s">
        <v>48</v>
      </c>
      <c r="K2" s="16" t="s">
        <v>49</v>
      </c>
      <c r="L2" s="17"/>
      <c r="M2" s="17"/>
      <c r="N2" s="16" t="s">
        <v>18</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50" t="s">
        <v>50</v>
      </c>
      <c r="AD2" s="9" t="s">
        <v>47</v>
      </c>
      <c r="AE2" s="10"/>
      <c r="AF2" s="11"/>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5">R3/J3</f>
        <v>50</v>
      </c>
      <c r="C3" s="27">
        <f t="shared" ref="C3:C14" si="6">B3*0.5</f>
        <v>25</v>
      </c>
      <c r="D3" s="27"/>
      <c r="E3" s="50"/>
      <c r="F3" s="27">
        <f t="shared" ref="F3:F14" si="7">B3+B3*0.25</f>
        <v>62.5</v>
      </c>
      <c r="G3" s="27">
        <f t="shared" ref="G3:G14" si="8">H3+I3</f>
        <v>59.375</v>
      </c>
      <c r="H3" s="27">
        <f t="shared" ref="H3:H14" si="9">B3</f>
        <v>50</v>
      </c>
      <c r="I3" s="30">
        <f t="shared" ref="I3:I14" si="10">F3*0.15</f>
        <v>9.375</v>
      </c>
      <c r="J3" s="31">
        <f t="shared" ref="J3:J14" si="11">400</f>
        <v>400</v>
      </c>
      <c r="K3" s="31">
        <f t="shared" ref="K3:K14" si="12">R3/C3</f>
        <v>800</v>
      </c>
      <c r="L3" s="32"/>
      <c r="M3" s="32"/>
      <c r="N3" s="33">
        <f t="shared" ref="N3:N14" si="13">R3/F3</f>
        <v>320</v>
      </c>
      <c r="O3" s="31">
        <f t="shared" ref="O3:O14" si="14">R3/G3</f>
        <v>336.8421053</v>
      </c>
      <c r="P3" s="31">
        <f t="shared" ref="P3:P14" si="15">R3/H3</f>
        <v>400</v>
      </c>
      <c r="Q3" s="32">
        <f t="shared" ref="Q3:Q14" si="16">R3/I3</f>
        <v>2133.333333</v>
      </c>
      <c r="R3" s="34">
        <f>20000</f>
        <v>20000</v>
      </c>
      <c r="S3" s="34">
        <f t="shared" ref="S3:S14" si="17">T3+U3</f>
        <v>202500</v>
      </c>
      <c r="T3" s="36">
        <f t="shared" ref="T3:U3" si="1">W3*H3</f>
        <v>15000</v>
      </c>
      <c r="U3" s="35">
        <f t="shared" si="1"/>
        <v>187500</v>
      </c>
      <c r="V3" s="36">
        <f t="shared" ref="V3:V14" si="19">S3/G3</f>
        <v>3410.526316</v>
      </c>
      <c r="W3" s="36">
        <v>300.0</v>
      </c>
      <c r="X3" s="35">
        <f t="shared" ref="X3:X14" si="20">20000</f>
        <v>20000</v>
      </c>
      <c r="Y3" s="23">
        <f t="shared" ref="Y3:Y14" si="21">S3/R3</f>
        <v>10.125</v>
      </c>
      <c r="Z3" s="37">
        <f t="shared" ref="Z3:Z14" si="22">T3/R3</f>
        <v>0.75</v>
      </c>
      <c r="AA3" s="38">
        <f t="shared" ref="AA3:AA14" si="23">U3/R3</f>
        <v>9.375</v>
      </c>
      <c r="AB3" s="7"/>
      <c r="AC3" s="27">
        <f t="shared" ref="AC3:AD3" si="2">B3/4</f>
        <v>12.5</v>
      </c>
      <c r="AD3" s="27">
        <f t="shared" si="2"/>
        <v>6.25</v>
      </c>
      <c r="AE3" s="39"/>
      <c r="AF3" s="39"/>
      <c r="AG3" s="27">
        <f t="shared" ref="AG3:AJ3" si="3">F3/4</f>
        <v>15.625</v>
      </c>
      <c r="AH3" s="27">
        <f t="shared" si="3"/>
        <v>14.84375</v>
      </c>
      <c r="AI3" s="27">
        <f t="shared" si="3"/>
        <v>12.5</v>
      </c>
      <c r="AJ3" s="40">
        <f t="shared" si="3"/>
        <v>2.34375</v>
      </c>
      <c r="AK3" s="34">
        <f t="shared" ref="AK3:AN3" si="4">R3/4</f>
        <v>5000</v>
      </c>
      <c r="AL3" s="34">
        <f t="shared" si="4"/>
        <v>50625</v>
      </c>
      <c r="AM3" s="23">
        <f t="shared" si="4"/>
        <v>3750</v>
      </c>
      <c r="AN3" s="41">
        <f t="shared" si="4"/>
        <v>46875</v>
      </c>
      <c r="AO3" s="36">
        <f t="shared" ref="AO3:AO14" si="27">AL3/AH3</f>
        <v>3410.526316</v>
      </c>
      <c r="AP3" s="23">
        <v>2500.0</v>
      </c>
      <c r="AQ3" s="35">
        <f t="shared" ref="AQ3:AQ14" si="28">20000</f>
        <v>20000</v>
      </c>
      <c r="AR3" s="23">
        <f t="shared" ref="AR3:AR14" si="29">AL3/AK3</f>
        <v>10.125</v>
      </c>
      <c r="AS3" s="37">
        <f t="shared" ref="AS3:AS14" si="30">AM3/AK3</f>
        <v>0.75</v>
      </c>
      <c r="AT3" s="38">
        <f t="shared" ref="AT3:AT14" si="31">AN3/AK3</f>
        <v>9.375</v>
      </c>
    </row>
    <row r="4">
      <c r="A4" s="29" t="s">
        <v>33</v>
      </c>
      <c r="B4" s="27">
        <f t="shared" si="5"/>
        <v>150</v>
      </c>
      <c r="C4" s="27">
        <f t="shared" si="6"/>
        <v>75</v>
      </c>
      <c r="D4" s="27"/>
      <c r="E4" s="50"/>
      <c r="F4" s="27">
        <f t="shared" si="7"/>
        <v>187.5</v>
      </c>
      <c r="G4" s="27">
        <f t="shared" si="8"/>
        <v>178.125</v>
      </c>
      <c r="H4" s="27">
        <f t="shared" si="9"/>
        <v>150</v>
      </c>
      <c r="I4" s="30">
        <f t="shared" si="10"/>
        <v>28.125</v>
      </c>
      <c r="J4" s="31">
        <f t="shared" si="11"/>
        <v>400</v>
      </c>
      <c r="K4" s="31">
        <f t="shared" si="12"/>
        <v>800</v>
      </c>
      <c r="L4" s="32"/>
      <c r="M4" s="32"/>
      <c r="N4" s="33">
        <f t="shared" si="13"/>
        <v>320</v>
      </c>
      <c r="O4" s="31">
        <f t="shared" si="14"/>
        <v>336.8421053</v>
      </c>
      <c r="P4" s="31">
        <f t="shared" si="15"/>
        <v>400</v>
      </c>
      <c r="Q4" s="32">
        <f t="shared" si="16"/>
        <v>2133.333333</v>
      </c>
      <c r="R4" s="34">
        <f>60000</f>
        <v>60000</v>
      </c>
      <c r="S4" s="34">
        <f t="shared" si="17"/>
        <v>607500</v>
      </c>
      <c r="T4" s="36">
        <f t="shared" ref="T4:U4" si="18">W4*H4</f>
        <v>45000</v>
      </c>
      <c r="U4" s="35">
        <f t="shared" si="18"/>
        <v>562500</v>
      </c>
      <c r="V4" s="36">
        <f t="shared" si="19"/>
        <v>3410.526316</v>
      </c>
      <c r="W4" s="36">
        <v>300.0</v>
      </c>
      <c r="X4" s="35">
        <f t="shared" si="20"/>
        <v>20000</v>
      </c>
      <c r="Y4" s="23">
        <f t="shared" si="21"/>
        <v>10.125</v>
      </c>
      <c r="Z4" s="37">
        <f t="shared" si="22"/>
        <v>0.75</v>
      </c>
      <c r="AA4" s="38">
        <f t="shared" si="23"/>
        <v>9.375</v>
      </c>
      <c r="AB4" s="7"/>
      <c r="AC4" s="27">
        <f t="shared" ref="AC4:AD4" si="24">B4/4</f>
        <v>37.5</v>
      </c>
      <c r="AD4" s="27">
        <f t="shared" si="24"/>
        <v>18.75</v>
      </c>
      <c r="AE4" s="39"/>
      <c r="AF4" s="39"/>
      <c r="AG4" s="27">
        <f t="shared" ref="AG4:AJ4" si="25">F4/4</f>
        <v>46.875</v>
      </c>
      <c r="AH4" s="27">
        <f t="shared" si="25"/>
        <v>44.53125</v>
      </c>
      <c r="AI4" s="27">
        <f t="shared" si="25"/>
        <v>37.5</v>
      </c>
      <c r="AJ4" s="40">
        <f t="shared" si="25"/>
        <v>7.03125</v>
      </c>
      <c r="AK4" s="34">
        <f t="shared" ref="AK4:AN4" si="26">R4/4</f>
        <v>15000</v>
      </c>
      <c r="AL4" s="34">
        <f t="shared" si="26"/>
        <v>151875</v>
      </c>
      <c r="AM4" s="23">
        <f t="shared" si="26"/>
        <v>11250</v>
      </c>
      <c r="AN4" s="41">
        <f t="shared" si="26"/>
        <v>140625</v>
      </c>
      <c r="AO4" s="36">
        <f t="shared" si="27"/>
        <v>3410.526316</v>
      </c>
      <c r="AP4" s="23">
        <v>2500.0</v>
      </c>
      <c r="AQ4" s="35">
        <f t="shared" si="28"/>
        <v>20000</v>
      </c>
      <c r="AR4" s="23">
        <f t="shared" si="29"/>
        <v>10.125</v>
      </c>
      <c r="AS4" s="37">
        <f t="shared" si="30"/>
        <v>0.75</v>
      </c>
      <c r="AT4" s="38">
        <f t="shared" si="31"/>
        <v>9.375</v>
      </c>
    </row>
    <row r="5">
      <c r="A5" s="29" t="s">
        <v>34</v>
      </c>
      <c r="B5" s="27">
        <f t="shared" si="5"/>
        <v>50</v>
      </c>
      <c r="C5" s="27">
        <f t="shared" si="6"/>
        <v>25</v>
      </c>
      <c r="D5" s="27"/>
      <c r="E5" s="50"/>
      <c r="F5" s="27">
        <f t="shared" si="7"/>
        <v>62.5</v>
      </c>
      <c r="G5" s="27">
        <f t="shared" si="8"/>
        <v>59.375</v>
      </c>
      <c r="H5" s="27">
        <f t="shared" si="9"/>
        <v>50</v>
      </c>
      <c r="I5" s="30">
        <f t="shared" si="10"/>
        <v>9.375</v>
      </c>
      <c r="J5" s="31">
        <f t="shared" si="11"/>
        <v>400</v>
      </c>
      <c r="K5" s="31">
        <f t="shared" si="12"/>
        <v>800</v>
      </c>
      <c r="L5" s="32"/>
      <c r="M5" s="32"/>
      <c r="N5" s="33">
        <f t="shared" si="13"/>
        <v>320</v>
      </c>
      <c r="O5" s="31">
        <f t="shared" si="14"/>
        <v>336.8421053</v>
      </c>
      <c r="P5" s="31">
        <f t="shared" si="15"/>
        <v>400</v>
      </c>
      <c r="Q5" s="32">
        <f t="shared" si="16"/>
        <v>2133.333333</v>
      </c>
      <c r="R5" s="34">
        <f>20000</f>
        <v>20000</v>
      </c>
      <c r="S5" s="34">
        <f t="shared" si="17"/>
        <v>202500</v>
      </c>
      <c r="T5" s="36">
        <f t="shared" ref="T5:U5" si="32">W5*H5</f>
        <v>15000</v>
      </c>
      <c r="U5" s="35">
        <f t="shared" si="32"/>
        <v>187500</v>
      </c>
      <c r="V5" s="36">
        <f t="shared" si="19"/>
        <v>3410.526316</v>
      </c>
      <c r="W5" s="36">
        <v>300.0</v>
      </c>
      <c r="X5" s="35">
        <f t="shared" si="20"/>
        <v>20000</v>
      </c>
      <c r="Y5" s="23">
        <f t="shared" si="21"/>
        <v>10.125</v>
      </c>
      <c r="Z5" s="37">
        <f t="shared" si="22"/>
        <v>0.75</v>
      </c>
      <c r="AA5" s="38">
        <f t="shared" si="23"/>
        <v>9.375</v>
      </c>
      <c r="AB5" s="7"/>
      <c r="AC5" s="27">
        <f t="shared" ref="AC5:AD5" si="33">B5/4</f>
        <v>12.5</v>
      </c>
      <c r="AD5" s="27">
        <f t="shared" si="33"/>
        <v>6.25</v>
      </c>
      <c r="AE5" s="39"/>
      <c r="AF5" s="39"/>
      <c r="AG5" s="27">
        <f t="shared" ref="AG5:AJ5" si="34">F5/4</f>
        <v>15.625</v>
      </c>
      <c r="AH5" s="27">
        <f t="shared" si="34"/>
        <v>14.84375</v>
      </c>
      <c r="AI5" s="27">
        <f t="shared" si="34"/>
        <v>12.5</v>
      </c>
      <c r="AJ5" s="40">
        <f t="shared" si="34"/>
        <v>2.34375</v>
      </c>
      <c r="AK5" s="34">
        <f t="shared" ref="AK5:AN5" si="35">R5/4</f>
        <v>5000</v>
      </c>
      <c r="AL5" s="34">
        <f t="shared" si="35"/>
        <v>50625</v>
      </c>
      <c r="AM5" s="23">
        <f t="shared" si="35"/>
        <v>3750</v>
      </c>
      <c r="AN5" s="41">
        <f t="shared" si="35"/>
        <v>46875</v>
      </c>
      <c r="AO5" s="36">
        <f t="shared" si="27"/>
        <v>3410.526316</v>
      </c>
      <c r="AP5" s="23">
        <v>2500.0</v>
      </c>
      <c r="AQ5" s="35">
        <f t="shared" si="28"/>
        <v>20000</v>
      </c>
      <c r="AR5" s="23">
        <f t="shared" si="29"/>
        <v>10.125</v>
      </c>
      <c r="AS5" s="37">
        <f t="shared" si="30"/>
        <v>0.75</v>
      </c>
      <c r="AT5" s="38">
        <f t="shared" si="31"/>
        <v>9.375</v>
      </c>
    </row>
    <row r="6">
      <c r="A6" s="29" t="s">
        <v>35</v>
      </c>
      <c r="B6" s="27">
        <f t="shared" si="5"/>
        <v>125</v>
      </c>
      <c r="C6" s="27">
        <f t="shared" si="6"/>
        <v>62.5</v>
      </c>
      <c r="D6" s="27"/>
      <c r="E6" s="50"/>
      <c r="F6" s="27">
        <f t="shared" si="7"/>
        <v>156.25</v>
      </c>
      <c r="G6" s="27">
        <f t="shared" si="8"/>
        <v>148.4375</v>
      </c>
      <c r="H6" s="27">
        <f t="shared" si="9"/>
        <v>125</v>
      </c>
      <c r="I6" s="30">
        <f t="shared" si="10"/>
        <v>23.4375</v>
      </c>
      <c r="J6" s="31">
        <f t="shared" si="11"/>
        <v>400</v>
      </c>
      <c r="K6" s="31">
        <f t="shared" si="12"/>
        <v>800</v>
      </c>
      <c r="L6" s="32"/>
      <c r="M6" s="32"/>
      <c r="N6" s="33">
        <f t="shared" si="13"/>
        <v>320</v>
      </c>
      <c r="O6" s="31">
        <f t="shared" si="14"/>
        <v>336.8421053</v>
      </c>
      <c r="P6" s="31">
        <f t="shared" si="15"/>
        <v>400</v>
      </c>
      <c r="Q6" s="32">
        <f t="shared" si="16"/>
        <v>2133.333333</v>
      </c>
      <c r="R6" s="34">
        <f t="shared" ref="R6:R7" si="40">50000</f>
        <v>50000</v>
      </c>
      <c r="S6" s="34">
        <f t="shared" si="17"/>
        <v>506250</v>
      </c>
      <c r="T6" s="36">
        <f t="shared" ref="T6:U6" si="36">W6*H6</f>
        <v>37500</v>
      </c>
      <c r="U6" s="35">
        <f t="shared" si="36"/>
        <v>468750</v>
      </c>
      <c r="V6" s="36">
        <f t="shared" si="19"/>
        <v>3410.526316</v>
      </c>
      <c r="W6" s="36">
        <v>300.0</v>
      </c>
      <c r="X6" s="35">
        <f t="shared" si="20"/>
        <v>20000</v>
      </c>
      <c r="Y6" s="23">
        <f t="shared" si="21"/>
        <v>10.125</v>
      </c>
      <c r="Z6" s="37">
        <f t="shared" si="22"/>
        <v>0.75</v>
      </c>
      <c r="AA6" s="38">
        <f t="shared" si="23"/>
        <v>9.375</v>
      </c>
      <c r="AB6" s="7"/>
      <c r="AC6" s="27">
        <f t="shared" ref="AC6:AD6" si="37">B6/4</f>
        <v>31.25</v>
      </c>
      <c r="AD6" s="27">
        <f t="shared" si="37"/>
        <v>15.625</v>
      </c>
      <c r="AE6" s="39"/>
      <c r="AF6" s="39"/>
      <c r="AG6" s="27">
        <f t="shared" ref="AG6:AJ6" si="38">F6/4</f>
        <v>39.0625</v>
      </c>
      <c r="AH6" s="27">
        <f t="shared" si="38"/>
        <v>37.109375</v>
      </c>
      <c r="AI6" s="27">
        <f t="shared" si="38"/>
        <v>31.25</v>
      </c>
      <c r="AJ6" s="40">
        <f t="shared" si="38"/>
        <v>5.859375</v>
      </c>
      <c r="AK6" s="34">
        <f t="shared" ref="AK6:AN6" si="39">R6/4</f>
        <v>12500</v>
      </c>
      <c r="AL6" s="34">
        <f t="shared" si="39"/>
        <v>126562.5</v>
      </c>
      <c r="AM6" s="23">
        <f t="shared" si="39"/>
        <v>9375</v>
      </c>
      <c r="AN6" s="41">
        <f t="shared" si="39"/>
        <v>117187.5</v>
      </c>
      <c r="AO6" s="36">
        <f t="shared" si="27"/>
        <v>3410.526316</v>
      </c>
      <c r="AP6" s="23">
        <v>2500.0</v>
      </c>
      <c r="AQ6" s="35">
        <f t="shared" si="28"/>
        <v>20000</v>
      </c>
      <c r="AR6" s="23">
        <f t="shared" si="29"/>
        <v>10.125</v>
      </c>
      <c r="AS6" s="37">
        <f t="shared" si="30"/>
        <v>0.75</v>
      </c>
      <c r="AT6" s="38">
        <f t="shared" si="31"/>
        <v>9.375</v>
      </c>
    </row>
    <row r="7">
      <c r="A7" s="29" t="s">
        <v>36</v>
      </c>
      <c r="B7" s="27">
        <f t="shared" si="5"/>
        <v>125</v>
      </c>
      <c r="C7" s="27">
        <f t="shared" si="6"/>
        <v>62.5</v>
      </c>
      <c r="D7" s="27"/>
      <c r="E7" s="50"/>
      <c r="F7" s="27">
        <f t="shared" si="7"/>
        <v>156.25</v>
      </c>
      <c r="G7" s="27">
        <f t="shared" si="8"/>
        <v>148.4375</v>
      </c>
      <c r="H7" s="27">
        <f t="shared" si="9"/>
        <v>125</v>
      </c>
      <c r="I7" s="30">
        <f t="shared" si="10"/>
        <v>23.4375</v>
      </c>
      <c r="J7" s="31">
        <f t="shared" si="11"/>
        <v>400</v>
      </c>
      <c r="K7" s="31">
        <f t="shared" si="12"/>
        <v>800</v>
      </c>
      <c r="L7" s="32"/>
      <c r="M7" s="32"/>
      <c r="N7" s="33">
        <f t="shared" si="13"/>
        <v>320</v>
      </c>
      <c r="O7" s="31">
        <f t="shared" si="14"/>
        <v>336.8421053</v>
      </c>
      <c r="P7" s="31">
        <f t="shared" si="15"/>
        <v>400</v>
      </c>
      <c r="Q7" s="32">
        <f t="shared" si="16"/>
        <v>2133.333333</v>
      </c>
      <c r="R7" s="34">
        <f t="shared" si="40"/>
        <v>50000</v>
      </c>
      <c r="S7" s="34">
        <f t="shared" si="17"/>
        <v>506250</v>
      </c>
      <c r="T7" s="36">
        <f t="shared" ref="T7:U7" si="41">W7*H7</f>
        <v>37500</v>
      </c>
      <c r="U7" s="35">
        <f t="shared" si="41"/>
        <v>468750</v>
      </c>
      <c r="V7" s="36">
        <f t="shared" si="19"/>
        <v>3410.526316</v>
      </c>
      <c r="W7" s="36">
        <v>300.0</v>
      </c>
      <c r="X7" s="35">
        <f t="shared" si="20"/>
        <v>20000</v>
      </c>
      <c r="Y7" s="23">
        <f t="shared" si="21"/>
        <v>10.125</v>
      </c>
      <c r="Z7" s="37">
        <f t="shared" si="22"/>
        <v>0.75</v>
      </c>
      <c r="AA7" s="38">
        <f t="shared" si="23"/>
        <v>9.375</v>
      </c>
      <c r="AB7" s="7"/>
      <c r="AC7" s="27">
        <f t="shared" ref="AC7:AD7" si="42">B7/4</f>
        <v>31.25</v>
      </c>
      <c r="AD7" s="27">
        <f t="shared" si="42"/>
        <v>15.625</v>
      </c>
      <c r="AE7" s="39"/>
      <c r="AF7" s="39"/>
      <c r="AG7" s="27">
        <f t="shared" ref="AG7:AJ7" si="43">F7/4</f>
        <v>39.0625</v>
      </c>
      <c r="AH7" s="27">
        <f t="shared" si="43"/>
        <v>37.109375</v>
      </c>
      <c r="AI7" s="27">
        <f t="shared" si="43"/>
        <v>31.25</v>
      </c>
      <c r="AJ7" s="40">
        <f t="shared" si="43"/>
        <v>5.859375</v>
      </c>
      <c r="AK7" s="34">
        <f t="shared" ref="AK7:AN7" si="44">R7/4</f>
        <v>12500</v>
      </c>
      <c r="AL7" s="34">
        <f t="shared" si="44"/>
        <v>126562.5</v>
      </c>
      <c r="AM7" s="23">
        <f t="shared" si="44"/>
        <v>9375</v>
      </c>
      <c r="AN7" s="41">
        <f t="shared" si="44"/>
        <v>117187.5</v>
      </c>
      <c r="AO7" s="36">
        <f t="shared" si="27"/>
        <v>3410.526316</v>
      </c>
      <c r="AP7" s="23">
        <v>2500.0</v>
      </c>
      <c r="AQ7" s="35">
        <f t="shared" si="28"/>
        <v>20000</v>
      </c>
      <c r="AR7" s="23">
        <f t="shared" si="29"/>
        <v>10.125</v>
      </c>
      <c r="AS7" s="37">
        <f t="shared" si="30"/>
        <v>0.75</v>
      </c>
      <c r="AT7" s="38">
        <f t="shared" si="31"/>
        <v>9.375</v>
      </c>
    </row>
    <row r="8">
      <c r="A8" s="29" t="s">
        <v>37</v>
      </c>
      <c r="B8" s="27">
        <f t="shared" si="5"/>
        <v>0</v>
      </c>
      <c r="C8" s="27">
        <f t="shared" si="6"/>
        <v>0</v>
      </c>
      <c r="D8" s="27"/>
      <c r="E8" s="50"/>
      <c r="F8" s="27">
        <f t="shared" si="7"/>
        <v>0</v>
      </c>
      <c r="G8" s="27">
        <f t="shared" si="8"/>
        <v>0</v>
      </c>
      <c r="H8" s="27">
        <f t="shared" si="9"/>
        <v>0</v>
      </c>
      <c r="I8" s="30">
        <f t="shared" si="10"/>
        <v>0</v>
      </c>
      <c r="J8" s="31">
        <f t="shared" si="11"/>
        <v>400</v>
      </c>
      <c r="K8" s="31" t="str">
        <f t="shared" si="12"/>
        <v>#DIV/0!</v>
      </c>
      <c r="L8" s="32"/>
      <c r="M8" s="32"/>
      <c r="N8" s="33" t="str">
        <f t="shared" si="13"/>
        <v>#DIV/0!</v>
      </c>
      <c r="O8" s="31" t="str">
        <f t="shared" si="14"/>
        <v>#DIV/0!</v>
      </c>
      <c r="P8" s="31" t="str">
        <f t="shared" si="15"/>
        <v>#DIV/0!</v>
      </c>
      <c r="Q8" s="32" t="str">
        <f t="shared" si="16"/>
        <v>#DIV/0!</v>
      </c>
      <c r="R8" s="34"/>
      <c r="S8" s="34">
        <f t="shared" si="17"/>
        <v>0</v>
      </c>
      <c r="T8" s="36">
        <f t="shared" ref="T8:U8" si="45">W8*H8</f>
        <v>0</v>
      </c>
      <c r="U8" s="35">
        <f t="shared" si="45"/>
        <v>0</v>
      </c>
      <c r="V8" s="36" t="str">
        <f t="shared" si="19"/>
        <v>#DIV/0!</v>
      </c>
      <c r="W8" s="36">
        <v>300.0</v>
      </c>
      <c r="X8" s="35">
        <f t="shared" si="20"/>
        <v>20000</v>
      </c>
      <c r="Y8" s="23" t="str">
        <f t="shared" si="21"/>
        <v>#DIV/0!</v>
      </c>
      <c r="Z8" s="37" t="str">
        <f t="shared" si="22"/>
        <v>#DIV/0!</v>
      </c>
      <c r="AA8" s="38" t="str">
        <f t="shared" si="23"/>
        <v>#DIV/0!</v>
      </c>
      <c r="AB8" s="7"/>
      <c r="AC8" s="27">
        <f t="shared" ref="AC8:AD8" si="46">B8/4</f>
        <v>0</v>
      </c>
      <c r="AD8" s="27">
        <f t="shared" si="46"/>
        <v>0</v>
      </c>
      <c r="AE8" s="39"/>
      <c r="AF8" s="39"/>
      <c r="AG8" s="27">
        <f t="shared" ref="AG8:AJ8" si="47">F8/4</f>
        <v>0</v>
      </c>
      <c r="AH8" s="27">
        <f t="shared" si="47"/>
        <v>0</v>
      </c>
      <c r="AI8" s="27">
        <f t="shared" si="47"/>
        <v>0</v>
      </c>
      <c r="AJ8" s="40">
        <f t="shared" si="47"/>
        <v>0</v>
      </c>
      <c r="AK8" s="34">
        <f t="shared" ref="AK8:AN8" si="48">R8/4</f>
        <v>0</v>
      </c>
      <c r="AL8" s="34">
        <f t="shared" si="48"/>
        <v>0</v>
      </c>
      <c r="AM8" s="23">
        <f t="shared" si="48"/>
        <v>0</v>
      </c>
      <c r="AN8" s="41">
        <f t="shared" si="48"/>
        <v>0</v>
      </c>
      <c r="AO8" s="36" t="str">
        <f t="shared" si="27"/>
        <v>#DIV/0!</v>
      </c>
      <c r="AP8" s="23">
        <v>2500.0</v>
      </c>
      <c r="AQ8" s="35">
        <f t="shared" si="28"/>
        <v>20000</v>
      </c>
      <c r="AR8" s="23" t="str">
        <f t="shared" si="29"/>
        <v>#DIV/0!</v>
      </c>
      <c r="AS8" s="37" t="str">
        <f t="shared" si="30"/>
        <v>#DIV/0!</v>
      </c>
      <c r="AT8" s="38" t="str">
        <f t="shared" si="31"/>
        <v>#DIV/0!</v>
      </c>
    </row>
    <row r="9">
      <c r="A9" s="29" t="s">
        <v>38</v>
      </c>
      <c r="B9" s="27">
        <f t="shared" si="5"/>
        <v>0</v>
      </c>
      <c r="C9" s="27">
        <f t="shared" si="6"/>
        <v>0</v>
      </c>
      <c r="D9" s="27"/>
      <c r="E9" s="50"/>
      <c r="F9" s="27">
        <f t="shared" si="7"/>
        <v>0</v>
      </c>
      <c r="G9" s="27">
        <f t="shared" si="8"/>
        <v>0</v>
      </c>
      <c r="H9" s="27">
        <f t="shared" si="9"/>
        <v>0</v>
      </c>
      <c r="I9" s="30">
        <f t="shared" si="10"/>
        <v>0</v>
      </c>
      <c r="J9" s="31">
        <f t="shared" si="11"/>
        <v>400</v>
      </c>
      <c r="K9" s="31" t="str">
        <f t="shared" si="12"/>
        <v>#DIV/0!</v>
      </c>
      <c r="L9" s="32"/>
      <c r="M9" s="32"/>
      <c r="N9" s="33" t="str">
        <f t="shared" si="13"/>
        <v>#DIV/0!</v>
      </c>
      <c r="O9" s="31" t="str">
        <f t="shared" si="14"/>
        <v>#DIV/0!</v>
      </c>
      <c r="P9" s="31" t="str">
        <f t="shared" si="15"/>
        <v>#DIV/0!</v>
      </c>
      <c r="Q9" s="32" t="str">
        <f t="shared" si="16"/>
        <v>#DIV/0!</v>
      </c>
      <c r="R9" s="34"/>
      <c r="S9" s="34">
        <f t="shared" si="17"/>
        <v>0</v>
      </c>
      <c r="T9" s="36">
        <f t="shared" ref="T9:U9" si="49">W9*H9</f>
        <v>0</v>
      </c>
      <c r="U9" s="35">
        <f t="shared" si="49"/>
        <v>0</v>
      </c>
      <c r="V9" s="36" t="str">
        <f t="shared" si="19"/>
        <v>#DIV/0!</v>
      </c>
      <c r="W9" s="36">
        <v>300.0</v>
      </c>
      <c r="X9" s="35">
        <f t="shared" si="20"/>
        <v>20000</v>
      </c>
      <c r="Y9" s="23" t="str">
        <f t="shared" si="21"/>
        <v>#DIV/0!</v>
      </c>
      <c r="Z9" s="37" t="str">
        <f t="shared" si="22"/>
        <v>#DIV/0!</v>
      </c>
      <c r="AA9" s="38" t="str">
        <f t="shared" si="23"/>
        <v>#DIV/0!</v>
      </c>
      <c r="AB9" s="7"/>
      <c r="AC9" s="27">
        <f t="shared" ref="AC9:AD9" si="50">B9/4</f>
        <v>0</v>
      </c>
      <c r="AD9" s="27">
        <f t="shared" si="50"/>
        <v>0</v>
      </c>
      <c r="AE9" s="39"/>
      <c r="AF9" s="39"/>
      <c r="AG9" s="27">
        <f t="shared" ref="AG9:AJ9" si="51">F9/4</f>
        <v>0</v>
      </c>
      <c r="AH9" s="27">
        <f t="shared" si="51"/>
        <v>0</v>
      </c>
      <c r="AI9" s="27">
        <f t="shared" si="51"/>
        <v>0</v>
      </c>
      <c r="AJ9" s="40">
        <f t="shared" si="51"/>
        <v>0</v>
      </c>
      <c r="AK9" s="34">
        <f t="shared" ref="AK9:AN9" si="52">R9/4</f>
        <v>0</v>
      </c>
      <c r="AL9" s="34">
        <f t="shared" si="52"/>
        <v>0</v>
      </c>
      <c r="AM9" s="23">
        <f t="shared" si="52"/>
        <v>0</v>
      </c>
      <c r="AN9" s="41">
        <f t="shared" si="52"/>
        <v>0</v>
      </c>
      <c r="AO9" s="36" t="str">
        <f t="shared" si="27"/>
        <v>#DIV/0!</v>
      </c>
      <c r="AP9" s="23">
        <v>2500.0</v>
      </c>
      <c r="AQ9" s="35">
        <f t="shared" si="28"/>
        <v>20000</v>
      </c>
      <c r="AR9" s="23" t="str">
        <f t="shared" si="29"/>
        <v>#DIV/0!</v>
      </c>
      <c r="AS9" s="37" t="str">
        <f t="shared" si="30"/>
        <v>#DIV/0!</v>
      </c>
      <c r="AT9" s="38" t="str">
        <f t="shared" si="31"/>
        <v>#DIV/0!</v>
      </c>
    </row>
    <row r="10">
      <c r="A10" s="29" t="s">
        <v>39</v>
      </c>
      <c r="B10" s="27">
        <f t="shared" si="5"/>
        <v>0</v>
      </c>
      <c r="C10" s="27">
        <f t="shared" si="6"/>
        <v>0</v>
      </c>
      <c r="D10" s="27"/>
      <c r="E10" s="50"/>
      <c r="F10" s="27">
        <f t="shared" si="7"/>
        <v>0</v>
      </c>
      <c r="G10" s="27">
        <f t="shared" si="8"/>
        <v>0</v>
      </c>
      <c r="H10" s="27">
        <f t="shared" si="9"/>
        <v>0</v>
      </c>
      <c r="I10" s="30">
        <f t="shared" si="10"/>
        <v>0</v>
      </c>
      <c r="J10" s="31">
        <f t="shared" si="11"/>
        <v>400</v>
      </c>
      <c r="K10" s="31" t="str">
        <f t="shared" si="12"/>
        <v>#DIV/0!</v>
      </c>
      <c r="L10" s="32"/>
      <c r="M10" s="32"/>
      <c r="N10" s="33" t="str">
        <f t="shared" si="13"/>
        <v>#DIV/0!</v>
      </c>
      <c r="O10" s="31" t="str">
        <f t="shared" si="14"/>
        <v>#DIV/0!</v>
      </c>
      <c r="P10" s="31" t="str">
        <f t="shared" si="15"/>
        <v>#DIV/0!</v>
      </c>
      <c r="Q10" s="32" t="str">
        <f t="shared" si="16"/>
        <v>#DIV/0!</v>
      </c>
      <c r="R10" s="34"/>
      <c r="S10" s="34">
        <f t="shared" si="17"/>
        <v>0</v>
      </c>
      <c r="T10" s="36">
        <f t="shared" ref="T10:U10" si="53">W10*H10</f>
        <v>0</v>
      </c>
      <c r="U10" s="35">
        <f t="shared" si="53"/>
        <v>0</v>
      </c>
      <c r="V10" s="36" t="str">
        <f t="shared" si="19"/>
        <v>#DIV/0!</v>
      </c>
      <c r="W10" s="36">
        <v>300.0</v>
      </c>
      <c r="X10" s="35">
        <f t="shared" si="20"/>
        <v>20000</v>
      </c>
      <c r="Y10" s="23" t="str">
        <f t="shared" si="21"/>
        <v>#DIV/0!</v>
      </c>
      <c r="Z10" s="37" t="str">
        <f t="shared" si="22"/>
        <v>#DIV/0!</v>
      </c>
      <c r="AA10" s="38" t="str">
        <f t="shared" si="23"/>
        <v>#DIV/0!</v>
      </c>
      <c r="AB10" s="7"/>
      <c r="AC10" s="27">
        <f t="shared" ref="AC10:AD10" si="54">B10/4</f>
        <v>0</v>
      </c>
      <c r="AD10" s="27">
        <f t="shared" si="54"/>
        <v>0</v>
      </c>
      <c r="AE10" s="39"/>
      <c r="AF10" s="39"/>
      <c r="AG10" s="27">
        <f t="shared" ref="AG10:AJ10" si="55">F10/4</f>
        <v>0</v>
      </c>
      <c r="AH10" s="27">
        <f t="shared" si="55"/>
        <v>0</v>
      </c>
      <c r="AI10" s="27">
        <f t="shared" si="55"/>
        <v>0</v>
      </c>
      <c r="AJ10" s="40">
        <f t="shared" si="55"/>
        <v>0</v>
      </c>
      <c r="AK10" s="34">
        <f t="shared" ref="AK10:AN10" si="56">R10/4</f>
        <v>0</v>
      </c>
      <c r="AL10" s="34">
        <f t="shared" si="56"/>
        <v>0</v>
      </c>
      <c r="AM10" s="23">
        <f t="shared" si="56"/>
        <v>0</v>
      </c>
      <c r="AN10" s="41">
        <f t="shared" si="56"/>
        <v>0</v>
      </c>
      <c r="AO10" s="36" t="str">
        <f t="shared" si="27"/>
        <v>#DIV/0!</v>
      </c>
      <c r="AP10" s="23">
        <v>2500.0</v>
      </c>
      <c r="AQ10" s="35">
        <f t="shared" si="28"/>
        <v>20000</v>
      </c>
      <c r="AR10" s="23" t="str">
        <f t="shared" si="29"/>
        <v>#DIV/0!</v>
      </c>
      <c r="AS10" s="37" t="str">
        <f t="shared" si="30"/>
        <v>#DIV/0!</v>
      </c>
      <c r="AT10" s="38" t="str">
        <f t="shared" si="31"/>
        <v>#DIV/0!</v>
      </c>
    </row>
    <row r="11">
      <c r="A11" s="29" t="s">
        <v>40</v>
      </c>
      <c r="B11" s="27">
        <f t="shared" si="5"/>
        <v>0</v>
      </c>
      <c r="C11" s="27">
        <f t="shared" si="6"/>
        <v>0</v>
      </c>
      <c r="D11" s="27"/>
      <c r="E11" s="50"/>
      <c r="F11" s="27">
        <f t="shared" si="7"/>
        <v>0</v>
      </c>
      <c r="G11" s="27">
        <f t="shared" si="8"/>
        <v>0</v>
      </c>
      <c r="H11" s="27">
        <f t="shared" si="9"/>
        <v>0</v>
      </c>
      <c r="I11" s="30">
        <f t="shared" si="10"/>
        <v>0</v>
      </c>
      <c r="J11" s="31">
        <f t="shared" si="11"/>
        <v>400</v>
      </c>
      <c r="K11" s="31" t="str">
        <f t="shared" si="12"/>
        <v>#DIV/0!</v>
      </c>
      <c r="L11" s="32"/>
      <c r="M11" s="32"/>
      <c r="N11" s="33" t="str">
        <f t="shared" si="13"/>
        <v>#DIV/0!</v>
      </c>
      <c r="O11" s="31" t="str">
        <f t="shared" si="14"/>
        <v>#DIV/0!</v>
      </c>
      <c r="P11" s="31" t="str">
        <f t="shared" si="15"/>
        <v>#DIV/0!</v>
      </c>
      <c r="Q11" s="32" t="str">
        <f t="shared" si="16"/>
        <v>#DIV/0!</v>
      </c>
      <c r="R11" s="34"/>
      <c r="S11" s="34">
        <f t="shared" si="17"/>
        <v>0</v>
      </c>
      <c r="T11" s="36">
        <f t="shared" ref="T11:U11" si="57">W11*H11</f>
        <v>0</v>
      </c>
      <c r="U11" s="35">
        <f t="shared" si="57"/>
        <v>0</v>
      </c>
      <c r="V11" s="36" t="str">
        <f t="shared" si="19"/>
        <v>#DIV/0!</v>
      </c>
      <c r="W11" s="36">
        <v>300.0</v>
      </c>
      <c r="X11" s="35">
        <f t="shared" si="20"/>
        <v>20000</v>
      </c>
      <c r="Y11" s="23" t="str">
        <f t="shared" si="21"/>
        <v>#DIV/0!</v>
      </c>
      <c r="Z11" s="37" t="str">
        <f t="shared" si="22"/>
        <v>#DIV/0!</v>
      </c>
      <c r="AA11" s="38" t="str">
        <f t="shared" si="23"/>
        <v>#DIV/0!</v>
      </c>
      <c r="AB11" s="7"/>
      <c r="AC11" s="27">
        <f t="shared" ref="AC11:AD11" si="58">B11/4</f>
        <v>0</v>
      </c>
      <c r="AD11" s="27">
        <f t="shared" si="58"/>
        <v>0</v>
      </c>
      <c r="AE11" s="39"/>
      <c r="AF11" s="39"/>
      <c r="AG11" s="27">
        <f t="shared" ref="AG11:AJ11" si="59">F11/4</f>
        <v>0</v>
      </c>
      <c r="AH11" s="27">
        <f t="shared" si="59"/>
        <v>0</v>
      </c>
      <c r="AI11" s="27">
        <f t="shared" si="59"/>
        <v>0</v>
      </c>
      <c r="AJ11" s="40">
        <f t="shared" si="59"/>
        <v>0</v>
      </c>
      <c r="AK11" s="34">
        <f t="shared" ref="AK11:AN11" si="60">R11/4</f>
        <v>0</v>
      </c>
      <c r="AL11" s="34">
        <f t="shared" si="60"/>
        <v>0</v>
      </c>
      <c r="AM11" s="23">
        <f t="shared" si="60"/>
        <v>0</v>
      </c>
      <c r="AN11" s="41">
        <f t="shared" si="60"/>
        <v>0</v>
      </c>
      <c r="AO11" s="36" t="str">
        <f t="shared" si="27"/>
        <v>#DIV/0!</v>
      </c>
      <c r="AP11" s="23">
        <v>2500.0</v>
      </c>
      <c r="AQ11" s="35">
        <f t="shared" si="28"/>
        <v>20000</v>
      </c>
      <c r="AR11" s="23" t="str">
        <f t="shared" si="29"/>
        <v>#DIV/0!</v>
      </c>
      <c r="AS11" s="37" t="str">
        <f t="shared" si="30"/>
        <v>#DIV/0!</v>
      </c>
      <c r="AT11" s="38" t="str">
        <f t="shared" si="31"/>
        <v>#DIV/0!</v>
      </c>
    </row>
    <row r="12">
      <c r="A12" s="29" t="s">
        <v>41</v>
      </c>
      <c r="B12" s="27">
        <f t="shared" si="5"/>
        <v>0</v>
      </c>
      <c r="C12" s="27">
        <f t="shared" si="6"/>
        <v>0</v>
      </c>
      <c r="D12" s="27"/>
      <c r="E12" s="50"/>
      <c r="F12" s="27">
        <f t="shared" si="7"/>
        <v>0</v>
      </c>
      <c r="G12" s="27">
        <f t="shared" si="8"/>
        <v>0</v>
      </c>
      <c r="H12" s="27">
        <f t="shared" si="9"/>
        <v>0</v>
      </c>
      <c r="I12" s="30">
        <f t="shared" si="10"/>
        <v>0</v>
      </c>
      <c r="J12" s="31">
        <f t="shared" si="11"/>
        <v>400</v>
      </c>
      <c r="K12" s="31" t="str">
        <f t="shared" si="12"/>
        <v>#DIV/0!</v>
      </c>
      <c r="L12" s="32"/>
      <c r="M12" s="32"/>
      <c r="N12" s="33" t="str">
        <f t="shared" si="13"/>
        <v>#DIV/0!</v>
      </c>
      <c r="O12" s="31" t="str">
        <f t="shared" si="14"/>
        <v>#DIV/0!</v>
      </c>
      <c r="P12" s="31" t="str">
        <f t="shared" si="15"/>
        <v>#DIV/0!</v>
      </c>
      <c r="Q12" s="32" t="str">
        <f t="shared" si="16"/>
        <v>#DIV/0!</v>
      </c>
      <c r="R12" s="34"/>
      <c r="S12" s="34">
        <f t="shared" si="17"/>
        <v>0</v>
      </c>
      <c r="T12" s="36">
        <f t="shared" ref="T12:U12" si="61">W12*H12</f>
        <v>0</v>
      </c>
      <c r="U12" s="35">
        <f t="shared" si="61"/>
        <v>0</v>
      </c>
      <c r="V12" s="36" t="str">
        <f t="shared" si="19"/>
        <v>#DIV/0!</v>
      </c>
      <c r="W12" s="36">
        <v>300.0</v>
      </c>
      <c r="X12" s="35">
        <f t="shared" si="20"/>
        <v>20000</v>
      </c>
      <c r="Y12" s="23" t="str">
        <f t="shared" si="21"/>
        <v>#DIV/0!</v>
      </c>
      <c r="Z12" s="37" t="str">
        <f t="shared" si="22"/>
        <v>#DIV/0!</v>
      </c>
      <c r="AA12" s="38" t="str">
        <f t="shared" si="23"/>
        <v>#DIV/0!</v>
      </c>
      <c r="AB12" s="7"/>
      <c r="AC12" s="27">
        <f t="shared" ref="AC12:AD12" si="62">B12/4</f>
        <v>0</v>
      </c>
      <c r="AD12" s="27">
        <f t="shared" si="62"/>
        <v>0</v>
      </c>
      <c r="AE12" s="39"/>
      <c r="AF12" s="39"/>
      <c r="AG12" s="27">
        <f t="shared" ref="AG12:AJ12" si="63">F12/4</f>
        <v>0</v>
      </c>
      <c r="AH12" s="27">
        <f t="shared" si="63"/>
        <v>0</v>
      </c>
      <c r="AI12" s="27">
        <f t="shared" si="63"/>
        <v>0</v>
      </c>
      <c r="AJ12" s="40">
        <f t="shared" si="63"/>
        <v>0</v>
      </c>
      <c r="AK12" s="34">
        <f t="shared" ref="AK12:AN12" si="64">R12/4</f>
        <v>0</v>
      </c>
      <c r="AL12" s="34">
        <f t="shared" si="64"/>
        <v>0</v>
      </c>
      <c r="AM12" s="23">
        <f t="shared" si="64"/>
        <v>0</v>
      </c>
      <c r="AN12" s="41">
        <f t="shared" si="64"/>
        <v>0</v>
      </c>
      <c r="AO12" s="36" t="str">
        <f t="shared" si="27"/>
        <v>#DIV/0!</v>
      </c>
      <c r="AP12" s="23">
        <v>2500.0</v>
      </c>
      <c r="AQ12" s="35">
        <f t="shared" si="28"/>
        <v>20000</v>
      </c>
      <c r="AR12" s="23" t="str">
        <f t="shared" si="29"/>
        <v>#DIV/0!</v>
      </c>
      <c r="AS12" s="37" t="str">
        <f t="shared" si="30"/>
        <v>#DIV/0!</v>
      </c>
      <c r="AT12" s="38" t="str">
        <f t="shared" si="31"/>
        <v>#DIV/0!</v>
      </c>
    </row>
    <row r="13">
      <c r="A13" s="29" t="s">
        <v>42</v>
      </c>
      <c r="B13" s="27">
        <f t="shared" si="5"/>
        <v>0</v>
      </c>
      <c r="C13" s="27">
        <f t="shared" si="6"/>
        <v>0</v>
      </c>
      <c r="D13" s="27"/>
      <c r="E13" s="50"/>
      <c r="F13" s="27">
        <f t="shared" si="7"/>
        <v>0</v>
      </c>
      <c r="G13" s="27">
        <f t="shared" si="8"/>
        <v>0</v>
      </c>
      <c r="H13" s="27">
        <f t="shared" si="9"/>
        <v>0</v>
      </c>
      <c r="I13" s="30">
        <f t="shared" si="10"/>
        <v>0</v>
      </c>
      <c r="J13" s="31">
        <f t="shared" si="11"/>
        <v>400</v>
      </c>
      <c r="K13" s="31" t="str">
        <f t="shared" si="12"/>
        <v>#DIV/0!</v>
      </c>
      <c r="L13" s="32"/>
      <c r="M13" s="32"/>
      <c r="N13" s="33" t="str">
        <f t="shared" si="13"/>
        <v>#DIV/0!</v>
      </c>
      <c r="O13" s="31" t="str">
        <f t="shared" si="14"/>
        <v>#DIV/0!</v>
      </c>
      <c r="P13" s="31" t="str">
        <f t="shared" si="15"/>
        <v>#DIV/0!</v>
      </c>
      <c r="Q13" s="32" t="str">
        <f t="shared" si="16"/>
        <v>#DIV/0!</v>
      </c>
      <c r="R13" s="34"/>
      <c r="S13" s="34">
        <f t="shared" si="17"/>
        <v>0</v>
      </c>
      <c r="T13" s="36">
        <f t="shared" ref="T13:U13" si="65">W13*H13</f>
        <v>0</v>
      </c>
      <c r="U13" s="35">
        <f t="shared" si="65"/>
        <v>0</v>
      </c>
      <c r="V13" s="36" t="str">
        <f t="shared" si="19"/>
        <v>#DIV/0!</v>
      </c>
      <c r="W13" s="36">
        <v>300.0</v>
      </c>
      <c r="X13" s="35">
        <f t="shared" si="20"/>
        <v>20000</v>
      </c>
      <c r="Y13" s="23" t="str">
        <f t="shared" si="21"/>
        <v>#DIV/0!</v>
      </c>
      <c r="Z13" s="37" t="str">
        <f t="shared" si="22"/>
        <v>#DIV/0!</v>
      </c>
      <c r="AA13" s="38" t="str">
        <f t="shared" si="23"/>
        <v>#DIV/0!</v>
      </c>
      <c r="AB13" s="7"/>
      <c r="AC13" s="27">
        <f t="shared" ref="AC13:AD13" si="66">B13/4</f>
        <v>0</v>
      </c>
      <c r="AD13" s="27">
        <f t="shared" si="66"/>
        <v>0</v>
      </c>
      <c r="AE13" s="39"/>
      <c r="AF13" s="39"/>
      <c r="AG13" s="27">
        <f t="shared" ref="AG13:AJ13" si="67">F13/4</f>
        <v>0</v>
      </c>
      <c r="AH13" s="27">
        <f t="shared" si="67"/>
        <v>0</v>
      </c>
      <c r="AI13" s="27">
        <f t="shared" si="67"/>
        <v>0</v>
      </c>
      <c r="AJ13" s="40">
        <f t="shared" si="67"/>
        <v>0</v>
      </c>
      <c r="AK13" s="34">
        <f t="shared" ref="AK13:AN13" si="68">R13/4</f>
        <v>0</v>
      </c>
      <c r="AL13" s="34">
        <f t="shared" si="68"/>
        <v>0</v>
      </c>
      <c r="AM13" s="23">
        <f t="shared" si="68"/>
        <v>0</v>
      </c>
      <c r="AN13" s="41">
        <f t="shared" si="68"/>
        <v>0</v>
      </c>
      <c r="AO13" s="36" t="str">
        <f t="shared" si="27"/>
        <v>#DIV/0!</v>
      </c>
      <c r="AP13" s="23">
        <v>2500.0</v>
      </c>
      <c r="AQ13" s="35">
        <f t="shared" si="28"/>
        <v>20000</v>
      </c>
      <c r="AR13" s="23" t="str">
        <f t="shared" si="29"/>
        <v>#DIV/0!</v>
      </c>
      <c r="AS13" s="37" t="str">
        <f t="shared" si="30"/>
        <v>#DIV/0!</v>
      </c>
      <c r="AT13" s="38" t="str">
        <f t="shared" si="31"/>
        <v>#DIV/0!</v>
      </c>
    </row>
    <row r="14">
      <c r="A14" s="29" t="s">
        <v>43</v>
      </c>
      <c r="B14" s="27">
        <f t="shared" si="5"/>
        <v>0</v>
      </c>
      <c r="C14" s="27">
        <f t="shared" si="6"/>
        <v>0</v>
      </c>
      <c r="D14" s="27"/>
      <c r="E14" s="50"/>
      <c r="F14" s="27">
        <f t="shared" si="7"/>
        <v>0</v>
      </c>
      <c r="G14" s="27">
        <f t="shared" si="8"/>
        <v>0</v>
      </c>
      <c r="H14" s="27">
        <f t="shared" si="9"/>
        <v>0</v>
      </c>
      <c r="I14" s="30">
        <f t="shared" si="10"/>
        <v>0</v>
      </c>
      <c r="J14" s="31">
        <f t="shared" si="11"/>
        <v>400</v>
      </c>
      <c r="K14" s="31" t="str">
        <f t="shared" si="12"/>
        <v>#DIV/0!</v>
      </c>
      <c r="L14" s="32"/>
      <c r="M14" s="32"/>
      <c r="N14" s="33" t="str">
        <f t="shared" si="13"/>
        <v>#DIV/0!</v>
      </c>
      <c r="O14" s="31" t="str">
        <f t="shared" si="14"/>
        <v>#DIV/0!</v>
      </c>
      <c r="P14" s="31" t="str">
        <f t="shared" si="15"/>
        <v>#DIV/0!</v>
      </c>
      <c r="Q14" s="32" t="str">
        <f t="shared" si="16"/>
        <v>#DIV/0!</v>
      </c>
      <c r="R14" s="34"/>
      <c r="S14" s="34">
        <f t="shared" si="17"/>
        <v>0</v>
      </c>
      <c r="T14" s="36">
        <f t="shared" ref="T14:U14" si="69">W14*H14</f>
        <v>0</v>
      </c>
      <c r="U14" s="35">
        <f t="shared" si="69"/>
        <v>0</v>
      </c>
      <c r="V14" s="36" t="str">
        <f t="shared" si="19"/>
        <v>#DIV/0!</v>
      </c>
      <c r="W14" s="36">
        <v>300.0</v>
      </c>
      <c r="X14" s="35">
        <f t="shared" si="20"/>
        <v>20000</v>
      </c>
      <c r="Y14" s="23" t="str">
        <f t="shared" si="21"/>
        <v>#DIV/0!</v>
      </c>
      <c r="Z14" s="37" t="str">
        <f t="shared" si="22"/>
        <v>#DIV/0!</v>
      </c>
      <c r="AA14" s="38" t="str">
        <f t="shared" si="23"/>
        <v>#DIV/0!</v>
      </c>
      <c r="AB14" s="7"/>
      <c r="AC14" s="27">
        <f t="shared" ref="AC14:AD14" si="70">B14/4</f>
        <v>0</v>
      </c>
      <c r="AD14" s="27">
        <f t="shared" si="70"/>
        <v>0</v>
      </c>
      <c r="AE14" s="39"/>
      <c r="AF14" s="39"/>
      <c r="AG14" s="27">
        <f t="shared" ref="AG14:AJ14" si="71">F14/4</f>
        <v>0</v>
      </c>
      <c r="AH14" s="27">
        <f t="shared" si="71"/>
        <v>0</v>
      </c>
      <c r="AI14" s="27">
        <f t="shared" si="71"/>
        <v>0</v>
      </c>
      <c r="AJ14" s="40">
        <f t="shared" si="71"/>
        <v>0</v>
      </c>
      <c r="AK14" s="34">
        <f t="shared" ref="AK14:AN14" si="72">R14/4</f>
        <v>0</v>
      </c>
      <c r="AL14" s="34">
        <f t="shared" si="72"/>
        <v>0</v>
      </c>
      <c r="AM14" s="23">
        <f t="shared" si="72"/>
        <v>0</v>
      </c>
      <c r="AN14" s="41">
        <f t="shared" si="72"/>
        <v>0</v>
      </c>
      <c r="AO14" s="36" t="str">
        <f t="shared" si="27"/>
        <v>#DIV/0!</v>
      </c>
      <c r="AP14" s="23">
        <v>2500.0</v>
      </c>
      <c r="AQ14" s="35">
        <f t="shared" si="28"/>
        <v>20000</v>
      </c>
      <c r="AR14" s="23" t="str">
        <f t="shared" si="29"/>
        <v>#DIV/0!</v>
      </c>
      <c r="AS14" s="37" t="str">
        <f t="shared" si="30"/>
        <v>#DIV/0!</v>
      </c>
      <c r="AT14" s="38" t="str">
        <f t="shared" si="31"/>
        <v>#DIV/0!</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73">SUM(B3:B14)</f>
        <v>500</v>
      </c>
      <c r="C16" s="43">
        <f t="shared" si="73"/>
        <v>250</v>
      </c>
      <c r="D16" s="43">
        <f t="shared" si="73"/>
        <v>0</v>
      </c>
      <c r="E16" s="43">
        <f t="shared" si="73"/>
        <v>0</v>
      </c>
      <c r="F16" s="43">
        <f t="shared" si="73"/>
        <v>625</v>
      </c>
      <c r="G16" s="43">
        <f t="shared" si="73"/>
        <v>593.75</v>
      </c>
      <c r="H16" s="43">
        <f t="shared" si="73"/>
        <v>500</v>
      </c>
      <c r="I16" s="43">
        <f t="shared" si="73"/>
        <v>93.75</v>
      </c>
      <c r="J16" s="44"/>
      <c r="K16" s="44"/>
      <c r="L16" s="44"/>
      <c r="M16" s="44"/>
      <c r="N16" s="44"/>
      <c r="O16" s="44"/>
      <c r="P16" s="44"/>
      <c r="Q16" s="44"/>
      <c r="R16" s="48">
        <f t="shared" ref="R16:U16" si="74">SUM(R3:R14)</f>
        <v>200000</v>
      </c>
      <c r="S16" s="49">
        <f t="shared" si="74"/>
        <v>2025000</v>
      </c>
      <c r="T16" s="49">
        <f t="shared" si="74"/>
        <v>150000</v>
      </c>
      <c r="U16" s="49">
        <f t="shared" si="74"/>
        <v>1875000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1"/>
    <col customWidth="1" hidden="1" min="5" max="5" width="12.57" outlineLevel="1"/>
    <col customWidth="1" hidden="1" min="6" max="6" width="14.0" outlineLevel="1"/>
    <col customWidth="1" hidden="1" min="7" max="7" width="13.71" outlineLevel="1"/>
    <col customWidth="1" hidden="1" min="8" max="9" width="6.71" outlineLevel="2"/>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51</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6</v>
      </c>
      <c r="C2" s="9" t="s">
        <v>7</v>
      </c>
      <c r="D2" s="10" t="s">
        <v>8</v>
      </c>
      <c r="E2" s="11" t="s">
        <v>9</v>
      </c>
      <c r="F2" s="12"/>
      <c r="G2" s="13" t="s">
        <v>11</v>
      </c>
      <c r="H2" s="13" t="s">
        <v>12</v>
      </c>
      <c r="I2" s="14" t="s">
        <v>13</v>
      </c>
      <c r="J2" s="15" t="s">
        <v>14</v>
      </c>
      <c r="K2" s="16" t="s">
        <v>15</v>
      </c>
      <c r="L2" s="17" t="s">
        <v>16</v>
      </c>
      <c r="M2" s="17" t="s">
        <v>17</v>
      </c>
      <c r="N2" s="16" t="s">
        <v>18</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27" t="s">
        <v>6</v>
      </c>
      <c r="AD2" s="9" t="s">
        <v>7</v>
      </c>
      <c r="AE2" s="10" t="s">
        <v>8</v>
      </c>
      <c r="AF2" s="11" t="s">
        <v>9</v>
      </c>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4">R3/J3</f>
        <v>500</v>
      </c>
      <c r="C3" s="27">
        <f t="shared" ref="C3:C14" si="5">B3*0.25</f>
        <v>125</v>
      </c>
      <c r="D3" s="30">
        <f t="shared" ref="D3:D14" si="6">B3*0.1</f>
        <v>50</v>
      </c>
      <c r="E3" s="30">
        <f t="shared" ref="E3:E14" si="7">D3*0.7</f>
        <v>35</v>
      </c>
      <c r="F3" s="27"/>
      <c r="G3" s="27">
        <f t="shared" ref="G3:G14" si="8">H3+I3</f>
        <v>7</v>
      </c>
      <c r="H3" s="27">
        <f t="shared" ref="H3:H14" si="9">F3*0.08</f>
        <v>0</v>
      </c>
      <c r="I3" s="30">
        <f t="shared" ref="I3:I14" si="10">E3*0.2</f>
        <v>7</v>
      </c>
      <c r="J3" s="31">
        <f t="shared" ref="J3:J14" si="11">20</f>
        <v>20</v>
      </c>
      <c r="K3" s="31">
        <f t="shared" ref="K3:K14" si="12">R3/C3</f>
        <v>80</v>
      </c>
      <c r="L3" s="32">
        <f t="shared" ref="L3:L14" si="13">R3/D3</f>
        <v>200</v>
      </c>
      <c r="M3" s="32">
        <f t="shared" ref="M3:M14" si="14">R3/E3</f>
        <v>285.7142857</v>
      </c>
      <c r="N3" s="33" t="str">
        <f t="shared" ref="N3:N14" si="15">R3/F3</f>
        <v>#DIV/0!</v>
      </c>
      <c r="O3" s="31">
        <f t="shared" ref="O3:O14" si="16">R3/G3</f>
        <v>1428.571429</v>
      </c>
      <c r="P3" s="31" t="str">
        <f t="shared" ref="P3:P14" si="17">R3/H3</f>
        <v>#DIV/0!</v>
      </c>
      <c r="Q3" s="32">
        <f t="shared" ref="Q3:Q14" si="18">R3/I3</f>
        <v>1428.571429</v>
      </c>
      <c r="R3" s="34">
        <f>10000</f>
        <v>10000</v>
      </c>
      <c r="S3" s="34">
        <f t="shared" ref="S3:S14" si="19">T3+U3</f>
        <v>140000</v>
      </c>
      <c r="T3" s="23">
        <f t="shared" ref="T3:U3" si="1">W3*H3</f>
        <v>0</v>
      </c>
      <c r="U3" s="35">
        <f t="shared" si="1"/>
        <v>140000</v>
      </c>
      <c r="V3" s="36">
        <f t="shared" ref="V3:V14" si="21">S3/G3</f>
        <v>20000</v>
      </c>
      <c r="W3" s="23">
        <v>2500.0</v>
      </c>
      <c r="X3" s="35">
        <f t="shared" ref="X3:X14" si="22">20000</f>
        <v>20000</v>
      </c>
      <c r="Y3" s="23">
        <f t="shared" ref="Y3:Y14" si="23">S3/R3</f>
        <v>14</v>
      </c>
      <c r="Z3" s="37">
        <f t="shared" ref="Z3:Z14" si="24">T3/R3</f>
        <v>0</v>
      </c>
      <c r="AA3" s="38">
        <f t="shared" ref="AA3:AA14" si="25">U3/R3</f>
        <v>14</v>
      </c>
      <c r="AB3" s="7"/>
      <c r="AC3" s="27">
        <f t="shared" ref="AC3:AJ3" si="2">B3/4</f>
        <v>125</v>
      </c>
      <c r="AD3" s="27">
        <f t="shared" si="2"/>
        <v>31.25</v>
      </c>
      <c r="AE3" s="39">
        <f t="shared" si="2"/>
        <v>12.5</v>
      </c>
      <c r="AF3" s="39">
        <f t="shared" si="2"/>
        <v>8.75</v>
      </c>
      <c r="AG3" s="27">
        <f t="shared" si="2"/>
        <v>0</v>
      </c>
      <c r="AH3" s="27">
        <f t="shared" si="2"/>
        <v>1.75</v>
      </c>
      <c r="AI3" s="27">
        <f t="shared" si="2"/>
        <v>0</v>
      </c>
      <c r="AJ3" s="40">
        <f t="shared" si="2"/>
        <v>1.75</v>
      </c>
      <c r="AK3" s="34">
        <f t="shared" ref="AK3:AN3" si="3">R3/4</f>
        <v>2500</v>
      </c>
      <c r="AL3" s="34">
        <f t="shared" si="3"/>
        <v>35000</v>
      </c>
      <c r="AM3" s="23">
        <f t="shared" si="3"/>
        <v>0</v>
      </c>
      <c r="AN3" s="41">
        <f t="shared" si="3"/>
        <v>35000</v>
      </c>
      <c r="AO3" s="36">
        <f t="shared" ref="AO3:AO14" si="28">AL3/AH3</f>
        <v>20000</v>
      </c>
      <c r="AP3" s="23">
        <v>2500.0</v>
      </c>
      <c r="AQ3" s="35">
        <f t="shared" ref="AQ3:AQ14" si="29">20000</f>
        <v>20000</v>
      </c>
      <c r="AR3" s="23">
        <f t="shared" ref="AR3:AR14" si="30">AL3/AK3</f>
        <v>14</v>
      </c>
      <c r="AS3" s="37">
        <f t="shared" ref="AS3:AS14" si="31">AM3/AK3</f>
        <v>0</v>
      </c>
      <c r="AT3" s="38">
        <f t="shared" ref="AT3:AT14" si="32">AN3/AK3</f>
        <v>14</v>
      </c>
    </row>
    <row r="4">
      <c r="A4" s="29" t="s">
        <v>33</v>
      </c>
      <c r="B4" s="27">
        <f t="shared" si="4"/>
        <v>1000</v>
      </c>
      <c r="C4" s="27">
        <f t="shared" si="5"/>
        <v>250</v>
      </c>
      <c r="D4" s="30">
        <f t="shared" si="6"/>
        <v>100</v>
      </c>
      <c r="E4" s="30">
        <f t="shared" si="7"/>
        <v>70</v>
      </c>
      <c r="F4" s="27"/>
      <c r="G4" s="27">
        <f t="shared" si="8"/>
        <v>14</v>
      </c>
      <c r="H4" s="27">
        <f t="shared" si="9"/>
        <v>0</v>
      </c>
      <c r="I4" s="30">
        <f t="shared" si="10"/>
        <v>14</v>
      </c>
      <c r="J4" s="31">
        <f t="shared" si="11"/>
        <v>20</v>
      </c>
      <c r="K4" s="31">
        <f t="shared" si="12"/>
        <v>80</v>
      </c>
      <c r="L4" s="32">
        <f t="shared" si="13"/>
        <v>200</v>
      </c>
      <c r="M4" s="32">
        <f t="shared" si="14"/>
        <v>285.7142857</v>
      </c>
      <c r="N4" s="33" t="str">
        <f t="shared" si="15"/>
        <v>#DIV/0!</v>
      </c>
      <c r="O4" s="31">
        <f t="shared" si="16"/>
        <v>1428.571429</v>
      </c>
      <c r="P4" s="31" t="str">
        <f t="shared" si="17"/>
        <v>#DIV/0!</v>
      </c>
      <c r="Q4" s="32">
        <f t="shared" si="18"/>
        <v>1428.571429</v>
      </c>
      <c r="R4" s="34">
        <f>20000</f>
        <v>20000</v>
      </c>
      <c r="S4" s="34">
        <f t="shared" si="19"/>
        <v>280000</v>
      </c>
      <c r="T4" s="23">
        <f t="shared" ref="T4:U4" si="20">W4*H4</f>
        <v>0</v>
      </c>
      <c r="U4" s="35">
        <f t="shared" si="20"/>
        <v>280000</v>
      </c>
      <c r="V4" s="36">
        <f t="shared" si="21"/>
        <v>20000</v>
      </c>
      <c r="W4" s="23">
        <v>2500.0</v>
      </c>
      <c r="X4" s="35">
        <f t="shared" si="22"/>
        <v>20000</v>
      </c>
      <c r="Y4" s="23">
        <f t="shared" si="23"/>
        <v>14</v>
      </c>
      <c r="Z4" s="37">
        <f t="shared" si="24"/>
        <v>0</v>
      </c>
      <c r="AA4" s="38">
        <f t="shared" si="25"/>
        <v>14</v>
      </c>
      <c r="AB4" s="7"/>
      <c r="AC4" s="27">
        <f t="shared" ref="AC4:AJ4" si="26">B4/4</f>
        <v>250</v>
      </c>
      <c r="AD4" s="27">
        <f t="shared" si="26"/>
        <v>62.5</v>
      </c>
      <c r="AE4" s="39">
        <f t="shared" si="26"/>
        <v>25</v>
      </c>
      <c r="AF4" s="39">
        <f t="shared" si="26"/>
        <v>17.5</v>
      </c>
      <c r="AG4" s="27">
        <f t="shared" si="26"/>
        <v>0</v>
      </c>
      <c r="AH4" s="27">
        <f t="shared" si="26"/>
        <v>3.5</v>
      </c>
      <c r="AI4" s="27">
        <f t="shared" si="26"/>
        <v>0</v>
      </c>
      <c r="AJ4" s="40">
        <f t="shared" si="26"/>
        <v>3.5</v>
      </c>
      <c r="AK4" s="34">
        <f t="shared" ref="AK4:AN4" si="27">R4/4</f>
        <v>5000</v>
      </c>
      <c r="AL4" s="34">
        <f t="shared" si="27"/>
        <v>70000</v>
      </c>
      <c r="AM4" s="23">
        <f t="shared" si="27"/>
        <v>0</v>
      </c>
      <c r="AN4" s="41">
        <f t="shared" si="27"/>
        <v>70000</v>
      </c>
      <c r="AO4" s="36">
        <f t="shared" si="28"/>
        <v>20000</v>
      </c>
      <c r="AP4" s="23">
        <v>2500.0</v>
      </c>
      <c r="AQ4" s="35">
        <f t="shared" si="29"/>
        <v>20000</v>
      </c>
      <c r="AR4" s="23">
        <f t="shared" si="30"/>
        <v>14</v>
      </c>
      <c r="AS4" s="37">
        <f t="shared" si="31"/>
        <v>0</v>
      </c>
      <c r="AT4" s="38">
        <f t="shared" si="32"/>
        <v>14</v>
      </c>
    </row>
    <row r="5">
      <c r="A5" s="29" t="s">
        <v>34</v>
      </c>
      <c r="B5" s="27">
        <f t="shared" si="4"/>
        <v>1500</v>
      </c>
      <c r="C5" s="27">
        <f t="shared" si="5"/>
        <v>375</v>
      </c>
      <c r="D5" s="30">
        <f t="shared" si="6"/>
        <v>150</v>
      </c>
      <c r="E5" s="30">
        <f t="shared" si="7"/>
        <v>105</v>
      </c>
      <c r="F5" s="27"/>
      <c r="G5" s="27">
        <f t="shared" si="8"/>
        <v>21</v>
      </c>
      <c r="H5" s="27">
        <f t="shared" si="9"/>
        <v>0</v>
      </c>
      <c r="I5" s="30">
        <f t="shared" si="10"/>
        <v>21</v>
      </c>
      <c r="J5" s="31">
        <f t="shared" si="11"/>
        <v>20</v>
      </c>
      <c r="K5" s="31">
        <f t="shared" si="12"/>
        <v>80</v>
      </c>
      <c r="L5" s="32">
        <f t="shared" si="13"/>
        <v>200</v>
      </c>
      <c r="M5" s="32">
        <f t="shared" si="14"/>
        <v>285.7142857</v>
      </c>
      <c r="N5" s="33" t="str">
        <f t="shared" si="15"/>
        <v>#DIV/0!</v>
      </c>
      <c r="O5" s="31">
        <f t="shared" si="16"/>
        <v>1428.571429</v>
      </c>
      <c r="P5" s="31" t="str">
        <f t="shared" si="17"/>
        <v>#DIV/0!</v>
      </c>
      <c r="Q5" s="32">
        <f t="shared" si="18"/>
        <v>1428.571429</v>
      </c>
      <c r="R5" s="34">
        <f>30000</f>
        <v>30000</v>
      </c>
      <c r="S5" s="34">
        <f t="shared" si="19"/>
        <v>420000</v>
      </c>
      <c r="T5" s="23">
        <f t="shared" ref="T5:U5" si="33">W5*H5</f>
        <v>0</v>
      </c>
      <c r="U5" s="35">
        <f t="shared" si="33"/>
        <v>420000</v>
      </c>
      <c r="V5" s="36">
        <f t="shared" si="21"/>
        <v>20000</v>
      </c>
      <c r="W5" s="23">
        <v>2500.0</v>
      </c>
      <c r="X5" s="35">
        <f t="shared" si="22"/>
        <v>20000</v>
      </c>
      <c r="Y5" s="23">
        <f t="shared" si="23"/>
        <v>14</v>
      </c>
      <c r="Z5" s="37">
        <f t="shared" si="24"/>
        <v>0</v>
      </c>
      <c r="AA5" s="38">
        <f t="shared" si="25"/>
        <v>14</v>
      </c>
      <c r="AB5" s="7"/>
      <c r="AC5" s="27">
        <f t="shared" ref="AC5:AJ5" si="34">B5/4</f>
        <v>375</v>
      </c>
      <c r="AD5" s="27">
        <f t="shared" si="34"/>
        <v>93.75</v>
      </c>
      <c r="AE5" s="39">
        <f t="shared" si="34"/>
        <v>37.5</v>
      </c>
      <c r="AF5" s="39">
        <f t="shared" si="34"/>
        <v>26.25</v>
      </c>
      <c r="AG5" s="27">
        <f t="shared" si="34"/>
        <v>0</v>
      </c>
      <c r="AH5" s="27">
        <f t="shared" si="34"/>
        <v>5.25</v>
      </c>
      <c r="AI5" s="27">
        <f t="shared" si="34"/>
        <v>0</v>
      </c>
      <c r="AJ5" s="40">
        <f t="shared" si="34"/>
        <v>5.25</v>
      </c>
      <c r="AK5" s="34">
        <f t="shared" ref="AK5:AN5" si="35">R5/4</f>
        <v>7500</v>
      </c>
      <c r="AL5" s="34">
        <f t="shared" si="35"/>
        <v>105000</v>
      </c>
      <c r="AM5" s="23">
        <f t="shared" si="35"/>
        <v>0</v>
      </c>
      <c r="AN5" s="41">
        <f t="shared" si="35"/>
        <v>105000</v>
      </c>
      <c r="AO5" s="36">
        <f t="shared" si="28"/>
        <v>20000</v>
      </c>
      <c r="AP5" s="23">
        <v>2500.0</v>
      </c>
      <c r="AQ5" s="35">
        <f t="shared" si="29"/>
        <v>20000</v>
      </c>
      <c r="AR5" s="23">
        <f t="shared" si="30"/>
        <v>14</v>
      </c>
      <c r="AS5" s="37">
        <f t="shared" si="31"/>
        <v>0</v>
      </c>
      <c r="AT5" s="38">
        <f t="shared" si="32"/>
        <v>14</v>
      </c>
    </row>
    <row r="6">
      <c r="A6" s="29" t="s">
        <v>35</v>
      </c>
      <c r="B6" s="27">
        <f t="shared" si="4"/>
        <v>2500</v>
      </c>
      <c r="C6" s="27">
        <f t="shared" si="5"/>
        <v>625</v>
      </c>
      <c r="D6" s="30">
        <f t="shared" si="6"/>
        <v>250</v>
      </c>
      <c r="E6" s="30">
        <f t="shared" si="7"/>
        <v>175</v>
      </c>
      <c r="F6" s="27"/>
      <c r="G6" s="27">
        <f t="shared" si="8"/>
        <v>35</v>
      </c>
      <c r="H6" s="27">
        <f t="shared" si="9"/>
        <v>0</v>
      </c>
      <c r="I6" s="30">
        <f t="shared" si="10"/>
        <v>35</v>
      </c>
      <c r="J6" s="31">
        <f t="shared" si="11"/>
        <v>20</v>
      </c>
      <c r="K6" s="31">
        <f t="shared" si="12"/>
        <v>80</v>
      </c>
      <c r="L6" s="32">
        <f t="shared" si="13"/>
        <v>200</v>
      </c>
      <c r="M6" s="32">
        <f t="shared" si="14"/>
        <v>285.7142857</v>
      </c>
      <c r="N6" s="33" t="str">
        <f t="shared" si="15"/>
        <v>#DIV/0!</v>
      </c>
      <c r="O6" s="31">
        <f t="shared" si="16"/>
        <v>1428.571429</v>
      </c>
      <c r="P6" s="31" t="str">
        <f t="shared" si="17"/>
        <v>#DIV/0!</v>
      </c>
      <c r="Q6" s="32">
        <f t="shared" si="18"/>
        <v>1428.571429</v>
      </c>
      <c r="R6" s="34">
        <f t="shared" ref="R6:R7" si="39">50000</f>
        <v>50000</v>
      </c>
      <c r="S6" s="34">
        <f t="shared" si="19"/>
        <v>700000</v>
      </c>
      <c r="T6" s="23">
        <f t="shared" ref="T6:U6" si="36">W6*H6</f>
        <v>0</v>
      </c>
      <c r="U6" s="35">
        <f t="shared" si="36"/>
        <v>700000</v>
      </c>
      <c r="V6" s="36">
        <f t="shared" si="21"/>
        <v>20000</v>
      </c>
      <c r="W6" s="23">
        <v>2500.0</v>
      </c>
      <c r="X6" s="35">
        <f t="shared" si="22"/>
        <v>20000</v>
      </c>
      <c r="Y6" s="23">
        <f t="shared" si="23"/>
        <v>14</v>
      </c>
      <c r="Z6" s="37">
        <f t="shared" si="24"/>
        <v>0</v>
      </c>
      <c r="AA6" s="38">
        <f t="shared" si="25"/>
        <v>14</v>
      </c>
      <c r="AB6" s="7"/>
      <c r="AC6" s="27">
        <f t="shared" ref="AC6:AJ6" si="37">B6/4</f>
        <v>625</v>
      </c>
      <c r="AD6" s="27">
        <f t="shared" si="37"/>
        <v>156.25</v>
      </c>
      <c r="AE6" s="39">
        <f t="shared" si="37"/>
        <v>62.5</v>
      </c>
      <c r="AF6" s="39">
        <f t="shared" si="37"/>
        <v>43.75</v>
      </c>
      <c r="AG6" s="27">
        <f t="shared" si="37"/>
        <v>0</v>
      </c>
      <c r="AH6" s="27">
        <f t="shared" si="37"/>
        <v>8.75</v>
      </c>
      <c r="AI6" s="27">
        <f t="shared" si="37"/>
        <v>0</v>
      </c>
      <c r="AJ6" s="40">
        <f t="shared" si="37"/>
        <v>8.75</v>
      </c>
      <c r="AK6" s="34">
        <f t="shared" ref="AK6:AN6" si="38">R6/4</f>
        <v>12500</v>
      </c>
      <c r="AL6" s="34">
        <f t="shared" si="38"/>
        <v>175000</v>
      </c>
      <c r="AM6" s="23">
        <f t="shared" si="38"/>
        <v>0</v>
      </c>
      <c r="AN6" s="41">
        <f t="shared" si="38"/>
        <v>175000</v>
      </c>
      <c r="AO6" s="36">
        <f t="shared" si="28"/>
        <v>20000</v>
      </c>
      <c r="AP6" s="23">
        <v>2500.0</v>
      </c>
      <c r="AQ6" s="35">
        <f t="shared" si="29"/>
        <v>20000</v>
      </c>
      <c r="AR6" s="23">
        <f t="shared" si="30"/>
        <v>14</v>
      </c>
      <c r="AS6" s="37">
        <f t="shared" si="31"/>
        <v>0</v>
      </c>
      <c r="AT6" s="38">
        <f t="shared" si="32"/>
        <v>14</v>
      </c>
    </row>
    <row r="7">
      <c r="A7" s="29" t="s">
        <v>36</v>
      </c>
      <c r="B7" s="27">
        <f t="shared" si="4"/>
        <v>2500</v>
      </c>
      <c r="C7" s="27">
        <f t="shared" si="5"/>
        <v>625</v>
      </c>
      <c r="D7" s="30">
        <f t="shared" si="6"/>
        <v>250</v>
      </c>
      <c r="E7" s="30">
        <f t="shared" si="7"/>
        <v>175</v>
      </c>
      <c r="F7" s="27"/>
      <c r="G7" s="27">
        <f t="shared" si="8"/>
        <v>35</v>
      </c>
      <c r="H7" s="27">
        <f t="shared" si="9"/>
        <v>0</v>
      </c>
      <c r="I7" s="30">
        <f t="shared" si="10"/>
        <v>35</v>
      </c>
      <c r="J7" s="31">
        <f t="shared" si="11"/>
        <v>20</v>
      </c>
      <c r="K7" s="31">
        <f t="shared" si="12"/>
        <v>80</v>
      </c>
      <c r="L7" s="32">
        <f t="shared" si="13"/>
        <v>200</v>
      </c>
      <c r="M7" s="32">
        <f t="shared" si="14"/>
        <v>285.7142857</v>
      </c>
      <c r="N7" s="33" t="str">
        <f t="shared" si="15"/>
        <v>#DIV/0!</v>
      </c>
      <c r="O7" s="31">
        <f t="shared" si="16"/>
        <v>1428.571429</v>
      </c>
      <c r="P7" s="31" t="str">
        <f t="shared" si="17"/>
        <v>#DIV/0!</v>
      </c>
      <c r="Q7" s="32">
        <f t="shared" si="18"/>
        <v>1428.571429</v>
      </c>
      <c r="R7" s="34">
        <f t="shared" si="39"/>
        <v>50000</v>
      </c>
      <c r="S7" s="34">
        <f t="shared" si="19"/>
        <v>700000</v>
      </c>
      <c r="T7" s="23">
        <f t="shared" ref="T7:U7" si="40">W7*H7</f>
        <v>0</v>
      </c>
      <c r="U7" s="35">
        <f t="shared" si="40"/>
        <v>700000</v>
      </c>
      <c r="V7" s="36">
        <f t="shared" si="21"/>
        <v>20000</v>
      </c>
      <c r="W7" s="23">
        <v>2500.0</v>
      </c>
      <c r="X7" s="35">
        <f t="shared" si="22"/>
        <v>20000</v>
      </c>
      <c r="Y7" s="23">
        <f t="shared" si="23"/>
        <v>14</v>
      </c>
      <c r="Z7" s="37">
        <f t="shared" si="24"/>
        <v>0</v>
      </c>
      <c r="AA7" s="38">
        <f t="shared" si="25"/>
        <v>14</v>
      </c>
      <c r="AB7" s="7"/>
      <c r="AC7" s="27">
        <f t="shared" ref="AC7:AJ7" si="41">B7/4</f>
        <v>625</v>
      </c>
      <c r="AD7" s="27">
        <f t="shared" si="41"/>
        <v>156.25</v>
      </c>
      <c r="AE7" s="39">
        <f t="shared" si="41"/>
        <v>62.5</v>
      </c>
      <c r="AF7" s="39">
        <f t="shared" si="41"/>
        <v>43.75</v>
      </c>
      <c r="AG7" s="27">
        <f t="shared" si="41"/>
        <v>0</v>
      </c>
      <c r="AH7" s="27">
        <f t="shared" si="41"/>
        <v>8.75</v>
      </c>
      <c r="AI7" s="27">
        <f t="shared" si="41"/>
        <v>0</v>
      </c>
      <c r="AJ7" s="40">
        <f t="shared" si="41"/>
        <v>8.75</v>
      </c>
      <c r="AK7" s="34">
        <f t="shared" ref="AK7:AN7" si="42">R7/4</f>
        <v>12500</v>
      </c>
      <c r="AL7" s="34">
        <f t="shared" si="42"/>
        <v>175000</v>
      </c>
      <c r="AM7" s="23">
        <f t="shared" si="42"/>
        <v>0</v>
      </c>
      <c r="AN7" s="41">
        <f t="shared" si="42"/>
        <v>175000</v>
      </c>
      <c r="AO7" s="36">
        <f t="shared" si="28"/>
        <v>20000</v>
      </c>
      <c r="AP7" s="23">
        <v>2500.0</v>
      </c>
      <c r="AQ7" s="35">
        <f t="shared" si="29"/>
        <v>20000</v>
      </c>
      <c r="AR7" s="23">
        <f t="shared" si="30"/>
        <v>14</v>
      </c>
      <c r="AS7" s="37">
        <f t="shared" si="31"/>
        <v>0</v>
      </c>
      <c r="AT7" s="38">
        <f t="shared" si="32"/>
        <v>14</v>
      </c>
    </row>
    <row r="8">
      <c r="A8" s="29" t="s">
        <v>37</v>
      </c>
      <c r="B8" s="27">
        <f t="shared" si="4"/>
        <v>500</v>
      </c>
      <c r="C8" s="27">
        <f t="shared" si="5"/>
        <v>125</v>
      </c>
      <c r="D8" s="30">
        <f t="shared" si="6"/>
        <v>50</v>
      </c>
      <c r="E8" s="30">
        <f t="shared" si="7"/>
        <v>35</v>
      </c>
      <c r="F8" s="27"/>
      <c r="G8" s="27">
        <f t="shared" si="8"/>
        <v>7</v>
      </c>
      <c r="H8" s="27">
        <f t="shared" si="9"/>
        <v>0</v>
      </c>
      <c r="I8" s="30">
        <f t="shared" si="10"/>
        <v>7</v>
      </c>
      <c r="J8" s="31">
        <f t="shared" si="11"/>
        <v>20</v>
      </c>
      <c r="K8" s="31">
        <f t="shared" si="12"/>
        <v>80</v>
      </c>
      <c r="L8" s="32">
        <f t="shared" si="13"/>
        <v>200</v>
      </c>
      <c r="M8" s="32">
        <f t="shared" si="14"/>
        <v>285.7142857</v>
      </c>
      <c r="N8" s="33" t="str">
        <f t="shared" si="15"/>
        <v>#DIV/0!</v>
      </c>
      <c r="O8" s="31">
        <f t="shared" si="16"/>
        <v>1428.571429</v>
      </c>
      <c r="P8" s="31" t="str">
        <f t="shared" si="17"/>
        <v>#DIV/0!</v>
      </c>
      <c r="Q8" s="32">
        <f t="shared" si="18"/>
        <v>1428.571429</v>
      </c>
      <c r="R8" s="34">
        <f>10000</f>
        <v>10000</v>
      </c>
      <c r="S8" s="34">
        <f t="shared" si="19"/>
        <v>140000</v>
      </c>
      <c r="T8" s="23">
        <f t="shared" ref="T8:U8" si="43">W8*H8</f>
        <v>0</v>
      </c>
      <c r="U8" s="35">
        <f t="shared" si="43"/>
        <v>140000</v>
      </c>
      <c r="V8" s="36">
        <f t="shared" si="21"/>
        <v>20000</v>
      </c>
      <c r="W8" s="23">
        <v>2500.0</v>
      </c>
      <c r="X8" s="35">
        <f t="shared" si="22"/>
        <v>20000</v>
      </c>
      <c r="Y8" s="23">
        <f t="shared" si="23"/>
        <v>14</v>
      </c>
      <c r="Z8" s="37">
        <f t="shared" si="24"/>
        <v>0</v>
      </c>
      <c r="AA8" s="38">
        <f t="shared" si="25"/>
        <v>14</v>
      </c>
      <c r="AB8" s="7"/>
      <c r="AC8" s="27">
        <f t="shared" ref="AC8:AJ8" si="44">B8/4</f>
        <v>125</v>
      </c>
      <c r="AD8" s="27">
        <f t="shared" si="44"/>
        <v>31.25</v>
      </c>
      <c r="AE8" s="39">
        <f t="shared" si="44"/>
        <v>12.5</v>
      </c>
      <c r="AF8" s="39">
        <f t="shared" si="44"/>
        <v>8.75</v>
      </c>
      <c r="AG8" s="27">
        <f t="shared" si="44"/>
        <v>0</v>
      </c>
      <c r="AH8" s="27">
        <f t="shared" si="44"/>
        <v>1.75</v>
      </c>
      <c r="AI8" s="27">
        <f t="shared" si="44"/>
        <v>0</v>
      </c>
      <c r="AJ8" s="40">
        <f t="shared" si="44"/>
        <v>1.75</v>
      </c>
      <c r="AK8" s="34">
        <f t="shared" ref="AK8:AN8" si="45">R8/4</f>
        <v>2500</v>
      </c>
      <c r="AL8" s="34">
        <f t="shared" si="45"/>
        <v>35000</v>
      </c>
      <c r="AM8" s="23">
        <f t="shared" si="45"/>
        <v>0</v>
      </c>
      <c r="AN8" s="41">
        <f t="shared" si="45"/>
        <v>35000</v>
      </c>
      <c r="AO8" s="36">
        <f t="shared" si="28"/>
        <v>20000</v>
      </c>
      <c r="AP8" s="23">
        <v>2500.0</v>
      </c>
      <c r="AQ8" s="35">
        <f t="shared" si="29"/>
        <v>20000</v>
      </c>
      <c r="AR8" s="23">
        <f t="shared" si="30"/>
        <v>14</v>
      </c>
      <c r="AS8" s="37">
        <f t="shared" si="31"/>
        <v>0</v>
      </c>
      <c r="AT8" s="38">
        <f t="shared" si="32"/>
        <v>14</v>
      </c>
    </row>
    <row r="9">
      <c r="A9" s="29" t="s">
        <v>38</v>
      </c>
      <c r="B9" s="27">
        <f t="shared" si="4"/>
        <v>1500</v>
      </c>
      <c r="C9" s="27">
        <f t="shared" si="5"/>
        <v>375</v>
      </c>
      <c r="D9" s="30">
        <f t="shared" si="6"/>
        <v>150</v>
      </c>
      <c r="E9" s="30">
        <f t="shared" si="7"/>
        <v>105</v>
      </c>
      <c r="F9" s="27"/>
      <c r="G9" s="27">
        <f t="shared" si="8"/>
        <v>21</v>
      </c>
      <c r="H9" s="27">
        <f t="shared" si="9"/>
        <v>0</v>
      </c>
      <c r="I9" s="30">
        <f t="shared" si="10"/>
        <v>21</v>
      </c>
      <c r="J9" s="31">
        <f t="shared" si="11"/>
        <v>20</v>
      </c>
      <c r="K9" s="31">
        <f t="shared" si="12"/>
        <v>80</v>
      </c>
      <c r="L9" s="32">
        <f t="shared" si="13"/>
        <v>200</v>
      </c>
      <c r="M9" s="32">
        <f t="shared" si="14"/>
        <v>285.7142857</v>
      </c>
      <c r="N9" s="33" t="str">
        <f t="shared" si="15"/>
        <v>#DIV/0!</v>
      </c>
      <c r="O9" s="31">
        <f t="shared" si="16"/>
        <v>1428.571429</v>
      </c>
      <c r="P9" s="31" t="str">
        <f t="shared" si="17"/>
        <v>#DIV/0!</v>
      </c>
      <c r="Q9" s="32">
        <f t="shared" si="18"/>
        <v>1428.571429</v>
      </c>
      <c r="R9" s="34">
        <v>30000.0</v>
      </c>
      <c r="S9" s="34">
        <f t="shared" si="19"/>
        <v>420000</v>
      </c>
      <c r="T9" s="23">
        <f t="shared" ref="T9:U9" si="46">W9*H9</f>
        <v>0</v>
      </c>
      <c r="U9" s="35">
        <f t="shared" si="46"/>
        <v>420000</v>
      </c>
      <c r="V9" s="36">
        <f t="shared" si="21"/>
        <v>20000</v>
      </c>
      <c r="W9" s="23">
        <v>2500.0</v>
      </c>
      <c r="X9" s="35">
        <f t="shared" si="22"/>
        <v>20000</v>
      </c>
      <c r="Y9" s="23">
        <f t="shared" si="23"/>
        <v>14</v>
      </c>
      <c r="Z9" s="37">
        <f t="shared" si="24"/>
        <v>0</v>
      </c>
      <c r="AA9" s="38">
        <f t="shared" si="25"/>
        <v>14</v>
      </c>
      <c r="AB9" s="7"/>
      <c r="AC9" s="27">
        <f t="shared" ref="AC9:AJ9" si="47">B9/4</f>
        <v>375</v>
      </c>
      <c r="AD9" s="27">
        <f t="shared" si="47"/>
        <v>93.75</v>
      </c>
      <c r="AE9" s="39">
        <f t="shared" si="47"/>
        <v>37.5</v>
      </c>
      <c r="AF9" s="39">
        <f t="shared" si="47"/>
        <v>26.25</v>
      </c>
      <c r="AG9" s="27">
        <f t="shared" si="47"/>
        <v>0</v>
      </c>
      <c r="AH9" s="27">
        <f t="shared" si="47"/>
        <v>5.25</v>
      </c>
      <c r="AI9" s="27">
        <f t="shared" si="47"/>
        <v>0</v>
      </c>
      <c r="AJ9" s="40">
        <f t="shared" si="47"/>
        <v>5.25</v>
      </c>
      <c r="AK9" s="34">
        <f t="shared" ref="AK9:AN9" si="48">R9/4</f>
        <v>7500</v>
      </c>
      <c r="AL9" s="34">
        <f t="shared" si="48"/>
        <v>105000</v>
      </c>
      <c r="AM9" s="23">
        <f t="shared" si="48"/>
        <v>0</v>
      </c>
      <c r="AN9" s="41">
        <f t="shared" si="48"/>
        <v>105000</v>
      </c>
      <c r="AO9" s="36">
        <f t="shared" si="28"/>
        <v>20000</v>
      </c>
      <c r="AP9" s="23">
        <v>2500.0</v>
      </c>
      <c r="AQ9" s="35">
        <f t="shared" si="29"/>
        <v>20000</v>
      </c>
      <c r="AR9" s="23">
        <f t="shared" si="30"/>
        <v>14</v>
      </c>
      <c r="AS9" s="37">
        <f t="shared" si="31"/>
        <v>0</v>
      </c>
      <c r="AT9" s="38">
        <f t="shared" si="32"/>
        <v>14</v>
      </c>
    </row>
    <row r="10">
      <c r="A10" s="29" t="s">
        <v>39</v>
      </c>
      <c r="B10" s="27">
        <f t="shared" si="4"/>
        <v>1500</v>
      </c>
      <c r="C10" s="27">
        <f t="shared" si="5"/>
        <v>375</v>
      </c>
      <c r="D10" s="30">
        <f t="shared" si="6"/>
        <v>150</v>
      </c>
      <c r="E10" s="30">
        <f t="shared" si="7"/>
        <v>105</v>
      </c>
      <c r="F10" s="27"/>
      <c r="G10" s="27">
        <f t="shared" si="8"/>
        <v>21</v>
      </c>
      <c r="H10" s="27">
        <f t="shared" si="9"/>
        <v>0</v>
      </c>
      <c r="I10" s="30">
        <f t="shared" si="10"/>
        <v>21</v>
      </c>
      <c r="J10" s="31">
        <f t="shared" si="11"/>
        <v>20</v>
      </c>
      <c r="K10" s="31">
        <f t="shared" si="12"/>
        <v>80</v>
      </c>
      <c r="L10" s="32">
        <f t="shared" si="13"/>
        <v>200</v>
      </c>
      <c r="M10" s="32">
        <f t="shared" si="14"/>
        <v>285.7142857</v>
      </c>
      <c r="N10" s="33" t="str">
        <f t="shared" si="15"/>
        <v>#DIV/0!</v>
      </c>
      <c r="O10" s="31">
        <f t="shared" si="16"/>
        <v>1428.571429</v>
      </c>
      <c r="P10" s="31" t="str">
        <f t="shared" si="17"/>
        <v>#DIV/0!</v>
      </c>
      <c r="Q10" s="32">
        <f t="shared" si="18"/>
        <v>1428.571429</v>
      </c>
      <c r="R10" s="34">
        <f t="shared" ref="R10:R11" si="52">30000</f>
        <v>30000</v>
      </c>
      <c r="S10" s="34">
        <f t="shared" si="19"/>
        <v>420000</v>
      </c>
      <c r="T10" s="23">
        <f t="shared" ref="T10:U10" si="49">W10*H10</f>
        <v>0</v>
      </c>
      <c r="U10" s="35">
        <f t="shared" si="49"/>
        <v>420000</v>
      </c>
      <c r="V10" s="36">
        <f t="shared" si="21"/>
        <v>20000</v>
      </c>
      <c r="W10" s="23">
        <v>2500.0</v>
      </c>
      <c r="X10" s="35">
        <f t="shared" si="22"/>
        <v>20000</v>
      </c>
      <c r="Y10" s="23">
        <f t="shared" si="23"/>
        <v>14</v>
      </c>
      <c r="Z10" s="37">
        <f t="shared" si="24"/>
        <v>0</v>
      </c>
      <c r="AA10" s="38">
        <f t="shared" si="25"/>
        <v>14</v>
      </c>
      <c r="AB10" s="7"/>
      <c r="AC10" s="27">
        <f t="shared" ref="AC10:AJ10" si="50">B10/4</f>
        <v>375</v>
      </c>
      <c r="AD10" s="27">
        <f t="shared" si="50"/>
        <v>93.75</v>
      </c>
      <c r="AE10" s="39">
        <f t="shared" si="50"/>
        <v>37.5</v>
      </c>
      <c r="AF10" s="39">
        <f t="shared" si="50"/>
        <v>26.25</v>
      </c>
      <c r="AG10" s="27">
        <f t="shared" si="50"/>
        <v>0</v>
      </c>
      <c r="AH10" s="27">
        <f t="shared" si="50"/>
        <v>5.25</v>
      </c>
      <c r="AI10" s="27">
        <f t="shared" si="50"/>
        <v>0</v>
      </c>
      <c r="AJ10" s="40">
        <f t="shared" si="50"/>
        <v>5.25</v>
      </c>
      <c r="AK10" s="34">
        <f t="shared" ref="AK10:AN10" si="51">R10/4</f>
        <v>7500</v>
      </c>
      <c r="AL10" s="34">
        <f t="shared" si="51"/>
        <v>105000</v>
      </c>
      <c r="AM10" s="23">
        <f t="shared" si="51"/>
        <v>0</v>
      </c>
      <c r="AN10" s="41">
        <f t="shared" si="51"/>
        <v>105000</v>
      </c>
      <c r="AO10" s="36">
        <f t="shared" si="28"/>
        <v>20000</v>
      </c>
      <c r="AP10" s="23">
        <v>2500.0</v>
      </c>
      <c r="AQ10" s="35">
        <f t="shared" si="29"/>
        <v>20000</v>
      </c>
      <c r="AR10" s="23">
        <f t="shared" si="30"/>
        <v>14</v>
      </c>
      <c r="AS10" s="37">
        <f t="shared" si="31"/>
        <v>0</v>
      </c>
      <c r="AT10" s="38">
        <f t="shared" si="32"/>
        <v>14</v>
      </c>
    </row>
    <row r="11">
      <c r="A11" s="29" t="s">
        <v>40</v>
      </c>
      <c r="B11" s="27">
        <f t="shared" si="4"/>
        <v>1500</v>
      </c>
      <c r="C11" s="27">
        <f t="shared" si="5"/>
        <v>375</v>
      </c>
      <c r="D11" s="30">
        <f t="shared" si="6"/>
        <v>150</v>
      </c>
      <c r="E11" s="30">
        <f t="shared" si="7"/>
        <v>105</v>
      </c>
      <c r="F11" s="27"/>
      <c r="G11" s="27">
        <f t="shared" si="8"/>
        <v>21</v>
      </c>
      <c r="H11" s="27">
        <f t="shared" si="9"/>
        <v>0</v>
      </c>
      <c r="I11" s="30">
        <f t="shared" si="10"/>
        <v>21</v>
      </c>
      <c r="J11" s="31">
        <f t="shared" si="11"/>
        <v>20</v>
      </c>
      <c r="K11" s="31">
        <f t="shared" si="12"/>
        <v>80</v>
      </c>
      <c r="L11" s="32">
        <f t="shared" si="13"/>
        <v>200</v>
      </c>
      <c r="M11" s="32">
        <f t="shared" si="14"/>
        <v>285.7142857</v>
      </c>
      <c r="N11" s="33" t="str">
        <f t="shared" si="15"/>
        <v>#DIV/0!</v>
      </c>
      <c r="O11" s="31">
        <f t="shared" si="16"/>
        <v>1428.571429</v>
      </c>
      <c r="P11" s="31" t="str">
        <f t="shared" si="17"/>
        <v>#DIV/0!</v>
      </c>
      <c r="Q11" s="32">
        <f t="shared" si="18"/>
        <v>1428.571429</v>
      </c>
      <c r="R11" s="34">
        <f t="shared" si="52"/>
        <v>30000</v>
      </c>
      <c r="S11" s="34">
        <f t="shared" si="19"/>
        <v>420000</v>
      </c>
      <c r="T11" s="23">
        <f t="shared" ref="T11:U11" si="53">W11*H11</f>
        <v>0</v>
      </c>
      <c r="U11" s="35">
        <f t="shared" si="53"/>
        <v>420000</v>
      </c>
      <c r="V11" s="36">
        <f t="shared" si="21"/>
        <v>20000</v>
      </c>
      <c r="W11" s="23">
        <v>2500.0</v>
      </c>
      <c r="X11" s="35">
        <f t="shared" si="22"/>
        <v>20000</v>
      </c>
      <c r="Y11" s="23">
        <f t="shared" si="23"/>
        <v>14</v>
      </c>
      <c r="Z11" s="37">
        <f t="shared" si="24"/>
        <v>0</v>
      </c>
      <c r="AA11" s="38">
        <f t="shared" si="25"/>
        <v>14</v>
      </c>
      <c r="AB11" s="7"/>
      <c r="AC11" s="27">
        <f t="shared" ref="AC11:AJ11" si="54">B11/4</f>
        <v>375</v>
      </c>
      <c r="AD11" s="27">
        <f t="shared" si="54"/>
        <v>93.75</v>
      </c>
      <c r="AE11" s="39">
        <f t="shared" si="54"/>
        <v>37.5</v>
      </c>
      <c r="AF11" s="39">
        <f t="shared" si="54"/>
        <v>26.25</v>
      </c>
      <c r="AG11" s="27">
        <f t="shared" si="54"/>
        <v>0</v>
      </c>
      <c r="AH11" s="27">
        <f t="shared" si="54"/>
        <v>5.25</v>
      </c>
      <c r="AI11" s="27">
        <f t="shared" si="54"/>
        <v>0</v>
      </c>
      <c r="AJ11" s="40">
        <f t="shared" si="54"/>
        <v>5.25</v>
      </c>
      <c r="AK11" s="34">
        <f t="shared" ref="AK11:AN11" si="55">R11/4</f>
        <v>7500</v>
      </c>
      <c r="AL11" s="34">
        <f t="shared" si="55"/>
        <v>105000</v>
      </c>
      <c r="AM11" s="23">
        <f t="shared" si="55"/>
        <v>0</v>
      </c>
      <c r="AN11" s="41">
        <f t="shared" si="55"/>
        <v>105000</v>
      </c>
      <c r="AO11" s="36">
        <f t="shared" si="28"/>
        <v>20000</v>
      </c>
      <c r="AP11" s="23">
        <v>2500.0</v>
      </c>
      <c r="AQ11" s="35">
        <f t="shared" si="29"/>
        <v>20000</v>
      </c>
      <c r="AR11" s="23">
        <f t="shared" si="30"/>
        <v>14</v>
      </c>
      <c r="AS11" s="37">
        <f t="shared" si="31"/>
        <v>0</v>
      </c>
      <c r="AT11" s="38">
        <f t="shared" si="32"/>
        <v>14</v>
      </c>
    </row>
    <row r="12">
      <c r="A12" s="29" t="s">
        <v>41</v>
      </c>
      <c r="B12" s="27">
        <f t="shared" si="4"/>
        <v>2500</v>
      </c>
      <c r="C12" s="27">
        <f t="shared" si="5"/>
        <v>625</v>
      </c>
      <c r="D12" s="30">
        <f t="shared" si="6"/>
        <v>250</v>
      </c>
      <c r="E12" s="30">
        <f t="shared" si="7"/>
        <v>175</v>
      </c>
      <c r="F12" s="27"/>
      <c r="G12" s="27">
        <f t="shared" si="8"/>
        <v>35</v>
      </c>
      <c r="H12" s="27">
        <f t="shared" si="9"/>
        <v>0</v>
      </c>
      <c r="I12" s="30">
        <f t="shared" si="10"/>
        <v>35</v>
      </c>
      <c r="J12" s="31">
        <f t="shared" si="11"/>
        <v>20</v>
      </c>
      <c r="K12" s="31">
        <f t="shared" si="12"/>
        <v>80</v>
      </c>
      <c r="L12" s="32">
        <f t="shared" si="13"/>
        <v>200</v>
      </c>
      <c r="M12" s="32">
        <f t="shared" si="14"/>
        <v>285.7142857</v>
      </c>
      <c r="N12" s="33" t="str">
        <f t="shared" si="15"/>
        <v>#DIV/0!</v>
      </c>
      <c r="O12" s="31">
        <f t="shared" si="16"/>
        <v>1428.571429</v>
      </c>
      <c r="P12" s="31" t="str">
        <f t="shared" si="17"/>
        <v>#DIV/0!</v>
      </c>
      <c r="Q12" s="32">
        <f t="shared" si="18"/>
        <v>1428.571429</v>
      </c>
      <c r="R12" s="34">
        <f t="shared" ref="R12:R13" si="59">50000</f>
        <v>50000</v>
      </c>
      <c r="S12" s="34">
        <f t="shared" si="19"/>
        <v>700000</v>
      </c>
      <c r="T12" s="23">
        <f t="shared" ref="T12:U12" si="56">W12*H12</f>
        <v>0</v>
      </c>
      <c r="U12" s="35">
        <f t="shared" si="56"/>
        <v>700000</v>
      </c>
      <c r="V12" s="36">
        <f t="shared" si="21"/>
        <v>20000</v>
      </c>
      <c r="W12" s="23">
        <v>2500.0</v>
      </c>
      <c r="X12" s="35">
        <f t="shared" si="22"/>
        <v>20000</v>
      </c>
      <c r="Y12" s="23">
        <f t="shared" si="23"/>
        <v>14</v>
      </c>
      <c r="Z12" s="37">
        <f t="shared" si="24"/>
        <v>0</v>
      </c>
      <c r="AA12" s="38">
        <f t="shared" si="25"/>
        <v>14</v>
      </c>
      <c r="AB12" s="7"/>
      <c r="AC12" s="27">
        <f t="shared" ref="AC12:AJ12" si="57">B12/4</f>
        <v>625</v>
      </c>
      <c r="AD12" s="27">
        <f t="shared" si="57"/>
        <v>156.25</v>
      </c>
      <c r="AE12" s="39">
        <f t="shared" si="57"/>
        <v>62.5</v>
      </c>
      <c r="AF12" s="39">
        <f t="shared" si="57"/>
        <v>43.75</v>
      </c>
      <c r="AG12" s="27">
        <f t="shared" si="57"/>
        <v>0</v>
      </c>
      <c r="AH12" s="27">
        <f t="shared" si="57"/>
        <v>8.75</v>
      </c>
      <c r="AI12" s="27">
        <f t="shared" si="57"/>
        <v>0</v>
      </c>
      <c r="AJ12" s="40">
        <f t="shared" si="57"/>
        <v>8.75</v>
      </c>
      <c r="AK12" s="34">
        <f t="shared" ref="AK12:AN12" si="58">R12/4</f>
        <v>12500</v>
      </c>
      <c r="AL12" s="34">
        <f t="shared" si="58"/>
        <v>175000</v>
      </c>
      <c r="AM12" s="23">
        <f t="shared" si="58"/>
        <v>0</v>
      </c>
      <c r="AN12" s="41">
        <f t="shared" si="58"/>
        <v>175000</v>
      </c>
      <c r="AO12" s="36">
        <f t="shared" si="28"/>
        <v>20000</v>
      </c>
      <c r="AP12" s="23">
        <v>2500.0</v>
      </c>
      <c r="AQ12" s="35">
        <f t="shared" si="29"/>
        <v>20000</v>
      </c>
      <c r="AR12" s="23">
        <f t="shared" si="30"/>
        <v>14</v>
      </c>
      <c r="AS12" s="37">
        <f t="shared" si="31"/>
        <v>0</v>
      </c>
      <c r="AT12" s="38">
        <f t="shared" si="32"/>
        <v>14</v>
      </c>
    </row>
    <row r="13">
      <c r="A13" s="29" t="s">
        <v>42</v>
      </c>
      <c r="B13" s="27">
        <f t="shared" si="4"/>
        <v>2500</v>
      </c>
      <c r="C13" s="27">
        <f t="shared" si="5"/>
        <v>625</v>
      </c>
      <c r="D13" s="30">
        <f t="shared" si="6"/>
        <v>250</v>
      </c>
      <c r="E13" s="30">
        <f t="shared" si="7"/>
        <v>175</v>
      </c>
      <c r="F13" s="27"/>
      <c r="G13" s="27">
        <f t="shared" si="8"/>
        <v>35</v>
      </c>
      <c r="H13" s="27">
        <f t="shared" si="9"/>
        <v>0</v>
      </c>
      <c r="I13" s="30">
        <f t="shared" si="10"/>
        <v>35</v>
      </c>
      <c r="J13" s="31">
        <f t="shared" si="11"/>
        <v>20</v>
      </c>
      <c r="K13" s="31">
        <f t="shared" si="12"/>
        <v>80</v>
      </c>
      <c r="L13" s="32">
        <f t="shared" si="13"/>
        <v>200</v>
      </c>
      <c r="M13" s="32">
        <f t="shared" si="14"/>
        <v>285.7142857</v>
      </c>
      <c r="N13" s="33" t="str">
        <f t="shared" si="15"/>
        <v>#DIV/0!</v>
      </c>
      <c r="O13" s="31">
        <f t="shared" si="16"/>
        <v>1428.571429</v>
      </c>
      <c r="P13" s="31" t="str">
        <f t="shared" si="17"/>
        <v>#DIV/0!</v>
      </c>
      <c r="Q13" s="32">
        <f t="shared" si="18"/>
        <v>1428.571429</v>
      </c>
      <c r="R13" s="34">
        <f t="shared" si="59"/>
        <v>50000</v>
      </c>
      <c r="S13" s="34">
        <f t="shared" si="19"/>
        <v>700000</v>
      </c>
      <c r="T13" s="23">
        <f t="shared" ref="T13:U13" si="60">W13*H13</f>
        <v>0</v>
      </c>
      <c r="U13" s="35">
        <f t="shared" si="60"/>
        <v>700000</v>
      </c>
      <c r="V13" s="36">
        <f t="shared" si="21"/>
        <v>20000</v>
      </c>
      <c r="W13" s="23">
        <v>2500.0</v>
      </c>
      <c r="X13" s="35">
        <f t="shared" si="22"/>
        <v>20000</v>
      </c>
      <c r="Y13" s="23">
        <f t="shared" si="23"/>
        <v>14</v>
      </c>
      <c r="Z13" s="37">
        <f t="shared" si="24"/>
        <v>0</v>
      </c>
      <c r="AA13" s="38">
        <f t="shared" si="25"/>
        <v>14</v>
      </c>
      <c r="AB13" s="7"/>
      <c r="AC13" s="27">
        <f t="shared" ref="AC13:AJ13" si="61">B13/4</f>
        <v>625</v>
      </c>
      <c r="AD13" s="27">
        <f t="shared" si="61"/>
        <v>156.25</v>
      </c>
      <c r="AE13" s="39">
        <f t="shared" si="61"/>
        <v>62.5</v>
      </c>
      <c r="AF13" s="39">
        <f t="shared" si="61"/>
        <v>43.75</v>
      </c>
      <c r="AG13" s="27">
        <f t="shared" si="61"/>
        <v>0</v>
      </c>
      <c r="AH13" s="27">
        <f t="shared" si="61"/>
        <v>8.75</v>
      </c>
      <c r="AI13" s="27">
        <f t="shared" si="61"/>
        <v>0</v>
      </c>
      <c r="AJ13" s="40">
        <f t="shared" si="61"/>
        <v>8.75</v>
      </c>
      <c r="AK13" s="34">
        <f t="shared" ref="AK13:AN13" si="62">R13/4</f>
        <v>12500</v>
      </c>
      <c r="AL13" s="34">
        <f t="shared" si="62"/>
        <v>175000</v>
      </c>
      <c r="AM13" s="23">
        <f t="shared" si="62"/>
        <v>0</v>
      </c>
      <c r="AN13" s="41">
        <f t="shared" si="62"/>
        <v>175000</v>
      </c>
      <c r="AO13" s="36">
        <f t="shared" si="28"/>
        <v>20000</v>
      </c>
      <c r="AP13" s="23">
        <v>2500.0</v>
      </c>
      <c r="AQ13" s="35">
        <f t="shared" si="29"/>
        <v>20000</v>
      </c>
      <c r="AR13" s="23">
        <f t="shared" si="30"/>
        <v>14</v>
      </c>
      <c r="AS13" s="37">
        <f t="shared" si="31"/>
        <v>0</v>
      </c>
      <c r="AT13" s="38">
        <f t="shared" si="32"/>
        <v>14</v>
      </c>
    </row>
    <row r="14">
      <c r="A14" s="29" t="s">
        <v>43</v>
      </c>
      <c r="B14" s="27">
        <f t="shared" si="4"/>
        <v>500</v>
      </c>
      <c r="C14" s="27">
        <f t="shared" si="5"/>
        <v>125</v>
      </c>
      <c r="D14" s="30">
        <f t="shared" si="6"/>
        <v>50</v>
      </c>
      <c r="E14" s="30">
        <f t="shared" si="7"/>
        <v>35</v>
      </c>
      <c r="F14" s="27"/>
      <c r="G14" s="27">
        <f t="shared" si="8"/>
        <v>7</v>
      </c>
      <c r="H14" s="27">
        <f t="shared" si="9"/>
        <v>0</v>
      </c>
      <c r="I14" s="30">
        <f t="shared" si="10"/>
        <v>7</v>
      </c>
      <c r="J14" s="31">
        <f t="shared" si="11"/>
        <v>20</v>
      </c>
      <c r="K14" s="31">
        <f t="shared" si="12"/>
        <v>80</v>
      </c>
      <c r="L14" s="32">
        <f t="shared" si="13"/>
        <v>200</v>
      </c>
      <c r="M14" s="32">
        <f t="shared" si="14"/>
        <v>285.7142857</v>
      </c>
      <c r="N14" s="33" t="str">
        <f t="shared" si="15"/>
        <v>#DIV/0!</v>
      </c>
      <c r="O14" s="31">
        <f t="shared" si="16"/>
        <v>1428.571429</v>
      </c>
      <c r="P14" s="31" t="str">
        <f t="shared" si="17"/>
        <v>#DIV/0!</v>
      </c>
      <c r="Q14" s="32">
        <f t="shared" si="18"/>
        <v>1428.571429</v>
      </c>
      <c r="R14" s="34">
        <f>10000</f>
        <v>10000</v>
      </c>
      <c r="S14" s="34">
        <f t="shared" si="19"/>
        <v>140000</v>
      </c>
      <c r="T14" s="23">
        <f t="shared" ref="T14:U14" si="63">W14*H14</f>
        <v>0</v>
      </c>
      <c r="U14" s="35">
        <f t="shared" si="63"/>
        <v>140000</v>
      </c>
      <c r="V14" s="36">
        <f t="shared" si="21"/>
        <v>20000</v>
      </c>
      <c r="W14" s="23">
        <v>2500.0</v>
      </c>
      <c r="X14" s="35">
        <f t="shared" si="22"/>
        <v>20000</v>
      </c>
      <c r="Y14" s="23">
        <f t="shared" si="23"/>
        <v>14</v>
      </c>
      <c r="Z14" s="37">
        <f t="shared" si="24"/>
        <v>0</v>
      </c>
      <c r="AA14" s="38">
        <f t="shared" si="25"/>
        <v>14</v>
      </c>
      <c r="AB14" s="7"/>
      <c r="AC14" s="27">
        <f t="shared" ref="AC14:AJ14" si="64">B14/4</f>
        <v>125</v>
      </c>
      <c r="AD14" s="27">
        <f t="shared" si="64"/>
        <v>31.25</v>
      </c>
      <c r="AE14" s="39">
        <f t="shared" si="64"/>
        <v>12.5</v>
      </c>
      <c r="AF14" s="39">
        <f t="shared" si="64"/>
        <v>8.75</v>
      </c>
      <c r="AG14" s="27">
        <f t="shared" si="64"/>
        <v>0</v>
      </c>
      <c r="AH14" s="27">
        <f t="shared" si="64"/>
        <v>1.75</v>
      </c>
      <c r="AI14" s="27">
        <f t="shared" si="64"/>
        <v>0</v>
      </c>
      <c r="AJ14" s="40">
        <f t="shared" si="64"/>
        <v>1.75</v>
      </c>
      <c r="AK14" s="34">
        <f t="shared" ref="AK14:AN14" si="65">R14/4</f>
        <v>2500</v>
      </c>
      <c r="AL14" s="34">
        <f t="shared" si="65"/>
        <v>35000</v>
      </c>
      <c r="AM14" s="23">
        <f t="shared" si="65"/>
        <v>0</v>
      </c>
      <c r="AN14" s="41">
        <f t="shared" si="65"/>
        <v>35000</v>
      </c>
      <c r="AO14" s="36">
        <f t="shared" si="28"/>
        <v>20000</v>
      </c>
      <c r="AP14" s="23">
        <v>2500.0</v>
      </c>
      <c r="AQ14" s="35">
        <f t="shared" si="29"/>
        <v>20000</v>
      </c>
      <c r="AR14" s="23">
        <f t="shared" si="30"/>
        <v>14</v>
      </c>
      <c r="AS14" s="37">
        <f t="shared" si="31"/>
        <v>0</v>
      </c>
      <c r="AT14" s="38">
        <f t="shared" si="32"/>
        <v>14</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66">SUM(B3:B14)</f>
        <v>18500</v>
      </c>
      <c r="C16" s="43">
        <f t="shared" si="66"/>
        <v>4625</v>
      </c>
      <c r="D16" s="43">
        <f t="shared" si="66"/>
        <v>1850</v>
      </c>
      <c r="E16" s="43">
        <f t="shared" si="66"/>
        <v>1295</v>
      </c>
      <c r="F16" s="43">
        <f t="shared" si="66"/>
        <v>0</v>
      </c>
      <c r="G16" s="43">
        <f t="shared" si="66"/>
        <v>259</v>
      </c>
      <c r="H16" s="43">
        <f t="shared" si="66"/>
        <v>0</v>
      </c>
      <c r="I16" s="43">
        <f t="shared" si="66"/>
        <v>259</v>
      </c>
      <c r="J16" s="44"/>
      <c r="K16" s="44"/>
      <c r="L16" s="44"/>
      <c r="M16" s="44"/>
      <c r="N16" s="44"/>
      <c r="O16" s="44"/>
      <c r="P16" s="44"/>
      <c r="Q16" s="44"/>
      <c r="R16" s="48">
        <f t="shared" ref="R16:U16" si="67">SUM(R3:R14)</f>
        <v>370000</v>
      </c>
      <c r="S16" s="49">
        <f t="shared" si="67"/>
        <v>5180000</v>
      </c>
      <c r="T16" s="49">
        <f t="shared" si="67"/>
        <v>0</v>
      </c>
      <c r="U16" s="49">
        <f t="shared" si="67"/>
        <v>5180000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71"/>
    <col customWidth="1" min="2" max="2" width="16.0"/>
    <col customWidth="1" min="3" max="3" width="5.14"/>
    <col customWidth="1" min="4" max="4" width="6.86"/>
    <col customWidth="1" min="5" max="5" width="15.0"/>
    <col customWidth="1" min="6" max="6" width="9.0"/>
    <col customWidth="1" min="7" max="7" width="7.14"/>
    <col customWidth="1" min="8" max="8" width="28.0"/>
    <col customWidth="1" min="9" max="9" width="6.71"/>
    <col customWidth="1" min="10" max="10" width="15.71"/>
    <col customWidth="1" min="11" max="11" width="7.86"/>
    <col customWidth="1" min="12" max="12" width="19.0"/>
    <col customWidth="1" min="13" max="13" width="11.29"/>
    <col customWidth="1" min="14" max="14" width="6.57"/>
    <col customWidth="1" min="15" max="15" width="24.29"/>
    <col customWidth="1" min="16" max="16" width="44.0"/>
  </cols>
  <sheetData>
    <row r="1">
      <c r="A1" s="51"/>
      <c r="B1" s="51"/>
      <c r="C1" s="51"/>
      <c r="D1" s="52"/>
      <c r="F1" s="52"/>
      <c r="G1" s="52"/>
      <c r="I1" s="52"/>
      <c r="K1" s="52" t="s">
        <v>52</v>
      </c>
      <c r="M1" s="51"/>
      <c r="N1" s="53"/>
      <c r="O1" s="54" t="s">
        <v>53</v>
      </c>
      <c r="P1" s="55" t="s">
        <v>54</v>
      </c>
    </row>
    <row r="2">
      <c r="A2" s="56"/>
      <c r="B2" s="57" t="s">
        <v>55</v>
      </c>
      <c r="C2" s="51"/>
      <c r="D2" s="58">
        <v>0.01</v>
      </c>
      <c r="E2" s="59"/>
      <c r="F2" s="60">
        <f t="shared" ref="F2:F11" si="1">E2*30%+E2</f>
        <v>0</v>
      </c>
      <c r="G2" s="58">
        <v>0.05</v>
      </c>
      <c r="H2" s="59">
        <f t="shared" ref="H2:H11" si="2">J2*I2</f>
        <v>1050</v>
      </c>
      <c r="I2" s="58">
        <v>0.75</v>
      </c>
      <c r="J2" s="59">
        <f t="shared" ref="J2:J11" si="3">L2*K2</f>
        <v>1400</v>
      </c>
      <c r="K2" s="58">
        <v>0.2</v>
      </c>
      <c r="L2" s="61">
        <v>7000.0</v>
      </c>
      <c r="M2" s="62">
        <v>80000.0</v>
      </c>
      <c r="N2" s="63"/>
      <c r="O2" s="64"/>
      <c r="P2" s="64"/>
    </row>
    <row r="3">
      <c r="A3" s="56"/>
      <c r="B3" s="57" t="s">
        <v>55</v>
      </c>
      <c r="C3" s="51"/>
      <c r="D3" s="58">
        <v>0.01</v>
      </c>
      <c r="E3" s="59"/>
      <c r="F3" s="60">
        <f t="shared" si="1"/>
        <v>0</v>
      </c>
      <c r="G3" s="58">
        <v>0.05</v>
      </c>
      <c r="H3" s="59">
        <f t="shared" si="2"/>
        <v>525</v>
      </c>
      <c r="I3" s="58">
        <v>0.75</v>
      </c>
      <c r="J3" s="65">
        <f t="shared" si="3"/>
        <v>700</v>
      </c>
      <c r="K3" s="58">
        <v>0.2</v>
      </c>
      <c r="L3" s="61">
        <v>3500.0</v>
      </c>
      <c r="M3" s="62">
        <v>35000.0</v>
      </c>
      <c r="N3" s="63"/>
      <c r="O3" s="64"/>
      <c r="P3" s="64"/>
    </row>
    <row r="4" ht="15.75" customHeight="1">
      <c r="A4" s="56"/>
      <c r="B4" s="57" t="s">
        <v>55</v>
      </c>
      <c r="C4" s="51"/>
      <c r="D4" s="58">
        <v>0.02</v>
      </c>
      <c r="E4" s="59"/>
      <c r="F4" s="60">
        <f t="shared" si="1"/>
        <v>0</v>
      </c>
      <c r="G4" s="58">
        <v>0.05</v>
      </c>
      <c r="H4" s="59">
        <f t="shared" si="2"/>
        <v>375</v>
      </c>
      <c r="I4" s="58">
        <v>0.75</v>
      </c>
      <c r="J4" s="59">
        <f t="shared" si="3"/>
        <v>500</v>
      </c>
      <c r="K4" s="58">
        <v>0.2</v>
      </c>
      <c r="L4" s="61">
        <v>2500.0</v>
      </c>
      <c r="M4" s="62">
        <v>12000.0</v>
      </c>
      <c r="O4" s="64"/>
      <c r="P4" s="64"/>
    </row>
    <row r="5" ht="15.75" customHeight="1">
      <c r="A5" s="66"/>
      <c r="B5" s="57" t="s">
        <v>55</v>
      </c>
      <c r="C5" s="51"/>
      <c r="D5" s="58">
        <v>0.01</v>
      </c>
      <c r="E5" s="59"/>
      <c r="F5" s="60">
        <f t="shared" si="1"/>
        <v>0</v>
      </c>
      <c r="G5" s="58">
        <v>0.05</v>
      </c>
      <c r="H5" s="59">
        <f t="shared" si="2"/>
        <v>0</v>
      </c>
      <c r="I5" s="58">
        <v>0.75</v>
      </c>
      <c r="J5" s="59">
        <f t="shared" si="3"/>
        <v>0</v>
      </c>
      <c r="K5" s="58">
        <v>0.2</v>
      </c>
      <c r="L5" s="61"/>
      <c r="M5" s="62"/>
      <c r="O5" s="64"/>
      <c r="P5" s="64"/>
    </row>
    <row r="6" ht="15.75" customHeight="1">
      <c r="A6" s="66"/>
      <c r="B6" s="57" t="s">
        <v>55</v>
      </c>
      <c r="C6" s="51"/>
      <c r="D6" s="58">
        <v>0.01</v>
      </c>
      <c r="E6" s="59"/>
      <c r="F6" s="60">
        <f t="shared" si="1"/>
        <v>0</v>
      </c>
      <c r="G6" s="58">
        <v>0.05</v>
      </c>
      <c r="H6" s="59">
        <f t="shared" si="2"/>
        <v>150</v>
      </c>
      <c r="I6" s="58">
        <v>0.75</v>
      </c>
      <c r="J6" s="59">
        <f t="shared" si="3"/>
        <v>200</v>
      </c>
      <c r="K6" s="58">
        <v>0.2</v>
      </c>
      <c r="L6" s="61">
        <v>1000.0</v>
      </c>
      <c r="M6" s="62">
        <v>3000.0</v>
      </c>
      <c r="O6" s="64"/>
      <c r="P6" s="64"/>
    </row>
    <row r="7" ht="15.75" customHeight="1">
      <c r="A7" s="53"/>
      <c r="B7" s="67" t="s">
        <v>56</v>
      </c>
      <c r="C7" s="51"/>
      <c r="D7" s="58">
        <v>0.01</v>
      </c>
      <c r="E7" s="59"/>
      <c r="F7" s="60">
        <f t="shared" si="1"/>
        <v>0</v>
      </c>
      <c r="G7" s="58">
        <v>0.05</v>
      </c>
      <c r="H7" s="59">
        <f t="shared" si="2"/>
        <v>150</v>
      </c>
      <c r="I7" s="58">
        <v>0.75</v>
      </c>
      <c r="J7" s="59">
        <f t="shared" si="3"/>
        <v>200</v>
      </c>
      <c r="K7" s="58">
        <v>0.2</v>
      </c>
      <c r="L7" s="61">
        <v>1000.0</v>
      </c>
      <c r="M7" s="62">
        <v>1500.0</v>
      </c>
      <c r="O7" s="64"/>
      <c r="P7" s="64"/>
    </row>
    <row r="8" ht="15.75" customHeight="1">
      <c r="A8" s="53"/>
      <c r="B8" s="67" t="s">
        <v>56</v>
      </c>
      <c r="C8" s="51"/>
      <c r="D8" s="58">
        <v>0.01</v>
      </c>
      <c r="E8" s="59"/>
      <c r="F8" s="60">
        <f t="shared" si="1"/>
        <v>0</v>
      </c>
      <c r="G8" s="58">
        <v>0.05</v>
      </c>
      <c r="H8" s="59">
        <f t="shared" si="2"/>
        <v>60</v>
      </c>
      <c r="I8" s="58">
        <v>0.75</v>
      </c>
      <c r="J8" s="59">
        <f t="shared" si="3"/>
        <v>80</v>
      </c>
      <c r="K8" s="58">
        <v>0.2</v>
      </c>
      <c r="L8" s="61">
        <v>400.0</v>
      </c>
      <c r="M8" s="62">
        <v>300.0</v>
      </c>
      <c r="O8" s="64"/>
      <c r="P8" s="64"/>
    </row>
    <row r="9" ht="15.75" customHeight="1">
      <c r="A9" s="53"/>
      <c r="B9" s="67" t="s">
        <v>56</v>
      </c>
      <c r="C9" s="51"/>
      <c r="D9" s="58">
        <v>0.01</v>
      </c>
      <c r="E9" s="59"/>
      <c r="F9" s="60">
        <f t="shared" si="1"/>
        <v>0</v>
      </c>
      <c r="G9" s="58">
        <v>0.05</v>
      </c>
      <c r="H9" s="59">
        <f t="shared" si="2"/>
        <v>30</v>
      </c>
      <c r="I9" s="58">
        <v>0.75</v>
      </c>
      <c r="J9" s="59">
        <f t="shared" si="3"/>
        <v>40</v>
      </c>
      <c r="K9" s="58">
        <v>0.2</v>
      </c>
      <c r="L9" s="61">
        <v>200.0</v>
      </c>
      <c r="M9" s="62">
        <v>100.0</v>
      </c>
      <c r="O9" s="64"/>
      <c r="P9" s="64"/>
    </row>
    <row r="10" ht="15.75" customHeight="1">
      <c r="A10" s="53"/>
      <c r="B10" s="67" t="s">
        <v>56</v>
      </c>
      <c r="C10" s="51"/>
      <c r="D10" s="58">
        <v>0.01</v>
      </c>
      <c r="E10" s="59"/>
      <c r="F10" s="60">
        <f t="shared" si="1"/>
        <v>0</v>
      </c>
      <c r="G10" s="58">
        <v>0.05</v>
      </c>
      <c r="H10" s="59">
        <f t="shared" si="2"/>
        <v>0</v>
      </c>
      <c r="I10" s="58">
        <v>0.75</v>
      </c>
      <c r="J10" s="59">
        <f t="shared" si="3"/>
        <v>0</v>
      </c>
      <c r="K10" s="58">
        <v>0.2</v>
      </c>
      <c r="L10" s="60"/>
      <c r="M10" s="62"/>
      <c r="O10" s="64"/>
      <c r="P10" s="64"/>
    </row>
    <row r="11" ht="15.75" customHeight="1">
      <c r="A11" s="53"/>
      <c r="B11" s="67" t="s">
        <v>56</v>
      </c>
      <c r="C11" s="51"/>
      <c r="D11" s="58">
        <v>0.01</v>
      </c>
      <c r="E11" s="59"/>
      <c r="F11" s="60">
        <f t="shared" si="1"/>
        <v>0</v>
      </c>
      <c r="G11" s="58">
        <v>0.05</v>
      </c>
      <c r="H11" s="59">
        <f t="shared" si="2"/>
        <v>0</v>
      </c>
      <c r="I11" s="58">
        <v>0.75</v>
      </c>
      <c r="J11" s="59">
        <f t="shared" si="3"/>
        <v>0</v>
      </c>
      <c r="K11" s="58">
        <v>0.2</v>
      </c>
      <c r="L11" s="60"/>
      <c r="M11" s="62"/>
      <c r="O11" s="64"/>
      <c r="P11" s="64"/>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1:E1"/>
    <mergeCell ref="G1:H1"/>
    <mergeCell ref="I1:J1"/>
    <mergeCell ref="K1:L1"/>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57"/>
    <col customWidth="1" min="2" max="6" width="14.43"/>
  </cols>
  <sheetData>
    <row r="1">
      <c r="A1" s="68" t="s">
        <v>57</v>
      </c>
      <c r="B1" s="69"/>
      <c r="C1" s="69"/>
      <c r="D1" s="69"/>
      <c r="E1" s="69"/>
      <c r="F1" s="69"/>
      <c r="G1" s="69"/>
      <c r="H1" s="69"/>
      <c r="I1" s="69"/>
      <c r="J1" s="69"/>
      <c r="K1" s="69"/>
      <c r="L1" s="51"/>
      <c r="M1" s="51"/>
      <c r="N1" s="51"/>
    </row>
    <row r="2">
      <c r="A2" s="70" t="s">
        <v>58</v>
      </c>
      <c r="B2" s="71" t="s">
        <v>59</v>
      </c>
      <c r="C2" s="71" t="s">
        <v>11</v>
      </c>
      <c r="D2" s="71" t="s">
        <v>60</v>
      </c>
      <c r="E2" s="71" t="s">
        <v>23</v>
      </c>
      <c r="F2" s="71" t="s">
        <v>61</v>
      </c>
      <c r="G2" s="71" t="s">
        <v>62</v>
      </c>
      <c r="H2" s="71" t="s">
        <v>63</v>
      </c>
      <c r="I2" s="71" t="s">
        <v>64</v>
      </c>
      <c r="J2" s="71"/>
      <c r="K2" s="71" t="s">
        <v>65</v>
      </c>
      <c r="L2" s="51"/>
      <c r="M2" s="72" t="s">
        <v>66</v>
      </c>
      <c r="N2" s="56"/>
    </row>
    <row r="3">
      <c r="A3" s="56"/>
      <c r="B3" s="73"/>
      <c r="C3" s="74"/>
      <c r="D3" s="75"/>
      <c r="E3" s="75">
        <f t="shared" ref="E3:E14" si="1">C3*D3</f>
        <v>0</v>
      </c>
      <c r="F3" s="76">
        <f t="shared" ref="F3:F14" si="2">(E3*2.9/100)</f>
        <v>0</v>
      </c>
      <c r="G3" s="75">
        <f t="shared" ref="G3:G14" si="3">E3*6%</f>
        <v>0</v>
      </c>
      <c r="H3" s="75">
        <f t="shared" ref="H3:H14" si="4">E3-F3-G3</f>
        <v>0</v>
      </c>
      <c r="I3" s="75"/>
      <c r="J3" s="61"/>
      <c r="K3" s="75"/>
      <c r="L3" s="51"/>
      <c r="N3" s="56"/>
    </row>
    <row r="4">
      <c r="A4" s="56"/>
      <c r="B4" s="73"/>
      <c r="C4" s="74"/>
      <c r="D4" s="75"/>
      <c r="E4" s="75">
        <f t="shared" si="1"/>
        <v>0</v>
      </c>
      <c r="F4" s="76">
        <f t="shared" si="2"/>
        <v>0</v>
      </c>
      <c r="G4" s="75">
        <f t="shared" si="3"/>
        <v>0</v>
      </c>
      <c r="H4" s="75">
        <f t="shared" si="4"/>
        <v>0</v>
      </c>
      <c r="I4" s="75"/>
      <c r="J4" s="61"/>
      <c r="K4" s="75">
        <f t="shared" ref="K4:K14" si="5">H4-I4</f>
        <v>0</v>
      </c>
      <c r="L4" s="51"/>
      <c r="N4" s="56"/>
    </row>
    <row r="5">
      <c r="A5" s="53"/>
      <c r="B5" s="77"/>
      <c r="C5" s="77"/>
      <c r="D5" s="75"/>
      <c r="E5" s="75">
        <f t="shared" si="1"/>
        <v>0</v>
      </c>
      <c r="F5" s="76">
        <f t="shared" si="2"/>
        <v>0</v>
      </c>
      <c r="G5" s="75">
        <f t="shared" si="3"/>
        <v>0</v>
      </c>
      <c r="H5" s="75">
        <f t="shared" si="4"/>
        <v>0</v>
      </c>
      <c r="I5" s="75"/>
      <c r="J5" s="61"/>
      <c r="K5" s="75">
        <f t="shared" si="5"/>
        <v>0</v>
      </c>
      <c r="L5" s="51"/>
      <c r="N5" s="56" t="s">
        <v>65</v>
      </c>
    </row>
    <row r="6">
      <c r="A6" s="53"/>
      <c r="B6" s="77"/>
      <c r="C6" s="77"/>
      <c r="D6" s="75"/>
      <c r="E6" s="75">
        <f t="shared" si="1"/>
        <v>0</v>
      </c>
      <c r="F6" s="76">
        <f t="shared" si="2"/>
        <v>0</v>
      </c>
      <c r="G6" s="75">
        <f t="shared" si="3"/>
        <v>0</v>
      </c>
      <c r="H6" s="75">
        <f t="shared" si="4"/>
        <v>0</v>
      </c>
      <c r="I6" s="75"/>
      <c r="J6" s="61"/>
      <c r="K6" s="75">
        <f t="shared" si="5"/>
        <v>0</v>
      </c>
      <c r="L6" s="51"/>
    </row>
    <row r="7">
      <c r="A7" s="53"/>
      <c r="B7" s="78"/>
      <c r="C7" s="77"/>
      <c r="D7" s="75"/>
      <c r="E7" s="75">
        <f t="shared" si="1"/>
        <v>0</v>
      </c>
      <c r="F7" s="76">
        <f t="shared" si="2"/>
        <v>0</v>
      </c>
      <c r="G7" s="75">
        <f t="shared" si="3"/>
        <v>0</v>
      </c>
      <c r="H7" s="75">
        <f t="shared" si="4"/>
        <v>0</v>
      </c>
      <c r="I7" s="75"/>
      <c r="J7" s="61"/>
      <c r="K7" s="75">
        <f t="shared" si="5"/>
        <v>0</v>
      </c>
      <c r="L7" s="51"/>
      <c r="N7" s="64">
        <f>K16+K33</f>
        <v>0</v>
      </c>
    </row>
    <row r="8">
      <c r="A8" s="53"/>
      <c r="B8" s="78"/>
      <c r="C8" s="77"/>
      <c r="D8" s="79"/>
      <c r="E8" s="75">
        <f t="shared" si="1"/>
        <v>0</v>
      </c>
      <c r="F8" s="76">
        <f t="shared" si="2"/>
        <v>0</v>
      </c>
      <c r="G8" s="75">
        <f t="shared" si="3"/>
        <v>0</v>
      </c>
      <c r="H8" s="75">
        <f t="shared" si="4"/>
        <v>0</v>
      </c>
      <c r="I8" s="75"/>
      <c r="J8" s="61"/>
      <c r="K8" s="75">
        <f t="shared" si="5"/>
        <v>0</v>
      </c>
      <c r="L8" s="51"/>
      <c r="N8" s="56"/>
    </row>
    <row r="9">
      <c r="A9" s="53"/>
      <c r="B9" s="78"/>
      <c r="C9" s="77"/>
      <c r="D9" s="79"/>
      <c r="E9" s="75">
        <f t="shared" si="1"/>
        <v>0</v>
      </c>
      <c r="F9" s="76">
        <f t="shared" si="2"/>
        <v>0</v>
      </c>
      <c r="G9" s="75">
        <f t="shared" si="3"/>
        <v>0</v>
      </c>
      <c r="H9" s="75">
        <f t="shared" si="4"/>
        <v>0</v>
      </c>
      <c r="I9" s="75"/>
      <c r="J9" s="61"/>
      <c r="K9" s="75">
        <f t="shared" si="5"/>
        <v>0</v>
      </c>
      <c r="L9" s="51"/>
      <c r="N9" s="54"/>
    </row>
    <row r="10">
      <c r="A10" s="53"/>
      <c r="B10" s="78"/>
      <c r="C10" s="77"/>
      <c r="D10" s="79"/>
      <c r="E10" s="75">
        <f t="shared" si="1"/>
        <v>0</v>
      </c>
      <c r="F10" s="76">
        <f t="shared" si="2"/>
        <v>0</v>
      </c>
      <c r="G10" s="75">
        <f t="shared" si="3"/>
        <v>0</v>
      </c>
      <c r="H10" s="75">
        <f t="shared" si="4"/>
        <v>0</v>
      </c>
      <c r="I10" s="75"/>
      <c r="J10" s="61"/>
      <c r="K10" s="75">
        <f t="shared" si="5"/>
        <v>0</v>
      </c>
      <c r="L10" s="51"/>
      <c r="N10" s="54" t="s">
        <v>67</v>
      </c>
    </row>
    <row r="11">
      <c r="A11" s="53"/>
      <c r="B11" s="78"/>
      <c r="C11" s="78"/>
      <c r="D11" s="79"/>
      <c r="E11" s="75">
        <f t="shared" si="1"/>
        <v>0</v>
      </c>
      <c r="F11" s="76">
        <f t="shared" si="2"/>
        <v>0</v>
      </c>
      <c r="G11" s="75">
        <f t="shared" si="3"/>
        <v>0</v>
      </c>
      <c r="H11" s="75">
        <f t="shared" si="4"/>
        <v>0</v>
      </c>
      <c r="I11" s="78"/>
      <c r="J11" s="78"/>
      <c r="K11" s="75">
        <f t="shared" si="5"/>
        <v>0</v>
      </c>
      <c r="L11" s="51"/>
      <c r="N11" s="80">
        <v>21500.0</v>
      </c>
    </row>
    <row r="12">
      <c r="A12" s="56"/>
      <c r="B12" s="81"/>
      <c r="C12" s="81"/>
      <c r="D12" s="79"/>
      <c r="E12" s="75">
        <f t="shared" si="1"/>
        <v>0</v>
      </c>
      <c r="F12" s="76">
        <f t="shared" si="2"/>
        <v>0</v>
      </c>
      <c r="G12" s="75">
        <f t="shared" si="3"/>
        <v>0</v>
      </c>
      <c r="H12" s="75">
        <f t="shared" si="4"/>
        <v>0</v>
      </c>
      <c r="I12" s="51"/>
      <c r="J12" s="51"/>
      <c r="K12" s="75">
        <f t="shared" si="5"/>
        <v>0</v>
      </c>
      <c r="L12" s="51"/>
      <c r="N12" s="64"/>
    </row>
    <row r="13">
      <c r="A13" s="56"/>
      <c r="B13" s="81"/>
      <c r="C13" s="78"/>
      <c r="D13" s="79"/>
      <c r="E13" s="75">
        <f t="shared" si="1"/>
        <v>0</v>
      </c>
      <c r="F13" s="76">
        <f t="shared" si="2"/>
        <v>0</v>
      </c>
      <c r="G13" s="75">
        <f t="shared" si="3"/>
        <v>0</v>
      </c>
      <c r="H13" s="75">
        <f t="shared" si="4"/>
        <v>0</v>
      </c>
      <c r="I13" s="51"/>
      <c r="J13" s="51"/>
      <c r="K13" s="75">
        <f t="shared" si="5"/>
        <v>0</v>
      </c>
      <c r="L13" s="51"/>
      <c r="N13" s="64"/>
    </row>
    <row r="14">
      <c r="A14" s="66"/>
      <c r="B14" s="51"/>
      <c r="C14" s="51"/>
      <c r="D14" s="79"/>
      <c r="E14" s="75">
        <f t="shared" si="1"/>
        <v>0</v>
      </c>
      <c r="F14" s="76">
        <f t="shared" si="2"/>
        <v>0</v>
      </c>
      <c r="G14" s="75">
        <f t="shared" si="3"/>
        <v>0</v>
      </c>
      <c r="H14" s="75">
        <f t="shared" si="4"/>
        <v>0</v>
      </c>
      <c r="I14" s="82"/>
      <c r="J14" s="51"/>
      <c r="K14" s="75">
        <f t="shared" si="5"/>
        <v>0</v>
      </c>
      <c r="L14" s="51"/>
      <c r="N14" s="56"/>
    </row>
    <row r="15">
      <c r="A15" s="66"/>
      <c r="B15" s="51"/>
      <c r="C15" s="51"/>
      <c r="D15" s="51"/>
      <c r="E15" s="75"/>
      <c r="F15" s="76"/>
      <c r="G15" s="75"/>
      <c r="H15" s="75"/>
      <c r="I15" s="82"/>
      <c r="J15" s="51"/>
      <c r="K15" s="75"/>
      <c r="L15" s="51"/>
      <c r="N15" s="56"/>
    </row>
    <row r="16">
      <c r="A16" s="66"/>
      <c r="B16" s="51"/>
      <c r="C16" s="51"/>
      <c r="D16" s="51"/>
      <c r="E16" s="82">
        <f t="shared" ref="E16:H16" si="6">SUM(E3:E15)</f>
        <v>0</v>
      </c>
      <c r="F16" s="82">
        <f t="shared" si="6"/>
        <v>0</v>
      </c>
      <c r="G16" s="82">
        <f t="shared" si="6"/>
        <v>0</v>
      </c>
      <c r="H16" s="82">
        <f t="shared" si="6"/>
        <v>0</v>
      </c>
      <c r="I16" s="82"/>
      <c r="J16" s="51"/>
      <c r="K16" s="82">
        <f>SUM(K3:K14)-I16</f>
        <v>0</v>
      </c>
      <c r="L16" s="51"/>
      <c r="N16" s="56"/>
    </row>
    <row r="17">
      <c r="A17" s="83"/>
      <c r="B17" s="51"/>
      <c r="C17" s="51"/>
      <c r="D17" s="51"/>
      <c r="E17" s="51"/>
      <c r="F17" s="51"/>
      <c r="G17" s="51"/>
      <c r="H17" s="51"/>
      <c r="I17" s="51"/>
      <c r="J17" s="51"/>
      <c r="K17" s="51"/>
      <c r="L17" s="51"/>
      <c r="N17" s="54" t="s">
        <v>64</v>
      </c>
    </row>
    <row r="18">
      <c r="A18" s="84" t="s">
        <v>68</v>
      </c>
      <c r="B18" s="71" t="s">
        <v>59</v>
      </c>
      <c r="C18" s="71" t="s">
        <v>11</v>
      </c>
      <c r="D18" s="71" t="s">
        <v>60</v>
      </c>
      <c r="E18" s="71" t="s">
        <v>23</v>
      </c>
      <c r="F18" s="71" t="s">
        <v>61</v>
      </c>
      <c r="G18" s="71" t="s">
        <v>62</v>
      </c>
      <c r="H18" s="71" t="s">
        <v>63</v>
      </c>
      <c r="I18" s="71" t="s">
        <v>64</v>
      </c>
      <c r="J18" s="71" t="s">
        <v>69</v>
      </c>
      <c r="K18" s="71" t="s">
        <v>65</v>
      </c>
      <c r="L18" s="51"/>
      <c r="N18" s="64">
        <f>I14+I33</f>
        <v>0</v>
      </c>
    </row>
    <row r="19">
      <c r="A19" s="78"/>
      <c r="B19" s="78"/>
      <c r="C19" s="77"/>
      <c r="D19" s="75"/>
      <c r="E19" s="75">
        <f t="shared" ref="E19:E31" si="7">C19*D19</f>
        <v>0</v>
      </c>
      <c r="F19" s="76">
        <f t="shared" ref="F19:F27" si="8">(E19*3.24/100)</f>
        <v>0</v>
      </c>
      <c r="G19" s="75">
        <f t="shared" ref="G19:G31" si="9">E19*6%</f>
        <v>0</v>
      </c>
      <c r="H19" s="75">
        <f t="shared" ref="H19:H31" si="10">E19-F19-G19</f>
        <v>0</v>
      </c>
      <c r="I19" s="75"/>
      <c r="J19" s="61"/>
      <c r="K19" s="75">
        <f>I19-H19-H20-H21</f>
        <v>0</v>
      </c>
      <c r="L19" s="85"/>
      <c r="N19" s="56"/>
    </row>
    <row r="20">
      <c r="A20" s="78"/>
      <c r="B20" s="78"/>
      <c r="C20" s="77"/>
      <c r="D20" s="75"/>
      <c r="E20" s="75">
        <f t="shared" si="7"/>
        <v>0</v>
      </c>
      <c r="F20" s="76">
        <f t="shared" si="8"/>
        <v>0</v>
      </c>
      <c r="G20" s="75">
        <f t="shared" si="9"/>
        <v>0</v>
      </c>
      <c r="H20" s="75">
        <f t="shared" si="10"/>
        <v>0</v>
      </c>
      <c r="J20" s="61"/>
      <c r="N20" s="56" t="s">
        <v>29</v>
      </c>
    </row>
    <row r="21" ht="15.75" customHeight="1">
      <c r="A21" s="78"/>
      <c r="B21" s="78"/>
      <c r="C21" s="77"/>
      <c r="D21" s="75"/>
      <c r="E21" s="75">
        <f t="shared" si="7"/>
        <v>0</v>
      </c>
      <c r="F21" s="76">
        <f t="shared" si="8"/>
        <v>0</v>
      </c>
      <c r="G21" s="75">
        <f t="shared" si="9"/>
        <v>0</v>
      </c>
      <c r="H21" s="75">
        <f t="shared" si="10"/>
        <v>0</v>
      </c>
      <c r="J21" s="61"/>
      <c r="L21" s="51"/>
      <c r="N21" s="86">
        <f>N7-N12-N18</f>
        <v>0</v>
      </c>
    </row>
    <row r="22" ht="15.75" customHeight="1">
      <c r="A22" s="78"/>
      <c r="B22" s="78"/>
      <c r="C22" s="77"/>
      <c r="D22" s="75"/>
      <c r="E22" s="75">
        <f t="shared" si="7"/>
        <v>0</v>
      </c>
      <c r="F22" s="76">
        <f t="shared" si="8"/>
        <v>0</v>
      </c>
      <c r="G22" s="75">
        <f t="shared" si="9"/>
        <v>0</v>
      </c>
      <c r="H22" s="75">
        <f t="shared" si="10"/>
        <v>0</v>
      </c>
      <c r="I22" s="75"/>
      <c r="J22" s="61"/>
      <c r="K22" s="75">
        <f t="shared" ref="K22:K23" si="11">H22-I22</f>
        <v>0</v>
      </c>
      <c r="L22" s="51"/>
      <c r="N22" s="56"/>
    </row>
    <row r="23" ht="15.75" customHeight="1">
      <c r="A23" s="87"/>
      <c r="B23" s="88"/>
      <c r="C23" s="73"/>
      <c r="D23" s="75"/>
      <c r="E23" s="75">
        <f t="shared" si="7"/>
        <v>0</v>
      </c>
      <c r="F23" s="76">
        <f t="shared" si="8"/>
        <v>0</v>
      </c>
      <c r="G23" s="75">
        <f t="shared" si="9"/>
        <v>0</v>
      </c>
      <c r="H23" s="75">
        <f t="shared" si="10"/>
        <v>0</v>
      </c>
      <c r="I23" s="75"/>
      <c r="J23" s="61"/>
      <c r="K23" s="75">
        <f t="shared" si="11"/>
        <v>0</v>
      </c>
      <c r="L23" s="51"/>
      <c r="N23" s="56"/>
    </row>
    <row r="24" ht="15.75" customHeight="1">
      <c r="A24" s="78"/>
      <c r="B24" s="77"/>
      <c r="C24" s="77"/>
      <c r="D24" s="75"/>
      <c r="E24" s="75">
        <f t="shared" si="7"/>
        <v>0</v>
      </c>
      <c r="F24" s="76">
        <f t="shared" si="8"/>
        <v>0</v>
      </c>
      <c r="G24" s="75">
        <f t="shared" si="9"/>
        <v>0</v>
      </c>
      <c r="H24" s="75">
        <f t="shared" si="10"/>
        <v>0</v>
      </c>
      <c r="I24" s="75"/>
      <c r="J24" s="61"/>
      <c r="K24" s="75">
        <f>I24-H24-H25</f>
        <v>0</v>
      </c>
      <c r="L24" s="51"/>
      <c r="N24" s="51"/>
    </row>
    <row r="25" ht="15.75" customHeight="1">
      <c r="A25" s="78"/>
      <c r="C25" s="77"/>
      <c r="D25" s="75"/>
      <c r="E25" s="75">
        <f t="shared" si="7"/>
        <v>0</v>
      </c>
      <c r="F25" s="76">
        <f t="shared" si="8"/>
        <v>0</v>
      </c>
      <c r="G25" s="75">
        <f t="shared" si="9"/>
        <v>0</v>
      </c>
      <c r="H25" s="75">
        <f t="shared" si="10"/>
        <v>0</v>
      </c>
      <c r="J25" s="61"/>
      <c r="L25" s="51"/>
      <c r="N25" s="29"/>
    </row>
    <row r="26" ht="15.75" customHeight="1">
      <c r="A26" s="78"/>
      <c r="B26" s="77"/>
      <c r="C26" s="77"/>
      <c r="D26" s="75"/>
      <c r="E26" s="75">
        <f t="shared" si="7"/>
        <v>0</v>
      </c>
      <c r="F26" s="76">
        <f t="shared" si="8"/>
        <v>0</v>
      </c>
      <c r="G26" s="75">
        <f t="shared" si="9"/>
        <v>0</v>
      </c>
      <c r="H26" s="75">
        <f t="shared" si="10"/>
        <v>0</v>
      </c>
      <c r="I26" s="75"/>
      <c r="J26" s="61"/>
      <c r="K26" s="75">
        <f t="shared" ref="K26:K27" si="12">H26-I26</f>
        <v>0</v>
      </c>
      <c r="L26" s="51"/>
      <c r="N26" s="56"/>
    </row>
    <row r="27" ht="15.75" customHeight="1">
      <c r="A27" s="78"/>
      <c r="B27" s="77"/>
      <c r="C27" s="77"/>
      <c r="D27" s="75"/>
      <c r="E27" s="75">
        <f t="shared" si="7"/>
        <v>0</v>
      </c>
      <c r="F27" s="76">
        <f t="shared" si="8"/>
        <v>0</v>
      </c>
      <c r="G27" s="75">
        <f t="shared" si="9"/>
        <v>0</v>
      </c>
      <c r="H27" s="75">
        <f t="shared" si="10"/>
        <v>0</v>
      </c>
      <c r="I27" s="75"/>
      <c r="J27" s="61"/>
      <c r="K27" s="75">
        <f t="shared" si="12"/>
        <v>0</v>
      </c>
      <c r="L27" s="51"/>
      <c r="N27" s="56"/>
    </row>
    <row r="28" ht="15.75" customHeight="1">
      <c r="A28" s="78"/>
      <c r="B28" s="78"/>
      <c r="C28" s="77"/>
      <c r="D28" s="75"/>
      <c r="E28" s="75">
        <f t="shared" si="7"/>
        <v>0</v>
      </c>
      <c r="F28" s="76">
        <f t="shared" ref="F28:F31" si="13">(E28*3.24/100)+1</f>
        <v>1</v>
      </c>
      <c r="G28" s="75">
        <f t="shared" si="9"/>
        <v>0</v>
      </c>
      <c r="H28" s="75">
        <f t="shared" si="10"/>
        <v>-1</v>
      </c>
      <c r="I28" s="75"/>
      <c r="J28" s="61"/>
      <c r="K28" s="75"/>
      <c r="L28" s="51"/>
      <c r="N28" s="56"/>
    </row>
    <row r="29" ht="15.75" customHeight="1">
      <c r="A29" s="78"/>
      <c r="B29" s="78"/>
      <c r="C29" s="77"/>
      <c r="D29" s="75"/>
      <c r="E29" s="75">
        <f t="shared" si="7"/>
        <v>0</v>
      </c>
      <c r="F29" s="76">
        <f t="shared" si="13"/>
        <v>1</v>
      </c>
      <c r="G29" s="75">
        <f t="shared" si="9"/>
        <v>0</v>
      </c>
      <c r="H29" s="75">
        <f t="shared" si="10"/>
        <v>-1</v>
      </c>
      <c r="J29" s="61"/>
      <c r="L29" s="51"/>
      <c r="N29" s="56"/>
    </row>
    <row r="30" ht="15.75" customHeight="1">
      <c r="A30" s="78"/>
      <c r="B30" s="78"/>
      <c r="C30" s="77"/>
      <c r="D30" s="75"/>
      <c r="E30" s="75">
        <f t="shared" si="7"/>
        <v>0</v>
      </c>
      <c r="F30" s="76">
        <f t="shared" si="13"/>
        <v>1</v>
      </c>
      <c r="G30" s="75">
        <f t="shared" si="9"/>
        <v>0</v>
      </c>
      <c r="H30" s="75">
        <f t="shared" si="10"/>
        <v>-1</v>
      </c>
      <c r="J30" s="61"/>
      <c r="L30" s="51"/>
      <c r="N30" s="56"/>
    </row>
    <row r="31" ht="15.75" customHeight="1">
      <c r="A31" s="78"/>
      <c r="B31" s="78"/>
      <c r="C31" s="77"/>
      <c r="D31" s="75"/>
      <c r="E31" s="75">
        <f t="shared" si="7"/>
        <v>0</v>
      </c>
      <c r="F31" s="76">
        <f t="shared" si="13"/>
        <v>1</v>
      </c>
      <c r="G31" s="75">
        <f t="shared" si="9"/>
        <v>0</v>
      </c>
      <c r="H31" s="75">
        <f t="shared" si="10"/>
        <v>-1</v>
      </c>
      <c r="J31" s="61"/>
      <c r="L31" s="51"/>
      <c r="N31" s="56"/>
    </row>
    <row r="32" ht="15.75" customHeight="1">
      <c r="A32" s="51"/>
      <c r="B32" s="51"/>
      <c r="C32" s="51"/>
      <c r="D32" s="51"/>
      <c r="E32" s="51"/>
      <c r="F32" s="51"/>
      <c r="G32" s="51"/>
      <c r="H32" s="51"/>
      <c r="I32" s="51"/>
      <c r="J32" s="51"/>
      <c r="K32" s="51"/>
      <c r="L32" s="51"/>
      <c r="N32" s="56"/>
    </row>
    <row r="33" ht="15.75" customHeight="1">
      <c r="A33" s="51"/>
      <c r="B33" s="51"/>
      <c r="C33" s="51"/>
      <c r="D33" s="89"/>
      <c r="E33" s="82">
        <f t="shared" ref="E33:G33" si="14">SUM(E19:E31)</f>
        <v>0</v>
      </c>
      <c r="F33" s="82">
        <f t="shared" si="14"/>
        <v>4</v>
      </c>
      <c r="G33" s="82">
        <f t="shared" si="14"/>
        <v>0</v>
      </c>
      <c r="H33" s="51"/>
      <c r="I33" s="82">
        <f>SUM(I19:I31)</f>
        <v>0</v>
      </c>
      <c r="J33" s="51"/>
      <c r="K33" s="82">
        <f>SUM(K19:K31)</f>
        <v>0</v>
      </c>
      <c r="L33" s="51"/>
      <c r="N33" s="56"/>
    </row>
    <row r="34" ht="15.75" customHeight="1">
      <c r="A34" s="51"/>
      <c r="B34" s="51"/>
      <c r="C34" s="51"/>
      <c r="D34" s="51"/>
      <c r="E34" s="51"/>
      <c r="F34" s="51"/>
      <c r="G34" s="51"/>
      <c r="H34" s="51"/>
      <c r="I34" s="51"/>
      <c r="J34" s="51"/>
      <c r="K34" s="51"/>
      <c r="L34" s="51"/>
      <c r="N34" s="56"/>
    </row>
    <row r="35" ht="15.75" customHeight="1">
      <c r="A35" s="83"/>
      <c r="B35" s="51"/>
      <c r="C35" s="51"/>
      <c r="D35" s="51"/>
      <c r="E35" s="51"/>
      <c r="F35" s="51"/>
      <c r="G35" s="51"/>
      <c r="H35" s="51"/>
      <c r="I35" s="51"/>
      <c r="J35" s="51"/>
      <c r="K35" s="51"/>
      <c r="L35" s="51"/>
      <c r="N35" s="56"/>
    </row>
    <row r="36" ht="15.75" customHeight="1">
      <c r="A36" s="90" t="s">
        <v>70</v>
      </c>
      <c r="B36" s="71"/>
      <c r="C36" s="71" t="s">
        <v>11</v>
      </c>
      <c r="D36" s="71" t="s">
        <v>60</v>
      </c>
      <c r="E36" s="71" t="s">
        <v>23</v>
      </c>
      <c r="F36" s="71" t="s">
        <v>61</v>
      </c>
      <c r="G36" s="71" t="s">
        <v>62</v>
      </c>
      <c r="H36" s="71" t="s">
        <v>63</v>
      </c>
      <c r="I36" s="71" t="s">
        <v>64</v>
      </c>
      <c r="J36" s="71" t="s">
        <v>69</v>
      </c>
      <c r="K36" s="71" t="s">
        <v>65</v>
      </c>
      <c r="L36" s="51"/>
      <c r="N36" s="51"/>
    </row>
    <row r="37" ht="15.75" customHeight="1">
      <c r="A37" s="78"/>
      <c r="B37" s="78"/>
      <c r="C37" s="77"/>
      <c r="D37" s="75"/>
      <c r="E37" s="75"/>
      <c r="F37" s="76"/>
      <c r="G37" s="75"/>
      <c r="H37" s="75"/>
      <c r="I37" s="91"/>
      <c r="J37" s="92"/>
      <c r="K37" s="93"/>
      <c r="L37" s="51"/>
      <c r="N37" s="54"/>
    </row>
    <row r="38" ht="15.75" customHeight="1">
      <c r="A38" s="78"/>
      <c r="B38" s="78"/>
      <c r="C38" s="77"/>
      <c r="D38" s="75"/>
      <c r="E38" s="75"/>
      <c r="F38" s="76"/>
      <c r="G38" s="75"/>
      <c r="H38" s="75"/>
      <c r="J38" s="92"/>
      <c r="L38" s="51"/>
      <c r="N38" s="56" t="s">
        <v>65</v>
      </c>
    </row>
    <row r="39" ht="15.75" customHeight="1">
      <c r="A39" s="78"/>
      <c r="B39" s="78"/>
      <c r="C39" s="77"/>
      <c r="D39" s="75"/>
      <c r="E39" s="75"/>
      <c r="F39" s="76"/>
      <c r="G39" s="75"/>
      <c r="H39" s="75"/>
      <c r="I39" s="75"/>
      <c r="J39" s="61"/>
      <c r="L39" s="51"/>
      <c r="N39" s="64">
        <f>K52+K64+K73</f>
        <v>0</v>
      </c>
    </row>
    <row r="40" ht="15.75" customHeight="1">
      <c r="A40" s="78"/>
      <c r="B40" s="78"/>
      <c r="C40" s="77"/>
      <c r="D40" s="75"/>
      <c r="E40" s="75"/>
      <c r="F40" s="76"/>
      <c r="G40" s="75"/>
      <c r="H40" s="75"/>
      <c r="I40" s="61"/>
      <c r="J40" s="75"/>
      <c r="L40" s="51"/>
      <c r="N40" s="56"/>
    </row>
    <row r="41" ht="15.75" customHeight="1">
      <c r="A41" s="78"/>
      <c r="B41" s="78"/>
      <c r="C41" s="77"/>
      <c r="D41" s="75"/>
      <c r="E41" s="75"/>
      <c r="F41" s="76"/>
      <c r="G41" s="75"/>
      <c r="H41" s="75"/>
      <c r="I41" s="75"/>
      <c r="J41" s="61"/>
      <c r="K41" s="75"/>
      <c r="L41" s="51"/>
      <c r="N41" s="56"/>
    </row>
    <row r="42" ht="15.75" customHeight="1">
      <c r="A42" s="78"/>
      <c r="B42" s="78"/>
      <c r="C42" s="77"/>
      <c r="D42" s="75"/>
      <c r="E42" s="75"/>
      <c r="F42" s="76"/>
      <c r="G42" s="75"/>
      <c r="H42" s="75"/>
      <c r="L42" s="51"/>
      <c r="N42" s="54" t="s">
        <v>67</v>
      </c>
    </row>
    <row r="43" ht="15.75" customHeight="1">
      <c r="A43" s="78"/>
      <c r="B43" s="78"/>
      <c r="C43" s="77"/>
      <c r="D43" s="75"/>
      <c r="E43" s="75"/>
      <c r="F43" s="76"/>
      <c r="G43" s="75"/>
      <c r="H43" s="75"/>
      <c r="L43" s="51"/>
      <c r="N43" s="64"/>
    </row>
    <row r="44" ht="15.75" customHeight="1">
      <c r="A44" s="78"/>
      <c r="B44" s="78"/>
      <c r="C44" s="77"/>
      <c r="D44" s="75"/>
      <c r="E44" s="75"/>
      <c r="F44" s="76"/>
      <c r="G44" s="75"/>
      <c r="H44" s="75"/>
      <c r="L44" s="51"/>
      <c r="N44" s="56"/>
    </row>
    <row r="45" ht="15.75" customHeight="1">
      <c r="A45" s="78"/>
      <c r="B45" s="78"/>
      <c r="C45" s="77"/>
      <c r="D45" s="75"/>
      <c r="E45" s="75"/>
      <c r="F45" s="76"/>
      <c r="G45" s="75"/>
      <c r="H45" s="75"/>
      <c r="L45" s="51"/>
      <c r="N45" s="54" t="s">
        <v>64</v>
      </c>
    </row>
    <row r="46" ht="15.75" customHeight="1">
      <c r="A46" s="78"/>
      <c r="B46" s="78"/>
      <c r="C46" s="77"/>
      <c r="D46" s="75"/>
      <c r="E46" s="75"/>
      <c r="F46" s="76"/>
      <c r="G46" s="75"/>
      <c r="H46" s="75"/>
      <c r="I46" s="78"/>
      <c r="J46" s="78"/>
      <c r="K46" s="75"/>
      <c r="L46" s="51"/>
      <c r="N46" s="64">
        <f>I52+I64+I73</f>
        <v>0</v>
      </c>
    </row>
    <row r="47" ht="15.75" customHeight="1">
      <c r="A47" s="78"/>
      <c r="B47" s="78"/>
      <c r="C47" s="77"/>
      <c r="D47" s="75"/>
      <c r="E47" s="75"/>
      <c r="F47" s="76"/>
      <c r="G47" s="75"/>
      <c r="H47" s="75"/>
      <c r="L47" s="51"/>
      <c r="N47" s="56"/>
    </row>
    <row r="48" ht="15.75" customHeight="1">
      <c r="A48" s="78"/>
      <c r="B48" s="78"/>
      <c r="C48" s="77"/>
      <c r="D48" s="75"/>
      <c r="E48" s="75"/>
      <c r="F48" s="76"/>
      <c r="G48" s="75"/>
      <c r="H48" s="75"/>
      <c r="L48" s="51"/>
      <c r="N48" s="56"/>
    </row>
    <row r="49" ht="15.75" customHeight="1">
      <c r="A49" s="78"/>
      <c r="B49" s="78"/>
      <c r="C49" s="77"/>
      <c r="D49" s="75"/>
      <c r="E49" s="75"/>
      <c r="F49" s="76"/>
      <c r="G49" s="75"/>
      <c r="H49" s="75"/>
      <c r="L49" s="51"/>
      <c r="N49" s="56" t="s">
        <v>29</v>
      </c>
    </row>
    <row r="50" ht="15.75" customHeight="1">
      <c r="A50" s="78"/>
      <c r="B50" s="78"/>
      <c r="C50" s="77"/>
      <c r="D50" s="75"/>
      <c r="E50" s="75"/>
      <c r="F50" s="76"/>
      <c r="G50" s="75"/>
      <c r="H50" s="75"/>
      <c r="L50" s="51"/>
      <c r="N50" s="29"/>
    </row>
    <row r="51" ht="15.75" customHeight="1">
      <c r="A51" s="78"/>
      <c r="B51" s="78"/>
      <c r="C51" s="77"/>
      <c r="D51" s="75"/>
      <c r="E51" s="75"/>
      <c r="F51" s="76"/>
      <c r="G51" s="75"/>
      <c r="H51" s="75"/>
      <c r="L51" s="51"/>
      <c r="N51" s="86">
        <f>N39-N43-N46</f>
        <v>0</v>
      </c>
    </row>
    <row r="52" ht="15.75" customHeight="1">
      <c r="A52" s="78"/>
      <c r="B52" s="78"/>
      <c r="C52" s="78"/>
      <c r="D52" s="61"/>
      <c r="E52" s="82">
        <f t="shared" ref="E52:G52" si="15">SUM(E37:E51)</f>
        <v>0</v>
      </c>
      <c r="F52" s="82">
        <f t="shared" si="15"/>
        <v>0</v>
      </c>
      <c r="G52" s="82">
        <f t="shared" si="15"/>
        <v>0</v>
      </c>
      <c r="H52" s="51"/>
      <c r="I52" s="82">
        <f>SUM(I37:I51)</f>
        <v>0</v>
      </c>
      <c r="J52" s="51"/>
      <c r="K52" s="82">
        <f>SUM(K37:K51)</f>
        <v>0</v>
      </c>
      <c r="L52" s="51"/>
      <c r="N52" s="54"/>
    </row>
    <row r="53" ht="15.75" customHeight="1">
      <c r="A53" s="78"/>
      <c r="B53" s="78"/>
      <c r="C53" s="78"/>
      <c r="D53" s="61"/>
      <c r="E53" s="51"/>
      <c r="F53" s="51"/>
      <c r="G53" s="51"/>
      <c r="H53" s="51"/>
      <c r="I53" s="51"/>
      <c r="J53" s="51"/>
      <c r="K53" s="51"/>
      <c r="L53" s="51"/>
      <c r="N53" s="54"/>
    </row>
    <row r="54" ht="15.75" customHeight="1">
      <c r="A54" s="83"/>
      <c r="B54" s="51"/>
      <c r="C54" s="51"/>
      <c r="D54" s="51"/>
      <c r="E54" s="51"/>
      <c r="F54" s="51"/>
      <c r="G54" s="51"/>
      <c r="H54" s="51"/>
      <c r="I54" s="51"/>
      <c r="J54" s="51"/>
      <c r="K54" s="51"/>
      <c r="L54" s="51"/>
      <c r="M54" s="51"/>
      <c r="N54" s="51"/>
    </row>
    <row r="55" ht="15.75" customHeight="1">
      <c r="A55" s="70" t="s">
        <v>71</v>
      </c>
      <c r="B55" s="71"/>
      <c r="C55" s="71" t="s">
        <v>11</v>
      </c>
      <c r="D55" s="71" t="s">
        <v>60</v>
      </c>
      <c r="E55" s="71" t="s">
        <v>23</v>
      </c>
      <c r="F55" s="71" t="s">
        <v>61</v>
      </c>
      <c r="G55" s="71" t="s">
        <v>62</v>
      </c>
      <c r="H55" s="71" t="s">
        <v>63</v>
      </c>
      <c r="I55" s="71" t="s">
        <v>64</v>
      </c>
      <c r="J55" s="71"/>
      <c r="K55" s="71" t="s">
        <v>65</v>
      </c>
      <c r="L55" s="51"/>
      <c r="M55" s="94" t="s">
        <v>72</v>
      </c>
      <c r="N55" s="51"/>
    </row>
    <row r="56" ht="15.75" customHeight="1">
      <c r="A56" s="78"/>
      <c r="B56" s="95"/>
      <c r="C56" s="77"/>
      <c r="D56" s="75"/>
      <c r="E56" s="75"/>
      <c r="F56" s="76"/>
      <c r="G56" s="75"/>
      <c r="H56" s="75"/>
      <c r="I56" s="75"/>
      <c r="J56" s="61"/>
      <c r="K56" s="75"/>
      <c r="L56" s="51"/>
      <c r="N56" s="51"/>
    </row>
    <row r="57" ht="15.75" customHeight="1">
      <c r="A57" s="78"/>
      <c r="C57" s="77"/>
      <c r="D57" s="75"/>
      <c r="E57" s="75"/>
      <c r="F57" s="76"/>
      <c r="G57" s="75"/>
      <c r="H57" s="75"/>
      <c r="J57" s="61"/>
      <c r="L57" s="51"/>
      <c r="N57" s="51"/>
    </row>
    <row r="58" ht="15.75" customHeight="1">
      <c r="A58" s="78"/>
      <c r="C58" s="77"/>
      <c r="D58" s="75"/>
      <c r="E58" s="75"/>
      <c r="F58" s="76"/>
      <c r="G58" s="75"/>
      <c r="H58" s="75"/>
      <c r="J58" s="61"/>
      <c r="L58" s="51"/>
      <c r="N58" s="51"/>
    </row>
    <row r="59" ht="15.75" customHeight="1">
      <c r="A59" s="78"/>
      <c r="B59" s="95"/>
      <c r="C59" s="77"/>
      <c r="D59" s="75"/>
      <c r="E59" s="75"/>
      <c r="F59" s="76"/>
      <c r="G59" s="75"/>
      <c r="H59" s="75"/>
      <c r="J59" s="61"/>
      <c r="L59" s="51"/>
      <c r="N59" s="51"/>
    </row>
    <row r="60" ht="15.75" customHeight="1">
      <c r="A60" s="78"/>
      <c r="B60" s="78"/>
      <c r="C60" s="77"/>
      <c r="D60" s="75"/>
      <c r="E60" s="75"/>
      <c r="F60" s="76"/>
      <c r="G60" s="75"/>
      <c r="H60" s="75"/>
      <c r="I60" s="61"/>
      <c r="J60" s="61"/>
      <c r="K60" s="78"/>
      <c r="L60" s="51"/>
      <c r="N60" s="51"/>
    </row>
    <row r="61" ht="15.75" customHeight="1">
      <c r="A61" s="78"/>
      <c r="B61" s="78"/>
      <c r="C61" s="77"/>
      <c r="D61" s="75"/>
      <c r="E61" s="75"/>
      <c r="F61" s="76"/>
      <c r="G61" s="75"/>
      <c r="H61" s="75"/>
      <c r="I61" s="78"/>
      <c r="J61" s="78"/>
      <c r="K61" s="78"/>
      <c r="L61" s="51"/>
      <c r="N61" s="51"/>
    </row>
    <row r="62" ht="15.75" customHeight="1">
      <c r="A62" s="78"/>
      <c r="B62" s="78"/>
      <c r="C62" s="77"/>
      <c r="D62" s="75"/>
      <c r="E62" s="75"/>
      <c r="F62" s="76"/>
      <c r="G62" s="75"/>
      <c r="H62" s="75"/>
      <c r="I62" s="78"/>
      <c r="J62" s="78"/>
      <c r="K62" s="78"/>
      <c r="L62" s="51"/>
      <c r="N62" s="51"/>
    </row>
    <row r="63" ht="15.75" customHeight="1">
      <c r="A63" s="78"/>
      <c r="B63" s="78"/>
      <c r="C63" s="77"/>
      <c r="D63" s="75"/>
      <c r="E63" s="75"/>
      <c r="F63" s="76"/>
      <c r="G63" s="75"/>
      <c r="H63" s="75"/>
      <c r="I63" s="78"/>
      <c r="J63" s="78"/>
      <c r="K63" s="78"/>
      <c r="L63" s="51"/>
      <c r="N63" s="56"/>
    </row>
    <row r="64" ht="15.75" customHeight="1">
      <c r="A64" s="51"/>
      <c r="B64" s="51"/>
      <c r="C64" s="51"/>
      <c r="D64" s="51"/>
      <c r="E64" s="82">
        <f t="shared" ref="E64:G64" si="16">SUM(E56:E63)</f>
        <v>0</v>
      </c>
      <c r="F64" s="82">
        <f t="shared" si="16"/>
        <v>0</v>
      </c>
      <c r="G64" s="82">
        <f t="shared" si="16"/>
        <v>0</v>
      </c>
      <c r="H64" s="51"/>
      <c r="I64" s="82">
        <f>SUM(I56:I63)</f>
        <v>0</v>
      </c>
      <c r="J64" s="51"/>
      <c r="K64" s="82">
        <f>SUM(K56:K62)</f>
        <v>0</v>
      </c>
      <c r="L64" s="51"/>
      <c r="N64" s="56"/>
    </row>
    <row r="65" ht="15.75" customHeight="1">
      <c r="A65" s="83"/>
      <c r="B65" s="51"/>
      <c r="C65" s="51"/>
      <c r="D65" s="51"/>
      <c r="E65" s="51"/>
      <c r="F65" s="51"/>
      <c r="G65" s="51"/>
      <c r="H65" s="51"/>
      <c r="I65" s="51"/>
      <c r="J65" s="51"/>
      <c r="K65" s="51"/>
      <c r="L65" s="51"/>
      <c r="N65" s="56"/>
    </row>
    <row r="66" ht="15.75" customHeight="1">
      <c r="A66" s="84" t="s">
        <v>73</v>
      </c>
      <c r="B66" s="71"/>
      <c r="C66" s="71" t="s">
        <v>11</v>
      </c>
      <c r="D66" s="71" t="s">
        <v>60</v>
      </c>
      <c r="E66" s="71" t="s">
        <v>23</v>
      </c>
      <c r="F66" s="71" t="s">
        <v>61</v>
      </c>
      <c r="G66" s="71" t="s">
        <v>62</v>
      </c>
      <c r="H66" s="71" t="s">
        <v>63</v>
      </c>
      <c r="I66" s="71" t="s">
        <v>64</v>
      </c>
      <c r="J66" s="71"/>
      <c r="K66" s="71" t="s">
        <v>65</v>
      </c>
      <c r="L66" s="51"/>
      <c r="N66" s="56"/>
    </row>
    <row r="67" ht="15.75" customHeight="1">
      <c r="A67" s="51"/>
      <c r="B67" s="51"/>
      <c r="C67" s="51"/>
      <c r="D67" s="89"/>
      <c r="E67" s="51"/>
      <c r="F67" s="59"/>
      <c r="G67" s="51"/>
      <c r="H67" s="51"/>
      <c r="I67" s="89"/>
      <c r="J67" s="89"/>
      <c r="K67" s="51"/>
      <c r="L67" s="51"/>
      <c r="N67" s="56"/>
    </row>
    <row r="68" ht="15.75" customHeight="1">
      <c r="A68" s="51"/>
      <c r="B68" s="51"/>
      <c r="C68" s="51"/>
      <c r="D68" s="89"/>
      <c r="E68" s="51"/>
      <c r="F68" s="59"/>
      <c r="G68" s="51"/>
      <c r="H68" s="51"/>
      <c r="I68" s="89"/>
      <c r="J68" s="89"/>
      <c r="K68" s="51"/>
      <c r="L68" s="51"/>
      <c r="N68" s="56"/>
    </row>
    <row r="69" ht="15.75" customHeight="1">
      <c r="A69" s="51"/>
      <c r="B69" s="51"/>
      <c r="C69" s="51"/>
      <c r="D69" s="89"/>
      <c r="E69" s="51"/>
      <c r="F69" s="59"/>
      <c r="G69" s="51"/>
      <c r="H69" s="51"/>
      <c r="I69" s="89"/>
      <c r="J69" s="89"/>
      <c r="K69" s="51"/>
      <c r="L69" s="51"/>
      <c r="N69" s="51"/>
    </row>
    <row r="70" ht="15.75" customHeight="1">
      <c r="A70" s="51"/>
      <c r="B70" s="51"/>
      <c r="C70" s="51"/>
      <c r="D70" s="89"/>
      <c r="E70" s="51"/>
      <c r="F70" s="59"/>
      <c r="G70" s="51"/>
      <c r="H70" s="51"/>
      <c r="I70" s="89"/>
      <c r="J70" s="89"/>
      <c r="K70" s="51"/>
      <c r="L70" s="51"/>
      <c r="N70" s="51"/>
    </row>
    <row r="71" ht="15.75" customHeight="1">
      <c r="A71" s="89"/>
      <c r="B71" s="51"/>
      <c r="C71" s="51"/>
      <c r="D71" s="89"/>
      <c r="E71" s="51"/>
      <c r="F71" s="59"/>
      <c r="G71" s="51"/>
      <c r="H71" s="51"/>
      <c r="I71" s="89"/>
      <c r="J71" s="89"/>
      <c r="K71" s="51"/>
      <c r="L71" s="51"/>
      <c r="N71" s="51"/>
    </row>
    <row r="72" ht="15.75" customHeight="1">
      <c r="A72" s="51"/>
      <c r="B72" s="51"/>
      <c r="C72" s="51"/>
      <c r="D72" s="51"/>
      <c r="E72" s="51"/>
      <c r="F72" s="51"/>
      <c r="G72" s="51"/>
      <c r="H72" s="51"/>
      <c r="I72" s="51"/>
      <c r="J72" s="51"/>
      <c r="K72" s="51"/>
      <c r="L72" s="51"/>
      <c r="N72" s="51"/>
    </row>
    <row r="73" ht="15.75" customHeight="1">
      <c r="A73" s="51"/>
      <c r="B73" s="51"/>
      <c r="C73" s="51"/>
      <c r="D73" s="51"/>
      <c r="E73" s="51"/>
      <c r="F73" s="51"/>
      <c r="G73" s="51"/>
      <c r="H73" s="89"/>
      <c r="I73" s="82">
        <f>SUM(I67:I71)</f>
        <v>0</v>
      </c>
      <c r="J73" s="89"/>
      <c r="K73" s="82">
        <f>SUM(K67:K71)</f>
        <v>0</v>
      </c>
      <c r="L73" s="51"/>
      <c r="N73" s="51"/>
    </row>
    <row r="74" ht="15.75" customHeight="1">
      <c r="A74" s="51"/>
      <c r="B74" s="51"/>
      <c r="C74" s="51"/>
      <c r="D74" s="51"/>
      <c r="E74" s="51"/>
      <c r="F74" s="51"/>
      <c r="G74" s="51"/>
      <c r="H74" s="51"/>
      <c r="I74" s="51"/>
      <c r="J74" s="51"/>
      <c r="K74" s="51"/>
      <c r="L74" s="51"/>
      <c r="N74" s="51"/>
    </row>
    <row r="75" ht="15.75" customHeight="1">
      <c r="A75" s="90" t="s">
        <v>74</v>
      </c>
      <c r="B75" s="71"/>
      <c r="C75" s="71" t="s">
        <v>11</v>
      </c>
      <c r="D75" s="71" t="s">
        <v>60</v>
      </c>
      <c r="E75" s="71" t="s">
        <v>23</v>
      </c>
      <c r="F75" s="71" t="s">
        <v>61</v>
      </c>
      <c r="G75" s="71" t="s">
        <v>62</v>
      </c>
      <c r="H75" s="71" t="s">
        <v>63</v>
      </c>
      <c r="I75" s="71" t="s">
        <v>64</v>
      </c>
      <c r="J75" s="71"/>
      <c r="K75" s="71" t="s">
        <v>65</v>
      </c>
      <c r="L75" s="51"/>
      <c r="N75" s="51"/>
    </row>
    <row r="76" ht="15.75" customHeight="1">
      <c r="A76" s="51"/>
      <c r="B76" s="51"/>
      <c r="C76" s="51"/>
      <c r="D76" s="89"/>
      <c r="E76" s="51"/>
      <c r="F76" s="59"/>
      <c r="G76" s="51"/>
      <c r="H76" s="51"/>
      <c r="I76" s="89"/>
      <c r="J76" s="89"/>
      <c r="K76" s="51"/>
      <c r="L76" s="51"/>
      <c r="N76" s="51"/>
    </row>
    <row r="77" ht="15.75" customHeight="1">
      <c r="A77" s="51"/>
      <c r="B77" s="51"/>
      <c r="C77" s="51"/>
      <c r="D77" s="89"/>
      <c r="E77" s="51"/>
      <c r="F77" s="59"/>
      <c r="G77" s="51"/>
      <c r="H77" s="51"/>
      <c r="I77" s="89"/>
      <c r="J77" s="89"/>
      <c r="K77" s="51"/>
      <c r="L77" s="51"/>
      <c r="N77" s="51"/>
    </row>
    <row r="78" ht="15.75" customHeight="1">
      <c r="A78" s="51"/>
      <c r="B78" s="51"/>
      <c r="C78" s="51"/>
      <c r="D78" s="89"/>
      <c r="E78" s="51"/>
      <c r="F78" s="59"/>
      <c r="G78" s="51"/>
      <c r="H78" s="51"/>
      <c r="I78" s="89"/>
      <c r="J78" s="89"/>
      <c r="K78" s="51"/>
      <c r="L78" s="51"/>
      <c r="N78" s="51"/>
    </row>
    <row r="79" ht="15.75" customHeight="1">
      <c r="A79" s="51"/>
      <c r="B79" s="51"/>
      <c r="C79" s="51"/>
      <c r="D79" s="89"/>
      <c r="E79" s="51"/>
      <c r="F79" s="59"/>
      <c r="G79" s="51"/>
      <c r="H79" s="51"/>
      <c r="I79" s="89"/>
      <c r="J79" s="89"/>
      <c r="K79" s="51"/>
      <c r="L79" s="51"/>
      <c r="N79" s="51"/>
    </row>
    <row r="80" ht="15.75" customHeight="1">
      <c r="A80" s="89"/>
      <c r="B80" s="51"/>
      <c r="C80" s="51"/>
      <c r="D80" s="89"/>
      <c r="E80" s="51"/>
      <c r="F80" s="59"/>
      <c r="G80" s="51"/>
      <c r="H80" s="51"/>
      <c r="I80" s="89"/>
      <c r="J80" s="89"/>
      <c r="K80" s="51"/>
      <c r="L80" s="51"/>
      <c r="N80" s="51"/>
    </row>
    <row r="81" ht="15.75" customHeight="1">
      <c r="A81" s="51"/>
      <c r="B81" s="51"/>
      <c r="C81" s="51"/>
      <c r="D81" s="51"/>
      <c r="E81" s="51"/>
      <c r="F81" s="51"/>
      <c r="G81" s="51"/>
      <c r="H81" s="51"/>
      <c r="I81" s="51"/>
      <c r="J81" s="51"/>
      <c r="K81" s="51"/>
      <c r="L81" s="51"/>
      <c r="N81" s="51"/>
    </row>
    <row r="82" ht="15.75" customHeight="1">
      <c r="A82" s="51"/>
      <c r="B82" s="51"/>
      <c r="C82" s="51"/>
      <c r="D82" s="51"/>
      <c r="E82" s="51"/>
      <c r="F82" s="51"/>
      <c r="G82" s="51"/>
      <c r="H82" s="89"/>
      <c r="I82" s="82">
        <f>SUM(I76:I80)</f>
        <v>0</v>
      </c>
      <c r="J82" s="89"/>
      <c r="K82" s="82">
        <f>SUM(K76:K80)</f>
        <v>0</v>
      </c>
      <c r="L82" s="51"/>
      <c r="N82" s="51"/>
    </row>
    <row r="83" ht="15.75" customHeight="1">
      <c r="A83" s="51"/>
      <c r="B83" s="51"/>
      <c r="C83" s="51"/>
      <c r="D83" s="51"/>
      <c r="E83" s="51"/>
      <c r="F83" s="51"/>
      <c r="G83" s="51"/>
      <c r="H83" s="51"/>
      <c r="I83" s="51"/>
      <c r="J83" s="51"/>
      <c r="K83" s="51"/>
      <c r="L83" s="51"/>
      <c r="M83" s="51"/>
      <c r="N83" s="51"/>
    </row>
    <row r="84" ht="15.75" customHeight="1">
      <c r="A84" s="51"/>
      <c r="B84" s="51"/>
      <c r="C84" s="51"/>
      <c r="D84" s="51"/>
      <c r="E84" s="51"/>
      <c r="F84" s="51"/>
      <c r="G84" s="51"/>
      <c r="H84" s="51"/>
      <c r="I84" s="51"/>
      <c r="J84" s="51"/>
      <c r="K84" s="51"/>
      <c r="L84" s="51"/>
      <c r="M84" s="51"/>
      <c r="N84" s="51"/>
    </row>
    <row r="85" ht="15.75" customHeight="1">
      <c r="A85" s="51"/>
      <c r="B85" s="51"/>
      <c r="C85" s="51"/>
      <c r="D85" s="51"/>
      <c r="E85" s="51"/>
      <c r="F85" s="51"/>
      <c r="G85" s="51"/>
      <c r="H85" s="51"/>
      <c r="I85" s="51"/>
      <c r="J85" s="51"/>
      <c r="K85" s="51"/>
      <c r="L85" s="51"/>
      <c r="M85" s="51"/>
      <c r="N85" s="51"/>
    </row>
    <row r="86" ht="15.75" customHeight="1">
      <c r="A86" s="51"/>
      <c r="B86" s="51"/>
      <c r="C86" s="51"/>
      <c r="D86" s="51"/>
      <c r="E86" s="51"/>
      <c r="F86" s="51"/>
      <c r="G86" s="51"/>
      <c r="H86" s="51"/>
      <c r="I86" s="51"/>
      <c r="J86" s="51"/>
      <c r="K86" s="51"/>
      <c r="L86" s="51"/>
      <c r="M86" s="51"/>
      <c r="N86" s="51"/>
    </row>
    <row r="87" ht="15.75" customHeight="1">
      <c r="A87" s="51"/>
      <c r="B87" s="51"/>
      <c r="C87" s="51"/>
      <c r="D87" s="51"/>
      <c r="E87" s="51"/>
      <c r="F87" s="51"/>
      <c r="G87" s="51"/>
      <c r="H87" s="51"/>
      <c r="I87" s="51"/>
      <c r="J87" s="51"/>
      <c r="K87" s="51"/>
      <c r="L87" s="51"/>
      <c r="M87" s="51"/>
      <c r="N87" s="51"/>
    </row>
    <row r="88" ht="15.75" customHeight="1">
      <c r="A88" s="51"/>
      <c r="B88" s="51"/>
      <c r="C88" s="51"/>
      <c r="D88" s="51"/>
      <c r="E88" s="51"/>
      <c r="F88" s="51"/>
      <c r="G88" s="51"/>
      <c r="H88" s="51"/>
      <c r="I88" s="51"/>
      <c r="J88" s="51"/>
      <c r="K88" s="51"/>
      <c r="L88" s="51"/>
      <c r="M88" s="51"/>
      <c r="N88" s="51"/>
    </row>
    <row r="89" ht="15.75" customHeight="1">
      <c r="A89" s="51"/>
      <c r="B89" s="51"/>
      <c r="C89" s="51"/>
      <c r="D89" s="51"/>
      <c r="E89" s="51"/>
      <c r="F89" s="51"/>
      <c r="G89" s="51"/>
      <c r="H89" s="51"/>
      <c r="I89" s="51"/>
      <c r="J89" s="51"/>
      <c r="K89" s="51"/>
      <c r="L89" s="51"/>
      <c r="M89" s="51"/>
      <c r="N89" s="51"/>
    </row>
    <row r="90" ht="15.75" customHeight="1">
      <c r="A90" s="51"/>
      <c r="B90" s="51"/>
      <c r="C90" s="51"/>
      <c r="D90" s="51"/>
      <c r="E90" s="51"/>
      <c r="F90" s="51"/>
      <c r="G90" s="51"/>
      <c r="H90" s="51"/>
      <c r="I90" s="51"/>
      <c r="J90" s="51"/>
      <c r="K90" s="51"/>
      <c r="L90" s="51"/>
      <c r="M90" s="51"/>
      <c r="N90" s="51"/>
    </row>
    <row r="91" ht="15.75" customHeight="1">
      <c r="A91" s="51"/>
      <c r="B91" s="51"/>
      <c r="C91" s="51"/>
      <c r="D91" s="51"/>
      <c r="E91" s="51"/>
      <c r="F91" s="51"/>
      <c r="G91" s="51"/>
      <c r="H91" s="51"/>
      <c r="I91" s="51"/>
      <c r="J91" s="51"/>
      <c r="K91" s="51"/>
      <c r="L91" s="51"/>
      <c r="M91" s="51"/>
      <c r="N91" s="51"/>
    </row>
    <row r="92" ht="15.75" customHeight="1">
      <c r="A92" s="51"/>
      <c r="B92" s="51"/>
      <c r="C92" s="51"/>
      <c r="D92" s="51"/>
      <c r="E92" s="51"/>
      <c r="F92" s="51"/>
      <c r="G92" s="51"/>
      <c r="H92" s="51"/>
      <c r="I92" s="51"/>
      <c r="J92" s="51"/>
      <c r="K92" s="51"/>
      <c r="L92" s="51"/>
      <c r="M92" s="51"/>
      <c r="N92" s="51"/>
    </row>
    <row r="93" ht="15.75" customHeight="1">
      <c r="A93" s="51"/>
      <c r="B93" s="51"/>
      <c r="C93" s="51"/>
      <c r="D93" s="51"/>
      <c r="E93" s="51"/>
      <c r="F93" s="51"/>
      <c r="G93" s="51"/>
      <c r="H93" s="51"/>
      <c r="I93" s="51"/>
      <c r="J93" s="51"/>
      <c r="K93" s="51"/>
      <c r="L93" s="51"/>
      <c r="M93" s="51"/>
      <c r="N93" s="51"/>
    </row>
    <row r="94" ht="15.75" customHeight="1">
      <c r="A94" s="51"/>
      <c r="B94" s="51"/>
      <c r="C94" s="51"/>
      <c r="D94" s="51"/>
      <c r="E94" s="51"/>
      <c r="F94" s="51"/>
      <c r="G94" s="51"/>
      <c r="H94" s="51"/>
      <c r="I94" s="51"/>
      <c r="J94" s="51"/>
      <c r="K94" s="51"/>
      <c r="L94" s="51"/>
      <c r="M94" s="51"/>
      <c r="N94" s="51"/>
    </row>
    <row r="95" ht="15.75" customHeight="1">
      <c r="A95" s="51"/>
      <c r="B95" s="51"/>
      <c r="C95" s="51"/>
      <c r="D95" s="51"/>
      <c r="E95" s="51"/>
      <c r="F95" s="51"/>
      <c r="G95" s="51"/>
      <c r="H95" s="51"/>
      <c r="I95" s="51"/>
      <c r="J95" s="51"/>
      <c r="K95" s="51"/>
      <c r="L95" s="51"/>
      <c r="M95" s="51"/>
      <c r="N95" s="51"/>
    </row>
    <row r="96" ht="15.75" customHeight="1">
      <c r="A96" s="51"/>
      <c r="B96" s="51"/>
      <c r="C96" s="51"/>
      <c r="D96" s="51"/>
      <c r="E96" s="51"/>
      <c r="F96" s="51"/>
      <c r="G96" s="51"/>
      <c r="H96" s="51"/>
      <c r="I96" s="51"/>
      <c r="J96" s="51"/>
      <c r="K96" s="51"/>
      <c r="L96" s="51"/>
      <c r="M96" s="51"/>
      <c r="N96" s="51"/>
    </row>
    <row r="97" ht="15.75" customHeight="1">
      <c r="A97" s="51"/>
      <c r="B97" s="51"/>
      <c r="C97" s="51"/>
      <c r="D97" s="51"/>
      <c r="E97" s="51"/>
      <c r="F97" s="51"/>
      <c r="G97" s="51"/>
      <c r="H97" s="51"/>
      <c r="I97" s="51"/>
      <c r="J97" s="51"/>
      <c r="K97" s="51"/>
      <c r="L97" s="51"/>
      <c r="M97" s="51"/>
      <c r="N97" s="51"/>
    </row>
    <row r="98" ht="15.75" customHeight="1">
      <c r="A98" s="51"/>
      <c r="B98" s="51"/>
      <c r="C98" s="51"/>
      <c r="D98" s="51"/>
      <c r="E98" s="51"/>
      <c r="F98" s="51"/>
      <c r="G98" s="51"/>
      <c r="H98" s="51"/>
      <c r="I98" s="51"/>
      <c r="J98" s="51"/>
      <c r="K98" s="51"/>
      <c r="L98" s="51"/>
      <c r="M98" s="51"/>
      <c r="N98" s="51"/>
    </row>
    <row r="99" ht="15.75" customHeight="1">
      <c r="A99" s="51"/>
      <c r="B99" s="51"/>
      <c r="C99" s="51"/>
      <c r="D99" s="51"/>
      <c r="E99" s="51"/>
      <c r="F99" s="51"/>
      <c r="G99" s="51"/>
      <c r="H99" s="51"/>
      <c r="I99" s="51"/>
      <c r="J99" s="51"/>
      <c r="K99" s="51"/>
      <c r="L99" s="51"/>
      <c r="M99" s="51"/>
      <c r="N99" s="51"/>
    </row>
    <row r="100" ht="15.75" customHeight="1">
      <c r="A100" s="51"/>
      <c r="B100" s="51"/>
      <c r="C100" s="51"/>
      <c r="D100" s="51"/>
      <c r="E100" s="51"/>
      <c r="F100" s="51"/>
      <c r="G100" s="51"/>
      <c r="H100" s="51"/>
      <c r="I100" s="51"/>
      <c r="J100" s="51"/>
      <c r="K100" s="51"/>
      <c r="L100" s="51"/>
      <c r="M100" s="51"/>
      <c r="N100" s="51"/>
    </row>
    <row r="101" ht="15.75" customHeight="1">
      <c r="A101" s="51"/>
      <c r="B101" s="51"/>
      <c r="C101" s="51"/>
      <c r="D101" s="51"/>
      <c r="E101" s="51"/>
      <c r="F101" s="51"/>
      <c r="G101" s="51"/>
      <c r="H101" s="51"/>
      <c r="I101" s="51"/>
      <c r="J101" s="51"/>
      <c r="K101" s="51"/>
      <c r="L101" s="51"/>
      <c r="M101" s="51"/>
      <c r="N101" s="51"/>
    </row>
    <row r="102" ht="15.75" customHeight="1">
      <c r="A102" s="51"/>
      <c r="B102" s="51"/>
      <c r="C102" s="51"/>
      <c r="D102" s="51"/>
      <c r="E102" s="51"/>
      <c r="F102" s="51"/>
      <c r="G102" s="51"/>
      <c r="H102" s="51"/>
      <c r="I102" s="51"/>
      <c r="J102" s="51"/>
      <c r="K102" s="51"/>
      <c r="L102" s="51"/>
      <c r="M102" s="51"/>
      <c r="N102" s="51"/>
    </row>
    <row r="103" ht="15.75" customHeight="1">
      <c r="A103" s="51"/>
      <c r="B103" s="51"/>
      <c r="C103" s="51"/>
      <c r="D103" s="51"/>
      <c r="E103" s="51"/>
      <c r="F103" s="51"/>
      <c r="G103" s="51"/>
      <c r="H103" s="51"/>
      <c r="I103" s="51"/>
      <c r="J103" s="51"/>
      <c r="K103" s="51"/>
      <c r="L103" s="51"/>
      <c r="M103" s="51"/>
      <c r="N103" s="51"/>
    </row>
    <row r="104" ht="15.75" customHeight="1">
      <c r="A104" s="51"/>
      <c r="B104" s="51"/>
      <c r="C104" s="51"/>
      <c r="D104" s="51"/>
      <c r="E104" s="51"/>
      <c r="F104" s="51"/>
      <c r="G104" s="51"/>
      <c r="H104" s="51"/>
      <c r="I104" s="51"/>
      <c r="J104" s="51"/>
      <c r="K104" s="51"/>
      <c r="L104" s="51"/>
      <c r="M104" s="51"/>
      <c r="N104" s="51"/>
    </row>
    <row r="105" ht="15.75" customHeight="1">
      <c r="A105" s="51"/>
      <c r="B105" s="51"/>
      <c r="C105" s="51"/>
      <c r="D105" s="51"/>
      <c r="E105" s="51"/>
      <c r="F105" s="51"/>
      <c r="G105" s="51"/>
      <c r="H105" s="51"/>
      <c r="I105" s="51"/>
      <c r="J105" s="51"/>
      <c r="K105" s="51"/>
      <c r="L105" s="51"/>
      <c r="M105" s="51"/>
      <c r="N105" s="51"/>
    </row>
    <row r="106" ht="15.75" customHeight="1">
      <c r="A106" s="51"/>
      <c r="B106" s="51"/>
      <c r="C106" s="51"/>
      <c r="D106" s="51"/>
      <c r="E106" s="51"/>
      <c r="F106" s="51"/>
      <c r="G106" s="51"/>
      <c r="H106" s="51"/>
      <c r="I106" s="51"/>
      <c r="J106" s="51"/>
      <c r="K106" s="51"/>
      <c r="L106" s="51"/>
      <c r="M106" s="51"/>
      <c r="N106" s="51"/>
    </row>
    <row r="107" ht="15.75" customHeight="1">
      <c r="A107" s="51"/>
      <c r="B107" s="51"/>
      <c r="C107" s="51"/>
      <c r="D107" s="51"/>
      <c r="E107" s="51"/>
      <c r="F107" s="51"/>
      <c r="G107" s="51"/>
      <c r="H107" s="51"/>
      <c r="I107" s="51"/>
      <c r="J107" s="51"/>
      <c r="K107" s="51"/>
      <c r="L107" s="51"/>
      <c r="M107" s="51"/>
      <c r="N107" s="51"/>
    </row>
    <row r="108" ht="15.75" customHeight="1">
      <c r="A108" s="51"/>
      <c r="B108" s="51"/>
      <c r="C108" s="51"/>
      <c r="D108" s="51"/>
      <c r="E108" s="51"/>
      <c r="F108" s="51"/>
      <c r="G108" s="51"/>
      <c r="H108" s="51"/>
      <c r="I108" s="51"/>
      <c r="J108" s="51"/>
      <c r="K108" s="51"/>
      <c r="L108" s="51"/>
      <c r="M108" s="51"/>
      <c r="N108" s="51"/>
    </row>
    <row r="109" ht="15.75" customHeight="1">
      <c r="A109" s="51"/>
      <c r="B109" s="51"/>
      <c r="C109" s="51"/>
      <c r="D109" s="51"/>
      <c r="E109" s="51"/>
      <c r="F109" s="51"/>
      <c r="G109" s="51"/>
      <c r="H109" s="51"/>
      <c r="I109" s="51"/>
      <c r="J109" s="51"/>
      <c r="K109" s="51"/>
      <c r="L109" s="51"/>
      <c r="M109" s="51"/>
      <c r="N109" s="51"/>
    </row>
    <row r="110" ht="15.75" customHeight="1">
      <c r="A110" s="51"/>
      <c r="B110" s="51"/>
      <c r="C110" s="51"/>
      <c r="D110" s="51"/>
      <c r="E110" s="51"/>
      <c r="F110" s="51"/>
      <c r="G110" s="51"/>
      <c r="H110" s="51"/>
      <c r="I110" s="51"/>
      <c r="J110" s="51"/>
      <c r="K110" s="51"/>
      <c r="L110" s="51"/>
      <c r="M110" s="51"/>
      <c r="N110" s="51"/>
    </row>
    <row r="111" ht="15.75" customHeight="1">
      <c r="A111" s="51"/>
      <c r="B111" s="51"/>
      <c r="C111" s="51"/>
      <c r="D111" s="51"/>
      <c r="E111" s="51"/>
      <c r="F111" s="51"/>
      <c r="G111" s="51"/>
      <c r="H111" s="51"/>
      <c r="I111" s="51"/>
      <c r="J111" s="51"/>
      <c r="K111" s="51"/>
      <c r="L111" s="51"/>
      <c r="M111" s="51"/>
      <c r="N111" s="51"/>
    </row>
    <row r="112" ht="15.75" customHeight="1">
      <c r="A112" s="51"/>
      <c r="B112" s="51"/>
      <c r="C112" s="51"/>
      <c r="D112" s="51"/>
      <c r="E112" s="51"/>
      <c r="F112" s="51"/>
      <c r="G112" s="51"/>
      <c r="H112" s="51"/>
      <c r="I112" s="51"/>
      <c r="J112" s="51"/>
      <c r="K112" s="51"/>
      <c r="L112" s="51"/>
      <c r="M112" s="51"/>
      <c r="N112" s="51"/>
    </row>
    <row r="113" ht="15.75" customHeight="1">
      <c r="A113" s="51"/>
      <c r="B113" s="51"/>
      <c r="C113" s="51"/>
      <c r="D113" s="51"/>
      <c r="E113" s="51"/>
      <c r="F113" s="51"/>
      <c r="G113" s="51"/>
      <c r="H113" s="51"/>
      <c r="I113" s="51"/>
      <c r="J113" s="51"/>
      <c r="K113" s="51"/>
      <c r="L113" s="51"/>
      <c r="M113" s="51"/>
      <c r="N113" s="51"/>
    </row>
    <row r="114" ht="15.75" customHeight="1">
      <c r="A114" s="51"/>
      <c r="B114" s="51"/>
      <c r="C114" s="51"/>
      <c r="D114" s="51"/>
      <c r="E114" s="51"/>
      <c r="F114" s="51"/>
      <c r="G114" s="51"/>
      <c r="H114" s="51"/>
      <c r="I114" s="51"/>
      <c r="J114" s="51"/>
      <c r="K114" s="51"/>
      <c r="L114" s="51"/>
      <c r="M114" s="51"/>
      <c r="N114" s="51"/>
    </row>
    <row r="115" ht="15.75" customHeight="1">
      <c r="A115" s="51"/>
      <c r="B115" s="51"/>
      <c r="C115" s="51"/>
      <c r="D115" s="51"/>
      <c r="E115" s="51"/>
      <c r="F115" s="51"/>
      <c r="G115" s="51"/>
      <c r="H115" s="51"/>
      <c r="I115" s="51"/>
      <c r="J115" s="51"/>
      <c r="K115" s="51"/>
      <c r="L115" s="51"/>
      <c r="M115" s="51"/>
      <c r="N115" s="51"/>
    </row>
    <row r="116" ht="15.75" customHeight="1">
      <c r="A116" s="51"/>
      <c r="B116" s="51"/>
      <c r="C116" s="51"/>
      <c r="D116" s="51"/>
      <c r="E116" s="51"/>
      <c r="F116" s="51"/>
      <c r="G116" s="51"/>
      <c r="H116" s="51"/>
      <c r="I116" s="51"/>
      <c r="J116" s="51"/>
      <c r="K116" s="51"/>
      <c r="L116" s="51"/>
      <c r="M116" s="51"/>
      <c r="N116" s="51"/>
    </row>
    <row r="117" ht="15.75" customHeight="1">
      <c r="A117" s="51"/>
      <c r="B117" s="51"/>
      <c r="C117" s="51"/>
      <c r="D117" s="51"/>
      <c r="E117" s="51"/>
      <c r="F117" s="51"/>
      <c r="G117" s="51"/>
      <c r="H117" s="51"/>
      <c r="I117" s="51"/>
      <c r="J117" s="51"/>
      <c r="K117" s="51"/>
      <c r="L117" s="51"/>
      <c r="M117" s="51"/>
      <c r="N117" s="51"/>
    </row>
    <row r="118" ht="15.75" customHeight="1">
      <c r="A118" s="51"/>
      <c r="B118" s="51"/>
      <c r="C118" s="51"/>
      <c r="D118" s="51"/>
      <c r="E118" s="51"/>
      <c r="F118" s="51"/>
      <c r="G118" s="51"/>
      <c r="H118" s="51"/>
      <c r="I118" s="51"/>
      <c r="J118" s="51"/>
      <c r="K118" s="51"/>
      <c r="L118" s="51"/>
      <c r="M118" s="51"/>
      <c r="N118" s="51"/>
    </row>
    <row r="119" ht="15.75" customHeight="1">
      <c r="A119" s="51"/>
      <c r="B119" s="51"/>
      <c r="C119" s="51"/>
      <c r="D119" s="51"/>
      <c r="E119" s="51"/>
      <c r="F119" s="51"/>
      <c r="G119" s="51"/>
      <c r="H119" s="51"/>
      <c r="I119" s="51"/>
      <c r="J119" s="51"/>
      <c r="K119" s="51"/>
      <c r="L119" s="51"/>
      <c r="M119" s="51"/>
      <c r="N119" s="51"/>
    </row>
    <row r="120" ht="15.75" customHeight="1">
      <c r="A120" s="51"/>
      <c r="B120" s="51"/>
      <c r="C120" s="51"/>
      <c r="D120" s="51"/>
      <c r="E120" s="51"/>
      <c r="F120" s="51"/>
      <c r="G120" s="51"/>
      <c r="H120" s="51"/>
      <c r="I120" s="51"/>
      <c r="J120" s="51"/>
      <c r="K120" s="51"/>
      <c r="L120" s="51"/>
      <c r="M120" s="51"/>
      <c r="N120" s="51"/>
    </row>
    <row r="121" ht="15.75" customHeight="1">
      <c r="A121" s="51"/>
      <c r="B121" s="51"/>
      <c r="C121" s="51"/>
      <c r="D121" s="51"/>
      <c r="E121" s="51"/>
      <c r="F121" s="51"/>
      <c r="G121" s="51"/>
      <c r="H121" s="51"/>
      <c r="I121" s="51"/>
      <c r="J121" s="51"/>
      <c r="K121" s="51"/>
      <c r="L121" s="51"/>
      <c r="M121" s="51"/>
      <c r="N121" s="51"/>
    </row>
    <row r="122" ht="15.75" customHeight="1">
      <c r="A122" s="51"/>
      <c r="B122" s="51"/>
      <c r="C122" s="51"/>
      <c r="D122" s="51"/>
      <c r="E122" s="51"/>
      <c r="F122" s="51"/>
      <c r="G122" s="51"/>
      <c r="H122" s="51"/>
      <c r="I122" s="51"/>
      <c r="J122" s="51"/>
      <c r="K122" s="51"/>
      <c r="L122" s="51"/>
      <c r="M122" s="51"/>
      <c r="N122" s="51"/>
    </row>
    <row r="123" ht="15.75" customHeight="1">
      <c r="A123" s="51"/>
      <c r="B123" s="51"/>
      <c r="C123" s="51"/>
      <c r="D123" s="51"/>
      <c r="E123" s="51"/>
      <c r="F123" s="51"/>
      <c r="G123" s="51"/>
      <c r="H123" s="51"/>
      <c r="I123" s="51"/>
      <c r="J123" s="51"/>
      <c r="K123" s="51"/>
      <c r="L123" s="51"/>
      <c r="M123" s="51"/>
      <c r="N123" s="51"/>
    </row>
    <row r="124" ht="15.75" customHeight="1">
      <c r="A124" s="51"/>
      <c r="B124" s="51"/>
      <c r="C124" s="51"/>
      <c r="D124" s="51"/>
      <c r="E124" s="51"/>
      <c r="F124" s="51"/>
      <c r="G124" s="51"/>
      <c r="H124" s="51"/>
      <c r="I124" s="51"/>
      <c r="J124" s="51"/>
      <c r="K124" s="51"/>
      <c r="L124" s="51"/>
      <c r="M124" s="51"/>
      <c r="N124" s="51"/>
    </row>
    <row r="125" ht="15.75" customHeight="1">
      <c r="A125" s="51"/>
      <c r="B125" s="51"/>
      <c r="C125" s="51"/>
      <c r="D125" s="51"/>
      <c r="E125" s="51"/>
      <c r="F125" s="51"/>
      <c r="G125" s="51"/>
      <c r="H125" s="51"/>
      <c r="I125" s="51"/>
      <c r="J125" s="51"/>
      <c r="K125" s="51"/>
      <c r="L125" s="51"/>
      <c r="M125" s="51"/>
      <c r="N125" s="51"/>
    </row>
    <row r="126" ht="15.75" customHeight="1">
      <c r="A126" s="51"/>
      <c r="B126" s="51"/>
      <c r="C126" s="51"/>
      <c r="D126" s="51"/>
      <c r="E126" s="51"/>
      <c r="F126" s="51"/>
      <c r="G126" s="51"/>
      <c r="H126" s="51"/>
      <c r="I126" s="51"/>
      <c r="J126" s="51"/>
      <c r="K126" s="51"/>
      <c r="L126" s="51"/>
      <c r="M126" s="51"/>
      <c r="N126" s="51"/>
    </row>
    <row r="127" ht="15.75" customHeight="1">
      <c r="A127" s="51"/>
      <c r="B127" s="51"/>
      <c r="C127" s="51"/>
      <c r="D127" s="51"/>
      <c r="E127" s="51"/>
      <c r="F127" s="51"/>
      <c r="G127" s="51"/>
      <c r="H127" s="51"/>
      <c r="I127" s="51"/>
      <c r="J127" s="51"/>
      <c r="K127" s="51"/>
      <c r="L127" s="51"/>
      <c r="M127" s="51"/>
      <c r="N127" s="51"/>
    </row>
    <row r="128" ht="15.75" customHeight="1">
      <c r="A128" s="51"/>
      <c r="B128" s="51"/>
      <c r="C128" s="51"/>
      <c r="D128" s="51"/>
      <c r="E128" s="51"/>
      <c r="F128" s="51"/>
      <c r="G128" s="51"/>
      <c r="H128" s="51"/>
      <c r="I128" s="51"/>
      <c r="J128" s="51"/>
      <c r="K128" s="51"/>
      <c r="L128" s="51"/>
      <c r="M128" s="51"/>
      <c r="N128" s="51"/>
    </row>
    <row r="129" ht="15.75" customHeight="1">
      <c r="A129" s="51"/>
      <c r="B129" s="51"/>
      <c r="C129" s="51"/>
      <c r="D129" s="51"/>
      <c r="E129" s="51"/>
      <c r="F129" s="51"/>
      <c r="G129" s="51"/>
      <c r="H129" s="51"/>
      <c r="I129" s="51"/>
      <c r="J129" s="51"/>
      <c r="K129" s="51"/>
      <c r="L129" s="51"/>
      <c r="M129" s="51"/>
      <c r="N129" s="51"/>
    </row>
    <row r="130" ht="15.75" customHeight="1">
      <c r="A130" s="51"/>
      <c r="B130" s="51"/>
      <c r="C130" s="51"/>
      <c r="D130" s="51"/>
      <c r="E130" s="51"/>
      <c r="F130" s="51"/>
      <c r="G130" s="51"/>
      <c r="H130" s="51"/>
      <c r="I130" s="51"/>
      <c r="J130" s="51"/>
      <c r="K130" s="51"/>
      <c r="L130" s="51"/>
      <c r="M130" s="51"/>
      <c r="N130" s="51"/>
    </row>
    <row r="131" ht="15.75" customHeight="1">
      <c r="A131" s="51"/>
      <c r="B131" s="51"/>
      <c r="C131" s="51"/>
      <c r="D131" s="51"/>
      <c r="E131" s="51"/>
      <c r="F131" s="51"/>
      <c r="G131" s="51"/>
      <c r="H131" s="51"/>
      <c r="I131" s="51"/>
      <c r="J131" s="51"/>
      <c r="K131" s="51"/>
      <c r="L131" s="51"/>
      <c r="M131" s="51"/>
      <c r="N131" s="51"/>
    </row>
    <row r="132" ht="15.75" customHeight="1">
      <c r="A132" s="51"/>
      <c r="B132" s="51"/>
      <c r="C132" s="51"/>
      <c r="D132" s="51"/>
      <c r="E132" s="51"/>
      <c r="F132" s="51"/>
      <c r="G132" s="51"/>
      <c r="H132" s="51"/>
      <c r="I132" s="51"/>
      <c r="J132" s="51"/>
      <c r="K132" s="51"/>
      <c r="L132" s="51"/>
      <c r="M132" s="51"/>
      <c r="N132" s="51"/>
    </row>
    <row r="133" ht="15.75" customHeight="1">
      <c r="A133" s="51"/>
      <c r="B133" s="51"/>
      <c r="C133" s="51"/>
      <c r="D133" s="51"/>
      <c r="E133" s="51"/>
      <c r="F133" s="51"/>
      <c r="G133" s="51"/>
      <c r="H133" s="51"/>
      <c r="I133" s="51"/>
      <c r="J133" s="51"/>
      <c r="K133" s="51"/>
      <c r="L133" s="51"/>
      <c r="M133" s="51"/>
      <c r="N133" s="51"/>
    </row>
    <row r="134" ht="15.75" customHeight="1">
      <c r="A134" s="51"/>
      <c r="B134" s="51"/>
      <c r="C134" s="51"/>
      <c r="D134" s="51"/>
      <c r="E134" s="51"/>
      <c r="F134" s="51"/>
      <c r="G134" s="51"/>
      <c r="H134" s="51"/>
      <c r="I134" s="51"/>
      <c r="J134" s="51"/>
      <c r="K134" s="51"/>
      <c r="L134" s="51"/>
      <c r="M134" s="51"/>
      <c r="N134" s="51"/>
    </row>
    <row r="135" ht="15.75" customHeight="1">
      <c r="A135" s="51"/>
      <c r="B135" s="51"/>
      <c r="C135" s="51"/>
      <c r="D135" s="51"/>
      <c r="E135" s="51"/>
      <c r="F135" s="51"/>
      <c r="G135" s="51"/>
      <c r="H135" s="51"/>
      <c r="I135" s="51"/>
      <c r="J135" s="51"/>
      <c r="K135" s="51"/>
      <c r="L135" s="51"/>
      <c r="M135" s="51"/>
      <c r="N135" s="51"/>
    </row>
    <row r="136" ht="15.75" customHeight="1">
      <c r="A136" s="51"/>
      <c r="B136" s="51"/>
      <c r="C136" s="51"/>
      <c r="D136" s="51"/>
      <c r="E136" s="51"/>
      <c r="F136" s="51"/>
      <c r="G136" s="51"/>
      <c r="H136" s="51"/>
      <c r="I136" s="51"/>
      <c r="J136" s="51"/>
      <c r="K136" s="51"/>
      <c r="L136" s="51"/>
      <c r="M136" s="51"/>
      <c r="N136" s="51"/>
    </row>
    <row r="137" ht="15.75" customHeight="1">
      <c r="A137" s="51"/>
      <c r="B137" s="51"/>
      <c r="C137" s="51"/>
      <c r="D137" s="51"/>
      <c r="E137" s="51"/>
      <c r="F137" s="51"/>
      <c r="G137" s="51"/>
      <c r="H137" s="51"/>
      <c r="I137" s="51"/>
      <c r="J137" s="51"/>
      <c r="K137" s="51"/>
      <c r="L137" s="51"/>
      <c r="M137" s="51"/>
      <c r="N137" s="51"/>
    </row>
    <row r="138" ht="15.75" customHeight="1">
      <c r="A138" s="51"/>
      <c r="B138" s="51"/>
      <c r="C138" s="51"/>
      <c r="D138" s="51"/>
      <c r="E138" s="51"/>
      <c r="F138" s="51"/>
      <c r="G138" s="51"/>
      <c r="H138" s="51"/>
      <c r="I138" s="51"/>
      <c r="J138" s="51"/>
      <c r="K138" s="51"/>
      <c r="L138" s="51"/>
      <c r="M138" s="51"/>
      <c r="N138" s="51"/>
    </row>
    <row r="139" ht="15.75" customHeight="1">
      <c r="A139" s="51"/>
      <c r="B139" s="51"/>
      <c r="C139" s="51"/>
      <c r="D139" s="51"/>
      <c r="E139" s="51"/>
      <c r="F139" s="51"/>
      <c r="G139" s="51"/>
      <c r="H139" s="51"/>
      <c r="I139" s="51"/>
      <c r="J139" s="51"/>
      <c r="K139" s="51"/>
      <c r="L139" s="51"/>
      <c r="M139" s="51"/>
      <c r="N139" s="51"/>
    </row>
    <row r="140" ht="15.75" customHeight="1">
      <c r="A140" s="51"/>
      <c r="B140" s="51"/>
      <c r="C140" s="51"/>
      <c r="D140" s="51"/>
      <c r="E140" s="51"/>
      <c r="F140" s="51"/>
      <c r="G140" s="51"/>
      <c r="H140" s="51"/>
      <c r="I140" s="51"/>
      <c r="J140" s="51"/>
      <c r="K140" s="51"/>
      <c r="L140" s="51"/>
      <c r="M140" s="51"/>
      <c r="N140" s="51"/>
    </row>
    <row r="141" ht="15.75" customHeight="1">
      <c r="A141" s="51"/>
      <c r="B141" s="51"/>
      <c r="C141" s="51"/>
      <c r="D141" s="51"/>
      <c r="E141" s="51"/>
      <c r="F141" s="51"/>
      <c r="G141" s="51"/>
      <c r="H141" s="51"/>
      <c r="I141" s="51"/>
      <c r="J141" s="51"/>
      <c r="K141" s="51"/>
      <c r="L141" s="51"/>
      <c r="M141" s="51"/>
      <c r="N141" s="51"/>
    </row>
    <row r="142" ht="15.75" customHeight="1">
      <c r="A142" s="51"/>
      <c r="B142" s="51"/>
      <c r="C142" s="51"/>
      <c r="D142" s="51"/>
      <c r="E142" s="51"/>
      <c r="F142" s="51"/>
      <c r="G142" s="51"/>
      <c r="H142" s="51"/>
      <c r="I142" s="51"/>
      <c r="J142" s="51"/>
      <c r="K142" s="51"/>
      <c r="L142" s="51"/>
      <c r="M142" s="51"/>
      <c r="N142" s="51"/>
    </row>
    <row r="143" ht="15.75" customHeight="1">
      <c r="A143" s="51"/>
      <c r="B143" s="51"/>
      <c r="C143" s="51"/>
      <c r="D143" s="51"/>
      <c r="E143" s="51"/>
      <c r="F143" s="51"/>
      <c r="G143" s="51"/>
      <c r="H143" s="51"/>
      <c r="I143" s="51"/>
      <c r="J143" s="51"/>
      <c r="K143" s="51"/>
      <c r="L143" s="51"/>
      <c r="M143" s="51"/>
      <c r="N143" s="51"/>
    </row>
    <row r="144" ht="15.75" customHeight="1">
      <c r="A144" s="51"/>
      <c r="B144" s="51"/>
      <c r="C144" s="51"/>
      <c r="D144" s="51"/>
      <c r="E144" s="51"/>
      <c r="F144" s="51"/>
      <c r="G144" s="51"/>
      <c r="H144" s="51"/>
      <c r="I144" s="51"/>
      <c r="J144" s="51"/>
      <c r="K144" s="51"/>
      <c r="L144" s="51"/>
      <c r="M144" s="51"/>
      <c r="N144" s="51"/>
    </row>
    <row r="145" ht="15.75" customHeight="1">
      <c r="A145" s="51"/>
      <c r="B145" s="51"/>
      <c r="C145" s="51"/>
      <c r="D145" s="51"/>
      <c r="E145" s="51"/>
      <c r="F145" s="51"/>
      <c r="G145" s="51"/>
      <c r="H145" s="51"/>
      <c r="I145" s="51"/>
      <c r="J145" s="51"/>
      <c r="K145" s="51"/>
      <c r="L145" s="51"/>
      <c r="M145" s="51"/>
      <c r="N145" s="51"/>
    </row>
    <row r="146" ht="15.75" customHeight="1">
      <c r="A146" s="51"/>
      <c r="B146" s="51"/>
      <c r="C146" s="51"/>
      <c r="D146" s="51"/>
      <c r="E146" s="51"/>
      <c r="F146" s="51"/>
      <c r="G146" s="51"/>
      <c r="H146" s="51"/>
      <c r="I146" s="51"/>
      <c r="J146" s="51"/>
      <c r="K146" s="51"/>
      <c r="L146" s="51"/>
      <c r="M146" s="51"/>
      <c r="N146" s="51"/>
    </row>
    <row r="147" ht="15.75" customHeight="1">
      <c r="A147" s="51"/>
      <c r="B147" s="51"/>
      <c r="C147" s="51"/>
      <c r="D147" s="51"/>
      <c r="E147" s="51"/>
      <c r="F147" s="51"/>
      <c r="G147" s="51"/>
      <c r="H147" s="51"/>
      <c r="I147" s="51"/>
      <c r="J147" s="51"/>
      <c r="K147" s="51"/>
      <c r="L147" s="51"/>
      <c r="M147" s="51"/>
      <c r="N147" s="51"/>
    </row>
    <row r="148" ht="15.75" customHeight="1">
      <c r="A148" s="51"/>
      <c r="B148" s="51"/>
      <c r="C148" s="51"/>
      <c r="D148" s="51"/>
      <c r="E148" s="51"/>
      <c r="F148" s="51"/>
      <c r="G148" s="51"/>
      <c r="H148" s="51"/>
      <c r="I148" s="51"/>
      <c r="J148" s="51"/>
      <c r="K148" s="51"/>
      <c r="L148" s="51"/>
      <c r="M148" s="51"/>
      <c r="N148" s="51"/>
    </row>
    <row r="149" ht="15.75" customHeight="1">
      <c r="A149" s="51"/>
      <c r="B149" s="51"/>
      <c r="C149" s="51"/>
      <c r="D149" s="51"/>
      <c r="E149" s="51"/>
      <c r="F149" s="51"/>
      <c r="G149" s="51"/>
      <c r="H149" s="51"/>
      <c r="I149" s="51"/>
      <c r="J149" s="51"/>
      <c r="K149" s="51"/>
      <c r="L149" s="51"/>
      <c r="M149" s="51"/>
      <c r="N149" s="51"/>
    </row>
    <row r="150" ht="15.75" customHeight="1">
      <c r="A150" s="51"/>
      <c r="B150" s="51"/>
      <c r="C150" s="51"/>
      <c r="D150" s="51"/>
      <c r="E150" s="51"/>
      <c r="F150" s="51"/>
      <c r="G150" s="51"/>
      <c r="H150" s="51"/>
      <c r="I150" s="51"/>
      <c r="J150" s="51"/>
      <c r="K150" s="51"/>
      <c r="L150" s="51"/>
      <c r="M150" s="51"/>
      <c r="N150" s="51"/>
    </row>
    <row r="151" ht="15.75" customHeight="1">
      <c r="A151" s="51"/>
      <c r="B151" s="51"/>
      <c r="C151" s="51"/>
      <c r="D151" s="51"/>
      <c r="E151" s="51"/>
      <c r="F151" s="51"/>
      <c r="G151" s="51"/>
      <c r="H151" s="51"/>
      <c r="I151" s="51"/>
      <c r="J151" s="51"/>
      <c r="K151" s="51"/>
      <c r="L151" s="51"/>
      <c r="M151" s="51"/>
      <c r="N151" s="51"/>
    </row>
    <row r="152" ht="15.75" customHeight="1">
      <c r="A152" s="51"/>
      <c r="B152" s="51"/>
      <c r="C152" s="51"/>
      <c r="D152" s="51"/>
      <c r="E152" s="51"/>
      <c r="F152" s="51"/>
      <c r="G152" s="51"/>
      <c r="H152" s="51"/>
      <c r="I152" s="51"/>
      <c r="J152" s="51"/>
      <c r="K152" s="51"/>
      <c r="L152" s="51"/>
      <c r="M152" s="51"/>
      <c r="N152" s="51"/>
    </row>
    <row r="153" ht="15.75" customHeight="1">
      <c r="A153" s="51"/>
      <c r="B153" s="51"/>
      <c r="C153" s="51"/>
      <c r="D153" s="51"/>
      <c r="E153" s="51"/>
      <c r="F153" s="51"/>
      <c r="G153" s="51"/>
      <c r="H153" s="51"/>
      <c r="I153" s="51"/>
      <c r="J153" s="51"/>
      <c r="K153" s="51"/>
      <c r="L153" s="51"/>
      <c r="M153" s="51"/>
      <c r="N153" s="51"/>
    </row>
    <row r="154" ht="15.75" customHeight="1">
      <c r="A154" s="51"/>
      <c r="B154" s="51"/>
      <c r="C154" s="51"/>
      <c r="D154" s="51"/>
      <c r="E154" s="51"/>
      <c r="F154" s="51"/>
      <c r="G154" s="51"/>
      <c r="H154" s="51"/>
      <c r="I154" s="51"/>
      <c r="J154" s="51"/>
      <c r="K154" s="51"/>
      <c r="L154" s="51"/>
      <c r="M154" s="51"/>
      <c r="N154" s="51"/>
    </row>
    <row r="155" ht="15.75" customHeight="1">
      <c r="A155" s="51"/>
      <c r="B155" s="51"/>
      <c r="C155" s="51"/>
      <c r="D155" s="51"/>
      <c r="E155" s="51"/>
      <c r="F155" s="51"/>
      <c r="G155" s="51"/>
      <c r="H155" s="51"/>
      <c r="I155" s="51"/>
      <c r="J155" s="51"/>
      <c r="K155" s="51"/>
      <c r="L155" s="51"/>
      <c r="M155" s="51"/>
      <c r="N155" s="51"/>
    </row>
    <row r="156" ht="15.75" customHeight="1">
      <c r="A156" s="51"/>
      <c r="B156" s="51"/>
      <c r="C156" s="51"/>
      <c r="D156" s="51"/>
      <c r="E156" s="51"/>
      <c r="F156" s="51"/>
      <c r="G156" s="51"/>
      <c r="H156" s="51"/>
      <c r="I156" s="51"/>
      <c r="J156" s="51"/>
      <c r="K156" s="51"/>
      <c r="L156" s="51"/>
      <c r="M156" s="51"/>
      <c r="N156" s="51"/>
    </row>
    <row r="157" ht="15.75" customHeight="1">
      <c r="A157" s="51"/>
      <c r="B157" s="51"/>
      <c r="C157" s="51"/>
      <c r="D157" s="51"/>
      <c r="E157" s="51"/>
      <c r="F157" s="51"/>
      <c r="G157" s="51"/>
      <c r="H157" s="51"/>
      <c r="I157" s="51"/>
      <c r="J157" s="51"/>
      <c r="K157" s="51"/>
      <c r="L157" s="51"/>
      <c r="M157" s="51"/>
      <c r="N157" s="51"/>
    </row>
    <row r="158" ht="15.75" customHeight="1">
      <c r="A158" s="51"/>
      <c r="B158" s="51"/>
      <c r="C158" s="51"/>
      <c r="D158" s="51"/>
      <c r="E158" s="51"/>
      <c r="F158" s="51"/>
      <c r="G158" s="51"/>
      <c r="H158" s="51"/>
      <c r="I158" s="51"/>
      <c r="J158" s="51"/>
      <c r="K158" s="51"/>
      <c r="L158" s="51"/>
      <c r="M158" s="51"/>
      <c r="N158" s="51"/>
    </row>
    <row r="159" ht="15.75" customHeight="1">
      <c r="A159" s="51"/>
      <c r="B159" s="51"/>
      <c r="C159" s="51"/>
      <c r="D159" s="51"/>
      <c r="E159" s="51"/>
      <c r="F159" s="51"/>
      <c r="G159" s="51"/>
      <c r="H159" s="51"/>
      <c r="I159" s="51"/>
      <c r="J159" s="51"/>
      <c r="K159" s="51"/>
      <c r="L159" s="51"/>
      <c r="M159" s="51"/>
      <c r="N159" s="51"/>
    </row>
    <row r="160" ht="15.75" customHeight="1">
      <c r="A160" s="51"/>
      <c r="B160" s="51"/>
      <c r="C160" s="51"/>
      <c r="D160" s="51"/>
      <c r="E160" s="51"/>
      <c r="F160" s="51"/>
      <c r="G160" s="51"/>
      <c r="H160" s="51"/>
      <c r="I160" s="51"/>
      <c r="J160" s="51"/>
      <c r="K160" s="51"/>
      <c r="L160" s="51"/>
      <c r="M160" s="51"/>
      <c r="N160" s="51"/>
    </row>
    <row r="161" ht="15.75" customHeight="1">
      <c r="A161" s="51"/>
      <c r="B161" s="51"/>
      <c r="C161" s="51"/>
      <c r="D161" s="51"/>
      <c r="E161" s="51"/>
      <c r="F161" s="51"/>
      <c r="G161" s="51"/>
      <c r="H161" s="51"/>
      <c r="I161" s="51"/>
      <c r="J161" s="51"/>
      <c r="K161" s="51"/>
      <c r="L161" s="51"/>
      <c r="M161" s="51"/>
      <c r="N161" s="51"/>
    </row>
    <row r="162" ht="15.75" customHeight="1">
      <c r="A162" s="51"/>
      <c r="B162" s="51"/>
      <c r="C162" s="51"/>
      <c r="D162" s="51"/>
      <c r="E162" s="51"/>
      <c r="F162" s="51"/>
      <c r="G162" s="51"/>
      <c r="H162" s="51"/>
      <c r="I162" s="51"/>
      <c r="J162" s="51"/>
      <c r="K162" s="51"/>
      <c r="L162" s="51"/>
      <c r="M162" s="51"/>
      <c r="N162" s="51"/>
    </row>
    <row r="163" ht="15.75" customHeight="1">
      <c r="A163" s="51"/>
      <c r="B163" s="51"/>
      <c r="C163" s="51"/>
      <c r="D163" s="51"/>
      <c r="E163" s="51"/>
      <c r="F163" s="51"/>
      <c r="G163" s="51"/>
      <c r="H163" s="51"/>
      <c r="I163" s="51"/>
      <c r="J163" s="51"/>
      <c r="K163" s="51"/>
      <c r="L163" s="51"/>
      <c r="M163" s="51"/>
      <c r="N163" s="51"/>
    </row>
    <row r="164" ht="15.75" customHeight="1">
      <c r="A164" s="51"/>
      <c r="B164" s="51"/>
      <c r="C164" s="51"/>
      <c r="D164" s="51"/>
      <c r="E164" s="51"/>
      <c r="F164" s="51"/>
      <c r="G164" s="51"/>
      <c r="H164" s="51"/>
      <c r="I164" s="51"/>
      <c r="J164" s="51"/>
      <c r="K164" s="51"/>
      <c r="L164" s="51"/>
      <c r="M164" s="51"/>
      <c r="N164" s="51"/>
    </row>
    <row r="165" ht="15.75" customHeight="1">
      <c r="A165" s="51"/>
      <c r="B165" s="51"/>
      <c r="C165" s="51"/>
      <c r="D165" s="51"/>
      <c r="E165" s="51"/>
      <c r="F165" s="51"/>
      <c r="G165" s="51"/>
      <c r="H165" s="51"/>
      <c r="I165" s="51"/>
      <c r="J165" s="51"/>
      <c r="K165" s="51"/>
      <c r="L165" s="51"/>
      <c r="M165" s="51"/>
      <c r="N165" s="51"/>
    </row>
    <row r="166" ht="15.75" customHeight="1">
      <c r="A166" s="51"/>
      <c r="B166" s="51"/>
      <c r="C166" s="51"/>
      <c r="D166" s="51"/>
      <c r="E166" s="51"/>
      <c r="F166" s="51"/>
      <c r="G166" s="51"/>
      <c r="H166" s="51"/>
      <c r="I166" s="51"/>
      <c r="J166" s="51"/>
      <c r="K166" s="51"/>
      <c r="L166" s="51"/>
      <c r="M166" s="51"/>
      <c r="N166" s="51"/>
    </row>
    <row r="167" ht="15.75" customHeight="1">
      <c r="A167" s="51"/>
      <c r="B167" s="51"/>
      <c r="C167" s="51"/>
      <c r="D167" s="51"/>
      <c r="E167" s="51"/>
      <c r="F167" s="51"/>
      <c r="G167" s="51"/>
      <c r="H167" s="51"/>
      <c r="I167" s="51"/>
      <c r="J167" s="51"/>
      <c r="K167" s="51"/>
      <c r="L167" s="51"/>
      <c r="M167" s="51"/>
      <c r="N167" s="51"/>
    </row>
    <row r="168" ht="15.75" customHeight="1">
      <c r="A168" s="51"/>
      <c r="B168" s="51"/>
      <c r="C168" s="51"/>
      <c r="D168" s="51"/>
      <c r="E168" s="51"/>
      <c r="F168" s="51"/>
      <c r="G168" s="51"/>
      <c r="H168" s="51"/>
      <c r="I168" s="51"/>
      <c r="J168" s="51"/>
      <c r="K168" s="51"/>
      <c r="L168" s="51"/>
      <c r="M168" s="51"/>
      <c r="N168" s="51"/>
    </row>
    <row r="169" ht="15.75" customHeight="1">
      <c r="A169" s="51"/>
      <c r="B169" s="51"/>
      <c r="C169" s="51"/>
      <c r="D169" s="51"/>
      <c r="E169" s="51"/>
      <c r="F169" s="51"/>
      <c r="G169" s="51"/>
      <c r="H169" s="51"/>
      <c r="I169" s="51"/>
      <c r="J169" s="51"/>
      <c r="K169" s="51"/>
      <c r="L169" s="51"/>
      <c r="M169" s="51"/>
      <c r="N169" s="51"/>
    </row>
    <row r="170" ht="15.75" customHeight="1">
      <c r="A170" s="51"/>
      <c r="B170" s="51"/>
      <c r="C170" s="51"/>
      <c r="D170" s="51"/>
      <c r="E170" s="51"/>
      <c r="F170" s="51"/>
      <c r="G170" s="51"/>
      <c r="H170" s="51"/>
      <c r="I170" s="51"/>
      <c r="J170" s="51"/>
      <c r="K170" s="51"/>
      <c r="L170" s="51"/>
      <c r="M170" s="51"/>
      <c r="N170" s="51"/>
    </row>
    <row r="171" ht="15.75" customHeight="1">
      <c r="A171" s="51"/>
      <c r="B171" s="51"/>
      <c r="C171" s="51"/>
      <c r="D171" s="51"/>
      <c r="E171" s="51"/>
      <c r="F171" s="51"/>
      <c r="G171" s="51"/>
      <c r="H171" s="51"/>
      <c r="I171" s="51"/>
      <c r="J171" s="51"/>
      <c r="K171" s="51"/>
      <c r="L171" s="51"/>
      <c r="M171" s="51"/>
      <c r="N171" s="51"/>
    </row>
    <row r="172" ht="15.75" customHeight="1">
      <c r="A172" s="51"/>
      <c r="B172" s="51"/>
      <c r="C172" s="51"/>
      <c r="D172" s="51"/>
      <c r="E172" s="51"/>
      <c r="F172" s="51"/>
      <c r="G172" s="51"/>
      <c r="H172" s="51"/>
      <c r="I172" s="51"/>
      <c r="J172" s="51"/>
      <c r="K172" s="51"/>
      <c r="L172" s="51"/>
      <c r="M172" s="51"/>
      <c r="N172" s="51"/>
    </row>
    <row r="173" ht="15.75" customHeight="1">
      <c r="A173" s="51"/>
      <c r="B173" s="51"/>
      <c r="C173" s="51"/>
      <c r="D173" s="51"/>
      <c r="E173" s="51"/>
      <c r="F173" s="51"/>
      <c r="G173" s="51"/>
      <c r="H173" s="51"/>
      <c r="I173" s="51"/>
      <c r="J173" s="51"/>
      <c r="K173" s="51"/>
      <c r="L173" s="51"/>
      <c r="M173" s="51"/>
      <c r="N173" s="51"/>
    </row>
    <row r="174" ht="15.75" customHeight="1">
      <c r="A174" s="51"/>
      <c r="B174" s="51"/>
      <c r="C174" s="51"/>
      <c r="D174" s="51"/>
      <c r="E174" s="51"/>
      <c r="F174" s="51"/>
      <c r="G174" s="51"/>
      <c r="H174" s="51"/>
      <c r="I174" s="51"/>
      <c r="J174" s="51"/>
      <c r="K174" s="51"/>
      <c r="L174" s="51"/>
      <c r="M174" s="51"/>
      <c r="N174" s="51"/>
    </row>
    <row r="175" ht="15.75" customHeight="1">
      <c r="A175" s="51"/>
      <c r="B175" s="51"/>
      <c r="C175" s="51"/>
      <c r="D175" s="51"/>
      <c r="E175" s="51"/>
      <c r="F175" s="51"/>
      <c r="G175" s="51"/>
      <c r="H175" s="51"/>
      <c r="I175" s="51"/>
      <c r="J175" s="51"/>
      <c r="K175" s="51"/>
      <c r="L175" s="51"/>
      <c r="M175" s="51"/>
      <c r="N175" s="51"/>
    </row>
    <row r="176" ht="15.75" customHeight="1">
      <c r="A176" s="51"/>
      <c r="B176" s="51"/>
      <c r="C176" s="51"/>
      <c r="D176" s="51"/>
      <c r="E176" s="51"/>
      <c r="F176" s="51"/>
      <c r="G176" s="51"/>
      <c r="H176" s="51"/>
      <c r="I176" s="51"/>
      <c r="J176" s="51"/>
      <c r="K176" s="51"/>
      <c r="L176" s="51"/>
      <c r="M176" s="51"/>
      <c r="N176" s="51"/>
    </row>
    <row r="177" ht="15.75" customHeight="1">
      <c r="A177" s="51"/>
      <c r="B177" s="51"/>
      <c r="C177" s="51"/>
      <c r="D177" s="51"/>
      <c r="E177" s="51"/>
      <c r="F177" s="51"/>
      <c r="G177" s="51"/>
      <c r="H177" s="51"/>
      <c r="I177" s="51"/>
      <c r="J177" s="51"/>
      <c r="K177" s="51"/>
      <c r="L177" s="51"/>
      <c r="M177" s="51"/>
      <c r="N177" s="51"/>
    </row>
    <row r="178" ht="15.75" customHeight="1">
      <c r="A178" s="51"/>
      <c r="B178" s="51"/>
      <c r="C178" s="51"/>
      <c r="D178" s="51"/>
      <c r="E178" s="51"/>
      <c r="F178" s="51"/>
      <c r="G178" s="51"/>
      <c r="H178" s="51"/>
      <c r="I178" s="51"/>
      <c r="J178" s="51"/>
      <c r="K178" s="51"/>
      <c r="L178" s="51"/>
      <c r="M178" s="51"/>
      <c r="N178" s="51"/>
    </row>
    <row r="179" ht="15.75" customHeight="1">
      <c r="A179" s="51"/>
      <c r="B179" s="51"/>
      <c r="C179" s="51"/>
      <c r="D179" s="51"/>
      <c r="E179" s="51"/>
      <c r="F179" s="51"/>
      <c r="G179" s="51"/>
      <c r="H179" s="51"/>
      <c r="I179" s="51"/>
      <c r="J179" s="51"/>
      <c r="K179" s="51"/>
      <c r="L179" s="51"/>
      <c r="M179" s="51"/>
      <c r="N179" s="51"/>
    </row>
    <row r="180" ht="15.75" customHeight="1">
      <c r="A180" s="51"/>
      <c r="B180" s="51"/>
      <c r="C180" s="51"/>
      <c r="D180" s="51"/>
      <c r="E180" s="51"/>
      <c r="F180" s="51"/>
      <c r="G180" s="51"/>
      <c r="H180" s="51"/>
      <c r="I180" s="51"/>
      <c r="J180" s="51"/>
      <c r="K180" s="51"/>
      <c r="L180" s="51"/>
      <c r="M180" s="51"/>
      <c r="N180" s="51"/>
    </row>
    <row r="181" ht="15.75" customHeight="1">
      <c r="A181" s="51"/>
      <c r="B181" s="51"/>
      <c r="C181" s="51"/>
      <c r="D181" s="51"/>
      <c r="E181" s="51"/>
      <c r="F181" s="51"/>
      <c r="G181" s="51"/>
      <c r="H181" s="51"/>
      <c r="I181" s="51"/>
      <c r="J181" s="51"/>
      <c r="K181" s="51"/>
      <c r="L181" s="51"/>
      <c r="M181" s="51"/>
      <c r="N181" s="51"/>
    </row>
    <row r="182" ht="15.75" customHeight="1">
      <c r="A182" s="51"/>
      <c r="B182" s="51"/>
      <c r="C182" s="51"/>
      <c r="D182" s="51"/>
      <c r="E182" s="51"/>
      <c r="F182" s="51"/>
      <c r="G182" s="51"/>
      <c r="H182" s="51"/>
      <c r="I182" s="51"/>
      <c r="J182" s="51"/>
      <c r="K182" s="51"/>
      <c r="L182" s="51"/>
      <c r="M182" s="51"/>
      <c r="N182" s="51"/>
    </row>
    <row r="183" ht="15.75" customHeight="1">
      <c r="A183" s="51"/>
      <c r="B183" s="51"/>
      <c r="C183" s="51"/>
      <c r="D183" s="51"/>
      <c r="E183" s="51"/>
      <c r="F183" s="51"/>
      <c r="G183" s="51"/>
      <c r="H183" s="51"/>
      <c r="I183" s="51"/>
      <c r="J183" s="51"/>
      <c r="K183" s="51"/>
      <c r="L183" s="51"/>
      <c r="M183" s="51"/>
      <c r="N183" s="51"/>
    </row>
    <row r="184" ht="15.75" customHeight="1">
      <c r="A184" s="51"/>
      <c r="B184" s="51"/>
      <c r="C184" s="51"/>
      <c r="D184" s="51"/>
      <c r="E184" s="51"/>
      <c r="F184" s="51"/>
      <c r="G184" s="51"/>
      <c r="H184" s="51"/>
      <c r="I184" s="51"/>
      <c r="J184" s="51"/>
      <c r="K184" s="51"/>
      <c r="L184" s="51"/>
      <c r="M184" s="51"/>
      <c r="N184" s="51"/>
    </row>
    <row r="185" ht="15.75" customHeight="1">
      <c r="A185" s="51"/>
      <c r="B185" s="51"/>
      <c r="C185" s="51"/>
      <c r="D185" s="51"/>
      <c r="E185" s="51"/>
      <c r="F185" s="51"/>
      <c r="G185" s="51"/>
      <c r="H185" s="51"/>
      <c r="I185" s="51"/>
      <c r="J185" s="51"/>
      <c r="K185" s="51"/>
      <c r="L185" s="51"/>
      <c r="M185" s="51"/>
      <c r="N185" s="51"/>
    </row>
    <row r="186" ht="15.75" customHeight="1">
      <c r="A186" s="51"/>
      <c r="B186" s="51"/>
      <c r="C186" s="51"/>
      <c r="D186" s="51"/>
      <c r="E186" s="51"/>
      <c r="F186" s="51"/>
      <c r="G186" s="51"/>
      <c r="H186" s="51"/>
      <c r="I186" s="51"/>
      <c r="J186" s="51"/>
      <c r="K186" s="51"/>
      <c r="L186" s="51"/>
      <c r="M186" s="51"/>
      <c r="N186" s="51"/>
    </row>
    <row r="187" ht="15.75" customHeight="1">
      <c r="A187" s="51"/>
      <c r="B187" s="51"/>
      <c r="C187" s="51"/>
      <c r="D187" s="51"/>
      <c r="E187" s="51"/>
      <c r="F187" s="51"/>
      <c r="G187" s="51"/>
      <c r="H187" s="51"/>
      <c r="I187" s="51"/>
      <c r="J187" s="51"/>
      <c r="K187" s="51"/>
      <c r="L187" s="51"/>
      <c r="M187" s="51"/>
      <c r="N187" s="51"/>
    </row>
    <row r="188" ht="15.75" customHeight="1">
      <c r="A188" s="51"/>
      <c r="B188" s="51"/>
      <c r="C188" s="51"/>
      <c r="D188" s="51"/>
      <c r="E188" s="51"/>
      <c r="F188" s="51"/>
      <c r="G188" s="51"/>
      <c r="H188" s="51"/>
      <c r="I188" s="51"/>
      <c r="J188" s="51"/>
      <c r="K188" s="51"/>
      <c r="L188" s="51"/>
      <c r="M188" s="51"/>
      <c r="N188" s="51"/>
    </row>
    <row r="189" ht="15.75" customHeight="1">
      <c r="A189" s="51"/>
      <c r="B189" s="51"/>
      <c r="C189" s="51"/>
      <c r="D189" s="51"/>
      <c r="E189" s="51"/>
      <c r="F189" s="51"/>
      <c r="G189" s="51"/>
      <c r="H189" s="51"/>
      <c r="I189" s="51"/>
      <c r="J189" s="51"/>
      <c r="K189" s="51"/>
      <c r="L189" s="51"/>
      <c r="M189" s="51"/>
      <c r="N189" s="51"/>
    </row>
    <row r="190" ht="15.75" customHeight="1">
      <c r="A190" s="51"/>
      <c r="B190" s="51"/>
      <c r="C190" s="51"/>
      <c r="D190" s="51"/>
      <c r="E190" s="51"/>
      <c r="F190" s="51"/>
      <c r="G190" s="51"/>
      <c r="H190" s="51"/>
      <c r="I190" s="51"/>
      <c r="J190" s="51"/>
      <c r="K190" s="51"/>
      <c r="L190" s="51"/>
      <c r="M190" s="51"/>
      <c r="N190" s="51"/>
    </row>
    <row r="191" ht="15.75" customHeight="1">
      <c r="A191" s="51"/>
      <c r="B191" s="51"/>
      <c r="C191" s="51"/>
      <c r="D191" s="51"/>
      <c r="E191" s="51"/>
      <c r="F191" s="51"/>
      <c r="G191" s="51"/>
      <c r="H191" s="51"/>
      <c r="I191" s="51"/>
      <c r="J191" s="51"/>
      <c r="K191" s="51"/>
      <c r="L191" s="51"/>
      <c r="M191" s="51"/>
      <c r="N191" s="51"/>
    </row>
    <row r="192" ht="15.75" customHeight="1">
      <c r="A192" s="51"/>
      <c r="B192" s="51"/>
      <c r="C192" s="51"/>
      <c r="D192" s="51"/>
      <c r="E192" s="51"/>
      <c r="F192" s="51"/>
      <c r="G192" s="51"/>
      <c r="H192" s="51"/>
      <c r="I192" s="51"/>
      <c r="J192" s="51"/>
      <c r="K192" s="51"/>
      <c r="L192" s="51"/>
      <c r="M192" s="51"/>
      <c r="N192" s="51"/>
    </row>
    <row r="193" ht="15.75" customHeight="1">
      <c r="A193" s="51"/>
      <c r="B193" s="51"/>
      <c r="C193" s="51"/>
      <c r="D193" s="51"/>
      <c r="E193" s="51"/>
      <c r="F193" s="51"/>
      <c r="G193" s="51"/>
      <c r="H193" s="51"/>
      <c r="I193" s="51"/>
      <c r="J193" s="51"/>
      <c r="K193" s="51"/>
      <c r="L193" s="51"/>
      <c r="M193" s="51"/>
      <c r="N193" s="51"/>
    </row>
    <row r="194" ht="15.75" customHeight="1">
      <c r="A194" s="51"/>
      <c r="B194" s="51"/>
      <c r="C194" s="51"/>
      <c r="D194" s="51"/>
      <c r="E194" s="51"/>
      <c r="F194" s="51"/>
      <c r="G194" s="51"/>
      <c r="H194" s="51"/>
      <c r="I194" s="51"/>
      <c r="J194" s="51"/>
      <c r="K194" s="51"/>
      <c r="L194" s="51"/>
      <c r="M194" s="51"/>
      <c r="N194" s="51"/>
    </row>
    <row r="195" ht="15.75" customHeight="1">
      <c r="A195" s="51"/>
      <c r="B195" s="51"/>
      <c r="C195" s="51"/>
      <c r="D195" s="51"/>
      <c r="E195" s="51"/>
      <c r="F195" s="51"/>
      <c r="G195" s="51"/>
      <c r="H195" s="51"/>
      <c r="I195" s="51"/>
      <c r="J195" s="51"/>
      <c r="K195" s="51"/>
      <c r="L195" s="51"/>
      <c r="M195" s="51"/>
      <c r="N195" s="51"/>
    </row>
    <row r="196" ht="15.75" customHeight="1">
      <c r="A196" s="51"/>
      <c r="B196" s="51"/>
      <c r="C196" s="51"/>
      <c r="D196" s="51"/>
      <c r="E196" s="51"/>
      <c r="F196" s="51"/>
      <c r="G196" s="51"/>
      <c r="H196" s="51"/>
      <c r="I196" s="51"/>
      <c r="J196" s="51"/>
      <c r="K196" s="51"/>
      <c r="L196" s="51"/>
      <c r="M196" s="51"/>
      <c r="N196" s="51"/>
    </row>
    <row r="197" ht="15.75" customHeight="1">
      <c r="A197" s="51"/>
      <c r="B197" s="51"/>
      <c r="C197" s="51"/>
      <c r="D197" s="51"/>
      <c r="E197" s="51"/>
      <c r="F197" s="51"/>
      <c r="G197" s="51"/>
      <c r="H197" s="51"/>
      <c r="I197" s="51"/>
      <c r="J197" s="51"/>
      <c r="K197" s="51"/>
      <c r="L197" s="51"/>
      <c r="M197" s="51"/>
      <c r="N197" s="51"/>
    </row>
    <row r="198" ht="15.75" customHeight="1">
      <c r="A198" s="51"/>
      <c r="B198" s="51"/>
      <c r="C198" s="51"/>
      <c r="D198" s="51"/>
      <c r="E198" s="51"/>
      <c r="F198" s="51"/>
      <c r="G198" s="51"/>
      <c r="H198" s="51"/>
      <c r="I198" s="51"/>
      <c r="J198" s="51"/>
      <c r="K198" s="51"/>
      <c r="L198" s="51"/>
      <c r="M198" s="51"/>
      <c r="N198" s="51"/>
    </row>
    <row r="199" ht="15.75" customHeight="1">
      <c r="A199" s="51"/>
      <c r="B199" s="51"/>
      <c r="C199" s="51"/>
      <c r="D199" s="51"/>
      <c r="E199" s="51"/>
      <c r="F199" s="51"/>
      <c r="G199" s="51"/>
      <c r="H199" s="51"/>
      <c r="I199" s="51"/>
      <c r="J199" s="51"/>
      <c r="K199" s="51"/>
      <c r="L199" s="51"/>
      <c r="M199" s="51"/>
      <c r="N199" s="51"/>
    </row>
    <row r="200" ht="15.75" customHeight="1">
      <c r="A200" s="51"/>
      <c r="B200" s="51"/>
      <c r="C200" s="51"/>
      <c r="D200" s="51"/>
      <c r="E200" s="51"/>
      <c r="F200" s="51"/>
      <c r="G200" s="51"/>
      <c r="H200" s="51"/>
      <c r="I200" s="51"/>
      <c r="J200" s="51"/>
      <c r="K200" s="51"/>
      <c r="L200" s="51"/>
      <c r="M200" s="51"/>
      <c r="N200" s="51"/>
    </row>
    <row r="201" ht="15.75" customHeight="1">
      <c r="A201" s="51"/>
      <c r="B201" s="51"/>
      <c r="C201" s="51"/>
      <c r="D201" s="51"/>
      <c r="E201" s="51"/>
      <c r="F201" s="51"/>
      <c r="G201" s="51"/>
      <c r="H201" s="51"/>
      <c r="I201" s="51"/>
      <c r="J201" s="51"/>
      <c r="K201" s="51"/>
      <c r="L201" s="51"/>
      <c r="M201" s="51"/>
      <c r="N201" s="51"/>
    </row>
    <row r="202" ht="15.75" customHeight="1">
      <c r="A202" s="51"/>
      <c r="B202" s="51"/>
      <c r="C202" s="51"/>
      <c r="D202" s="51"/>
      <c r="E202" s="51"/>
      <c r="F202" s="51"/>
      <c r="G202" s="51"/>
      <c r="H202" s="51"/>
      <c r="I202" s="51"/>
      <c r="J202" s="51"/>
      <c r="K202" s="51"/>
      <c r="L202" s="51"/>
      <c r="M202" s="51"/>
      <c r="N202" s="51"/>
    </row>
    <row r="203" ht="15.75" customHeight="1">
      <c r="A203" s="51"/>
      <c r="B203" s="51"/>
      <c r="C203" s="51"/>
      <c r="D203" s="51"/>
      <c r="E203" s="51"/>
      <c r="F203" s="51"/>
      <c r="G203" s="51"/>
      <c r="H203" s="51"/>
      <c r="I203" s="51"/>
      <c r="J203" s="51"/>
      <c r="K203" s="51"/>
      <c r="L203" s="51"/>
      <c r="M203" s="51"/>
      <c r="N203" s="51"/>
    </row>
    <row r="204" ht="15.75" customHeight="1">
      <c r="A204" s="51"/>
      <c r="B204" s="51"/>
      <c r="C204" s="51"/>
      <c r="D204" s="51"/>
      <c r="E204" s="51"/>
      <c r="F204" s="51"/>
      <c r="G204" s="51"/>
      <c r="H204" s="51"/>
      <c r="I204" s="51"/>
      <c r="J204" s="51"/>
      <c r="K204" s="51"/>
      <c r="L204" s="51"/>
      <c r="M204" s="51"/>
      <c r="N204" s="51"/>
    </row>
    <row r="205" ht="15.75" customHeight="1">
      <c r="A205" s="51"/>
      <c r="B205" s="51"/>
      <c r="C205" s="51"/>
      <c r="D205" s="51"/>
      <c r="E205" s="51"/>
      <c r="F205" s="51"/>
      <c r="G205" s="51"/>
      <c r="H205" s="51"/>
      <c r="I205" s="51"/>
      <c r="J205" s="51"/>
      <c r="K205" s="51"/>
      <c r="L205" s="51"/>
      <c r="M205" s="51"/>
      <c r="N205" s="51"/>
    </row>
    <row r="206" ht="15.75" customHeight="1">
      <c r="A206" s="51"/>
      <c r="B206" s="51"/>
      <c r="C206" s="51"/>
      <c r="D206" s="51"/>
      <c r="E206" s="51"/>
      <c r="F206" s="51"/>
      <c r="G206" s="51"/>
      <c r="H206" s="51"/>
      <c r="I206" s="51"/>
      <c r="J206" s="51"/>
      <c r="K206" s="51"/>
      <c r="L206" s="51"/>
      <c r="M206" s="51"/>
      <c r="N206" s="51"/>
    </row>
    <row r="207" ht="15.75" customHeight="1">
      <c r="A207" s="51"/>
      <c r="B207" s="51"/>
      <c r="C207" s="51"/>
      <c r="D207" s="51"/>
      <c r="E207" s="51"/>
      <c r="F207" s="51"/>
      <c r="G207" s="51"/>
      <c r="H207" s="51"/>
      <c r="I207" s="51"/>
      <c r="J207" s="51"/>
      <c r="K207" s="51"/>
      <c r="L207" s="51"/>
      <c r="M207" s="51"/>
      <c r="N207" s="51"/>
    </row>
    <row r="208" ht="15.75" customHeight="1">
      <c r="A208" s="51"/>
      <c r="B208" s="51"/>
      <c r="C208" s="51"/>
      <c r="D208" s="51"/>
      <c r="E208" s="51"/>
      <c r="F208" s="51"/>
      <c r="G208" s="51"/>
      <c r="H208" s="51"/>
      <c r="I208" s="51"/>
      <c r="J208" s="51"/>
      <c r="K208" s="51"/>
      <c r="L208" s="51"/>
      <c r="M208" s="51"/>
      <c r="N208" s="51"/>
    </row>
    <row r="209" ht="15.75" customHeight="1">
      <c r="A209" s="51"/>
      <c r="B209" s="51"/>
      <c r="C209" s="51"/>
      <c r="D209" s="51"/>
      <c r="E209" s="51"/>
      <c r="F209" s="51"/>
      <c r="G209" s="51"/>
      <c r="H209" s="51"/>
      <c r="I209" s="51"/>
      <c r="J209" s="51"/>
      <c r="K209" s="51"/>
      <c r="L209" s="51"/>
      <c r="M209" s="51"/>
      <c r="N209" s="51"/>
    </row>
    <row r="210" ht="15.75" customHeight="1">
      <c r="A210" s="51"/>
      <c r="B210" s="51"/>
      <c r="C210" s="51"/>
      <c r="D210" s="51"/>
      <c r="E210" s="51"/>
      <c r="F210" s="51"/>
      <c r="G210" s="51"/>
      <c r="H210" s="51"/>
      <c r="I210" s="51"/>
      <c r="J210" s="51"/>
      <c r="K210" s="51"/>
      <c r="L210" s="51"/>
      <c r="M210" s="51"/>
      <c r="N210" s="51"/>
    </row>
    <row r="211" ht="15.75" customHeight="1">
      <c r="A211" s="51"/>
      <c r="B211" s="51"/>
      <c r="C211" s="51"/>
      <c r="D211" s="51"/>
      <c r="E211" s="51"/>
      <c r="F211" s="51"/>
      <c r="G211" s="51"/>
      <c r="H211" s="51"/>
      <c r="I211" s="51"/>
      <c r="J211" s="51"/>
      <c r="K211" s="51"/>
      <c r="L211" s="51"/>
      <c r="M211" s="51"/>
      <c r="N211" s="51"/>
    </row>
    <row r="212" ht="15.75" customHeight="1">
      <c r="A212" s="51"/>
      <c r="B212" s="51"/>
      <c r="C212" s="51"/>
      <c r="D212" s="51"/>
      <c r="E212" s="51"/>
      <c r="F212" s="51"/>
      <c r="G212" s="51"/>
      <c r="H212" s="51"/>
      <c r="I212" s="51"/>
      <c r="J212" s="51"/>
      <c r="K212" s="51"/>
      <c r="L212" s="51"/>
      <c r="M212" s="51"/>
      <c r="N212" s="51"/>
    </row>
    <row r="213" ht="15.75" customHeight="1">
      <c r="A213" s="51"/>
      <c r="B213" s="51"/>
      <c r="C213" s="51"/>
      <c r="D213" s="51"/>
      <c r="E213" s="51"/>
      <c r="F213" s="51"/>
      <c r="G213" s="51"/>
      <c r="H213" s="51"/>
      <c r="I213" s="51"/>
      <c r="J213" s="51"/>
      <c r="K213" s="51"/>
      <c r="L213" s="51"/>
      <c r="M213" s="51"/>
      <c r="N213" s="51"/>
    </row>
    <row r="214" ht="15.75" customHeight="1">
      <c r="A214" s="51"/>
      <c r="B214" s="51"/>
      <c r="C214" s="51"/>
      <c r="D214" s="51"/>
      <c r="E214" s="51"/>
      <c r="F214" s="51"/>
      <c r="G214" s="51"/>
      <c r="H214" s="51"/>
      <c r="I214" s="51"/>
      <c r="J214" s="51"/>
      <c r="K214" s="51"/>
      <c r="L214" s="51"/>
      <c r="M214" s="51"/>
      <c r="N214" s="51"/>
    </row>
    <row r="215" ht="15.75" customHeight="1">
      <c r="A215" s="51"/>
      <c r="B215" s="51"/>
      <c r="C215" s="51"/>
      <c r="D215" s="51"/>
      <c r="E215" s="51"/>
      <c r="F215" s="51"/>
      <c r="G215" s="51"/>
      <c r="H215" s="51"/>
      <c r="I215" s="51"/>
      <c r="J215" s="51"/>
      <c r="K215" s="51"/>
      <c r="L215" s="51"/>
      <c r="M215" s="51"/>
      <c r="N215" s="51"/>
    </row>
    <row r="216" ht="15.75" customHeight="1">
      <c r="A216" s="51"/>
      <c r="B216" s="51"/>
      <c r="C216" s="51"/>
      <c r="D216" s="51"/>
      <c r="E216" s="51"/>
      <c r="F216" s="51"/>
      <c r="G216" s="51"/>
      <c r="H216" s="51"/>
      <c r="I216" s="51"/>
      <c r="J216" s="51"/>
      <c r="K216" s="51"/>
      <c r="L216" s="51"/>
      <c r="M216" s="51"/>
      <c r="N216" s="51"/>
    </row>
    <row r="217" ht="15.75" customHeight="1">
      <c r="A217" s="51"/>
      <c r="B217" s="51"/>
      <c r="C217" s="51"/>
      <c r="D217" s="51"/>
      <c r="E217" s="51"/>
      <c r="F217" s="51"/>
      <c r="G217" s="51"/>
      <c r="H217" s="51"/>
      <c r="I217" s="51"/>
      <c r="J217" s="51"/>
      <c r="K217" s="51"/>
      <c r="L217" s="51"/>
      <c r="M217" s="51"/>
      <c r="N217" s="51"/>
    </row>
    <row r="218" ht="15.75" customHeight="1">
      <c r="A218" s="51"/>
      <c r="B218" s="51"/>
      <c r="C218" s="51"/>
      <c r="D218" s="51"/>
      <c r="E218" s="51"/>
      <c r="F218" s="51"/>
      <c r="G218" s="51"/>
      <c r="H218" s="51"/>
      <c r="I218" s="51"/>
      <c r="J218" s="51"/>
      <c r="K218" s="51"/>
      <c r="L218" s="51"/>
      <c r="M218" s="51"/>
      <c r="N218" s="51"/>
    </row>
    <row r="219" ht="15.75" customHeight="1">
      <c r="A219" s="51"/>
      <c r="B219" s="51"/>
      <c r="C219" s="51"/>
      <c r="D219" s="51"/>
      <c r="E219" s="51"/>
      <c r="F219" s="51"/>
      <c r="G219" s="51"/>
      <c r="H219" s="51"/>
      <c r="I219" s="51"/>
      <c r="J219" s="51"/>
      <c r="K219" s="51"/>
      <c r="L219" s="51"/>
      <c r="M219" s="51"/>
      <c r="N219" s="51"/>
    </row>
    <row r="220" ht="15.75" customHeight="1">
      <c r="A220" s="51"/>
      <c r="B220" s="51"/>
      <c r="C220" s="51"/>
      <c r="D220" s="51"/>
      <c r="E220" s="51"/>
      <c r="F220" s="51"/>
      <c r="G220" s="51"/>
      <c r="H220" s="51"/>
      <c r="I220" s="51"/>
      <c r="J220" s="51"/>
      <c r="K220" s="51"/>
      <c r="L220" s="51"/>
      <c r="M220" s="51"/>
      <c r="N220" s="51"/>
    </row>
    <row r="221" ht="15.75" customHeight="1">
      <c r="A221" s="51"/>
      <c r="B221" s="51"/>
      <c r="C221" s="51"/>
      <c r="D221" s="51"/>
      <c r="E221" s="51"/>
      <c r="F221" s="51"/>
      <c r="G221" s="51"/>
      <c r="H221" s="51"/>
      <c r="I221" s="51"/>
      <c r="J221" s="51"/>
      <c r="K221" s="51"/>
      <c r="L221" s="51"/>
      <c r="M221" s="51"/>
      <c r="N221" s="51"/>
    </row>
    <row r="222" ht="15.75" customHeight="1">
      <c r="A222" s="51"/>
      <c r="B222" s="51"/>
      <c r="C222" s="51"/>
      <c r="D222" s="51"/>
      <c r="E222" s="51"/>
      <c r="F222" s="51"/>
      <c r="G222" s="51"/>
      <c r="H222" s="51"/>
      <c r="I222" s="51"/>
      <c r="J222" s="51"/>
      <c r="K222" s="51"/>
      <c r="L222" s="51"/>
      <c r="M222" s="51"/>
      <c r="N222" s="51"/>
    </row>
    <row r="223" ht="15.75" customHeight="1">
      <c r="A223" s="51"/>
      <c r="B223" s="51"/>
      <c r="C223" s="51"/>
      <c r="D223" s="51"/>
      <c r="E223" s="51"/>
      <c r="F223" s="51"/>
      <c r="G223" s="51"/>
      <c r="H223" s="51"/>
      <c r="I223" s="51"/>
      <c r="J223" s="51"/>
      <c r="K223" s="51"/>
      <c r="L223" s="51"/>
      <c r="M223" s="51"/>
      <c r="N223" s="51"/>
    </row>
    <row r="224" ht="15.75" customHeight="1">
      <c r="A224" s="51"/>
      <c r="B224" s="51"/>
      <c r="C224" s="51"/>
      <c r="D224" s="51"/>
      <c r="E224" s="51"/>
      <c r="F224" s="51"/>
      <c r="G224" s="51"/>
      <c r="H224" s="51"/>
      <c r="I224" s="51"/>
      <c r="J224" s="51"/>
      <c r="K224" s="51"/>
      <c r="L224" s="51"/>
      <c r="M224" s="51"/>
      <c r="N224" s="51"/>
    </row>
    <row r="225" ht="15.75" customHeight="1">
      <c r="A225" s="51"/>
      <c r="B225" s="51"/>
      <c r="C225" s="51"/>
      <c r="D225" s="51"/>
      <c r="E225" s="51"/>
      <c r="F225" s="51"/>
      <c r="G225" s="51"/>
      <c r="H225" s="51"/>
      <c r="I225" s="51"/>
      <c r="J225" s="51"/>
      <c r="K225" s="51"/>
      <c r="L225" s="51"/>
      <c r="M225" s="51"/>
      <c r="N225" s="51"/>
    </row>
    <row r="226" ht="15.75" customHeight="1">
      <c r="A226" s="51"/>
      <c r="B226" s="51"/>
      <c r="C226" s="51"/>
      <c r="D226" s="51"/>
      <c r="E226" s="51"/>
      <c r="F226" s="51"/>
      <c r="G226" s="51"/>
      <c r="H226" s="51"/>
      <c r="I226" s="51"/>
      <c r="J226" s="51"/>
      <c r="K226" s="51"/>
      <c r="L226" s="51"/>
      <c r="M226" s="51"/>
      <c r="N226" s="51"/>
    </row>
    <row r="227" ht="15.75" customHeight="1">
      <c r="A227" s="51"/>
      <c r="B227" s="51"/>
      <c r="C227" s="51"/>
      <c r="D227" s="51"/>
      <c r="E227" s="51"/>
      <c r="F227" s="51"/>
      <c r="G227" s="51"/>
      <c r="H227" s="51"/>
      <c r="I227" s="51"/>
      <c r="J227" s="51"/>
      <c r="K227" s="51"/>
      <c r="L227" s="51"/>
      <c r="M227" s="51"/>
      <c r="N227" s="51"/>
    </row>
    <row r="228" ht="15.75" customHeight="1">
      <c r="A228" s="51"/>
      <c r="B228" s="51"/>
      <c r="C228" s="51"/>
      <c r="D228" s="51"/>
      <c r="E228" s="51"/>
      <c r="F228" s="51"/>
      <c r="G228" s="51"/>
      <c r="H228" s="51"/>
      <c r="I228" s="51"/>
      <c r="J228" s="51"/>
      <c r="K228" s="51"/>
      <c r="L228" s="51"/>
      <c r="M228" s="51"/>
      <c r="N228" s="51"/>
    </row>
    <row r="229" ht="15.75" customHeight="1">
      <c r="A229" s="51"/>
      <c r="B229" s="51"/>
      <c r="C229" s="51"/>
      <c r="D229" s="51"/>
      <c r="E229" s="51"/>
      <c r="F229" s="51"/>
      <c r="G229" s="51"/>
      <c r="H229" s="51"/>
      <c r="I229" s="51"/>
      <c r="J229" s="51"/>
      <c r="K229" s="51"/>
      <c r="L229" s="51"/>
      <c r="M229" s="51"/>
      <c r="N229" s="51"/>
    </row>
    <row r="230" ht="15.75" customHeight="1">
      <c r="A230" s="51"/>
      <c r="B230" s="51"/>
      <c r="C230" s="51"/>
      <c r="D230" s="51"/>
      <c r="E230" s="51"/>
      <c r="F230" s="51"/>
      <c r="G230" s="51"/>
      <c r="H230" s="51"/>
      <c r="I230" s="51"/>
      <c r="J230" s="51"/>
      <c r="K230" s="51"/>
      <c r="L230" s="51"/>
      <c r="M230" s="51"/>
      <c r="N230" s="51"/>
    </row>
    <row r="231" ht="15.75" customHeight="1">
      <c r="A231" s="51"/>
      <c r="B231" s="51"/>
      <c r="C231" s="51"/>
      <c r="D231" s="51"/>
      <c r="E231" s="51"/>
      <c r="F231" s="51"/>
      <c r="G231" s="51"/>
      <c r="H231" s="51"/>
      <c r="I231" s="51"/>
      <c r="J231" s="51"/>
      <c r="K231" s="51"/>
      <c r="L231" s="51"/>
      <c r="M231" s="51"/>
      <c r="N231" s="51"/>
    </row>
    <row r="232" ht="15.75" customHeight="1">
      <c r="A232" s="51"/>
      <c r="B232" s="51"/>
      <c r="C232" s="51"/>
      <c r="D232" s="51"/>
      <c r="E232" s="51"/>
      <c r="F232" s="51"/>
      <c r="G232" s="51"/>
      <c r="H232" s="51"/>
      <c r="I232" s="51"/>
      <c r="J232" s="51"/>
      <c r="K232" s="51"/>
      <c r="L232" s="51"/>
      <c r="M232" s="51"/>
      <c r="N232" s="51"/>
    </row>
    <row r="233" ht="15.75" customHeight="1">
      <c r="A233" s="51"/>
      <c r="B233" s="51"/>
      <c r="C233" s="51"/>
      <c r="D233" s="51"/>
      <c r="E233" s="51"/>
      <c r="F233" s="51"/>
      <c r="G233" s="51"/>
      <c r="H233" s="51"/>
      <c r="I233" s="51"/>
      <c r="J233" s="51"/>
      <c r="K233" s="51"/>
      <c r="L233" s="51"/>
      <c r="M233" s="51"/>
      <c r="N233" s="51"/>
    </row>
    <row r="234" ht="15.75" customHeight="1">
      <c r="A234" s="51"/>
      <c r="B234" s="51"/>
      <c r="C234" s="51"/>
      <c r="D234" s="51"/>
      <c r="E234" s="51"/>
      <c r="F234" s="51"/>
      <c r="G234" s="51"/>
      <c r="H234" s="51"/>
      <c r="I234" s="51"/>
      <c r="J234" s="51"/>
      <c r="K234" s="51"/>
      <c r="L234" s="51"/>
      <c r="M234" s="51"/>
      <c r="N234" s="51"/>
    </row>
    <row r="235" ht="15.75" customHeight="1">
      <c r="A235" s="51"/>
      <c r="B235" s="51"/>
      <c r="C235" s="51"/>
      <c r="D235" s="51"/>
      <c r="E235" s="51"/>
      <c r="F235" s="51"/>
      <c r="G235" s="51"/>
      <c r="H235" s="51"/>
      <c r="I235" s="51"/>
      <c r="J235" s="51"/>
      <c r="K235" s="51"/>
      <c r="L235" s="51"/>
      <c r="M235" s="51"/>
      <c r="N235" s="51"/>
    </row>
    <row r="236" ht="15.75" customHeight="1">
      <c r="A236" s="51"/>
      <c r="B236" s="51"/>
      <c r="C236" s="51"/>
      <c r="D236" s="51"/>
      <c r="E236" s="51"/>
      <c r="F236" s="51"/>
      <c r="G236" s="51"/>
      <c r="H236" s="51"/>
      <c r="I236" s="51"/>
      <c r="J236" s="51"/>
      <c r="K236" s="51"/>
      <c r="L236" s="51"/>
      <c r="M236" s="51"/>
      <c r="N236" s="51"/>
    </row>
    <row r="237" ht="15.75" customHeight="1">
      <c r="A237" s="51"/>
      <c r="B237" s="51"/>
      <c r="C237" s="51"/>
      <c r="D237" s="51"/>
      <c r="E237" s="51"/>
      <c r="F237" s="51"/>
      <c r="G237" s="51"/>
      <c r="H237" s="51"/>
      <c r="I237" s="51"/>
      <c r="J237" s="51"/>
      <c r="K237" s="51"/>
      <c r="L237" s="51"/>
      <c r="M237" s="51"/>
      <c r="N237" s="51"/>
    </row>
    <row r="238" ht="15.75" customHeight="1">
      <c r="A238" s="51"/>
      <c r="B238" s="51"/>
      <c r="C238" s="51"/>
      <c r="D238" s="51"/>
      <c r="E238" s="51"/>
      <c r="F238" s="51"/>
      <c r="G238" s="51"/>
      <c r="H238" s="51"/>
      <c r="I238" s="51"/>
      <c r="J238" s="51"/>
      <c r="K238" s="51"/>
      <c r="L238" s="51"/>
      <c r="M238" s="51"/>
      <c r="N238" s="51"/>
    </row>
    <row r="239" ht="15.75" customHeight="1">
      <c r="A239" s="51"/>
      <c r="B239" s="51"/>
      <c r="C239" s="51"/>
      <c r="D239" s="51"/>
      <c r="E239" s="51"/>
      <c r="F239" s="51"/>
      <c r="G239" s="51"/>
      <c r="H239" s="51"/>
      <c r="I239" s="51"/>
      <c r="J239" s="51"/>
      <c r="K239" s="51"/>
      <c r="L239" s="51"/>
      <c r="M239" s="51"/>
      <c r="N239" s="51"/>
    </row>
    <row r="240" ht="15.75" customHeight="1">
      <c r="A240" s="51"/>
      <c r="B240" s="51"/>
      <c r="C240" s="51"/>
      <c r="D240" s="51"/>
      <c r="E240" s="51"/>
      <c r="F240" s="51"/>
      <c r="G240" s="51"/>
      <c r="H240" s="51"/>
      <c r="I240" s="51"/>
      <c r="J240" s="51"/>
      <c r="K240" s="51"/>
      <c r="L240" s="51"/>
      <c r="M240" s="51"/>
      <c r="N240" s="51"/>
    </row>
    <row r="241" ht="15.75" customHeight="1">
      <c r="A241" s="51"/>
      <c r="B241" s="51"/>
      <c r="C241" s="51"/>
      <c r="D241" s="51"/>
      <c r="E241" s="51"/>
      <c r="F241" s="51"/>
      <c r="G241" s="51"/>
      <c r="H241" s="51"/>
      <c r="I241" s="51"/>
      <c r="J241" s="51"/>
      <c r="K241" s="51"/>
      <c r="L241" s="51"/>
      <c r="M241" s="51"/>
      <c r="N241" s="51"/>
    </row>
    <row r="242" ht="15.75" customHeight="1">
      <c r="A242" s="51"/>
      <c r="B242" s="51"/>
      <c r="C242" s="51"/>
      <c r="D242" s="51"/>
      <c r="E242" s="51"/>
      <c r="F242" s="51"/>
      <c r="G242" s="51"/>
      <c r="H242" s="51"/>
      <c r="I242" s="51"/>
      <c r="J242" s="51"/>
      <c r="K242" s="51"/>
      <c r="L242" s="51"/>
      <c r="M242" s="51"/>
      <c r="N242" s="51"/>
    </row>
    <row r="243" ht="15.75" customHeight="1">
      <c r="A243" s="51"/>
      <c r="B243" s="51"/>
      <c r="C243" s="51"/>
      <c r="D243" s="51"/>
      <c r="E243" s="51"/>
      <c r="F243" s="51"/>
      <c r="G243" s="51"/>
      <c r="H243" s="51"/>
      <c r="I243" s="51"/>
      <c r="J243" s="51"/>
      <c r="K243" s="51"/>
      <c r="L243" s="51"/>
      <c r="M243" s="51"/>
      <c r="N243" s="51"/>
    </row>
    <row r="244" ht="15.75" customHeight="1">
      <c r="A244" s="51"/>
      <c r="B244" s="51"/>
      <c r="C244" s="51"/>
      <c r="D244" s="51"/>
      <c r="E244" s="51"/>
      <c r="F244" s="51"/>
      <c r="G244" s="51"/>
      <c r="H244" s="51"/>
      <c r="I244" s="51"/>
      <c r="J244" s="51"/>
      <c r="K244" s="51"/>
      <c r="L244" s="51"/>
      <c r="M244" s="51"/>
      <c r="N244" s="51"/>
    </row>
    <row r="245" ht="15.75" customHeight="1">
      <c r="A245" s="51"/>
      <c r="B245" s="51"/>
      <c r="C245" s="51"/>
      <c r="D245" s="51"/>
      <c r="E245" s="51"/>
      <c r="F245" s="51"/>
      <c r="G245" s="51"/>
      <c r="H245" s="51"/>
      <c r="I245" s="51"/>
      <c r="J245" s="51"/>
      <c r="K245" s="51"/>
      <c r="L245" s="51"/>
      <c r="M245" s="51"/>
      <c r="N245" s="51"/>
    </row>
    <row r="246" ht="15.75" customHeight="1">
      <c r="A246" s="51"/>
      <c r="B246" s="51"/>
      <c r="C246" s="51"/>
      <c r="D246" s="51"/>
      <c r="E246" s="51"/>
      <c r="F246" s="51"/>
      <c r="G246" s="51"/>
      <c r="H246" s="51"/>
      <c r="I246" s="51"/>
      <c r="J246" s="51"/>
      <c r="K246" s="51"/>
      <c r="L246" s="51"/>
      <c r="M246" s="51"/>
      <c r="N246" s="51"/>
    </row>
    <row r="247" ht="15.75" customHeight="1">
      <c r="A247" s="51"/>
      <c r="B247" s="51"/>
      <c r="C247" s="51"/>
      <c r="D247" s="51"/>
      <c r="E247" s="51"/>
      <c r="F247" s="51"/>
      <c r="G247" s="51"/>
      <c r="H247" s="51"/>
      <c r="I247" s="51"/>
      <c r="J247" s="51"/>
      <c r="K247" s="51"/>
      <c r="L247" s="51"/>
      <c r="M247" s="51"/>
      <c r="N247" s="51"/>
    </row>
    <row r="248" ht="15.75" customHeight="1">
      <c r="A248" s="51"/>
      <c r="B248" s="51"/>
      <c r="C248" s="51"/>
      <c r="D248" s="51"/>
      <c r="E248" s="51"/>
      <c r="F248" s="51"/>
      <c r="G248" s="51"/>
      <c r="H248" s="51"/>
      <c r="I248" s="51"/>
      <c r="J248" s="51"/>
      <c r="K248" s="51"/>
      <c r="L248" s="51"/>
      <c r="M248" s="51"/>
      <c r="N248" s="51"/>
    </row>
    <row r="249" ht="15.75" customHeight="1">
      <c r="A249" s="51"/>
      <c r="B249" s="51"/>
      <c r="C249" s="51"/>
      <c r="D249" s="51"/>
      <c r="E249" s="51"/>
      <c r="F249" s="51"/>
      <c r="G249" s="51"/>
      <c r="H249" s="51"/>
      <c r="I249" s="51"/>
      <c r="J249" s="51"/>
      <c r="K249" s="51"/>
      <c r="L249" s="51"/>
      <c r="M249" s="51"/>
      <c r="N249" s="51"/>
    </row>
    <row r="250" ht="15.75" customHeight="1">
      <c r="A250" s="51"/>
      <c r="B250" s="51"/>
      <c r="C250" s="51"/>
      <c r="D250" s="51"/>
      <c r="E250" s="51"/>
      <c r="F250" s="51"/>
      <c r="G250" s="51"/>
      <c r="H250" s="51"/>
      <c r="I250" s="51"/>
      <c r="J250" s="51"/>
      <c r="K250" s="51"/>
      <c r="L250" s="51"/>
      <c r="M250" s="51"/>
      <c r="N250" s="51"/>
    </row>
    <row r="251" ht="15.75" customHeight="1">
      <c r="A251" s="51"/>
      <c r="B251" s="51"/>
      <c r="C251" s="51"/>
      <c r="D251" s="51"/>
      <c r="E251" s="51"/>
      <c r="F251" s="51"/>
      <c r="G251" s="51"/>
      <c r="H251" s="51"/>
      <c r="I251" s="51"/>
      <c r="J251" s="51"/>
      <c r="K251" s="51"/>
      <c r="L251" s="51"/>
      <c r="M251" s="51"/>
      <c r="N251" s="51"/>
    </row>
    <row r="252" ht="15.75" customHeight="1">
      <c r="A252" s="51"/>
      <c r="B252" s="51"/>
      <c r="C252" s="51"/>
      <c r="D252" s="51"/>
      <c r="E252" s="51"/>
      <c r="F252" s="51"/>
      <c r="G252" s="51"/>
      <c r="H252" s="51"/>
      <c r="I252" s="51"/>
      <c r="J252" s="51"/>
      <c r="K252" s="51"/>
      <c r="L252" s="51"/>
      <c r="M252" s="51"/>
      <c r="N252" s="51"/>
    </row>
    <row r="253" ht="15.75" customHeight="1">
      <c r="A253" s="51"/>
      <c r="B253" s="51"/>
      <c r="C253" s="51"/>
      <c r="D253" s="51"/>
      <c r="E253" s="51"/>
      <c r="F253" s="51"/>
      <c r="G253" s="51"/>
      <c r="H253" s="51"/>
      <c r="I253" s="51"/>
      <c r="J253" s="51"/>
      <c r="K253" s="51"/>
      <c r="L253" s="51"/>
      <c r="M253" s="51"/>
      <c r="N253" s="51"/>
    </row>
    <row r="254" ht="15.75" customHeight="1">
      <c r="A254" s="51"/>
      <c r="B254" s="51"/>
      <c r="C254" s="51"/>
      <c r="D254" s="51"/>
      <c r="E254" s="51"/>
      <c r="F254" s="51"/>
      <c r="G254" s="51"/>
      <c r="H254" s="51"/>
      <c r="I254" s="51"/>
      <c r="J254" s="51"/>
      <c r="K254" s="51"/>
      <c r="L254" s="51"/>
      <c r="M254" s="51"/>
      <c r="N254" s="51"/>
    </row>
    <row r="255" ht="15.75" customHeight="1">
      <c r="A255" s="51"/>
      <c r="B255" s="51"/>
      <c r="C255" s="51"/>
      <c r="D255" s="51"/>
      <c r="E255" s="51"/>
      <c r="F255" s="51"/>
      <c r="G255" s="51"/>
      <c r="H255" s="51"/>
      <c r="I255" s="51"/>
      <c r="J255" s="51"/>
      <c r="K255" s="51"/>
      <c r="L255" s="51"/>
      <c r="M255" s="51"/>
      <c r="N255" s="51"/>
    </row>
    <row r="256" ht="15.75" customHeight="1">
      <c r="A256" s="51"/>
      <c r="B256" s="51"/>
      <c r="C256" s="51"/>
      <c r="D256" s="51"/>
      <c r="E256" s="51"/>
      <c r="F256" s="51"/>
      <c r="G256" s="51"/>
      <c r="H256" s="51"/>
      <c r="I256" s="51"/>
      <c r="J256" s="51"/>
      <c r="K256" s="51"/>
      <c r="L256" s="51"/>
      <c r="M256" s="51"/>
      <c r="N256" s="51"/>
    </row>
    <row r="257" ht="15.75" customHeight="1">
      <c r="A257" s="51"/>
      <c r="B257" s="51"/>
      <c r="C257" s="51"/>
      <c r="D257" s="51"/>
      <c r="E257" s="51"/>
      <c r="F257" s="51"/>
      <c r="G257" s="51"/>
      <c r="H257" s="51"/>
      <c r="I257" s="51"/>
      <c r="J257" s="51"/>
      <c r="K257" s="51"/>
      <c r="L257" s="51"/>
      <c r="M257" s="51"/>
      <c r="N257" s="51"/>
    </row>
    <row r="258" ht="15.75" customHeight="1">
      <c r="A258" s="51"/>
      <c r="B258" s="51"/>
      <c r="C258" s="51"/>
      <c r="D258" s="51"/>
      <c r="E258" s="51"/>
      <c r="F258" s="51"/>
      <c r="G258" s="51"/>
      <c r="H258" s="51"/>
      <c r="I258" s="51"/>
      <c r="J258" s="51"/>
      <c r="K258" s="51"/>
      <c r="L258" s="51"/>
      <c r="M258" s="51"/>
      <c r="N258" s="51"/>
    </row>
    <row r="259" ht="15.75" customHeight="1">
      <c r="A259" s="51"/>
      <c r="B259" s="51"/>
      <c r="C259" s="51"/>
      <c r="D259" s="51"/>
      <c r="E259" s="51"/>
      <c r="F259" s="51"/>
      <c r="G259" s="51"/>
      <c r="H259" s="51"/>
      <c r="I259" s="51"/>
      <c r="J259" s="51"/>
      <c r="K259" s="51"/>
      <c r="L259" s="51"/>
      <c r="M259" s="51"/>
      <c r="N259" s="51"/>
    </row>
    <row r="260" ht="15.75" customHeight="1">
      <c r="A260" s="51"/>
      <c r="B260" s="51"/>
      <c r="C260" s="51"/>
      <c r="D260" s="51"/>
      <c r="E260" s="51"/>
      <c r="F260" s="51"/>
      <c r="G260" s="51"/>
      <c r="H260" s="51"/>
      <c r="I260" s="51"/>
      <c r="J260" s="51"/>
      <c r="K260" s="51"/>
      <c r="L260" s="51"/>
      <c r="M260" s="51"/>
      <c r="N260" s="51"/>
    </row>
    <row r="261" ht="15.75" customHeight="1">
      <c r="A261" s="51"/>
      <c r="B261" s="51"/>
      <c r="C261" s="51"/>
      <c r="D261" s="51"/>
      <c r="E261" s="51"/>
      <c r="F261" s="51"/>
      <c r="G261" s="51"/>
      <c r="H261" s="51"/>
      <c r="I261" s="51"/>
      <c r="J261" s="51"/>
      <c r="K261" s="51"/>
      <c r="L261" s="51"/>
      <c r="M261" s="51"/>
      <c r="N261" s="51"/>
    </row>
    <row r="262" ht="15.75" customHeight="1">
      <c r="A262" s="51"/>
      <c r="B262" s="51"/>
      <c r="C262" s="51"/>
      <c r="D262" s="51"/>
      <c r="E262" s="51"/>
      <c r="F262" s="51"/>
      <c r="G262" s="51"/>
      <c r="H262" s="51"/>
      <c r="I262" s="51"/>
      <c r="J262" s="51"/>
      <c r="K262" s="51"/>
      <c r="L262" s="51"/>
      <c r="M262" s="51"/>
      <c r="N262" s="51"/>
    </row>
    <row r="263" ht="15.75" customHeight="1">
      <c r="A263" s="51"/>
      <c r="B263" s="51"/>
      <c r="C263" s="51"/>
      <c r="D263" s="51"/>
      <c r="E263" s="51"/>
      <c r="F263" s="51"/>
      <c r="G263" s="51"/>
      <c r="H263" s="51"/>
      <c r="I263" s="51"/>
      <c r="J263" s="51"/>
      <c r="K263" s="51"/>
      <c r="L263" s="51"/>
      <c r="M263" s="51"/>
      <c r="N263" s="51"/>
    </row>
    <row r="264" ht="15.75" customHeight="1">
      <c r="A264" s="51"/>
      <c r="B264" s="51"/>
      <c r="C264" s="51"/>
      <c r="D264" s="51"/>
      <c r="E264" s="51"/>
      <c r="F264" s="51"/>
      <c r="G264" s="51"/>
      <c r="H264" s="51"/>
      <c r="I264" s="51"/>
      <c r="J264" s="51"/>
      <c r="K264" s="51"/>
      <c r="L264" s="51"/>
      <c r="M264" s="51"/>
      <c r="N264" s="51"/>
    </row>
    <row r="265" ht="15.75" customHeight="1">
      <c r="A265" s="51"/>
      <c r="B265" s="51"/>
      <c r="C265" s="51"/>
      <c r="D265" s="51"/>
      <c r="E265" s="51"/>
      <c r="F265" s="51"/>
      <c r="G265" s="51"/>
      <c r="H265" s="51"/>
      <c r="I265" s="51"/>
      <c r="J265" s="51"/>
      <c r="K265" s="51"/>
      <c r="L265" s="51"/>
      <c r="M265" s="51"/>
      <c r="N265" s="51"/>
    </row>
    <row r="266" ht="15.75" customHeight="1">
      <c r="A266" s="51"/>
      <c r="B266" s="51"/>
      <c r="C266" s="51"/>
      <c r="D266" s="51"/>
      <c r="E266" s="51"/>
      <c r="F266" s="51"/>
      <c r="G266" s="51"/>
      <c r="H266" s="51"/>
      <c r="I266" s="51"/>
      <c r="J266" s="51"/>
      <c r="K266" s="51"/>
      <c r="L266" s="51"/>
      <c r="M266" s="51"/>
      <c r="N266" s="51"/>
    </row>
    <row r="267" ht="15.75" customHeight="1">
      <c r="A267" s="51"/>
      <c r="B267" s="51"/>
      <c r="C267" s="51"/>
      <c r="D267" s="51"/>
      <c r="E267" s="51"/>
      <c r="F267" s="51"/>
      <c r="G267" s="51"/>
      <c r="H267" s="51"/>
      <c r="I267" s="51"/>
      <c r="J267" s="51"/>
      <c r="K267" s="51"/>
      <c r="L267" s="51"/>
      <c r="M267" s="51"/>
      <c r="N267" s="51"/>
    </row>
    <row r="268" ht="15.75" customHeight="1">
      <c r="A268" s="51"/>
      <c r="B268" s="51"/>
      <c r="C268" s="51"/>
      <c r="D268" s="51"/>
      <c r="E268" s="51"/>
      <c r="F268" s="51"/>
      <c r="G268" s="51"/>
      <c r="H268" s="51"/>
      <c r="I268" s="51"/>
      <c r="J268" s="51"/>
      <c r="K268" s="51"/>
      <c r="L268" s="51"/>
      <c r="M268" s="51"/>
      <c r="N268" s="51"/>
    </row>
    <row r="269" ht="15.75" customHeight="1">
      <c r="A269" s="51"/>
      <c r="B269" s="51"/>
      <c r="C269" s="51"/>
      <c r="D269" s="51"/>
      <c r="E269" s="51"/>
      <c r="F269" s="51"/>
      <c r="G269" s="51"/>
      <c r="H269" s="51"/>
      <c r="I269" s="51"/>
      <c r="J269" s="51"/>
      <c r="K269" s="51"/>
      <c r="L269" s="51"/>
      <c r="M269" s="51"/>
      <c r="N269" s="51"/>
    </row>
    <row r="270" ht="15.75" customHeight="1">
      <c r="A270" s="51"/>
      <c r="B270" s="51"/>
      <c r="C270" s="51"/>
      <c r="D270" s="51"/>
      <c r="E270" s="51"/>
      <c r="F270" s="51"/>
      <c r="G270" s="51"/>
      <c r="H270" s="51"/>
      <c r="I270" s="51"/>
      <c r="J270" s="51"/>
      <c r="K270" s="51"/>
      <c r="L270" s="51"/>
      <c r="M270" s="51"/>
      <c r="N270" s="51"/>
    </row>
    <row r="271" ht="15.75" customHeight="1">
      <c r="A271" s="51"/>
      <c r="B271" s="51"/>
      <c r="C271" s="51"/>
      <c r="D271" s="51"/>
      <c r="E271" s="51"/>
      <c r="F271" s="51"/>
      <c r="G271" s="51"/>
      <c r="H271" s="51"/>
      <c r="I271" s="51"/>
      <c r="J271" s="51"/>
      <c r="K271" s="51"/>
      <c r="L271" s="51"/>
      <c r="M271" s="51"/>
      <c r="N271" s="51"/>
    </row>
    <row r="272" ht="15.75" customHeight="1">
      <c r="A272" s="51"/>
      <c r="B272" s="51"/>
      <c r="C272" s="51"/>
      <c r="D272" s="51"/>
      <c r="E272" s="51"/>
      <c r="F272" s="51"/>
      <c r="G272" s="51"/>
      <c r="H272" s="51"/>
      <c r="I272" s="51"/>
      <c r="J272" s="51"/>
      <c r="K272" s="51"/>
      <c r="L272" s="51"/>
      <c r="M272" s="51"/>
      <c r="N272" s="51"/>
    </row>
    <row r="273" ht="15.75" customHeight="1">
      <c r="A273" s="51"/>
      <c r="B273" s="51"/>
      <c r="C273" s="51"/>
      <c r="D273" s="51"/>
      <c r="E273" s="51"/>
      <c r="F273" s="51"/>
      <c r="G273" s="51"/>
      <c r="H273" s="51"/>
      <c r="I273" s="51"/>
      <c r="J273" s="51"/>
      <c r="K273" s="51"/>
      <c r="L273" s="51"/>
      <c r="M273" s="51"/>
      <c r="N273" s="51"/>
    </row>
    <row r="274" ht="15.75" customHeight="1">
      <c r="A274" s="51"/>
      <c r="B274" s="51"/>
      <c r="C274" s="51"/>
      <c r="D274" s="51"/>
      <c r="E274" s="51"/>
      <c r="F274" s="51"/>
      <c r="G274" s="51"/>
      <c r="H274" s="51"/>
      <c r="I274" s="51"/>
      <c r="J274" s="51"/>
      <c r="K274" s="51"/>
      <c r="L274" s="51"/>
      <c r="M274" s="51"/>
      <c r="N274" s="51"/>
    </row>
    <row r="275" ht="15.75" customHeight="1">
      <c r="A275" s="51"/>
      <c r="B275" s="51"/>
      <c r="C275" s="51"/>
      <c r="D275" s="51"/>
      <c r="E275" s="51"/>
      <c r="F275" s="51"/>
      <c r="G275" s="51"/>
      <c r="H275" s="51"/>
      <c r="I275" s="51"/>
      <c r="J275" s="51"/>
      <c r="K275" s="51"/>
      <c r="L275" s="51"/>
      <c r="M275" s="51"/>
      <c r="N275" s="51"/>
    </row>
    <row r="276" ht="15.75" customHeight="1">
      <c r="A276" s="51"/>
      <c r="B276" s="51"/>
      <c r="C276" s="51"/>
      <c r="D276" s="51"/>
      <c r="E276" s="51"/>
      <c r="F276" s="51"/>
      <c r="G276" s="51"/>
      <c r="H276" s="51"/>
      <c r="I276" s="51"/>
      <c r="J276" s="51"/>
      <c r="K276" s="51"/>
      <c r="L276" s="51"/>
      <c r="M276" s="51"/>
      <c r="N276" s="51"/>
    </row>
    <row r="277" ht="15.75" customHeight="1">
      <c r="A277" s="51"/>
      <c r="B277" s="51"/>
      <c r="C277" s="51"/>
      <c r="D277" s="51"/>
      <c r="E277" s="51"/>
      <c r="F277" s="51"/>
      <c r="G277" s="51"/>
      <c r="H277" s="51"/>
      <c r="I277" s="51"/>
      <c r="J277" s="51"/>
      <c r="K277" s="51"/>
      <c r="L277" s="51"/>
      <c r="M277" s="51"/>
      <c r="N277" s="51"/>
    </row>
    <row r="278" ht="15.75" customHeight="1">
      <c r="A278" s="51"/>
      <c r="B278" s="51"/>
      <c r="C278" s="51"/>
      <c r="D278" s="51"/>
      <c r="E278" s="51"/>
      <c r="F278" s="51"/>
      <c r="G278" s="51"/>
      <c r="H278" s="51"/>
      <c r="I278" s="51"/>
      <c r="J278" s="51"/>
      <c r="K278" s="51"/>
      <c r="L278" s="51"/>
      <c r="M278" s="51"/>
      <c r="N278" s="51"/>
    </row>
    <row r="279" ht="15.75" customHeight="1">
      <c r="A279" s="51"/>
      <c r="B279" s="51"/>
      <c r="C279" s="51"/>
      <c r="D279" s="51"/>
      <c r="E279" s="51"/>
      <c r="F279" s="51"/>
      <c r="G279" s="51"/>
      <c r="H279" s="51"/>
      <c r="I279" s="51"/>
      <c r="J279" s="51"/>
      <c r="K279" s="51"/>
      <c r="L279" s="51"/>
      <c r="M279" s="51"/>
      <c r="N279" s="51"/>
    </row>
    <row r="280" ht="15.75" customHeight="1">
      <c r="A280" s="51"/>
      <c r="B280" s="51"/>
      <c r="C280" s="51"/>
      <c r="D280" s="51"/>
      <c r="E280" s="51"/>
      <c r="F280" s="51"/>
      <c r="G280" s="51"/>
      <c r="H280" s="51"/>
      <c r="I280" s="51"/>
      <c r="J280" s="51"/>
      <c r="K280" s="51"/>
      <c r="L280" s="51"/>
      <c r="M280" s="51"/>
      <c r="N280" s="51"/>
    </row>
    <row r="281" ht="15.75" customHeight="1">
      <c r="A281" s="51"/>
      <c r="B281" s="51"/>
      <c r="C281" s="51"/>
      <c r="D281" s="51"/>
      <c r="E281" s="51"/>
      <c r="F281" s="51"/>
      <c r="G281" s="51"/>
      <c r="H281" s="51"/>
      <c r="I281" s="51"/>
      <c r="J281" s="51"/>
      <c r="K281" s="51"/>
      <c r="L281" s="51"/>
      <c r="M281" s="51"/>
      <c r="N281" s="51"/>
    </row>
    <row r="282" ht="15.75" customHeight="1">
      <c r="A282" s="51"/>
      <c r="B282" s="51"/>
      <c r="C282" s="51"/>
      <c r="D282" s="51"/>
      <c r="E282" s="51"/>
      <c r="F282" s="51"/>
      <c r="G282" s="51"/>
      <c r="H282" s="51"/>
      <c r="I282" s="51"/>
      <c r="J282" s="51"/>
      <c r="K282" s="51"/>
      <c r="L282" s="51"/>
      <c r="M282" s="51"/>
      <c r="N282" s="51"/>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I24:I25"/>
    <mergeCell ref="K24:K25"/>
    <mergeCell ref="I28:I31"/>
    <mergeCell ref="K28:K31"/>
    <mergeCell ref="I37:I38"/>
    <mergeCell ref="K37:K40"/>
    <mergeCell ref="I41:I45"/>
    <mergeCell ref="J41:J45"/>
    <mergeCell ref="K41:K45"/>
    <mergeCell ref="I46:I51"/>
    <mergeCell ref="J46:J51"/>
    <mergeCell ref="K46:K51"/>
    <mergeCell ref="M55:M82"/>
    <mergeCell ref="I56:I59"/>
    <mergeCell ref="K56:K59"/>
    <mergeCell ref="A1:K1"/>
    <mergeCell ref="M2:M53"/>
    <mergeCell ref="N5:N6"/>
    <mergeCell ref="I19:I21"/>
    <mergeCell ref="K19:K21"/>
    <mergeCell ref="L19:L20"/>
    <mergeCell ref="B24:B25"/>
    <mergeCell ref="B56:B5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26.57"/>
    <col customWidth="1" min="3" max="3" width="17.0"/>
    <col customWidth="1" min="4" max="4" width="4.29"/>
    <col customWidth="1" min="5" max="5" width="31.29"/>
    <col customWidth="1" min="6" max="6" width="12.0"/>
    <col customWidth="1" min="7" max="7" width="4.29"/>
    <col customWidth="1" min="8" max="8" width="28.86"/>
    <col customWidth="1" min="9" max="9" width="12.0"/>
    <col customWidth="1" min="10" max="10" width="4.29"/>
    <col customWidth="1" min="11" max="11" width="26.0"/>
    <col customWidth="1" min="12" max="12" width="13.57"/>
    <col customWidth="1" min="13" max="13" width="4.29"/>
  </cols>
  <sheetData>
    <row r="1">
      <c r="A1" s="96"/>
      <c r="B1" s="97"/>
      <c r="C1" s="97"/>
      <c r="D1" s="96"/>
      <c r="E1" s="96"/>
      <c r="F1" s="96"/>
      <c r="G1" s="96"/>
      <c r="H1" s="96"/>
      <c r="I1" s="96"/>
      <c r="J1" s="96"/>
      <c r="K1" s="96"/>
      <c r="L1" s="96"/>
      <c r="M1" s="96"/>
    </row>
    <row r="2">
      <c r="A2" s="96"/>
      <c r="B2" s="98" t="s">
        <v>75</v>
      </c>
      <c r="D2" s="96"/>
      <c r="E2" s="98" t="s">
        <v>76</v>
      </c>
      <c r="G2" s="96"/>
      <c r="H2" s="98" t="s">
        <v>76</v>
      </c>
      <c r="J2" s="96"/>
      <c r="K2" s="98" t="s">
        <v>76</v>
      </c>
      <c r="M2" s="96"/>
    </row>
    <row r="3">
      <c r="A3" s="96"/>
      <c r="B3" s="99" t="s">
        <v>77</v>
      </c>
      <c r="C3" s="100">
        <v>97.0</v>
      </c>
      <c r="D3" s="96"/>
      <c r="E3" s="99" t="s">
        <v>77</v>
      </c>
      <c r="F3" s="100">
        <v>197.0</v>
      </c>
      <c r="G3" s="96"/>
      <c r="H3" s="99" t="s">
        <v>77</v>
      </c>
      <c r="I3" s="100">
        <v>497.0</v>
      </c>
      <c r="J3" s="96"/>
      <c r="K3" s="99" t="s">
        <v>77</v>
      </c>
      <c r="L3" s="100">
        <v>5997.0</v>
      </c>
      <c r="M3" s="96"/>
    </row>
    <row r="4">
      <c r="A4" s="96"/>
      <c r="B4" s="99" t="s">
        <v>78</v>
      </c>
      <c r="C4" s="100">
        <f>(C3*9.9/100)+1</f>
        <v>10.603</v>
      </c>
      <c r="D4" s="96"/>
      <c r="E4" s="99" t="s">
        <v>78</v>
      </c>
      <c r="F4" s="100">
        <f>(F3*9.9/100)+1+2.59</f>
        <v>23.093</v>
      </c>
      <c r="G4" s="96"/>
      <c r="H4" s="99" t="s">
        <v>78</v>
      </c>
      <c r="I4" s="100">
        <f>(I3*9.9/100)+1+2.59</f>
        <v>52.793</v>
      </c>
      <c r="J4" s="96"/>
      <c r="K4" s="99" t="s">
        <v>78</v>
      </c>
      <c r="L4" s="100">
        <f>(L3*9.9/100)+1+2.59</f>
        <v>597.293</v>
      </c>
      <c r="M4" s="96"/>
    </row>
    <row r="5">
      <c r="A5" s="96"/>
      <c r="B5" s="99" t="s">
        <v>79</v>
      </c>
      <c r="C5" s="101">
        <v>100.0</v>
      </c>
      <c r="D5" s="96"/>
      <c r="E5" s="99" t="s">
        <v>79</v>
      </c>
      <c r="F5" s="101">
        <v>70.0</v>
      </c>
      <c r="G5" s="96"/>
      <c r="H5" s="99" t="s">
        <v>79</v>
      </c>
      <c r="I5" s="101">
        <v>70.0</v>
      </c>
      <c r="J5" s="96"/>
      <c r="K5" s="99" t="s">
        <v>79</v>
      </c>
      <c r="L5" s="101">
        <v>70.0</v>
      </c>
      <c r="M5" s="96"/>
    </row>
    <row r="6">
      <c r="A6" s="96"/>
      <c r="B6" s="99" t="s">
        <v>80</v>
      </c>
      <c r="C6" s="100">
        <f>(C3-C4)*C5/100</f>
        <v>86.397</v>
      </c>
      <c r="D6" s="102"/>
      <c r="E6" s="99" t="s">
        <v>80</v>
      </c>
      <c r="F6" s="100">
        <f>(F3-F4)*F5/100</f>
        <v>121.7349</v>
      </c>
      <c r="G6" s="102"/>
      <c r="H6" s="99" t="s">
        <v>80</v>
      </c>
      <c r="I6" s="100">
        <f>(I3-I4)*I5/100</f>
        <v>310.9449</v>
      </c>
      <c r="J6" s="102"/>
      <c r="K6" s="99" t="s">
        <v>80</v>
      </c>
      <c r="L6" s="100">
        <f>(L3-L4)*L5/100</f>
        <v>3779.7949</v>
      </c>
      <c r="M6" s="102"/>
    </row>
    <row r="7">
      <c r="A7" s="96"/>
      <c r="B7" s="99" t="s">
        <v>81</v>
      </c>
      <c r="C7" s="100">
        <f>C3-(C6+C4)</f>
        <v>0</v>
      </c>
      <c r="D7" s="96"/>
      <c r="E7" s="99" t="s">
        <v>81</v>
      </c>
      <c r="F7" s="100">
        <f>F3-(F6+F4)</f>
        <v>52.1721</v>
      </c>
      <c r="G7" s="96"/>
      <c r="H7" s="99" t="s">
        <v>81</v>
      </c>
      <c r="I7" s="100">
        <f>I3-(I6+I4)</f>
        <v>133.2621</v>
      </c>
      <c r="J7" s="96"/>
      <c r="K7" s="99" t="s">
        <v>81</v>
      </c>
      <c r="L7" s="100">
        <f>L3-(L6+L4)</f>
        <v>1619.9121</v>
      </c>
      <c r="M7" s="96"/>
    </row>
    <row r="8">
      <c r="A8" s="103"/>
      <c r="B8" s="103"/>
      <c r="C8" s="103"/>
      <c r="D8" s="103"/>
      <c r="E8" s="103"/>
      <c r="F8" s="103"/>
      <c r="G8" s="103"/>
      <c r="H8" s="103"/>
      <c r="I8" s="103"/>
      <c r="J8" s="103"/>
      <c r="K8" s="103"/>
      <c r="L8" s="103"/>
      <c r="M8" s="103"/>
    </row>
    <row r="9">
      <c r="A9" s="103"/>
      <c r="B9" s="98" t="s">
        <v>82</v>
      </c>
      <c r="D9" s="103"/>
      <c r="E9" s="98" t="s">
        <v>83</v>
      </c>
      <c r="G9" s="103"/>
      <c r="H9" s="98" t="s">
        <v>83</v>
      </c>
      <c r="J9" s="103"/>
      <c r="K9" s="98" t="s">
        <v>83</v>
      </c>
      <c r="M9" s="103"/>
    </row>
    <row r="10">
      <c r="A10" s="103"/>
      <c r="B10" s="99" t="s">
        <v>77</v>
      </c>
      <c r="C10" s="100">
        <v>2197.0</v>
      </c>
      <c r="D10" s="103"/>
      <c r="E10" s="99" t="s">
        <v>77</v>
      </c>
      <c r="F10" s="100">
        <v>2497.0</v>
      </c>
      <c r="G10" s="103"/>
      <c r="H10" s="99" t="s">
        <v>77</v>
      </c>
      <c r="I10" s="100">
        <v>5997.0</v>
      </c>
      <c r="J10" s="103"/>
      <c r="K10" s="99" t="s">
        <v>77</v>
      </c>
      <c r="L10" s="100">
        <v>5997.0</v>
      </c>
      <c r="M10" s="103"/>
    </row>
    <row r="11">
      <c r="A11" s="103"/>
      <c r="B11" s="99" t="s">
        <v>78</v>
      </c>
      <c r="C11" s="100">
        <f>(C10*9.9/100)+1</f>
        <v>218.503</v>
      </c>
      <c r="D11" s="103"/>
      <c r="E11" s="99" t="s">
        <v>78</v>
      </c>
      <c r="F11" s="100">
        <f>(F10*9.9/100)+1+2.59</f>
        <v>250.793</v>
      </c>
      <c r="G11" s="103"/>
      <c r="H11" s="99" t="s">
        <v>78</v>
      </c>
      <c r="I11" s="100">
        <f>(I10*9.9/100)+1+2.59</f>
        <v>597.293</v>
      </c>
      <c r="J11" s="103"/>
      <c r="K11" s="99" t="s">
        <v>78</v>
      </c>
      <c r="L11" s="100">
        <f>(L10*9.9/100)+1+2.59</f>
        <v>597.293</v>
      </c>
      <c r="M11" s="103"/>
    </row>
    <row r="12">
      <c r="A12" s="103"/>
      <c r="B12" s="99" t="s">
        <v>79</v>
      </c>
      <c r="C12" s="101">
        <v>50.0</v>
      </c>
      <c r="D12" s="103"/>
      <c r="E12" s="99" t="s">
        <v>79</v>
      </c>
      <c r="F12" s="101">
        <v>50.0</v>
      </c>
      <c r="G12" s="103"/>
      <c r="H12" s="99" t="s">
        <v>79</v>
      </c>
      <c r="I12" s="101">
        <v>50.0</v>
      </c>
      <c r="J12" s="103"/>
      <c r="K12" s="99" t="s">
        <v>79</v>
      </c>
      <c r="L12" s="101">
        <v>50.0</v>
      </c>
      <c r="M12" s="103"/>
    </row>
    <row r="13">
      <c r="A13" s="103"/>
      <c r="B13" s="99" t="s">
        <v>80</v>
      </c>
      <c r="C13" s="100">
        <f>(C10-C11)*C12/100</f>
        <v>989.2485</v>
      </c>
      <c r="D13" s="103"/>
      <c r="E13" s="104" t="s">
        <v>80</v>
      </c>
      <c r="F13" s="100">
        <f>(F10-F11)*F12/100</f>
        <v>1123.1035</v>
      </c>
      <c r="G13" s="103"/>
      <c r="H13" s="104" t="s">
        <v>80</v>
      </c>
      <c r="I13" s="100">
        <f>(I10-I11)*I12/100</f>
        <v>2699.8535</v>
      </c>
      <c r="J13" s="103"/>
      <c r="K13" s="104" t="s">
        <v>80</v>
      </c>
      <c r="L13" s="100">
        <f>(L10-L11)*L12/100</f>
        <v>2699.8535</v>
      </c>
      <c r="M13" s="103"/>
    </row>
    <row r="14">
      <c r="A14" s="103"/>
      <c r="B14" s="99" t="s">
        <v>84</v>
      </c>
      <c r="C14" s="101">
        <v>20.0</v>
      </c>
      <c r="D14" s="103"/>
      <c r="E14" s="99" t="s">
        <v>84</v>
      </c>
      <c r="F14" s="101">
        <v>20.0</v>
      </c>
      <c r="G14" s="103"/>
      <c r="H14" s="99" t="s">
        <v>84</v>
      </c>
      <c r="I14" s="101">
        <v>20.0</v>
      </c>
      <c r="J14" s="103"/>
      <c r="K14" s="99" t="s">
        <v>84</v>
      </c>
      <c r="L14" s="101">
        <v>20.0</v>
      </c>
      <c r="M14" s="103"/>
    </row>
    <row r="15">
      <c r="A15" s="103"/>
      <c r="B15" s="104" t="s">
        <v>85</v>
      </c>
      <c r="C15" s="105">
        <f>(C10-C11-C13)*C14/100</f>
        <v>197.8497</v>
      </c>
      <c r="D15" s="103"/>
      <c r="E15" s="104" t="s">
        <v>85</v>
      </c>
      <c r="F15" s="105">
        <f>(F10-F11-F13)*F14/100</f>
        <v>224.6207</v>
      </c>
      <c r="G15" s="103"/>
      <c r="H15" s="104" t="s">
        <v>85</v>
      </c>
      <c r="I15" s="105">
        <f>(I10-I11-I13)*I14/100</f>
        <v>539.9707</v>
      </c>
      <c r="J15" s="103"/>
      <c r="K15" s="104" t="s">
        <v>85</v>
      </c>
      <c r="L15" s="105">
        <f>(L10-L11-L13)*L14/100</f>
        <v>539.9707</v>
      </c>
      <c r="M15" s="103"/>
    </row>
    <row r="16">
      <c r="A16" s="103"/>
      <c r="B16" s="99" t="s">
        <v>81</v>
      </c>
      <c r="C16" s="100">
        <f>C10-(C13+C11+C15)</f>
        <v>791.3988</v>
      </c>
      <c r="D16" s="103"/>
      <c r="E16" s="99" t="s">
        <v>81</v>
      </c>
      <c r="F16" s="100">
        <f>F10-(F13+F11+F15)</f>
        <v>898.4828</v>
      </c>
      <c r="G16" s="103"/>
      <c r="H16" s="99" t="s">
        <v>81</v>
      </c>
      <c r="I16" s="100">
        <f>I10-(I13+I11+I15)</f>
        <v>2159.8828</v>
      </c>
      <c r="J16" s="103"/>
      <c r="K16" s="99" t="s">
        <v>81</v>
      </c>
      <c r="L16" s="100">
        <f>L10-(L13+L11+L15)</f>
        <v>2159.8828</v>
      </c>
      <c r="M16" s="103"/>
    </row>
    <row r="17">
      <c r="A17" s="103"/>
      <c r="B17" s="103"/>
      <c r="C17" s="103"/>
      <c r="D17" s="103"/>
      <c r="E17" s="103"/>
      <c r="F17" s="103"/>
      <c r="G17" s="103"/>
      <c r="H17" s="103"/>
      <c r="I17" s="103"/>
      <c r="J17" s="103"/>
      <c r="K17" s="103"/>
      <c r="L17" s="103"/>
      <c r="M17" s="10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C2"/>
    <mergeCell ref="E2:F2"/>
    <mergeCell ref="H2:I2"/>
    <mergeCell ref="K2:L2"/>
    <mergeCell ref="B9:C9"/>
    <mergeCell ref="E9:F9"/>
    <mergeCell ref="H9:I9"/>
    <mergeCell ref="K9:L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4.57"/>
    <col customWidth="1" min="2" max="2" width="26.0"/>
    <col customWidth="1" min="3" max="6" width="14.43"/>
  </cols>
  <sheetData>
    <row r="1">
      <c r="AK1" s="106"/>
    </row>
    <row r="2">
      <c r="B2" s="107" t="s">
        <v>86</v>
      </c>
      <c r="AK2" s="106"/>
    </row>
    <row r="3">
      <c r="B3" s="108"/>
      <c r="C3" s="108"/>
      <c r="D3" s="108"/>
      <c r="E3" s="108"/>
      <c r="F3" s="108"/>
      <c r="G3" s="108"/>
      <c r="H3" s="108"/>
      <c r="I3" s="108"/>
      <c r="J3" s="108"/>
      <c r="K3" s="108"/>
      <c r="L3" s="108"/>
      <c r="M3" s="108"/>
      <c r="N3" s="108"/>
      <c r="AK3" s="106"/>
    </row>
    <row r="4">
      <c r="B4" s="109"/>
      <c r="C4" s="110" t="s">
        <v>87</v>
      </c>
      <c r="D4" s="110" t="s">
        <v>33</v>
      </c>
      <c r="E4" s="110" t="s">
        <v>34</v>
      </c>
      <c r="F4" s="110" t="s">
        <v>35</v>
      </c>
      <c r="G4" s="110" t="s">
        <v>36</v>
      </c>
      <c r="H4" s="110" t="s">
        <v>37</v>
      </c>
      <c r="I4" s="110" t="s">
        <v>38</v>
      </c>
      <c r="J4" s="110" t="s">
        <v>39</v>
      </c>
      <c r="K4" s="110" t="s">
        <v>40</v>
      </c>
      <c r="L4" s="110" t="s">
        <v>41</v>
      </c>
      <c r="M4" s="110" t="s">
        <v>42</v>
      </c>
      <c r="N4" s="110" t="s">
        <v>43</v>
      </c>
      <c r="AK4" s="106"/>
    </row>
    <row r="5">
      <c r="B5" s="111" t="s">
        <v>88</v>
      </c>
      <c r="C5" s="112">
        <f t="shared" ref="C5:N5" si="1">C6</f>
        <v>0</v>
      </c>
      <c r="D5" s="112">
        <f t="shared" si="1"/>
        <v>0</v>
      </c>
      <c r="E5" s="112">
        <f t="shared" si="1"/>
        <v>177.42</v>
      </c>
      <c r="F5" s="112">
        <f t="shared" si="1"/>
        <v>1523.97</v>
      </c>
      <c r="G5" s="112">
        <f t="shared" si="1"/>
        <v>0</v>
      </c>
      <c r="H5" s="112">
        <f t="shared" si="1"/>
        <v>0</v>
      </c>
      <c r="I5" s="112">
        <f t="shared" si="1"/>
        <v>0</v>
      </c>
      <c r="J5" s="112">
        <f t="shared" si="1"/>
        <v>0</v>
      </c>
      <c r="K5" s="112">
        <f t="shared" si="1"/>
        <v>0</v>
      </c>
      <c r="L5" s="112">
        <f t="shared" si="1"/>
        <v>0</v>
      </c>
      <c r="M5" s="112">
        <f t="shared" si="1"/>
        <v>0</v>
      </c>
      <c r="N5" s="112">
        <f t="shared" si="1"/>
        <v>0</v>
      </c>
      <c r="AK5" s="106"/>
    </row>
    <row r="6">
      <c r="B6" s="111" t="s">
        <v>89</v>
      </c>
      <c r="C6" s="113">
        <v>0.0</v>
      </c>
      <c r="D6" s="113">
        <v>0.0</v>
      </c>
      <c r="E6" s="113">
        <f>P26+AD26</f>
        <v>177.42</v>
      </c>
      <c r="F6" s="113">
        <f>P64</f>
        <v>1523.97</v>
      </c>
      <c r="G6" s="113">
        <v>0.0</v>
      </c>
      <c r="H6" s="113">
        <v>0.0</v>
      </c>
      <c r="I6" s="113">
        <v>0.0</v>
      </c>
      <c r="J6" s="113">
        <v>0.0</v>
      </c>
      <c r="K6" s="113">
        <v>0.0</v>
      </c>
      <c r="L6" s="113">
        <v>0.0</v>
      </c>
      <c r="M6" s="113">
        <v>0.0</v>
      </c>
      <c r="N6" s="113">
        <v>0.0</v>
      </c>
      <c r="AK6" s="106"/>
    </row>
    <row r="7">
      <c r="B7" s="114"/>
      <c r="C7" s="115"/>
      <c r="D7" s="115"/>
      <c r="E7" s="115"/>
      <c r="F7" s="115"/>
      <c r="G7" s="115"/>
      <c r="H7" s="115"/>
      <c r="I7" s="115"/>
      <c r="J7" s="115"/>
      <c r="K7" s="115"/>
      <c r="L7" s="115"/>
      <c r="M7" s="115"/>
      <c r="N7" s="115"/>
      <c r="AK7" s="106"/>
    </row>
    <row r="8">
      <c r="B8" s="114" t="s">
        <v>90</v>
      </c>
      <c r="C8" s="116">
        <v>0.0</v>
      </c>
      <c r="D8" s="116">
        <v>0.0</v>
      </c>
      <c r="E8" s="116">
        <f>W26</f>
        <v>143</v>
      </c>
      <c r="F8" s="116">
        <f>W64</f>
        <v>927</v>
      </c>
      <c r="G8" s="116">
        <v>0.0</v>
      </c>
      <c r="H8" s="116">
        <v>0.0</v>
      </c>
      <c r="I8" s="116">
        <v>0.0</v>
      </c>
      <c r="J8" s="116">
        <v>0.0</v>
      </c>
      <c r="K8" s="116">
        <v>0.0</v>
      </c>
      <c r="L8" s="116">
        <v>0.0</v>
      </c>
      <c r="M8" s="116">
        <v>0.0</v>
      </c>
      <c r="N8" s="116">
        <v>0.0</v>
      </c>
      <c r="AK8" s="106"/>
    </row>
    <row r="9">
      <c r="B9" s="114" t="s">
        <v>91</v>
      </c>
      <c r="C9" s="117" t="str">
        <f t="shared" ref="C9:N9" si="2">C5/C8</f>
        <v>#DIV/0!</v>
      </c>
      <c r="D9" s="117" t="str">
        <f t="shared" si="2"/>
        <v>#DIV/0!</v>
      </c>
      <c r="E9" s="118">
        <f t="shared" si="2"/>
        <v>1.240699301</v>
      </c>
      <c r="F9" s="118">
        <f t="shared" si="2"/>
        <v>1.643980583</v>
      </c>
      <c r="G9" s="117" t="str">
        <f t="shared" si="2"/>
        <v>#DIV/0!</v>
      </c>
      <c r="H9" s="117" t="str">
        <f t="shared" si="2"/>
        <v>#DIV/0!</v>
      </c>
      <c r="I9" s="117" t="str">
        <f t="shared" si="2"/>
        <v>#DIV/0!</v>
      </c>
      <c r="J9" s="117" t="str">
        <f t="shared" si="2"/>
        <v>#DIV/0!</v>
      </c>
      <c r="K9" s="117" t="str">
        <f t="shared" si="2"/>
        <v>#DIV/0!</v>
      </c>
      <c r="L9" s="117" t="str">
        <f t="shared" si="2"/>
        <v>#DIV/0!</v>
      </c>
      <c r="M9" s="117" t="str">
        <f t="shared" si="2"/>
        <v>#DIV/0!</v>
      </c>
      <c r="N9" s="117" t="str">
        <f t="shared" si="2"/>
        <v>#DIV/0!</v>
      </c>
      <c r="AK9" s="106"/>
    </row>
    <row r="10">
      <c r="B10" s="114" t="s">
        <v>92</v>
      </c>
      <c r="C10" s="119">
        <v>0.0</v>
      </c>
      <c r="D10" s="119">
        <v>0.0</v>
      </c>
      <c r="E10" s="119">
        <f>U26</f>
        <v>123</v>
      </c>
      <c r="F10" s="119">
        <f>U64</f>
        <v>690</v>
      </c>
      <c r="G10" s="119">
        <v>0.0</v>
      </c>
      <c r="H10" s="119">
        <v>0.0</v>
      </c>
      <c r="I10" s="119">
        <v>0.0</v>
      </c>
      <c r="J10" s="119">
        <v>0.0</v>
      </c>
      <c r="K10" s="119">
        <v>0.0</v>
      </c>
      <c r="L10" s="119">
        <v>0.0</v>
      </c>
      <c r="M10" s="119">
        <v>0.0</v>
      </c>
      <c r="N10" s="119">
        <v>0.0</v>
      </c>
      <c r="P10" s="120"/>
      <c r="AK10" s="106"/>
    </row>
    <row r="11">
      <c r="B11" s="114" t="s">
        <v>93</v>
      </c>
      <c r="C11" s="112" t="str">
        <f t="shared" ref="C11:N11" si="3">C5/C10</f>
        <v>#DIV/0!</v>
      </c>
      <c r="D11" s="112" t="str">
        <f t="shared" si="3"/>
        <v>#DIV/0!</v>
      </c>
      <c r="E11" s="121">
        <f t="shared" si="3"/>
        <v>1.442439024</v>
      </c>
      <c r="F11" s="121">
        <f t="shared" si="3"/>
        <v>2.208652174</v>
      </c>
      <c r="G11" s="112" t="str">
        <f t="shared" si="3"/>
        <v>#DIV/0!</v>
      </c>
      <c r="H11" s="112" t="str">
        <f t="shared" si="3"/>
        <v>#DIV/0!</v>
      </c>
      <c r="I11" s="112" t="str">
        <f t="shared" si="3"/>
        <v>#DIV/0!</v>
      </c>
      <c r="J11" s="112" t="str">
        <f t="shared" si="3"/>
        <v>#DIV/0!</v>
      </c>
      <c r="K11" s="112" t="str">
        <f t="shared" si="3"/>
        <v>#DIV/0!</v>
      </c>
      <c r="L11" s="112" t="str">
        <f t="shared" si="3"/>
        <v>#DIV/0!</v>
      </c>
      <c r="M11" s="112" t="str">
        <f t="shared" si="3"/>
        <v>#DIV/0!</v>
      </c>
      <c r="N11" s="112" t="str">
        <f t="shared" si="3"/>
        <v>#DIV/0!</v>
      </c>
      <c r="AK11" s="106"/>
    </row>
    <row r="12">
      <c r="B12" s="114" t="s">
        <v>94</v>
      </c>
      <c r="C12" s="122">
        <v>0.0</v>
      </c>
      <c r="D12" s="122">
        <v>0.0</v>
      </c>
      <c r="E12" s="122">
        <f>S26</f>
        <v>186</v>
      </c>
      <c r="F12" s="122">
        <f>S64</f>
        <v>698</v>
      </c>
      <c r="G12" s="122">
        <v>0.0</v>
      </c>
      <c r="H12" s="122">
        <v>0.0</v>
      </c>
      <c r="I12" s="122">
        <v>0.0</v>
      </c>
      <c r="J12" s="122">
        <v>0.0</v>
      </c>
      <c r="K12" s="122">
        <v>0.0</v>
      </c>
      <c r="L12" s="122">
        <v>0.0</v>
      </c>
      <c r="M12" s="122">
        <v>0.0</v>
      </c>
      <c r="N12" s="122">
        <v>0.0</v>
      </c>
      <c r="AK12" s="106"/>
    </row>
    <row r="13">
      <c r="B13" s="114" t="s">
        <v>95</v>
      </c>
      <c r="C13" s="117" t="str">
        <f t="shared" ref="C13:N13" si="4">C5/C12</f>
        <v>#DIV/0!</v>
      </c>
      <c r="D13" s="117" t="str">
        <f t="shared" si="4"/>
        <v>#DIV/0!</v>
      </c>
      <c r="E13" s="118">
        <f t="shared" si="4"/>
        <v>0.9538709677</v>
      </c>
      <c r="F13" s="118">
        <f t="shared" si="4"/>
        <v>2.183338109</v>
      </c>
      <c r="G13" s="117" t="str">
        <f t="shared" si="4"/>
        <v>#DIV/0!</v>
      </c>
      <c r="H13" s="117" t="str">
        <f t="shared" si="4"/>
        <v>#DIV/0!</v>
      </c>
      <c r="I13" s="117" t="str">
        <f t="shared" si="4"/>
        <v>#DIV/0!</v>
      </c>
      <c r="J13" s="117" t="str">
        <f t="shared" si="4"/>
        <v>#DIV/0!</v>
      </c>
      <c r="K13" s="117" t="str">
        <f t="shared" si="4"/>
        <v>#DIV/0!</v>
      </c>
      <c r="L13" s="117" t="str">
        <f t="shared" si="4"/>
        <v>#DIV/0!</v>
      </c>
      <c r="M13" s="117" t="str">
        <f t="shared" si="4"/>
        <v>#DIV/0!</v>
      </c>
      <c r="N13" s="117" t="str">
        <f t="shared" si="4"/>
        <v>#DIV/0!</v>
      </c>
      <c r="AK13" s="106"/>
    </row>
    <row r="14">
      <c r="B14" s="114" t="s">
        <v>11</v>
      </c>
      <c r="C14" s="123">
        <v>0.0</v>
      </c>
      <c r="D14" s="123">
        <v>0.0</v>
      </c>
      <c r="E14" s="123">
        <f>Q26</f>
        <v>22</v>
      </c>
      <c r="F14" s="123">
        <f>Q64</f>
        <v>104</v>
      </c>
      <c r="G14" s="123">
        <v>0.0</v>
      </c>
      <c r="H14" s="123">
        <v>0.0</v>
      </c>
      <c r="I14" s="123">
        <v>0.0</v>
      </c>
      <c r="J14" s="123">
        <v>0.0</v>
      </c>
      <c r="K14" s="123">
        <v>0.0</v>
      </c>
      <c r="L14" s="123">
        <v>0.0</v>
      </c>
      <c r="M14" s="123">
        <v>0.0</v>
      </c>
      <c r="N14" s="123">
        <v>0.0</v>
      </c>
      <c r="AK14" s="106"/>
    </row>
    <row r="15">
      <c r="B15" s="114" t="s">
        <v>96</v>
      </c>
      <c r="C15" s="112" t="str">
        <f t="shared" ref="C15:N15" si="5">C5/C14</f>
        <v>#DIV/0!</v>
      </c>
      <c r="D15" s="112" t="str">
        <f t="shared" si="5"/>
        <v>#DIV/0!</v>
      </c>
      <c r="E15" s="121">
        <f t="shared" si="5"/>
        <v>8.064545455</v>
      </c>
      <c r="F15" s="121">
        <f t="shared" si="5"/>
        <v>14.65355769</v>
      </c>
      <c r="G15" s="112" t="str">
        <f t="shared" si="5"/>
        <v>#DIV/0!</v>
      </c>
      <c r="H15" s="112" t="str">
        <f t="shared" si="5"/>
        <v>#DIV/0!</v>
      </c>
      <c r="I15" s="112" t="str">
        <f t="shared" si="5"/>
        <v>#DIV/0!</v>
      </c>
      <c r="J15" s="112" t="str">
        <f t="shared" si="5"/>
        <v>#DIV/0!</v>
      </c>
      <c r="K15" s="112" t="str">
        <f t="shared" si="5"/>
        <v>#DIV/0!</v>
      </c>
      <c r="L15" s="112" t="str">
        <f t="shared" si="5"/>
        <v>#DIV/0!</v>
      </c>
      <c r="M15" s="112" t="str">
        <f t="shared" si="5"/>
        <v>#DIV/0!</v>
      </c>
      <c r="N15" s="112" t="str">
        <f t="shared" si="5"/>
        <v>#DIV/0!</v>
      </c>
      <c r="AK15" s="106"/>
    </row>
    <row r="16">
      <c r="B16" s="124" t="s">
        <v>97</v>
      </c>
      <c r="C16" s="125"/>
      <c r="D16" s="126"/>
      <c r="E16" s="125"/>
      <c r="F16" s="125"/>
      <c r="G16" s="125"/>
      <c r="H16" s="125"/>
      <c r="I16" s="125"/>
      <c r="J16" s="125"/>
      <c r="K16" s="125"/>
      <c r="L16" s="125"/>
      <c r="M16" s="125"/>
      <c r="N16" s="125"/>
      <c r="AK16" s="106"/>
    </row>
    <row r="17">
      <c r="B17" s="127" t="s">
        <v>98</v>
      </c>
      <c r="C17" s="128" t="str">
        <f t="shared" ref="C17:N17" si="6">C10/C8</f>
        <v>#DIV/0!</v>
      </c>
      <c r="D17" s="129" t="str">
        <f t="shared" si="6"/>
        <v>#DIV/0!</v>
      </c>
      <c r="E17" s="129">
        <f t="shared" si="6"/>
        <v>0.8601398601</v>
      </c>
      <c r="F17" s="129">
        <f t="shared" si="6"/>
        <v>0.7443365696</v>
      </c>
      <c r="G17" s="129" t="str">
        <f t="shared" si="6"/>
        <v>#DIV/0!</v>
      </c>
      <c r="H17" s="129" t="str">
        <f t="shared" si="6"/>
        <v>#DIV/0!</v>
      </c>
      <c r="I17" s="129" t="str">
        <f t="shared" si="6"/>
        <v>#DIV/0!</v>
      </c>
      <c r="J17" s="129" t="str">
        <f t="shared" si="6"/>
        <v>#DIV/0!</v>
      </c>
      <c r="K17" s="129" t="str">
        <f t="shared" si="6"/>
        <v>#DIV/0!</v>
      </c>
      <c r="L17" s="129" t="str">
        <f t="shared" si="6"/>
        <v>#DIV/0!</v>
      </c>
      <c r="M17" s="129" t="str">
        <f t="shared" si="6"/>
        <v>#DIV/0!</v>
      </c>
      <c r="N17" s="129" t="str">
        <f t="shared" si="6"/>
        <v>#DIV/0!</v>
      </c>
      <c r="AK17" s="106"/>
    </row>
    <row r="18">
      <c r="B18" s="127" t="s">
        <v>99</v>
      </c>
      <c r="C18" s="128" t="str">
        <f t="shared" ref="C18:N18" si="7">C12/C10</f>
        <v>#DIV/0!</v>
      </c>
      <c r="D18" s="129" t="str">
        <f t="shared" si="7"/>
        <v>#DIV/0!</v>
      </c>
      <c r="E18" s="129">
        <f t="shared" si="7"/>
        <v>1.512195122</v>
      </c>
      <c r="F18" s="129">
        <f t="shared" si="7"/>
        <v>1.011594203</v>
      </c>
      <c r="G18" s="129" t="str">
        <f t="shared" si="7"/>
        <v>#DIV/0!</v>
      </c>
      <c r="H18" s="129" t="str">
        <f t="shared" si="7"/>
        <v>#DIV/0!</v>
      </c>
      <c r="I18" s="129" t="str">
        <f t="shared" si="7"/>
        <v>#DIV/0!</v>
      </c>
      <c r="J18" s="129" t="str">
        <f t="shared" si="7"/>
        <v>#DIV/0!</v>
      </c>
      <c r="K18" s="129" t="str">
        <f t="shared" si="7"/>
        <v>#DIV/0!</v>
      </c>
      <c r="L18" s="129" t="str">
        <f t="shared" si="7"/>
        <v>#DIV/0!</v>
      </c>
      <c r="M18" s="129" t="str">
        <f t="shared" si="7"/>
        <v>#DIV/0!</v>
      </c>
      <c r="N18" s="129" t="str">
        <f t="shared" si="7"/>
        <v>#DIV/0!</v>
      </c>
      <c r="AK18" s="106"/>
    </row>
    <row r="19">
      <c r="B19" s="127" t="s">
        <v>100</v>
      </c>
      <c r="C19" s="128" t="str">
        <f t="shared" ref="C19:N19" si="8">C14/C12</f>
        <v>#DIV/0!</v>
      </c>
      <c r="D19" s="129" t="str">
        <f t="shared" si="8"/>
        <v>#DIV/0!</v>
      </c>
      <c r="E19" s="129">
        <f t="shared" si="8"/>
        <v>0.1182795699</v>
      </c>
      <c r="F19" s="129">
        <f t="shared" si="8"/>
        <v>0.1489971347</v>
      </c>
      <c r="G19" s="129" t="str">
        <f t="shared" si="8"/>
        <v>#DIV/0!</v>
      </c>
      <c r="H19" s="129" t="str">
        <f t="shared" si="8"/>
        <v>#DIV/0!</v>
      </c>
      <c r="I19" s="129" t="str">
        <f t="shared" si="8"/>
        <v>#DIV/0!</v>
      </c>
      <c r="J19" s="129" t="str">
        <f t="shared" si="8"/>
        <v>#DIV/0!</v>
      </c>
      <c r="K19" s="129" t="str">
        <f t="shared" si="8"/>
        <v>#DIV/0!</v>
      </c>
      <c r="L19" s="129" t="str">
        <f t="shared" si="8"/>
        <v>#DIV/0!</v>
      </c>
      <c r="M19" s="129" t="str">
        <f t="shared" si="8"/>
        <v>#DIV/0!</v>
      </c>
      <c r="N19" s="129" t="str">
        <f t="shared" si="8"/>
        <v>#DIV/0!</v>
      </c>
      <c r="AK19" s="106"/>
    </row>
    <row r="20">
      <c r="B20" s="127" t="s">
        <v>101</v>
      </c>
      <c r="E20" s="130">
        <f>4/25</f>
        <v>0.16</v>
      </c>
      <c r="F20" s="130">
        <f>6/63</f>
        <v>0.09523809524</v>
      </c>
      <c r="AK20" s="106"/>
    </row>
    <row r="21" ht="15.75" customHeight="1">
      <c r="B21" s="127" t="s">
        <v>102</v>
      </c>
      <c r="AK21" s="106"/>
    </row>
    <row r="22" ht="15.75" customHeight="1">
      <c r="B22" s="127" t="s">
        <v>103</v>
      </c>
      <c r="E22" s="120"/>
      <c r="AK22" s="106"/>
    </row>
    <row r="23" ht="15.75" customHeight="1">
      <c r="E23" s="120"/>
      <c r="AK23" s="106"/>
    </row>
    <row r="24" ht="15.75" customHeight="1">
      <c r="B24" s="51"/>
      <c r="C24" s="51"/>
      <c r="D24" s="51"/>
      <c r="E24" s="51"/>
      <c r="F24" s="51"/>
      <c r="G24" s="51"/>
      <c r="H24" s="51"/>
      <c r="I24" s="51"/>
      <c r="J24" s="51"/>
      <c r="K24" s="51"/>
      <c r="L24" s="51"/>
      <c r="M24" s="51"/>
      <c r="N24" s="131"/>
      <c r="O24" s="132" t="s">
        <v>104</v>
      </c>
      <c r="AB24" s="131"/>
      <c r="AC24" s="132" t="s">
        <v>105</v>
      </c>
      <c r="AO24" s="133"/>
      <c r="AP24" s="131"/>
      <c r="AQ24" s="134" t="s">
        <v>106</v>
      </c>
      <c r="BC24" s="131"/>
      <c r="BD24" s="134" t="s">
        <v>107</v>
      </c>
    </row>
    <row r="25" ht="15.75" customHeight="1">
      <c r="B25" s="135" t="s">
        <v>108</v>
      </c>
      <c r="M25" s="51"/>
      <c r="N25" s="131"/>
      <c r="O25" s="136" t="s">
        <v>109</v>
      </c>
      <c r="P25" s="137" t="s">
        <v>110</v>
      </c>
      <c r="Q25" s="137" t="s">
        <v>111</v>
      </c>
      <c r="R25" s="137" t="s">
        <v>112</v>
      </c>
      <c r="S25" s="137" t="s">
        <v>113</v>
      </c>
      <c r="T25" s="137" t="s">
        <v>114</v>
      </c>
      <c r="U25" s="137" t="s">
        <v>115</v>
      </c>
      <c r="V25" s="137" t="s">
        <v>116</v>
      </c>
      <c r="W25" s="137" t="s">
        <v>117</v>
      </c>
      <c r="X25" s="137" t="s">
        <v>118</v>
      </c>
      <c r="Y25" s="136" t="s">
        <v>119</v>
      </c>
      <c r="Z25" s="137" t="s">
        <v>120</v>
      </c>
      <c r="AA25" s="136" t="s">
        <v>121</v>
      </c>
      <c r="AB25" s="131"/>
      <c r="AC25" s="136" t="s">
        <v>109</v>
      </c>
      <c r="AD25" s="137" t="s">
        <v>110</v>
      </c>
      <c r="AE25" s="137" t="s">
        <v>111</v>
      </c>
      <c r="AF25" s="137" t="s">
        <v>112</v>
      </c>
      <c r="AG25" s="137" t="s">
        <v>113</v>
      </c>
      <c r="AH25" s="137" t="s">
        <v>114</v>
      </c>
      <c r="AI25" s="137" t="s">
        <v>115</v>
      </c>
      <c r="AJ25" s="137" t="s">
        <v>116</v>
      </c>
      <c r="AK25" s="138" t="s">
        <v>117</v>
      </c>
      <c r="AL25" s="137" t="s">
        <v>118</v>
      </c>
      <c r="AM25" s="137" t="s">
        <v>122</v>
      </c>
      <c r="AN25" s="136" t="s">
        <v>121</v>
      </c>
      <c r="AO25" s="139"/>
      <c r="AP25" s="131"/>
      <c r="AQ25" s="136" t="s">
        <v>109</v>
      </c>
      <c r="AR25" s="137" t="s">
        <v>110</v>
      </c>
      <c r="AS25" s="137" t="s">
        <v>111</v>
      </c>
      <c r="AT25" s="137" t="s">
        <v>112</v>
      </c>
      <c r="AU25" s="137" t="s">
        <v>113</v>
      </c>
      <c r="AV25" s="137" t="s">
        <v>114</v>
      </c>
      <c r="AW25" s="137" t="s">
        <v>115</v>
      </c>
      <c r="AX25" s="137" t="s">
        <v>116</v>
      </c>
      <c r="AY25" s="137" t="s">
        <v>117</v>
      </c>
      <c r="AZ25" s="137" t="s">
        <v>118</v>
      </c>
      <c r="BA25" s="137" t="s">
        <v>122</v>
      </c>
      <c r="BB25" s="136" t="s">
        <v>121</v>
      </c>
      <c r="BC25" s="131"/>
      <c r="BD25" s="136" t="s">
        <v>109</v>
      </c>
      <c r="BE25" s="137" t="s">
        <v>110</v>
      </c>
      <c r="BF25" s="137" t="s">
        <v>111</v>
      </c>
      <c r="BG25" s="137" t="s">
        <v>112</v>
      </c>
      <c r="BH25" s="137" t="s">
        <v>113</v>
      </c>
      <c r="BI25" s="137" t="s">
        <v>114</v>
      </c>
      <c r="BJ25" s="137" t="s">
        <v>115</v>
      </c>
      <c r="BK25" s="137" t="s">
        <v>116</v>
      </c>
      <c r="BL25" s="137" t="s">
        <v>117</v>
      </c>
      <c r="BM25" s="137" t="s">
        <v>118</v>
      </c>
      <c r="BN25" s="137" t="s">
        <v>122</v>
      </c>
      <c r="BO25" s="136" t="s">
        <v>121</v>
      </c>
    </row>
    <row r="26" ht="15.75" customHeight="1">
      <c r="M26" s="51"/>
      <c r="N26" s="131"/>
      <c r="P26" s="140">
        <f t="shared" ref="P26:Q26" si="9">SUM(P27:P57)</f>
        <v>177.42</v>
      </c>
      <c r="Q26" s="141">
        <f t="shared" si="9"/>
        <v>22</v>
      </c>
      <c r="R26" s="142">
        <f>P26/Q26</f>
        <v>8.064545455</v>
      </c>
      <c r="S26" s="143">
        <f>SUM(S27:S57)</f>
        <v>186</v>
      </c>
      <c r="T26" s="144">
        <f>P26/S26</f>
        <v>0.9538709677</v>
      </c>
      <c r="U26" s="143">
        <f>SUM(U27:U57)</f>
        <v>123</v>
      </c>
      <c r="V26" s="142">
        <f>P26/U26</f>
        <v>1.442439024</v>
      </c>
      <c r="W26" s="143">
        <f>SUM(W27:W57)</f>
        <v>143</v>
      </c>
      <c r="X26" s="145">
        <f>P26/W26</f>
        <v>1.240699301</v>
      </c>
      <c r="Y26" s="146">
        <f>U26/W26</f>
        <v>0.8601398601</v>
      </c>
      <c r="Z26" s="146">
        <f>Q26/S26</f>
        <v>0.1182795699</v>
      </c>
      <c r="AB26" s="131"/>
      <c r="AD26" s="140">
        <f t="shared" ref="AD26:AE26" si="10">SUM(AD27:AD57)</f>
        <v>0</v>
      </c>
      <c r="AE26" s="141">
        <f t="shared" si="10"/>
        <v>0</v>
      </c>
      <c r="AF26" s="147" t="str">
        <f t="shared" ref="AF26:AF57" si="13">AD26/AE26</f>
        <v>#DIV/0!</v>
      </c>
      <c r="AG26" s="143">
        <f>SUM(AG27:AG57)</f>
        <v>0</v>
      </c>
      <c r="AH26" s="148" t="str">
        <f t="shared" ref="AH26:AH57" si="14">AD26/AG26</f>
        <v>#DIV/0!</v>
      </c>
      <c r="AI26" s="143">
        <f>SUM(AI27:AI57)</f>
        <v>0</v>
      </c>
      <c r="AJ26" s="142" t="str">
        <f t="shared" ref="AJ26:AJ57" si="15">AD26/AI26</f>
        <v>#DIV/0!</v>
      </c>
      <c r="AK26" s="143">
        <f>SUM(AK27:AK57)</f>
        <v>0</v>
      </c>
      <c r="AL26" s="145" t="str">
        <f t="shared" ref="AL26:AL57" si="16">AD26/AK26</f>
        <v>#DIV/0!</v>
      </c>
      <c r="AM26" s="149" t="str">
        <f t="shared" ref="AM26:AM57" si="17">AI26/AK26</f>
        <v>#DIV/0!</v>
      </c>
      <c r="AO26" s="139"/>
      <c r="AP26" s="131"/>
      <c r="AR26" s="140">
        <f t="shared" ref="AR26:AS26" si="11">SUM(AR27:AR57)</f>
        <v>0</v>
      </c>
      <c r="AS26" s="141">
        <f t="shared" si="11"/>
        <v>0</v>
      </c>
      <c r="AT26" s="142" t="str">
        <f t="shared" ref="AT26:AT57" si="18">AR26/AS26</f>
        <v>#DIV/0!</v>
      </c>
      <c r="AU26" s="143">
        <f>SUM(AU27:AU57)</f>
        <v>0</v>
      </c>
      <c r="AV26" s="144" t="str">
        <f t="shared" ref="AV26:AV57" si="19">AR26/AU26</f>
        <v>#DIV/0!</v>
      </c>
      <c r="AW26" s="143">
        <f>SUM(AW27:AW57)</f>
        <v>0</v>
      </c>
      <c r="AX26" s="142" t="str">
        <f t="shared" ref="AX26:AX57" si="20">AR26/AW26</f>
        <v>#DIV/0!</v>
      </c>
      <c r="AY26" s="143">
        <f>SUM(AY27:AY57)</f>
        <v>0</v>
      </c>
      <c r="AZ26" s="145" t="str">
        <f t="shared" ref="AZ26:AZ57" si="21">AR26/AY26</f>
        <v>#DIV/0!</v>
      </c>
      <c r="BA26" s="146" t="str">
        <f t="shared" ref="BA26:BA57" si="22">AW26/AY26</f>
        <v>#DIV/0!</v>
      </c>
      <c r="BC26" s="131"/>
      <c r="BE26" s="140">
        <f t="shared" ref="BE26:BF26" si="12">SUM(BE27:BE57)</f>
        <v>0</v>
      </c>
      <c r="BF26" s="141">
        <f t="shared" si="12"/>
        <v>0</v>
      </c>
      <c r="BG26" s="147" t="str">
        <f t="shared" ref="BG26:BG57" si="23">BE26/BF26</f>
        <v>#DIV/0!</v>
      </c>
      <c r="BH26" s="143">
        <f>SUM(BH27:BH57)</f>
        <v>0</v>
      </c>
      <c r="BI26" s="148" t="str">
        <f t="shared" ref="BI26:BI57" si="24">BE26/BH26</f>
        <v>#DIV/0!</v>
      </c>
      <c r="BJ26" s="143">
        <f>SUM(BJ27:BJ57)</f>
        <v>0</v>
      </c>
      <c r="BK26" s="142" t="str">
        <f t="shared" ref="BK26:BK57" si="25">BE26/BJ26</f>
        <v>#DIV/0!</v>
      </c>
      <c r="BL26" s="143">
        <f>SUM(BL27:BL57)</f>
        <v>0</v>
      </c>
      <c r="BM26" s="145" t="str">
        <f t="shared" ref="BM26:BM57" si="26">BE26/BL26</f>
        <v>#DIV/0!</v>
      </c>
      <c r="BN26" s="149" t="str">
        <f t="shared" ref="BN26:BN57" si="27">BJ26/BL26</f>
        <v>#DIV/0!</v>
      </c>
    </row>
    <row r="27" ht="15.75" customHeight="1">
      <c r="M27" s="51"/>
      <c r="N27" s="150" t="s">
        <v>123</v>
      </c>
      <c r="O27" s="151"/>
      <c r="P27" s="152"/>
      <c r="Q27" s="153"/>
      <c r="R27" s="154"/>
      <c r="S27" s="155"/>
      <c r="T27" s="156"/>
      <c r="U27" s="155"/>
      <c r="V27" s="154"/>
      <c r="W27" s="155"/>
      <c r="X27" s="154"/>
      <c r="Y27" s="157"/>
      <c r="Z27" s="157"/>
      <c r="AA27" s="158"/>
      <c r="AB27" s="150" t="s">
        <v>123</v>
      </c>
      <c r="AC27" s="159">
        <v>44197.0</v>
      </c>
      <c r="AD27" s="152">
        <v>0.0</v>
      </c>
      <c r="AE27" s="153">
        <v>0.0</v>
      </c>
      <c r="AF27" s="154" t="str">
        <f t="shared" si="13"/>
        <v>#DIV/0!</v>
      </c>
      <c r="AG27" s="155">
        <v>0.0</v>
      </c>
      <c r="AH27" s="156" t="str">
        <f t="shared" si="14"/>
        <v>#DIV/0!</v>
      </c>
      <c r="AI27" s="155">
        <v>0.0</v>
      </c>
      <c r="AJ27" s="154" t="str">
        <f t="shared" si="15"/>
        <v>#DIV/0!</v>
      </c>
      <c r="AK27" s="155">
        <v>0.0</v>
      </c>
      <c r="AL27" s="154" t="str">
        <f t="shared" si="16"/>
        <v>#DIV/0!</v>
      </c>
      <c r="AM27" s="157" t="str">
        <f t="shared" si="17"/>
        <v>#DIV/0!</v>
      </c>
      <c r="AN27" s="85"/>
      <c r="AO27" s="85"/>
      <c r="AP27" s="150" t="s">
        <v>123</v>
      </c>
      <c r="AQ27" s="151">
        <v>44197.0</v>
      </c>
      <c r="AR27" s="152">
        <v>0.0</v>
      </c>
      <c r="AS27" s="153">
        <v>0.0</v>
      </c>
      <c r="AT27" s="154" t="str">
        <f t="shared" si="18"/>
        <v>#DIV/0!</v>
      </c>
      <c r="AU27" s="155">
        <v>0.0</v>
      </c>
      <c r="AV27" s="156" t="str">
        <f t="shared" si="19"/>
        <v>#DIV/0!</v>
      </c>
      <c r="AW27" s="155">
        <v>0.0</v>
      </c>
      <c r="AX27" s="154" t="str">
        <f t="shared" si="20"/>
        <v>#DIV/0!</v>
      </c>
      <c r="AY27" s="155">
        <v>0.0</v>
      </c>
      <c r="AZ27" s="154" t="str">
        <f t="shared" si="21"/>
        <v>#DIV/0!</v>
      </c>
      <c r="BA27" s="157" t="str">
        <f t="shared" si="22"/>
        <v>#DIV/0!</v>
      </c>
      <c r="BB27" s="158"/>
      <c r="BC27" s="150" t="s">
        <v>123</v>
      </c>
      <c r="BD27" s="151">
        <v>44197.0</v>
      </c>
      <c r="BE27" s="152">
        <v>0.0</v>
      </c>
      <c r="BF27" s="153">
        <v>0.0</v>
      </c>
      <c r="BG27" s="154" t="str">
        <f t="shared" si="23"/>
        <v>#DIV/0!</v>
      </c>
      <c r="BH27" s="155">
        <v>0.0</v>
      </c>
      <c r="BI27" s="156" t="str">
        <f t="shared" si="24"/>
        <v>#DIV/0!</v>
      </c>
      <c r="BJ27" s="155">
        <v>0.0</v>
      </c>
      <c r="BK27" s="154" t="str">
        <f t="shared" si="25"/>
        <v>#DIV/0!</v>
      </c>
      <c r="BL27" s="155">
        <v>0.0</v>
      </c>
      <c r="BM27" s="154" t="str">
        <f t="shared" si="26"/>
        <v>#DIV/0!</v>
      </c>
      <c r="BN27" s="157" t="str">
        <f t="shared" si="27"/>
        <v>#DIV/0!</v>
      </c>
      <c r="BO27" s="158"/>
    </row>
    <row r="28" ht="15.75" customHeight="1">
      <c r="B28" s="160" t="s">
        <v>124</v>
      </c>
      <c r="G28" s="78"/>
      <c r="H28" s="161" t="s">
        <v>125</v>
      </c>
      <c r="M28" s="51"/>
      <c r="N28" s="150" t="s">
        <v>126</v>
      </c>
      <c r="O28" s="151"/>
      <c r="P28" s="152"/>
      <c r="Q28" s="153"/>
      <c r="R28" s="154"/>
      <c r="S28" s="155"/>
      <c r="T28" s="156"/>
      <c r="U28" s="155"/>
      <c r="V28" s="154"/>
      <c r="W28" s="155"/>
      <c r="X28" s="154"/>
      <c r="Y28" s="157"/>
      <c r="Z28" s="157"/>
      <c r="AA28" s="162"/>
      <c r="AB28" s="150" t="s">
        <v>126</v>
      </c>
      <c r="AC28" s="159">
        <v>44198.0</v>
      </c>
      <c r="AD28" s="152">
        <v>0.0</v>
      </c>
      <c r="AE28" s="153">
        <v>0.0</v>
      </c>
      <c r="AF28" s="154" t="str">
        <f t="shared" si="13"/>
        <v>#DIV/0!</v>
      </c>
      <c r="AG28" s="155">
        <v>0.0</v>
      </c>
      <c r="AH28" s="156" t="str">
        <f t="shared" si="14"/>
        <v>#DIV/0!</v>
      </c>
      <c r="AI28" s="155">
        <v>0.0</v>
      </c>
      <c r="AJ28" s="154" t="str">
        <f t="shared" si="15"/>
        <v>#DIV/0!</v>
      </c>
      <c r="AK28" s="155">
        <v>0.0</v>
      </c>
      <c r="AL28" s="154" t="str">
        <f t="shared" si="16"/>
        <v>#DIV/0!</v>
      </c>
      <c r="AM28" s="157" t="str">
        <f t="shared" si="17"/>
        <v>#DIV/0!</v>
      </c>
      <c r="AN28" s="51"/>
      <c r="AO28" s="51"/>
      <c r="AP28" s="150" t="s">
        <v>126</v>
      </c>
      <c r="AQ28" s="151">
        <v>44198.0</v>
      </c>
      <c r="AR28" s="152">
        <v>0.0</v>
      </c>
      <c r="AS28" s="153">
        <v>0.0</v>
      </c>
      <c r="AT28" s="154" t="str">
        <f t="shared" si="18"/>
        <v>#DIV/0!</v>
      </c>
      <c r="AU28" s="155">
        <v>0.0</v>
      </c>
      <c r="AV28" s="156" t="str">
        <f t="shared" si="19"/>
        <v>#DIV/0!</v>
      </c>
      <c r="AW28" s="155">
        <v>0.0</v>
      </c>
      <c r="AX28" s="154" t="str">
        <f t="shared" si="20"/>
        <v>#DIV/0!</v>
      </c>
      <c r="AY28" s="155">
        <v>0.0</v>
      </c>
      <c r="AZ28" s="154" t="str">
        <f t="shared" si="21"/>
        <v>#DIV/0!</v>
      </c>
      <c r="BA28" s="157" t="str">
        <f t="shared" si="22"/>
        <v>#DIV/0!</v>
      </c>
      <c r="BB28" s="162"/>
      <c r="BC28" s="150" t="s">
        <v>126</v>
      </c>
      <c r="BD28" s="151">
        <v>44198.0</v>
      </c>
      <c r="BE28" s="152">
        <v>0.0</v>
      </c>
      <c r="BF28" s="153">
        <v>0.0</v>
      </c>
      <c r="BG28" s="154" t="str">
        <f t="shared" si="23"/>
        <v>#DIV/0!</v>
      </c>
      <c r="BH28" s="155">
        <v>0.0</v>
      </c>
      <c r="BI28" s="156" t="str">
        <f t="shared" si="24"/>
        <v>#DIV/0!</v>
      </c>
      <c r="BJ28" s="155">
        <v>0.0</v>
      </c>
      <c r="BK28" s="154" t="str">
        <f t="shared" si="25"/>
        <v>#DIV/0!</v>
      </c>
      <c r="BL28" s="155">
        <v>0.0</v>
      </c>
      <c r="BM28" s="154" t="str">
        <f t="shared" si="26"/>
        <v>#DIV/0!</v>
      </c>
      <c r="BN28" s="157" t="str">
        <f t="shared" si="27"/>
        <v>#DIV/0!</v>
      </c>
      <c r="BO28" s="162"/>
    </row>
    <row r="29" ht="15.75" customHeight="1">
      <c r="G29" s="78"/>
      <c r="M29" s="51"/>
      <c r="N29" s="150" t="s">
        <v>127</v>
      </c>
      <c r="O29" s="151"/>
      <c r="P29" s="152"/>
      <c r="Q29" s="153"/>
      <c r="R29" s="154"/>
      <c r="S29" s="155"/>
      <c r="T29" s="156"/>
      <c r="U29" s="155"/>
      <c r="V29" s="154"/>
      <c r="W29" s="155"/>
      <c r="X29" s="154"/>
      <c r="Y29" s="157"/>
      <c r="Z29" s="157"/>
      <c r="AA29" s="163"/>
      <c r="AB29" s="150" t="s">
        <v>127</v>
      </c>
      <c r="AC29" s="159">
        <v>44199.0</v>
      </c>
      <c r="AD29" s="152">
        <v>0.0</v>
      </c>
      <c r="AE29" s="153">
        <v>0.0</v>
      </c>
      <c r="AF29" s="154" t="str">
        <f t="shared" si="13"/>
        <v>#DIV/0!</v>
      </c>
      <c r="AG29" s="155">
        <v>0.0</v>
      </c>
      <c r="AH29" s="156" t="str">
        <f t="shared" si="14"/>
        <v>#DIV/0!</v>
      </c>
      <c r="AI29" s="155">
        <v>0.0</v>
      </c>
      <c r="AJ29" s="154" t="str">
        <f t="shared" si="15"/>
        <v>#DIV/0!</v>
      </c>
      <c r="AK29" s="155">
        <v>0.0</v>
      </c>
      <c r="AL29" s="154" t="str">
        <f t="shared" si="16"/>
        <v>#DIV/0!</v>
      </c>
      <c r="AM29" s="157" t="str">
        <f t="shared" si="17"/>
        <v>#DIV/0!</v>
      </c>
      <c r="AN29" s="164"/>
      <c r="AO29" s="164"/>
      <c r="AP29" s="150" t="s">
        <v>127</v>
      </c>
      <c r="AQ29" s="151">
        <v>44199.0</v>
      </c>
      <c r="AR29" s="152">
        <v>0.0</v>
      </c>
      <c r="AS29" s="153">
        <v>0.0</v>
      </c>
      <c r="AT29" s="154" t="str">
        <f t="shared" si="18"/>
        <v>#DIV/0!</v>
      </c>
      <c r="AU29" s="155">
        <v>0.0</v>
      </c>
      <c r="AV29" s="156" t="str">
        <f t="shared" si="19"/>
        <v>#DIV/0!</v>
      </c>
      <c r="AW29" s="155">
        <v>0.0</v>
      </c>
      <c r="AX29" s="154" t="str">
        <f t="shared" si="20"/>
        <v>#DIV/0!</v>
      </c>
      <c r="AY29" s="155">
        <v>0.0</v>
      </c>
      <c r="AZ29" s="154" t="str">
        <f t="shared" si="21"/>
        <v>#DIV/0!</v>
      </c>
      <c r="BA29" s="157" t="str">
        <f t="shared" si="22"/>
        <v>#DIV/0!</v>
      </c>
      <c r="BB29" s="163"/>
      <c r="BC29" s="150" t="s">
        <v>127</v>
      </c>
      <c r="BD29" s="151">
        <v>44199.0</v>
      </c>
      <c r="BE29" s="152">
        <v>0.0</v>
      </c>
      <c r="BF29" s="153">
        <v>0.0</v>
      </c>
      <c r="BG29" s="154" t="str">
        <f t="shared" si="23"/>
        <v>#DIV/0!</v>
      </c>
      <c r="BH29" s="155">
        <v>0.0</v>
      </c>
      <c r="BI29" s="156" t="str">
        <f t="shared" si="24"/>
        <v>#DIV/0!</v>
      </c>
      <c r="BJ29" s="155">
        <v>0.0</v>
      </c>
      <c r="BK29" s="154" t="str">
        <f t="shared" si="25"/>
        <v>#DIV/0!</v>
      </c>
      <c r="BL29" s="155">
        <v>0.0</v>
      </c>
      <c r="BM29" s="154" t="str">
        <f t="shared" si="26"/>
        <v>#DIV/0!</v>
      </c>
      <c r="BN29" s="157" t="str">
        <f t="shared" si="27"/>
        <v>#DIV/0!</v>
      </c>
      <c r="BO29" s="163"/>
    </row>
    <row r="30" ht="15.75" customHeight="1">
      <c r="B30" s="165" t="s">
        <v>128</v>
      </c>
      <c r="E30" s="166">
        <v>20160.0</v>
      </c>
      <c r="G30" s="51"/>
      <c r="H30" s="167" t="s">
        <v>129</v>
      </c>
      <c r="K30" s="168">
        <v>0.0</v>
      </c>
      <c r="M30" s="51"/>
      <c r="N30" s="150" t="s">
        <v>130</v>
      </c>
      <c r="O30" s="151">
        <v>44200.0</v>
      </c>
      <c r="P30" s="152">
        <v>0.0</v>
      </c>
      <c r="Q30" s="153">
        <v>0.0</v>
      </c>
      <c r="R30" s="154" t="str">
        <f t="shared" ref="R30:R57" si="28">P30/Q30</f>
        <v>#DIV/0!</v>
      </c>
      <c r="S30" s="155">
        <v>0.0</v>
      </c>
      <c r="T30" s="156" t="str">
        <f t="shared" ref="T30:T57" si="29">P30/S30</f>
        <v>#DIV/0!</v>
      </c>
      <c r="U30" s="155">
        <v>0.0</v>
      </c>
      <c r="V30" s="154" t="str">
        <f t="shared" ref="V30:V57" si="30">P30/U30</f>
        <v>#DIV/0!</v>
      </c>
      <c r="W30" s="155">
        <v>0.0</v>
      </c>
      <c r="X30" s="154" t="str">
        <f t="shared" ref="X30:X57" si="31">P30/W30</f>
        <v>#DIV/0!</v>
      </c>
      <c r="Y30" s="157" t="str">
        <f t="shared" ref="Y30:Y57" si="32">U30/W30</f>
        <v>#DIV/0!</v>
      </c>
      <c r="Z30" s="157"/>
      <c r="AA30" s="162"/>
      <c r="AB30" s="150" t="s">
        <v>130</v>
      </c>
      <c r="AC30" s="159">
        <v>44200.0</v>
      </c>
      <c r="AD30" s="152">
        <v>0.0</v>
      </c>
      <c r="AE30" s="153">
        <v>0.0</v>
      </c>
      <c r="AF30" s="154" t="str">
        <f t="shared" si="13"/>
        <v>#DIV/0!</v>
      </c>
      <c r="AG30" s="155">
        <v>0.0</v>
      </c>
      <c r="AH30" s="156" t="str">
        <f t="shared" si="14"/>
        <v>#DIV/0!</v>
      </c>
      <c r="AI30" s="155">
        <v>0.0</v>
      </c>
      <c r="AJ30" s="154" t="str">
        <f t="shared" si="15"/>
        <v>#DIV/0!</v>
      </c>
      <c r="AK30" s="155">
        <v>0.0</v>
      </c>
      <c r="AL30" s="154" t="str">
        <f t="shared" si="16"/>
        <v>#DIV/0!</v>
      </c>
      <c r="AM30" s="157" t="str">
        <f t="shared" si="17"/>
        <v>#DIV/0!</v>
      </c>
      <c r="AN30" s="51"/>
      <c r="AO30" s="51"/>
      <c r="AP30" s="150" t="s">
        <v>130</v>
      </c>
      <c r="AQ30" s="151">
        <v>44200.0</v>
      </c>
      <c r="AR30" s="152">
        <v>0.0</v>
      </c>
      <c r="AS30" s="153">
        <v>0.0</v>
      </c>
      <c r="AT30" s="154" t="str">
        <f t="shared" si="18"/>
        <v>#DIV/0!</v>
      </c>
      <c r="AU30" s="155">
        <v>0.0</v>
      </c>
      <c r="AV30" s="156" t="str">
        <f t="shared" si="19"/>
        <v>#DIV/0!</v>
      </c>
      <c r="AW30" s="155">
        <v>0.0</v>
      </c>
      <c r="AX30" s="154" t="str">
        <f t="shared" si="20"/>
        <v>#DIV/0!</v>
      </c>
      <c r="AY30" s="155">
        <v>0.0</v>
      </c>
      <c r="AZ30" s="154" t="str">
        <f t="shared" si="21"/>
        <v>#DIV/0!</v>
      </c>
      <c r="BA30" s="157" t="str">
        <f t="shared" si="22"/>
        <v>#DIV/0!</v>
      </c>
      <c r="BB30" s="162"/>
      <c r="BC30" s="150" t="s">
        <v>130</v>
      </c>
      <c r="BD30" s="151">
        <v>44200.0</v>
      </c>
      <c r="BE30" s="152">
        <v>0.0</v>
      </c>
      <c r="BF30" s="153">
        <v>0.0</v>
      </c>
      <c r="BG30" s="154" t="str">
        <f t="shared" si="23"/>
        <v>#DIV/0!</v>
      </c>
      <c r="BH30" s="155">
        <v>0.0</v>
      </c>
      <c r="BI30" s="156" t="str">
        <f t="shared" si="24"/>
        <v>#DIV/0!</v>
      </c>
      <c r="BJ30" s="155">
        <v>0.0</v>
      </c>
      <c r="BK30" s="154" t="str">
        <f t="shared" si="25"/>
        <v>#DIV/0!</v>
      </c>
      <c r="BL30" s="155">
        <v>0.0</v>
      </c>
      <c r="BM30" s="154" t="str">
        <f t="shared" si="26"/>
        <v>#DIV/0!</v>
      </c>
      <c r="BN30" s="157" t="str">
        <f t="shared" si="27"/>
        <v>#DIV/0!</v>
      </c>
      <c r="BO30" s="162"/>
    </row>
    <row r="31" ht="15.75" customHeight="1">
      <c r="G31" s="51"/>
      <c r="M31" s="51"/>
      <c r="N31" s="150" t="s">
        <v>131</v>
      </c>
      <c r="O31" s="151">
        <v>44201.0</v>
      </c>
      <c r="P31" s="152">
        <v>0.0</v>
      </c>
      <c r="Q31" s="153">
        <v>0.0</v>
      </c>
      <c r="R31" s="154" t="str">
        <f t="shared" si="28"/>
        <v>#DIV/0!</v>
      </c>
      <c r="S31" s="155">
        <v>0.0</v>
      </c>
      <c r="T31" s="156" t="str">
        <f t="shared" si="29"/>
        <v>#DIV/0!</v>
      </c>
      <c r="U31" s="155">
        <v>0.0</v>
      </c>
      <c r="V31" s="154" t="str">
        <f t="shared" si="30"/>
        <v>#DIV/0!</v>
      </c>
      <c r="W31" s="155">
        <v>0.0</v>
      </c>
      <c r="X31" s="154" t="str">
        <f t="shared" si="31"/>
        <v>#DIV/0!</v>
      </c>
      <c r="Y31" s="157" t="str">
        <f t="shared" si="32"/>
        <v>#DIV/0!</v>
      </c>
      <c r="Z31" s="157"/>
      <c r="AA31" s="163"/>
      <c r="AB31" s="150" t="s">
        <v>131</v>
      </c>
      <c r="AC31" s="159">
        <v>44201.0</v>
      </c>
      <c r="AD31" s="152">
        <v>0.0</v>
      </c>
      <c r="AE31" s="153">
        <v>0.0</v>
      </c>
      <c r="AF31" s="154" t="str">
        <f t="shared" si="13"/>
        <v>#DIV/0!</v>
      </c>
      <c r="AG31" s="155">
        <v>0.0</v>
      </c>
      <c r="AH31" s="156" t="str">
        <f t="shared" si="14"/>
        <v>#DIV/0!</v>
      </c>
      <c r="AI31" s="155">
        <v>0.0</v>
      </c>
      <c r="AJ31" s="154" t="str">
        <f t="shared" si="15"/>
        <v>#DIV/0!</v>
      </c>
      <c r="AK31" s="155">
        <v>0.0</v>
      </c>
      <c r="AL31" s="154" t="str">
        <f t="shared" si="16"/>
        <v>#DIV/0!</v>
      </c>
      <c r="AM31" s="157" t="str">
        <f t="shared" si="17"/>
        <v>#DIV/0!</v>
      </c>
      <c r="AN31" s="164"/>
      <c r="AO31" s="164"/>
      <c r="AP31" s="150" t="s">
        <v>131</v>
      </c>
      <c r="AQ31" s="151">
        <v>44201.0</v>
      </c>
      <c r="AR31" s="152">
        <v>0.0</v>
      </c>
      <c r="AS31" s="153">
        <v>0.0</v>
      </c>
      <c r="AT31" s="154" t="str">
        <f t="shared" si="18"/>
        <v>#DIV/0!</v>
      </c>
      <c r="AU31" s="155">
        <v>0.0</v>
      </c>
      <c r="AV31" s="156" t="str">
        <f t="shared" si="19"/>
        <v>#DIV/0!</v>
      </c>
      <c r="AW31" s="155">
        <v>0.0</v>
      </c>
      <c r="AX31" s="154" t="str">
        <f t="shared" si="20"/>
        <v>#DIV/0!</v>
      </c>
      <c r="AY31" s="155">
        <v>0.0</v>
      </c>
      <c r="AZ31" s="154" t="str">
        <f t="shared" si="21"/>
        <v>#DIV/0!</v>
      </c>
      <c r="BA31" s="157" t="str">
        <f t="shared" si="22"/>
        <v>#DIV/0!</v>
      </c>
      <c r="BB31" s="163"/>
      <c r="BC31" s="150" t="s">
        <v>131</v>
      </c>
      <c r="BD31" s="151">
        <v>44201.0</v>
      </c>
      <c r="BE31" s="152">
        <v>0.0</v>
      </c>
      <c r="BF31" s="153">
        <v>0.0</v>
      </c>
      <c r="BG31" s="154" t="str">
        <f t="shared" si="23"/>
        <v>#DIV/0!</v>
      </c>
      <c r="BH31" s="155">
        <v>0.0</v>
      </c>
      <c r="BI31" s="156" t="str">
        <f t="shared" si="24"/>
        <v>#DIV/0!</v>
      </c>
      <c r="BJ31" s="155">
        <v>0.0</v>
      </c>
      <c r="BK31" s="154" t="str">
        <f t="shared" si="25"/>
        <v>#DIV/0!</v>
      </c>
      <c r="BL31" s="155">
        <v>0.0</v>
      </c>
      <c r="BM31" s="154" t="str">
        <f t="shared" si="26"/>
        <v>#DIV/0!</v>
      </c>
      <c r="BN31" s="157" t="str">
        <f t="shared" si="27"/>
        <v>#DIV/0!</v>
      </c>
      <c r="BO31" s="163"/>
    </row>
    <row r="32" ht="15.75" customHeight="1">
      <c r="B32" s="167" t="s">
        <v>132</v>
      </c>
      <c r="E32" s="168">
        <v>97.0</v>
      </c>
      <c r="G32" s="51"/>
      <c r="H32" s="165" t="s">
        <v>133</v>
      </c>
      <c r="K32" s="166">
        <v>0.0</v>
      </c>
      <c r="M32" s="51"/>
      <c r="N32" s="150" t="s">
        <v>134</v>
      </c>
      <c r="O32" s="151">
        <v>44202.0</v>
      </c>
      <c r="P32" s="152">
        <v>0.0</v>
      </c>
      <c r="Q32" s="153">
        <v>0.0</v>
      </c>
      <c r="R32" s="154" t="str">
        <f t="shared" si="28"/>
        <v>#DIV/0!</v>
      </c>
      <c r="S32" s="155">
        <v>0.0</v>
      </c>
      <c r="T32" s="156" t="str">
        <f t="shared" si="29"/>
        <v>#DIV/0!</v>
      </c>
      <c r="U32" s="155">
        <v>0.0</v>
      </c>
      <c r="V32" s="154" t="str">
        <f t="shared" si="30"/>
        <v>#DIV/0!</v>
      </c>
      <c r="W32" s="155">
        <v>0.0</v>
      </c>
      <c r="X32" s="154" t="str">
        <f t="shared" si="31"/>
        <v>#DIV/0!</v>
      </c>
      <c r="Y32" s="157" t="str">
        <f t="shared" si="32"/>
        <v>#DIV/0!</v>
      </c>
      <c r="Z32" s="157"/>
      <c r="AA32" s="163"/>
      <c r="AB32" s="150" t="s">
        <v>134</v>
      </c>
      <c r="AC32" s="159">
        <v>44202.0</v>
      </c>
      <c r="AD32" s="152">
        <v>0.0</v>
      </c>
      <c r="AE32" s="153">
        <v>0.0</v>
      </c>
      <c r="AF32" s="154" t="str">
        <f t="shared" si="13"/>
        <v>#DIV/0!</v>
      </c>
      <c r="AG32" s="155">
        <v>0.0</v>
      </c>
      <c r="AH32" s="156" t="str">
        <f t="shared" si="14"/>
        <v>#DIV/0!</v>
      </c>
      <c r="AI32" s="155">
        <v>0.0</v>
      </c>
      <c r="AJ32" s="154" t="str">
        <f t="shared" si="15"/>
        <v>#DIV/0!</v>
      </c>
      <c r="AK32" s="155">
        <v>0.0</v>
      </c>
      <c r="AL32" s="154" t="str">
        <f t="shared" si="16"/>
        <v>#DIV/0!</v>
      </c>
      <c r="AM32" s="157" t="str">
        <f t="shared" si="17"/>
        <v>#DIV/0!</v>
      </c>
      <c r="AN32" s="164"/>
      <c r="AO32" s="164"/>
      <c r="AP32" s="150" t="s">
        <v>134</v>
      </c>
      <c r="AQ32" s="151">
        <v>44202.0</v>
      </c>
      <c r="AR32" s="152">
        <v>0.0</v>
      </c>
      <c r="AS32" s="153">
        <v>0.0</v>
      </c>
      <c r="AT32" s="154" t="str">
        <f t="shared" si="18"/>
        <v>#DIV/0!</v>
      </c>
      <c r="AU32" s="155">
        <v>0.0</v>
      </c>
      <c r="AV32" s="156" t="str">
        <f t="shared" si="19"/>
        <v>#DIV/0!</v>
      </c>
      <c r="AW32" s="155">
        <v>0.0</v>
      </c>
      <c r="AX32" s="154" t="str">
        <f t="shared" si="20"/>
        <v>#DIV/0!</v>
      </c>
      <c r="AY32" s="155">
        <v>0.0</v>
      </c>
      <c r="AZ32" s="154" t="str">
        <f t="shared" si="21"/>
        <v>#DIV/0!</v>
      </c>
      <c r="BA32" s="157" t="str">
        <f t="shared" si="22"/>
        <v>#DIV/0!</v>
      </c>
      <c r="BB32" s="163"/>
      <c r="BC32" s="150" t="s">
        <v>134</v>
      </c>
      <c r="BD32" s="151">
        <v>44202.0</v>
      </c>
      <c r="BE32" s="152">
        <v>0.0</v>
      </c>
      <c r="BF32" s="153">
        <v>0.0</v>
      </c>
      <c r="BG32" s="154" t="str">
        <f t="shared" si="23"/>
        <v>#DIV/0!</v>
      </c>
      <c r="BH32" s="155">
        <v>0.0</v>
      </c>
      <c r="BI32" s="156" t="str">
        <f t="shared" si="24"/>
        <v>#DIV/0!</v>
      </c>
      <c r="BJ32" s="155">
        <v>0.0</v>
      </c>
      <c r="BK32" s="154" t="str">
        <f t="shared" si="25"/>
        <v>#DIV/0!</v>
      </c>
      <c r="BL32" s="155">
        <v>0.0</v>
      </c>
      <c r="BM32" s="154" t="str">
        <f t="shared" si="26"/>
        <v>#DIV/0!</v>
      </c>
      <c r="BN32" s="157" t="str">
        <f t="shared" si="27"/>
        <v>#DIV/0!</v>
      </c>
      <c r="BO32" s="163"/>
    </row>
    <row r="33" ht="15.75" customHeight="1">
      <c r="G33" s="51"/>
      <c r="M33" s="51"/>
      <c r="N33" s="150" t="s">
        <v>135</v>
      </c>
      <c r="O33" s="151">
        <v>44203.0</v>
      </c>
      <c r="P33" s="152">
        <v>0.0</v>
      </c>
      <c r="Q33" s="153">
        <v>0.0</v>
      </c>
      <c r="R33" s="154" t="str">
        <f t="shared" si="28"/>
        <v>#DIV/0!</v>
      </c>
      <c r="S33" s="155">
        <v>0.0</v>
      </c>
      <c r="T33" s="156" t="str">
        <f t="shared" si="29"/>
        <v>#DIV/0!</v>
      </c>
      <c r="U33" s="155">
        <v>0.0</v>
      </c>
      <c r="V33" s="154" t="str">
        <f t="shared" si="30"/>
        <v>#DIV/0!</v>
      </c>
      <c r="W33" s="155">
        <v>0.0</v>
      </c>
      <c r="X33" s="154" t="str">
        <f t="shared" si="31"/>
        <v>#DIV/0!</v>
      </c>
      <c r="Y33" s="157" t="str">
        <f t="shared" si="32"/>
        <v>#DIV/0!</v>
      </c>
      <c r="Z33" s="157"/>
      <c r="AA33" s="163"/>
      <c r="AB33" s="150" t="s">
        <v>135</v>
      </c>
      <c r="AC33" s="159">
        <v>44203.0</v>
      </c>
      <c r="AD33" s="152">
        <v>0.0</v>
      </c>
      <c r="AE33" s="153">
        <v>0.0</v>
      </c>
      <c r="AF33" s="154" t="str">
        <f t="shared" si="13"/>
        <v>#DIV/0!</v>
      </c>
      <c r="AG33" s="155">
        <v>0.0</v>
      </c>
      <c r="AH33" s="156" t="str">
        <f t="shared" si="14"/>
        <v>#DIV/0!</v>
      </c>
      <c r="AI33" s="155">
        <v>0.0</v>
      </c>
      <c r="AJ33" s="154" t="str">
        <f t="shared" si="15"/>
        <v>#DIV/0!</v>
      </c>
      <c r="AK33" s="155">
        <v>0.0</v>
      </c>
      <c r="AL33" s="154" t="str">
        <f t="shared" si="16"/>
        <v>#DIV/0!</v>
      </c>
      <c r="AM33" s="157" t="str">
        <f t="shared" si="17"/>
        <v>#DIV/0!</v>
      </c>
      <c r="AN33" s="169"/>
      <c r="AO33" s="164"/>
      <c r="AP33" s="150" t="s">
        <v>135</v>
      </c>
      <c r="AQ33" s="151">
        <v>44203.0</v>
      </c>
      <c r="AR33" s="152">
        <v>0.0</v>
      </c>
      <c r="AS33" s="153">
        <v>0.0</v>
      </c>
      <c r="AT33" s="154" t="str">
        <f t="shared" si="18"/>
        <v>#DIV/0!</v>
      </c>
      <c r="AU33" s="155">
        <v>0.0</v>
      </c>
      <c r="AV33" s="156" t="str">
        <f t="shared" si="19"/>
        <v>#DIV/0!</v>
      </c>
      <c r="AW33" s="155">
        <v>0.0</v>
      </c>
      <c r="AX33" s="154" t="str">
        <f t="shared" si="20"/>
        <v>#DIV/0!</v>
      </c>
      <c r="AY33" s="155">
        <v>0.0</v>
      </c>
      <c r="AZ33" s="154" t="str">
        <f t="shared" si="21"/>
        <v>#DIV/0!</v>
      </c>
      <c r="BA33" s="157" t="str">
        <f t="shared" si="22"/>
        <v>#DIV/0!</v>
      </c>
      <c r="BB33" s="163"/>
      <c r="BC33" s="150" t="s">
        <v>135</v>
      </c>
      <c r="BD33" s="151">
        <v>44203.0</v>
      </c>
      <c r="BE33" s="152">
        <v>0.0</v>
      </c>
      <c r="BF33" s="153">
        <v>0.0</v>
      </c>
      <c r="BG33" s="154" t="str">
        <f t="shared" si="23"/>
        <v>#DIV/0!</v>
      </c>
      <c r="BH33" s="155">
        <v>0.0</v>
      </c>
      <c r="BI33" s="156" t="str">
        <f t="shared" si="24"/>
        <v>#DIV/0!</v>
      </c>
      <c r="BJ33" s="155">
        <v>0.0</v>
      </c>
      <c r="BK33" s="154" t="str">
        <f t="shared" si="25"/>
        <v>#DIV/0!</v>
      </c>
      <c r="BL33" s="155">
        <v>0.0</v>
      </c>
      <c r="BM33" s="154" t="str">
        <f t="shared" si="26"/>
        <v>#DIV/0!</v>
      </c>
      <c r="BN33" s="157" t="str">
        <f t="shared" si="27"/>
        <v>#DIV/0!</v>
      </c>
      <c r="BO33" s="170"/>
    </row>
    <row r="34" ht="15.75" customHeight="1">
      <c r="B34" s="165" t="s">
        <v>136</v>
      </c>
      <c r="E34" s="168">
        <v>10.6</v>
      </c>
      <c r="G34" s="51"/>
      <c r="H34" s="167" t="s">
        <v>137</v>
      </c>
      <c r="K34" s="171" t="str">
        <f>SUM(L30/L32)</f>
        <v>#DIV/0!</v>
      </c>
      <c r="M34" s="51"/>
      <c r="N34" s="150" t="s">
        <v>123</v>
      </c>
      <c r="O34" s="151">
        <v>44204.0</v>
      </c>
      <c r="P34" s="152">
        <v>0.0</v>
      </c>
      <c r="Q34" s="153">
        <v>0.0</v>
      </c>
      <c r="R34" s="154" t="str">
        <f t="shared" si="28"/>
        <v>#DIV/0!</v>
      </c>
      <c r="S34" s="155">
        <v>0.0</v>
      </c>
      <c r="T34" s="156" t="str">
        <f t="shared" si="29"/>
        <v>#DIV/0!</v>
      </c>
      <c r="U34" s="155">
        <v>0.0</v>
      </c>
      <c r="V34" s="154" t="str">
        <f t="shared" si="30"/>
        <v>#DIV/0!</v>
      </c>
      <c r="W34" s="155">
        <v>0.0</v>
      </c>
      <c r="X34" s="154" t="str">
        <f t="shared" si="31"/>
        <v>#DIV/0!</v>
      </c>
      <c r="Y34" s="157" t="str">
        <f t="shared" si="32"/>
        <v>#DIV/0!</v>
      </c>
      <c r="Z34" s="157"/>
      <c r="AA34" s="163"/>
      <c r="AB34" s="150" t="s">
        <v>123</v>
      </c>
      <c r="AC34" s="159">
        <v>44204.0</v>
      </c>
      <c r="AD34" s="152">
        <v>0.0</v>
      </c>
      <c r="AE34" s="153">
        <v>0.0</v>
      </c>
      <c r="AF34" s="154" t="str">
        <f t="shared" si="13"/>
        <v>#DIV/0!</v>
      </c>
      <c r="AG34" s="155">
        <v>0.0</v>
      </c>
      <c r="AH34" s="156" t="str">
        <f t="shared" si="14"/>
        <v>#DIV/0!</v>
      </c>
      <c r="AI34" s="155">
        <v>0.0</v>
      </c>
      <c r="AJ34" s="154" t="str">
        <f t="shared" si="15"/>
        <v>#DIV/0!</v>
      </c>
      <c r="AK34" s="155">
        <v>0.0</v>
      </c>
      <c r="AL34" s="154" t="str">
        <f t="shared" si="16"/>
        <v>#DIV/0!</v>
      </c>
      <c r="AM34" s="157" t="str">
        <f t="shared" si="17"/>
        <v>#DIV/0!</v>
      </c>
      <c r="AN34" s="169"/>
      <c r="AO34" s="164"/>
      <c r="AP34" s="150" t="s">
        <v>123</v>
      </c>
      <c r="AQ34" s="151">
        <v>44204.0</v>
      </c>
      <c r="AR34" s="152">
        <v>0.0</v>
      </c>
      <c r="AS34" s="153">
        <v>0.0</v>
      </c>
      <c r="AT34" s="154" t="str">
        <f t="shared" si="18"/>
        <v>#DIV/0!</v>
      </c>
      <c r="AU34" s="155">
        <v>0.0</v>
      </c>
      <c r="AV34" s="156" t="str">
        <f t="shared" si="19"/>
        <v>#DIV/0!</v>
      </c>
      <c r="AW34" s="155">
        <v>0.0</v>
      </c>
      <c r="AX34" s="154" t="str">
        <f t="shared" si="20"/>
        <v>#DIV/0!</v>
      </c>
      <c r="AY34" s="155">
        <v>0.0</v>
      </c>
      <c r="AZ34" s="154" t="str">
        <f t="shared" si="21"/>
        <v>#DIV/0!</v>
      </c>
      <c r="BA34" s="157" t="str">
        <f t="shared" si="22"/>
        <v>#DIV/0!</v>
      </c>
      <c r="BB34" s="163"/>
      <c r="BC34" s="150" t="s">
        <v>123</v>
      </c>
      <c r="BD34" s="151">
        <v>44204.0</v>
      </c>
      <c r="BE34" s="152">
        <v>0.0</v>
      </c>
      <c r="BF34" s="153">
        <v>0.0</v>
      </c>
      <c r="BG34" s="154" t="str">
        <f t="shared" si="23"/>
        <v>#DIV/0!</v>
      </c>
      <c r="BH34" s="155">
        <v>0.0</v>
      </c>
      <c r="BI34" s="156" t="str">
        <f t="shared" si="24"/>
        <v>#DIV/0!</v>
      </c>
      <c r="BJ34" s="155">
        <v>0.0</v>
      </c>
      <c r="BK34" s="154" t="str">
        <f t="shared" si="25"/>
        <v>#DIV/0!</v>
      </c>
      <c r="BL34" s="155">
        <v>0.0</v>
      </c>
      <c r="BM34" s="154" t="str">
        <f t="shared" si="26"/>
        <v>#DIV/0!</v>
      </c>
      <c r="BN34" s="157" t="str">
        <f t="shared" si="27"/>
        <v>#DIV/0!</v>
      </c>
      <c r="BO34" s="170"/>
    </row>
    <row r="35" ht="15.75" customHeight="1">
      <c r="G35" s="51"/>
      <c r="M35" s="51"/>
      <c r="N35" s="150" t="s">
        <v>126</v>
      </c>
      <c r="O35" s="151">
        <v>44205.0</v>
      </c>
      <c r="P35" s="152">
        <v>0.0</v>
      </c>
      <c r="Q35" s="153">
        <v>0.0</v>
      </c>
      <c r="R35" s="154" t="str">
        <f t="shared" si="28"/>
        <v>#DIV/0!</v>
      </c>
      <c r="S35" s="155">
        <v>0.0</v>
      </c>
      <c r="T35" s="156" t="str">
        <f t="shared" si="29"/>
        <v>#DIV/0!</v>
      </c>
      <c r="U35" s="155">
        <v>0.0</v>
      </c>
      <c r="V35" s="154" t="str">
        <f t="shared" si="30"/>
        <v>#DIV/0!</v>
      </c>
      <c r="W35" s="155">
        <v>0.0</v>
      </c>
      <c r="X35" s="154" t="str">
        <f t="shared" si="31"/>
        <v>#DIV/0!</v>
      </c>
      <c r="Y35" s="157" t="str">
        <f t="shared" si="32"/>
        <v>#DIV/0!</v>
      </c>
      <c r="Z35" s="157"/>
      <c r="AA35" s="163"/>
      <c r="AB35" s="150" t="s">
        <v>126</v>
      </c>
      <c r="AC35" s="159">
        <v>44205.0</v>
      </c>
      <c r="AD35" s="152">
        <v>0.0</v>
      </c>
      <c r="AE35" s="153">
        <v>0.0</v>
      </c>
      <c r="AF35" s="154" t="str">
        <f t="shared" si="13"/>
        <v>#DIV/0!</v>
      </c>
      <c r="AG35" s="155">
        <v>0.0</v>
      </c>
      <c r="AH35" s="156" t="str">
        <f t="shared" si="14"/>
        <v>#DIV/0!</v>
      </c>
      <c r="AI35" s="155">
        <v>0.0</v>
      </c>
      <c r="AJ35" s="154" t="str">
        <f t="shared" si="15"/>
        <v>#DIV/0!</v>
      </c>
      <c r="AK35" s="155">
        <v>0.0</v>
      </c>
      <c r="AL35" s="154" t="str">
        <f t="shared" si="16"/>
        <v>#DIV/0!</v>
      </c>
      <c r="AM35" s="157" t="str">
        <f t="shared" si="17"/>
        <v>#DIV/0!</v>
      </c>
      <c r="AN35" s="169"/>
      <c r="AO35" s="164"/>
      <c r="AP35" s="150" t="s">
        <v>126</v>
      </c>
      <c r="AQ35" s="151">
        <v>44205.0</v>
      </c>
      <c r="AR35" s="152">
        <v>0.0</v>
      </c>
      <c r="AS35" s="153">
        <v>0.0</v>
      </c>
      <c r="AT35" s="154" t="str">
        <f t="shared" si="18"/>
        <v>#DIV/0!</v>
      </c>
      <c r="AU35" s="155">
        <v>0.0</v>
      </c>
      <c r="AV35" s="156" t="str">
        <f t="shared" si="19"/>
        <v>#DIV/0!</v>
      </c>
      <c r="AW35" s="155">
        <v>0.0</v>
      </c>
      <c r="AX35" s="154" t="str">
        <f t="shared" si="20"/>
        <v>#DIV/0!</v>
      </c>
      <c r="AY35" s="155">
        <v>0.0</v>
      </c>
      <c r="AZ35" s="154" t="str">
        <f t="shared" si="21"/>
        <v>#DIV/0!</v>
      </c>
      <c r="BA35" s="157" t="str">
        <f t="shared" si="22"/>
        <v>#DIV/0!</v>
      </c>
      <c r="BB35" s="163"/>
      <c r="BC35" s="150" t="s">
        <v>126</v>
      </c>
      <c r="BD35" s="151">
        <v>44205.0</v>
      </c>
      <c r="BE35" s="152">
        <v>0.0</v>
      </c>
      <c r="BF35" s="153">
        <v>0.0</v>
      </c>
      <c r="BG35" s="154" t="str">
        <f t="shared" si="23"/>
        <v>#DIV/0!</v>
      </c>
      <c r="BH35" s="155">
        <v>0.0</v>
      </c>
      <c r="BI35" s="156" t="str">
        <f t="shared" si="24"/>
        <v>#DIV/0!</v>
      </c>
      <c r="BJ35" s="155">
        <v>0.0</v>
      </c>
      <c r="BK35" s="154" t="str">
        <f t="shared" si="25"/>
        <v>#DIV/0!</v>
      </c>
      <c r="BL35" s="155">
        <v>0.0</v>
      </c>
      <c r="BM35" s="154" t="str">
        <f t="shared" si="26"/>
        <v>#DIV/0!</v>
      </c>
      <c r="BN35" s="157" t="str">
        <f t="shared" si="27"/>
        <v>#DIV/0!</v>
      </c>
      <c r="BO35" s="170"/>
    </row>
    <row r="36" ht="15.75" customHeight="1">
      <c r="B36" s="167" t="s">
        <v>138</v>
      </c>
      <c r="E36" s="168">
        <v>36.61</v>
      </c>
      <c r="G36" s="51"/>
      <c r="H36" s="165" t="s">
        <v>139</v>
      </c>
      <c r="K36" s="172">
        <f>SUM(L32*F38)</f>
        <v>0</v>
      </c>
      <c r="M36" s="51"/>
      <c r="N36" s="150" t="s">
        <v>127</v>
      </c>
      <c r="O36" s="151">
        <v>44206.0</v>
      </c>
      <c r="P36" s="152">
        <v>0.0</v>
      </c>
      <c r="Q36" s="153">
        <v>0.0</v>
      </c>
      <c r="R36" s="154" t="str">
        <f t="shared" si="28"/>
        <v>#DIV/0!</v>
      </c>
      <c r="S36" s="155">
        <v>0.0</v>
      </c>
      <c r="T36" s="156" t="str">
        <f t="shared" si="29"/>
        <v>#DIV/0!</v>
      </c>
      <c r="U36" s="155">
        <v>0.0</v>
      </c>
      <c r="V36" s="154" t="str">
        <f t="shared" si="30"/>
        <v>#DIV/0!</v>
      </c>
      <c r="W36" s="155">
        <v>0.0</v>
      </c>
      <c r="X36" s="154" t="str">
        <f t="shared" si="31"/>
        <v>#DIV/0!</v>
      </c>
      <c r="Y36" s="157" t="str">
        <f t="shared" si="32"/>
        <v>#DIV/0!</v>
      </c>
      <c r="Z36" s="157"/>
      <c r="AA36" s="163"/>
      <c r="AB36" s="150" t="s">
        <v>127</v>
      </c>
      <c r="AC36" s="159">
        <v>44206.0</v>
      </c>
      <c r="AD36" s="152">
        <v>0.0</v>
      </c>
      <c r="AE36" s="153">
        <v>0.0</v>
      </c>
      <c r="AF36" s="154" t="str">
        <f t="shared" si="13"/>
        <v>#DIV/0!</v>
      </c>
      <c r="AG36" s="155">
        <v>0.0</v>
      </c>
      <c r="AH36" s="156" t="str">
        <f t="shared" si="14"/>
        <v>#DIV/0!</v>
      </c>
      <c r="AI36" s="155">
        <v>0.0</v>
      </c>
      <c r="AJ36" s="154" t="str">
        <f t="shared" si="15"/>
        <v>#DIV/0!</v>
      </c>
      <c r="AK36" s="155">
        <v>0.0</v>
      </c>
      <c r="AL36" s="154" t="str">
        <f t="shared" si="16"/>
        <v>#DIV/0!</v>
      </c>
      <c r="AM36" s="157" t="str">
        <f t="shared" si="17"/>
        <v>#DIV/0!</v>
      </c>
      <c r="AN36" s="169"/>
      <c r="AO36" s="164"/>
      <c r="AP36" s="150" t="s">
        <v>127</v>
      </c>
      <c r="AQ36" s="151">
        <v>44206.0</v>
      </c>
      <c r="AR36" s="152">
        <v>0.0</v>
      </c>
      <c r="AS36" s="153">
        <v>0.0</v>
      </c>
      <c r="AT36" s="154" t="str">
        <f t="shared" si="18"/>
        <v>#DIV/0!</v>
      </c>
      <c r="AU36" s="155">
        <v>0.0</v>
      </c>
      <c r="AV36" s="156" t="str">
        <f t="shared" si="19"/>
        <v>#DIV/0!</v>
      </c>
      <c r="AW36" s="155">
        <v>0.0</v>
      </c>
      <c r="AX36" s="154" t="str">
        <f t="shared" si="20"/>
        <v>#DIV/0!</v>
      </c>
      <c r="AY36" s="155">
        <v>0.0</v>
      </c>
      <c r="AZ36" s="154" t="str">
        <f t="shared" si="21"/>
        <v>#DIV/0!</v>
      </c>
      <c r="BA36" s="157" t="str">
        <f t="shared" si="22"/>
        <v>#DIV/0!</v>
      </c>
      <c r="BB36" s="163"/>
      <c r="BC36" s="150" t="s">
        <v>127</v>
      </c>
      <c r="BD36" s="151">
        <v>44206.0</v>
      </c>
      <c r="BE36" s="152">
        <v>0.0</v>
      </c>
      <c r="BF36" s="153">
        <v>0.0</v>
      </c>
      <c r="BG36" s="154" t="str">
        <f t="shared" si="23"/>
        <v>#DIV/0!</v>
      </c>
      <c r="BH36" s="155">
        <v>0.0</v>
      </c>
      <c r="BI36" s="156" t="str">
        <f t="shared" si="24"/>
        <v>#DIV/0!</v>
      </c>
      <c r="BJ36" s="155">
        <v>0.0</v>
      </c>
      <c r="BK36" s="154" t="str">
        <f t="shared" si="25"/>
        <v>#DIV/0!</v>
      </c>
      <c r="BL36" s="155">
        <v>0.0</v>
      </c>
      <c r="BM36" s="154" t="str">
        <f t="shared" si="26"/>
        <v>#DIV/0!</v>
      </c>
      <c r="BN36" s="157" t="str">
        <f t="shared" si="27"/>
        <v>#DIV/0!</v>
      </c>
      <c r="BO36" s="170"/>
    </row>
    <row r="37" ht="15.75" customHeight="1">
      <c r="G37" s="51"/>
      <c r="M37" s="51"/>
      <c r="N37" s="150" t="s">
        <v>130</v>
      </c>
      <c r="O37" s="151">
        <v>44207.0</v>
      </c>
      <c r="P37" s="152">
        <v>0.0</v>
      </c>
      <c r="Q37" s="153">
        <v>0.0</v>
      </c>
      <c r="R37" s="154" t="str">
        <f t="shared" si="28"/>
        <v>#DIV/0!</v>
      </c>
      <c r="S37" s="155">
        <v>0.0</v>
      </c>
      <c r="T37" s="156" t="str">
        <f t="shared" si="29"/>
        <v>#DIV/0!</v>
      </c>
      <c r="U37" s="155">
        <v>0.0</v>
      </c>
      <c r="V37" s="154" t="str">
        <f t="shared" si="30"/>
        <v>#DIV/0!</v>
      </c>
      <c r="W37" s="155">
        <v>0.0</v>
      </c>
      <c r="X37" s="154" t="str">
        <f t="shared" si="31"/>
        <v>#DIV/0!</v>
      </c>
      <c r="Y37" s="157" t="str">
        <f t="shared" si="32"/>
        <v>#DIV/0!</v>
      </c>
      <c r="Z37" s="157"/>
      <c r="AA37" s="163"/>
      <c r="AB37" s="150" t="s">
        <v>130</v>
      </c>
      <c r="AC37" s="159">
        <v>44207.0</v>
      </c>
      <c r="AD37" s="152">
        <v>0.0</v>
      </c>
      <c r="AE37" s="153">
        <v>0.0</v>
      </c>
      <c r="AF37" s="154" t="str">
        <f t="shared" si="13"/>
        <v>#DIV/0!</v>
      </c>
      <c r="AG37" s="155">
        <v>0.0</v>
      </c>
      <c r="AH37" s="156" t="str">
        <f t="shared" si="14"/>
        <v>#DIV/0!</v>
      </c>
      <c r="AI37" s="155">
        <v>0.0</v>
      </c>
      <c r="AJ37" s="154" t="str">
        <f t="shared" si="15"/>
        <v>#DIV/0!</v>
      </c>
      <c r="AK37" s="155">
        <v>0.0</v>
      </c>
      <c r="AL37" s="154" t="str">
        <f t="shared" si="16"/>
        <v>#DIV/0!</v>
      </c>
      <c r="AM37" s="157" t="str">
        <f t="shared" si="17"/>
        <v>#DIV/0!</v>
      </c>
      <c r="AN37" s="169"/>
      <c r="AO37" s="164"/>
      <c r="AP37" s="150" t="s">
        <v>130</v>
      </c>
      <c r="AQ37" s="151">
        <v>44207.0</v>
      </c>
      <c r="AR37" s="152">
        <v>0.0</v>
      </c>
      <c r="AS37" s="153">
        <v>0.0</v>
      </c>
      <c r="AT37" s="154" t="str">
        <f t="shared" si="18"/>
        <v>#DIV/0!</v>
      </c>
      <c r="AU37" s="155">
        <v>0.0</v>
      </c>
      <c r="AV37" s="156" t="str">
        <f t="shared" si="19"/>
        <v>#DIV/0!</v>
      </c>
      <c r="AW37" s="155">
        <v>0.0</v>
      </c>
      <c r="AX37" s="154" t="str">
        <f t="shared" si="20"/>
        <v>#DIV/0!</v>
      </c>
      <c r="AY37" s="155">
        <v>0.0</v>
      </c>
      <c r="AZ37" s="154" t="str">
        <f t="shared" si="21"/>
        <v>#DIV/0!</v>
      </c>
      <c r="BA37" s="157" t="str">
        <f t="shared" si="22"/>
        <v>#DIV/0!</v>
      </c>
      <c r="BB37" s="163"/>
      <c r="BC37" s="150" t="s">
        <v>130</v>
      </c>
      <c r="BD37" s="151">
        <v>44207.0</v>
      </c>
      <c r="BE37" s="152">
        <v>0.0</v>
      </c>
      <c r="BF37" s="153">
        <v>0.0</v>
      </c>
      <c r="BG37" s="154" t="str">
        <f t="shared" si="23"/>
        <v>#DIV/0!</v>
      </c>
      <c r="BH37" s="155">
        <v>0.0</v>
      </c>
      <c r="BI37" s="156" t="str">
        <f t="shared" si="24"/>
        <v>#DIV/0!</v>
      </c>
      <c r="BJ37" s="155">
        <v>0.0</v>
      </c>
      <c r="BK37" s="154" t="str">
        <f t="shared" si="25"/>
        <v>#DIV/0!</v>
      </c>
      <c r="BL37" s="155">
        <v>0.0</v>
      </c>
      <c r="BM37" s="154" t="str">
        <f t="shared" si="26"/>
        <v>#DIV/0!</v>
      </c>
      <c r="BN37" s="157" t="str">
        <f t="shared" si="27"/>
        <v>#DIV/0!</v>
      </c>
      <c r="BO37" s="170"/>
    </row>
    <row r="38" ht="15.75" customHeight="1">
      <c r="B38" s="165" t="s">
        <v>140</v>
      </c>
      <c r="E38" s="171">
        <v>25.92</v>
      </c>
      <c r="G38" s="51"/>
      <c r="H38" s="167" t="s">
        <v>141</v>
      </c>
      <c r="K38" s="173">
        <f>SUM(L36-L30)</f>
        <v>0</v>
      </c>
      <c r="M38" s="51"/>
      <c r="N38" s="150" t="s">
        <v>131</v>
      </c>
      <c r="O38" s="151">
        <v>44208.0</v>
      </c>
      <c r="P38" s="152">
        <v>0.0</v>
      </c>
      <c r="Q38" s="153">
        <v>0.0</v>
      </c>
      <c r="R38" s="154" t="str">
        <f t="shared" si="28"/>
        <v>#DIV/0!</v>
      </c>
      <c r="S38" s="155">
        <v>0.0</v>
      </c>
      <c r="T38" s="156" t="str">
        <f t="shared" si="29"/>
        <v>#DIV/0!</v>
      </c>
      <c r="U38" s="155">
        <v>0.0</v>
      </c>
      <c r="V38" s="154" t="str">
        <f t="shared" si="30"/>
        <v>#DIV/0!</v>
      </c>
      <c r="W38" s="155">
        <v>0.0</v>
      </c>
      <c r="X38" s="154" t="str">
        <f t="shared" si="31"/>
        <v>#DIV/0!</v>
      </c>
      <c r="Y38" s="157" t="str">
        <f t="shared" si="32"/>
        <v>#DIV/0!</v>
      </c>
      <c r="Z38" s="157"/>
      <c r="AA38" s="163"/>
      <c r="AB38" s="150" t="s">
        <v>131</v>
      </c>
      <c r="AC38" s="159">
        <v>44208.0</v>
      </c>
      <c r="AD38" s="152">
        <v>0.0</v>
      </c>
      <c r="AE38" s="153">
        <v>0.0</v>
      </c>
      <c r="AF38" s="154" t="str">
        <f t="shared" si="13"/>
        <v>#DIV/0!</v>
      </c>
      <c r="AG38" s="155">
        <v>0.0</v>
      </c>
      <c r="AH38" s="156" t="str">
        <f t="shared" si="14"/>
        <v>#DIV/0!</v>
      </c>
      <c r="AI38" s="155">
        <v>0.0</v>
      </c>
      <c r="AJ38" s="154" t="str">
        <f t="shared" si="15"/>
        <v>#DIV/0!</v>
      </c>
      <c r="AK38" s="155">
        <v>0.0</v>
      </c>
      <c r="AL38" s="154" t="str">
        <f t="shared" si="16"/>
        <v>#DIV/0!</v>
      </c>
      <c r="AM38" s="157" t="str">
        <f t="shared" si="17"/>
        <v>#DIV/0!</v>
      </c>
      <c r="AN38" s="169"/>
      <c r="AO38" s="164"/>
      <c r="AP38" s="150" t="s">
        <v>131</v>
      </c>
      <c r="AQ38" s="151">
        <v>44208.0</v>
      </c>
      <c r="AR38" s="152">
        <v>0.0</v>
      </c>
      <c r="AS38" s="153">
        <v>0.0</v>
      </c>
      <c r="AT38" s="154" t="str">
        <f t="shared" si="18"/>
        <v>#DIV/0!</v>
      </c>
      <c r="AU38" s="155">
        <v>0.0</v>
      </c>
      <c r="AV38" s="156" t="str">
        <f t="shared" si="19"/>
        <v>#DIV/0!</v>
      </c>
      <c r="AW38" s="155">
        <v>0.0</v>
      </c>
      <c r="AX38" s="154" t="str">
        <f t="shared" si="20"/>
        <v>#DIV/0!</v>
      </c>
      <c r="AY38" s="155">
        <v>0.0</v>
      </c>
      <c r="AZ38" s="154" t="str">
        <f t="shared" si="21"/>
        <v>#DIV/0!</v>
      </c>
      <c r="BA38" s="157" t="str">
        <f t="shared" si="22"/>
        <v>#DIV/0!</v>
      </c>
      <c r="BB38" s="163"/>
      <c r="BC38" s="150" t="s">
        <v>131</v>
      </c>
      <c r="BD38" s="151">
        <v>44208.0</v>
      </c>
      <c r="BE38" s="152">
        <v>0.0</v>
      </c>
      <c r="BF38" s="153">
        <v>0.0</v>
      </c>
      <c r="BG38" s="154" t="str">
        <f t="shared" si="23"/>
        <v>#DIV/0!</v>
      </c>
      <c r="BH38" s="155">
        <v>0.0</v>
      </c>
      <c r="BI38" s="156" t="str">
        <f t="shared" si="24"/>
        <v>#DIV/0!</v>
      </c>
      <c r="BJ38" s="155">
        <v>0.0</v>
      </c>
      <c r="BK38" s="154" t="str">
        <f t="shared" si="25"/>
        <v>#DIV/0!</v>
      </c>
      <c r="BL38" s="155">
        <v>0.0</v>
      </c>
      <c r="BM38" s="154" t="str">
        <f t="shared" si="26"/>
        <v>#DIV/0!</v>
      </c>
      <c r="BN38" s="157" t="str">
        <f t="shared" si="27"/>
        <v>#DIV/0!</v>
      </c>
      <c r="BO38" s="170"/>
    </row>
    <row r="39" ht="15.75" customHeight="1">
      <c r="G39" s="51"/>
      <c r="M39" s="51"/>
      <c r="N39" s="150" t="s">
        <v>134</v>
      </c>
      <c r="O39" s="151">
        <v>44209.0</v>
      </c>
      <c r="P39" s="152">
        <v>0.0</v>
      </c>
      <c r="Q39" s="153">
        <v>0.0</v>
      </c>
      <c r="R39" s="154" t="str">
        <f t="shared" si="28"/>
        <v>#DIV/0!</v>
      </c>
      <c r="S39" s="155">
        <v>0.0</v>
      </c>
      <c r="T39" s="156" t="str">
        <f t="shared" si="29"/>
        <v>#DIV/0!</v>
      </c>
      <c r="U39" s="155">
        <v>0.0</v>
      </c>
      <c r="V39" s="154" t="str">
        <f t="shared" si="30"/>
        <v>#DIV/0!</v>
      </c>
      <c r="W39" s="155">
        <v>0.0</v>
      </c>
      <c r="X39" s="154" t="str">
        <f t="shared" si="31"/>
        <v>#DIV/0!</v>
      </c>
      <c r="Y39" s="157" t="str">
        <f t="shared" si="32"/>
        <v>#DIV/0!</v>
      </c>
      <c r="Z39" s="157"/>
      <c r="AA39" s="163"/>
      <c r="AB39" s="150" t="s">
        <v>134</v>
      </c>
      <c r="AC39" s="159">
        <v>44209.0</v>
      </c>
      <c r="AD39" s="152">
        <v>0.0</v>
      </c>
      <c r="AE39" s="153">
        <v>0.0</v>
      </c>
      <c r="AF39" s="154" t="str">
        <f t="shared" si="13"/>
        <v>#DIV/0!</v>
      </c>
      <c r="AG39" s="155">
        <v>0.0</v>
      </c>
      <c r="AH39" s="156" t="str">
        <f t="shared" si="14"/>
        <v>#DIV/0!</v>
      </c>
      <c r="AI39" s="155">
        <v>0.0</v>
      </c>
      <c r="AJ39" s="154" t="str">
        <f t="shared" si="15"/>
        <v>#DIV/0!</v>
      </c>
      <c r="AK39" s="155">
        <v>0.0</v>
      </c>
      <c r="AL39" s="154" t="str">
        <f t="shared" si="16"/>
        <v>#DIV/0!</v>
      </c>
      <c r="AM39" s="157" t="str">
        <f t="shared" si="17"/>
        <v>#DIV/0!</v>
      </c>
      <c r="AN39" s="169"/>
      <c r="AO39" s="164"/>
      <c r="AP39" s="150" t="s">
        <v>134</v>
      </c>
      <c r="AQ39" s="151">
        <v>44209.0</v>
      </c>
      <c r="AR39" s="152">
        <v>0.0</v>
      </c>
      <c r="AS39" s="153">
        <v>0.0</v>
      </c>
      <c r="AT39" s="154" t="str">
        <f t="shared" si="18"/>
        <v>#DIV/0!</v>
      </c>
      <c r="AU39" s="155">
        <v>0.0</v>
      </c>
      <c r="AV39" s="156" t="str">
        <f t="shared" si="19"/>
        <v>#DIV/0!</v>
      </c>
      <c r="AW39" s="155">
        <v>0.0</v>
      </c>
      <c r="AX39" s="154" t="str">
        <f t="shared" si="20"/>
        <v>#DIV/0!</v>
      </c>
      <c r="AY39" s="155">
        <v>0.0</v>
      </c>
      <c r="AZ39" s="154" t="str">
        <f t="shared" si="21"/>
        <v>#DIV/0!</v>
      </c>
      <c r="BA39" s="157" t="str">
        <f t="shared" si="22"/>
        <v>#DIV/0!</v>
      </c>
      <c r="BB39" s="163"/>
      <c r="BC39" s="150" t="s">
        <v>134</v>
      </c>
      <c r="BD39" s="151">
        <v>44209.0</v>
      </c>
      <c r="BE39" s="152">
        <v>0.0</v>
      </c>
      <c r="BF39" s="153">
        <v>0.0</v>
      </c>
      <c r="BG39" s="154" t="str">
        <f t="shared" si="23"/>
        <v>#DIV/0!</v>
      </c>
      <c r="BH39" s="155">
        <v>0.0</v>
      </c>
      <c r="BI39" s="156" t="str">
        <f t="shared" si="24"/>
        <v>#DIV/0!</v>
      </c>
      <c r="BJ39" s="155">
        <v>0.0</v>
      </c>
      <c r="BK39" s="154" t="str">
        <f t="shared" si="25"/>
        <v>#DIV/0!</v>
      </c>
      <c r="BL39" s="155">
        <v>0.0</v>
      </c>
      <c r="BM39" s="154" t="str">
        <f t="shared" si="26"/>
        <v>#DIV/0!</v>
      </c>
      <c r="BN39" s="157" t="str">
        <f t="shared" si="27"/>
        <v>#DIV/0!</v>
      </c>
      <c r="BO39" s="170"/>
    </row>
    <row r="40" ht="15.75" customHeight="1">
      <c r="B40" s="167" t="s">
        <v>142</v>
      </c>
      <c r="E40" s="168">
        <v>21.17</v>
      </c>
      <c r="G40" s="51"/>
      <c r="H40" s="51"/>
      <c r="I40" s="51"/>
      <c r="J40" s="51"/>
      <c r="K40" s="51"/>
      <c r="L40" s="51"/>
      <c r="M40" s="51"/>
      <c r="N40" s="150" t="s">
        <v>135</v>
      </c>
      <c r="O40" s="151">
        <v>44210.0</v>
      </c>
      <c r="P40" s="152">
        <v>0.0</v>
      </c>
      <c r="Q40" s="153">
        <v>0.0</v>
      </c>
      <c r="R40" s="154" t="str">
        <f t="shared" si="28"/>
        <v>#DIV/0!</v>
      </c>
      <c r="S40" s="155">
        <v>0.0</v>
      </c>
      <c r="T40" s="156" t="str">
        <f t="shared" si="29"/>
        <v>#DIV/0!</v>
      </c>
      <c r="U40" s="155">
        <v>0.0</v>
      </c>
      <c r="V40" s="154" t="str">
        <f t="shared" si="30"/>
        <v>#DIV/0!</v>
      </c>
      <c r="W40" s="155">
        <v>0.0</v>
      </c>
      <c r="X40" s="154" t="str">
        <f t="shared" si="31"/>
        <v>#DIV/0!</v>
      </c>
      <c r="Y40" s="157" t="str">
        <f t="shared" si="32"/>
        <v>#DIV/0!</v>
      </c>
      <c r="Z40" s="157"/>
      <c r="AA40" s="163"/>
      <c r="AB40" s="150" t="s">
        <v>135</v>
      </c>
      <c r="AC40" s="159">
        <v>44210.0</v>
      </c>
      <c r="AD40" s="152">
        <v>0.0</v>
      </c>
      <c r="AE40" s="153">
        <v>0.0</v>
      </c>
      <c r="AF40" s="154" t="str">
        <f t="shared" si="13"/>
        <v>#DIV/0!</v>
      </c>
      <c r="AG40" s="155">
        <v>0.0</v>
      </c>
      <c r="AH40" s="156" t="str">
        <f t="shared" si="14"/>
        <v>#DIV/0!</v>
      </c>
      <c r="AI40" s="155">
        <v>0.0</v>
      </c>
      <c r="AJ40" s="154" t="str">
        <f t="shared" si="15"/>
        <v>#DIV/0!</v>
      </c>
      <c r="AK40" s="155">
        <v>0.0</v>
      </c>
      <c r="AL40" s="154" t="str">
        <f t="shared" si="16"/>
        <v>#DIV/0!</v>
      </c>
      <c r="AM40" s="157" t="str">
        <f t="shared" si="17"/>
        <v>#DIV/0!</v>
      </c>
      <c r="AN40" s="169"/>
      <c r="AO40" s="164"/>
      <c r="AP40" s="150" t="s">
        <v>135</v>
      </c>
      <c r="AQ40" s="151">
        <v>44210.0</v>
      </c>
      <c r="AR40" s="152">
        <v>0.0</v>
      </c>
      <c r="AS40" s="153">
        <v>0.0</v>
      </c>
      <c r="AT40" s="154" t="str">
        <f t="shared" si="18"/>
        <v>#DIV/0!</v>
      </c>
      <c r="AU40" s="155">
        <v>0.0</v>
      </c>
      <c r="AV40" s="156" t="str">
        <f t="shared" si="19"/>
        <v>#DIV/0!</v>
      </c>
      <c r="AW40" s="155">
        <v>0.0</v>
      </c>
      <c r="AX40" s="154" t="str">
        <f t="shared" si="20"/>
        <v>#DIV/0!</v>
      </c>
      <c r="AY40" s="155">
        <v>0.0</v>
      </c>
      <c r="AZ40" s="154" t="str">
        <f t="shared" si="21"/>
        <v>#DIV/0!</v>
      </c>
      <c r="BA40" s="157" t="str">
        <f t="shared" si="22"/>
        <v>#DIV/0!</v>
      </c>
      <c r="BB40" s="163"/>
      <c r="BC40" s="150" t="s">
        <v>135</v>
      </c>
      <c r="BD40" s="151">
        <v>44210.0</v>
      </c>
      <c r="BE40" s="152">
        <v>0.0</v>
      </c>
      <c r="BF40" s="153">
        <v>0.0</v>
      </c>
      <c r="BG40" s="154" t="str">
        <f t="shared" si="23"/>
        <v>#DIV/0!</v>
      </c>
      <c r="BH40" s="155">
        <v>0.0</v>
      </c>
      <c r="BI40" s="156" t="str">
        <f t="shared" si="24"/>
        <v>#DIV/0!</v>
      </c>
      <c r="BJ40" s="155">
        <v>0.0</v>
      </c>
      <c r="BK40" s="154" t="str">
        <f t="shared" si="25"/>
        <v>#DIV/0!</v>
      </c>
      <c r="BL40" s="155">
        <v>0.0</v>
      </c>
      <c r="BM40" s="154" t="str">
        <f t="shared" si="26"/>
        <v>#DIV/0!</v>
      </c>
      <c r="BN40" s="157" t="str">
        <f t="shared" si="27"/>
        <v>#DIV/0!</v>
      </c>
      <c r="BO40" s="170"/>
    </row>
    <row r="41" ht="15.75" customHeight="1">
      <c r="G41" s="51"/>
      <c r="H41" s="51"/>
      <c r="I41" s="51"/>
      <c r="J41" s="51"/>
      <c r="K41" s="51"/>
      <c r="L41" s="51"/>
      <c r="M41" s="51"/>
      <c r="N41" s="150" t="s">
        <v>123</v>
      </c>
      <c r="O41" s="151">
        <v>44211.0</v>
      </c>
      <c r="P41" s="152">
        <v>0.0</v>
      </c>
      <c r="Q41" s="153">
        <v>0.0</v>
      </c>
      <c r="R41" s="154" t="str">
        <f t="shared" si="28"/>
        <v>#DIV/0!</v>
      </c>
      <c r="S41" s="155">
        <v>0.0</v>
      </c>
      <c r="T41" s="156" t="str">
        <f t="shared" si="29"/>
        <v>#DIV/0!</v>
      </c>
      <c r="U41" s="155">
        <v>0.0</v>
      </c>
      <c r="V41" s="154" t="str">
        <f t="shared" si="30"/>
        <v>#DIV/0!</v>
      </c>
      <c r="W41" s="155">
        <v>0.0</v>
      </c>
      <c r="X41" s="154" t="str">
        <f t="shared" si="31"/>
        <v>#DIV/0!</v>
      </c>
      <c r="Y41" s="157" t="str">
        <f t="shared" si="32"/>
        <v>#DIV/0!</v>
      </c>
      <c r="Z41" s="157"/>
      <c r="AA41" s="163"/>
      <c r="AB41" s="150" t="s">
        <v>123</v>
      </c>
      <c r="AC41" s="159">
        <v>44211.0</v>
      </c>
      <c r="AD41" s="152">
        <v>0.0</v>
      </c>
      <c r="AE41" s="153">
        <v>0.0</v>
      </c>
      <c r="AF41" s="154" t="str">
        <f t="shared" si="13"/>
        <v>#DIV/0!</v>
      </c>
      <c r="AG41" s="155">
        <v>0.0</v>
      </c>
      <c r="AH41" s="156" t="str">
        <f t="shared" si="14"/>
        <v>#DIV/0!</v>
      </c>
      <c r="AI41" s="155">
        <v>0.0</v>
      </c>
      <c r="AJ41" s="154" t="str">
        <f t="shared" si="15"/>
        <v>#DIV/0!</v>
      </c>
      <c r="AK41" s="155">
        <v>0.0</v>
      </c>
      <c r="AL41" s="154" t="str">
        <f t="shared" si="16"/>
        <v>#DIV/0!</v>
      </c>
      <c r="AM41" s="157" t="str">
        <f t="shared" si="17"/>
        <v>#DIV/0!</v>
      </c>
      <c r="AN41" s="169"/>
      <c r="AO41" s="164"/>
      <c r="AP41" s="150" t="s">
        <v>123</v>
      </c>
      <c r="AQ41" s="151">
        <v>44211.0</v>
      </c>
      <c r="AR41" s="152">
        <v>0.0</v>
      </c>
      <c r="AS41" s="153">
        <v>0.0</v>
      </c>
      <c r="AT41" s="154" t="str">
        <f t="shared" si="18"/>
        <v>#DIV/0!</v>
      </c>
      <c r="AU41" s="155">
        <v>0.0</v>
      </c>
      <c r="AV41" s="156" t="str">
        <f t="shared" si="19"/>
        <v>#DIV/0!</v>
      </c>
      <c r="AW41" s="155">
        <v>0.0</v>
      </c>
      <c r="AX41" s="154" t="str">
        <f t="shared" si="20"/>
        <v>#DIV/0!</v>
      </c>
      <c r="AY41" s="155">
        <v>0.0</v>
      </c>
      <c r="AZ41" s="154" t="str">
        <f t="shared" si="21"/>
        <v>#DIV/0!</v>
      </c>
      <c r="BA41" s="157" t="str">
        <f t="shared" si="22"/>
        <v>#DIV/0!</v>
      </c>
      <c r="BB41" s="163"/>
      <c r="BC41" s="150" t="s">
        <v>123</v>
      </c>
      <c r="BD41" s="151">
        <v>44211.0</v>
      </c>
      <c r="BE41" s="152">
        <v>0.0</v>
      </c>
      <c r="BF41" s="153">
        <v>0.0</v>
      </c>
      <c r="BG41" s="154" t="str">
        <f t="shared" si="23"/>
        <v>#DIV/0!</v>
      </c>
      <c r="BH41" s="155">
        <v>0.0</v>
      </c>
      <c r="BI41" s="156" t="str">
        <f t="shared" si="24"/>
        <v>#DIV/0!</v>
      </c>
      <c r="BJ41" s="155">
        <v>0.0</v>
      </c>
      <c r="BK41" s="154" t="str">
        <f t="shared" si="25"/>
        <v>#DIV/0!</v>
      </c>
      <c r="BL41" s="155">
        <v>0.0</v>
      </c>
      <c r="BM41" s="154" t="str">
        <f t="shared" si="26"/>
        <v>#DIV/0!</v>
      </c>
      <c r="BN41" s="157" t="str">
        <f t="shared" si="27"/>
        <v>#DIV/0!</v>
      </c>
      <c r="BO41" s="170"/>
    </row>
    <row r="42" ht="15.75" customHeight="1">
      <c r="B42" s="165" t="s">
        <v>143</v>
      </c>
      <c r="E42" s="174" t="str">
        <f>SUM(F30/F38)</f>
        <v>#DIV/0!</v>
      </c>
      <c r="G42" s="51"/>
      <c r="H42" s="51"/>
      <c r="I42" s="51"/>
      <c r="J42" s="51"/>
      <c r="K42" s="51"/>
      <c r="L42" s="51"/>
      <c r="M42" s="51"/>
      <c r="N42" s="150" t="s">
        <v>126</v>
      </c>
      <c r="O42" s="151">
        <v>44212.0</v>
      </c>
      <c r="P42" s="152">
        <v>0.0</v>
      </c>
      <c r="Q42" s="153">
        <v>0.0</v>
      </c>
      <c r="R42" s="154" t="str">
        <f t="shared" si="28"/>
        <v>#DIV/0!</v>
      </c>
      <c r="S42" s="155">
        <v>0.0</v>
      </c>
      <c r="T42" s="156" t="str">
        <f t="shared" si="29"/>
        <v>#DIV/0!</v>
      </c>
      <c r="U42" s="155">
        <v>0.0</v>
      </c>
      <c r="V42" s="154" t="str">
        <f t="shared" si="30"/>
        <v>#DIV/0!</v>
      </c>
      <c r="W42" s="155">
        <v>0.0</v>
      </c>
      <c r="X42" s="154" t="str">
        <f t="shared" si="31"/>
        <v>#DIV/0!</v>
      </c>
      <c r="Y42" s="157" t="str">
        <f t="shared" si="32"/>
        <v>#DIV/0!</v>
      </c>
      <c r="Z42" s="157"/>
      <c r="AA42" s="163"/>
      <c r="AB42" s="150" t="s">
        <v>126</v>
      </c>
      <c r="AC42" s="159">
        <v>44212.0</v>
      </c>
      <c r="AD42" s="152">
        <v>0.0</v>
      </c>
      <c r="AE42" s="153">
        <v>0.0</v>
      </c>
      <c r="AF42" s="154" t="str">
        <f t="shared" si="13"/>
        <v>#DIV/0!</v>
      </c>
      <c r="AG42" s="155">
        <v>0.0</v>
      </c>
      <c r="AH42" s="156" t="str">
        <f t="shared" si="14"/>
        <v>#DIV/0!</v>
      </c>
      <c r="AI42" s="155">
        <v>0.0</v>
      </c>
      <c r="AJ42" s="154" t="str">
        <f t="shared" si="15"/>
        <v>#DIV/0!</v>
      </c>
      <c r="AK42" s="155">
        <v>0.0</v>
      </c>
      <c r="AL42" s="154" t="str">
        <f t="shared" si="16"/>
        <v>#DIV/0!</v>
      </c>
      <c r="AM42" s="157" t="str">
        <f t="shared" si="17"/>
        <v>#DIV/0!</v>
      </c>
      <c r="AN42" s="169"/>
      <c r="AO42" s="164"/>
      <c r="AP42" s="150" t="s">
        <v>126</v>
      </c>
      <c r="AQ42" s="151">
        <v>44212.0</v>
      </c>
      <c r="AR42" s="152">
        <v>0.0</v>
      </c>
      <c r="AS42" s="153">
        <v>0.0</v>
      </c>
      <c r="AT42" s="154" t="str">
        <f t="shared" si="18"/>
        <v>#DIV/0!</v>
      </c>
      <c r="AU42" s="155">
        <v>0.0</v>
      </c>
      <c r="AV42" s="156" t="str">
        <f t="shared" si="19"/>
        <v>#DIV/0!</v>
      </c>
      <c r="AW42" s="155">
        <v>0.0</v>
      </c>
      <c r="AX42" s="154" t="str">
        <f t="shared" si="20"/>
        <v>#DIV/0!</v>
      </c>
      <c r="AY42" s="155">
        <v>0.0</v>
      </c>
      <c r="AZ42" s="154" t="str">
        <f t="shared" si="21"/>
        <v>#DIV/0!</v>
      </c>
      <c r="BA42" s="157" t="str">
        <f t="shared" si="22"/>
        <v>#DIV/0!</v>
      </c>
      <c r="BB42" s="163"/>
      <c r="BC42" s="150" t="s">
        <v>126</v>
      </c>
      <c r="BD42" s="151">
        <v>44212.0</v>
      </c>
      <c r="BE42" s="152">
        <v>0.0</v>
      </c>
      <c r="BF42" s="153">
        <v>0.0</v>
      </c>
      <c r="BG42" s="154" t="str">
        <f t="shared" si="23"/>
        <v>#DIV/0!</v>
      </c>
      <c r="BH42" s="155">
        <v>0.0</v>
      </c>
      <c r="BI42" s="156" t="str">
        <f t="shared" si="24"/>
        <v>#DIV/0!</v>
      </c>
      <c r="BJ42" s="155">
        <v>0.0</v>
      </c>
      <c r="BK42" s="154" t="str">
        <f t="shared" si="25"/>
        <v>#DIV/0!</v>
      </c>
      <c r="BL42" s="155">
        <v>0.0</v>
      </c>
      <c r="BM42" s="154" t="str">
        <f t="shared" si="26"/>
        <v>#DIV/0!</v>
      </c>
      <c r="BN42" s="157" t="str">
        <f t="shared" si="27"/>
        <v>#DIV/0!</v>
      </c>
      <c r="BO42" s="170"/>
    </row>
    <row r="43" ht="15.75" customHeight="1">
      <c r="G43" s="51"/>
      <c r="H43" s="51"/>
      <c r="I43" s="51"/>
      <c r="J43" s="51"/>
      <c r="K43" s="51"/>
      <c r="L43" s="51"/>
      <c r="M43" s="51"/>
      <c r="N43" s="150" t="s">
        <v>127</v>
      </c>
      <c r="O43" s="151">
        <v>44213.0</v>
      </c>
      <c r="P43" s="152">
        <v>0.0</v>
      </c>
      <c r="Q43" s="153">
        <v>0.0</v>
      </c>
      <c r="R43" s="154" t="str">
        <f t="shared" si="28"/>
        <v>#DIV/0!</v>
      </c>
      <c r="S43" s="155">
        <v>0.0</v>
      </c>
      <c r="T43" s="156" t="str">
        <f t="shared" si="29"/>
        <v>#DIV/0!</v>
      </c>
      <c r="U43" s="155">
        <v>0.0</v>
      </c>
      <c r="V43" s="154" t="str">
        <f t="shared" si="30"/>
        <v>#DIV/0!</v>
      </c>
      <c r="W43" s="155">
        <v>0.0</v>
      </c>
      <c r="X43" s="154" t="str">
        <f t="shared" si="31"/>
        <v>#DIV/0!</v>
      </c>
      <c r="Y43" s="157" t="str">
        <f t="shared" si="32"/>
        <v>#DIV/0!</v>
      </c>
      <c r="Z43" s="157"/>
      <c r="AA43" s="163"/>
      <c r="AB43" s="150" t="s">
        <v>127</v>
      </c>
      <c r="AC43" s="159">
        <v>44213.0</v>
      </c>
      <c r="AD43" s="152">
        <v>0.0</v>
      </c>
      <c r="AE43" s="153">
        <v>0.0</v>
      </c>
      <c r="AF43" s="154" t="str">
        <f t="shared" si="13"/>
        <v>#DIV/0!</v>
      </c>
      <c r="AG43" s="155">
        <v>0.0</v>
      </c>
      <c r="AH43" s="156" t="str">
        <f t="shared" si="14"/>
        <v>#DIV/0!</v>
      </c>
      <c r="AI43" s="155">
        <v>0.0</v>
      </c>
      <c r="AJ43" s="154" t="str">
        <f t="shared" si="15"/>
        <v>#DIV/0!</v>
      </c>
      <c r="AK43" s="155">
        <v>0.0</v>
      </c>
      <c r="AL43" s="154" t="str">
        <f t="shared" si="16"/>
        <v>#DIV/0!</v>
      </c>
      <c r="AM43" s="157" t="str">
        <f t="shared" si="17"/>
        <v>#DIV/0!</v>
      </c>
      <c r="AN43" s="169"/>
      <c r="AO43" s="164"/>
      <c r="AP43" s="150" t="s">
        <v>127</v>
      </c>
      <c r="AQ43" s="151">
        <v>44213.0</v>
      </c>
      <c r="AR43" s="152">
        <v>0.0</v>
      </c>
      <c r="AS43" s="153">
        <v>0.0</v>
      </c>
      <c r="AT43" s="154" t="str">
        <f t="shared" si="18"/>
        <v>#DIV/0!</v>
      </c>
      <c r="AU43" s="155">
        <v>0.0</v>
      </c>
      <c r="AV43" s="156" t="str">
        <f t="shared" si="19"/>
        <v>#DIV/0!</v>
      </c>
      <c r="AW43" s="155">
        <v>0.0</v>
      </c>
      <c r="AX43" s="154" t="str">
        <f t="shared" si="20"/>
        <v>#DIV/0!</v>
      </c>
      <c r="AY43" s="155">
        <v>0.0</v>
      </c>
      <c r="AZ43" s="154" t="str">
        <f t="shared" si="21"/>
        <v>#DIV/0!</v>
      </c>
      <c r="BA43" s="157" t="str">
        <f t="shared" si="22"/>
        <v>#DIV/0!</v>
      </c>
      <c r="BB43" s="163"/>
      <c r="BC43" s="150" t="s">
        <v>127</v>
      </c>
      <c r="BD43" s="151">
        <v>44213.0</v>
      </c>
      <c r="BE43" s="152">
        <v>0.0</v>
      </c>
      <c r="BF43" s="153">
        <v>0.0</v>
      </c>
      <c r="BG43" s="154" t="str">
        <f t="shared" si="23"/>
        <v>#DIV/0!</v>
      </c>
      <c r="BH43" s="155">
        <v>0.0</v>
      </c>
      <c r="BI43" s="156" t="str">
        <f t="shared" si="24"/>
        <v>#DIV/0!</v>
      </c>
      <c r="BJ43" s="155">
        <v>0.0</v>
      </c>
      <c r="BK43" s="154" t="str">
        <f t="shared" si="25"/>
        <v>#DIV/0!</v>
      </c>
      <c r="BL43" s="155">
        <v>0.0</v>
      </c>
      <c r="BM43" s="154" t="str">
        <f t="shared" si="26"/>
        <v>#DIV/0!</v>
      </c>
      <c r="BN43" s="157" t="str">
        <f t="shared" si="27"/>
        <v>#DIV/0!</v>
      </c>
      <c r="BO43" s="170"/>
    </row>
    <row r="44" ht="15.75" customHeight="1">
      <c r="B44" s="167" t="s">
        <v>144</v>
      </c>
      <c r="E44" s="171">
        <f>SUM(F40*F42)</f>
        <v>0</v>
      </c>
      <c r="G44" s="51"/>
      <c r="H44" s="51"/>
      <c r="I44" s="51"/>
      <c r="J44" s="51"/>
      <c r="K44" s="51"/>
      <c r="L44" s="51"/>
      <c r="M44" s="51"/>
      <c r="N44" s="150" t="s">
        <v>130</v>
      </c>
      <c r="O44" s="151">
        <v>44214.0</v>
      </c>
      <c r="P44" s="152">
        <v>0.0</v>
      </c>
      <c r="Q44" s="153">
        <v>0.0</v>
      </c>
      <c r="R44" s="154" t="str">
        <f t="shared" si="28"/>
        <v>#DIV/0!</v>
      </c>
      <c r="S44" s="155">
        <v>0.0</v>
      </c>
      <c r="T44" s="156" t="str">
        <f t="shared" si="29"/>
        <v>#DIV/0!</v>
      </c>
      <c r="U44" s="155">
        <v>0.0</v>
      </c>
      <c r="V44" s="154" t="str">
        <f t="shared" si="30"/>
        <v>#DIV/0!</v>
      </c>
      <c r="W44" s="155">
        <v>0.0</v>
      </c>
      <c r="X44" s="154" t="str">
        <f t="shared" si="31"/>
        <v>#DIV/0!</v>
      </c>
      <c r="Y44" s="157" t="str">
        <f t="shared" si="32"/>
        <v>#DIV/0!</v>
      </c>
      <c r="Z44" s="157"/>
      <c r="AA44" s="163"/>
      <c r="AB44" s="150" t="s">
        <v>130</v>
      </c>
      <c r="AC44" s="159">
        <v>44214.0</v>
      </c>
      <c r="AD44" s="152">
        <v>0.0</v>
      </c>
      <c r="AE44" s="153">
        <v>0.0</v>
      </c>
      <c r="AF44" s="154" t="str">
        <f t="shared" si="13"/>
        <v>#DIV/0!</v>
      </c>
      <c r="AG44" s="155">
        <v>0.0</v>
      </c>
      <c r="AH44" s="156" t="str">
        <f t="shared" si="14"/>
        <v>#DIV/0!</v>
      </c>
      <c r="AI44" s="155">
        <v>0.0</v>
      </c>
      <c r="AJ44" s="154" t="str">
        <f t="shared" si="15"/>
        <v>#DIV/0!</v>
      </c>
      <c r="AK44" s="155">
        <v>0.0</v>
      </c>
      <c r="AL44" s="154" t="str">
        <f t="shared" si="16"/>
        <v>#DIV/0!</v>
      </c>
      <c r="AM44" s="157" t="str">
        <f t="shared" si="17"/>
        <v>#DIV/0!</v>
      </c>
      <c r="AN44" s="169"/>
      <c r="AO44" s="164"/>
      <c r="AP44" s="150" t="s">
        <v>130</v>
      </c>
      <c r="AQ44" s="151">
        <v>44214.0</v>
      </c>
      <c r="AR44" s="152">
        <v>0.0</v>
      </c>
      <c r="AS44" s="153">
        <v>0.0</v>
      </c>
      <c r="AT44" s="154" t="str">
        <f t="shared" si="18"/>
        <v>#DIV/0!</v>
      </c>
      <c r="AU44" s="155">
        <v>0.0</v>
      </c>
      <c r="AV44" s="156" t="str">
        <f t="shared" si="19"/>
        <v>#DIV/0!</v>
      </c>
      <c r="AW44" s="155">
        <v>0.0</v>
      </c>
      <c r="AX44" s="154" t="str">
        <f t="shared" si="20"/>
        <v>#DIV/0!</v>
      </c>
      <c r="AY44" s="155">
        <v>0.0</v>
      </c>
      <c r="AZ44" s="154" t="str">
        <f t="shared" si="21"/>
        <v>#DIV/0!</v>
      </c>
      <c r="BA44" s="157" t="str">
        <f t="shared" si="22"/>
        <v>#DIV/0!</v>
      </c>
      <c r="BB44" s="163"/>
      <c r="BC44" s="150" t="s">
        <v>130</v>
      </c>
      <c r="BD44" s="151">
        <v>44214.0</v>
      </c>
      <c r="BE44" s="152">
        <v>0.0</v>
      </c>
      <c r="BF44" s="153">
        <v>0.0</v>
      </c>
      <c r="BG44" s="154" t="str">
        <f t="shared" si="23"/>
        <v>#DIV/0!</v>
      </c>
      <c r="BH44" s="155">
        <v>0.0</v>
      </c>
      <c r="BI44" s="156" t="str">
        <f t="shared" si="24"/>
        <v>#DIV/0!</v>
      </c>
      <c r="BJ44" s="155">
        <v>0.0</v>
      </c>
      <c r="BK44" s="154" t="str">
        <f t="shared" si="25"/>
        <v>#DIV/0!</v>
      </c>
      <c r="BL44" s="155">
        <v>0.0</v>
      </c>
      <c r="BM44" s="154" t="str">
        <f t="shared" si="26"/>
        <v>#DIV/0!</v>
      </c>
      <c r="BN44" s="157" t="str">
        <f t="shared" si="27"/>
        <v>#DIV/0!</v>
      </c>
      <c r="BO44" s="170"/>
    </row>
    <row r="45" ht="15.75" customHeight="1">
      <c r="G45" s="51"/>
      <c r="H45" s="51"/>
      <c r="I45" s="51"/>
      <c r="J45" s="51"/>
      <c r="K45" s="51"/>
      <c r="L45" s="51"/>
      <c r="M45" s="51"/>
      <c r="N45" s="150" t="s">
        <v>131</v>
      </c>
      <c r="O45" s="151">
        <v>44215.0</v>
      </c>
      <c r="P45" s="152">
        <v>0.0</v>
      </c>
      <c r="Q45" s="153">
        <v>0.0</v>
      </c>
      <c r="R45" s="154" t="str">
        <f t="shared" si="28"/>
        <v>#DIV/0!</v>
      </c>
      <c r="S45" s="155">
        <v>0.0</v>
      </c>
      <c r="T45" s="156" t="str">
        <f t="shared" si="29"/>
        <v>#DIV/0!</v>
      </c>
      <c r="U45" s="155">
        <v>0.0</v>
      </c>
      <c r="V45" s="154" t="str">
        <f t="shared" si="30"/>
        <v>#DIV/0!</v>
      </c>
      <c r="W45" s="155">
        <v>0.0</v>
      </c>
      <c r="X45" s="154" t="str">
        <f t="shared" si="31"/>
        <v>#DIV/0!</v>
      </c>
      <c r="Y45" s="157" t="str">
        <f t="shared" si="32"/>
        <v>#DIV/0!</v>
      </c>
      <c r="Z45" s="157"/>
      <c r="AA45" s="163"/>
      <c r="AB45" s="150" t="s">
        <v>131</v>
      </c>
      <c r="AC45" s="159">
        <v>44215.0</v>
      </c>
      <c r="AD45" s="152">
        <v>0.0</v>
      </c>
      <c r="AE45" s="153">
        <v>0.0</v>
      </c>
      <c r="AF45" s="154" t="str">
        <f t="shared" si="13"/>
        <v>#DIV/0!</v>
      </c>
      <c r="AG45" s="155">
        <v>0.0</v>
      </c>
      <c r="AH45" s="156" t="str">
        <f t="shared" si="14"/>
        <v>#DIV/0!</v>
      </c>
      <c r="AI45" s="155">
        <v>0.0</v>
      </c>
      <c r="AJ45" s="154" t="str">
        <f t="shared" si="15"/>
        <v>#DIV/0!</v>
      </c>
      <c r="AK45" s="155">
        <v>0.0</v>
      </c>
      <c r="AL45" s="154" t="str">
        <f t="shared" si="16"/>
        <v>#DIV/0!</v>
      </c>
      <c r="AM45" s="157" t="str">
        <f t="shared" si="17"/>
        <v>#DIV/0!</v>
      </c>
      <c r="AN45" s="169"/>
      <c r="AO45" s="164"/>
      <c r="AP45" s="150" t="s">
        <v>131</v>
      </c>
      <c r="AQ45" s="151">
        <v>44215.0</v>
      </c>
      <c r="AR45" s="152">
        <v>0.0</v>
      </c>
      <c r="AS45" s="153">
        <v>0.0</v>
      </c>
      <c r="AT45" s="154" t="str">
        <f t="shared" si="18"/>
        <v>#DIV/0!</v>
      </c>
      <c r="AU45" s="155">
        <v>0.0</v>
      </c>
      <c r="AV45" s="156" t="str">
        <f t="shared" si="19"/>
        <v>#DIV/0!</v>
      </c>
      <c r="AW45" s="155">
        <v>0.0</v>
      </c>
      <c r="AX45" s="154" t="str">
        <f t="shared" si="20"/>
        <v>#DIV/0!</v>
      </c>
      <c r="AY45" s="155">
        <v>0.0</v>
      </c>
      <c r="AZ45" s="154" t="str">
        <f t="shared" si="21"/>
        <v>#DIV/0!</v>
      </c>
      <c r="BA45" s="157" t="str">
        <f t="shared" si="22"/>
        <v>#DIV/0!</v>
      </c>
      <c r="BB45" s="163"/>
      <c r="BC45" s="150" t="s">
        <v>131</v>
      </c>
      <c r="BD45" s="151">
        <v>44215.0</v>
      </c>
      <c r="BE45" s="152">
        <v>0.0</v>
      </c>
      <c r="BF45" s="153">
        <v>0.0</v>
      </c>
      <c r="BG45" s="154" t="str">
        <f t="shared" si="23"/>
        <v>#DIV/0!</v>
      </c>
      <c r="BH45" s="155">
        <v>0.0</v>
      </c>
      <c r="BI45" s="156" t="str">
        <f t="shared" si="24"/>
        <v>#DIV/0!</v>
      </c>
      <c r="BJ45" s="155">
        <v>0.0</v>
      </c>
      <c r="BK45" s="154" t="str">
        <f t="shared" si="25"/>
        <v>#DIV/0!</v>
      </c>
      <c r="BL45" s="155">
        <v>0.0</v>
      </c>
      <c r="BM45" s="154" t="str">
        <f t="shared" si="26"/>
        <v>#DIV/0!</v>
      </c>
      <c r="BN45" s="157" t="str">
        <f t="shared" si="27"/>
        <v>#DIV/0!</v>
      </c>
      <c r="BO45" s="170"/>
    </row>
    <row r="46" ht="15.75" customHeight="1">
      <c r="B46" s="165" t="s">
        <v>145</v>
      </c>
      <c r="E46" s="171">
        <f>SUM(F30-F44)</f>
        <v>0</v>
      </c>
      <c r="G46" s="51"/>
      <c r="H46" s="51"/>
      <c r="I46" s="51"/>
      <c r="J46" s="51"/>
      <c r="K46" s="51"/>
      <c r="L46" s="51"/>
      <c r="M46" s="51"/>
      <c r="N46" s="150" t="s">
        <v>134</v>
      </c>
      <c r="O46" s="151">
        <v>44216.0</v>
      </c>
      <c r="P46" s="152">
        <v>0.0</v>
      </c>
      <c r="Q46" s="153">
        <v>0.0</v>
      </c>
      <c r="R46" s="154" t="str">
        <f t="shared" si="28"/>
        <v>#DIV/0!</v>
      </c>
      <c r="S46" s="155">
        <v>0.0</v>
      </c>
      <c r="T46" s="156" t="str">
        <f t="shared" si="29"/>
        <v>#DIV/0!</v>
      </c>
      <c r="U46" s="155">
        <v>0.0</v>
      </c>
      <c r="V46" s="154" t="str">
        <f t="shared" si="30"/>
        <v>#DIV/0!</v>
      </c>
      <c r="W46" s="155">
        <v>0.0</v>
      </c>
      <c r="X46" s="154" t="str">
        <f t="shared" si="31"/>
        <v>#DIV/0!</v>
      </c>
      <c r="Y46" s="157" t="str">
        <f t="shared" si="32"/>
        <v>#DIV/0!</v>
      </c>
      <c r="Z46" s="157"/>
      <c r="AA46" s="163"/>
      <c r="AB46" s="150" t="s">
        <v>134</v>
      </c>
      <c r="AC46" s="159">
        <v>44216.0</v>
      </c>
      <c r="AD46" s="152">
        <v>0.0</v>
      </c>
      <c r="AE46" s="153">
        <v>0.0</v>
      </c>
      <c r="AF46" s="154" t="str">
        <f t="shared" si="13"/>
        <v>#DIV/0!</v>
      </c>
      <c r="AG46" s="155">
        <v>0.0</v>
      </c>
      <c r="AH46" s="156" t="str">
        <f t="shared" si="14"/>
        <v>#DIV/0!</v>
      </c>
      <c r="AI46" s="155">
        <v>0.0</v>
      </c>
      <c r="AJ46" s="154" t="str">
        <f t="shared" si="15"/>
        <v>#DIV/0!</v>
      </c>
      <c r="AK46" s="155">
        <v>0.0</v>
      </c>
      <c r="AL46" s="154" t="str">
        <f t="shared" si="16"/>
        <v>#DIV/0!</v>
      </c>
      <c r="AM46" s="157" t="str">
        <f t="shared" si="17"/>
        <v>#DIV/0!</v>
      </c>
      <c r="AN46" s="169"/>
      <c r="AO46" s="164"/>
      <c r="AP46" s="150" t="s">
        <v>134</v>
      </c>
      <c r="AQ46" s="151">
        <v>44216.0</v>
      </c>
      <c r="AR46" s="152">
        <v>0.0</v>
      </c>
      <c r="AS46" s="153">
        <v>0.0</v>
      </c>
      <c r="AT46" s="154" t="str">
        <f t="shared" si="18"/>
        <v>#DIV/0!</v>
      </c>
      <c r="AU46" s="155">
        <v>0.0</v>
      </c>
      <c r="AV46" s="156" t="str">
        <f t="shared" si="19"/>
        <v>#DIV/0!</v>
      </c>
      <c r="AW46" s="155">
        <v>0.0</v>
      </c>
      <c r="AX46" s="154" t="str">
        <f t="shared" si="20"/>
        <v>#DIV/0!</v>
      </c>
      <c r="AY46" s="155">
        <v>0.0</v>
      </c>
      <c r="AZ46" s="154" t="str">
        <f t="shared" si="21"/>
        <v>#DIV/0!</v>
      </c>
      <c r="BA46" s="157" t="str">
        <f t="shared" si="22"/>
        <v>#DIV/0!</v>
      </c>
      <c r="BB46" s="163"/>
      <c r="BC46" s="150" t="s">
        <v>134</v>
      </c>
      <c r="BD46" s="151">
        <v>44216.0</v>
      </c>
      <c r="BE46" s="152">
        <v>0.0</v>
      </c>
      <c r="BF46" s="153">
        <v>0.0</v>
      </c>
      <c r="BG46" s="154" t="str">
        <f t="shared" si="23"/>
        <v>#DIV/0!</v>
      </c>
      <c r="BH46" s="155">
        <v>0.0</v>
      </c>
      <c r="BI46" s="156" t="str">
        <f t="shared" si="24"/>
        <v>#DIV/0!</v>
      </c>
      <c r="BJ46" s="155">
        <v>0.0</v>
      </c>
      <c r="BK46" s="154" t="str">
        <f t="shared" si="25"/>
        <v>#DIV/0!</v>
      </c>
      <c r="BL46" s="155">
        <v>0.0</v>
      </c>
      <c r="BM46" s="154" t="str">
        <f t="shared" si="26"/>
        <v>#DIV/0!</v>
      </c>
      <c r="BN46" s="157" t="str">
        <f t="shared" si="27"/>
        <v>#DIV/0!</v>
      </c>
      <c r="BO46" s="170"/>
    </row>
    <row r="47" ht="15.75" customHeight="1">
      <c r="G47" s="51"/>
      <c r="H47" s="51"/>
      <c r="I47" s="51"/>
      <c r="J47" s="51"/>
      <c r="K47" s="51"/>
      <c r="L47" s="51"/>
      <c r="M47" s="51"/>
      <c r="N47" s="150" t="s">
        <v>135</v>
      </c>
      <c r="O47" s="151">
        <v>44217.0</v>
      </c>
      <c r="P47" s="152">
        <v>0.0</v>
      </c>
      <c r="Q47" s="153">
        <v>0.0</v>
      </c>
      <c r="R47" s="154" t="str">
        <f t="shared" si="28"/>
        <v>#DIV/0!</v>
      </c>
      <c r="S47" s="155">
        <v>0.0</v>
      </c>
      <c r="T47" s="156" t="str">
        <f t="shared" si="29"/>
        <v>#DIV/0!</v>
      </c>
      <c r="U47" s="155">
        <v>0.0</v>
      </c>
      <c r="V47" s="154" t="str">
        <f t="shared" si="30"/>
        <v>#DIV/0!</v>
      </c>
      <c r="W47" s="155">
        <v>0.0</v>
      </c>
      <c r="X47" s="154" t="str">
        <f t="shared" si="31"/>
        <v>#DIV/0!</v>
      </c>
      <c r="Y47" s="157" t="str">
        <f t="shared" si="32"/>
        <v>#DIV/0!</v>
      </c>
      <c r="Z47" s="157"/>
      <c r="AA47" s="163"/>
      <c r="AB47" s="150" t="s">
        <v>135</v>
      </c>
      <c r="AC47" s="159">
        <v>44217.0</v>
      </c>
      <c r="AD47" s="152">
        <v>0.0</v>
      </c>
      <c r="AE47" s="153">
        <v>0.0</v>
      </c>
      <c r="AF47" s="154" t="str">
        <f t="shared" si="13"/>
        <v>#DIV/0!</v>
      </c>
      <c r="AG47" s="155">
        <v>0.0</v>
      </c>
      <c r="AH47" s="156" t="str">
        <f t="shared" si="14"/>
        <v>#DIV/0!</v>
      </c>
      <c r="AI47" s="155">
        <v>0.0</v>
      </c>
      <c r="AJ47" s="154" t="str">
        <f t="shared" si="15"/>
        <v>#DIV/0!</v>
      </c>
      <c r="AK47" s="155">
        <v>0.0</v>
      </c>
      <c r="AL47" s="154" t="str">
        <f t="shared" si="16"/>
        <v>#DIV/0!</v>
      </c>
      <c r="AM47" s="157" t="str">
        <f t="shared" si="17"/>
        <v>#DIV/0!</v>
      </c>
      <c r="AN47" s="169"/>
      <c r="AO47" s="164"/>
      <c r="AP47" s="150" t="s">
        <v>135</v>
      </c>
      <c r="AQ47" s="151">
        <v>44217.0</v>
      </c>
      <c r="AR47" s="152">
        <v>0.0</v>
      </c>
      <c r="AS47" s="153">
        <v>0.0</v>
      </c>
      <c r="AT47" s="154" t="str">
        <f t="shared" si="18"/>
        <v>#DIV/0!</v>
      </c>
      <c r="AU47" s="155">
        <v>0.0</v>
      </c>
      <c r="AV47" s="156" t="str">
        <f t="shared" si="19"/>
        <v>#DIV/0!</v>
      </c>
      <c r="AW47" s="155">
        <v>0.0</v>
      </c>
      <c r="AX47" s="154" t="str">
        <f t="shared" si="20"/>
        <v>#DIV/0!</v>
      </c>
      <c r="AY47" s="155">
        <v>0.0</v>
      </c>
      <c r="AZ47" s="154" t="str">
        <f t="shared" si="21"/>
        <v>#DIV/0!</v>
      </c>
      <c r="BA47" s="157" t="str">
        <f t="shared" si="22"/>
        <v>#DIV/0!</v>
      </c>
      <c r="BB47" s="163"/>
      <c r="BC47" s="150" t="s">
        <v>135</v>
      </c>
      <c r="BD47" s="151">
        <v>44217.0</v>
      </c>
      <c r="BE47" s="152">
        <v>0.0</v>
      </c>
      <c r="BF47" s="153">
        <v>0.0</v>
      </c>
      <c r="BG47" s="154" t="str">
        <f t="shared" si="23"/>
        <v>#DIV/0!</v>
      </c>
      <c r="BH47" s="155">
        <v>0.0</v>
      </c>
      <c r="BI47" s="156" t="str">
        <f t="shared" si="24"/>
        <v>#DIV/0!</v>
      </c>
      <c r="BJ47" s="155">
        <v>0.0</v>
      </c>
      <c r="BK47" s="154" t="str">
        <f t="shared" si="25"/>
        <v>#DIV/0!</v>
      </c>
      <c r="BL47" s="155">
        <v>0.0</v>
      </c>
      <c r="BM47" s="154" t="str">
        <f t="shared" si="26"/>
        <v>#DIV/0!</v>
      </c>
      <c r="BN47" s="157" t="str">
        <f t="shared" si="27"/>
        <v>#DIV/0!</v>
      </c>
      <c r="BO47" s="170"/>
    </row>
    <row r="48" ht="15.75" customHeight="1">
      <c r="B48" s="167" t="s">
        <v>146</v>
      </c>
      <c r="E48" s="166">
        <v>30.0</v>
      </c>
      <c r="G48" s="51"/>
      <c r="H48" s="51"/>
      <c r="I48" s="51"/>
      <c r="J48" s="51"/>
      <c r="K48" s="51"/>
      <c r="L48" s="51"/>
      <c r="M48" s="51"/>
      <c r="N48" s="150" t="s">
        <v>123</v>
      </c>
      <c r="O48" s="151">
        <v>44218.0</v>
      </c>
      <c r="P48" s="152">
        <v>0.0</v>
      </c>
      <c r="Q48" s="153">
        <v>0.0</v>
      </c>
      <c r="R48" s="154" t="str">
        <f t="shared" si="28"/>
        <v>#DIV/0!</v>
      </c>
      <c r="S48" s="155">
        <v>0.0</v>
      </c>
      <c r="T48" s="156" t="str">
        <f t="shared" si="29"/>
        <v>#DIV/0!</v>
      </c>
      <c r="U48" s="155">
        <v>0.0</v>
      </c>
      <c r="V48" s="154" t="str">
        <f t="shared" si="30"/>
        <v>#DIV/0!</v>
      </c>
      <c r="W48" s="155">
        <v>0.0</v>
      </c>
      <c r="X48" s="154" t="str">
        <f t="shared" si="31"/>
        <v>#DIV/0!</v>
      </c>
      <c r="Y48" s="157" t="str">
        <f t="shared" si="32"/>
        <v>#DIV/0!</v>
      </c>
      <c r="Z48" s="157"/>
      <c r="AA48" s="163"/>
      <c r="AB48" s="150" t="s">
        <v>123</v>
      </c>
      <c r="AC48" s="159">
        <v>44218.0</v>
      </c>
      <c r="AD48" s="152">
        <v>0.0</v>
      </c>
      <c r="AE48" s="153">
        <v>0.0</v>
      </c>
      <c r="AF48" s="154" t="str">
        <f t="shared" si="13"/>
        <v>#DIV/0!</v>
      </c>
      <c r="AG48" s="155">
        <v>0.0</v>
      </c>
      <c r="AH48" s="156" t="str">
        <f t="shared" si="14"/>
        <v>#DIV/0!</v>
      </c>
      <c r="AI48" s="155">
        <v>0.0</v>
      </c>
      <c r="AJ48" s="154" t="str">
        <f t="shared" si="15"/>
        <v>#DIV/0!</v>
      </c>
      <c r="AK48" s="155">
        <v>0.0</v>
      </c>
      <c r="AL48" s="154" t="str">
        <f t="shared" si="16"/>
        <v>#DIV/0!</v>
      </c>
      <c r="AM48" s="157" t="str">
        <f t="shared" si="17"/>
        <v>#DIV/0!</v>
      </c>
      <c r="AN48" s="169"/>
      <c r="AO48" s="164"/>
      <c r="AP48" s="150" t="s">
        <v>123</v>
      </c>
      <c r="AQ48" s="151">
        <v>44218.0</v>
      </c>
      <c r="AR48" s="152">
        <v>0.0</v>
      </c>
      <c r="AS48" s="153">
        <v>0.0</v>
      </c>
      <c r="AT48" s="154" t="str">
        <f t="shared" si="18"/>
        <v>#DIV/0!</v>
      </c>
      <c r="AU48" s="155">
        <v>0.0</v>
      </c>
      <c r="AV48" s="156" t="str">
        <f t="shared" si="19"/>
        <v>#DIV/0!</v>
      </c>
      <c r="AW48" s="155">
        <v>0.0</v>
      </c>
      <c r="AX48" s="154" t="str">
        <f t="shared" si="20"/>
        <v>#DIV/0!</v>
      </c>
      <c r="AY48" s="155">
        <v>0.0</v>
      </c>
      <c r="AZ48" s="154" t="str">
        <f t="shared" si="21"/>
        <v>#DIV/0!</v>
      </c>
      <c r="BA48" s="157" t="str">
        <f t="shared" si="22"/>
        <v>#DIV/0!</v>
      </c>
      <c r="BB48" s="163"/>
      <c r="BC48" s="150" t="s">
        <v>123</v>
      </c>
      <c r="BD48" s="151">
        <v>44218.0</v>
      </c>
      <c r="BE48" s="152">
        <v>0.0</v>
      </c>
      <c r="BF48" s="153">
        <v>0.0</v>
      </c>
      <c r="BG48" s="154" t="str">
        <f t="shared" si="23"/>
        <v>#DIV/0!</v>
      </c>
      <c r="BH48" s="155">
        <v>0.0</v>
      </c>
      <c r="BI48" s="156" t="str">
        <f t="shared" si="24"/>
        <v>#DIV/0!</v>
      </c>
      <c r="BJ48" s="155">
        <v>0.0</v>
      </c>
      <c r="BK48" s="154" t="str">
        <f t="shared" si="25"/>
        <v>#DIV/0!</v>
      </c>
      <c r="BL48" s="155">
        <v>0.0</v>
      </c>
      <c r="BM48" s="154" t="str">
        <f t="shared" si="26"/>
        <v>#DIV/0!</v>
      </c>
      <c r="BN48" s="157" t="str">
        <f t="shared" si="27"/>
        <v>#DIV/0!</v>
      </c>
      <c r="BO48" s="170"/>
    </row>
    <row r="49" ht="15.75" customHeight="1">
      <c r="G49" s="51"/>
      <c r="H49" s="51"/>
      <c r="I49" s="51"/>
      <c r="J49" s="51"/>
      <c r="K49" s="51"/>
      <c r="L49" s="51"/>
      <c r="M49" s="51"/>
      <c r="N49" s="150" t="s">
        <v>126</v>
      </c>
      <c r="O49" s="151">
        <v>44219.0</v>
      </c>
      <c r="P49" s="152">
        <v>0.0</v>
      </c>
      <c r="Q49" s="153">
        <v>0.0</v>
      </c>
      <c r="R49" s="154" t="str">
        <f t="shared" si="28"/>
        <v>#DIV/0!</v>
      </c>
      <c r="S49" s="155">
        <v>0.0</v>
      </c>
      <c r="T49" s="156" t="str">
        <f t="shared" si="29"/>
        <v>#DIV/0!</v>
      </c>
      <c r="U49" s="155">
        <v>0.0</v>
      </c>
      <c r="V49" s="154" t="str">
        <f t="shared" si="30"/>
        <v>#DIV/0!</v>
      </c>
      <c r="W49" s="155">
        <v>0.0</v>
      </c>
      <c r="X49" s="154" t="str">
        <f t="shared" si="31"/>
        <v>#DIV/0!</v>
      </c>
      <c r="Y49" s="157" t="str">
        <f t="shared" si="32"/>
        <v>#DIV/0!</v>
      </c>
      <c r="Z49" s="157"/>
      <c r="AA49" s="163"/>
      <c r="AB49" s="150" t="s">
        <v>126</v>
      </c>
      <c r="AC49" s="159">
        <v>44219.0</v>
      </c>
      <c r="AD49" s="152">
        <v>0.0</v>
      </c>
      <c r="AE49" s="153">
        <v>0.0</v>
      </c>
      <c r="AF49" s="154" t="str">
        <f t="shared" si="13"/>
        <v>#DIV/0!</v>
      </c>
      <c r="AG49" s="155">
        <v>0.0</v>
      </c>
      <c r="AH49" s="156" t="str">
        <f t="shared" si="14"/>
        <v>#DIV/0!</v>
      </c>
      <c r="AI49" s="155">
        <v>0.0</v>
      </c>
      <c r="AJ49" s="154" t="str">
        <f t="shared" si="15"/>
        <v>#DIV/0!</v>
      </c>
      <c r="AK49" s="155">
        <v>0.0</v>
      </c>
      <c r="AL49" s="154" t="str">
        <f t="shared" si="16"/>
        <v>#DIV/0!</v>
      </c>
      <c r="AM49" s="157" t="str">
        <f t="shared" si="17"/>
        <v>#DIV/0!</v>
      </c>
      <c r="AN49" s="169"/>
      <c r="AO49" s="164"/>
      <c r="AP49" s="150" t="s">
        <v>126</v>
      </c>
      <c r="AQ49" s="151">
        <v>44219.0</v>
      </c>
      <c r="AR49" s="152">
        <v>0.0</v>
      </c>
      <c r="AS49" s="153">
        <v>0.0</v>
      </c>
      <c r="AT49" s="154" t="str">
        <f t="shared" si="18"/>
        <v>#DIV/0!</v>
      </c>
      <c r="AU49" s="155">
        <v>0.0</v>
      </c>
      <c r="AV49" s="156" t="str">
        <f t="shared" si="19"/>
        <v>#DIV/0!</v>
      </c>
      <c r="AW49" s="155">
        <v>0.0</v>
      </c>
      <c r="AX49" s="154" t="str">
        <f t="shared" si="20"/>
        <v>#DIV/0!</v>
      </c>
      <c r="AY49" s="155">
        <v>0.0</v>
      </c>
      <c r="AZ49" s="154" t="str">
        <f t="shared" si="21"/>
        <v>#DIV/0!</v>
      </c>
      <c r="BA49" s="157" t="str">
        <f t="shared" si="22"/>
        <v>#DIV/0!</v>
      </c>
      <c r="BB49" s="163"/>
      <c r="BC49" s="150" t="s">
        <v>126</v>
      </c>
      <c r="BD49" s="151">
        <v>44219.0</v>
      </c>
      <c r="BE49" s="152">
        <v>0.0</v>
      </c>
      <c r="BF49" s="153">
        <v>0.0</v>
      </c>
      <c r="BG49" s="154" t="str">
        <f t="shared" si="23"/>
        <v>#DIV/0!</v>
      </c>
      <c r="BH49" s="155">
        <v>0.0</v>
      </c>
      <c r="BI49" s="156" t="str">
        <f t="shared" si="24"/>
        <v>#DIV/0!</v>
      </c>
      <c r="BJ49" s="155">
        <v>0.0</v>
      </c>
      <c r="BK49" s="154" t="str">
        <f t="shared" si="25"/>
        <v>#DIV/0!</v>
      </c>
      <c r="BL49" s="155">
        <v>0.0</v>
      </c>
      <c r="BM49" s="154" t="str">
        <f t="shared" si="26"/>
        <v>#DIV/0!</v>
      </c>
      <c r="BN49" s="157" t="str">
        <f t="shared" si="27"/>
        <v>#DIV/0!</v>
      </c>
      <c r="BO49" s="170"/>
    </row>
    <row r="50" ht="15.75" customHeight="1">
      <c r="B50" s="165" t="s">
        <v>147</v>
      </c>
      <c r="E50" s="171" t="str">
        <f>SUM(F44/F48)-F54</f>
        <v>#DIV/0!</v>
      </c>
      <c r="G50" s="51"/>
      <c r="H50" s="51"/>
      <c r="I50" s="51"/>
      <c r="J50" s="51"/>
      <c r="K50" s="51"/>
      <c r="L50" s="51"/>
      <c r="M50" s="51"/>
      <c r="N50" s="150" t="s">
        <v>127</v>
      </c>
      <c r="O50" s="151">
        <v>44220.0</v>
      </c>
      <c r="P50" s="152">
        <v>0.0</v>
      </c>
      <c r="Q50" s="153">
        <v>0.0</v>
      </c>
      <c r="R50" s="154" t="str">
        <f t="shared" si="28"/>
        <v>#DIV/0!</v>
      </c>
      <c r="S50" s="155">
        <v>0.0</v>
      </c>
      <c r="T50" s="156" t="str">
        <f t="shared" si="29"/>
        <v>#DIV/0!</v>
      </c>
      <c r="U50" s="155">
        <v>0.0</v>
      </c>
      <c r="V50" s="154" t="str">
        <f t="shared" si="30"/>
        <v>#DIV/0!</v>
      </c>
      <c r="W50" s="155">
        <v>0.0</v>
      </c>
      <c r="X50" s="154" t="str">
        <f t="shared" si="31"/>
        <v>#DIV/0!</v>
      </c>
      <c r="Y50" s="157" t="str">
        <f t="shared" si="32"/>
        <v>#DIV/0!</v>
      </c>
      <c r="Z50" s="157"/>
      <c r="AA50" s="163"/>
      <c r="AB50" s="150" t="s">
        <v>127</v>
      </c>
      <c r="AC50" s="159">
        <v>44220.0</v>
      </c>
      <c r="AD50" s="152">
        <v>0.0</v>
      </c>
      <c r="AE50" s="153">
        <v>0.0</v>
      </c>
      <c r="AF50" s="154" t="str">
        <f t="shared" si="13"/>
        <v>#DIV/0!</v>
      </c>
      <c r="AG50" s="155">
        <v>0.0</v>
      </c>
      <c r="AH50" s="156" t="str">
        <f t="shared" si="14"/>
        <v>#DIV/0!</v>
      </c>
      <c r="AI50" s="155">
        <v>0.0</v>
      </c>
      <c r="AJ50" s="154" t="str">
        <f t="shared" si="15"/>
        <v>#DIV/0!</v>
      </c>
      <c r="AK50" s="155">
        <v>0.0</v>
      </c>
      <c r="AL50" s="154" t="str">
        <f t="shared" si="16"/>
        <v>#DIV/0!</v>
      </c>
      <c r="AM50" s="157" t="str">
        <f t="shared" si="17"/>
        <v>#DIV/0!</v>
      </c>
      <c r="AN50" s="169"/>
      <c r="AO50" s="164"/>
      <c r="AP50" s="150" t="s">
        <v>127</v>
      </c>
      <c r="AQ50" s="151">
        <v>44220.0</v>
      </c>
      <c r="AR50" s="152">
        <v>0.0</v>
      </c>
      <c r="AS50" s="153">
        <v>0.0</v>
      </c>
      <c r="AT50" s="154" t="str">
        <f t="shared" si="18"/>
        <v>#DIV/0!</v>
      </c>
      <c r="AU50" s="155">
        <v>0.0</v>
      </c>
      <c r="AV50" s="156" t="str">
        <f t="shared" si="19"/>
        <v>#DIV/0!</v>
      </c>
      <c r="AW50" s="155">
        <v>0.0</v>
      </c>
      <c r="AX50" s="154" t="str">
        <f t="shared" si="20"/>
        <v>#DIV/0!</v>
      </c>
      <c r="AY50" s="155">
        <v>0.0</v>
      </c>
      <c r="AZ50" s="154" t="str">
        <f t="shared" si="21"/>
        <v>#DIV/0!</v>
      </c>
      <c r="BA50" s="157" t="str">
        <f t="shared" si="22"/>
        <v>#DIV/0!</v>
      </c>
      <c r="BB50" s="163"/>
      <c r="BC50" s="150" t="s">
        <v>127</v>
      </c>
      <c r="BD50" s="151">
        <v>44220.0</v>
      </c>
      <c r="BE50" s="152">
        <v>0.0</v>
      </c>
      <c r="BF50" s="153">
        <v>0.0</v>
      </c>
      <c r="BG50" s="154" t="str">
        <f t="shared" si="23"/>
        <v>#DIV/0!</v>
      </c>
      <c r="BH50" s="155">
        <v>0.0</v>
      </c>
      <c r="BI50" s="156" t="str">
        <f t="shared" si="24"/>
        <v>#DIV/0!</v>
      </c>
      <c r="BJ50" s="155">
        <v>0.0</v>
      </c>
      <c r="BK50" s="154" t="str">
        <f t="shared" si="25"/>
        <v>#DIV/0!</v>
      </c>
      <c r="BL50" s="155">
        <v>0.0</v>
      </c>
      <c r="BM50" s="154" t="str">
        <f t="shared" si="26"/>
        <v>#DIV/0!</v>
      </c>
      <c r="BN50" s="157" t="str">
        <f t="shared" si="27"/>
        <v>#DIV/0!</v>
      </c>
      <c r="BO50" s="170"/>
    </row>
    <row r="51" ht="15.75" customHeight="1">
      <c r="G51" s="51"/>
      <c r="H51" s="51"/>
      <c r="I51" s="51"/>
      <c r="J51" s="51"/>
      <c r="K51" s="51"/>
      <c r="L51" s="51"/>
      <c r="M51" s="51"/>
      <c r="N51" s="150" t="s">
        <v>130</v>
      </c>
      <c r="O51" s="151">
        <v>44221.0</v>
      </c>
      <c r="P51" s="152">
        <v>0.0</v>
      </c>
      <c r="Q51" s="153">
        <v>0.0</v>
      </c>
      <c r="R51" s="154" t="str">
        <f t="shared" si="28"/>
        <v>#DIV/0!</v>
      </c>
      <c r="S51" s="155">
        <v>0.0</v>
      </c>
      <c r="T51" s="156" t="str">
        <f t="shared" si="29"/>
        <v>#DIV/0!</v>
      </c>
      <c r="U51" s="155">
        <v>0.0</v>
      </c>
      <c r="V51" s="154" t="str">
        <f t="shared" si="30"/>
        <v>#DIV/0!</v>
      </c>
      <c r="W51" s="155">
        <v>0.0</v>
      </c>
      <c r="X51" s="154" t="str">
        <f t="shared" si="31"/>
        <v>#DIV/0!</v>
      </c>
      <c r="Y51" s="157" t="str">
        <f t="shared" si="32"/>
        <v>#DIV/0!</v>
      </c>
      <c r="Z51" s="157"/>
      <c r="AA51" s="163"/>
      <c r="AB51" s="150" t="s">
        <v>130</v>
      </c>
      <c r="AC51" s="159">
        <v>44221.0</v>
      </c>
      <c r="AD51" s="152">
        <v>0.0</v>
      </c>
      <c r="AE51" s="153">
        <v>0.0</v>
      </c>
      <c r="AF51" s="154" t="str">
        <f t="shared" si="13"/>
        <v>#DIV/0!</v>
      </c>
      <c r="AG51" s="155">
        <v>0.0</v>
      </c>
      <c r="AH51" s="156" t="str">
        <f t="shared" si="14"/>
        <v>#DIV/0!</v>
      </c>
      <c r="AI51" s="155">
        <v>0.0</v>
      </c>
      <c r="AJ51" s="154" t="str">
        <f t="shared" si="15"/>
        <v>#DIV/0!</v>
      </c>
      <c r="AK51" s="155">
        <v>0.0</v>
      </c>
      <c r="AL51" s="154" t="str">
        <f t="shared" si="16"/>
        <v>#DIV/0!</v>
      </c>
      <c r="AM51" s="157" t="str">
        <f t="shared" si="17"/>
        <v>#DIV/0!</v>
      </c>
      <c r="AN51" s="169"/>
      <c r="AO51" s="164"/>
      <c r="AP51" s="150" t="s">
        <v>130</v>
      </c>
      <c r="AQ51" s="151">
        <v>44221.0</v>
      </c>
      <c r="AR51" s="152">
        <v>0.0</v>
      </c>
      <c r="AS51" s="153">
        <v>0.0</v>
      </c>
      <c r="AT51" s="154" t="str">
        <f t="shared" si="18"/>
        <v>#DIV/0!</v>
      </c>
      <c r="AU51" s="155">
        <v>0.0</v>
      </c>
      <c r="AV51" s="156" t="str">
        <f t="shared" si="19"/>
        <v>#DIV/0!</v>
      </c>
      <c r="AW51" s="155">
        <v>0.0</v>
      </c>
      <c r="AX51" s="154" t="str">
        <f t="shared" si="20"/>
        <v>#DIV/0!</v>
      </c>
      <c r="AY51" s="155">
        <v>0.0</v>
      </c>
      <c r="AZ51" s="154" t="str">
        <f t="shared" si="21"/>
        <v>#DIV/0!</v>
      </c>
      <c r="BA51" s="157" t="str">
        <f t="shared" si="22"/>
        <v>#DIV/0!</v>
      </c>
      <c r="BB51" s="163"/>
      <c r="BC51" s="150" t="s">
        <v>130</v>
      </c>
      <c r="BD51" s="151">
        <v>44221.0</v>
      </c>
      <c r="BE51" s="152">
        <v>0.0</v>
      </c>
      <c r="BF51" s="153">
        <v>0.0</v>
      </c>
      <c r="BG51" s="154" t="str">
        <f t="shared" si="23"/>
        <v>#DIV/0!</v>
      </c>
      <c r="BH51" s="155">
        <v>0.0</v>
      </c>
      <c r="BI51" s="156" t="str">
        <f t="shared" si="24"/>
        <v>#DIV/0!</v>
      </c>
      <c r="BJ51" s="155">
        <v>0.0</v>
      </c>
      <c r="BK51" s="154" t="str">
        <f t="shared" si="25"/>
        <v>#DIV/0!</v>
      </c>
      <c r="BL51" s="155">
        <v>0.0</v>
      </c>
      <c r="BM51" s="154" t="str">
        <f t="shared" si="26"/>
        <v>#DIV/0!</v>
      </c>
      <c r="BN51" s="157" t="str">
        <f t="shared" si="27"/>
        <v>#DIV/0!</v>
      </c>
      <c r="BO51" s="170"/>
    </row>
    <row r="52" ht="15.75" customHeight="1">
      <c r="B52" s="167" t="s">
        <v>148</v>
      </c>
      <c r="E52" s="175" t="str">
        <f>SUM(F42/F48)</f>
        <v>#DIV/0!</v>
      </c>
      <c r="G52" s="51"/>
      <c r="H52" s="51"/>
      <c r="I52" s="51"/>
      <c r="J52" s="51"/>
      <c r="K52" s="51"/>
      <c r="L52" s="51"/>
      <c r="M52" s="51"/>
      <c r="N52" s="150" t="s">
        <v>131</v>
      </c>
      <c r="O52" s="151">
        <v>44222.0</v>
      </c>
      <c r="P52" s="152">
        <v>0.0</v>
      </c>
      <c r="Q52" s="153">
        <v>0.0</v>
      </c>
      <c r="R52" s="154" t="str">
        <f t="shared" si="28"/>
        <v>#DIV/0!</v>
      </c>
      <c r="S52" s="155">
        <v>0.0</v>
      </c>
      <c r="T52" s="156" t="str">
        <f t="shared" si="29"/>
        <v>#DIV/0!</v>
      </c>
      <c r="U52" s="155">
        <v>0.0</v>
      </c>
      <c r="V52" s="154" t="str">
        <f t="shared" si="30"/>
        <v>#DIV/0!</v>
      </c>
      <c r="W52" s="155">
        <v>0.0</v>
      </c>
      <c r="X52" s="154" t="str">
        <f t="shared" si="31"/>
        <v>#DIV/0!</v>
      </c>
      <c r="Y52" s="157" t="str">
        <f t="shared" si="32"/>
        <v>#DIV/0!</v>
      </c>
      <c r="Z52" s="157"/>
      <c r="AA52" s="163"/>
      <c r="AB52" s="150" t="s">
        <v>131</v>
      </c>
      <c r="AC52" s="159">
        <v>44222.0</v>
      </c>
      <c r="AD52" s="152">
        <v>0.0</v>
      </c>
      <c r="AE52" s="153">
        <v>0.0</v>
      </c>
      <c r="AF52" s="154" t="str">
        <f t="shared" si="13"/>
        <v>#DIV/0!</v>
      </c>
      <c r="AG52" s="155">
        <v>0.0</v>
      </c>
      <c r="AH52" s="156" t="str">
        <f t="shared" si="14"/>
        <v>#DIV/0!</v>
      </c>
      <c r="AI52" s="155">
        <v>0.0</v>
      </c>
      <c r="AJ52" s="154" t="str">
        <f t="shared" si="15"/>
        <v>#DIV/0!</v>
      </c>
      <c r="AK52" s="155">
        <v>0.0</v>
      </c>
      <c r="AL52" s="154" t="str">
        <f t="shared" si="16"/>
        <v>#DIV/0!</v>
      </c>
      <c r="AM52" s="157" t="str">
        <f t="shared" si="17"/>
        <v>#DIV/0!</v>
      </c>
      <c r="AN52" s="169"/>
      <c r="AO52" s="164"/>
      <c r="AP52" s="150" t="s">
        <v>131</v>
      </c>
      <c r="AQ52" s="151">
        <v>44222.0</v>
      </c>
      <c r="AR52" s="152">
        <v>0.0</v>
      </c>
      <c r="AS52" s="153">
        <v>0.0</v>
      </c>
      <c r="AT52" s="154" t="str">
        <f t="shared" si="18"/>
        <v>#DIV/0!</v>
      </c>
      <c r="AU52" s="155">
        <v>0.0</v>
      </c>
      <c r="AV52" s="156" t="str">
        <f t="shared" si="19"/>
        <v>#DIV/0!</v>
      </c>
      <c r="AW52" s="155">
        <v>0.0</v>
      </c>
      <c r="AX52" s="154" t="str">
        <f t="shared" si="20"/>
        <v>#DIV/0!</v>
      </c>
      <c r="AY52" s="155">
        <v>0.0</v>
      </c>
      <c r="AZ52" s="154" t="str">
        <f t="shared" si="21"/>
        <v>#DIV/0!</v>
      </c>
      <c r="BA52" s="157" t="str">
        <f t="shared" si="22"/>
        <v>#DIV/0!</v>
      </c>
      <c r="BB52" s="163"/>
      <c r="BC52" s="150" t="s">
        <v>131</v>
      </c>
      <c r="BD52" s="151">
        <v>44222.0</v>
      </c>
      <c r="BE52" s="152">
        <v>0.0</v>
      </c>
      <c r="BF52" s="153">
        <v>0.0</v>
      </c>
      <c r="BG52" s="154" t="str">
        <f t="shared" si="23"/>
        <v>#DIV/0!</v>
      </c>
      <c r="BH52" s="155">
        <v>0.0</v>
      </c>
      <c r="BI52" s="156" t="str">
        <f t="shared" si="24"/>
        <v>#DIV/0!</v>
      </c>
      <c r="BJ52" s="155">
        <v>0.0</v>
      </c>
      <c r="BK52" s="154" t="str">
        <f t="shared" si="25"/>
        <v>#DIV/0!</v>
      </c>
      <c r="BL52" s="155">
        <v>0.0</v>
      </c>
      <c r="BM52" s="154" t="str">
        <f t="shared" si="26"/>
        <v>#DIV/0!</v>
      </c>
      <c r="BN52" s="157" t="str">
        <f t="shared" si="27"/>
        <v>#DIV/0!</v>
      </c>
      <c r="BO52" s="170"/>
    </row>
    <row r="53" ht="15.75" customHeight="1">
      <c r="G53" s="51"/>
      <c r="H53" s="51"/>
      <c r="I53" s="51"/>
      <c r="J53" s="51"/>
      <c r="K53" s="51"/>
      <c r="L53" s="51"/>
      <c r="M53" s="51"/>
      <c r="N53" s="150" t="s">
        <v>134</v>
      </c>
      <c r="O53" s="151">
        <v>44223.0</v>
      </c>
      <c r="P53" s="152">
        <v>0.0</v>
      </c>
      <c r="Q53" s="153">
        <v>0.0</v>
      </c>
      <c r="R53" s="154" t="str">
        <f t="shared" si="28"/>
        <v>#DIV/0!</v>
      </c>
      <c r="S53" s="155">
        <v>0.0</v>
      </c>
      <c r="T53" s="156" t="str">
        <f t="shared" si="29"/>
        <v>#DIV/0!</v>
      </c>
      <c r="U53" s="155">
        <v>0.0</v>
      </c>
      <c r="V53" s="154" t="str">
        <f t="shared" si="30"/>
        <v>#DIV/0!</v>
      </c>
      <c r="W53" s="155">
        <v>0.0</v>
      </c>
      <c r="X53" s="154" t="str">
        <f t="shared" si="31"/>
        <v>#DIV/0!</v>
      </c>
      <c r="Y53" s="157" t="str">
        <f t="shared" si="32"/>
        <v>#DIV/0!</v>
      </c>
      <c r="Z53" s="157"/>
      <c r="AA53" s="163"/>
      <c r="AB53" s="150" t="s">
        <v>134</v>
      </c>
      <c r="AC53" s="159">
        <v>44223.0</v>
      </c>
      <c r="AD53" s="152">
        <v>0.0</v>
      </c>
      <c r="AE53" s="153">
        <v>0.0</v>
      </c>
      <c r="AF53" s="154" t="str">
        <f t="shared" si="13"/>
        <v>#DIV/0!</v>
      </c>
      <c r="AG53" s="155">
        <v>0.0</v>
      </c>
      <c r="AH53" s="156" t="str">
        <f t="shared" si="14"/>
        <v>#DIV/0!</v>
      </c>
      <c r="AI53" s="155">
        <v>0.0</v>
      </c>
      <c r="AJ53" s="154" t="str">
        <f t="shared" si="15"/>
        <v>#DIV/0!</v>
      </c>
      <c r="AK53" s="155">
        <v>0.0</v>
      </c>
      <c r="AL53" s="154" t="str">
        <f t="shared" si="16"/>
        <v>#DIV/0!</v>
      </c>
      <c r="AM53" s="157" t="str">
        <f t="shared" si="17"/>
        <v>#DIV/0!</v>
      </c>
      <c r="AN53" s="169"/>
      <c r="AO53" s="164"/>
      <c r="AP53" s="150" t="s">
        <v>134</v>
      </c>
      <c r="AQ53" s="151">
        <v>44223.0</v>
      </c>
      <c r="AR53" s="152">
        <v>0.0</v>
      </c>
      <c r="AS53" s="153">
        <v>0.0</v>
      </c>
      <c r="AT53" s="154" t="str">
        <f t="shared" si="18"/>
        <v>#DIV/0!</v>
      </c>
      <c r="AU53" s="155">
        <v>0.0</v>
      </c>
      <c r="AV53" s="156" t="str">
        <f t="shared" si="19"/>
        <v>#DIV/0!</v>
      </c>
      <c r="AW53" s="155">
        <v>0.0</v>
      </c>
      <c r="AX53" s="154" t="str">
        <f t="shared" si="20"/>
        <v>#DIV/0!</v>
      </c>
      <c r="AY53" s="155">
        <v>0.0</v>
      </c>
      <c r="AZ53" s="154" t="str">
        <f t="shared" si="21"/>
        <v>#DIV/0!</v>
      </c>
      <c r="BA53" s="157" t="str">
        <f t="shared" si="22"/>
        <v>#DIV/0!</v>
      </c>
      <c r="BB53" s="163"/>
      <c r="BC53" s="150" t="s">
        <v>134</v>
      </c>
      <c r="BD53" s="151">
        <v>44223.0</v>
      </c>
      <c r="BE53" s="152">
        <v>0.0</v>
      </c>
      <c r="BF53" s="153">
        <v>0.0</v>
      </c>
      <c r="BG53" s="154" t="str">
        <f t="shared" si="23"/>
        <v>#DIV/0!</v>
      </c>
      <c r="BH53" s="155">
        <v>0.0</v>
      </c>
      <c r="BI53" s="156" t="str">
        <f t="shared" si="24"/>
        <v>#DIV/0!</v>
      </c>
      <c r="BJ53" s="155">
        <v>0.0</v>
      </c>
      <c r="BK53" s="154" t="str">
        <f t="shared" si="25"/>
        <v>#DIV/0!</v>
      </c>
      <c r="BL53" s="155">
        <v>0.0</v>
      </c>
      <c r="BM53" s="154" t="str">
        <f t="shared" si="26"/>
        <v>#DIV/0!</v>
      </c>
      <c r="BN53" s="157" t="str">
        <f t="shared" si="27"/>
        <v>#DIV/0!</v>
      </c>
      <c r="BO53" s="170"/>
    </row>
    <row r="54" ht="15.75" customHeight="1">
      <c r="B54" s="167" t="s">
        <v>149</v>
      </c>
      <c r="E54" s="82">
        <f>(F44*10%)/30</f>
        <v>0</v>
      </c>
      <c r="G54" s="51"/>
      <c r="H54" s="51"/>
      <c r="I54" s="51"/>
      <c r="J54" s="51"/>
      <c r="K54" s="51"/>
      <c r="L54" s="51"/>
      <c r="M54" s="51"/>
      <c r="N54" s="150" t="s">
        <v>135</v>
      </c>
      <c r="O54" s="151">
        <v>44224.0</v>
      </c>
      <c r="P54" s="152">
        <v>0.0</v>
      </c>
      <c r="Q54" s="153">
        <v>0.0</v>
      </c>
      <c r="R54" s="154" t="str">
        <f t="shared" si="28"/>
        <v>#DIV/0!</v>
      </c>
      <c r="S54" s="155">
        <v>0.0</v>
      </c>
      <c r="T54" s="156" t="str">
        <f t="shared" si="29"/>
        <v>#DIV/0!</v>
      </c>
      <c r="U54" s="155">
        <v>0.0</v>
      </c>
      <c r="V54" s="154" t="str">
        <f t="shared" si="30"/>
        <v>#DIV/0!</v>
      </c>
      <c r="W54" s="155">
        <v>0.0</v>
      </c>
      <c r="X54" s="154" t="str">
        <f t="shared" si="31"/>
        <v>#DIV/0!</v>
      </c>
      <c r="Y54" s="157" t="str">
        <f t="shared" si="32"/>
        <v>#DIV/0!</v>
      </c>
      <c r="Z54" s="157"/>
      <c r="AA54" s="163"/>
      <c r="AB54" s="150" t="s">
        <v>135</v>
      </c>
      <c r="AC54" s="159">
        <v>44224.0</v>
      </c>
      <c r="AD54" s="152">
        <v>0.0</v>
      </c>
      <c r="AE54" s="153">
        <v>0.0</v>
      </c>
      <c r="AF54" s="154" t="str">
        <f t="shared" si="13"/>
        <v>#DIV/0!</v>
      </c>
      <c r="AG54" s="155">
        <v>0.0</v>
      </c>
      <c r="AH54" s="156" t="str">
        <f t="shared" si="14"/>
        <v>#DIV/0!</v>
      </c>
      <c r="AI54" s="155">
        <v>0.0</v>
      </c>
      <c r="AJ54" s="154" t="str">
        <f t="shared" si="15"/>
        <v>#DIV/0!</v>
      </c>
      <c r="AK54" s="155">
        <v>0.0</v>
      </c>
      <c r="AL54" s="154" t="str">
        <f t="shared" si="16"/>
        <v>#DIV/0!</v>
      </c>
      <c r="AM54" s="157" t="str">
        <f t="shared" si="17"/>
        <v>#DIV/0!</v>
      </c>
      <c r="AN54" s="169"/>
      <c r="AO54" s="164"/>
      <c r="AP54" s="150" t="s">
        <v>135</v>
      </c>
      <c r="AQ54" s="151">
        <v>44224.0</v>
      </c>
      <c r="AR54" s="152">
        <v>0.0</v>
      </c>
      <c r="AS54" s="153">
        <v>0.0</v>
      </c>
      <c r="AT54" s="154" t="str">
        <f t="shared" si="18"/>
        <v>#DIV/0!</v>
      </c>
      <c r="AU54" s="155">
        <v>0.0</v>
      </c>
      <c r="AV54" s="156" t="str">
        <f t="shared" si="19"/>
        <v>#DIV/0!</v>
      </c>
      <c r="AW54" s="155">
        <v>0.0</v>
      </c>
      <c r="AX54" s="154" t="str">
        <f t="shared" si="20"/>
        <v>#DIV/0!</v>
      </c>
      <c r="AY54" s="155">
        <v>0.0</v>
      </c>
      <c r="AZ54" s="154" t="str">
        <f t="shared" si="21"/>
        <v>#DIV/0!</v>
      </c>
      <c r="BA54" s="157" t="str">
        <f t="shared" si="22"/>
        <v>#DIV/0!</v>
      </c>
      <c r="BB54" s="163"/>
      <c r="BC54" s="150" t="s">
        <v>135</v>
      </c>
      <c r="BD54" s="151">
        <v>44224.0</v>
      </c>
      <c r="BE54" s="152">
        <v>0.0</v>
      </c>
      <c r="BF54" s="153">
        <v>0.0</v>
      </c>
      <c r="BG54" s="154" t="str">
        <f t="shared" si="23"/>
        <v>#DIV/0!</v>
      </c>
      <c r="BH54" s="155">
        <v>0.0</v>
      </c>
      <c r="BI54" s="156" t="str">
        <f t="shared" si="24"/>
        <v>#DIV/0!</v>
      </c>
      <c r="BJ54" s="155">
        <v>0.0</v>
      </c>
      <c r="BK54" s="154" t="str">
        <f t="shared" si="25"/>
        <v>#DIV/0!</v>
      </c>
      <c r="BL54" s="155">
        <v>0.0</v>
      </c>
      <c r="BM54" s="154" t="str">
        <f t="shared" si="26"/>
        <v>#DIV/0!</v>
      </c>
      <c r="BN54" s="157" t="str">
        <f t="shared" si="27"/>
        <v>#DIV/0!</v>
      </c>
      <c r="BO54" s="170"/>
    </row>
    <row r="55" ht="15.75" customHeight="1">
      <c r="G55" s="51"/>
      <c r="H55" s="51"/>
      <c r="I55" s="51"/>
      <c r="J55" s="51"/>
      <c r="K55" s="51"/>
      <c r="L55" s="51"/>
      <c r="M55" s="51"/>
      <c r="N55" s="150" t="s">
        <v>123</v>
      </c>
      <c r="O55" s="151">
        <v>44225.0</v>
      </c>
      <c r="P55" s="176">
        <v>59.86</v>
      </c>
      <c r="Q55" s="177">
        <v>9.0</v>
      </c>
      <c r="R55" s="178">
        <f t="shared" si="28"/>
        <v>6.651111111</v>
      </c>
      <c r="S55" s="179">
        <v>78.0</v>
      </c>
      <c r="T55" s="180">
        <f t="shared" si="29"/>
        <v>0.7674358974</v>
      </c>
      <c r="U55" s="179">
        <v>44.0</v>
      </c>
      <c r="V55" s="178">
        <f t="shared" si="30"/>
        <v>1.360454545</v>
      </c>
      <c r="W55" s="179">
        <v>55.0</v>
      </c>
      <c r="X55" s="178">
        <f t="shared" si="31"/>
        <v>1.088363636</v>
      </c>
      <c r="Y55" s="181">
        <f t="shared" si="32"/>
        <v>0.8</v>
      </c>
      <c r="Z55" s="181"/>
      <c r="AA55" s="164"/>
      <c r="AB55" s="150" t="s">
        <v>123</v>
      </c>
      <c r="AC55" s="159">
        <v>44225.0</v>
      </c>
      <c r="AD55" s="152">
        <v>0.0</v>
      </c>
      <c r="AE55" s="153">
        <v>0.0</v>
      </c>
      <c r="AF55" s="154" t="str">
        <f t="shared" si="13"/>
        <v>#DIV/0!</v>
      </c>
      <c r="AG55" s="155">
        <v>0.0</v>
      </c>
      <c r="AH55" s="156" t="str">
        <f t="shared" si="14"/>
        <v>#DIV/0!</v>
      </c>
      <c r="AI55" s="155">
        <v>0.0</v>
      </c>
      <c r="AJ55" s="154" t="str">
        <f t="shared" si="15"/>
        <v>#DIV/0!</v>
      </c>
      <c r="AK55" s="155">
        <v>0.0</v>
      </c>
      <c r="AL55" s="154" t="str">
        <f t="shared" si="16"/>
        <v>#DIV/0!</v>
      </c>
      <c r="AM55" s="157" t="str">
        <f t="shared" si="17"/>
        <v>#DIV/0!</v>
      </c>
      <c r="AN55" s="169"/>
      <c r="AO55" s="164"/>
      <c r="AP55" s="150" t="s">
        <v>123</v>
      </c>
      <c r="AQ55" s="151">
        <v>44225.0</v>
      </c>
      <c r="AR55" s="152">
        <v>0.0</v>
      </c>
      <c r="AS55" s="153">
        <v>0.0</v>
      </c>
      <c r="AT55" s="154" t="str">
        <f t="shared" si="18"/>
        <v>#DIV/0!</v>
      </c>
      <c r="AU55" s="155">
        <v>0.0</v>
      </c>
      <c r="AV55" s="156" t="str">
        <f t="shared" si="19"/>
        <v>#DIV/0!</v>
      </c>
      <c r="AW55" s="155">
        <v>0.0</v>
      </c>
      <c r="AX55" s="154" t="str">
        <f t="shared" si="20"/>
        <v>#DIV/0!</v>
      </c>
      <c r="AY55" s="155">
        <v>0.0</v>
      </c>
      <c r="AZ55" s="154" t="str">
        <f t="shared" si="21"/>
        <v>#DIV/0!</v>
      </c>
      <c r="BA55" s="157" t="str">
        <f t="shared" si="22"/>
        <v>#DIV/0!</v>
      </c>
      <c r="BB55" s="163"/>
      <c r="BC55" s="150" t="s">
        <v>123</v>
      </c>
      <c r="BD55" s="151">
        <v>44225.0</v>
      </c>
      <c r="BE55" s="152">
        <v>0.0</v>
      </c>
      <c r="BF55" s="153">
        <v>0.0</v>
      </c>
      <c r="BG55" s="154" t="str">
        <f t="shared" si="23"/>
        <v>#DIV/0!</v>
      </c>
      <c r="BH55" s="155">
        <v>0.0</v>
      </c>
      <c r="BI55" s="156" t="str">
        <f t="shared" si="24"/>
        <v>#DIV/0!</v>
      </c>
      <c r="BJ55" s="155">
        <v>0.0</v>
      </c>
      <c r="BK55" s="154" t="str">
        <f t="shared" si="25"/>
        <v>#DIV/0!</v>
      </c>
      <c r="BL55" s="155">
        <v>0.0</v>
      </c>
      <c r="BM55" s="154" t="str">
        <f t="shared" si="26"/>
        <v>#DIV/0!</v>
      </c>
      <c r="BN55" s="157" t="str">
        <f t="shared" si="27"/>
        <v>#DIV/0!</v>
      </c>
      <c r="BO55" s="170"/>
    </row>
    <row r="56" ht="15.75" customHeight="1">
      <c r="B56" s="51"/>
      <c r="C56" s="51"/>
      <c r="D56" s="51"/>
      <c r="E56" s="51"/>
      <c r="F56" s="51"/>
      <c r="G56" s="51"/>
      <c r="H56" s="51"/>
      <c r="I56" s="51"/>
      <c r="J56" s="51"/>
      <c r="K56" s="51"/>
      <c r="L56" s="51"/>
      <c r="M56" s="51"/>
      <c r="N56" s="150" t="s">
        <v>126</v>
      </c>
      <c r="O56" s="151">
        <v>44226.0</v>
      </c>
      <c r="P56" s="176">
        <v>58.629999999999995</v>
      </c>
      <c r="Q56" s="177">
        <v>6.0</v>
      </c>
      <c r="R56" s="178">
        <f t="shared" si="28"/>
        <v>9.771666667</v>
      </c>
      <c r="S56" s="179">
        <v>61.0</v>
      </c>
      <c r="T56" s="180">
        <f t="shared" si="29"/>
        <v>0.961147541</v>
      </c>
      <c r="U56" s="179">
        <v>45.0</v>
      </c>
      <c r="V56" s="178">
        <f t="shared" si="30"/>
        <v>1.302888889</v>
      </c>
      <c r="W56" s="179">
        <v>51.0</v>
      </c>
      <c r="X56" s="178">
        <f t="shared" si="31"/>
        <v>1.149607843</v>
      </c>
      <c r="Y56" s="181">
        <f t="shared" si="32"/>
        <v>0.8823529412</v>
      </c>
      <c r="Z56" s="181"/>
      <c r="AA56" s="164"/>
      <c r="AB56" s="150" t="s">
        <v>126</v>
      </c>
      <c r="AC56" s="159">
        <v>44226.0</v>
      </c>
      <c r="AD56" s="152">
        <v>0.0</v>
      </c>
      <c r="AE56" s="153">
        <v>0.0</v>
      </c>
      <c r="AF56" s="154" t="str">
        <f t="shared" si="13"/>
        <v>#DIV/0!</v>
      </c>
      <c r="AG56" s="155">
        <v>0.0</v>
      </c>
      <c r="AH56" s="156" t="str">
        <f t="shared" si="14"/>
        <v>#DIV/0!</v>
      </c>
      <c r="AI56" s="155">
        <v>0.0</v>
      </c>
      <c r="AJ56" s="154" t="str">
        <f t="shared" si="15"/>
        <v>#DIV/0!</v>
      </c>
      <c r="AK56" s="155">
        <v>0.0</v>
      </c>
      <c r="AL56" s="154" t="str">
        <f t="shared" si="16"/>
        <v>#DIV/0!</v>
      </c>
      <c r="AM56" s="157" t="str">
        <f t="shared" si="17"/>
        <v>#DIV/0!</v>
      </c>
      <c r="AN56" s="169"/>
      <c r="AO56" s="164"/>
      <c r="AP56" s="150" t="s">
        <v>126</v>
      </c>
      <c r="AQ56" s="151">
        <v>44226.0</v>
      </c>
      <c r="AR56" s="152">
        <v>0.0</v>
      </c>
      <c r="AS56" s="153">
        <v>0.0</v>
      </c>
      <c r="AT56" s="154" t="str">
        <f t="shared" si="18"/>
        <v>#DIV/0!</v>
      </c>
      <c r="AU56" s="155">
        <v>0.0</v>
      </c>
      <c r="AV56" s="156" t="str">
        <f t="shared" si="19"/>
        <v>#DIV/0!</v>
      </c>
      <c r="AW56" s="155">
        <v>0.0</v>
      </c>
      <c r="AX56" s="154" t="str">
        <f t="shared" si="20"/>
        <v>#DIV/0!</v>
      </c>
      <c r="AY56" s="155">
        <v>0.0</v>
      </c>
      <c r="AZ56" s="154" t="str">
        <f t="shared" si="21"/>
        <v>#DIV/0!</v>
      </c>
      <c r="BA56" s="157" t="str">
        <f t="shared" si="22"/>
        <v>#DIV/0!</v>
      </c>
      <c r="BB56" s="163"/>
      <c r="BC56" s="150" t="s">
        <v>126</v>
      </c>
      <c r="BD56" s="151">
        <v>44226.0</v>
      </c>
      <c r="BE56" s="152">
        <v>0.0</v>
      </c>
      <c r="BF56" s="153">
        <v>0.0</v>
      </c>
      <c r="BG56" s="154" t="str">
        <f t="shared" si="23"/>
        <v>#DIV/0!</v>
      </c>
      <c r="BH56" s="155">
        <v>0.0</v>
      </c>
      <c r="BI56" s="156" t="str">
        <f t="shared" si="24"/>
        <v>#DIV/0!</v>
      </c>
      <c r="BJ56" s="155">
        <v>0.0</v>
      </c>
      <c r="BK56" s="154" t="str">
        <f t="shared" si="25"/>
        <v>#DIV/0!</v>
      </c>
      <c r="BL56" s="155">
        <v>0.0</v>
      </c>
      <c r="BM56" s="154" t="str">
        <f t="shared" si="26"/>
        <v>#DIV/0!</v>
      </c>
      <c r="BN56" s="157" t="str">
        <f t="shared" si="27"/>
        <v>#DIV/0!</v>
      </c>
      <c r="BO56" s="170"/>
    </row>
    <row r="57" ht="15.75" customHeight="1">
      <c r="B57" s="51"/>
      <c r="C57" s="51"/>
      <c r="D57" s="51"/>
      <c r="E57" s="51"/>
      <c r="F57" s="51"/>
      <c r="G57" s="51"/>
      <c r="H57" s="51"/>
      <c r="I57" s="51"/>
      <c r="J57" s="51"/>
      <c r="K57" s="51"/>
      <c r="L57" s="51"/>
      <c r="M57" s="51"/>
      <c r="N57" s="150" t="s">
        <v>127</v>
      </c>
      <c r="O57" s="182">
        <v>44227.0</v>
      </c>
      <c r="P57" s="176">
        <v>58.93000000000001</v>
      </c>
      <c r="Q57" s="177">
        <v>7.0</v>
      </c>
      <c r="R57" s="178">
        <f t="shared" si="28"/>
        <v>8.418571429</v>
      </c>
      <c r="S57" s="179">
        <v>47.0</v>
      </c>
      <c r="T57" s="180">
        <f t="shared" si="29"/>
        <v>1.253829787</v>
      </c>
      <c r="U57" s="179">
        <v>34.0</v>
      </c>
      <c r="V57" s="178">
        <f t="shared" si="30"/>
        <v>1.733235294</v>
      </c>
      <c r="W57" s="179">
        <v>37.0</v>
      </c>
      <c r="X57" s="178">
        <f t="shared" si="31"/>
        <v>1.592702703</v>
      </c>
      <c r="Y57" s="181">
        <f t="shared" si="32"/>
        <v>0.9189189189</v>
      </c>
      <c r="Z57" s="181"/>
      <c r="AA57" s="51"/>
      <c r="AB57" s="150" t="s">
        <v>127</v>
      </c>
      <c r="AC57" s="159">
        <v>44227.0</v>
      </c>
      <c r="AD57" s="152">
        <v>0.0</v>
      </c>
      <c r="AE57" s="153">
        <v>0.0</v>
      </c>
      <c r="AF57" s="154" t="str">
        <f t="shared" si="13"/>
        <v>#DIV/0!</v>
      </c>
      <c r="AG57" s="155">
        <v>0.0</v>
      </c>
      <c r="AH57" s="156" t="str">
        <f t="shared" si="14"/>
        <v>#DIV/0!</v>
      </c>
      <c r="AI57" s="155">
        <v>0.0</v>
      </c>
      <c r="AJ57" s="154" t="str">
        <f t="shared" si="15"/>
        <v>#DIV/0!</v>
      </c>
      <c r="AK57" s="155">
        <v>0.0</v>
      </c>
      <c r="AL57" s="154" t="str">
        <f t="shared" si="16"/>
        <v>#DIV/0!</v>
      </c>
      <c r="AM57" s="157" t="str">
        <f t="shared" si="17"/>
        <v>#DIV/0!</v>
      </c>
      <c r="AN57" s="78"/>
      <c r="AO57" s="51"/>
      <c r="AP57" s="150" t="s">
        <v>127</v>
      </c>
      <c r="AQ57" s="183">
        <v>44227.0</v>
      </c>
      <c r="AR57" s="152">
        <v>0.0</v>
      </c>
      <c r="AS57" s="153">
        <v>0.0</v>
      </c>
      <c r="AT57" s="154" t="str">
        <f t="shared" si="18"/>
        <v>#DIV/0!</v>
      </c>
      <c r="AU57" s="155">
        <v>0.0</v>
      </c>
      <c r="AV57" s="156" t="str">
        <f t="shared" si="19"/>
        <v>#DIV/0!</v>
      </c>
      <c r="AW57" s="155">
        <v>0.0</v>
      </c>
      <c r="AX57" s="154" t="str">
        <f t="shared" si="20"/>
        <v>#DIV/0!</v>
      </c>
      <c r="AY57" s="155">
        <v>0.0</v>
      </c>
      <c r="AZ57" s="154" t="str">
        <f t="shared" si="21"/>
        <v>#DIV/0!</v>
      </c>
      <c r="BA57" s="157" t="str">
        <f t="shared" si="22"/>
        <v>#DIV/0!</v>
      </c>
      <c r="BB57" s="162" t="s">
        <v>150</v>
      </c>
      <c r="BC57" s="150" t="s">
        <v>127</v>
      </c>
      <c r="BD57" s="151">
        <v>44227.0</v>
      </c>
      <c r="BE57" s="152">
        <v>0.0</v>
      </c>
      <c r="BF57" s="153">
        <v>0.0</v>
      </c>
      <c r="BG57" s="154" t="str">
        <f t="shared" si="23"/>
        <v>#DIV/0!</v>
      </c>
      <c r="BH57" s="155">
        <v>0.0</v>
      </c>
      <c r="BI57" s="156" t="str">
        <f t="shared" si="24"/>
        <v>#DIV/0!</v>
      </c>
      <c r="BJ57" s="155">
        <v>0.0</v>
      </c>
      <c r="BK57" s="154" t="str">
        <f t="shared" si="25"/>
        <v>#DIV/0!</v>
      </c>
      <c r="BL57" s="155">
        <v>0.0</v>
      </c>
      <c r="BM57" s="154" t="str">
        <f t="shared" si="26"/>
        <v>#DIV/0!</v>
      </c>
      <c r="BN57" s="157" t="str">
        <f t="shared" si="27"/>
        <v>#DIV/0!</v>
      </c>
      <c r="BO57" s="184"/>
    </row>
    <row r="58" ht="15.75" customHeight="1">
      <c r="AK58" s="106"/>
    </row>
    <row r="59" ht="15.75" customHeight="1">
      <c r="AK59" s="106"/>
    </row>
    <row r="60" ht="15.75" customHeight="1">
      <c r="AK60" s="106"/>
    </row>
    <row r="61" ht="15.75" customHeight="1">
      <c r="AK61" s="106"/>
    </row>
    <row r="62" ht="15.75" customHeight="1">
      <c r="B62" s="51"/>
      <c r="C62" s="51"/>
      <c r="D62" s="51"/>
      <c r="E62" s="51"/>
      <c r="F62" s="51"/>
      <c r="G62" s="51"/>
      <c r="H62" s="51"/>
      <c r="I62" s="51"/>
      <c r="J62" s="51"/>
      <c r="K62" s="51"/>
      <c r="L62" s="51"/>
      <c r="M62" s="51"/>
      <c r="N62" s="131"/>
      <c r="O62" s="132" t="s">
        <v>104</v>
      </c>
      <c r="AB62" s="131"/>
      <c r="AC62" s="132" t="s">
        <v>105</v>
      </c>
      <c r="AO62" s="133"/>
      <c r="AP62" s="131"/>
      <c r="AQ62" s="134" t="s">
        <v>106</v>
      </c>
      <c r="BC62" s="131"/>
      <c r="BD62" s="134" t="s">
        <v>107</v>
      </c>
    </row>
    <row r="63" ht="15.75" customHeight="1">
      <c r="B63" s="135" t="s">
        <v>151</v>
      </c>
      <c r="M63" s="51"/>
      <c r="N63" s="131"/>
      <c r="O63" s="136" t="s">
        <v>109</v>
      </c>
      <c r="P63" s="137" t="s">
        <v>110</v>
      </c>
      <c r="Q63" s="137" t="s">
        <v>111</v>
      </c>
      <c r="R63" s="137" t="s">
        <v>112</v>
      </c>
      <c r="S63" s="137" t="s">
        <v>113</v>
      </c>
      <c r="T63" s="137" t="s">
        <v>114</v>
      </c>
      <c r="U63" s="137" t="s">
        <v>115</v>
      </c>
      <c r="V63" s="137" t="s">
        <v>116</v>
      </c>
      <c r="W63" s="137" t="s">
        <v>117</v>
      </c>
      <c r="X63" s="137" t="s">
        <v>118</v>
      </c>
      <c r="Y63" s="136" t="s">
        <v>119</v>
      </c>
      <c r="Z63" s="137" t="s">
        <v>120</v>
      </c>
      <c r="AA63" s="136" t="s">
        <v>121</v>
      </c>
      <c r="AB63" s="131"/>
      <c r="AC63" s="136" t="s">
        <v>109</v>
      </c>
      <c r="AD63" s="137" t="s">
        <v>110</v>
      </c>
      <c r="AE63" s="137" t="s">
        <v>111</v>
      </c>
      <c r="AF63" s="137" t="s">
        <v>112</v>
      </c>
      <c r="AG63" s="137" t="s">
        <v>113</v>
      </c>
      <c r="AH63" s="137" t="s">
        <v>114</v>
      </c>
      <c r="AI63" s="137" t="s">
        <v>115</v>
      </c>
      <c r="AJ63" s="137" t="s">
        <v>116</v>
      </c>
      <c r="AK63" s="138" t="s">
        <v>117</v>
      </c>
      <c r="AL63" s="137" t="s">
        <v>118</v>
      </c>
      <c r="AM63" s="137" t="s">
        <v>122</v>
      </c>
      <c r="AN63" s="136" t="s">
        <v>121</v>
      </c>
      <c r="AO63" s="139"/>
      <c r="AP63" s="131"/>
      <c r="AQ63" s="136" t="s">
        <v>109</v>
      </c>
      <c r="AR63" s="137" t="s">
        <v>110</v>
      </c>
      <c r="AS63" s="137" t="s">
        <v>111</v>
      </c>
      <c r="AT63" s="137" t="s">
        <v>112</v>
      </c>
      <c r="AU63" s="137" t="s">
        <v>113</v>
      </c>
      <c r="AV63" s="137" t="s">
        <v>114</v>
      </c>
      <c r="AW63" s="137" t="s">
        <v>115</v>
      </c>
      <c r="AX63" s="137" t="s">
        <v>116</v>
      </c>
      <c r="AY63" s="137" t="s">
        <v>117</v>
      </c>
      <c r="AZ63" s="137" t="s">
        <v>118</v>
      </c>
      <c r="BA63" s="137" t="s">
        <v>122</v>
      </c>
      <c r="BB63" s="136" t="s">
        <v>121</v>
      </c>
      <c r="BC63" s="131"/>
      <c r="BD63" s="136" t="s">
        <v>109</v>
      </c>
      <c r="BE63" s="137" t="s">
        <v>110</v>
      </c>
      <c r="BF63" s="137" t="s">
        <v>111</v>
      </c>
      <c r="BG63" s="137" t="s">
        <v>112</v>
      </c>
      <c r="BH63" s="137" t="s">
        <v>113</v>
      </c>
      <c r="BI63" s="137" t="s">
        <v>114</v>
      </c>
      <c r="BJ63" s="137" t="s">
        <v>115</v>
      </c>
      <c r="BK63" s="137" t="s">
        <v>116</v>
      </c>
      <c r="BL63" s="137" t="s">
        <v>117</v>
      </c>
      <c r="BM63" s="137" t="s">
        <v>118</v>
      </c>
      <c r="BN63" s="137" t="s">
        <v>122</v>
      </c>
      <c r="BO63" s="136" t="s">
        <v>121</v>
      </c>
    </row>
    <row r="64" ht="15.75" customHeight="1">
      <c r="M64" s="51"/>
      <c r="N64" s="131"/>
      <c r="P64" s="140">
        <f t="shared" ref="P64:Q64" si="33">SUM(P65:P95)</f>
        <v>1523.97</v>
      </c>
      <c r="Q64" s="141">
        <f t="shared" si="33"/>
        <v>104</v>
      </c>
      <c r="R64" s="142">
        <f>P64/Q64</f>
        <v>14.65355769</v>
      </c>
      <c r="S64" s="143">
        <f>SUM(S65:S95)</f>
        <v>698</v>
      </c>
      <c r="T64" s="144">
        <f>P64/S64</f>
        <v>2.183338109</v>
      </c>
      <c r="U64" s="143">
        <f>SUM(U65:U95)</f>
        <v>690</v>
      </c>
      <c r="V64" s="142">
        <f>P64/U64</f>
        <v>2.208652174</v>
      </c>
      <c r="W64" s="143">
        <f>SUM(W65:W95)</f>
        <v>927</v>
      </c>
      <c r="X64" s="145">
        <f>P64/W64</f>
        <v>1.643980583</v>
      </c>
      <c r="Y64" s="146">
        <f>U64/W64</f>
        <v>0.7443365696</v>
      </c>
      <c r="Z64" s="146">
        <f t="shared" ref="Z64:Z94" si="37">Q64/S64</f>
        <v>0.1489971347</v>
      </c>
      <c r="AB64" s="131"/>
      <c r="AD64" s="140">
        <f t="shared" ref="AD64:AE64" si="34">SUM(AD65:AD94)</f>
        <v>0</v>
      </c>
      <c r="AE64" s="141">
        <f t="shared" si="34"/>
        <v>0</v>
      </c>
      <c r="AF64" s="147" t="str">
        <f t="shared" ref="AF64:AF78" si="38">AD64/AE64</f>
        <v>#DIV/0!</v>
      </c>
      <c r="AG64" s="143">
        <f>SUM(AG65:AG94)</f>
        <v>0</v>
      </c>
      <c r="AH64" s="148" t="str">
        <f t="shared" ref="AH64:AH78" si="39">AD64/AG64</f>
        <v>#DIV/0!</v>
      </c>
      <c r="AI64" s="143">
        <f>SUM(AI65:AI94)</f>
        <v>0</v>
      </c>
      <c r="AJ64" s="142" t="str">
        <f t="shared" ref="AJ64:AJ78" si="40">AD64/AI64</f>
        <v>#DIV/0!</v>
      </c>
      <c r="AK64" s="143">
        <f>SUM(AK65:AK94)</f>
        <v>0</v>
      </c>
      <c r="AL64" s="145" t="str">
        <f t="shared" ref="AL64:AL78" si="41">AD64/AK64</f>
        <v>#DIV/0!</v>
      </c>
      <c r="AM64" s="149" t="str">
        <f t="shared" ref="AM64:AM78" si="42">AI64/AK64</f>
        <v>#DIV/0!</v>
      </c>
      <c r="AO64" s="139"/>
      <c r="AP64" s="131"/>
      <c r="AR64" s="140">
        <f t="shared" ref="AR64:AS64" si="35">SUM(AR65:AR94)</f>
        <v>0</v>
      </c>
      <c r="AS64" s="141">
        <f t="shared" si="35"/>
        <v>0</v>
      </c>
      <c r="AT64" s="142" t="str">
        <f t="shared" ref="AT64:AT94" si="43">AR64/AS64</f>
        <v>#DIV/0!</v>
      </c>
      <c r="AU64" s="143">
        <f>SUM(AU65:AU94)</f>
        <v>0</v>
      </c>
      <c r="AV64" s="144" t="str">
        <f t="shared" ref="AV64:AV94" si="44">AR64/AU64</f>
        <v>#DIV/0!</v>
      </c>
      <c r="AW64" s="143">
        <f>SUM(AW65:AW94)</f>
        <v>0</v>
      </c>
      <c r="AX64" s="142" t="str">
        <f t="shared" ref="AX64:AX94" si="45">AR64/AW64</f>
        <v>#DIV/0!</v>
      </c>
      <c r="AY64" s="143">
        <f>SUM(AY65:AY94)</f>
        <v>0</v>
      </c>
      <c r="AZ64" s="145" t="str">
        <f t="shared" ref="AZ64:AZ94" si="46">AR64/AY64</f>
        <v>#DIV/0!</v>
      </c>
      <c r="BA64" s="146" t="str">
        <f t="shared" ref="BA64:BA94" si="47">AW64/AY64</f>
        <v>#DIV/0!</v>
      </c>
      <c r="BC64" s="131"/>
      <c r="BE64" s="140">
        <f t="shared" ref="BE64:BF64" si="36">SUM(BE65:BE94)</f>
        <v>0</v>
      </c>
      <c r="BF64" s="141">
        <f t="shared" si="36"/>
        <v>0</v>
      </c>
      <c r="BG64" s="147" t="str">
        <f t="shared" ref="BG64:BG94" si="48">BE64/BF64</f>
        <v>#DIV/0!</v>
      </c>
      <c r="BH64" s="143">
        <f>SUM(BH65:BH94)</f>
        <v>0</v>
      </c>
      <c r="BI64" s="148" t="str">
        <f t="shared" ref="BI64:BI94" si="49">BE64/BH64</f>
        <v>#DIV/0!</v>
      </c>
      <c r="BJ64" s="143">
        <f>SUM(BJ65:BJ94)</f>
        <v>0</v>
      </c>
      <c r="BK64" s="142" t="str">
        <f t="shared" ref="BK64:BK94" si="50">BE64/BJ64</f>
        <v>#DIV/0!</v>
      </c>
      <c r="BL64" s="143">
        <f>SUM(BL65:BL94)</f>
        <v>0</v>
      </c>
      <c r="BM64" s="145" t="str">
        <f t="shared" ref="BM64:BM94" si="51">BE64/BL64</f>
        <v>#DIV/0!</v>
      </c>
      <c r="BN64" s="149" t="str">
        <f t="shared" ref="BN64:BN94" si="52">BJ64/BL64</f>
        <v>#DIV/0!</v>
      </c>
    </row>
    <row r="65" ht="15.75" customHeight="1">
      <c r="M65" s="51"/>
      <c r="N65" s="150" t="s">
        <v>135</v>
      </c>
      <c r="O65" s="151">
        <v>44287.0</v>
      </c>
      <c r="P65" s="176">
        <v>40.37</v>
      </c>
      <c r="Q65" s="177">
        <v>3.0</v>
      </c>
      <c r="R65" s="178">
        <v>13.46</v>
      </c>
      <c r="S65" s="179">
        <v>34.0</v>
      </c>
      <c r="T65" s="180">
        <v>1.19</v>
      </c>
      <c r="U65" s="179">
        <v>23.0</v>
      </c>
      <c r="V65" s="178">
        <v>1.76</v>
      </c>
      <c r="W65" s="179">
        <v>27.0</v>
      </c>
      <c r="X65" s="178">
        <v>1.5</v>
      </c>
      <c r="Y65" s="181"/>
      <c r="Z65" s="185">
        <f t="shared" si="37"/>
        <v>0.08823529412</v>
      </c>
      <c r="AA65" s="85"/>
      <c r="AB65" s="150" t="s">
        <v>135</v>
      </c>
      <c r="AC65" s="151">
        <v>44287.0</v>
      </c>
      <c r="AD65" s="176">
        <v>0.0</v>
      </c>
      <c r="AE65" s="177">
        <v>0.0</v>
      </c>
      <c r="AF65" s="178" t="str">
        <f t="shared" si="38"/>
        <v>#DIV/0!</v>
      </c>
      <c r="AG65" s="179">
        <v>0.0</v>
      </c>
      <c r="AH65" s="180" t="str">
        <f t="shared" si="39"/>
        <v>#DIV/0!</v>
      </c>
      <c r="AI65" s="179">
        <v>0.0</v>
      </c>
      <c r="AJ65" s="178" t="str">
        <f t="shared" si="40"/>
        <v>#DIV/0!</v>
      </c>
      <c r="AK65" s="179">
        <v>0.0</v>
      </c>
      <c r="AL65" s="178" t="str">
        <f t="shared" si="41"/>
        <v>#DIV/0!</v>
      </c>
      <c r="AM65" s="181" t="str">
        <f t="shared" si="42"/>
        <v>#DIV/0!</v>
      </c>
      <c r="AN65" s="85"/>
      <c r="AO65" s="85"/>
      <c r="AP65" s="150" t="s">
        <v>135</v>
      </c>
      <c r="AQ65" s="151">
        <v>44287.0</v>
      </c>
      <c r="AR65" s="176">
        <v>0.0</v>
      </c>
      <c r="AS65" s="177">
        <v>0.0</v>
      </c>
      <c r="AT65" s="178" t="str">
        <f t="shared" si="43"/>
        <v>#DIV/0!</v>
      </c>
      <c r="AU65" s="179">
        <v>0.0</v>
      </c>
      <c r="AV65" s="180" t="str">
        <f t="shared" si="44"/>
        <v>#DIV/0!</v>
      </c>
      <c r="AW65" s="179">
        <v>0.0</v>
      </c>
      <c r="AX65" s="178" t="str">
        <f t="shared" si="45"/>
        <v>#DIV/0!</v>
      </c>
      <c r="AY65" s="179">
        <v>0.0</v>
      </c>
      <c r="AZ65" s="178" t="str">
        <f t="shared" si="46"/>
        <v>#DIV/0!</v>
      </c>
      <c r="BA65" s="181" t="str">
        <f t="shared" si="47"/>
        <v>#DIV/0!</v>
      </c>
      <c r="BB65" s="85"/>
      <c r="BC65" s="150" t="s">
        <v>135</v>
      </c>
      <c r="BD65" s="151">
        <v>44287.0</v>
      </c>
      <c r="BE65" s="176">
        <v>0.0</v>
      </c>
      <c r="BF65" s="177">
        <v>0.0</v>
      </c>
      <c r="BG65" s="178" t="str">
        <f t="shared" si="48"/>
        <v>#DIV/0!</v>
      </c>
      <c r="BH65" s="179">
        <v>0.0</v>
      </c>
      <c r="BI65" s="180" t="str">
        <f t="shared" si="49"/>
        <v>#DIV/0!</v>
      </c>
      <c r="BJ65" s="179">
        <v>0.0</v>
      </c>
      <c r="BK65" s="178" t="str">
        <f t="shared" si="50"/>
        <v>#DIV/0!</v>
      </c>
      <c r="BL65" s="179">
        <v>0.0</v>
      </c>
      <c r="BM65" s="178" t="str">
        <f t="shared" si="51"/>
        <v>#DIV/0!</v>
      </c>
      <c r="BN65" s="181" t="str">
        <f t="shared" si="52"/>
        <v>#DIV/0!</v>
      </c>
      <c r="BO65" s="85"/>
    </row>
    <row r="66" ht="15.75" customHeight="1">
      <c r="B66" s="160" t="s">
        <v>124</v>
      </c>
      <c r="G66" s="78"/>
      <c r="H66" s="161" t="s">
        <v>125</v>
      </c>
      <c r="M66" s="51"/>
      <c r="N66" s="150" t="s">
        <v>123</v>
      </c>
      <c r="O66" s="151">
        <v>44288.0</v>
      </c>
      <c r="P66" s="176">
        <v>39.08</v>
      </c>
      <c r="Q66" s="177">
        <v>4.0</v>
      </c>
      <c r="R66" s="178">
        <v>9.77</v>
      </c>
      <c r="S66" s="179">
        <v>40.0</v>
      </c>
      <c r="T66" s="180">
        <v>0.98</v>
      </c>
      <c r="U66" s="179">
        <v>35.0</v>
      </c>
      <c r="V66" s="178">
        <v>1.12</v>
      </c>
      <c r="W66" s="179">
        <v>40.0</v>
      </c>
      <c r="X66" s="178">
        <v>0.98</v>
      </c>
      <c r="Y66" s="181"/>
      <c r="Z66" s="185">
        <f t="shared" si="37"/>
        <v>0.1</v>
      </c>
      <c r="AA66" s="51"/>
      <c r="AB66" s="150" t="s">
        <v>123</v>
      </c>
      <c r="AC66" s="151">
        <v>44288.0</v>
      </c>
      <c r="AD66" s="176">
        <v>0.0</v>
      </c>
      <c r="AE66" s="177">
        <v>0.0</v>
      </c>
      <c r="AF66" s="178" t="str">
        <f t="shared" si="38"/>
        <v>#DIV/0!</v>
      </c>
      <c r="AG66" s="179">
        <v>0.0</v>
      </c>
      <c r="AH66" s="180" t="str">
        <f t="shared" si="39"/>
        <v>#DIV/0!</v>
      </c>
      <c r="AI66" s="179">
        <v>0.0</v>
      </c>
      <c r="AJ66" s="178" t="str">
        <f t="shared" si="40"/>
        <v>#DIV/0!</v>
      </c>
      <c r="AK66" s="179">
        <v>0.0</v>
      </c>
      <c r="AL66" s="178" t="str">
        <f t="shared" si="41"/>
        <v>#DIV/0!</v>
      </c>
      <c r="AM66" s="181" t="str">
        <f t="shared" si="42"/>
        <v>#DIV/0!</v>
      </c>
      <c r="AN66" s="51"/>
      <c r="AO66" s="51"/>
      <c r="AP66" s="150" t="s">
        <v>123</v>
      </c>
      <c r="AQ66" s="151">
        <v>44288.0</v>
      </c>
      <c r="AR66" s="176">
        <v>0.0</v>
      </c>
      <c r="AS66" s="177">
        <v>0.0</v>
      </c>
      <c r="AT66" s="178" t="str">
        <f t="shared" si="43"/>
        <v>#DIV/0!</v>
      </c>
      <c r="AU66" s="179">
        <v>0.0</v>
      </c>
      <c r="AV66" s="180" t="str">
        <f t="shared" si="44"/>
        <v>#DIV/0!</v>
      </c>
      <c r="AW66" s="179">
        <v>0.0</v>
      </c>
      <c r="AX66" s="178" t="str">
        <f t="shared" si="45"/>
        <v>#DIV/0!</v>
      </c>
      <c r="AY66" s="179">
        <v>0.0</v>
      </c>
      <c r="AZ66" s="178" t="str">
        <f t="shared" si="46"/>
        <v>#DIV/0!</v>
      </c>
      <c r="BA66" s="181" t="str">
        <f t="shared" si="47"/>
        <v>#DIV/0!</v>
      </c>
      <c r="BB66" s="51"/>
      <c r="BC66" s="150" t="s">
        <v>123</v>
      </c>
      <c r="BD66" s="151">
        <v>44288.0</v>
      </c>
      <c r="BE66" s="176">
        <v>0.0</v>
      </c>
      <c r="BF66" s="177">
        <v>0.0</v>
      </c>
      <c r="BG66" s="178" t="str">
        <f t="shared" si="48"/>
        <v>#DIV/0!</v>
      </c>
      <c r="BH66" s="179">
        <v>0.0</v>
      </c>
      <c r="BI66" s="180" t="str">
        <f t="shared" si="49"/>
        <v>#DIV/0!</v>
      </c>
      <c r="BJ66" s="179">
        <v>0.0</v>
      </c>
      <c r="BK66" s="178" t="str">
        <f t="shared" si="50"/>
        <v>#DIV/0!</v>
      </c>
      <c r="BL66" s="179">
        <v>0.0</v>
      </c>
      <c r="BM66" s="178" t="str">
        <f t="shared" si="51"/>
        <v>#DIV/0!</v>
      </c>
      <c r="BN66" s="181" t="str">
        <f t="shared" si="52"/>
        <v>#DIV/0!</v>
      </c>
      <c r="BO66" s="51"/>
    </row>
    <row r="67" ht="15.75" customHeight="1">
      <c r="G67" s="78"/>
      <c r="M67" s="51"/>
      <c r="N67" s="150" t="s">
        <v>126</v>
      </c>
      <c r="O67" s="151">
        <v>44289.0</v>
      </c>
      <c r="P67" s="176">
        <v>40.39</v>
      </c>
      <c r="Q67" s="177">
        <v>1.0</v>
      </c>
      <c r="R67" s="178">
        <v>40.39</v>
      </c>
      <c r="S67" s="179">
        <v>43.0</v>
      </c>
      <c r="T67" s="180">
        <v>0.94</v>
      </c>
      <c r="U67" s="179">
        <v>32.0</v>
      </c>
      <c r="V67" s="178">
        <v>1.26</v>
      </c>
      <c r="W67" s="179">
        <v>35.0</v>
      </c>
      <c r="X67" s="178">
        <v>1.15</v>
      </c>
      <c r="Y67" s="181"/>
      <c r="Z67" s="185">
        <f t="shared" si="37"/>
        <v>0.02325581395</v>
      </c>
      <c r="AA67" s="164"/>
      <c r="AB67" s="150" t="s">
        <v>126</v>
      </c>
      <c r="AC67" s="151">
        <v>44289.0</v>
      </c>
      <c r="AD67" s="176">
        <v>0.0</v>
      </c>
      <c r="AE67" s="177">
        <v>0.0</v>
      </c>
      <c r="AF67" s="178" t="str">
        <f t="shared" si="38"/>
        <v>#DIV/0!</v>
      </c>
      <c r="AG67" s="179">
        <v>0.0</v>
      </c>
      <c r="AH67" s="180" t="str">
        <f t="shared" si="39"/>
        <v>#DIV/0!</v>
      </c>
      <c r="AI67" s="179">
        <v>0.0</v>
      </c>
      <c r="AJ67" s="178" t="str">
        <f t="shared" si="40"/>
        <v>#DIV/0!</v>
      </c>
      <c r="AK67" s="179">
        <v>0.0</v>
      </c>
      <c r="AL67" s="178" t="str">
        <f t="shared" si="41"/>
        <v>#DIV/0!</v>
      </c>
      <c r="AM67" s="181" t="str">
        <f t="shared" si="42"/>
        <v>#DIV/0!</v>
      </c>
      <c r="AN67" s="164"/>
      <c r="AO67" s="164"/>
      <c r="AP67" s="150" t="s">
        <v>126</v>
      </c>
      <c r="AQ67" s="151">
        <v>44289.0</v>
      </c>
      <c r="AR67" s="176">
        <v>0.0</v>
      </c>
      <c r="AS67" s="177">
        <v>0.0</v>
      </c>
      <c r="AT67" s="178" t="str">
        <f t="shared" si="43"/>
        <v>#DIV/0!</v>
      </c>
      <c r="AU67" s="179">
        <v>0.0</v>
      </c>
      <c r="AV67" s="180" t="str">
        <f t="shared" si="44"/>
        <v>#DIV/0!</v>
      </c>
      <c r="AW67" s="179">
        <v>0.0</v>
      </c>
      <c r="AX67" s="178" t="str">
        <f t="shared" si="45"/>
        <v>#DIV/0!</v>
      </c>
      <c r="AY67" s="179">
        <v>0.0</v>
      </c>
      <c r="AZ67" s="178" t="str">
        <f t="shared" si="46"/>
        <v>#DIV/0!</v>
      </c>
      <c r="BA67" s="181" t="str">
        <f t="shared" si="47"/>
        <v>#DIV/0!</v>
      </c>
      <c r="BB67" s="164"/>
      <c r="BC67" s="150" t="s">
        <v>126</v>
      </c>
      <c r="BD67" s="151">
        <v>44289.0</v>
      </c>
      <c r="BE67" s="176">
        <v>0.0</v>
      </c>
      <c r="BF67" s="177">
        <v>0.0</v>
      </c>
      <c r="BG67" s="178" t="str">
        <f t="shared" si="48"/>
        <v>#DIV/0!</v>
      </c>
      <c r="BH67" s="179">
        <v>0.0</v>
      </c>
      <c r="BI67" s="180" t="str">
        <f t="shared" si="49"/>
        <v>#DIV/0!</v>
      </c>
      <c r="BJ67" s="179">
        <v>0.0</v>
      </c>
      <c r="BK67" s="178" t="str">
        <f t="shared" si="50"/>
        <v>#DIV/0!</v>
      </c>
      <c r="BL67" s="179">
        <v>0.0</v>
      </c>
      <c r="BM67" s="178" t="str">
        <f t="shared" si="51"/>
        <v>#DIV/0!</v>
      </c>
      <c r="BN67" s="181" t="str">
        <f t="shared" si="52"/>
        <v>#DIV/0!</v>
      </c>
      <c r="BO67" s="164"/>
    </row>
    <row r="68" ht="15.75" customHeight="1">
      <c r="B68" s="165" t="s">
        <v>128</v>
      </c>
      <c r="E68" s="168" t="str">
        <f>#REF!</f>
        <v>#REF!</v>
      </c>
      <c r="G68" s="51"/>
      <c r="H68" s="167" t="s">
        <v>129</v>
      </c>
      <c r="K68" s="168">
        <f>P64</f>
        <v>1523.97</v>
      </c>
      <c r="M68" s="51"/>
      <c r="N68" s="150" t="s">
        <v>127</v>
      </c>
      <c r="O68" s="151">
        <v>44290.0</v>
      </c>
      <c r="P68" s="176">
        <v>38.59</v>
      </c>
      <c r="Q68" s="177">
        <v>1.0</v>
      </c>
      <c r="R68" s="178">
        <v>38.59</v>
      </c>
      <c r="S68" s="179">
        <v>25.0</v>
      </c>
      <c r="T68" s="180">
        <v>1.54</v>
      </c>
      <c r="U68" s="179">
        <v>24.0</v>
      </c>
      <c r="V68" s="178">
        <v>1.61</v>
      </c>
      <c r="W68" s="179">
        <v>27.0</v>
      </c>
      <c r="X68" s="178">
        <v>1.43</v>
      </c>
      <c r="Y68" s="181"/>
      <c r="Z68" s="185">
        <f t="shared" si="37"/>
        <v>0.04</v>
      </c>
      <c r="AA68" s="51"/>
      <c r="AB68" s="150" t="s">
        <v>127</v>
      </c>
      <c r="AC68" s="151">
        <v>44290.0</v>
      </c>
      <c r="AD68" s="176">
        <v>0.0</v>
      </c>
      <c r="AE68" s="177">
        <v>0.0</v>
      </c>
      <c r="AF68" s="178" t="str">
        <f t="shared" si="38"/>
        <v>#DIV/0!</v>
      </c>
      <c r="AG68" s="179">
        <v>0.0</v>
      </c>
      <c r="AH68" s="180" t="str">
        <f t="shared" si="39"/>
        <v>#DIV/0!</v>
      </c>
      <c r="AI68" s="179">
        <v>0.0</v>
      </c>
      <c r="AJ68" s="178" t="str">
        <f t="shared" si="40"/>
        <v>#DIV/0!</v>
      </c>
      <c r="AK68" s="179">
        <v>0.0</v>
      </c>
      <c r="AL68" s="178" t="str">
        <f t="shared" si="41"/>
        <v>#DIV/0!</v>
      </c>
      <c r="AM68" s="181" t="str">
        <f t="shared" si="42"/>
        <v>#DIV/0!</v>
      </c>
      <c r="AN68" s="51"/>
      <c r="AO68" s="51"/>
      <c r="AP68" s="150" t="s">
        <v>127</v>
      </c>
      <c r="AQ68" s="151">
        <v>44290.0</v>
      </c>
      <c r="AR68" s="176">
        <v>0.0</v>
      </c>
      <c r="AS68" s="177">
        <v>0.0</v>
      </c>
      <c r="AT68" s="178" t="str">
        <f t="shared" si="43"/>
        <v>#DIV/0!</v>
      </c>
      <c r="AU68" s="179">
        <v>0.0</v>
      </c>
      <c r="AV68" s="180" t="str">
        <f t="shared" si="44"/>
        <v>#DIV/0!</v>
      </c>
      <c r="AW68" s="179">
        <v>0.0</v>
      </c>
      <c r="AX68" s="178" t="str">
        <f t="shared" si="45"/>
        <v>#DIV/0!</v>
      </c>
      <c r="AY68" s="179">
        <v>0.0</v>
      </c>
      <c r="AZ68" s="178" t="str">
        <f t="shared" si="46"/>
        <v>#DIV/0!</v>
      </c>
      <c r="BA68" s="181" t="str">
        <f t="shared" si="47"/>
        <v>#DIV/0!</v>
      </c>
      <c r="BB68" s="51"/>
      <c r="BC68" s="150" t="s">
        <v>127</v>
      </c>
      <c r="BD68" s="151">
        <v>44290.0</v>
      </c>
      <c r="BE68" s="176">
        <v>0.0</v>
      </c>
      <c r="BF68" s="177">
        <v>0.0</v>
      </c>
      <c r="BG68" s="178" t="str">
        <f t="shared" si="48"/>
        <v>#DIV/0!</v>
      </c>
      <c r="BH68" s="179">
        <v>0.0</v>
      </c>
      <c r="BI68" s="180" t="str">
        <f t="shared" si="49"/>
        <v>#DIV/0!</v>
      </c>
      <c r="BJ68" s="179">
        <v>0.0</v>
      </c>
      <c r="BK68" s="178" t="str">
        <f t="shared" si="50"/>
        <v>#DIV/0!</v>
      </c>
      <c r="BL68" s="179">
        <v>0.0</v>
      </c>
      <c r="BM68" s="178" t="str">
        <f t="shared" si="51"/>
        <v>#DIV/0!</v>
      </c>
      <c r="BN68" s="181" t="str">
        <f t="shared" si="52"/>
        <v>#DIV/0!</v>
      </c>
      <c r="BO68" s="51"/>
    </row>
    <row r="69" ht="15.75" customHeight="1">
      <c r="G69" s="51"/>
      <c r="M69" s="51"/>
      <c r="N69" s="150" t="s">
        <v>130</v>
      </c>
      <c r="O69" s="151">
        <v>44291.0</v>
      </c>
      <c r="P69" s="176">
        <v>39.34</v>
      </c>
      <c r="Q69" s="177">
        <v>1.0</v>
      </c>
      <c r="R69" s="178">
        <v>39.34</v>
      </c>
      <c r="S69" s="179">
        <v>27.0</v>
      </c>
      <c r="T69" s="180">
        <v>1.46</v>
      </c>
      <c r="U69" s="179">
        <v>20.0</v>
      </c>
      <c r="V69" s="178">
        <v>1.97</v>
      </c>
      <c r="W69" s="179">
        <v>24.0</v>
      </c>
      <c r="X69" s="178">
        <v>1.64</v>
      </c>
      <c r="Y69" s="181"/>
      <c r="Z69" s="185">
        <f t="shared" si="37"/>
        <v>0.03703703704</v>
      </c>
      <c r="AA69" s="164"/>
      <c r="AB69" s="150" t="s">
        <v>130</v>
      </c>
      <c r="AC69" s="151">
        <v>44291.0</v>
      </c>
      <c r="AD69" s="176">
        <v>0.0</v>
      </c>
      <c r="AE69" s="177">
        <v>0.0</v>
      </c>
      <c r="AF69" s="178" t="str">
        <f t="shared" si="38"/>
        <v>#DIV/0!</v>
      </c>
      <c r="AG69" s="179">
        <v>0.0</v>
      </c>
      <c r="AH69" s="180" t="str">
        <f t="shared" si="39"/>
        <v>#DIV/0!</v>
      </c>
      <c r="AI69" s="179">
        <v>0.0</v>
      </c>
      <c r="AJ69" s="178" t="str">
        <f t="shared" si="40"/>
        <v>#DIV/0!</v>
      </c>
      <c r="AK69" s="179">
        <v>0.0</v>
      </c>
      <c r="AL69" s="178" t="str">
        <f t="shared" si="41"/>
        <v>#DIV/0!</v>
      </c>
      <c r="AM69" s="181" t="str">
        <f t="shared" si="42"/>
        <v>#DIV/0!</v>
      </c>
      <c r="AN69" s="164"/>
      <c r="AO69" s="164"/>
      <c r="AP69" s="150" t="s">
        <v>130</v>
      </c>
      <c r="AQ69" s="151">
        <v>44291.0</v>
      </c>
      <c r="AR69" s="176">
        <v>0.0</v>
      </c>
      <c r="AS69" s="177">
        <v>0.0</v>
      </c>
      <c r="AT69" s="178" t="str">
        <f t="shared" si="43"/>
        <v>#DIV/0!</v>
      </c>
      <c r="AU69" s="179">
        <v>0.0</v>
      </c>
      <c r="AV69" s="180" t="str">
        <f t="shared" si="44"/>
        <v>#DIV/0!</v>
      </c>
      <c r="AW69" s="179">
        <v>0.0</v>
      </c>
      <c r="AX69" s="178" t="str">
        <f t="shared" si="45"/>
        <v>#DIV/0!</v>
      </c>
      <c r="AY69" s="179">
        <v>0.0</v>
      </c>
      <c r="AZ69" s="178" t="str">
        <f t="shared" si="46"/>
        <v>#DIV/0!</v>
      </c>
      <c r="BA69" s="181" t="str">
        <f t="shared" si="47"/>
        <v>#DIV/0!</v>
      </c>
      <c r="BB69" s="164"/>
      <c r="BC69" s="150" t="s">
        <v>130</v>
      </c>
      <c r="BD69" s="151">
        <v>44291.0</v>
      </c>
      <c r="BE69" s="176">
        <v>0.0</v>
      </c>
      <c r="BF69" s="177">
        <v>0.0</v>
      </c>
      <c r="BG69" s="178" t="str">
        <f t="shared" si="48"/>
        <v>#DIV/0!</v>
      </c>
      <c r="BH69" s="179">
        <v>0.0</v>
      </c>
      <c r="BI69" s="180" t="str">
        <f t="shared" si="49"/>
        <v>#DIV/0!</v>
      </c>
      <c r="BJ69" s="179">
        <v>0.0</v>
      </c>
      <c r="BK69" s="178" t="str">
        <f t="shared" si="50"/>
        <v>#DIV/0!</v>
      </c>
      <c r="BL69" s="179">
        <v>0.0</v>
      </c>
      <c r="BM69" s="178" t="str">
        <f t="shared" si="51"/>
        <v>#DIV/0!</v>
      </c>
      <c r="BN69" s="181" t="str">
        <f t="shared" si="52"/>
        <v>#DIV/0!</v>
      </c>
      <c r="BO69" s="164"/>
    </row>
    <row r="70" ht="15.75" customHeight="1">
      <c r="B70" s="167" t="s">
        <v>132</v>
      </c>
      <c r="E70" s="168">
        <v>97.0</v>
      </c>
      <c r="G70" s="51"/>
      <c r="H70" s="165" t="s">
        <v>133</v>
      </c>
      <c r="K70" s="174">
        <f>Q64</f>
        <v>104</v>
      </c>
      <c r="M70" s="51"/>
      <c r="N70" s="150" t="s">
        <v>131</v>
      </c>
      <c r="O70" s="151">
        <v>44292.0</v>
      </c>
      <c r="P70" s="176">
        <v>40.77</v>
      </c>
      <c r="Q70" s="177">
        <v>3.0</v>
      </c>
      <c r="R70" s="178">
        <v>13.59</v>
      </c>
      <c r="S70" s="179">
        <v>23.0</v>
      </c>
      <c r="T70" s="180">
        <v>1.77</v>
      </c>
      <c r="U70" s="179">
        <v>25.0</v>
      </c>
      <c r="V70" s="178">
        <v>1.63</v>
      </c>
      <c r="W70" s="179">
        <v>28.0</v>
      </c>
      <c r="X70" s="178">
        <v>1.46</v>
      </c>
      <c r="Y70" s="181"/>
      <c r="Z70" s="185">
        <f t="shared" si="37"/>
        <v>0.1304347826</v>
      </c>
      <c r="AA70" s="164"/>
      <c r="AB70" s="150" t="s">
        <v>131</v>
      </c>
      <c r="AC70" s="151">
        <v>44292.0</v>
      </c>
      <c r="AD70" s="176">
        <v>0.0</v>
      </c>
      <c r="AE70" s="177">
        <v>0.0</v>
      </c>
      <c r="AF70" s="178" t="str">
        <f t="shared" si="38"/>
        <v>#DIV/0!</v>
      </c>
      <c r="AG70" s="179">
        <v>0.0</v>
      </c>
      <c r="AH70" s="180" t="str">
        <f t="shared" si="39"/>
        <v>#DIV/0!</v>
      </c>
      <c r="AI70" s="179">
        <v>0.0</v>
      </c>
      <c r="AJ70" s="178" t="str">
        <f t="shared" si="40"/>
        <v>#DIV/0!</v>
      </c>
      <c r="AK70" s="179">
        <v>0.0</v>
      </c>
      <c r="AL70" s="178" t="str">
        <f t="shared" si="41"/>
        <v>#DIV/0!</v>
      </c>
      <c r="AM70" s="181" t="str">
        <f t="shared" si="42"/>
        <v>#DIV/0!</v>
      </c>
      <c r="AN70" s="164"/>
      <c r="AO70" s="164"/>
      <c r="AP70" s="150" t="s">
        <v>131</v>
      </c>
      <c r="AQ70" s="151">
        <v>44292.0</v>
      </c>
      <c r="AR70" s="176">
        <v>0.0</v>
      </c>
      <c r="AS70" s="177">
        <v>0.0</v>
      </c>
      <c r="AT70" s="178" t="str">
        <f t="shared" si="43"/>
        <v>#DIV/0!</v>
      </c>
      <c r="AU70" s="179">
        <v>0.0</v>
      </c>
      <c r="AV70" s="180" t="str">
        <f t="shared" si="44"/>
        <v>#DIV/0!</v>
      </c>
      <c r="AW70" s="179">
        <v>0.0</v>
      </c>
      <c r="AX70" s="178" t="str">
        <f t="shared" si="45"/>
        <v>#DIV/0!</v>
      </c>
      <c r="AY70" s="179">
        <v>0.0</v>
      </c>
      <c r="AZ70" s="178" t="str">
        <f t="shared" si="46"/>
        <v>#DIV/0!</v>
      </c>
      <c r="BA70" s="181" t="str">
        <f t="shared" si="47"/>
        <v>#DIV/0!</v>
      </c>
      <c r="BB70" s="164"/>
      <c r="BC70" s="150" t="s">
        <v>131</v>
      </c>
      <c r="BD70" s="151">
        <v>44292.0</v>
      </c>
      <c r="BE70" s="176">
        <v>0.0</v>
      </c>
      <c r="BF70" s="177">
        <v>0.0</v>
      </c>
      <c r="BG70" s="178" t="str">
        <f t="shared" si="48"/>
        <v>#DIV/0!</v>
      </c>
      <c r="BH70" s="179">
        <v>0.0</v>
      </c>
      <c r="BI70" s="180" t="str">
        <f t="shared" si="49"/>
        <v>#DIV/0!</v>
      </c>
      <c r="BJ70" s="179">
        <v>0.0</v>
      </c>
      <c r="BK70" s="178" t="str">
        <f t="shared" si="50"/>
        <v>#DIV/0!</v>
      </c>
      <c r="BL70" s="179">
        <v>0.0</v>
      </c>
      <c r="BM70" s="178" t="str">
        <f t="shared" si="51"/>
        <v>#DIV/0!</v>
      </c>
      <c r="BN70" s="181" t="str">
        <f t="shared" si="52"/>
        <v>#DIV/0!</v>
      </c>
      <c r="BO70" s="164"/>
    </row>
    <row r="71" ht="15.75" customHeight="1">
      <c r="G71" s="51"/>
      <c r="M71" s="51"/>
      <c r="N71" s="150" t="s">
        <v>134</v>
      </c>
      <c r="O71" s="151">
        <v>44293.0</v>
      </c>
      <c r="P71" s="176">
        <v>39.66</v>
      </c>
      <c r="Q71" s="177">
        <v>2.0</v>
      </c>
      <c r="R71" s="178">
        <v>19.83</v>
      </c>
      <c r="S71" s="179">
        <v>33.0</v>
      </c>
      <c r="T71" s="180">
        <v>1.2</v>
      </c>
      <c r="U71" s="179">
        <v>24.0</v>
      </c>
      <c r="V71" s="178">
        <v>1.65</v>
      </c>
      <c r="W71" s="179">
        <v>27.0</v>
      </c>
      <c r="X71" s="178">
        <v>1.47</v>
      </c>
      <c r="Y71" s="181"/>
      <c r="Z71" s="185">
        <f t="shared" si="37"/>
        <v>0.06060606061</v>
      </c>
      <c r="AA71" s="164"/>
      <c r="AB71" s="150" t="s">
        <v>134</v>
      </c>
      <c r="AC71" s="151">
        <v>44293.0</v>
      </c>
      <c r="AD71" s="176">
        <v>0.0</v>
      </c>
      <c r="AE71" s="177">
        <v>0.0</v>
      </c>
      <c r="AF71" s="178" t="str">
        <f t="shared" si="38"/>
        <v>#DIV/0!</v>
      </c>
      <c r="AG71" s="179">
        <v>0.0</v>
      </c>
      <c r="AH71" s="180" t="str">
        <f t="shared" si="39"/>
        <v>#DIV/0!</v>
      </c>
      <c r="AI71" s="179">
        <v>0.0</v>
      </c>
      <c r="AJ71" s="178" t="str">
        <f t="shared" si="40"/>
        <v>#DIV/0!</v>
      </c>
      <c r="AK71" s="179">
        <v>0.0</v>
      </c>
      <c r="AL71" s="178" t="str">
        <f t="shared" si="41"/>
        <v>#DIV/0!</v>
      </c>
      <c r="AM71" s="181" t="str">
        <f t="shared" si="42"/>
        <v>#DIV/0!</v>
      </c>
      <c r="AN71" s="169"/>
      <c r="AO71" s="164"/>
      <c r="AP71" s="150" t="s">
        <v>134</v>
      </c>
      <c r="AQ71" s="151">
        <v>44293.0</v>
      </c>
      <c r="AR71" s="176">
        <v>0.0</v>
      </c>
      <c r="AS71" s="177">
        <v>0.0</v>
      </c>
      <c r="AT71" s="178" t="str">
        <f t="shared" si="43"/>
        <v>#DIV/0!</v>
      </c>
      <c r="AU71" s="179">
        <v>0.0</v>
      </c>
      <c r="AV71" s="180" t="str">
        <f t="shared" si="44"/>
        <v>#DIV/0!</v>
      </c>
      <c r="AW71" s="179">
        <v>0.0</v>
      </c>
      <c r="AX71" s="178" t="str">
        <f t="shared" si="45"/>
        <v>#DIV/0!</v>
      </c>
      <c r="AY71" s="179">
        <v>0.0</v>
      </c>
      <c r="AZ71" s="178" t="str">
        <f t="shared" si="46"/>
        <v>#DIV/0!</v>
      </c>
      <c r="BA71" s="181" t="str">
        <f t="shared" si="47"/>
        <v>#DIV/0!</v>
      </c>
      <c r="BB71" s="164"/>
      <c r="BC71" s="150" t="s">
        <v>134</v>
      </c>
      <c r="BD71" s="151">
        <v>44293.0</v>
      </c>
      <c r="BE71" s="176">
        <v>0.0</v>
      </c>
      <c r="BF71" s="177">
        <v>0.0</v>
      </c>
      <c r="BG71" s="178" t="str">
        <f t="shared" si="48"/>
        <v>#DIV/0!</v>
      </c>
      <c r="BH71" s="179">
        <v>0.0</v>
      </c>
      <c r="BI71" s="180" t="str">
        <f t="shared" si="49"/>
        <v>#DIV/0!</v>
      </c>
      <c r="BJ71" s="179">
        <v>0.0</v>
      </c>
      <c r="BK71" s="178" t="str">
        <f t="shared" si="50"/>
        <v>#DIV/0!</v>
      </c>
      <c r="BL71" s="179">
        <v>0.0</v>
      </c>
      <c r="BM71" s="178" t="str">
        <f t="shared" si="51"/>
        <v>#DIV/0!</v>
      </c>
      <c r="BN71" s="181" t="str">
        <f t="shared" si="52"/>
        <v>#DIV/0!</v>
      </c>
      <c r="BO71" s="169"/>
    </row>
    <row r="72" ht="15.75" customHeight="1">
      <c r="B72" s="165" t="s">
        <v>136</v>
      </c>
      <c r="E72" s="168">
        <v>10.6</v>
      </c>
      <c r="G72" s="51"/>
      <c r="H72" s="167" t="s">
        <v>137</v>
      </c>
      <c r="K72" s="171">
        <f>SUM(K68/K70)</f>
        <v>14.65355769</v>
      </c>
      <c r="M72" s="51"/>
      <c r="N72" s="150" t="s">
        <v>135</v>
      </c>
      <c r="O72" s="151">
        <v>44294.0</v>
      </c>
      <c r="P72" s="176">
        <v>40.63</v>
      </c>
      <c r="Q72" s="177">
        <v>3.0</v>
      </c>
      <c r="R72" s="178">
        <v>13.54</v>
      </c>
      <c r="S72" s="179">
        <v>36.0</v>
      </c>
      <c r="T72" s="180">
        <v>1.13</v>
      </c>
      <c r="U72" s="179">
        <v>29.0</v>
      </c>
      <c r="V72" s="178">
        <v>1.4</v>
      </c>
      <c r="W72" s="179">
        <v>31.0</v>
      </c>
      <c r="X72" s="178">
        <v>1.31</v>
      </c>
      <c r="Y72" s="181"/>
      <c r="Z72" s="185">
        <f t="shared" si="37"/>
        <v>0.08333333333</v>
      </c>
      <c r="AA72" s="164"/>
      <c r="AB72" s="150" t="s">
        <v>135</v>
      </c>
      <c r="AC72" s="151">
        <v>44294.0</v>
      </c>
      <c r="AD72" s="176">
        <v>0.0</v>
      </c>
      <c r="AE72" s="177">
        <v>0.0</v>
      </c>
      <c r="AF72" s="178" t="str">
        <f t="shared" si="38"/>
        <v>#DIV/0!</v>
      </c>
      <c r="AG72" s="179">
        <v>0.0</v>
      </c>
      <c r="AH72" s="180" t="str">
        <f t="shared" si="39"/>
        <v>#DIV/0!</v>
      </c>
      <c r="AI72" s="179">
        <v>0.0</v>
      </c>
      <c r="AJ72" s="178" t="str">
        <f t="shared" si="40"/>
        <v>#DIV/0!</v>
      </c>
      <c r="AK72" s="179">
        <v>0.0</v>
      </c>
      <c r="AL72" s="178" t="str">
        <f t="shared" si="41"/>
        <v>#DIV/0!</v>
      </c>
      <c r="AM72" s="181" t="str">
        <f t="shared" si="42"/>
        <v>#DIV/0!</v>
      </c>
      <c r="AN72" s="169"/>
      <c r="AO72" s="164"/>
      <c r="AP72" s="150" t="s">
        <v>135</v>
      </c>
      <c r="AQ72" s="151">
        <v>44294.0</v>
      </c>
      <c r="AR72" s="176">
        <v>0.0</v>
      </c>
      <c r="AS72" s="177">
        <v>0.0</v>
      </c>
      <c r="AT72" s="178" t="str">
        <f t="shared" si="43"/>
        <v>#DIV/0!</v>
      </c>
      <c r="AU72" s="179">
        <v>0.0</v>
      </c>
      <c r="AV72" s="180" t="str">
        <f t="shared" si="44"/>
        <v>#DIV/0!</v>
      </c>
      <c r="AW72" s="179">
        <v>0.0</v>
      </c>
      <c r="AX72" s="178" t="str">
        <f t="shared" si="45"/>
        <v>#DIV/0!</v>
      </c>
      <c r="AY72" s="179">
        <v>0.0</v>
      </c>
      <c r="AZ72" s="178" t="str">
        <f t="shared" si="46"/>
        <v>#DIV/0!</v>
      </c>
      <c r="BA72" s="181" t="str">
        <f t="shared" si="47"/>
        <v>#DIV/0!</v>
      </c>
      <c r="BB72" s="164"/>
      <c r="BC72" s="150" t="s">
        <v>135</v>
      </c>
      <c r="BD72" s="151">
        <v>44294.0</v>
      </c>
      <c r="BE72" s="176">
        <v>0.0</v>
      </c>
      <c r="BF72" s="177">
        <v>0.0</v>
      </c>
      <c r="BG72" s="178" t="str">
        <f t="shared" si="48"/>
        <v>#DIV/0!</v>
      </c>
      <c r="BH72" s="179">
        <v>0.0</v>
      </c>
      <c r="BI72" s="180" t="str">
        <f t="shared" si="49"/>
        <v>#DIV/0!</v>
      </c>
      <c r="BJ72" s="179">
        <v>0.0</v>
      </c>
      <c r="BK72" s="178" t="str">
        <f t="shared" si="50"/>
        <v>#DIV/0!</v>
      </c>
      <c r="BL72" s="179">
        <v>0.0</v>
      </c>
      <c r="BM72" s="178" t="str">
        <f t="shared" si="51"/>
        <v>#DIV/0!</v>
      </c>
      <c r="BN72" s="181" t="str">
        <f t="shared" si="52"/>
        <v>#DIV/0!</v>
      </c>
      <c r="BO72" s="169"/>
    </row>
    <row r="73" ht="15.75" customHeight="1">
      <c r="G73" s="51"/>
      <c r="M73" s="51"/>
      <c r="N73" s="150" t="s">
        <v>123</v>
      </c>
      <c r="O73" s="151">
        <v>44295.0</v>
      </c>
      <c r="P73" s="176">
        <v>39.81</v>
      </c>
      <c r="Q73" s="177">
        <v>1.0</v>
      </c>
      <c r="R73" s="178">
        <v>39.81</v>
      </c>
      <c r="S73" s="179">
        <v>26.0</v>
      </c>
      <c r="T73" s="180">
        <v>1.53</v>
      </c>
      <c r="U73" s="179">
        <v>18.0</v>
      </c>
      <c r="V73" s="178">
        <v>2.21</v>
      </c>
      <c r="W73" s="179">
        <v>21.0</v>
      </c>
      <c r="X73" s="178">
        <v>1.9</v>
      </c>
      <c r="Y73" s="181"/>
      <c r="Z73" s="185">
        <f t="shared" si="37"/>
        <v>0.03846153846</v>
      </c>
      <c r="AA73" s="164"/>
      <c r="AB73" s="150" t="s">
        <v>123</v>
      </c>
      <c r="AC73" s="151">
        <v>44295.0</v>
      </c>
      <c r="AD73" s="176">
        <v>0.0</v>
      </c>
      <c r="AE73" s="177">
        <v>0.0</v>
      </c>
      <c r="AF73" s="178" t="str">
        <f t="shared" si="38"/>
        <v>#DIV/0!</v>
      </c>
      <c r="AG73" s="179">
        <v>0.0</v>
      </c>
      <c r="AH73" s="180" t="str">
        <f t="shared" si="39"/>
        <v>#DIV/0!</v>
      </c>
      <c r="AI73" s="179">
        <v>0.0</v>
      </c>
      <c r="AJ73" s="178" t="str">
        <f t="shared" si="40"/>
        <v>#DIV/0!</v>
      </c>
      <c r="AK73" s="179">
        <v>0.0</v>
      </c>
      <c r="AL73" s="178" t="str">
        <f t="shared" si="41"/>
        <v>#DIV/0!</v>
      </c>
      <c r="AM73" s="181" t="str">
        <f t="shared" si="42"/>
        <v>#DIV/0!</v>
      </c>
      <c r="AN73" s="169"/>
      <c r="AO73" s="164"/>
      <c r="AP73" s="150" t="s">
        <v>123</v>
      </c>
      <c r="AQ73" s="151">
        <v>44295.0</v>
      </c>
      <c r="AR73" s="176">
        <v>0.0</v>
      </c>
      <c r="AS73" s="177">
        <v>0.0</v>
      </c>
      <c r="AT73" s="178" t="str">
        <f t="shared" si="43"/>
        <v>#DIV/0!</v>
      </c>
      <c r="AU73" s="179">
        <v>0.0</v>
      </c>
      <c r="AV73" s="180" t="str">
        <f t="shared" si="44"/>
        <v>#DIV/0!</v>
      </c>
      <c r="AW73" s="179">
        <v>0.0</v>
      </c>
      <c r="AX73" s="178" t="str">
        <f t="shared" si="45"/>
        <v>#DIV/0!</v>
      </c>
      <c r="AY73" s="179">
        <v>0.0</v>
      </c>
      <c r="AZ73" s="178" t="str">
        <f t="shared" si="46"/>
        <v>#DIV/0!</v>
      </c>
      <c r="BA73" s="181" t="str">
        <f t="shared" si="47"/>
        <v>#DIV/0!</v>
      </c>
      <c r="BB73" s="164"/>
      <c r="BC73" s="150" t="s">
        <v>123</v>
      </c>
      <c r="BD73" s="151">
        <v>44295.0</v>
      </c>
      <c r="BE73" s="176">
        <v>0.0</v>
      </c>
      <c r="BF73" s="177">
        <v>0.0</v>
      </c>
      <c r="BG73" s="178" t="str">
        <f t="shared" si="48"/>
        <v>#DIV/0!</v>
      </c>
      <c r="BH73" s="179">
        <v>0.0</v>
      </c>
      <c r="BI73" s="180" t="str">
        <f t="shared" si="49"/>
        <v>#DIV/0!</v>
      </c>
      <c r="BJ73" s="179">
        <v>0.0</v>
      </c>
      <c r="BK73" s="178" t="str">
        <f t="shared" si="50"/>
        <v>#DIV/0!</v>
      </c>
      <c r="BL73" s="179">
        <v>0.0</v>
      </c>
      <c r="BM73" s="178" t="str">
        <f t="shared" si="51"/>
        <v>#DIV/0!</v>
      </c>
      <c r="BN73" s="181" t="str">
        <f t="shared" si="52"/>
        <v>#DIV/0!</v>
      </c>
      <c r="BO73" s="169"/>
    </row>
    <row r="74" ht="15.75" customHeight="1">
      <c r="B74" s="167" t="s">
        <v>138</v>
      </c>
      <c r="E74" s="168">
        <v>25.92</v>
      </c>
      <c r="G74" s="51"/>
      <c r="H74" s="165" t="s">
        <v>139</v>
      </c>
      <c r="K74" s="172">
        <f>SUM(K70*E76)</f>
        <v>6289.92</v>
      </c>
      <c r="M74" s="51"/>
      <c r="N74" s="150" t="s">
        <v>126</v>
      </c>
      <c r="O74" s="151">
        <v>44296.0</v>
      </c>
      <c r="P74" s="176">
        <v>41.19</v>
      </c>
      <c r="Q74" s="177">
        <v>5.0</v>
      </c>
      <c r="R74" s="178">
        <v>8.24</v>
      </c>
      <c r="S74" s="179">
        <v>29.0</v>
      </c>
      <c r="T74" s="180">
        <v>1.42</v>
      </c>
      <c r="U74" s="179">
        <v>22.0</v>
      </c>
      <c r="V74" s="178">
        <v>1.87</v>
      </c>
      <c r="W74" s="179">
        <v>23.0</v>
      </c>
      <c r="X74" s="178">
        <v>1.79</v>
      </c>
      <c r="Y74" s="181"/>
      <c r="Z74" s="185">
        <f t="shared" si="37"/>
        <v>0.1724137931</v>
      </c>
      <c r="AA74" s="164"/>
      <c r="AB74" s="150" t="s">
        <v>126</v>
      </c>
      <c r="AC74" s="151">
        <v>44296.0</v>
      </c>
      <c r="AD74" s="176">
        <v>0.0</v>
      </c>
      <c r="AE74" s="177">
        <v>0.0</v>
      </c>
      <c r="AF74" s="178" t="str">
        <f t="shared" si="38"/>
        <v>#DIV/0!</v>
      </c>
      <c r="AG74" s="179">
        <v>0.0</v>
      </c>
      <c r="AH74" s="180" t="str">
        <f t="shared" si="39"/>
        <v>#DIV/0!</v>
      </c>
      <c r="AI74" s="179">
        <v>0.0</v>
      </c>
      <c r="AJ74" s="178" t="str">
        <f t="shared" si="40"/>
        <v>#DIV/0!</v>
      </c>
      <c r="AK74" s="179">
        <v>0.0</v>
      </c>
      <c r="AL74" s="178" t="str">
        <f t="shared" si="41"/>
        <v>#DIV/0!</v>
      </c>
      <c r="AM74" s="181" t="str">
        <f t="shared" si="42"/>
        <v>#DIV/0!</v>
      </c>
      <c r="AN74" s="169"/>
      <c r="AO74" s="164"/>
      <c r="AP74" s="150" t="s">
        <v>126</v>
      </c>
      <c r="AQ74" s="151">
        <v>44296.0</v>
      </c>
      <c r="AR74" s="176">
        <v>0.0</v>
      </c>
      <c r="AS74" s="177">
        <v>0.0</v>
      </c>
      <c r="AT74" s="178" t="str">
        <f t="shared" si="43"/>
        <v>#DIV/0!</v>
      </c>
      <c r="AU74" s="179">
        <v>0.0</v>
      </c>
      <c r="AV74" s="180" t="str">
        <f t="shared" si="44"/>
        <v>#DIV/0!</v>
      </c>
      <c r="AW74" s="179">
        <v>0.0</v>
      </c>
      <c r="AX74" s="178" t="str">
        <f t="shared" si="45"/>
        <v>#DIV/0!</v>
      </c>
      <c r="AY74" s="179">
        <v>0.0</v>
      </c>
      <c r="AZ74" s="178" t="str">
        <f t="shared" si="46"/>
        <v>#DIV/0!</v>
      </c>
      <c r="BA74" s="181" t="str">
        <f t="shared" si="47"/>
        <v>#DIV/0!</v>
      </c>
      <c r="BB74" s="164"/>
      <c r="BC74" s="150" t="s">
        <v>126</v>
      </c>
      <c r="BD74" s="151">
        <v>44296.0</v>
      </c>
      <c r="BE74" s="176">
        <v>0.0</v>
      </c>
      <c r="BF74" s="177">
        <v>0.0</v>
      </c>
      <c r="BG74" s="178" t="str">
        <f t="shared" si="48"/>
        <v>#DIV/0!</v>
      </c>
      <c r="BH74" s="179">
        <v>0.0</v>
      </c>
      <c r="BI74" s="180" t="str">
        <f t="shared" si="49"/>
        <v>#DIV/0!</v>
      </c>
      <c r="BJ74" s="179">
        <v>0.0</v>
      </c>
      <c r="BK74" s="178" t="str">
        <f t="shared" si="50"/>
        <v>#DIV/0!</v>
      </c>
      <c r="BL74" s="179">
        <v>0.0</v>
      </c>
      <c r="BM74" s="178" t="str">
        <f t="shared" si="51"/>
        <v>#DIV/0!</v>
      </c>
      <c r="BN74" s="181" t="str">
        <f t="shared" si="52"/>
        <v>#DIV/0!</v>
      </c>
      <c r="BO74" s="169"/>
    </row>
    <row r="75" ht="15.75" customHeight="1">
      <c r="G75" s="51"/>
      <c r="M75" s="51"/>
      <c r="N75" s="150" t="s">
        <v>127</v>
      </c>
      <c r="O75" s="151">
        <v>44297.0</v>
      </c>
      <c r="P75" s="176">
        <v>39.28</v>
      </c>
      <c r="Q75" s="177">
        <v>1.0</v>
      </c>
      <c r="R75" s="178">
        <v>39.28</v>
      </c>
      <c r="S75" s="179">
        <v>30.0</v>
      </c>
      <c r="T75" s="180">
        <v>1.31</v>
      </c>
      <c r="U75" s="179">
        <v>23.0</v>
      </c>
      <c r="V75" s="178">
        <v>1.71</v>
      </c>
      <c r="W75" s="179">
        <v>26.0</v>
      </c>
      <c r="X75" s="178">
        <v>1.51</v>
      </c>
      <c r="Y75" s="181"/>
      <c r="Z75" s="185">
        <f t="shared" si="37"/>
        <v>0.03333333333</v>
      </c>
      <c r="AA75" s="164"/>
      <c r="AB75" s="150" t="s">
        <v>127</v>
      </c>
      <c r="AC75" s="151">
        <v>44297.0</v>
      </c>
      <c r="AD75" s="176">
        <v>0.0</v>
      </c>
      <c r="AE75" s="177">
        <v>0.0</v>
      </c>
      <c r="AF75" s="178" t="str">
        <f t="shared" si="38"/>
        <v>#DIV/0!</v>
      </c>
      <c r="AG75" s="179">
        <v>0.0</v>
      </c>
      <c r="AH75" s="180" t="str">
        <f t="shared" si="39"/>
        <v>#DIV/0!</v>
      </c>
      <c r="AI75" s="179">
        <v>0.0</v>
      </c>
      <c r="AJ75" s="178" t="str">
        <f t="shared" si="40"/>
        <v>#DIV/0!</v>
      </c>
      <c r="AK75" s="179">
        <v>0.0</v>
      </c>
      <c r="AL75" s="178" t="str">
        <f t="shared" si="41"/>
        <v>#DIV/0!</v>
      </c>
      <c r="AM75" s="181" t="str">
        <f t="shared" si="42"/>
        <v>#DIV/0!</v>
      </c>
      <c r="AN75" s="169"/>
      <c r="AO75" s="164"/>
      <c r="AP75" s="150" t="s">
        <v>127</v>
      </c>
      <c r="AQ75" s="151">
        <v>44297.0</v>
      </c>
      <c r="AR75" s="176">
        <v>0.0</v>
      </c>
      <c r="AS75" s="177">
        <v>0.0</v>
      </c>
      <c r="AT75" s="178" t="str">
        <f t="shared" si="43"/>
        <v>#DIV/0!</v>
      </c>
      <c r="AU75" s="179">
        <v>0.0</v>
      </c>
      <c r="AV75" s="180" t="str">
        <f t="shared" si="44"/>
        <v>#DIV/0!</v>
      </c>
      <c r="AW75" s="179">
        <v>0.0</v>
      </c>
      <c r="AX75" s="178" t="str">
        <f t="shared" si="45"/>
        <v>#DIV/0!</v>
      </c>
      <c r="AY75" s="179">
        <v>0.0</v>
      </c>
      <c r="AZ75" s="178" t="str">
        <f t="shared" si="46"/>
        <v>#DIV/0!</v>
      </c>
      <c r="BA75" s="181" t="str">
        <f t="shared" si="47"/>
        <v>#DIV/0!</v>
      </c>
      <c r="BB75" s="164"/>
      <c r="BC75" s="150" t="s">
        <v>127</v>
      </c>
      <c r="BD75" s="151">
        <v>44297.0</v>
      </c>
      <c r="BE75" s="176">
        <v>0.0</v>
      </c>
      <c r="BF75" s="177">
        <v>0.0</v>
      </c>
      <c r="BG75" s="178" t="str">
        <f t="shared" si="48"/>
        <v>#DIV/0!</v>
      </c>
      <c r="BH75" s="179">
        <v>0.0</v>
      </c>
      <c r="BI75" s="180" t="str">
        <f t="shared" si="49"/>
        <v>#DIV/0!</v>
      </c>
      <c r="BJ75" s="179">
        <v>0.0</v>
      </c>
      <c r="BK75" s="178" t="str">
        <f t="shared" si="50"/>
        <v>#DIV/0!</v>
      </c>
      <c r="BL75" s="179">
        <v>0.0</v>
      </c>
      <c r="BM75" s="178" t="str">
        <f t="shared" si="51"/>
        <v>#DIV/0!</v>
      </c>
      <c r="BN75" s="181" t="str">
        <f t="shared" si="52"/>
        <v>#DIV/0!</v>
      </c>
      <c r="BO75" s="169"/>
    </row>
    <row r="76" ht="15.75" customHeight="1">
      <c r="B76" s="165" t="s">
        <v>140</v>
      </c>
      <c r="E76" s="171">
        <f>SUM(E70-E72-E74)</f>
        <v>60.48</v>
      </c>
      <c r="G76" s="51"/>
      <c r="H76" s="167" t="s">
        <v>141</v>
      </c>
      <c r="K76" s="173">
        <f>SUM(K74-K68)</f>
        <v>4765.95</v>
      </c>
      <c r="M76" s="51"/>
      <c r="N76" s="150" t="s">
        <v>130</v>
      </c>
      <c r="O76" s="151">
        <v>44298.0</v>
      </c>
      <c r="P76" s="176">
        <v>65.36</v>
      </c>
      <c r="Q76" s="177">
        <v>4.0</v>
      </c>
      <c r="R76" s="178">
        <v>16.34</v>
      </c>
      <c r="S76" s="179">
        <v>30.0</v>
      </c>
      <c r="T76" s="180">
        <v>2.18</v>
      </c>
      <c r="U76" s="179">
        <v>24.0</v>
      </c>
      <c r="V76" s="178">
        <v>2.72</v>
      </c>
      <c r="W76" s="179">
        <v>31.0</v>
      </c>
      <c r="X76" s="178">
        <v>2.11</v>
      </c>
      <c r="Y76" s="181"/>
      <c r="Z76" s="185">
        <f t="shared" si="37"/>
        <v>0.1333333333</v>
      </c>
      <c r="AA76" s="164"/>
      <c r="AB76" s="150" t="s">
        <v>130</v>
      </c>
      <c r="AC76" s="151">
        <v>44298.0</v>
      </c>
      <c r="AD76" s="176">
        <v>0.0</v>
      </c>
      <c r="AE76" s="177">
        <v>0.0</v>
      </c>
      <c r="AF76" s="178" t="str">
        <f t="shared" si="38"/>
        <v>#DIV/0!</v>
      </c>
      <c r="AG76" s="179">
        <v>0.0</v>
      </c>
      <c r="AH76" s="180" t="str">
        <f t="shared" si="39"/>
        <v>#DIV/0!</v>
      </c>
      <c r="AI76" s="179">
        <v>0.0</v>
      </c>
      <c r="AJ76" s="178" t="str">
        <f t="shared" si="40"/>
        <v>#DIV/0!</v>
      </c>
      <c r="AK76" s="179">
        <v>0.0</v>
      </c>
      <c r="AL76" s="178" t="str">
        <f t="shared" si="41"/>
        <v>#DIV/0!</v>
      </c>
      <c r="AM76" s="181" t="str">
        <f t="shared" si="42"/>
        <v>#DIV/0!</v>
      </c>
      <c r="AN76" s="169"/>
      <c r="AO76" s="164"/>
      <c r="AP76" s="150" t="s">
        <v>130</v>
      </c>
      <c r="AQ76" s="151">
        <v>44298.0</v>
      </c>
      <c r="AR76" s="176">
        <v>0.0</v>
      </c>
      <c r="AS76" s="177">
        <v>0.0</v>
      </c>
      <c r="AT76" s="178" t="str">
        <f t="shared" si="43"/>
        <v>#DIV/0!</v>
      </c>
      <c r="AU76" s="179">
        <v>0.0</v>
      </c>
      <c r="AV76" s="180" t="str">
        <f t="shared" si="44"/>
        <v>#DIV/0!</v>
      </c>
      <c r="AW76" s="179">
        <v>0.0</v>
      </c>
      <c r="AX76" s="178" t="str">
        <f t="shared" si="45"/>
        <v>#DIV/0!</v>
      </c>
      <c r="AY76" s="179">
        <v>0.0</v>
      </c>
      <c r="AZ76" s="178" t="str">
        <f t="shared" si="46"/>
        <v>#DIV/0!</v>
      </c>
      <c r="BA76" s="181" t="str">
        <f t="shared" si="47"/>
        <v>#DIV/0!</v>
      </c>
      <c r="BB76" s="164"/>
      <c r="BC76" s="150" t="s">
        <v>130</v>
      </c>
      <c r="BD76" s="151">
        <v>44298.0</v>
      </c>
      <c r="BE76" s="176">
        <v>0.0</v>
      </c>
      <c r="BF76" s="177">
        <v>0.0</v>
      </c>
      <c r="BG76" s="178" t="str">
        <f t="shared" si="48"/>
        <v>#DIV/0!</v>
      </c>
      <c r="BH76" s="179">
        <v>0.0</v>
      </c>
      <c r="BI76" s="180" t="str">
        <f t="shared" si="49"/>
        <v>#DIV/0!</v>
      </c>
      <c r="BJ76" s="179">
        <v>0.0</v>
      </c>
      <c r="BK76" s="178" t="str">
        <f t="shared" si="50"/>
        <v>#DIV/0!</v>
      </c>
      <c r="BL76" s="179">
        <v>0.0</v>
      </c>
      <c r="BM76" s="178" t="str">
        <f t="shared" si="51"/>
        <v>#DIV/0!</v>
      </c>
      <c r="BN76" s="181" t="str">
        <f t="shared" si="52"/>
        <v>#DIV/0!</v>
      </c>
      <c r="BO76" s="169"/>
    </row>
    <row r="77" ht="15.75" customHeight="1">
      <c r="G77" s="51"/>
      <c r="M77" s="51"/>
      <c r="N77" s="150" t="s">
        <v>131</v>
      </c>
      <c r="O77" s="151">
        <v>44299.0</v>
      </c>
      <c r="P77" s="176">
        <v>63.58</v>
      </c>
      <c r="Q77" s="177">
        <v>3.0</v>
      </c>
      <c r="R77" s="178">
        <v>21.19</v>
      </c>
      <c r="S77" s="179">
        <v>53.0</v>
      </c>
      <c r="T77" s="180">
        <v>1.2</v>
      </c>
      <c r="U77" s="179">
        <v>42.0</v>
      </c>
      <c r="V77" s="178">
        <v>1.51</v>
      </c>
      <c r="W77" s="179">
        <v>45.0</v>
      </c>
      <c r="X77" s="178">
        <v>1.41</v>
      </c>
      <c r="Y77" s="181"/>
      <c r="Z77" s="185">
        <f t="shared" si="37"/>
        <v>0.05660377358</v>
      </c>
      <c r="AA77" s="164"/>
      <c r="AB77" s="150" t="s">
        <v>131</v>
      </c>
      <c r="AC77" s="151">
        <v>44299.0</v>
      </c>
      <c r="AD77" s="176">
        <v>0.0</v>
      </c>
      <c r="AE77" s="177">
        <v>0.0</v>
      </c>
      <c r="AF77" s="178" t="str">
        <f t="shared" si="38"/>
        <v>#DIV/0!</v>
      </c>
      <c r="AG77" s="179">
        <v>0.0</v>
      </c>
      <c r="AH77" s="180" t="str">
        <f t="shared" si="39"/>
        <v>#DIV/0!</v>
      </c>
      <c r="AI77" s="179">
        <v>0.0</v>
      </c>
      <c r="AJ77" s="178" t="str">
        <f t="shared" si="40"/>
        <v>#DIV/0!</v>
      </c>
      <c r="AK77" s="179">
        <v>0.0</v>
      </c>
      <c r="AL77" s="178" t="str">
        <f t="shared" si="41"/>
        <v>#DIV/0!</v>
      </c>
      <c r="AM77" s="181" t="str">
        <f t="shared" si="42"/>
        <v>#DIV/0!</v>
      </c>
      <c r="AN77" s="169"/>
      <c r="AO77" s="164"/>
      <c r="AP77" s="150" t="s">
        <v>131</v>
      </c>
      <c r="AQ77" s="151">
        <v>44299.0</v>
      </c>
      <c r="AR77" s="176">
        <v>0.0</v>
      </c>
      <c r="AS77" s="177">
        <v>0.0</v>
      </c>
      <c r="AT77" s="178" t="str">
        <f t="shared" si="43"/>
        <v>#DIV/0!</v>
      </c>
      <c r="AU77" s="179">
        <v>0.0</v>
      </c>
      <c r="AV77" s="180" t="str">
        <f t="shared" si="44"/>
        <v>#DIV/0!</v>
      </c>
      <c r="AW77" s="179">
        <v>0.0</v>
      </c>
      <c r="AX77" s="178" t="str">
        <f t="shared" si="45"/>
        <v>#DIV/0!</v>
      </c>
      <c r="AY77" s="179">
        <v>0.0</v>
      </c>
      <c r="AZ77" s="178" t="str">
        <f t="shared" si="46"/>
        <v>#DIV/0!</v>
      </c>
      <c r="BA77" s="181" t="str">
        <f t="shared" si="47"/>
        <v>#DIV/0!</v>
      </c>
      <c r="BB77" s="164"/>
      <c r="BC77" s="150" t="s">
        <v>131</v>
      </c>
      <c r="BD77" s="151">
        <v>44299.0</v>
      </c>
      <c r="BE77" s="176">
        <v>0.0</v>
      </c>
      <c r="BF77" s="177">
        <v>0.0</v>
      </c>
      <c r="BG77" s="178" t="str">
        <f t="shared" si="48"/>
        <v>#DIV/0!</v>
      </c>
      <c r="BH77" s="179">
        <v>0.0</v>
      </c>
      <c r="BI77" s="180" t="str">
        <f t="shared" si="49"/>
        <v>#DIV/0!</v>
      </c>
      <c r="BJ77" s="179">
        <v>0.0</v>
      </c>
      <c r="BK77" s="178" t="str">
        <f t="shared" si="50"/>
        <v>#DIV/0!</v>
      </c>
      <c r="BL77" s="179">
        <v>0.0</v>
      </c>
      <c r="BM77" s="178" t="str">
        <f t="shared" si="51"/>
        <v>#DIV/0!</v>
      </c>
      <c r="BN77" s="181" t="str">
        <f t="shared" si="52"/>
        <v>#DIV/0!</v>
      </c>
      <c r="BO77" s="169"/>
    </row>
    <row r="78" ht="15.75" customHeight="1">
      <c r="B78" s="167" t="s">
        <v>142</v>
      </c>
      <c r="E78" s="168" t="str">
        <f>#REF!</f>
        <v>#REF!</v>
      </c>
      <c r="G78" s="51"/>
      <c r="H78" s="167" t="s">
        <v>152</v>
      </c>
      <c r="K78" s="186">
        <f>K70/30</f>
        <v>3.466666667</v>
      </c>
      <c r="M78" s="51"/>
      <c r="N78" s="150" t="s">
        <v>134</v>
      </c>
      <c r="O78" s="151">
        <v>44300.0</v>
      </c>
      <c r="P78" s="176">
        <v>62.97</v>
      </c>
      <c r="Q78" s="177">
        <v>9.0</v>
      </c>
      <c r="R78" s="178">
        <v>7.0</v>
      </c>
      <c r="S78" s="179">
        <v>23.0</v>
      </c>
      <c r="T78" s="180">
        <v>2.74</v>
      </c>
      <c r="U78" s="179">
        <v>32.0</v>
      </c>
      <c r="V78" s="178">
        <v>1.97</v>
      </c>
      <c r="W78" s="179">
        <v>42.0</v>
      </c>
      <c r="X78" s="178">
        <v>1.5</v>
      </c>
      <c r="Y78" s="181"/>
      <c r="Z78" s="185">
        <f t="shared" si="37"/>
        <v>0.3913043478</v>
      </c>
      <c r="AA78" s="187" t="s">
        <v>153</v>
      </c>
      <c r="AB78" s="150" t="s">
        <v>134</v>
      </c>
      <c r="AC78" s="151">
        <v>44300.0</v>
      </c>
      <c r="AD78" s="176">
        <v>0.0</v>
      </c>
      <c r="AE78" s="177">
        <v>0.0</v>
      </c>
      <c r="AF78" s="178" t="str">
        <f t="shared" si="38"/>
        <v>#DIV/0!</v>
      </c>
      <c r="AG78" s="179">
        <v>0.0</v>
      </c>
      <c r="AH78" s="180" t="str">
        <f t="shared" si="39"/>
        <v>#DIV/0!</v>
      </c>
      <c r="AI78" s="179">
        <v>0.0</v>
      </c>
      <c r="AJ78" s="178" t="str">
        <f t="shared" si="40"/>
        <v>#DIV/0!</v>
      </c>
      <c r="AK78" s="179">
        <v>0.0</v>
      </c>
      <c r="AL78" s="178" t="str">
        <f t="shared" si="41"/>
        <v>#DIV/0!</v>
      </c>
      <c r="AM78" s="181" t="str">
        <f t="shared" si="42"/>
        <v>#DIV/0!</v>
      </c>
      <c r="AN78" s="169"/>
      <c r="AO78" s="164"/>
      <c r="AP78" s="150" t="s">
        <v>134</v>
      </c>
      <c r="AQ78" s="151">
        <v>44300.0</v>
      </c>
      <c r="AR78" s="176">
        <v>0.0</v>
      </c>
      <c r="AS78" s="177">
        <v>0.0</v>
      </c>
      <c r="AT78" s="178" t="str">
        <f t="shared" si="43"/>
        <v>#DIV/0!</v>
      </c>
      <c r="AU78" s="179">
        <v>0.0</v>
      </c>
      <c r="AV78" s="180" t="str">
        <f t="shared" si="44"/>
        <v>#DIV/0!</v>
      </c>
      <c r="AW78" s="179">
        <v>0.0</v>
      </c>
      <c r="AX78" s="178" t="str">
        <f t="shared" si="45"/>
        <v>#DIV/0!</v>
      </c>
      <c r="AY78" s="179">
        <v>0.0</v>
      </c>
      <c r="AZ78" s="178" t="str">
        <f t="shared" si="46"/>
        <v>#DIV/0!</v>
      </c>
      <c r="BA78" s="181" t="str">
        <f t="shared" si="47"/>
        <v>#DIV/0!</v>
      </c>
      <c r="BB78" s="164"/>
      <c r="BC78" s="150" t="s">
        <v>134</v>
      </c>
      <c r="BD78" s="151">
        <v>44300.0</v>
      </c>
      <c r="BE78" s="176">
        <v>0.0</v>
      </c>
      <c r="BF78" s="177">
        <v>0.0</v>
      </c>
      <c r="BG78" s="178" t="str">
        <f t="shared" si="48"/>
        <v>#DIV/0!</v>
      </c>
      <c r="BH78" s="179">
        <v>0.0</v>
      </c>
      <c r="BI78" s="180" t="str">
        <f t="shared" si="49"/>
        <v>#DIV/0!</v>
      </c>
      <c r="BJ78" s="179">
        <v>0.0</v>
      </c>
      <c r="BK78" s="178" t="str">
        <f t="shared" si="50"/>
        <v>#DIV/0!</v>
      </c>
      <c r="BL78" s="179">
        <v>0.0</v>
      </c>
      <c r="BM78" s="178" t="str">
        <f t="shared" si="51"/>
        <v>#DIV/0!</v>
      </c>
      <c r="BN78" s="181" t="str">
        <f t="shared" si="52"/>
        <v>#DIV/0!</v>
      </c>
      <c r="BO78" s="169"/>
    </row>
    <row r="79" ht="15.75" customHeight="1">
      <c r="G79" s="51"/>
      <c r="M79" s="51"/>
      <c r="N79" s="150" t="s">
        <v>135</v>
      </c>
      <c r="O79" s="151">
        <v>44301.0</v>
      </c>
      <c r="P79" s="176">
        <v>62.29</v>
      </c>
      <c r="Q79" s="177">
        <v>2.0</v>
      </c>
      <c r="R79" s="178">
        <v>31.15</v>
      </c>
      <c r="S79" s="179">
        <v>13.0</v>
      </c>
      <c r="T79" s="180">
        <v>4.79</v>
      </c>
      <c r="U79" s="179">
        <v>28.0</v>
      </c>
      <c r="V79" s="178">
        <v>2.22</v>
      </c>
      <c r="W79" s="179">
        <v>41.0</v>
      </c>
      <c r="X79" s="178">
        <v>1.52</v>
      </c>
      <c r="Y79" s="181"/>
      <c r="Z79" s="185">
        <f t="shared" si="37"/>
        <v>0.1538461538</v>
      </c>
      <c r="AA79" s="164"/>
      <c r="AB79" s="150" t="s">
        <v>135</v>
      </c>
      <c r="AC79" s="151"/>
      <c r="AD79" s="176"/>
      <c r="AE79" s="177"/>
      <c r="AF79" s="178"/>
      <c r="AG79" s="179"/>
      <c r="AH79" s="180"/>
      <c r="AI79" s="179"/>
      <c r="AJ79" s="178"/>
      <c r="AK79" s="179"/>
      <c r="AL79" s="178"/>
      <c r="AM79" s="181"/>
      <c r="AN79" s="169"/>
      <c r="AO79" s="164"/>
      <c r="AP79" s="150" t="s">
        <v>135</v>
      </c>
      <c r="AQ79" s="151">
        <v>44301.0</v>
      </c>
      <c r="AR79" s="176">
        <v>0.0</v>
      </c>
      <c r="AS79" s="177">
        <v>0.0</v>
      </c>
      <c r="AT79" s="178" t="str">
        <f t="shared" si="43"/>
        <v>#DIV/0!</v>
      </c>
      <c r="AU79" s="179">
        <v>0.0</v>
      </c>
      <c r="AV79" s="180" t="str">
        <f t="shared" si="44"/>
        <v>#DIV/0!</v>
      </c>
      <c r="AW79" s="179">
        <v>0.0</v>
      </c>
      <c r="AX79" s="178" t="str">
        <f t="shared" si="45"/>
        <v>#DIV/0!</v>
      </c>
      <c r="AY79" s="179">
        <v>0.0</v>
      </c>
      <c r="AZ79" s="178" t="str">
        <f t="shared" si="46"/>
        <v>#DIV/0!</v>
      </c>
      <c r="BA79" s="181" t="str">
        <f t="shared" si="47"/>
        <v>#DIV/0!</v>
      </c>
      <c r="BB79" s="164"/>
      <c r="BC79" s="150" t="s">
        <v>135</v>
      </c>
      <c r="BD79" s="151">
        <v>44301.0</v>
      </c>
      <c r="BE79" s="176">
        <v>0.0</v>
      </c>
      <c r="BF79" s="177">
        <v>0.0</v>
      </c>
      <c r="BG79" s="178" t="str">
        <f t="shared" si="48"/>
        <v>#DIV/0!</v>
      </c>
      <c r="BH79" s="179">
        <v>0.0</v>
      </c>
      <c r="BI79" s="180" t="str">
        <f t="shared" si="49"/>
        <v>#DIV/0!</v>
      </c>
      <c r="BJ79" s="179">
        <v>0.0</v>
      </c>
      <c r="BK79" s="178" t="str">
        <f t="shared" si="50"/>
        <v>#DIV/0!</v>
      </c>
      <c r="BL79" s="179">
        <v>0.0</v>
      </c>
      <c r="BM79" s="178" t="str">
        <f t="shared" si="51"/>
        <v>#DIV/0!</v>
      </c>
      <c r="BN79" s="181" t="str">
        <f t="shared" si="52"/>
        <v>#DIV/0!</v>
      </c>
      <c r="BO79" s="169"/>
    </row>
    <row r="80" ht="15.75" customHeight="1">
      <c r="B80" s="165" t="s">
        <v>143</v>
      </c>
      <c r="E80" s="175" t="str">
        <f>SUM(E68/E76)</f>
        <v>#REF!</v>
      </c>
      <c r="G80" s="51"/>
      <c r="H80" s="51"/>
      <c r="I80" s="51"/>
      <c r="J80" s="51"/>
      <c r="K80" s="51"/>
      <c r="L80" s="51"/>
      <c r="M80" s="51"/>
      <c r="N80" s="150" t="s">
        <v>123</v>
      </c>
      <c r="O80" s="151">
        <v>44302.0</v>
      </c>
      <c r="P80" s="176">
        <v>63.18</v>
      </c>
      <c r="Q80" s="177">
        <v>2.0</v>
      </c>
      <c r="R80" s="178">
        <v>31.59</v>
      </c>
      <c r="S80" s="179">
        <v>16.0</v>
      </c>
      <c r="T80" s="180">
        <v>3.95</v>
      </c>
      <c r="U80" s="179">
        <v>20.0</v>
      </c>
      <c r="V80" s="178">
        <v>3.16</v>
      </c>
      <c r="W80" s="179">
        <v>29.0</v>
      </c>
      <c r="X80" s="178">
        <v>2.18</v>
      </c>
      <c r="Y80" s="181"/>
      <c r="Z80" s="185">
        <f t="shared" si="37"/>
        <v>0.125</v>
      </c>
      <c r="AA80" s="164"/>
      <c r="AB80" s="150" t="s">
        <v>123</v>
      </c>
      <c r="AC80" s="151"/>
      <c r="AD80" s="176"/>
      <c r="AE80" s="177"/>
      <c r="AF80" s="178"/>
      <c r="AG80" s="179"/>
      <c r="AH80" s="180"/>
      <c r="AI80" s="179"/>
      <c r="AJ80" s="178"/>
      <c r="AK80" s="179"/>
      <c r="AL80" s="178"/>
      <c r="AM80" s="181"/>
      <c r="AN80" s="169"/>
      <c r="AO80" s="164"/>
      <c r="AP80" s="150" t="s">
        <v>123</v>
      </c>
      <c r="AQ80" s="151">
        <v>44302.0</v>
      </c>
      <c r="AR80" s="176">
        <v>0.0</v>
      </c>
      <c r="AS80" s="177">
        <v>0.0</v>
      </c>
      <c r="AT80" s="178" t="str">
        <f t="shared" si="43"/>
        <v>#DIV/0!</v>
      </c>
      <c r="AU80" s="179">
        <v>0.0</v>
      </c>
      <c r="AV80" s="180" t="str">
        <f t="shared" si="44"/>
        <v>#DIV/0!</v>
      </c>
      <c r="AW80" s="179">
        <v>0.0</v>
      </c>
      <c r="AX80" s="178" t="str">
        <f t="shared" si="45"/>
        <v>#DIV/0!</v>
      </c>
      <c r="AY80" s="179">
        <v>0.0</v>
      </c>
      <c r="AZ80" s="178" t="str">
        <f t="shared" si="46"/>
        <v>#DIV/0!</v>
      </c>
      <c r="BA80" s="181" t="str">
        <f t="shared" si="47"/>
        <v>#DIV/0!</v>
      </c>
      <c r="BB80" s="164"/>
      <c r="BC80" s="150" t="s">
        <v>123</v>
      </c>
      <c r="BD80" s="151">
        <v>44302.0</v>
      </c>
      <c r="BE80" s="176">
        <v>0.0</v>
      </c>
      <c r="BF80" s="177">
        <v>0.0</v>
      </c>
      <c r="BG80" s="178" t="str">
        <f t="shared" si="48"/>
        <v>#DIV/0!</v>
      </c>
      <c r="BH80" s="179">
        <v>0.0</v>
      </c>
      <c r="BI80" s="180" t="str">
        <f t="shared" si="49"/>
        <v>#DIV/0!</v>
      </c>
      <c r="BJ80" s="179">
        <v>0.0</v>
      </c>
      <c r="BK80" s="178" t="str">
        <f t="shared" si="50"/>
        <v>#DIV/0!</v>
      </c>
      <c r="BL80" s="179">
        <v>0.0</v>
      </c>
      <c r="BM80" s="178" t="str">
        <f t="shared" si="51"/>
        <v>#DIV/0!</v>
      </c>
      <c r="BN80" s="181" t="str">
        <f t="shared" si="52"/>
        <v>#DIV/0!</v>
      </c>
      <c r="BO80" s="169"/>
    </row>
    <row r="81" ht="15.75" customHeight="1">
      <c r="G81" s="51"/>
      <c r="H81" s="51"/>
      <c r="I81" s="51"/>
      <c r="J81" s="51"/>
      <c r="K81" s="51"/>
      <c r="L81" s="51"/>
      <c r="M81" s="51"/>
      <c r="N81" s="150" t="s">
        <v>126</v>
      </c>
      <c r="O81" s="151">
        <v>44303.0</v>
      </c>
      <c r="P81" s="176">
        <v>63.21</v>
      </c>
      <c r="Q81" s="177">
        <v>4.0</v>
      </c>
      <c r="R81" s="178">
        <v>15.8</v>
      </c>
      <c r="S81" s="179">
        <v>12.0</v>
      </c>
      <c r="T81" s="180">
        <v>5.27</v>
      </c>
      <c r="U81" s="179">
        <v>26.0</v>
      </c>
      <c r="V81" s="178">
        <v>2.43</v>
      </c>
      <c r="W81" s="179">
        <v>33.0</v>
      </c>
      <c r="X81" s="178">
        <v>1.92</v>
      </c>
      <c r="Y81" s="181"/>
      <c r="Z81" s="185">
        <f t="shared" si="37"/>
        <v>0.3333333333</v>
      </c>
      <c r="AA81" s="164"/>
      <c r="AB81" s="150" t="s">
        <v>126</v>
      </c>
      <c r="AC81" s="151"/>
      <c r="AD81" s="176"/>
      <c r="AE81" s="177"/>
      <c r="AF81" s="178"/>
      <c r="AG81" s="179"/>
      <c r="AH81" s="180"/>
      <c r="AI81" s="179"/>
      <c r="AJ81" s="178"/>
      <c r="AK81" s="179"/>
      <c r="AL81" s="178"/>
      <c r="AM81" s="181"/>
      <c r="AN81" s="169"/>
      <c r="AO81" s="164"/>
      <c r="AP81" s="150" t="s">
        <v>126</v>
      </c>
      <c r="AQ81" s="151">
        <v>44303.0</v>
      </c>
      <c r="AR81" s="176">
        <v>0.0</v>
      </c>
      <c r="AS81" s="177">
        <v>0.0</v>
      </c>
      <c r="AT81" s="178" t="str">
        <f t="shared" si="43"/>
        <v>#DIV/0!</v>
      </c>
      <c r="AU81" s="179">
        <v>0.0</v>
      </c>
      <c r="AV81" s="180" t="str">
        <f t="shared" si="44"/>
        <v>#DIV/0!</v>
      </c>
      <c r="AW81" s="179">
        <v>0.0</v>
      </c>
      <c r="AX81" s="178" t="str">
        <f t="shared" si="45"/>
        <v>#DIV/0!</v>
      </c>
      <c r="AY81" s="179">
        <v>0.0</v>
      </c>
      <c r="AZ81" s="178" t="str">
        <f t="shared" si="46"/>
        <v>#DIV/0!</v>
      </c>
      <c r="BA81" s="181" t="str">
        <f t="shared" si="47"/>
        <v>#DIV/0!</v>
      </c>
      <c r="BB81" s="164"/>
      <c r="BC81" s="150" t="s">
        <v>126</v>
      </c>
      <c r="BD81" s="151">
        <v>44303.0</v>
      </c>
      <c r="BE81" s="176">
        <v>0.0</v>
      </c>
      <c r="BF81" s="177">
        <v>0.0</v>
      </c>
      <c r="BG81" s="178" t="str">
        <f t="shared" si="48"/>
        <v>#DIV/0!</v>
      </c>
      <c r="BH81" s="179">
        <v>0.0</v>
      </c>
      <c r="BI81" s="180" t="str">
        <f t="shared" si="49"/>
        <v>#DIV/0!</v>
      </c>
      <c r="BJ81" s="179">
        <v>0.0</v>
      </c>
      <c r="BK81" s="178" t="str">
        <f t="shared" si="50"/>
        <v>#DIV/0!</v>
      </c>
      <c r="BL81" s="179">
        <v>0.0</v>
      </c>
      <c r="BM81" s="178" t="str">
        <f t="shared" si="51"/>
        <v>#DIV/0!</v>
      </c>
      <c r="BN81" s="181" t="str">
        <f t="shared" si="52"/>
        <v>#DIV/0!</v>
      </c>
      <c r="BO81" s="169"/>
    </row>
    <row r="82" ht="15.75" customHeight="1">
      <c r="B82" s="167" t="s">
        <v>144</v>
      </c>
      <c r="E82" s="171" t="str">
        <f>SUM(E78*E80)</f>
        <v>#REF!</v>
      </c>
      <c r="G82" s="51"/>
      <c r="H82" s="51"/>
      <c r="I82" s="51"/>
      <c r="J82" s="51"/>
      <c r="K82" s="51"/>
      <c r="L82" s="51"/>
      <c r="M82" s="51"/>
      <c r="N82" s="150" t="s">
        <v>127</v>
      </c>
      <c r="O82" s="151">
        <v>44304.0</v>
      </c>
      <c r="P82" s="176">
        <v>59.75</v>
      </c>
      <c r="Q82" s="177">
        <v>7.0</v>
      </c>
      <c r="R82" s="178">
        <v>8.54</v>
      </c>
      <c r="S82" s="179">
        <v>19.0</v>
      </c>
      <c r="T82" s="180">
        <v>3.14</v>
      </c>
      <c r="U82" s="179">
        <v>23.0</v>
      </c>
      <c r="V82" s="178">
        <v>2.6</v>
      </c>
      <c r="W82" s="179">
        <v>27.0</v>
      </c>
      <c r="X82" s="178">
        <v>2.21</v>
      </c>
      <c r="Y82" s="181"/>
      <c r="Z82" s="185">
        <f t="shared" si="37"/>
        <v>0.3684210526</v>
      </c>
      <c r="AA82" s="164"/>
      <c r="AB82" s="150" t="s">
        <v>127</v>
      </c>
      <c r="AC82" s="151"/>
      <c r="AD82" s="176"/>
      <c r="AE82" s="177"/>
      <c r="AF82" s="178"/>
      <c r="AG82" s="179"/>
      <c r="AH82" s="180"/>
      <c r="AI82" s="179"/>
      <c r="AJ82" s="178"/>
      <c r="AK82" s="179"/>
      <c r="AL82" s="178"/>
      <c r="AM82" s="181"/>
      <c r="AN82" s="169"/>
      <c r="AO82" s="164"/>
      <c r="AP82" s="150" t="s">
        <v>127</v>
      </c>
      <c r="AQ82" s="151">
        <v>44304.0</v>
      </c>
      <c r="AR82" s="176">
        <v>0.0</v>
      </c>
      <c r="AS82" s="177">
        <v>0.0</v>
      </c>
      <c r="AT82" s="178" t="str">
        <f t="shared" si="43"/>
        <v>#DIV/0!</v>
      </c>
      <c r="AU82" s="179">
        <v>0.0</v>
      </c>
      <c r="AV82" s="180" t="str">
        <f t="shared" si="44"/>
        <v>#DIV/0!</v>
      </c>
      <c r="AW82" s="179">
        <v>0.0</v>
      </c>
      <c r="AX82" s="178" t="str">
        <f t="shared" si="45"/>
        <v>#DIV/0!</v>
      </c>
      <c r="AY82" s="179">
        <v>0.0</v>
      </c>
      <c r="AZ82" s="178" t="str">
        <f t="shared" si="46"/>
        <v>#DIV/0!</v>
      </c>
      <c r="BA82" s="181" t="str">
        <f t="shared" si="47"/>
        <v>#DIV/0!</v>
      </c>
      <c r="BB82" s="164"/>
      <c r="BC82" s="150" t="s">
        <v>127</v>
      </c>
      <c r="BD82" s="151">
        <v>44304.0</v>
      </c>
      <c r="BE82" s="176">
        <v>0.0</v>
      </c>
      <c r="BF82" s="177">
        <v>0.0</v>
      </c>
      <c r="BG82" s="178" t="str">
        <f t="shared" si="48"/>
        <v>#DIV/0!</v>
      </c>
      <c r="BH82" s="179">
        <v>0.0</v>
      </c>
      <c r="BI82" s="180" t="str">
        <f t="shared" si="49"/>
        <v>#DIV/0!</v>
      </c>
      <c r="BJ82" s="179">
        <v>0.0</v>
      </c>
      <c r="BK82" s="178" t="str">
        <f t="shared" si="50"/>
        <v>#DIV/0!</v>
      </c>
      <c r="BL82" s="179">
        <v>0.0</v>
      </c>
      <c r="BM82" s="178" t="str">
        <f t="shared" si="51"/>
        <v>#DIV/0!</v>
      </c>
      <c r="BN82" s="181" t="str">
        <f t="shared" si="52"/>
        <v>#DIV/0!</v>
      </c>
      <c r="BO82" s="169"/>
    </row>
    <row r="83" ht="15.75" customHeight="1">
      <c r="G83" s="51"/>
      <c r="H83" s="51"/>
      <c r="I83" s="51"/>
      <c r="J83" s="51"/>
      <c r="K83" s="51"/>
      <c r="L83" s="51"/>
      <c r="M83" s="51"/>
      <c r="N83" s="150" t="s">
        <v>130</v>
      </c>
      <c r="O83" s="151">
        <v>44305.0</v>
      </c>
      <c r="P83" s="176">
        <v>60.56</v>
      </c>
      <c r="Q83" s="177">
        <v>7.0</v>
      </c>
      <c r="R83" s="178">
        <v>8.65</v>
      </c>
      <c r="S83" s="179">
        <v>22.0</v>
      </c>
      <c r="T83" s="180">
        <v>2.75</v>
      </c>
      <c r="U83" s="179">
        <v>25.0</v>
      </c>
      <c r="V83" s="178">
        <v>2.42</v>
      </c>
      <c r="W83" s="179">
        <v>28.0</v>
      </c>
      <c r="X83" s="178">
        <v>2.16</v>
      </c>
      <c r="Y83" s="181"/>
      <c r="Z83" s="185">
        <f t="shared" si="37"/>
        <v>0.3181818182</v>
      </c>
      <c r="AA83" s="164"/>
      <c r="AB83" s="150" t="s">
        <v>130</v>
      </c>
      <c r="AC83" s="151"/>
      <c r="AD83" s="176"/>
      <c r="AE83" s="177"/>
      <c r="AF83" s="178"/>
      <c r="AG83" s="179"/>
      <c r="AH83" s="180"/>
      <c r="AI83" s="179"/>
      <c r="AJ83" s="178"/>
      <c r="AK83" s="179"/>
      <c r="AL83" s="178"/>
      <c r="AM83" s="181"/>
      <c r="AN83" s="169"/>
      <c r="AO83" s="164"/>
      <c r="AP83" s="150" t="s">
        <v>130</v>
      </c>
      <c r="AQ83" s="151">
        <v>44305.0</v>
      </c>
      <c r="AR83" s="176">
        <v>0.0</v>
      </c>
      <c r="AS83" s="177">
        <v>0.0</v>
      </c>
      <c r="AT83" s="178" t="str">
        <f t="shared" si="43"/>
        <v>#DIV/0!</v>
      </c>
      <c r="AU83" s="179">
        <v>0.0</v>
      </c>
      <c r="AV83" s="180" t="str">
        <f t="shared" si="44"/>
        <v>#DIV/0!</v>
      </c>
      <c r="AW83" s="179">
        <v>0.0</v>
      </c>
      <c r="AX83" s="178" t="str">
        <f t="shared" si="45"/>
        <v>#DIV/0!</v>
      </c>
      <c r="AY83" s="179">
        <v>0.0</v>
      </c>
      <c r="AZ83" s="178" t="str">
        <f t="shared" si="46"/>
        <v>#DIV/0!</v>
      </c>
      <c r="BA83" s="181" t="str">
        <f t="shared" si="47"/>
        <v>#DIV/0!</v>
      </c>
      <c r="BB83" s="164"/>
      <c r="BC83" s="150" t="s">
        <v>130</v>
      </c>
      <c r="BD83" s="151">
        <v>44305.0</v>
      </c>
      <c r="BE83" s="176">
        <v>0.0</v>
      </c>
      <c r="BF83" s="177">
        <v>0.0</v>
      </c>
      <c r="BG83" s="178" t="str">
        <f t="shared" si="48"/>
        <v>#DIV/0!</v>
      </c>
      <c r="BH83" s="179">
        <v>0.0</v>
      </c>
      <c r="BI83" s="180" t="str">
        <f t="shared" si="49"/>
        <v>#DIV/0!</v>
      </c>
      <c r="BJ83" s="179">
        <v>0.0</v>
      </c>
      <c r="BK83" s="178" t="str">
        <f t="shared" si="50"/>
        <v>#DIV/0!</v>
      </c>
      <c r="BL83" s="179">
        <v>0.0</v>
      </c>
      <c r="BM83" s="178" t="str">
        <f t="shared" si="51"/>
        <v>#DIV/0!</v>
      </c>
      <c r="BN83" s="181" t="str">
        <f t="shared" si="52"/>
        <v>#DIV/0!</v>
      </c>
      <c r="BO83" s="169"/>
    </row>
    <row r="84" ht="15.75" customHeight="1">
      <c r="B84" s="165" t="s">
        <v>145</v>
      </c>
      <c r="E84" s="171" t="str">
        <f>SUM(E68-E82)</f>
        <v>#REF!</v>
      </c>
      <c r="G84" s="51"/>
      <c r="H84" s="51"/>
      <c r="I84" s="51"/>
      <c r="J84" s="51"/>
      <c r="K84" s="51"/>
      <c r="L84" s="51"/>
      <c r="M84" s="51"/>
      <c r="N84" s="150" t="s">
        <v>131</v>
      </c>
      <c r="O84" s="151">
        <v>44306.0</v>
      </c>
      <c r="P84" s="176">
        <v>59.87</v>
      </c>
      <c r="Q84" s="177">
        <v>5.0</v>
      </c>
      <c r="R84" s="178">
        <v>11.97</v>
      </c>
      <c r="S84" s="179">
        <v>32.0</v>
      </c>
      <c r="T84" s="180">
        <v>1.87</v>
      </c>
      <c r="U84" s="179">
        <v>34.0</v>
      </c>
      <c r="V84" s="178">
        <v>1.76</v>
      </c>
      <c r="W84" s="179">
        <v>38.0</v>
      </c>
      <c r="X84" s="178">
        <v>1.58</v>
      </c>
      <c r="Y84" s="181"/>
      <c r="Z84" s="185">
        <f t="shared" si="37"/>
        <v>0.15625</v>
      </c>
      <c r="AA84" s="164"/>
      <c r="AB84" s="150" t="s">
        <v>131</v>
      </c>
      <c r="AC84" s="151"/>
      <c r="AD84" s="176"/>
      <c r="AE84" s="177"/>
      <c r="AF84" s="178"/>
      <c r="AG84" s="179"/>
      <c r="AH84" s="180"/>
      <c r="AI84" s="179"/>
      <c r="AJ84" s="178"/>
      <c r="AK84" s="179"/>
      <c r="AL84" s="178"/>
      <c r="AM84" s="181"/>
      <c r="AN84" s="169"/>
      <c r="AO84" s="164"/>
      <c r="AP84" s="150" t="s">
        <v>131</v>
      </c>
      <c r="AQ84" s="151">
        <v>44306.0</v>
      </c>
      <c r="AR84" s="176">
        <v>0.0</v>
      </c>
      <c r="AS84" s="177">
        <v>0.0</v>
      </c>
      <c r="AT84" s="178" t="str">
        <f t="shared" si="43"/>
        <v>#DIV/0!</v>
      </c>
      <c r="AU84" s="179">
        <v>0.0</v>
      </c>
      <c r="AV84" s="180" t="str">
        <f t="shared" si="44"/>
        <v>#DIV/0!</v>
      </c>
      <c r="AW84" s="179">
        <v>0.0</v>
      </c>
      <c r="AX84" s="178" t="str">
        <f t="shared" si="45"/>
        <v>#DIV/0!</v>
      </c>
      <c r="AY84" s="179">
        <v>0.0</v>
      </c>
      <c r="AZ84" s="178" t="str">
        <f t="shared" si="46"/>
        <v>#DIV/0!</v>
      </c>
      <c r="BA84" s="181" t="str">
        <f t="shared" si="47"/>
        <v>#DIV/0!</v>
      </c>
      <c r="BB84" s="164"/>
      <c r="BC84" s="150" t="s">
        <v>131</v>
      </c>
      <c r="BD84" s="151">
        <v>44306.0</v>
      </c>
      <c r="BE84" s="176">
        <v>0.0</v>
      </c>
      <c r="BF84" s="177">
        <v>0.0</v>
      </c>
      <c r="BG84" s="178" t="str">
        <f t="shared" si="48"/>
        <v>#DIV/0!</v>
      </c>
      <c r="BH84" s="179">
        <v>0.0</v>
      </c>
      <c r="BI84" s="180" t="str">
        <f t="shared" si="49"/>
        <v>#DIV/0!</v>
      </c>
      <c r="BJ84" s="179">
        <v>0.0</v>
      </c>
      <c r="BK84" s="178" t="str">
        <f t="shared" si="50"/>
        <v>#DIV/0!</v>
      </c>
      <c r="BL84" s="179">
        <v>0.0</v>
      </c>
      <c r="BM84" s="178" t="str">
        <f t="shared" si="51"/>
        <v>#DIV/0!</v>
      </c>
      <c r="BN84" s="181" t="str">
        <f t="shared" si="52"/>
        <v>#DIV/0!</v>
      </c>
      <c r="BO84" s="169"/>
    </row>
    <row r="85" ht="15.75" customHeight="1">
      <c r="G85" s="51"/>
      <c r="H85" s="51"/>
      <c r="I85" s="51"/>
      <c r="J85" s="51"/>
      <c r="K85" s="51"/>
      <c r="L85" s="51"/>
      <c r="M85" s="51"/>
      <c r="N85" s="150" t="s">
        <v>134</v>
      </c>
      <c r="O85" s="151">
        <v>44307.0</v>
      </c>
      <c r="P85" s="176">
        <v>59.37</v>
      </c>
      <c r="Q85" s="177">
        <v>7.0</v>
      </c>
      <c r="R85" s="178">
        <v>8.48</v>
      </c>
      <c r="S85" s="179">
        <v>16.0</v>
      </c>
      <c r="T85" s="180">
        <v>3.71</v>
      </c>
      <c r="U85" s="179">
        <v>25.0</v>
      </c>
      <c r="V85" s="178">
        <v>2.37</v>
      </c>
      <c r="W85" s="179">
        <v>35.0</v>
      </c>
      <c r="X85" s="178">
        <v>1.7</v>
      </c>
      <c r="Y85" s="181"/>
      <c r="Z85" s="185">
        <f t="shared" si="37"/>
        <v>0.4375</v>
      </c>
      <c r="AA85" s="164"/>
      <c r="AB85" s="150" t="s">
        <v>134</v>
      </c>
      <c r="AC85" s="151"/>
      <c r="AD85" s="176"/>
      <c r="AE85" s="177"/>
      <c r="AF85" s="178"/>
      <c r="AG85" s="179"/>
      <c r="AH85" s="180"/>
      <c r="AI85" s="179"/>
      <c r="AJ85" s="178"/>
      <c r="AK85" s="179"/>
      <c r="AL85" s="178"/>
      <c r="AM85" s="181"/>
      <c r="AN85" s="187" t="s">
        <v>154</v>
      </c>
      <c r="AO85" s="164"/>
      <c r="AP85" s="150" t="s">
        <v>134</v>
      </c>
      <c r="AQ85" s="151">
        <v>44307.0</v>
      </c>
      <c r="AR85" s="176">
        <v>0.0</v>
      </c>
      <c r="AS85" s="177">
        <v>0.0</v>
      </c>
      <c r="AT85" s="178" t="str">
        <f t="shared" si="43"/>
        <v>#DIV/0!</v>
      </c>
      <c r="AU85" s="179">
        <v>0.0</v>
      </c>
      <c r="AV85" s="180" t="str">
        <f t="shared" si="44"/>
        <v>#DIV/0!</v>
      </c>
      <c r="AW85" s="179">
        <v>0.0</v>
      </c>
      <c r="AX85" s="178" t="str">
        <f t="shared" si="45"/>
        <v>#DIV/0!</v>
      </c>
      <c r="AY85" s="179">
        <v>0.0</v>
      </c>
      <c r="AZ85" s="178" t="str">
        <f t="shared" si="46"/>
        <v>#DIV/0!</v>
      </c>
      <c r="BA85" s="181" t="str">
        <f t="shared" si="47"/>
        <v>#DIV/0!</v>
      </c>
      <c r="BB85" s="164"/>
      <c r="BC85" s="150" t="s">
        <v>134</v>
      </c>
      <c r="BD85" s="151">
        <v>44307.0</v>
      </c>
      <c r="BE85" s="176">
        <v>0.0</v>
      </c>
      <c r="BF85" s="177">
        <v>0.0</v>
      </c>
      <c r="BG85" s="178" t="str">
        <f t="shared" si="48"/>
        <v>#DIV/0!</v>
      </c>
      <c r="BH85" s="179">
        <v>0.0</v>
      </c>
      <c r="BI85" s="180" t="str">
        <f t="shared" si="49"/>
        <v>#DIV/0!</v>
      </c>
      <c r="BJ85" s="179">
        <v>0.0</v>
      </c>
      <c r="BK85" s="178" t="str">
        <f t="shared" si="50"/>
        <v>#DIV/0!</v>
      </c>
      <c r="BL85" s="179">
        <v>0.0</v>
      </c>
      <c r="BM85" s="178" t="str">
        <f t="shared" si="51"/>
        <v>#DIV/0!</v>
      </c>
      <c r="BN85" s="181" t="str">
        <f t="shared" si="52"/>
        <v>#DIV/0!</v>
      </c>
      <c r="BO85" s="169"/>
    </row>
    <row r="86" ht="15.75" customHeight="1">
      <c r="B86" s="167" t="s">
        <v>146</v>
      </c>
      <c r="E86" s="166">
        <v>30.0</v>
      </c>
      <c r="G86" s="51"/>
      <c r="H86" s="51"/>
      <c r="I86" s="51"/>
      <c r="J86" s="51"/>
      <c r="K86" s="51"/>
      <c r="L86" s="51"/>
      <c r="M86" s="51"/>
      <c r="N86" s="150" t="s">
        <v>135</v>
      </c>
      <c r="O86" s="151">
        <v>44308.0</v>
      </c>
      <c r="P86" s="176">
        <v>61.65</v>
      </c>
      <c r="Q86" s="177">
        <v>4.0</v>
      </c>
      <c r="R86" s="178">
        <v>15.41</v>
      </c>
      <c r="S86" s="179">
        <v>15.0</v>
      </c>
      <c r="T86" s="180">
        <v>4.11</v>
      </c>
      <c r="U86" s="179">
        <v>20.0</v>
      </c>
      <c r="V86" s="178">
        <v>3.08</v>
      </c>
      <c r="W86" s="179">
        <v>22.0</v>
      </c>
      <c r="X86" s="178">
        <v>2.8</v>
      </c>
      <c r="Y86" s="181"/>
      <c r="Z86" s="185">
        <f t="shared" si="37"/>
        <v>0.2666666667</v>
      </c>
      <c r="AA86" s="164"/>
      <c r="AB86" s="150" t="s">
        <v>135</v>
      </c>
      <c r="AC86" s="151">
        <v>44308.0</v>
      </c>
      <c r="AD86" s="176">
        <v>0.0</v>
      </c>
      <c r="AE86" s="177">
        <v>0.0</v>
      </c>
      <c r="AF86" s="178" t="str">
        <f t="shared" ref="AF86:AF94" si="53">AD86/AE86</f>
        <v>#DIV/0!</v>
      </c>
      <c r="AG86" s="179">
        <v>0.0</v>
      </c>
      <c r="AH86" s="180" t="str">
        <f t="shared" ref="AH86:AH94" si="54">AD86/AG86</f>
        <v>#DIV/0!</v>
      </c>
      <c r="AI86" s="179">
        <v>0.0</v>
      </c>
      <c r="AJ86" s="178" t="str">
        <f t="shared" ref="AJ86:AJ94" si="55">AD86/AI86</f>
        <v>#DIV/0!</v>
      </c>
      <c r="AK86" s="179">
        <v>0.0</v>
      </c>
      <c r="AL86" s="178" t="str">
        <f t="shared" ref="AL86:AL94" si="56">AD86/AK86</f>
        <v>#DIV/0!</v>
      </c>
      <c r="AM86" s="181" t="str">
        <f t="shared" ref="AM86:AM94" si="57">AI86/AK86</f>
        <v>#DIV/0!</v>
      </c>
      <c r="AN86" s="169"/>
      <c r="AO86" s="164"/>
      <c r="AP86" s="150" t="s">
        <v>135</v>
      </c>
      <c r="AQ86" s="151">
        <v>44308.0</v>
      </c>
      <c r="AR86" s="176">
        <v>0.0</v>
      </c>
      <c r="AS86" s="177">
        <v>0.0</v>
      </c>
      <c r="AT86" s="178" t="str">
        <f t="shared" si="43"/>
        <v>#DIV/0!</v>
      </c>
      <c r="AU86" s="179">
        <v>0.0</v>
      </c>
      <c r="AV86" s="180" t="str">
        <f t="shared" si="44"/>
        <v>#DIV/0!</v>
      </c>
      <c r="AW86" s="179">
        <v>0.0</v>
      </c>
      <c r="AX86" s="178" t="str">
        <f t="shared" si="45"/>
        <v>#DIV/0!</v>
      </c>
      <c r="AY86" s="179">
        <v>0.0</v>
      </c>
      <c r="AZ86" s="178" t="str">
        <f t="shared" si="46"/>
        <v>#DIV/0!</v>
      </c>
      <c r="BA86" s="181" t="str">
        <f t="shared" si="47"/>
        <v>#DIV/0!</v>
      </c>
      <c r="BB86" s="164"/>
      <c r="BC86" s="150" t="s">
        <v>135</v>
      </c>
      <c r="BD86" s="151">
        <v>44308.0</v>
      </c>
      <c r="BE86" s="176">
        <v>0.0</v>
      </c>
      <c r="BF86" s="177">
        <v>0.0</v>
      </c>
      <c r="BG86" s="178" t="str">
        <f t="shared" si="48"/>
        <v>#DIV/0!</v>
      </c>
      <c r="BH86" s="179">
        <v>0.0</v>
      </c>
      <c r="BI86" s="180" t="str">
        <f t="shared" si="49"/>
        <v>#DIV/0!</v>
      </c>
      <c r="BJ86" s="179">
        <v>0.0</v>
      </c>
      <c r="BK86" s="178" t="str">
        <f t="shared" si="50"/>
        <v>#DIV/0!</v>
      </c>
      <c r="BL86" s="179">
        <v>0.0</v>
      </c>
      <c r="BM86" s="178" t="str">
        <f t="shared" si="51"/>
        <v>#DIV/0!</v>
      </c>
      <c r="BN86" s="181" t="str">
        <f t="shared" si="52"/>
        <v>#DIV/0!</v>
      </c>
      <c r="BO86" s="169"/>
    </row>
    <row r="87" ht="15.75" customHeight="1">
      <c r="G87" s="51"/>
      <c r="H87" s="51"/>
      <c r="I87" s="51"/>
      <c r="J87" s="51"/>
      <c r="K87" s="51"/>
      <c r="L87" s="51"/>
      <c r="M87" s="51"/>
      <c r="N87" s="150" t="s">
        <v>123</v>
      </c>
      <c r="O87" s="151">
        <v>44309.0</v>
      </c>
      <c r="P87" s="176">
        <v>59.13</v>
      </c>
      <c r="Q87" s="177">
        <v>1.0</v>
      </c>
      <c r="R87" s="178">
        <v>59.13</v>
      </c>
      <c r="S87" s="179">
        <v>6.0</v>
      </c>
      <c r="T87" s="180">
        <v>9.86</v>
      </c>
      <c r="U87" s="179">
        <v>25.0</v>
      </c>
      <c r="V87" s="178">
        <v>2.37</v>
      </c>
      <c r="W87" s="179">
        <v>32.0</v>
      </c>
      <c r="X87" s="178">
        <v>1.85</v>
      </c>
      <c r="Y87" s="181"/>
      <c r="Z87" s="185">
        <f t="shared" si="37"/>
        <v>0.1666666667</v>
      </c>
      <c r="AA87" s="164"/>
      <c r="AB87" s="150" t="s">
        <v>123</v>
      </c>
      <c r="AC87" s="151">
        <v>44309.0</v>
      </c>
      <c r="AD87" s="176">
        <v>0.0</v>
      </c>
      <c r="AE87" s="177">
        <v>0.0</v>
      </c>
      <c r="AF87" s="178" t="str">
        <f t="shared" si="53"/>
        <v>#DIV/0!</v>
      </c>
      <c r="AG87" s="179">
        <v>0.0</v>
      </c>
      <c r="AH87" s="180" t="str">
        <f t="shared" si="54"/>
        <v>#DIV/0!</v>
      </c>
      <c r="AI87" s="179">
        <v>0.0</v>
      </c>
      <c r="AJ87" s="178" t="str">
        <f t="shared" si="55"/>
        <v>#DIV/0!</v>
      </c>
      <c r="AK87" s="179">
        <v>0.0</v>
      </c>
      <c r="AL87" s="178" t="str">
        <f t="shared" si="56"/>
        <v>#DIV/0!</v>
      </c>
      <c r="AM87" s="181" t="str">
        <f t="shared" si="57"/>
        <v>#DIV/0!</v>
      </c>
      <c r="AN87" s="169"/>
      <c r="AO87" s="164"/>
      <c r="AP87" s="150" t="s">
        <v>123</v>
      </c>
      <c r="AQ87" s="151">
        <v>44309.0</v>
      </c>
      <c r="AR87" s="176">
        <v>0.0</v>
      </c>
      <c r="AS87" s="177">
        <v>0.0</v>
      </c>
      <c r="AT87" s="178" t="str">
        <f t="shared" si="43"/>
        <v>#DIV/0!</v>
      </c>
      <c r="AU87" s="179">
        <v>0.0</v>
      </c>
      <c r="AV87" s="180" t="str">
        <f t="shared" si="44"/>
        <v>#DIV/0!</v>
      </c>
      <c r="AW87" s="179">
        <v>0.0</v>
      </c>
      <c r="AX87" s="178" t="str">
        <f t="shared" si="45"/>
        <v>#DIV/0!</v>
      </c>
      <c r="AY87" s="179">
        <v>0.0</v>
      </c>
      <c r="AZ87" s="178" t="str">
        <f t="shared" si="46"/>
        <v>#DIV/0!</v>
      </c>
      <c r="BA87" s="181" t="str">
        <f t="shared" si="47"/>
        <v>#DIV/0!</v>
      </c>
      <c r="BB87" s="164"/>
      <c r="BC87" s="150" t="s">
        <v>123</v>
      </c>
      <c r="BD87" s="151">
        <v>44309.0</v>
      </c>
      <c r="BE87" s="176">
        <v>0.0</v>
      </c>
      <c r="BF87" s="177">
        <v>0.0</v>
      </c>
      <c r="BG87" s="178" t="str">
        <f t="shared" si="48"/>
        <v>#DIV/0!</v>
      </c>
      <c r="BH87" s="179">
        <v>0.0</v>
      </c>
      <c r="BI87" s="180" t="str">
        <f t="shared" si="49"/>
        <v>#DIV/0!</v>
      </c>
      <c r="BJ87" s="179">
        <v>0.0</v>
      </c>
      <c r="BK87" s="178" t="str">
        <f t="shared" si="50"/>
        <v>#DIV/0!</v>
      </c>
      <c r="BL87" s="179">
        <v>0.0</v>
      </c>
      <c r="BM87" s="178" t="str">
        <f t="shared" si="51"/>
        <v>#DIV/0!</v>
      </c>
      <c r="BN87" s="181" t="str">
        <f t="shared" si="52"/>
        <v>#DIV/0!</v>
      </c>
      <c r="BO87" s="169"/>
    </row>
    <row r="88" ht="15.75" customHeight="1">
      <c r="B88" s="165" t="s">
        <v>147</v>
      </c>
      <c r="E88" s="171" t="str">
        <f>SUM(E82/E86)-E92</f>
        <v>#REF!</v>
      </c>
      <c r="G88" s="51"/>
      <c r="H88" s="51"/>
      <c r="I88" s="51"/>
      <c r="J88" s="51"/>
      <c r="K88" s="51"/>
      <c r="L88" s="51"/>
      <c r="M88" s="51"/>
      <c r="N88" s="150" t="s">
        <v>126</v>
      </c>
      <c r="O88" s="151">
        <v>44310.0</v>
      </c>
      <c r="P88" s="176">
        <v>57.1</v>
      </c>
      <c r="Q88" s="177">
        <v>1.0</v>
      </c>
      <c r="R88" s="178">
        <v>57.1</v>
      </c>
      <c r="S88" s="179">
        <v>9.0</v>
      </c>
      <c r="T88" s="180">
        <v>6.34</v>
      </c>
      <c r="U88" s="179">
        <v>21.0</v>
      </c>
      <c r="V88" s="178">
        <v>2.72</v>
      </c>
      <c r="W88" s="179">
        <v>28.0</v>
      </c>
      <c r="X88" s="178">
        <v>2.04</v>
      </c>
      <c r="Y88" s="181"/>
      <c r="Z88" s="185">
        <f t="shared" si="37"/>
        <v>0.1111111111</v>
      </c>
      <c r="AA88" s="164"/>
      <c r="AB88" s="150" t="s">
        <v>126</v>
      </c>
      <c r="AC88" s="151">
        <v>44310.0</v>
      </c>
      <c r="AD88" s="176">
        <v>0.0</v>
      </c>
      <c r="AE88" s="177">
        <v>0.0</v>
      </c>
      <c r="AF88" s="178" t="str">
        <f t="shared" si="53"/>
        <v>#DIV/0!</v>
      </c>
      <c r="AG88" s="179">
        <v>0.0</v>
      </c>
      <c r="AH88" s="180" t="str">
        <f t="shared" si="54"/>
        <v>#DIV/0!</v>
      </c>
      <c r="AI88" s="179">
        <v>0.0</v>
      </c>
      <c r="AJ88" s="178" t="str">
        <f t="shared" si="55"/>
        <v>#DIV/0!</v>
      </c>
      <c r="AK88" s="179">
        <v>0.0</v>
      </c>
      <c r="AL88" s="178" t="str">
        <f t="shared" si="56"/>
        <v>#DIV/0!</v>
      </c>
      <c r="AM88" s="181" t="str">
        <f t="shared" si="57"/>
        <v>#DIV/0!</v>
      </c>
      <c r="AN88" s="169"/>
      <c r="AO88" s="164"/>
      <c r="AP88" s="150" t="s">
        <v>126</v>
      </c>
      <c r="AQ88" s="151">
        <v>44310.0</v>
      </c>
      <c r="AR88" s="176">
        <v>0.0</v>
      </c>
      <c r="AS88" s="177">
        <v>0.0</v>
      </c>
      <c r="AT88" s="178" t="str">
        <f t="shared" si="43"/>
        <v>#DIV/0!</v>
      </c>
      <c r="AU88" s="179">
        <v>0.0</v>
      </c>
      <c r="AV88" s="180" t="str">
        <f t="shared" si="44"/>
        <v>#DIV/0!</v>
      </c>
      <c r="AW88" s="179">
        <v>0.0</v>
      </c>
      <c r="AX88" s="178" t="str">
        <f t="shared" si="45"/>
        <v>#DIV/0!</v>
      </c>
      <c r="AY88" s="179">
        <v>0.0</v>
      </c>
      <c r="AZ88" s="178" t="str">
        <f t="shared" si="46"/>
        <v>#DIV/0!</v>
      </c>
      <c r="BA88" s="181" t="str">
        <f t="shared" si="47"/>
        <v>#DIV/0!</v>
      </c>
      <c r="BB88" s="164"/>
      <c r="BC88" s="150" t="s">
        <v>126</v>
      </c>
      <c r="BD88" s="151">
        <v>44310.0</v>
      </c>
      <c r="BE88" s="176">
        <v>0.0</v>
      </c>
      <c r="BF88" s="177">
        <v>0.0</v>
      </c>
      <c r="BG88" s="178" t="str">
        <f t="shared" si="48"/>
        <v>#DIV/0!</v>
      </c>
      <c r="BH88" s="179">
        <v>0.0</v>
      </c>
      <c r="BI88" s="180" t="str">
        <f t="shared" si="49"/>
        <v>#DIV/0!</v>
      </c>
      <c r="BJ88" s="179">
        <v>0.0</v>
      </c>
      <c r="BK88" s="178" t="str">
        <f t="shared" si="50"/>
        <v>#DIV/0!</v>
      </c>
      <c r="BL88" s="179">
        <v>0.0</v>
      </c>
      <c r="BM88" s="178" t="str">
        <f t="shared" si="51"/>
        <v>#DIV/0!</v>
      </c>
      <c r="BN88" s="181" t="str">
        <f t="shared" si="52"/>
        <v>#DIV/0!</v>
      </c>
      <c r="BO88" s="169"/>
    </row>
    <row r="89" ht="15.75" customHeight="1">
      <c r="G89" s="51"/>
      <c r="H89" s="51"/>
      <c r="I89" s="51"/>
      <c r="J89" s="51"/>
      <c r="K89" s="51"/>
      <c r="L89" s="51"/>
      <c r="M89" s="51"/>
      <c r="N89" s="150" t="s">
        <v>127</v>
      </c>
      <c r="O89" s="151">
        <v>44311.0</v>
      </c>
      <c r="P89" s="176">
        <v>39.33</v>
      </c>
      <c r="Q89" s="177">
        <v>8.0</v>
      </c>
      <c r="R89" s="178">
        <v>4.92</v>
      </c>
      <c r="S89" s="179">
        <v>17.0</v>
      </c>
      <c r="T89" s="180">
        <v>2.31</v>
      </c>
      <c r="U89" s="179">
        <v>32.0</v>
      </c>
      <c r="V89" s="178">
        <v>1.23</v>
      </c>
      <c r="W89" s="179">
        <v>36.0</v>
      </c>
      <c r="X89" s="178">
        <v>1.09</v>
      </c>
      <c r="Y89" s="181"/>
      <c r="Z89" s="185">
        <f t="shared" si="37"/>
        <v>0.4705882353</v>
      </c>
      <c r="AA89" s="164"/>
      <c r="AB89" s="150" t="s">
        <v>127</v>
      </c>
      <c r="AC89" s="151">
        <v>44311.0</v>
      </c>
      <c r="AD89" s="176">
        <v>0.0</v>
      </c>
      <c r="AE89" s="177">
        <v>0.0</v>
      </c>
      <c r="AF89" s="178" t="str">
        <f t="shared" si="53"/>
        <v>#DIV/0!</v>
      </c>
      <c r="AG89" s="179">
        <v>0.0</v>
      </c>
      <c r="AH89" s="180" t="str">
        <f t="shared" si="54"/>
        <v>#DIV/0!</v>
      </c>
      <c r="AI89" s="179">
        <v>0.0</v>
      </c>
      <c r="AJ89" s="178" t="str">
        <f t="shared" si="55"/>
        <v>#DIV/0!</v>
      </c>
      <c r="AK89" s="179">
        <v>0.0</v>
      </c>
      <c r="AL89" s="178" t="str">
        <f t="shared" si="56"/>
        <v>#DIV/0!</v>
      </c>
      <c r="AM89" s="181" t="str">
        <f t="shared" si="57"/>
        <v>#DIV/0!</v>
      </c>
      <c r="AN89" s="169"/>
      <c r="AO89" s="164"/>
      <c r="AP89" s="150" t="s">
        <v>127</v>
      </c>
      <c r="AQ89" s="151">
        <v>44311.0</v>
      </c>
      <c r="AR89" s="176">
        <v>0.0</v>
      </c>
      <c r="AS89" s="177">
        <v>0.0</v>
      </c>
      <c r="AT89" s="178" t="str">
        <f t="shared" si="43"/>
        <v>#DIV/0!</v>
      </c>
      <c r="AU89" s="179">
        <v>0.0</v>
      </c>
      <c r="AV89" s="180" t="str">
        <f t="shared" si="44"/>
        <v>#DIV/0!</v>
      </c>
      <c r="AW89" s="179">
        <v>0.0</v>
      </c>
      <c r="AX89" s="178" t="str">
        <f t="shared" si="45"/>
        <v>#DIV/0!</v>
      </c>
      <c r="AY89" s="179">
        <v>0.0</v>
      </c>
      <c r="AZ89" s="178" t="str">
        <f t="shared" si="46"/>
        <v>#DIV/0!</v>
      </c>
      <c r="BA89" s="181" t="str">
        <f t="shared" si="47"/>
        <v>#DIV/0!</v>
      </c>
      <c r="BB89" s="164"/>
      <c r="BC89" s="150" t="s">
        <v>127</v>
      </c>
      <c r="BD89" s="151">
        <v>44311.0</v>
      </c>
      <c r="BE89" s="176">
        <v>0.0</v>
      </c>
      <c r="BF89" s="177">
        <v>0.0</v>
      </c>
      <c r="BG89" s="178" t="str">
        <f t="shared" si="48"/>
        <v>#DIV/0!</v>
      </c>
      <c r="BH89" s="179">
        <v>0.0</v>
      </c>
      <c r="BI89" s="180" t="str">
        <f t="shared" si="49"/>
        <v>#DIV/0!</v>
      </c>
      <c r="BJ89" s="179">
        <v>0.0</v>
      </c>
      <c r="BK89" s="178" t="str">
        <f t="shared" si="50"/>
        <v>#DIV/0!</v>
      </c>
      <c r="BL89" s="179">
        <v>0.0</v>
      </c>
      <c r="BM89" s="178" t="str">
        <f t="shared" si="51"/>
        <v>#DIV/0!</v>
      </c>
      <c r="BN89" s="181" t="str">
        <f t="shared" si="52"/>
        <v>#DIV/0!</v>
      </c>
      <c r="BO89" s="169"/>
    </row>
    <row r="90" ht="15.75" customHeight="1">
      <c r="B90" s="167" t="s">
        <v>148</v>
      </c>
      <c r="E90" s="175" t="str">
        <f>SUM(E80/E86)</f>
        <v>#REF!</v>
      </c>
      <c r="G90" s="51"/>
      <c r="H90" s="51"/>
      <c r="I90" s="51"/>
      <c r="J90" s="51"/>
      <c r="K90" s="51"/>
      <c r="L90" s="51"/>
      <c r="M90" s="51"/>
      <c r="N90" s="150" t="s">
        <v>130</v>
      </c>
      <c r="O90" s="151">
        <v>44312.0</v>
      </c>
      <c r="P90" s="176">
        <v>39.74</v>
      </c>
      <c r="Q90" s="177">
        <v>4.0</v>
      </c>
      <c r="R90" s="178">
        <v>9.94</v>
      </c>
      <c r="S90" s="179">
        <v>16.0</v>
      </c>
      <c r="T90" s="180">
        <v>2.48</v>
      </c>
      <c r="U90" s="179">
        <v>28.0</v>
      </c>
      <c r="V90" s="178">
        <v>1.42</v>
      </c>
      <c r="W90" s="179">
        <v>33.0</v>
      </c>
      <c r="X90" s="178">
        <v>1.2</v>
      </c>
      <c r="Y90" s="181"/>
      <c r="Z90" s="185">
        <f t="shared" si="37"/>
        <v>0.25</v>
      </c>
      <c r="AA90" s="164"/>
      <c r="AB90" s="150" t="s">
        <v>130</v>
      </c>
      <c r="AC90" s="151">
        <v>44312.0</v>
      </c>
      <c r="AD90" s="176">
        <v>0.0</v>
      </c>
      <c r="AE90" s="177">
        <v>0.0</v>
      </c>
      <c r="AF90" s="178" t="str">
        <f t="shared" si="53"/>
        <v>#DIV/0!</v>
      </c>
      <c r="AG90" s="179">
        <v>0.0</v>
      </c>
      <c r="AH90" s="180" t="str">
        <f t="shared" si="54"/>
        <v>#DIV/0!</v>
      </c>
      <c r="AI90" s="179">
        <v>0.0</v>
      </c>
      <c r="AJ90" s="178" t="str">
        <f t="shared" si="55"/>
        <v>#DIV/0!</v>
      </c>
      <c r="AK90" s="179">
        <v>0.0</v>
      </c>
      <c r="AL90" s="178" t="str">
        <f t="shared" si="56"/>
        <v>#DIV/0!</v>
      </c>
      <c r="AM90" s="181" t="str">
        <f t="shared" si="57"/>
        <v>#DIV/0!</v>
      </c>
      <c r="AN90" s="169"/>
      <c r="AO90" s="164"/>
      <c r="AP90" s="150" t="s">
        <v>130</v>
      </c>
      <c r="AQ90" s="151">
        <v>44312.0</v>
      </c>
      <c r="AR90" s="176">
        <v>0.0</v>
      </c>
      <c r="AS90" s="177">
        <v>0.0</v>
      </c>
      <c r="AT90" s="178" t="str">
        <f t="shared" si="43"/>
        <v>#DIV/0!</v>
      </c>
      <c r="AU90" s="179">
        <v>0.0</v>
      </c>
      <c r="AV90" s="180" t="str">
        <f t="shared" si="44"/>
        <v>#DIV/0!</v>
      </c>
      <c r="AW90" s="179">
        <v>0.0</v>
      </c>
      <c r="AX90" s="178" t="str">
        <f t="shared" si="45"/>
        <v>#DIV/0!</v>
      </c>
      <c r="AY90" s="179">
        <v>0.0</v>
      </c>
      <c r="AZ90" s="178" t="str">
        <f t="shared" si="46"/>
        <v>#DIV/0!</v>
      </c>
      <c r="BA90" s="181" t="str">
        <f t="shared" si="47"/>
        <v>#DIV/0!</v>
      </c>
      <c r="BB90" s="164"/>
      <c r="BC90" s="150" t="s">
        <v>130</v>
      </c>
      <c r="BD90" s="151">
        <v>44312.0</v>
      </c>
      <c r="BE90" s="176">
        <v>0.0</v>
      </c>
      <c r="BF90" s="177">
        <v>0.0</v>
      </c>
      <c r="BG90" s="178" t="str">
        <f t="shared" si="48"/>
        <v>#DIV/0!</v>
      </c>
      <c r="BH90" s="179">
        <v>0.0</v>
      </c>
      <c r="BI90" s="180" t="str">
        <f t="shared" si="49"/>
        <v>#DIV/0!</v>
      </c>
      <c r="BJ90" s="179">
        <v>0.0</v>
      </c>
      <c r="BK90" s="178" t="str">
        <f t="shared" si="50"/>
        <v>#DIV/0!</v>
      </c>
      <c r="BL90" s="179">
        <v>0.0</v>
      </c>
      <c r="BM90" s="178" t="str">
        <f t="shared" si="51"/>
        <v>#DIV/0!</v>
      </c>
      <c r="BN90" s="181" t="str">
        <f t="shared" si="52"/>
        <v>#DIV/0!</v>
      </c>
      <c r="BO90" s="169"/>
    </row>
    <row r="91" ht="15.75" customHeight="1">
      <c r="G91" s="51"/>
      <c r="H91" s="51"/>
      <c r="I91" s="51"/>
      <c r="J91" s="51"/>
      <c r="K91" s="51"/>
      <c r="L91" s="51"/>
      <c r="M91" s="51"/>
      <c r="N91" s="150" t="s">
        <v>131</v>
      </c>
      <c r="O91" s="151">
        <v>44313.0</v>
      </c>
      <c r="P91" s="176">
        <v>40.35</v>
      </c>
      <c r="Q91" s="177">
        <v>3.0</v>
      </c>
      <c r="R91" s="178">
        <v>13.45</v>
      </c>
      <c r="S91" s="179">
        <v>13.0</v>
      </c>
      <c r="T91" s="180">
        <v>3.1</v>
      </c>
      <c r="U91" s="179">
        <v>10.0</v>
      </c>
      <c r="V91" s="178">
        <v>4.04</v>
      </c>
      <c r="W91" s="179">
        <v>32.0</v>
      </c>
      <c r="X91" s="178">
        <v>1.26</v>
      </c>
      <c r="Y91" s="181"/>
      <c r="Z91" s="185">
        <f t="shared" si="37"/>
        <v>0.2307692308</v>
      </c>
      <c r="AA91" s="164"/>
      <c r="AB91" s="150" t="s">
        <v>131</v>
      </c>
      <c r="AC91" s="151">
        <v>44313.0</v>
      </c>
      <c r="AD91" s="176">
        <v>0.0</v>
      </c>
      <c r="AE91" s="177">
        <v>0.0</v>
      </c>
      <c r="AF91" s="178" t="str">
        <f t="shared" si="53"/>
        <v>#DIV/0!</v>
      </c>
      <c r="AG91" s="179">
        <v>0.0</v>
      </c>
      <c r="AH91" s="180" t="str">
        <f t="shared" si="54"/>
        <v>#DIV/0!</v>
      </c>
      <c r="AI91" s="179">
        <v>0.0</v>
      </c>
      <c r="AJ91" s="178" t="str">
        <f t="shared" si="55"/>
        <v>#DIV/0!</v>
      </c>
      <c r="AK91" s="179">
        <v>0.0</v>
      </c>
      <c r="AL91" s="178" t="str">
        <f t="shared" si="56"/>
        <v>#DIV/0!</v>
      </c>
      <c r="AM91" s="181" t="str">
        <f t="shared" si="57"/>
        <v>#DIV/0!</v>
      </c>
      <c r="AN91" s="169"/>
      <c r="AO91" s="164"/>
      <c r="AP91" s="150" t="s">
        <v>131</v>
      </c>
      <c r="AQ91" s="151">
        <v>44313.0</v>
      </c>
      <c r="AR91" s="176">
        <v>0.0</v>
      </c>
      <c r="AS91" s="177">
        <v>0.0</v>
      </c>
      <c r="AT91" s="178" t="str">
        <f t="shared" si="43"/>
        <v>#DIV/0!</v>
      </c>
      <c r="AU91" s="179">
        <v>0.0</v>
      </c>
      <c r="AV91" s="180" t="str">
        <f t="shared" si="44"/>
        <v>#DIV/0!</v>
      </c>
      <c r="AW91" s="179">
        <v>0.0</v>
      </c>
      <c r="AX91" s="178" t="str">
        <f t="shared" si="45"/>
        <v>#DIV/0!</v>
      </c>
      <c r="AY91" s="179">
        <v>0.0</v>
      </c>
      <c r="AZ91" s="178" t="str">
        <f t="shared" si="46"/>
        <v>#DIV/0!</v>
      </c>
      <c r="BA91" s="181" t="str">
        <f t="shared" si="47"/>
        <v>#DIV/0!</v>
      </c>
      <c r="BB91" s="164"/>
      <c r="BC91" s="150" t="s">
        <v>131</v>
      </c>
      <c r="BD91" s="151">
        <v>44313.0</v>
      </c>
      <c r="BE91" s="176">
        <v>0.0</v>
      </c>
      <c r="BF91" s="177">
        <v>0.0</v>
      </c>
      <c r="BG91" s="178" t="str">
        <f t="shared" si="48"/>
        <v>#DIV/0!</v>
      </c>
      <c r="BH91" s="179">
        <v>0.0</v>
      </c>
      <c r="BI91" s="180" t="str">
        <f t="shared" si="49"/>
        <v>#DIV/0!</v>
      </c>
      <c r="BJ91" s="179">
        <v>0.0</v>
      </c>
      <c r="BK91" s="178" t="str">
        <f t="shared" si="50"/>
        <v>#DIV/0!</v>
      </c>
      <c r="BL91" s="179">
        <v>0.0</v>
      </c>
      <c r="BM91" s="178" t="str">
        <f t="shared" si="51"/>
        <v>#DIV/0!</v>
      </c>
      <c r="BN91" s="181" t="str">
        <f t="shared" si="52"/>
        <v>#DIV/0!</v>
      </c>
      <c r="BO91" s="169"/>
    </row>
    <row r="92" ht="15.75" customHeight="1">
      <c r="B92" s="167" t="s">
        <v>149</v>
      </c>
      <c r="E92" s="82" t="str">
        <f>(E82*10%)/E86</f>
        <v>#REF!</v>
      </c>
      <c r="G92" s="51"/>
      <c r="H92" s="51"/>
      <c r="I92" s="51"/>
      <c r="J92" s="51"/>
      <c r="K92" s="51"/>
      <c r="L92" s="51"/>
      <c r="M92" s="51"/>
      <c r="N92" s="150" t="s">
        <v>134</v>
      </c>
      <c r="O92" s="151">
        <v>44314.0</v>
      </c>
      <c r="P92" s="176">
        <v>39.68</v>
      </c>
      <c r="Q92" s="177">
        <v>3.0</v>
      </c>
      <c r="R92" s="178">
        <v>13.23</v>
      </c>
      <c r="S92" s="179">
        <v>7.0</v>
      </c>
      <c r="T92" s="180">
        <v>5.67</v>
      </c>
      <c r="U92" s="179"/>
      <c r="V92" s="178"/>
      <c r="W92" s="179">
        <v>15.0</v>
      </c>
      <c r="X92" s="178">
        <v>2.65</v>
      </c>
      <c r="Y92" s="181"/>
      <c r="Z92" s="185">
        <f t="shared" si="37"/>
        <v>0.4285714286</v>
      </c>
      <c r="AA92" s="164"/>
      <c r="AB92" s="150" t="s">
        <v>134</v>
      </c>
      <c r="AC92" s="151">
        <v>44314.0</v>
      </c>
      <c r="AD92" s="176">
        <v>0.0</v>
      </c>
      <c r="AE92" s="177">
        <v>0.0</v>
      </c>
      <c r="AF92" s="178" t="str">
        <f t="shared" si="53"/>
        <v>#DIV/0!</v>
      </c>
      <c r="AG92" s="179">
        <v>0.0</v>
      </c>
      <c r="AH92" s="180" t="str">
        <f t="shared" si="54"/>
        <v>#DIV/0!</v>
      </c>
      <c r="AI92" s="179">
        <v>0.0</v>
      </c>
      <c r="AJ92" s="178" t="str">
        <f t="shared" si="55"/>
        <v>#DIV/0!</v>
      </c>
      <c r="AK92" s="179">
        <v>0.0</v>
      </c>
      <c r="AL92" s="178" t="str">
        <f t="shared" si="56"/>
        <v>#DIV/0!</v>
      </c>
      <c r="AM92" s="181" t="str">
        <f t="shared" si="57"/>
        <v>#DIV/0!</v>
      </c>
      <c r="AN92" s="169"/>
      <c r="AO92" s="164"/>
      <c r="AP92" s="150" t="s">
        <v>134</v>
      </c>
      <c r="AQ92" s="151">
        <v>44314.0</v>
      </c>
      <c r="AR92" s="176">
        <v>0.0</v>
      </c>
      <c r="AS92" s="177">
        <v>0.0</v>
      </c>
      <c r="AT92" s="178" t="str">
        <f t="shared" si="43"/>
        <v>#DIV/0!</v>
      </c>
      <c r="AU92" s="179">
        <v>0.0</v>
      </c>
      <c r="AV92" s="180" t="str">
        <f t="shared" si="44"/>
        <v>#DIV/0!</v>
      </c>
      <c r="AW92" s="179">
        <v>0.0</v>
      </c>
      <c r="AX92" s="178" t="str">
        <f t="shared" si="45"/>
        <v>#DIV/0!</v>
      </c>
      <c r="AY92" s="179">
        <v>0.0</v>
      </c>
      <c r="AZ92" s="178" t="str">
        <f t="shared" si="46"/>
        <v>#DIV/0!</v>
      </c>
      <c r="BA92" s="181" t="str">
        <f t="shared" si="47"/>
        <v>#DIV/0!</v>
      </c>
      <c r="BB92" s="164"/>
      <c r="BC92" s="150" t="s">
        <v>134</v>
      </c>
      <c r="BD92" s="151">
        <v>44314.0</v>
      </c>
      <c r="BE92" s="176">
        <v>0.0</v>
      </c>
      <c r="BF92" s="177">
        <v>0.0</v>
      </c>
      <c r="BG92" s="178" t="str">
        <f t="shared" si="48"/>
        <v>#DIV/0!</v>
      </c>
      <c r="BH92" s="179">
        <v>0.0</v>
      </c>
      <c r="BI92" s="180" t="str">
        <f t="shared" si="49"/>
        <v>#DIV/0!</v>
      </c>
      <c r="BJ92" s="179">
        <v>0.0</v>
      </c>
      <c r="BK92" s="178" t="str">
        <f t="shared" si="50"/>
        <v>#DIV/0!</v>
      </c>
      <c r="BL92" s="179">
        <v>0.0</v>
      </c>
      <c r="BM92" s="178" t="str">
        <f t="shared" si="51"/>
        <v>#DIV/0!</v>
      </c>
      <c r="BN92" s="181" t="str">
        <f t="shared" si="52"/>
        <v>#DIV/0!</v>
      </c>
      <c r="BO92" s="169"/>
    </row>
    <row r="93" ht="15.75" customHeight="1">
      <c r="G93" s="51"/>
      <c r="H93" s="51"/>
      <c r="I93" s="51"/>
      <c r="J93" s="51"/>
      <c r="K93" s="51"/>
      <c r="L93" s="51"/>
      <c r="M93" s="51"/>
      <c r="N93" s="150" t="s">
        <v>135</v>
      </c>
      <c r="O93" s="151">
        <v>44315.0</v>
      </c>
      <c r="P93" s="176">
        <v>63.67</v>
      </c>
      <c r="Q93" s="177"/>
      <c r="R93" s="178"/>
      <c r="S93" s="179">
        <v>15.0</v>
      </c>
      <c r="T93" s="180">
        <v>4.24</v>
      </c>
      <c r="U93" s="179"/>
      <c r="V93" s="178"/>
      <c r="W93" s="179">
        <v>37.0</v>
      </c>
      <c r="X93" s="178">
        <v>1.72</v>
      </c>
      <c r="Y93" s="181"/>
      <c r="Z93" s="185">
        <f t="shared" si="37"/>
        <v>0</v>
      </c>
      <c r="AA93" s="188" t="s">
        <v>155</v>
      </c>
      <c r="AB93" s="150" t="s">
        <v>135</v>
      </c>
      <c r="AC93" s="151">
        <v>44315.0</v>
      </c>
      <c r="AD93" s="176">
        <v>0.0</v>
      </c>
      <c r="AE93" s="177">
        <v>0.0</v>
      </c>
      <c r="AF93" s="178" t="str">
        <f t="shared" si="53"/>
        <v>#DIV/0!</v>
      </c>
      <c r="AG93" s="179">
        <v>0.0</v>
      </c>
      <c r="AH93" s="180" t="str">
        <f t="shared" si="54"/>
        <v>#DIV/0!</v>
      </c>
      <c r="AI93" s="179">
        <v>0.0</v>
      </c>
      <c r="AJ93" s="178" t="str">
        <f t="shared" si="55"/>
        <v>#DIV/0!</v>
      </c>
      <c r="AK93" s="179">
        <v>0.0</v>
      </c>
      <c r="AL93" s="178" t="str">
        <f t="shared" si="56"/>
        <v>#DIV/0!</v>
      </c>
      <c r="AM93" s="181" t="str">
        <f t="shared" si="57"/>
        <v>#DIV/0!</v>
      </c>
      <c r="AN93" s="169"/>
      <c r="AO93" s="164"/>
      <c r="AP93" s="150" t="s">
        <v>135</v>
      </c>
      <c r="AQ93" s="151">
        <v>44315.0</v>
      </c>
      <c r="AR93" s="176">
        <v>0.0</v>
      </c>
      <c r="AS93" s="177">
        <v>0.0</v>
      </c>
      <c r="AT93" s="178" t="str">
        <f t="shared" si="43"/>
        <v>#DIV/0!</v>
      </c>
      <c r="AU93" s="179">
        <v>0.0</v>
      </c>
      <c r="AV93" s="180" t="str">
        <f t="shared" si="44"/>
        <v>#DIV/0!</v>
      </c>
      <c r="AW93" s="179">
        <v>0.0</v>
      </c>
      <c r="AX93" s="178" t="str">
        <f t="shared" si="45"/>
        <v>#DIV/0!</v>
      </c>
      <c r="AY93" s="179">
        <v>0.0</v>
      </c>
      <c r="AZ93" s="178" t="str">
        <f t="shared" si="46"/>
        <v>#DIV/0!</v>
      </c>
      <c r="BA93" s="181" t="str">
        <f t="shared" si="47"/>
        <v>#DIV/0!</v>
      </c>
      <c r="BB93" s="164"/>
      <c r="BC93" s="150" t="s">
        <v>135</v>
      </c>
      <c r="BD93" s="151">
        <v>44315.0</v>
      </c>
      <c r="BE93" s="176">
        <v>0.0</v>
      </c>
      <c r="BF93" s="177">
        <v>0.0</v>
      </c>
      <c r="BG93" s="178" t="str">
        <f t="shared" si="48"/>
        <v>#DIV/0!</v>
      </c>
      <c r="BH93" s="179">
        <v>0.0</v>
      </c>
      <c r="BI93" s="180" t="str">
        <f t="shared" si="49"/>
        <v>#DIV/0!</v>
      </c>
      <c r="BJ93" s="179">
        <v>0.0</v>
      </c>
      <c r="BK93" s="178" t="str">
        <f t="shared" si="50"/>
        <v>#DIV/0!</v>
      </c>
      <c r="BL93" s="179">
        <v>0.0</v>
      </c>
      <c r="BM93" s="178" t="str">
        <f t="shared" si="51"/>
        <v>#DIV/0!</v>
      </c>
      <c r="BN93" s="181" t="str">
        <f t="shared" si="52"/>
        <v>#DIV/0!</v>
      </c>
      <c r="BO93" s="169"/>
    </row>
    <row r="94" ht="15.75" customHeight="1">
      <c r="B94" s="51"/>
      <c r="C94" s="51"/>
      <c r="D94" s="51"/>
      <c r="E94" s="51"/>
      <c r="F94" s="51"/>
      <c r="G94" s="51"/>
      <c r="H94" s="51"/>
      <c r="I94" s="51"/>
      <c r="J94" s="51"/>
      <c r="K94" s="51"/>
      <c r="L94" s="51"/>
      <c r="M94" s="51"/>
      <c r="N94" s="150" t="s">
        <v>123</v>
      </c>
      <c r="O94" s="151">
        <v>44316.0</v>
      </c>
      <c r="P94" s="176">
        <v>64.07</v>
      </c>
      <c r="Q94" s="177">
        <v>5.0</v>
      </c>
      <c r="R94" s="178">
        <v>12.81</v>
      </c>
      <c r="S94" s="179">
        <v>18.0</v>
      </c>
      <c r="T94" s="180">
        <v>3.56</v>
      </c>
      <c r="U94" s="179"/>
      <c r="V94" s="178"/>
      <c r="W94" s="179">
        <v>34.0</v>
      </c>
      <c r="X94" s="178">
        <v>1.88</v>
      </c>
      <c r="Y94" s="181"/>
      <c r="Z94" s="185">
        <f t="shared" si="37"/>
        <v>0.2777777778</v>
      </c>
      <c r="AA94" s="164"/>
      <c r="AB94" s="150" t="s">
        <v>123</v>
      </c>
      <c r="AC94" s="151">
        <v>44316.0</v>
      </c>
      <c r="AD94" s="176">
        <v>0.0</v>
      </c>
      <c r="AE94" s="177">
        <v>0.0</v>
      </c>
      <c r="AF94" s="178" t="str">
        <f t="shared" si="53"/>
        <v>#DIV/0!</v>
      </c>
      <c r="AG94" s="179">
        <v>0.0</v>
      </c>
      <c r="AH94" s="180" t="str">
        <f t="shared" si="54"/>
        <v>#DIV/0!</v>
      </c>
      <c r="AI94" s="179">
        <v>0.0</v>
      </c>
      <c r="AJ94" s="178" t="str">
        <f t="shared" si="55"/>
        <v>#DIV/0!</v>
      </c>
      <c r="AK94" s="179">
        <v>0.0</v>
      </c>
      <c r="AL94" s="178" t="str">
        <f t="shared" si="56"/>
        <v>#DIV/0!</v>
      </c>
      <c r="AM94" s="181" t="str">
        <f t="shared" si="57"/>
        <v>#DIV/0!</v>
      </c>
      <c r="AN94" s="169"/>
      <c r="AO94" s="164"/>
      <c r="AP94" s="150" t="s">
        <v>123</v>
      </c>
      <c r="AQ94" s="151">
        <v>44316.0</v>
      </c>
      <c r="AR94" s="176">
        <v>0.0</v>
      </c>
      <c r="AS94" s="177">
        <v>0.0</v>
      </c>
      <c r="AT94" s="178" t="str">
        <f t="shared" si="43"/>
        <v>#DIV/0!</v>
      </c>
      <c r="AU94" s="179">
        <v>0.0</v>
      </c>
      <c r="AV94" s="180" t="str">
        <f t="shared" si="44"/>
        <v>#DIV/0!</v>
      </c>
      <c r="AW94" s="179">
        <v>0.0</v>
      </c>
      <c r="AX94" s="178" t="str">
        <f t="shared" si="45"/>
        <v>#DIV/0!</v>
      </c>
      <c r="AY94" s="179">
        <v>0.0</v>
      </c>
      <c r="AZ94" s="178" t="str">
        <f t="shared" si="46"/>
        <v>#DIV/0!</v>
      </c>
      <c r="BA94" s="181" t="str">
        <f t="shared" si="47"/>
        <v>#DIV/0!</v>
      </c>
      <c r="BB94" s="164"/>
      <c r="BC94" s="150" t="s">
        <v>123</v>
      </c>
      <c r="BD94" s="151">
        <v>44316.0</v>
      </c>
      <c r="BE94" s="176">
        <v>0.0</v>
      </c>
      <c r="BF94" s="177">
        <v>0.0</v>
      </c>
      <c r="BG94" s="178" t="str">
        <f t="shared" si="48"/>
        <v>#DIV/0!</v>
      </c>
      <c r="BH94" s="179">
        <v>0.0</v>
      </c>
      <c r="BI94" s="180" t="str">
        <f t="shared" si="49"/>
        <v>#DIV/0!</v>
      </c>
      <c r="BJ94" s="179">
        <v>0.0</v>
      </c>
      <c r="BK94" s="178" t="str">
        <f t="shared" si="50"/>
        <v>#DIV/0!</v>
      </c>
      <c r="BL94" s="179">
        <v>0.0</v>
      </c>
      <c r="BM94" s="178" t="str">
        <f t="shared" si="51"/>
        <v>#DIV/0!</v>
      </c>
      <c r="BN94" s="181" t="str">
        <f t="shared" si="52"/>
        <v>#DIV/0!</v>
      </c>
      <c r="BO94" s="169"/>
    </row>
    <row r="95" ht="15.75" customHeight="1">
      <c r="AK95" s="106"/>
    </row>
    <row r="96" ht="15.75" customHeight="1">
      <c r="AK96" s="106"/>
    </row>
    <row r="97" ht="15.75" customHeight="1">
      <c r="AC97" s="56"/>
      <c r="AD97" s="56"/>
      <c r="AE97" s="56"/>
      <c r="AF97" s="56"/>
      <c r="AG97" s="56"/>
      <c r="AH97" s="56"/>
      <c r="AI97" s="56"/>
      <c r="AJ97" s="56"/>
      <c r="AK97" s="106"/>
    </row>
    <row r="98" ht="15.75" customHeight="1">
      <c r="AK98" s="106"/>
    </row>
    <row r="99" ht="15.75" customHeight="1">
      <c r="AK99" s="106"/>
    </row>
    <row r="100" ht="15.75" customHeight="1">
      <c r="B100" s="51"/>
      <c r="C100" s="51"/>
      <c r="D100" s="51"/>
      <c r="E100" s="51"/>
      <c r="F100" s="51"/>
      <c r="G100" s="51"/>
      <c r="H100" s="51"/>
      <c r="I100" s="51"/>
      <c r="J100" s="51"/>
      <c r="K100" s="51"/>
      <c r="L100" s="51"/>
      <c r="M100" s="51"/>
      <c r="N100" s="131"/>
      <c r="O100" s="132" t="s">
        <v>104</v>
      </c>
      <c r="AB100" s="131"/>
      <c r="AC100" s="132" t="s">
        <v>105</v>
      </c>
      <c r="AO100" s="133"/>
      <c r="AP100" s="131"/>
      <c r="AQ100" s="134" t="s">
        <v>106</v>
      </c>
      <c r="BC100" s="131"/>
      <c r="BD100" s="134" t="s">
        <v>107</v>
      </c>
    </row>
    <row r="101" ht="15.75" customHeight="1">
      <c r="B101" s="135" t="s">
        <v>156</v>
      </c>
      <c r="M101" s="51"/>
      <c r="N101" s="131"/>
      <c r="O101" s="136" t="s">
        <v>109</v>
      </c>
      <c r="P101" s="137" t="s">
        <v>110</v>
      </c>
      <c r="Q101" s="137" t="s">
        <v>111</v>
      </c>
      <c r="R101" s="137" t="s">
        <v>112</v>
      </c>
      <c r="S101" s="137" t="s">
        <v>113</v>
      </c>
      <c r="T101" s="137" t="s">
        <v>114</v>
      </c>
      <c r="U101" s="137" t="s">
        <v>115</v>
      </c>
      <c r="V101" s="137" t="s">
        <v>116</v>
      </c>
      <c r="W101" s="137" t="s">
        <v>117</v>
      </c>
      <c r="X101" s="137" t="s">
        <v>118</v>
      </c>
      <c r="Y101" s="136" t="s">
        <v>119</v>
      </c>
      <c r="Z101" s="137" t="s">
        <v>120</v>
      </c>
      <c r="AA101" s="136" t="s">
        <v>121</v>
      </c>
      <c r="AB101" s="131"/>
      <c r="AC101" s="136" t="s">
        <v>109</v>
      </c>
      <c r="AD101" s="137" t="s">
        <v>110</v>
      </c>
      <c r="AE101" s="137" t="s">
        <v>111</v>
      </c>
      <c r="AF101" s="137" t="s">
        <v>112</v>
      </c>
      <c r="AG101" s="137" t="s">
        <v>113</v>
      </c>
      <c r="AH101" s="137" t="s">
        <v>114</v>
      </c>
      <c r="AI101" s="137" t="s">
        <v>115</v>
      </c>
      <c r="AJ101" s="137" t="s">
        <v>116</v>
      </c>
      <c r="AK101" s="138" t="s">
        <v>117</v>
      </c>
      <c r="AL101" s="137" t="s">
        <v>118</v>
      </c>
      <c r="AM101" s="137" t="s">
        <v>122</v>
      </c>
      <c r="AN101" s="136" t="s">
        <v>121</v>
      </c>
      <c r="AO101" s="139"/>
      <c r="AP101" s="131"/>
      <c r="AQ101" s="136" t="s">
        <v>109</v>
      </c>
      <c r="AR101" s="137" t="s">
        <v>110</v>
      </c>
      <c r="AS101" s="137" t="s">
        <v>111</v>
      </c>
      <c r="AT101" s="137" t="s">
        <v>112</v>
      </c>
      <c r="AU101" s="137" t="s">
        <v>113</v>
      </c>
      <c r="AV101" s="137" t="s">
        <v>114</v>
      </c>
      <c r="AW101" s="137" t="s">
        <v>115</v>
      </c>
      <c r="AX101" s="137" t="s">
        <v>116</v>
      </c>
      <c r="AY101" s="137" t="s">
        <v>117</v>
      </c>
      <c r="AZ101" s="137" t="s">
        <v>118</v>
      </c>
      <c r="BA101" s="137" t="s">
        <v>122</v>
      </c>
      <c r="BB101" s="136" t="s">
        <v>121</v>
      </c>
      <c r="BC101" s="131"/>
      <c r="BD101" s="136" t="s">
        <v>109</v>
      </c>
      <c r="BE101" s="137" t="s">
        <v>110</v>
      </c>
      <c r="BF101" s="137" t="s">
        <v>111</v>
      </c>
      <c r="BG101" s="137" t="s">
        <v>112</v>
      </c>
      <c r="BH101" s="137" t="s">
        <v>113</v>
      </c>
      <c r="BI101" s="137" t="s">
        <v>114</v>
      </c>
      <c r="BJ101" s="137" t="s">
        <v>115</v>
      </c>
      <c r="BK101" s="137" t="s">
        <v>116</v>
      </c>
      <c r="BL101" s="137" t="s">
        <v>117</v>
      </c>
      <c r="BM101" s="137" t="s">
        <v>118</v>
      </c>
      <c r="BN101" s="137" t="s">
        <v>122</v>
      </c>
      <c r="BO101" s="136" t="s">
        <v>121</v>
      </c>
    </row>
    <row r="102" ht="15.75" customHeight="1">
      <c r="M102" s="51"/>
      <c r="N102" s="131"/>
      <c r="P102" s="140">
        <f t="shared" ref="P102:Q102" si="58">SUM(P103:P133)</f>
        <v>752.12</v>
      </c>
      <c r="Q102" s="141">
        <f t="shared" si="58"/>
        <v>39</v>
      </c>
      <c r="R102" s="142">
        <f>P102/Q102</f>
        <v>19.28512821</v>
      </c>
      <c r="S102" s="143">
        <f>SUM(S103:S133)</f>
        <v>169</v>
      </c>
      <c r="T102" s="144">
        <f>P102/S102</f>
        <v>4.450414201</v>
      </c>
      <c r="U102" s="143">
        <f>SUM(U103:U133)</f>
        <v>0</v>
      </c>
      <c r="V102" s="142" t="str">
        <f>P102/U102</f>
        <v>#DIV/0!</v>
      </c>
      <c r="W102" s="143">
        <f>SUM(W103:W133)</f>
        <v>391</v>
      </c>
      <c r="X102" s="145">
        <f>P102/W102</f>
        <v>1.923580563</v>
      </c>
      <c r="Y102" s="146">
        <f>U102/W102</f>
        <v>0</v>
      </c>
      <c r="Z102" s="146">
        <f t="shared" ref="Z102:Z133" si="62">Q102/S102</f>
        <v>0.2307692308</v>
      </c>
      <c r="AB102" s="131"/>
      <c r="AD102" s="140">
        <f t="shared" ref="AD102:AE102" si="59">SUM(AD103:AD132)</f>
        <v>0</v>
      </c>
      <c r="AE102" s="141">
        <f t="shared" si="59"/>
        <v>0</v>
      </c>
      <c r="AF102" s="147" t="str">
        <f t="shared" ref="AF102:AF133" si="63">AD102/AE102</f>
        <v>#DIV/0!</v>
      </c>
      <c r="AG102" s="143">
        <f>SUM(AG103:AG132)</f>
        <v>0</v>
      </c>
      <c r="AH102" s="148" t="str">
        <f t="shared" ref="AH102:AH133" si="64">AD102/AG102</f>
        <v>#DIV/0!</v>
      </c>
      <c r="AI102" s="143">
        <f>SUM(AI103:AI132)</f>
        <v>0</v>
      </c>
      <c r="AJ102" s="142" t="str">
        <f t="shared" ref="AJ102:AJ133" si="65">AD102/AI102</f>
        <v>#DIV/0!</v>
      </c>
      <c r="AK102" s="143">
        <f>SUM(AK103:AK132)</f>
        <v>0</v>
      </c>
      <c r="AL102" s="145" t="str">
        <f t="shared" ref="AL102:AL133" si="66">AD102/AK102</f>
        <v>#DIV/0!</v>
      </c>
      <c r="AM102" s="149" t="str">
        <f t="shared" ref="AM102:AM133" si="67">AI102/AK102</f>
        <v>#DIV/0!</v>
      </c>
      <c r="AO102" s="139"/>
      <c r="AP102" s="131"/>
      <c r="AR102" s="140">
        <f t="shared" ref="AR102:AS102" si="60">SUM(AR103:AR132)</f>
        <v>0</v>
      </c>
      <c r="AS102" s="141">
        <f t="shared" si="60"/>
        <v>0</v>
      </c>
      <c r="AT102" s="142" t="str">
        <f t="shared" ref="AT102:AT133" si="68">AR102/AS102</f>
        <v>#DIV/0!</v>
      </c>
      <c r="AU102" s="143">
        <f>SUM(AU103:AU132)</f>
        <v>0</v>
      </c>
      <c r="AV102" s="144" t="str">
        <f t="shared" ref="AV102:AV133" si="69">AR102/AU102</f>
        <v>#DIV/0!</v>
      </c>
      <c r="AW102" s="143">
        <f>SUM(AW103:AW132)</f>
        <v>0</v>
      </c>
      <c r="AX102" s="142" t="str">
        <f t="shared" ref="AX102:AX133" si="70">AR102/AW102</f>
        <v>#DIV/0!</v>
      </c>
      <c r="AY102" s="143">
        <f>SUM(AY103:AY132)</f>
        <v>0</v>
      </c>
      <c r="AZ102" s="145" t="str">
        <f t="shared" ref="AZ102:AZ133" si="71">AR102/AY102</f>
        <v>#DIV/0!</v>
      </c>
      <c r="BA102" s="146" t="str">
        <f t="shared" ref="BA102:BA133" si="72">AW102/AY102</f>
        <v>#DIV/0!</v>
      </c>
      <c r="BC102" s="131"/>
      <c r="BE102" s="140">
        <f t="shared" ref="BE102:BF102" si="61">SUM(BE103:BE132)</f>
        <v>0</v>
      </c>
      <c r="BF102" s="141">
        <f t="shared" si="61"/>
        <v>0</v>
      </c>
      <c r="BG102" s="147" t="str">
        <f t="shared" ref="BG102:BG133" si="73">BE102/BF102</f>
        <v>#DIV/0!</v>
      </c>
      <c r="BH102" s="143">
        <f>SUM(BH103:BH132)</f>
        <v>0</v>
      </c>
      <c r="BI102" s="148" t="str">
        <f t="shared" ref="BI102:BI133" si="74">BE102/BH102</f>
        <v>#DIV/0!</v>
      </c>
      <c r="BJ102" s="143">
        <f>SUM(BJ103:BJ132)</f>
        <v>0</v>
      </c>
      <c r="BK102" s="142" t="str">
        <f t="shared" ref="BK102:BK133" si="75">BE102/BJ102</f>
        <v>#DIV/0!</v>
      </c>
      <c r="BL102" s="143">
        <f>SUM(BL103:BL132)</f>
        <v>0</v>
      </c>
      <c r="BM102" s="145" t="str">
        <f t="shared" ref="BM102:BM133" si="76">BE102/BL102</f>
        <v>#DIV/0!</v>
      </c>
      <c r="BN102" s="149" t="str">
        <f t="shared" ref="BN102:BN133" si="77">BJ102/BL102</f>
        <v>#DIV/0!</v>
      </c>
    </row>
    <row r="103" ht="15.75" customHeight="1">
      <c r="M103" s="51"/>
      <c r="N103" s="150" t="s">
        <v>126</v>
      </c>
      <c r="O103" s="151">
        <v>44317.0</v>
      </c>
      <c r="P103" s="176">
        <v>63.01</v>
      </c>
      <c r="Q103" s="177">
        <v>3.0</v>
      </c>
      <c r="R103" s="178">
        <v>21.0</v>
      </c>
      <c r="S103" s="179">
        <v>14.0</v>
      </c>
      <c r="T103" s="180">
        <v>4.5</v>
      </c>
      <c r="U103" s="179"/>
      <c r="V103" s="178"/>
      <c r="W103" s="179">
        <v>47.0</v>
      </c>
      <c r="X103" s="178">
        <v>1.34</v>
      </c>
      <c r="Y103" s="181"/>
      <c r="Z103" s="185">
        <f t="shared" si="62"/>
        <v>0.2142857143</v>
      </c>
      <c r="AA103" s="85"/>
      <c r="AB103" s="150" t="s">
        <v>126</v>
      </c>
      <c r="AC103" s="151">
        <v>44317.0</v>
      </c>
      <c r="AD103" s="176">
        <v>0.0</v>
      </c>
      <c r="AE103" s="177">
        <v>0.0</v>
      </c>
      <c r="AF103" s="178" t="str">
        <f t="shared" si="63"/>
        <v>#DIV/0!</v>
      </c>
      <c r="AG103" s="179">
        <v>0.0</v>
      </c>
      <c r="AH103" s="180" t="str">
        <f t="shared" si="64"/>
        <v>#DIV/0!</v>
      </c>
      <c r="AI103" s="179">
        <v>0.0</v>
      </c>
      <c r="AJ103" s="178" t="str">
        <f t="shared" si="65"/>
        <v>#DIV/0!</v>
      </c>
      <c r="AK103" s="179">
        <v>0.0</v>
      </c>
      <c r="AL103" s="178" t="str">
        <f t="shared" si="66"/>
        <v>#DIV/0!</v>
      </c>
      <c r="AM103" s="181" t="str">
        <f t="shared" si="67"/>
        <v>#DIV/0!</v>
      </c>
      <c r="AN103" s="85"/>
      <c r="AO103" s="85"/>
      <c r="AP103" s="150" t="s">
        <v>126</v>
      </c>
      <c r="AQ103" s="151">
        <v>44317.0</v>
      </c>
      <c r="AR103" s="176">
        <v>0.0</v>
      </c>
      <c r="AS103" s="177">
        <v>0.0</v>
      </c>
      <c r="AT103" s="178" t="str">
        <f t="shared" si="68"/>
        <v>#DIV/0!</v>
      </c>
      <c r="AU103" s="179">
        <v>0.0</v>
      </c>
      <c r="AV103" s="180" t="str">
        <f t="shared" si="69"/>
        <v>#DIV/0!</v>
      </c>
      <c r="AW103" s="179">
        <v>0.0</v>
      </c>
      <c r="AX103" s="178" t="str">
        <f t="shared" si="70"/>
        <v>#DIV/0!</v>
      </c>
      <c r="AY103" s="179">
        <v>0.0</v>
      </c>
      <c r="AZ103" s="178" t="str">
        <f t="shared" si="71"/>
        <v>#DIV/0!</v>
      </c>
      <c r="BA103" s="181" t="str">
        <f t="shared" si="72"/>
        <v>#DIV/0!</v>
      </c>
      <c r="BB103" s="85"/>
      <c r="BC103" s="150" t="s">
        <v>126</v>
      </c>
      <c r="BD103" s="151">
        <v>44317.0</v>
      </c>
      <c r="BE103" s="176">
        <v>0.0</v>
      </c>
      <c r="BF103" s="177">
        <v>0.0</v>
      </c>
      <c r="BG103" s="178" t="str">
        <f t="shared" si="73"/>
        <v>#DIV/0!</v>
      </c>
      <c r="BH103" s="179">
        <v>0.0</v>
      </c>
      <c r="BI103" s="180" t="str">
        <f t="shared" si="74"/>
        <v>#DIV/0!</v>
      </c>
      <c r="BJ103" s="179">
        <v>0.0</v>
      </c>
      <c r="BK103" s="178" t="str">
        <f t="shared" si="75"/>
        <v>#DIV/0!</v>
      </c>
      <c r="BL103" s="179">
        <v>0.0</v>
      </c>
      <c r="BM103" s="178" t="str">
        <f t="shared" si="76"/>
        <v>#DIV/0!</v>
      </c>
      <c r="BN103" s="181" t="str">
        <f t="shared" si="77"/>
        <v>#DIV/0!</v>
      </c>
      <c r="BO103" s="85"/>
    </row>
    <row r="104" ht="15.75" customHeight="1">
      <c r="B104" s="160" t="s">
        <v>124</v>
      </c>
      <c r="G104" s="78"/>
      <c r="H104" s="161" t="s">
        <v>125</v>
      </c>
      <c r="M104" s="51"/>
      <c r="N104" s="150" t="s">
        <v>127</v>
      </c>
      <c r="O104" s="151">
        <v>44318.0</v>
      </c>
      <c r="P104" s="176">
        <v>59.59</v>
      </c>
      <c r="Q104" s="177">
        <v>5.0</v>
      </c>
      <c r="R104" s="178">
        <v>11.92</v>
      </c>
      <c r="S104" s="179">
        <v>15.0</v>
      </c>
      <c r="T104" s="180">
        <v>3.97</v>
      </c>
      <c r="U104" s="179"/>
      <c r="V104" s="178"/>
      <c r="W104" s="179">
        <v>61.0</v>
      </c>
      <c r="X104" s="178">
        <v>0.98</v>
      </c>
      <c r="Y104" s="181"/>
      <c r="Z104" s="185">
        <f t="shared" si="62"/>
        <v>0.3333333333</v>
      </c>
      <c r="AA104" s="51"/>
      <c r="AB104" s="150" t="s">
        <v>127</v>
      </c>
      <c r="AC104" s="151">
        <v>44318.0</v>
      </c>
      <c r="AD104" s="176">
        <v>0.0</v>
      </c>
      <c r="AE104" s="177">
        <v>0.0</v>
      </c>
      <c r="AF104" s="178" t="str">
        <f t="shared" si="63"/>
        <v>#DIV/0!</v>
      </c>
      <c r="AG104" s="179">
        <v>0.0</v>
      </c>
      <c r="AH104" s="180" t="str">
        <f t="shared" si="64"/>
        <v>#DIV/0!</v>
      </c>
      <c r="AI104" s="179">
        <v>0.0</v>
      </c>
      <c r="AJ104" s="178" t="str">
        <f t="shared" si="65"/>
        <v>#DIV/0!</v>
      </c>
      <c r="AK104" s="179">
        <v>0.0</v>
      </c>
      <c r="AL104" s="178" t="str">
        <f t="shared" si="66"/>
        <v>#DIV/0!</v>
      </c>
      <c r="AM104" s="181" t="str">
        <f t="shared" si="67"/>
        <v>#DIV/0!</v>
      </c>
      <c r="AN104" s="51"/>
      <c r="AO104" s="51"/>
      <c r="AP104" s="150" t="s">
        <v>127</v>
      </c>
      <c r="AQ104" s="151">
        <v>44318.0</v>
      </c>
      <c r="AR104" s="176">
        <v>0.0</v>
      </c>
      <c r="AS104" s="177">
        <v>0.0</v>
      </c>
      <c r="AT104" s="178" t="str">
        <f t="shared" si="68"/>
        <v>#DIV/0!</v>
      </c>
      <c r="AU104" s="179">
        <v>0.0</v>
      </c>
      <c r="AV104" s="180" t="str">
        <f t="shared" si="69"/>
        <v>#DIV/0!</v>
      </c>
      <c r="AW104" s="179">
        <v>0.0</v>
      </c>
      <c r="AX104" s="178" t="str">
        <f t="shared" si="70"/>
        <v>#DIV/0!</v>
      </c>
      <c r="AY104" s="179">
        <v>0.0</v>
      </c>
      <c r="AZ104" s="178" t="str">
        <f t="shared" si="71"/>
        <v>#DIV/0!</v>
      </c>
      <c r="BA104" s="181" t="str">
        <f t="shared" si="72"/>
        <v>#DIV/0!</v>
      </c>
      <c r="BB104" s="51"/>
      <c r="BC104" s="150" t="s">
        <v>127</v>
      </c>
      <c r="BD104" s="151">
        <v>44318.0</v>
      </c>
      <c r="BE104" s="176">
        <v>0.0</v>
      </c>
      <c r="BF104" s="177">
        <v>0.0</v>
      </c>
      <c r="BG104" s="178" t="str">
        <f t="shared" si="73"/>
        <v>#DIV/0!</v>
      </c>
      <c r="BH104" s="179">
        <v>0.0</v>
      </c>
      <c r="BI104" s="180" t="str">
        <f t="shared" si="74"/>
        <v>#DIV/0!</v>
      </c>
      <c r="BJ104" s="179">
        <v>0.0</v>
      </c>
      <c r="BK104" s="178" t="str">
        <f t="shared" si="75"/>
        <v>#DIV/0!</v>
      </c>
      <c r="BL104" s="179">
        <v>0.0</v>
      </c>
      <c r="BM104" s="178" t="str">
        <f t="shared" si="76"/>
        <v>#DIV/0!</v>
      </c>
      <c r="BN104" s="181" t="str">
        <f t="shared" si="77"/>
        <v>#DIV/0!</v>
      </c>
      <c r="BO104" s="51"/>
    </row>
    <row r="105" ht="15.75" customHeight="1">
      <c r="G105" s="78"/>
      <c r="M105" s="51"/>
      <c r="N105" s="150" t="s">
        <v>130</v>
      </c>
      <c r="O105" s="151">
        <v>44319.0</v>
      </c>
      <c r="P105" s="176">
        <v>58.51</v>
      </c>
      <c r="Q105" s="177">
        <v>6.0</v>
      </c>
      <c r="R105" s="178">
        <v>9.75</v>
      </c>
      <c r="S105" s="179">
        <v>12.0</v>
      </c>
      <c r="T105" s="180">
        <v>4.88</v>
      </c>
      <c r="U105" s="179"/>
      <c r="V105" s="178"/>
      <c r="W105" s="179">
        <v>40.0</v>
      </c>
      <c r="X105" s="178">
        <v>1.46</v>
      </c>
      <c r="Y105" s="181"/>
      <c r="Z105" s="185">
        <f t="shared" si="62"/>
        <v>0.5</v>
      </c>
      <c r="AA105" s="164"/>
      <c r="AB105" s="150" t="s">
        <v>130</v>
      </c>
      <c r="AC105" s="151">
        <v>44319.0</v>
      </c>
      <c r="AD105" s="176">
        <v>0.0</v>
      </c>
      <c r="AE105" s="177">
        <v>0.0</v>
      </c>
      <c r="AF105" s="178" t="str">
        <f t="shared" si="63"/>
        <v>#DIV/0!</v>
      </c>
      <c r="AG105" s="179">
        <v>0.0</v>
      </c>
      <c r="AH105" s="180" t="str">
        <f t="shared" si="64"/>
        <v>#DIV/0!</v>
      </c>
      <c r="AI105" s="179">
        <v>0.0</v>
      </c>
      <c r="AJ105" s="178" t="str">
        <f t="shared" si="65"/>
        <v>#DIV/0!</v>
      </c>
      <c r="AK105" s="179">
        <v>0.0</v>
      </c>
      <c r="AL105" s="178" t="str">
        <f t="shared" si="66"/>
        <v>#DIV/0!</v>
      </c>
      <c r="AM105" s="181" t="str">
        <f t="shared" si="67"/>
        <v>#DIV/0!</v>
      </c>
      <c r="AN105" s="164"/>
      <c r="AO105" s="164"/>
      <c r="AP105" s="150" t="s">
        <v>130</v>
      </c>
      <c r="AQ105" s="151">
        <v>44319.0</v>
      </c>
      <c r="AR105" s="176">
        <v>0.0</v>
      </c>
      <c r="AS105" s="177">
        <v>0.0</v>
      </c>
      <c r="AT105" s="178" t="str">
        <f t="shared" si="68"/>
        <v>#DIV/0!</v>
      </c>
      <c r="AU105" s="179">
        <v>0.0</v>
      </c>
      <c r="AV105" s="180" t="str">
        <f t="shared" si="69"/>
        <v>#DIV/0!</v>
      </c>
      <c r="AW105" s="179">
        <v>0.0</v>
      </c>
      <c r="AX105" s="178" t="str">
        <f t="shared" si="70"/>
        <v>#DIV/0!</v>
      </c>
      <c r="AY105" s="179">
        <v>0.0</v>
      </c>
      <c r="AZ105" s="178" t="str">
        <f t="shared" si="71"/>
        <v>#DIV/0!</v>
      </c>
      <c r="BA105" s="181" t="str">
        <f t="shared" si="72"/>
        <v>#DIV/0!</v>
      </c>
      <c r="BB105" s="164"/>
      <c r="BC105" s="150" t="s">
        <v>130</v>
      </c>
      <c r="BD105" s="151">
        <v>44319.0</v>
      </c>
      <c r="BE105" s="176">
        <v>0.0</v>
      </c>
      <c r="BF105" s="177">
        <v>0.0</v>
      </c>
      <c r="BG105" s="178" t="str">
        <f t="shared" si="73"/>
        <v>#DIV/0!</v>
      </c>
      <c r="BH105" s="179">
        <v>0.0</v>
      </c>
      <c r="BI105" s="180" t="str">
        <f t="shared" si="74"/>
        <v>#DIV/0!</v>
      </c>
      <c r="BJ105" s="179">
        <v>0.0</v>
      </c>
      <c r="BK105" s="178" t="str">
        <f t="shared" si="75"/>
        <v>#DIV/0!</v>
      </c>
      <c r="BL105" s="179">
        <v>0.0</v>
      </c>
      <c r="BM105" s="178" t="str">
        <f t="shared" si="76"/>
        <v>#DIV/0!</v>
      </c>
      <c r="BN105" s="181" t="str">
        <f t="shared" si="77"/>
        <v>#DIV/0!</v>
      </c>
      <c r="BO105" s="164"/>
    </row>
    <row r="106" ht="15.75" customHeight="1">
      <c r="B106" s="165" t="s">
        <v>128</v>
      </c>
      <c r="E106" s="168" t="str">
        <f>#REF!</f>
        <v>#REF!</v>
      </c>
      <c r="G106" s="51"/>
      <c r="H106" s="167" t="s">
        <v>129</v>
      </c>
      <c r="K106" s="168">
        <f>P102</f>
        <v>752.12</v>
      </c>
      <c r="M106" s="51"/>
      <c r="N106" s="150" t="s">
        <v>131</v>
      </c>
      <c r="O106" s="151">
        <v>44320.0</v>
      </c>
      <c r="P106" s="176">
        <v>59.34</v>
      </c>
      <c r="Q106" s="177">
        <v>5.0</v>
      </c>
      <c r="R106" s="178">
        <v>11.87</v>
      </c>
      <c r="S106" s="179">
        <v>19.0</v>
      </c>
      <c r="T106" s="180">
        <v>3.12</v>
      </c>
      <c r="U106" s="179"/>
      <c r="V106" s="178"/>
      <c r="W106" s="179">
        <v>36.0</v>
      </c>
      <c r="X106" s="178">
        <v>1.65</v>
      </c>
      <c r="Y106" s="181"/>
      <c r="Z106" s="185">
        <f t="shared" si="62"/>
        <v>0.2631578947</v>
      </c>
      <c r="AA106" s="51"/>
      <c r="AB106" s="150" t="s">
        <v>131</v>
      </c>
      <c r="AC106" s="151">
        <v>44320.0</v>
      </c>
      <c r="AD106" s="176">
        <v>0.0</v>
      </c>
      <c r="AE106" s="177">
        <v>0.0</v>
      </c>
      <c r="AF106" s="178" t="str">
        <f t="shared" si="63"/>
        <v>#DIV/0!</v>
      </c>
      <c r="AG106" s="179">
        <v>0.0</v>
      </c>
      <c r="AH106" s="180" t="str">
        <f t="shared" si="64"/>
        <v>#DIV/0!</v>
      </c>
      <c r="AI106" s="179">
        <v>0.0</v>
      </c>
      <c r="AJ106" s="178" t="str">
        <f t="shared" si="65"/>
        <v>#DIV/0!</v>
      </c>
      <c r="AK106" s="179">
        <v>0.0</v>
      </c>
      <c r="AL106" s="178" t="str">
        <f t="shared" si="66"/>
        <v>#DIV/0!</v>
      </c>
      <c r="AM106" s="181" t="str">
        <f t="shared" si="67"/>
        <v>#DIV/0!</v>
      </c>
      <c r="AN106" s="51"/>
      <c r="AO106" s="51"/>
      <c r="AP106" s="150" t="s">
        <v>131</v>
      </c>
      <c r="AQ106" s="151">
        <v>44320.0</v>
      </c>
      <c r="AR106" s="176">
        <v>0.0</v>
      </c>
      <c r="AS106" s="177">
        <v>0.0</v>
      </c>
      <c r="AT106" s="178" t="str">
        <f t="shared" si="68"/>
        <v>#DIV/0!</v>
      </c>
      <c r="AU106" s="179">
        <v>0.0</v>
      </c>
      <c r="AV106" s="180" t="str">
        <f t="shared" si="69"/>
        <v>#DIV/0!</v>
      </c>
      <c r="AW106" s="179">
        <v>0.0</v>
      </c>
      <c r="AX106" s="178" t="str">
        <f t="shared" si="70"/>
        <v>#DIV/0!</v>
      </c>
      <c r="AY106" s="179">
        <v>0.0</v>
      </c>
      <c r="AZ106" s="178" t="str">
        <f t="shared" si="71"/>
        <v>#DIV/0!</v>
      </c>
      <c r="BA106" s="181" t="str">
        <f t="shared" si="72"/>
        <v>#DIV/0!</v>
      </c>
      <c r="BB106" s="51"/>
      <c r="BC106" s="150" t="s">
        <v>131</v>
      </c>
      <c r="BD106" s="151">
        <v>44320.0</v>
      </c>
      <c r="BE106" s="176">
        <v>0.0</v>
      </c>
      <c r="BF106" s="177">
        <v>0.0</v>
      </c>
      <c r="BG106" s="178" t="str">
        <f t="shared" si="73"/>
        <v>#DIV/0!</v>
      </c>
      <c r="BH106" s="179">
        <v>0.0</v>
      </c>
      <c r="BI106" s="180" t="str">
        <f t="shared" si="74"/>
        <v>#DIV/0!</v>
      </c>
      <c r="BJ106" s="179">
        <v>0.0</v>
      </c>
      <c r="BK106" s="178" t="str">
        <f t="shared" si="75"/>
        <v>#DIV/0!</v>
      </c>
      <c r="BL106" s="179">
        <v>0.0</v>
      </c>
      <c r="BM106" s="178" t="str">
        <f t="shared" si="76"/>
        <v>#DIV/0!</v>
      </c>
      <c r="BN106" s="181" t="str">
        <f t="shared" si="77"/>
        <v>#DIV/0!</v>
      </c>
      <c r="BO106" s="51"/>
    </row>
    <row r="107" ht="15.75" customHeight="1">
      <c r="G107" s="51"/>
      <c r="M107" s="51"/>
      <c r="N107" s="150" t="s">
        <v>134</v>
      </c>
      <c r="O107" s="151">
        <v>44321.0</v>
      </c>
      <c r="P107" s="176">
        <v>60.16</v>
      </c>
      <c r="Q107" s="177">
        <v>3.0</v>
      </c>
      <c r="R107" s="178">
        <v>20.05</v>
      </c>
      <c r="S107" s="179">
        <v>13.0</v>
      </c>
      <c r="T107" s="180">
        <v>4.63</v>
      </c>
      <c r="U107" s="179"/>
      <c r="V107" s="178"/>
      <c r="W107" s="179">
        <v>18.0</v>
      </c>
      <c r="X107" s="178">
        <v>3.34</v>
      </c>
      <c r="Y107" s="181"/>
      <c r="Z107" s="185">
        <f t="shared" si="62"/>
        <v>0.2307692308</v>
      </c>
      <c r="AA107" s="164"/>
      <c r="AB107" s="150" t="s">
        <v>134</v>
      </c>
      <c r="AC107" s="151">
        <v>44321.0</v>
      </c>
      <c r="AD107" s="176">
        <v>0.0</v>
      </c>
      <c r="AE107" s="177">
        <v>0.0</v>
      </c>
      <c r="AF107" s="178" t="str">
        <f t="shared" si="63"/>
        <v>#DIV/0!</v>
      </c>
      <c r="AG107" s="179">
        <v>0.0</v>
      </c>
      <c r="AH107" s="180" t="str">
        <f t="shared" si="64"/>
        <v>#DIV/0!</v>
      </c>
      <c r="AI107" s="179">
        <v>0.0</v>
      </c>
      <c r="AJ107" s="178" t="str">
        <f t="shared" si="65"/>
        <v>#DIV/0!</v>
      </c>
      <c r="AK107" s="179">
        <v>0.0</v>
      </c>
      <c r="AL107" s="178" t="str">
        <f t="shared" si="66"/>
        <v>#DIV/0!</v>
      </c>
      <c r="AM107" s="181" t="str">
        <f t="shared" si="67"/>
        <v>#DIV/0!</v>
      </c>
      <c r="AN107" s="164"/>
      <c r="AO107" s="164"/>
      <c r="AP107" s="150" t="s">
        <v>134</v>
      </c>
      <c r="AQ107" s="151">
        <v>44321.0</v>
      </c>
      <c r="AR107" s="176">
        <v>0.0</v>
      </c>
      <c r="AS107" s="177">
        <v>0.0</v>
      </c>
      <c r="AT107" s="178" t="str">
        <f t="shared" si="68"/>
        <v>#DIV/0!</v>
      </c>
      <c r="AU107" s="179">
        <v>0.0</v>
      </c>
      <c r="AV107" s="180" t="str">
        <f t="shared" si="69"/>
        <v>#DIV/0!</v>
      </c>
      <c r="AW107" s="179">
        <v>0.0</v>
      </c>
      <c r="AX107" s="178" t="str">
        <f t="shared" si="70"/>
        <v>#DIV/0!</v>
      </c>
      <c r="AY107" s="179">
        <v>0.0</v>
      </c>
      <c r="AZ107" s="178" t="str">
        <f t="shared" si="71"/>
        <v>#DIV/0!</v>
      </c>
      <c r="BA107" s="181" t="str">
        <f t="shared" si="72"/>
        <v>#DIV/0!</v>
      </c>
      <c r="BB107" s="164"/>
      <c r="BC107" s="150" t="s">
        <v>134</v>
      </c>
      <c r="BD107" s="151">
        <v>44321.0</v>
      </c>
      <c r="BE107" s="176">
        <v>0.0</v>
      </c>
      <c r="BF107" s="177">
        <v>0.0</v>
      </c>
      <c r="BG107" s="178" t="str">
        <f t="shared" si="73"/>
        <v>#DIV/0!</v>
      </c>
      <c r="BH107" s="179">
        <v>0.0</v>
      </c>
      <c r="BI107" s="180" t="str">
        <f t="shared" si="74"/>
        <v>#DIV/0!</v>
      </c>
      <c r="BJ107" s="179">
        <v>0.0</v>
      </c>
      <c r="BK107" s="178" t="str">
        <f t="shared" si="75"/>
        <v>#DIV/0!</v>
      </c>
      <c r="BL107" s="179">
        <v>0.0</v>
      </c>
      <c r="BM107" s="178" t="str">
        <f t="shared" si="76"/>
        <v>#DIV/0!</v>
      </c>
      <c r="BN107" s="181" t="str">
        <f t="shared" si="77"/>
        <v>#DIV/0!</v>
      </c>
      <c r="BO107" s="164"/>
    </row>
    <row r="108" ht="15.75" customHeight="1">
      <c r="B108" s="167" t="s">
        <v>132</v>
      </c>
      <c r="E108" s="168">
        <v>97.0</v>
      </c>
      <c r="G108" s="51"/>
      <c r="H108" s="165" t="s">
        <v>133</v>
      </c>
      <c r="K108" s="174">
        <f>Q102</f>
        <v>39</v>
      </c>
      <c r="M108" s="51"/>
      <c r="N108" s="150" t="s">
        <v>135</v>
      </c>
      <c r="O108" s="151">
        <v>44322.0</v>
      </c>
      <c r="P108" s="176">
        <v>59.4</v>
      </c>
      <c r="Q108" s="177">
        <v>2.0</v>
      </c>
      <c r="R108" s="178">
        <v>29.7</v>
      </c>
      <c r="S108" s="179">
        <v>13.0</v>
      </c>
      <c r="T108" s="180">
        <v>4.57</v>
      </c>
      <c r="U108" s="179"/>
      <c r="V108" s="178"/>
      <c r="W108" s="179">
        <v>32.0</v>
      </c>
      <c r="X108" s="178">
        <v>1.86</v>
      </c>
      <c r="Y108" s="181"/>
      <c r="Z108" s="185">
        <f t="shared" si="62"/>
        <v>0.1538461538</v>
      </c>
      <c r="AA108" s="164"/>
      <c r="AB108" s="150" t="s">
        <v>135</v>
      </c>
      <c r="AC108" s="151">
        <v>44322.0</v>
      </c>
      <c r="AD108" s="176">
        <v>0.0</v>
      </c>
      <c r="AE108" s="177">
        <v>0.0</v>
      </c>
      <c r="AF108" s="178" t="str">
        <f t="shared" si="63"/>
        <v>#DIV/0!</v>
      </c>
      <c r="AG108" s="179">
        <v>0.0</v>
      </c>
      <c r="AH108" s="180" t="str">
        <f t="shared" si="64"/>
        <v>#DIV/0!</v>
      </c>
      <c r="AI108" s="179">
        <v>0.0</v>
      </c>
      <c r="AJ108" s="178" t="str">
        <f t="shared" si="65"/>
        <v>#DIV/0!</v>
      </c>
      <c r="AK108" s="179">
        <v>0.0</v>
      </c>
      <c r="AL108" s="178" t="str">
        <f t="shared" si="66"/>
        <v>#DIV/0!</v>
      </c>
      <c r="AM108" s="181" t="str">
        <f t="shared" si="67"/>
        <v>#DIV/0!</v>
      </c>
      <c r="AN108" s="164"/>
      <c r="AO108" s="164"/>
      <c r="AP108" s="150" t="s">
        <v>135</v>
      </c>
      <c r="AQ108" s="151">
        <v>44322.0</v>
      </c>
      <c r="AR108" s="176">
        <v>0.0</v>
      </c>
      <c r="AS108" s="177">
        <v>0.0</v>
      </c>
      <c r="AT108" s="178" t="str">
        <f t="shared" si="68"/>
        <v>#DIV/0!</v>
      </c>
      <c r="AU108" s="179">
        <v>0.0</v>
      </c>
      <c r="AV108" s="180" t="str">
        <f t="shared" si="69"/>
        <v>#DIV/0!</v>
      </c>
      <c r="AW108" s="179">
        <v>0.0</v>
      </c>
      <c r="AX108" s="178" t="str">
        <f t="shared" si="70"/>
        <v>#DIV/0!</v>
      </c>
      <c r="AY108" s="179">
        <v>0.0</v>
      </c>
      <c r="AZ108" s="178" t="str">
        <f t="shared" si="71"/>
        <v>#DIV/0!</v>
      </c>
      <c r="BA108" s="181" t="str">
        <f t="shared" si="72"/>
        <v>#DIV/0!</v>
      </c>
      <c r="BB108" s="164"/>
      <c r="BC108" s="150" t="s">
        <v>135</v>
      </c>
      <c r="BD108" s="151">
        <v>44322.0</v>
      </c>
      <c r="BE108" s="176">
        <v>0.0</v>
      </c>
      <c r="BF108" s="177">
        <v>0.0</v>
      </c>
      <c r="BG108" s="178" t="str">
        <f t="shared" si="73"/>
        <v>#DIV/0!</v>
      </c>
      <c r="BH108" s="179">
        <v>0.0</v>
      </c>
      <c r="BI108" s="180" t="str">
        <f t="shared" si="74"/>
        <v>#DIV/0!</v>
      </c>
      <c r="BJ108" s="179">
        <v>0.0</v>
      </c>
      <c r="BK108" s="178" t="str">
        <f t="shared" si="75"/>
        <v>#DIV/0!</v>
      </c>
      <c r="BL108" s="179">
        <v>0.0</v>
      </c>
      <c r="BM108" s="178" t="str">
        <f t="shared" si="76"/>
        <v>#DIV/0!</v>
      </c>
      <c r="BN108" s="181" t="str">
        <f t="shared" si="77"/>
        <v>#DIV/0!</v>
      </c>
      <c r="BO108" s="164"/>
    </row>
    <row r="109" ht="15.75" customHeight="1">
      <c r="G109" s="51"/>
      <c r="M109" s="51"/>
      <c r="N109" s="150" t="s">
        <v>123</v>
      </c>
      <c r="O109" s="151">
        <v>44323.0</v>
      </c>
      <c r="P109" s="176">
        <v>61.07</v>
      </c>
      <c r="Q109" s="177">
        <v>4.0</v>
      </c>
      <c r="R109" s="178">
        <v>15.27</v>
      </c>
      <c r="S109" s="179">
        <v>19.0</v>
      </c>
      <c r="T109" s="180">
        <v>3.21</v>
      </c>
      <c r="U109" s="179"/>
      <c r="V109" s="178"/>
      <c r="W109" s="179">
        <v>24.0</v>
      </c>
      <c r="X109" s="178">
        <v>2.54</v>
      </c>
      <c r="Y109" s="181"/>
      <c r="Z109" s="185">
        <f t="shared" si="62"/>
        <v>0.2105263158</v>
      </c>
      <c r="AA109" s="164"/>
      <c r="AB109" s="150" t="s">
        <v>123</v>
      </c>
      <c r="AC109" s="151">
        <v>44323.0</v>
      </c>
      <c r="AD109" s="176">
        <v>0.0</v>
      </c>
      <c r="AE109" s="177">
        <v>0.0</v>
      </c>
      <c r="AF109" s="178" t="str">
        <f t="shared" si="63"/>
        <v>#DIV/0!</v>
      </c>
      <c r="AG109" s="179">
        <v>0.0</v>
      </c>
      <c r="AH109" s="180" t="str">
        <f t="shared" si="64"/>
        <v>#DIV/0!</v>
      </c>
      <c r="AI109" s="179">
        <v>0.0</v>
      </c>
      <c r="AJ109" s="178" t="str">
        <f t="shared" si="65"/>
        <v>#DIV/0!</v>
      </c>
      <c r="AK109" s="179">
        <v>0.0</v>
      </c>
      <c r="AL109" s="178" t="str">
        <f t="shared" si="66"/>
        <v>#DIV/0!</v>
      </c>
      <c r="AM109" s="181" t="str">
        <f t="shared" si="67"/>
        <v>#DIV/0!</v>
      </c>
      <c r="AN109" s="169"/>
      <c r="AO109" s="164"/>
      <c r="AP109" s="150" t="s">
        <v>123</v>
      </c>
      <c r="AQ109" s="151">
        <v>44323.0</v>
      </c>
      <c r="AR109" s="176">
        <v>0.0</v>
      </c>
      <c r="AS109" s="177">
        <v>0.0</v>
      </c>
      <c r="AT109" s="178" t="str">
        <f t="shared" si="68"/>
        <v>#DIV/0!</v>
      </c>
      <c r="AU109" s="179">
        <v>0.0</v>
      </c>
      <c r="AV109" s="180" t="str">
        <f t="shared" si="69"/>
        <v>#DIV/0!</v>
      </c>
      <c r="AW109" s="179">
        <v>0.0</v>
      </c>
      <c r="AX109" s="178" t="str">
        <f t="shared" si="70"/>
        <v>#DIV/0!</v>
      </c>
      <c r="AY109" s="179">
        <v>0.0</v>
      </c>
      <c r="AZ109" s="178" t="str">
        <f t="shared" si="71"/>
        <v>#DIV/0!</v>
      </c>
      <c r="BA109" s="181" t="str">
        <f t="shared" si="72"/>
        <v>#DIV/0!</v>
      </c>
      <c r="BB109" s="164"/>
      <c r="BC109" s="150" t="s">
        <v>123</v>
      </c>
      <c r="BD109" s="151">
        <v>44323.0</v>
      </c>
      <c r="BE109" s="176">
        <v>0.0</v>
      </c>
      <c r="BF109" s="177">
        <v>0.0</v>
      </c>
      <c r="BG109" s="178" t="str">
        <f t="shared" si="73"/>
        <v>#DIV/0!</v>
      </c>
      <c r="BH109" s="179">
        <v>0.0</v>
      </c>
      <c r="BI109" s="180" t="str">
        <f t="shared" si="74"/>
        <v>#DIV/0!</v>
      </c>
      <c r="BJ109" s="179">
        <v>0.0</v>
      </c>
      <c r="BK109" s="178" t="str">
        <f t="shared" si="75"/>
        <v>#DIV/0!</v>
      </c>
      <c r="BL109" s="179">
        <v>0.0</v>
      </c>
      <c r="BM109" s="178" t="str">
        <f t="shared" si="76"/>
        <v>#DIV/0!</v>
      </c>
      <c r="BN109" s="181" t="str">
        <f t="shared" si="77"/>
        <v>#DIV/0!</v>
      </c>
      <c r="BO109" s="169"/>
    </row>
    <row r="110" ht="15.75" customHeight="1">
      <c r="B110" s="165" t="s">
        <v>136</v>
      </c>
      <c r="E110" s="168">
        <v>10.6</v>
      </c>
      <c r="G110" s="51"/>
      <c r="H110" s="167" t="s">
        <v>137</v>
      </c>
      <c r="K110" s="171">
        <f>SUM(K106/K108)</f>
        <v>19.28512821</v>
      </c>
      <c r="M110" s="51"/>
      <c r="N110" s="150" t="s">
        <v>126</v>
      </c>
      <c r="O110" s="151">
        <v>44324.0</v>
      </c>
      <c r="P110" s="176">
        <v>61.93</v>
      </c>
      <c r="Q110" s="177">
        <v>7.0</v>
      </c>
      <c r="R110" s="178">
        <v>8.85</v>
      </c>
      <c r="S110" s="179">
        <v>18.0</v>
      </c>
      <c r="T110" s="180">
        <v>3.44</v>
      </c>
      <c r="U110" s="179"/>
      <c r="V110" s="178"/>
      <c r="W110" s="179">
        <v>38.0</v>
      </c>
      <c r="X110" s="178">
        <v>1.63</v>
      </c>
      <c r="Y110" s="181"/>
      <c r="Z110" s="185">
        <f t="shared" si="62"/>
        <v>0.3888888889</v>
      </c>
      <c r="AA110" s="164"/>
      <c r="AB110" s="150" t="s">
        <v>126</v>
      </c>
      <c r="AC110" s="151">
        <v>44324.0</v>
      </c>
      <c r="AD110" s="176">
        <v>0.0</v>
      </c>
      <c r="AE110" s="177">
        <v>0.0</v>
      </c>
      <c r="AF110" s="178" t="str">
        <f t="shared" si="63"/>
        <v>#DIV/0!</v>
      </c>
      <c r="AG110" s="179">
        <v>0.0</v>
      </c>
      <c r="AH110" s="180" t="str">
        <f t="shared" si="64"/>
        <v>#DIV/0!</v>
      </c>
      <c r="AI110" s="179">
        <v>0.0</v>
      </c>
      <c r="AJ110" s="178" t="str">
        <f t="shared" si="65"/>
        <v>#DIV/0!</v>
      </c>
      <c r="AK110" s="179">
        <v>0.0</v>
      </c>
      <c r="AL110" s="178" t="str">
        <f t="shared" si="66"/>
        <v>#DIV/0!</v>
      </c>
      <c r="AM110" s="181" t="str">
        <f t="shared" si="67"/>
        <v>#DIV/0!</v>
      </c>
      <c r="AN110" s="169"/>
      <c r="AO110" s="164"/>
      <c r="AP110" s="150" t="s">
        <v>126</v>
      </c>
      <c r="AQ110" s="151">
        <v>44324.0</v>
      </c>
      <c r="AR110" s="176">
        <v>0.0</v>
      </c>
      <c r="AS110" s="177">
        <v>0.0</v>
      </c>
      <c r="AT110" s="178" t="str">
        <f t="shared" si="68"/>
        <v>#DIV/0!</v>
      </c>
      <c r="AU110" s="179">
        <v>0.0</v>
      </c>
      <c r="AV110" s="180" t="str">
        <f t="shared" si="69"/>
        <v>#DIV/0!</v>
      </c>
      <c r="AW110" s="179">
        <v>0.0</v>
      </c>
      <c r="AX110" s="178" t="str">
        <f t="shared" si="70"/>
        <v>#DIV/0!</v>
      </c>
      <c r="AY110" s="179">
        <v>0.0</v>
      </c>
      <c r="AZ110" s="178" t="str">
        <f t="shared" si="71"/>
        <v>#DIV/0!</v>
      </c>
      <c r="BA110" s="181" t="str">
        <f t="shared" si="72"/>
        <v>#DIV/0!</v>
      </c>
      <c r="BB110" s="164"/>
      <c r="BC110" s="150" t="s">
        <v>126</v>
      </c>
      <c r="BD110" s="151">
        <v>44324.0</v>
      </c>
      <c r="BE110" s="176">
        <v>0.0</v>
      </c>
      <c r="BF110" s="177">
        <v>0.0</v>
      </c>
      <c r="BG110" s="178" t="str">
        <f t="shared" si="73"/>
        <v>#DIV/0!</v>
      </c>
      <c r="BH110" s="179">
        <v>0.0</v>
      </c>
      <c r="BI110" s="180" t="str">
        <f t="shared" si="74"/>
        <v>#DIV/0!</v>
      </c>
      <c r="BJ110" s="179">
        <v>0.0</v>
      </c>
      <c r="BK110" s="178" t="str">
        <f t="shared" si="75"/>
        <v>#DIV/0!</v>
      </c>
      <c r="BL110" s="179">
        <v>0.0</v>
      </c>
      <c r="BM110" s="178" t="str">
        <f t="shared" si="76"/>
        <v>#DIV/0!</v>
      </c>
      <c r="BN110" s="181" t="str">
        <f t="shared" si="77"/>
        <v>#DIV/0!</v>
      </c>
      <c r="BO110" s="169"/>
    </row>
    <row r="111" ht="15.75" customHeight="1">
      <c r="G111" s="51"/>
      <c r="M111" s="51"/>
      <c r="N111" s="150" t="s">
        <v>127</v>
      </c>
      <c r="O111" s="151">
        <v>44325.0</v>
      </c>
      <c r="P111" s="176">
        <v>58.49</v>
      </c>
      <c r="Q111" s="177">
        <v>3.0</v>
      </c>
      <c r="R111" s="178">
        <v>19.5</v>
      </c>
      <c r="S111" s="179">
        <v>9.0</v>
      </c>
      <c r="T111" s="180">
        <v>6.5</v>
      </c>
      <c r="U111" s="179"/>
      <c r="V111" s="178"/>
      <c r="W111" s="179">
        <v>25.0</v>
      </c>
      <c r="X111" s="178">
        <v>2.34</v>
      </c>
      <c r="Y111" s="181"/>
      <c r="Z111" s="185">
        <f t="shared" si="62"/>
        <v>0.3333333333</v>
      </c>
      <c r="AA111" s="164"/>
      <c r="AB111" s="150" t="s">
        <v>127</v>
      </c>
      <c r="AC111" s="151">
        <v>44325.0</v>
      </c>
      <c r="AD111" s="176">
        <v>0.0</v>
      </c>
      <c r="AE111" s="177">
        <v>0.0</v>
      </c>
      <c r="AF111" s="178" t="str">
        <f t="shared" si="63"/>
        <v>#DIV/0!</v>
      </c>
      <c r="AG111" s="179">
        <v>0.0</v>
      </c>
      <c r="AH111" s="180" t="str">
        <f t="shared" si="64"/>
        <v>#DIV/0!</v>
      </c>
      <c r="AI111" s="179">
        <v>0.0</v>
      </c>
      <c r="AJ111" s="178" t="str">
        <f t="shared" si="65"/>
        <v>#DIV/0!</v>
      </c>
      <c r="AK111" s="179">
        <v>0.0</v>
      </c>
      <c r="AL111" s="178" t="str">
        <f t="shared" si="66"/>
        <v>#DIV/0!</v>
      </c>
      <c r="AM111" s="181" t="str">
        <f t="shared" si="67"/>
        <v>#DIV/0!</v>
      </c>
      <c r="AN111" s="169"/>
      <c r="AO111" s="164"/>
      <c r="AP111" s="150" t="s">
        <v>127</v>
      </c>
      <c r="AQ111" s="151">
        <v>44325.0</v>
      </c>
      <c r="AR111" s="176">
        <v>0.0</v>
      </c>
      <c r="AS111" s="177">
        <v>0.0</v>
      </c>
      <c r="AT111" s="178" t="str">
        <f t="shared" si="68"/>
        <v>#DIV/0!</v>
      </c>
      <c r="AU111" s="179">
        <v>0.0</v>
      </c>
      <c r="AV111" s="180" t="str">
        <f t="shared" si="69"/>
        <v>#DIV/0!</v>
      </c>
      <c r="AW111" s="179">
        <v>0.0</v>
      </c>
      <c r="AX111" s="178" t="str">
        <f t="shared" si="70"/>
        <v>#DIV/0!</v>
      </c>
      <c r="AY111" s="179">
        <v>0.0</v>
      </c>
      <c r="AZ111" s="178" t="str">
        <f t="shared" si="71"/>
        <v>#DIV/0!</v>
      </c>
      <c r="BA111" s="181" t="str">
        <f t="shared" si="72"/>
        <v>#DIV/0!</v>
      </c>
      <c r="BB111" s="164"/>
      <c r="BC111" s="150" t="s">
        <v>127</v>
      </c>
      <c r="BD111" s="151">
        <v>44325.0</v>
      </c>
      <c r="BE111" s="176">
        <v>0.0</v>
      </c>
      <c r="BF111" s="177">
        <v>0.0</v>
      </c>
      <c r="BG111" s="178" t="str">
        <f t="shared" si="73"/>
        <v>#DIV/0!</v>
      </c>
      <c r="BH111" s="179">
        <v>0.0</v>
      </c>
      <c r="BI111" s="180" t="str">
        <f t="shared" si="74"/>
        <v>#DIV/0!</v>
      </c>
      <c r="BJ111" s="179">
        <v>0.0</v>
      </c>
      <c r="BK111" s="178" t="str">
        <f t="shared" si="75"/>
        <v>#DIV/0!</v>
      </c>
      <c r="BL111" s="179">
        <v>0.0</v>
      </c>
      <c r="BM111" s="178" t="str">
        <f t="shared" si="76"/>
        <v>#DIV/0!</v>
      </c>
      <c r="BN111" s="181" t="str">
        <f t="shared" si="77"/>
        <v>#DIV/0!</v>
      </c>
      <c r="BO111" s="169"/>
    </row>
    <row r="112" ht="15.75" customHeight="1">
      <c r="B112" s="167" t="s">
        <v>138</v>
      </c>
      <c r="E112" s="168">
        <v>25.92</v>
      </c>
      <c r="G112" s="51"/>
      <c r="H112" s="165" t="s">
        <v>139</v>
      </c>
      <c r="K112" s="172">
        <f>SUM(K108*E114)</f>
        <v>2358.72</v>
      </c>
      <c r="M112" s="51"/>
      <c r="N112" s="150" t="s">
        <v>130</v>
      </c>
      <c r="O112" s="151">
        <v>44326.0</v>
      </c>
      <c r="P112" s="176">
        <v>59.06</v>
      </c>
      <c r="Q112" s="177"/>
      <c r="R112" s="178"/>
      <c r="S112" s="179">
        <v>8.0</v>
      </c>
      <c r="T112" s="180">
        <v>7.38</v>
      </c>
      <c r="U112" s="179"/>
      <c r="V112" s="178"/>
      <c r="W112" s="179">
        <v>22.0</v>
      </c>
      <c r="X112" s="178">
        <v>2.68</v>
      </c>
      <c r="Y112" s="181"/>
      <c r="Z112" s="185">
        <f t="shared" si="62"/>
        <v>0</v>
      </c>
      <c r="AA112" s="164"/>
      <c r="AB112" s="150" t="s">
        <v>130</v>
      </c>
      <c r="AC112" s="151">
        <v>44326.0</v>
      </c>
      <c r="AD112" s="176">
        <v>0.0</v>
      </c>
      <c r="AE112" s="177">
        <v>0.0</v>
      </c>
      <c r="AF112" s="178" t="str">
        <f t="shared" si="63"/>
        <v>#DIV/0!</v>
      </c>
      <c r="AG112" s="179">
        <v>0.0</v>
      </c>
      <c r="AH112" s="180" t="str">
        <f t="shared" si="64"/>
        <v>#DIV/0!</v>
      </c>
      <c r="AI112" s="179">
        <v>0.0</v>
      </c>
      <c r="AJ112" s="178" t="str">
        <f t="shared" si="65"/>
        <v>#DIV/0!</v>
      </c>
      <c r="AK112" s="179">
        <v>0.0</v>
      </c>
      <c r="AL112" s="178" t="str">
        <f t="shared" si="66"/>
        <v>#DIV/0!</v>
      </c>
      <c r="AM112" s="181" t="str">
        <f t="shared" si="67"/>
        <v>#DIV/0!</v>
      </c>
      <c r="AN112" s="169"/>
      <c r="AO112" s="164"/>
      <c r="AP112" s="150" t="s">
        <v>130</v>
      </c>
      <c r="AQ112" s="151">
        <v>44326.0</v>
      </c>
      <c r="AR112" s="176">
        <v>0.0</v>
      </c>
      <c r="AS112" s="177">
        <v>0.0</v>
      </c>
      <c r="AT112" s="178" t="str">
        <f t="shared" si="68"/>
        <v>#DIV/0!</v>
      </c>
      <c r="AU112" s="179">
        <v>0.0</v>
      </c>
      <c r="AV112" s="180" t="str">
        <f t="shared" si="69"/>
        <v>#DIV/0!</v>
      </c>
      <c r="AW112" s="179">
        <v>0.0</v>
      </c>
      <c r="AX112" s="178" t="str">
        <f t="shared" si="70"/>
        <v>#DIV/0!</v>
      </c>
      <c r="AY112" s="179">
        <v>0.0</v>
      </c>
      <c r="AZ112" s="178" t="str">
        <f t="shared" si="71"/>
        <v>#DIV/0!</v>
      </c>
      <c r="BA112" s="181" t="str">
        <f t="shared" si="72"/>
        <v>#DIV/0!</v>
      </c>
      <c r="BB112" s="164"/>
      <c r="BC112" s="150" t="s">
        <v>130</v>
      </c>
      <c r="BD112" s="151">
        <v>44326.0</v>
      </c>
      <c r="BE112" s="176">
        <v>0.0</v>
      </c>
      <c r="BF112" s="177">
        <v>0.0</v>
      </c>
      <c r="BG112" s="178" t="str">
        <f t="shared" si="73"/>
        <v>#DIV/0!</v>
      </c>
      <c r="BH112" s="179">
        <v>0.0</v>
      </c>
      <c r="BI112" s="180" t="str">
        <f t="shared" si="74"/>
        <v>#DIV/0!</v>
      </c>
      <c r="BJ112" s="179">
        <v>0.0</v>
      </c>
      <c r="BK112" s="178" t="str">
        <f t="shared" si="75"/>
        <v>#DIV/0!</v>
      </c>
      <c r="BL112" s="179">
        <v>0.0</v>
      </c>
      <c r="BM112" s="178" t="str">
        <f t="shared" si="76"/>
        <v>#DIV/0!</v>
      </c>
      <c r="BN112" s="181" t="str">
        <f t="shared" si="77"/>
        <v>#DIV/0!</v>
      </c>
      <c r="BO112" s="169"/>
    </row>
    <row r="113" ht="15.75" customHeight="1">
      <c r="G113" s="51"/>
      <c r="M113" s="51"/>
      <c r="N113" s="150" t="s">
        <v>131</v>
      </c>
      <c r="O113" s="151">
        <v>44327.0</v>
      </c>
      <c r="P113" s="176">
        <v>60.99</v>
      </c>
      <c r="Q113" s="177">
        <v>1.0</v>
      </c>
      <c r="R113" s="178">
        <v>60.99</v>
      </c>
      <c r="S113" s="179">
        <v>12.0</v>
      </c>
      <c r="T113" s="180">
        <v>5.08</v>
      </c>
      <c r="U113" s="179"/>
      <c r="V113" s="178"/>
      <c r="W113" s="179">
        <v>22.0</v>
      </c>
      <c r="X113" s="178">
        <v>2.77</v>
      </c>
      <c r="Y113" s="181"/>
      <c r="Z113" s="185">
        <f t="shared" si="62"/>
        <v>0.08333333333</v>
      </c>
      <c r="AA113" s="164"/>
      <c r="AB113" s="150" t="s">
        <v>131</v>
      </c>
      <c r="AC113" s="151">
        <v>44327.0</v>
      </c>
      <c r="AD113" s="176">
        <v>0.0</v>
      </c>
      <c r="AE113" s="177">
        <v>0.0</v>
      </c>
      <c r="AF113" s="178" t="str">
        <f t="shared" si="63"/>
        <v>#DIV/0!</v>
      </c>
      <c r="AG113" s="179">
        <v>0.0</v>
      </c>
      <c r="AH113" s="180" t="str">
        <f t="shared" si="64"/>
        <v>#DIV/0!</v>
      </c>
      <c r="AI113" s="179">
        <v>0.0</v>
      </c>
      <c r="AJ113" s="178" t="str">
        <f t="shared" si="65"/>
        <v>#DIV/0!</v>
      </c>
      <c r="AK113" s="179">
        <v>0.0</v>
      </c>
      <c r="AL113" s="178" t="str">
        <f t="shared" si="66"/>
        <v>#DIV/0!</v>
      </c>
      <c r="AM113" s="181" t="str">
        <f t="shared" si="67"/>
        <v>#DIV/0!</v>
      </c>
      <c r="AN113" s="169"/>
      <c r="AO113" s="164"/>
      <c r="AP113" s="150" t="s">
        <v>131</v>
      </c>
      <c r="AQ113" s="151">
        <v>44327.0</v>
      </c>
      <c r="AR113" s="176">
        <v>0.0</v>
      </c>
      <c r="AS113" s="177">
        <v>0.0</v>
      </c>
      <c r="AT113" s="178" t="str">
        <f t="shared" si="68"/>
        <v>#DIV/0!</v>
      </c>
      <c r="AU113" s="179">
        <v>0.0</v>
      </c>
      <c r="AV113" s="180" t="str">
        <f t="shared" si="69"/>
        <v>#DIV/0!</v>
      </c>
      <c r="AW113" s="179">
        <v>0.0</v>
      </c>
      <c r="AX113" s="178" t="str">
        <f t="shared" si="70"/>
        <v>#DIV/0!</v>
      </c>
      <c r="AY113" s="179">
        <v>0.0</v>
      </c>
      <c r="AZ113" s="178" t="str">
        <f t="shared" si="71"/>
        <v>#DIV/0!</v>
      </c>
      <c r="BA113" s="181" t="str">
        <f t="shared" si="72"/>
        <v>#DIV/0!</v>
      </c>
      <c r="BB113" s="164"/>
      <c r="BC113" s="150" t="s">
        <v>131</v>
      </c>
      <c r="BD113" s="151">
        <v>44327.0</v>
      </c>
      <c r="BE113" s="176">
        <v>0.0</v>
      </c>
      <c r="BF113" s="177">
        <v>0.0</v>
      </c>
      <c r="BG113" s="178" t="str">
        <f t="shared" si="73"/>
        <v>#DIV/0!</v>
      </c>
      <c r="BH113" s="179">
        <v>0.0</v>
      </c>
      <c r="BI113" s="180" t="str">
        <f t="shared" si="74"/>
        <v>#DIV/0!</v>
      </c>
      <c r="BJ113" s="179">
        <v>0.0</v>
      </c>
      <c r="BK113" s="178" t="str">
        <f t="shared" si="75"/>
        <v>#DIV/0!</v>
      </c>
      <c r="BL113" s="179">
        <v>0.0</v>
      </c>
      <c r="BM113" s="178" t="str">
        <f t="shared" si="76"/>
        <v>#DIV/0!</v>
      </c>
      <c r="BN113" s="181" t="str">
        <f t="shared" si="77"/>
        <v>#DIV/0!</v>
      </c>
      <c r="BO113" s="169"/>
    </row>
    <row r="114" ht="15.75" customHeight="1">
      <c r="B114" s="165" t="s">
        <v>140</v>
      </c>
      <c r="E114" s="171">
        <f>SUM(E108-E110-E112)</f>
        <v>60.48</v>
      </c>
      <c r="G114" s="51"/>
      <c r="H114" s="167" t="s">
        <v>141</v>
      </c>
      <c r="K114" s="173">
        <f>SUM(K112-K106)</f>
        <v>1606.6</v>
      </c>
      <c r="M114" s="51"/>
      <c r="N114" s="150" t="s">
        <v>134</v>
      </c>
      <c r="O114" s="151">
        <v>44328.0</v>
      </c>
      <c r="P114" s="176">
        <v>60.92</v>
      </c>
      <c r="Q114" s="177"/>
      <c r="R114" s="178"/>
      <c r="S114" s="179">
        <v>12.0</v>
      </c>
      <c r="T114" s="180">
        <v>5.08</v>
      </c>
      <c r="U114" s="179"/>
      <c r="V114" s="178"/>
      <c r="W114" s="179">
        <v>16.0</v>
      </c>
      <c r="X114" s="178">
        <v>3.81</v>
      </c>
      <c r="Y114" s="181"/>
      <c r="Z114" s="185">
        <f t="shared" si="62"/>
        <v>0</v>
      </c>
      <c r="AA114" s="164"/>
      <c r="AB114" s="150" t="s">
        <v>134</v>
      </c>
      <c r="AC114" s="151">
        <v>44328.0</v>
      </c>
      <c r="AD114" s="176">
        <v>0.0</v>
      </c>
      <c r="AE114" s="177">
        <v>0.0</v>
      </c>
      <c r="AF114" s="178" t="str">
        <f t="shared" si="63"/>
        <v>#DIV/0!</v>
      </c>
      <c r="AG114" s="179">
        <v>0.0</v>
      </c>
      <c r="AH114" s="180" t="str">
        <f t="shared" si="64"/>
        <v>#DIV/0!</v>
      </c>
      <c r="AI114" s="179">
        <v>0.0</v>
      </c>
      <c r="AJ114" s="178" t="str">
        <f t="shared" si="65"/>
        <v>#DIV/0!</v>
      </c>
      <c r="AK114" s="179">
        <v>0.0</v>
      </c>
      <c r="AL114" s="178" t="str">
        <f t="shared" si="66"/>
        <v>#DIV/0!</v>
      </c>
      <c r="AM114" s="181" t="str">
        <f t="shared" si="67"/>
        <v>#DIV/0!</v>
      </c>
      <c r="AN114" s="169"/>
      <c r="AO114" s="164"/>
      <c r="AP114" s="150" t="s">
        <v>134</v>
      </c>
      <c r="AQ114" s="151">
        <v>44328.0</v>
      </c>
      <c r="AR114" s="176">
        <v>0.0</v>
      </c>
      <c r="AS114" s="177">
        <v>0.0</v>
      </c>
      <c r="AT114" s="178" t="str">
        <f t="shared" si="68"/>
        <v>#DIV/0!</v>
      </c>
      <c r="AU114" s="179">
        <v>0.0</v>
      </c>
      <c r="AV114" s="180" t="str">
        <f t="shared" si="69"/>
        <v>#DIV/0!</v>
      </c>
      <c r="AW114" s="179">
        <v>0.0</v>
      </c>
      <c r="AX114" s="178" t="str">
        <f t="shared" si="70"/>
        <v>#DIV/0!</v>
      </c>
      <c r="AY114" s="179">
        <v>0.0</v>
      </c>
      <c r="AZ114" s="178" t="str">
        <f t="shared" si="71"/>
        <v>#DIV/0!</v>
      </c>
      <c r="BA114" s="181" t="str">
        <f t="shared" si="72"/>
        <v>#DIV/0!</v>
      </c>
      <c r="BB114" s="164"/>
      <c r="BC114" s="150" t="s">
        <v>134</v>
      </c>
      <c r="BD114" s="151">
        <v>44328.0</v>
      </c>
      <c r="BE114" s="176">
        <v>0.0</v>
      </c>
      <c r="BF114" s="177">
        <v>0.0</v>
      </c>
      <c r="BG114" s="178" t="str">
        <f t="shared" si="73"/>
        <v>#DIV/0!</v>
      </c>
      <c r="BH114" s="179">
        <v>0.0</v>
      </c>
      <c r="BI114" s="180" t="str">
        <f t="shared" si="74"/>
        <v>#DIV/0!</v>
      </c>
      <c r="BJ114" s="179">
        <v>0.0</v>
      </c>
      <c r="BK114" s="178" t="str">
        <f t="shared" si="75"/>
        <v>#DIV/0!</v>
      </c>
      <c r="BL114" s="179">
        <v>0.0</v>
      </c>
      <c r="BM114" s="178" t="str">
        <f t="shared" si="76"/>
        <v>#DIV/0!</v>
      </c>
      <c r="BN114" s="181" t="str">
        <f t="shared" si="77"/>
        <v>#DIV/0!</v>
      </c>
      <c r="BO114" s="169"/>
    </row>
    <row r="115" ht="15.75" customHeight="1">
      <c r="G115" s="51"/>
      <c r="M115" s="51"/>
      <c r="N115" s="150" t="s">
        <v>135</v>
      </c>
      <c r="O115" s="151">
        <v>44329.0</v>
      </c>
      <c r="P115" s="176">
        <v>29.65</v>
      </c>
      <c r="Q115" s="177"/>
      <c r="R115" s="178"/>
      <c r="S115" s="179">
        <v>3.0</v>
      </c>
      <c r="T115" s="180">
        <v>9.88</v>
      </c>
      <c r="U115" s="179"/>
      <c r="V115" s="178"/>
      <c r="W115" s="179">
        <v>10.0</v>
      </c>
      <c r="X115" s="178">
        <v>2.97</v>
      </c>
      <c r="Y115" s="181"/>
      <c r="Z115" s="185">
        <f t="shared" si="62"/>
        <v>0</v>
      </c>
      <c r="AA115" s="164"/>
      <c r="AB115" s="150" t="s">
        <v>135</v>
      </c>
      <c r="AC115" s="151">
        <v>44329.0</v>
      </c>
      <c r="AD115" s="176">
        <v>0.0</v>
      </c>
      <c r="AE115" s="177">
        <v>0.0</v>
      </c>
      <c r="AF115" s="178" t="str">
        <f t="shared" si="63"/>
        <v>#DIV/0!</v>
      </c>
      <c r="AG115" s="179">
        <v>0.0</v>
      </c>
      <c r="AH115" s="180" t="str">
        <f t="shared" si="64"/>
        <v>#DIV/0!</v>
      </c>
      <c r="AI115" s="179">
        <v>0.0</v>
      </c>
      <c r="AJ115" s="178" t="str">
        <f t="shared" si="65"/>
        <v>#DIV/0!</v>
      </c>
      <c r="AK115" s="179">
        <v>0.0</v>
      </c>
      <c r="AL115" s="178" t="str">
        <f t="shared" si="66"/>
        <v>#DIV/0!</v>
      </c>
      <c r="AM115" s="181" t="str">
        <f t="shared" si="67"/>
        <v>#DIV/0!</v>
      </c>
      <c r="AN115" s="169"/>
      <c r="AO115" s="164"/>
      <c r="AP115" s="150" t="s">
        <v>135</v>
      </c>
      <c r="AQ115" s="151">
        <v>44329.0</v>
      </c>
      <c r="AR115" s="176">
        <v>0.0</v>
      </c>
      <c r="AS115" s="177">
        <v>0.0</v>
      </c>
      <c r="AT115" s="178" t="str">
        <f t="shared" si="68"/>
        <v>#DIV/0!</v>
      </c>
      <c r="AU115" s="179">
        <v>0.0</v>
      </c>
      <c r="AV115" s="180" t="str">
        <f t="shared" si="69"/>
        <v>#DIV/0!</v>
      </c>
      <c r="AW115" s="179">
        <v>0.0</v>
      </c>
      <c r="AX115" s="178" t="str">
        <f t="shared" si="70"/>
        <v>#DIV/0!</v>
      </c>
      <c r="AY115" s="179">
        <v>0.0</v>
      </c>
      <c r="AZ115" s="178" t="str">
        <f t="shared" si="71"/>
        <v>#DIV/0!</v>
      </c>
      <c r="BA115" s="181" t="str">
        <f t="shared" si="72"/>
        <v>#DIV/0!</v>
      </c>
      <c r="BB115" s="164"/>
      <c r="BC115" s="150" t="s">
        <v>135</v>
      </c>
      <c r="BD115" s="151">
        <v>44329.0</v>
      </c>
      <c r="BE115" s="176">
        <v>0.0</v>
      </c>
      <c r="BF115" s="177">
        <v>0.0</v>
      </c>
      <c r="BG115" s="178" t="str">
        <f t="shared" si="73"/>
        <v>#DIV/0!</v>
      </c>
      <c r="BH115" s="179">
        <v>0.0</v>
      </c>
      <c r="BI115" s="180" t="str">
        <f t="shared" si="74"/>
        <v>#DIV/0!</v>
      </c>
      <c r="BJ115" s="179">
        <v>0.0</v>
      </c>
      <c r="BK115" s="178" t="str">
        <f t="shared" si="75"/>
        <v>#DIV/0!</v>
      </c>
      <c r="BL115" s="179">
        <v>0.0</v>
      </c>
      <c r="BM115" s="178" t="str">
        <f t="shared" si="76"/>
        <v>#DIV/0!</v>
      </c>
      <c r="BN115" s="181" t="str">
        <f t="shared" si="77"/>
        <v>#DIV/0!</v>
      </c>
      <c r="BO115" s="169"/>
    </row>
    <row r="116" ht="15.75" customHeight="1">
      <c r="B116" s="167" t="s">
        <v>142</v>
      </c>
      <c r="E116" s="168" t="str">
        <f>#REF!</f>
        <v>#REF!</v>
      </c>
      <c r="G116" s="51"/>
      <c r="H116" s="167" t="s">
        <v>152</v>
      </c>
      <c r="K116" s="186">
        <f>K108/31</f>
        <v>1.258064516</v>
      </c>
      <c r="M116" s="51"/>
      <c r="N116" s="150" t="s">
        <v>123</v>
      </c>
      <c r="O116" s="151">
        <v>44330.0</v>
      </c>
      <c r="P116" s="176">
        <v>0.0</v>
      </c>
      <c r="Q116" s="177"/>
      <c r="R116" s="178"/>
      <c r="S116" s="179">
        <v>2.0</v>
      </c>
      <c r="T116" s="180">
        <v>0.0</v>
      </c>
      <c r="U116" s="179"/>
      <c r="V116" s="178"/>
      <c r="W116" s="179"/>
      <c r="X116" s="178"/>
      <c r="Y116" s="181" t="str">
        <f t="shared" ref="Y116:Y133" si="78">U116/W116</f>
        <v>#DIV/0!</v>
      </c>
      <c r="Z116" s="185">
        <f t="shared" si="62"/>
        <v>0</v>
      </c>
      <c r="AA116" s="164"/>
      <c r="AB116" s="150" t="s">
        <v>123</v>
      </c>
      <c r="AC116" s="151">
        <v>44330.0</v>
      </c>
      <c r="AD116" s="176">
        <v>0.0</v>
      </c>
      <c r="AE116" s="177">
        <v>0.0</v>
      </c>
      <c r="AF116" s="178" t="str">
        <f t="shared" si="63"/>
        <v>#DIV/0!</v>
      </c>
      <c r="AG116" s="179">
        <v>0.0</v>
      </c>
      <c r="AH116" s="180" t="str">
        <f t="shared" si="64"/>
        <v>#DIV/0!</v>
      </c>
      <c r="AI116" s="179">
        <v>0.0</v>
      </c>
      <c r="AJ116" s="178" t="str">
        <f t="shared" si="65"/>
        <v>#DIV/0!</v>
      </c>
      <c r="AK116" s="179">
        <v>0.0</v>
      </c>
      <c r="AL116" s="178" t="str">
        <f t="shared" si="66"/>
        <v>#DIV/0!</v>
      </c>
      <c r="AM116" s="181" t="str">
        <f t="shared" si="67"/>
        <v>#DIV/0!</v>
      </c>
      <c r="AN116" s="169"/>
      <c r="AO116" s="164"/>
      <c r="AP116" s="150" t="s">
        <v>123</v>
      </c>
      <c r="AQ116" s="151">
        <v>44330.0</v>
      </c>
      <c r="AR116" s="176">
        <v>0.0</v>
      </c>
      <c r="AS116" s="177">
        <v>0.0</v>
      </c>
      <c r="AT116" s="178" t="str">
        <f t="shared" si="68"/>
        <v>#DIV/0!</v>
      </c>
      <c r="AU116" s="179">
        <v>0.0</v>
      </c>
      <c r="AV116" s="180" t="str">
        <f t="shared" si="69"/>
        <v>#DIV/0!</v>
      </c>
      <c r="AW116" s="179">
        <v>0.0</v>
      </c>
      <c r="AX116" s="178" t="str">
        <f t="shared" si="70"/>
        <v>#DIV/0!</v>
      </c>
      <c r="AY116" s="179">
        <v>0.0</v>
      </c>
      <c r="AZ116" s="178" t="str">
        <f t="shared" si="71"/>
        <v>#DIV/0!</v>
      </c>
      <c r="BA116" s="181" t="str">
        <f t="shared" si="72"/>
        <v>#DIV/0!</v>
      </c>
      <c r="BB116" s="164"/>
      <c r="BC116" s="150" t="s">
        <v>123</v>
      </c>
      <c r="BD116" s="151">
        <v>44330.0</v>
      </c>
      <c r="BE116" s="176">
        <v>0.0</v>
      </c>
      <c r="BF116" s="177">
        <v>0.0</v>
      </c>
      <c r="BG116" s="178" t="str">
        <f t="shared" si="73"/>
        <v>#DIV/0!</v>
      </c>
      <c r="BH116" s="179">
        <v>0.0</v>
      </c>
      <c r="BI116" s="180" t="str">
        <f t="shared" si="74"/>
        <v>#DIV/0!</v>
      </c>
      <c r="BJ116" s="179">
        <v>0.0</v>
      </c>
      <c r="BK116" s="178" t="str">
        <f t="shared" si="75"/>
        <v>#DIV/0!</v>
      </c>
      <c r="BL116" s="179">
        <v>0.0</v>
      </c>
      <c r="BM116" s="178" t="str">
        <f t="shared" si="76"/>
        <v>#DIV/0!</v>
      </c>
      <c r="BN116" s="181" t="str">
        <f t="shared" si="77"/>
        <v>#DIV/0!</v>
      </c>
      <c r="BO116" s="169"/>
    </row>
    <row r="117" ht="15.75" customHeight="1">
      <c r="G117" s="51"/>
      <c r="M117" s="51"/>
      <c r="N117" s="150" t="s">
        <v>126</v>
      </c>
      <c r="O117" s="151">
        <v>44331.0</v>
      </c>
      <c r="P117" s="176">
        <v>0.0</v>
      </c>
      <c r="Q117" s="177"/>
      <c r="R117" s="178"/>
      <c r="S117" s="179"/>
      <c r="T117" s="180"/>
      <c r="U117" s="179"/>
      <c r="V117" s="178"/>
      <c r="W117" s="179"/>
      <c r="X117" s="178"/>
      <c r="Y117" s="181" t="str">
        <f t="shared" si="78"/>
        <v>#DIV/0!</v>
      </c>
      <c r="Z117" s="185" t="str">
        <f t="shared" si="62"/>
        <v>#DIV/0!</v>
      </c>
      <c r="AA117" s="164"/>
      <c r="AB117" s="150" t="s">
        <v>126</v>
      </c>
      <c r="AC117" s="151">
        <v>44331.0</v>
      </c>
      <c r="AD117" s="176">
        <v>0.0</v>
      </c>
      <c r="AE117" s="177">
        <v>0.0</v>
      </c>
      <c r="AF117" s="178" t="str">
        <f t="shared" si="63"/>
        <v>#DIV/0!</v>
      </c>
      <c r="AG117" s="179">
        <v>0.0</v>
      </c>
      <c r="AH117" s="180" t="str">
        <f t="shared" si="64"/>
        <v>#DIV/0!</v>
      </c>
      <c r="AI117" s="179">
        <v>0.0</v>
      </c>
      <c r="AJ117" s="178" t="str">
        <f t="shared" si="65"/>
        <v>#DIV/0!</v>
      </c>
      <c r="AK117" s="179">
        <v>0.0</v>
      </c>
      <c r="AL117" s="178" t="str">
        <f t="shared" si="66"/>
        <v>#DIV/0!</v>
      </c>
      <c r="AM117" s="181" t="str">
        <f t="shared" si="67"/>
        <v>#DIV/0!</v>
      </c>
      <c r="AN117" s="169"/>
      <c r="AO117" s="164"/>
      <c r="AP117" s="150" t="s">
        <v>126</v>
      </c>
      <c r="AQ117" s="151">
        <v>44331.0</v>
      </c>
      <c r="AR117" s="176">
        <v>0.0</v>
      </c>
      <c r="AS117" s="177">
        <v>0.0</v>
      </c>
      <c r="AT117" s="178" t="str">
        <f t="shared" si="68"/>
        <v>#DIV/0!</v>
      </c>
      <c r="AU117" s="179">
        <v>0.0</v>
      </c>
      <c r="AV117" s="180" t="str">
        <f t="shared" si="69"/>
        <v>#DIV/0!</v>
      </c>
      <c r="AW117" s="179">
        <v>0.0</v>
      </c>
      <c r="AX117" s="178" t="str">
        <f t="shared" si="70"/>
        <v>#DIV/0!</v>
      </c>
      <c r="AY117" s="179">
        <v>0.0</v>
      </c>
      <c r="AZ117" s="178" t="str">
        <f t="shared" si="71"/>
        <v>#DIV/0!</v>
      </c>
      <c r="BA117" s="181" t="str">
        <f t="shared" si="72"/>
        <v>#DIV/0!</v>
      </c>
      <c r="BB117" s="164"/>
      <c r="BC117" s="150" t="s">
        <v>126</v>
      </c>
      <c r="BD117" s="151">
        <v>44331.0</v>
      </c>
      <c r="BE117" s="176">
        <v>0.0</v>
      </c>
      <c r="BF117" s="177">
        <v>0.0</v>
      </c>
      <c r="BG117" s="178" t="str">
        <f t="shared" si="73"/>
        <v>#DIV/0!</v>
      </c>
      <c r="BH117" s="179">
        <v>0.0</v>
      </c>
      <c r="BI117" s="180" t="str">
        <f t="shared" si="74"/>
        <v>#DIV/0!</v>
      </c>
      <c r="BJ117" s="179">
        <v>0.0</v>
      </c>
      <c r="BK117" s="178" t="str">
        <f t="shared" si="75"/>
        <v>#DIV/0!</v>
      </c>
      <c r="BL117" s="179">
        <v>0.0</v>
      </c>
      <c r="BM117" s="178" t="str">
        <f t="shared" si="76"/>
        <v>#DIV/0!</v>
      </c>
      <c r="BN117" s="181" t="str">
        <f t="shared" si="77"/>
        <v>#DIV/0!</v>
      </c>
      <c r="BO117" s="169"/>
    </row>
    <row r="118" ht="15.75" customHeight="1">
      <c r="B118" s="165" t="s">
        <v>143</v>
      </c>
      <c r="E118" s="175" t="str">
        <f>SUM(E106/E114)</f>
        <v>#REF!</v>
      </c>
      <c r="G118" s="51"/>
      <c r="H118" s="51"/>
      <c r="I118" s="51"/>
      <c r="J118" s="51"/>
      <c r="K118" s="51"/>
      <c r="L118" s="51"/>
      <c r="M118" s="51"/>
      <c r="N118" s="150" t="s">
        <v>127</v>
      </c>
      <c r="O118" s="151">
        <v>44332.0</v>
      </c>
      <c r="P118" s="176">
        <v>0.0</v>
      </c>
      <c r="Q118" s="177">
        <v>0.0</v>
      </c>
      <c r="R118" s="178">
        <v>0.0</v>
      </c>
      <c r="S118" s="179">
        <v>0.0</v>
      </c>
      <c r="T118" s="180">
        <v>0.0</v>
      </c>
      <c r="U118" s="179">
        <v>0.0</v>
      </c>
      <c r="V118" s="178">
        <v>0.0</v>
      </c>
      <c r="W118" s="179">
        <v>0.0</v>
      </c>
      <c r="X118" s="178">
        <v>0.0</v>
      </c>
      <c r="Y118" s="181" t="str">
        <f t="shared" si="78"/>
        <v>#DIV/0!</v>
      </c>
      <c r="Z118" s="185" t="str">
        <f t="shared" si="62"/>
        <v>#DIV/0!</v>
      </c>
      <c r="AA118" s="164"/>
      <c r="AB118" s="150" t="s">
        <v>127</v>
      </c>
      <c r="AC118" s="151">
        <v>44332.0</v>
      </c>
      <c r="AD118" s="176">
        <v>0.0</v>
      </c>
      <c r="AE118" s="177">
        <v>0.0</v>
      </c>
      <c r="AF118" s="178" t="str">
        <f t="shared" si="63"/>
        <v>#DIV/0!</v>
      </c>
      <c r="AG118" s="179">
        <v>0.0</v>
      </c>
      <c r="AH118" s="180" t="str">
        <f t="shared" si="64"/>
        <v>#DIV/0!</v>
      </c>
      <c r="AI118" s="179">
        <v>0.0</v>
      </c>
      <c r="AJ118" s="178" t="str">
        <f t="shared" si="65"/>
        <v>#DIV/0!</v>
      </c>
      <c r="AK118" s="179">
        <v>0.0</v>
      </c>
      <c r="AL118" s="178" t="str">
        <f t="shared" si="66"/>
        <v>#DIV/0!</v>
      </c>
      <c r="AM118" s="181" t="str">
        <f t="shared" si="67"/>
        <v>#DIV/0!</v>
      </c>
      <c r="AN118" s="169"/>
      <c r="AO118" s="164"/>
      <c r="AP118" s="150" t="s">
        <v>127</v>
      </c>
      <c r="AQ118" s="151">
        <v>44332.0</v>
      </c>
      <c r="AR118" s="176">
        <v>0.0</v>
      </c>
      <c r="AS118" s="177">
        <v>0.0</v>
      </c>
      <c r="AT118" s="178" t="str">
        <f t="shared" si="68"/>
        <v>#DIV/0!</v>
      </c>
      <c r="AU118" s="179">
        <v>0.0</v>
      </c>
      <c r="AV118" s="180" t="str">
        <f t="shared" si="69"/>
        <v>#DIV/0!</v>
      </c>
      <c r="AW118" s="179">
        <v>0.0</v>
      </c>
      <c r="AX118" s="178" t="str">
        <f t="shared" si="70"/>
        <v>#DIV/0!</v>
      </c>
      <c r="AY118" s="179">
        <v>0.0</v>
      </c>
      <c r="AZ118" s="178" t="str">
        <f t="shared" si="71"/>
        <v>#DIV/0!</v>
      </c>
      <c r="BA118" s="181" t="str">
        <f t="shared" si="72"/>
        <v>#DIV/0!</v>
      </c>
      <c r="BB118" s="164"/>
      <c r="BC118" s="150" t="s">
        <v>127</v>
      </c>
      <c r="BD118" s="151">
        <v>44332.0</v>
      </c>
      <c r="BE118" s="176">
        <v>0.0</v>
      </c>
      <c r="BF118" s="177">
        <v>0.0</v>
      </c>
      <c r="BG118" s="178" t="str">
        <f t="shared" si="73"/>
        <v>#DIV/0!</v>
      </c>
      <c r="BH118" s="179">
        <v>0.0</v>
      </c>
      <c r="BI118" s="180" t="str">
        <f t="shared" si="74"/>
        <v>#DIV/0!</v>
      </c>
      <c r="BJ118" s="179">
        <v>0.0</v>
      </c>
      <c r="BK118" s="178" t="str">
        <f t="shared" si="75"/>
        <v>#DIV/0!</v>
      </c>
      <c r="BL118" s="179">
        <v>0.0</v>
      </c>
      <c r="BM118" s="178" t="str">
        <f t="shared" si="76"/>
        <v>#DIV/0!</v>
      </c>
      <c r="BN118" s="181" t="str">
        <f t="shared" si="77"/>
        <v>#DIV/0!</v>
      </c>
      <c r="BO118" s="169"/>
    </row>
    <row r="119" ht="15.75" customHeight="1">
      <c r="G119" s="51"/>
      <c r="H119" s="51"/>
      <c r="I119" s="51"/>
      <c r="J119" s="51"/>
      <c r="K119" s="51"/>
      <c r="L119" s="51"/>
      <c r="M119" s="51"/>
      <c r="N119" s="150" t="s">
        <v>130</v>
      </c>
      <c r="O119" s="151">
        <v>44333.0</v>
      </c>
      <c r="P119" s="176">
        <v>0.0</v>
      </c>
      <c r="Q119" s="177">
        <v>0.0</v>
      </c>
      <c r="R119" s="178">
        <v>0.0</v>
      </c>
      <c r="S119" s="179">
        <v>0.0</v>
      </c>
      <c r="T119" s="180">
        <v>0.0</v>
      </c>
      <c r="U119" s="179">
        <v>0.0</v>
      </c>
      <c r="V119" s="178">
        <v>0.0</v>
      </c>
      <c r="W119" s="179">
        <v>0.0</v>
      </c>
      <c r="X119" s="178">
        <v>0.0</v>
      </c>
      <c r="Y119" s="181" t="str">
        <f t="shared" si="78"/>
        <v>#DIV/0!</v>
      </c>
      <c r="Z119" s="185" t="str">
        <f t="shared" si="62"/>
        <v>#DIV/0!</v>
      </c>
      <c r="AA119" s="164"/>
      <c r="AB119" s="150" t="s">
        <v>130</v>
      </c>
      <c r="AC119" s="151">
        <v>44333.0</v>
      </c>
      <c r="AD119" s="176">
        <v>0.0</v>
      </c>
      <c r="AE119" s="177">
        <v>0.0</v>
      </c>
      <c r="AF119" s="178" t="str">
        <f t="shared" si="63"/>
        <v>#DIV/0!</v>
      </c>
      <c r="AG119" s="179">
        <v>0.0</v>
      </c>
      <c r="AH119" s="180" t="str">
        <f t="shared" si="64"/>
        <v>#DIV/0!</v>
      </c>
      <c r="AI119" s="179">
        <v>0.0</v>
      </c>
      <c r="AJ119" s="178" t="str">
        <f t="shared" si="65"/>
        <v>#DIV/0!</v>
      </c>
      <c r="AK119" s="179">
        <v>0.0</v>
      </c>
      <c r="AL119" s="178" t="str">
        <f t="shared" si="66"/>
        <v>#DIV/0!</v>
      </c>
      <c r="AM119" s="181" t="str">
        <f t="shared" si="67"/>
        <v>#DIV/0!</v>
      </c>
      <c r="AN119" s="169"/>
      <c r="AO119" s="164"/>
      <c r="AP119" s="150" t="s">
        <v>130</v>
      </c>
      <c r="AQ119" s="151">
        <v>44333.0</v>
      </c>
      <c r="AR119" s="176">
        <v>0.0</v>
      </c>
      <c r="AS119" s="177">
        <v>0.0</v>
      </c>
      <c r="AT119" s="178" t="str">
        <f t="shared" si="68"/>
        <v>#DIV/0!</v>
      </c>
      <c r="AU119" s="179">
        <v>0.0</v>
      </c>
      <c r="AV119" s="180" t="str">
        <f t="shared" si="69"/>
        <v>#DIV/0!</v>
      </c>
      <c r="AW119" s="179">
        <v>0.0</v>
      </c>
      <c r="AX119" s="178" t="str">
        <f t="shared" si="70"/>
        <v>#DIV/0!</v>
      </c>
      <c r="AY119" s="179">
        <v>0.0</v>
      </c>
      <c r="AZ119" s="178" t="str">
        <f t="shared" si="71"/>
        <v>#DIV/0!</v>
      </c>
      <c r="BA119" s="181" t="str">
        <f t="shared" si="72"/>
        <v>#DIV/0!</v>
      </c>
      <c r="BB119" s="164"/>
      <c r="BC119" s="150" t="s">
        <v>130</v>
      </c>
      <c r="BD119" s="151">
        <v>44333.0</v>
      </c>
      <c r="BE119" s="176">
        <v>0.0</v>
      </c>
      <c r="BF119" s="177">
        <v>0.0</v>
      </c>
      <c r="BG119" s="178" t="str">
        <f t="shared" si="73"/>
        <v>#DIV/0!</v>
      </c>
      <c r="BH119" s="179">
        <v>0.0</v>
      </c>
      <c r="BI119" s="180" t="str">
        <f t="shared" si="74"/>
        <v>#DIV/0!</v>
      </c>
      <c r="BJ119" s="179">
        <v>0.0</v>
      </c>
      <c r="BK119" s="178" t="str">
        <f t="shared" si="75"/>
        <v>#DIV/0!</v>
      </c>
      <c r="BL119" s="179">
        <v>0.0</v>
      </c>
      <c r="BM119" s="178" t="str">
        <f t="shared" si="76"/>
        <v>#DIV/0!</v>
      </c>
      <c r="BN119" s="181" t="str">
        <f t="shared" si="77"/>
        <v>#DIV/0!</v>
      </c>
      <c r="BO119" s="169"/>
    </row>
    <row r="120" ht="15.75" customHeight="1">
      <c r="B120" s="167" t="s">
        <v>144</v>
      </c>
      <c r="E120" s="171" t="str">
        <f>SUM(E116*E118)</f>
        <v>#REF!</v>
      </c>
      <c r="G120" s="51"/>
      <c r="H120" s="51"/>
      <c r="I120" s="51"/>
      <c r="J120" s="51"/>
      <c r="K120" s="51"/>
      <c r="L120" s="51"/>
      <c r="M120" s="51"/>
      <c r="N120" s="150" t="s">
        <v>131</v>
      </c>
      <c r="O120" s="151">
        <v>44334.0</v>
      </c>
      <c r="P120" s="176">
        <v>0.0</v>
      </c>
      <c r="Q120" s="177">
        <v>0.0</v>
      </c>
      <c r="R120" s="178">
        <v>0.0</v>
      </c>
      <c r="S120" s="179">
        <v>0.0</v>
      </c>
      <c r="T120" s="180">
        <v>0.0</v>
      </c>
      <c r="U120" s="179">
        <v>0.0</v>
      </c>
      <c r="V120" s="178">
        <v>0.0</v>
      </c>
      <c r="W120" s="179">
        <v>0.0</v>
      </c>
      <c r="X120" s="178">
        <v>0.0</v>
      </c>
      <c r="Y120" s="181" t="str">
        <f t="shared" si="78"/>
        <v>#DIV/0!</v>
      </c>
      <c r="Z120" s="185" t="str">
        <f t="shared" si="62"/>
        <v>#DIV/0!</v>
      </c>
      <c r="AA120" s="164"/>
      <c r="AB120" s="150" t="s">
        <v>131</v>
      </c>
      <c r="AC120" s="151">
        <v>44334.0</v>
      </c>
      <c r="AD120" s="176">
        <v>0.0</v>
      </c>
      <c r="AE120" s="177">
        <v>0.0</v>
      </c>
      <c r="AF120" s="178" t="str">
        <f t="shared" si="63"/>
        <v>#DIV/0!</v>
      </c>
      <c r="AG120" s="179">
        <v>0.0</v>
      </c>
      <c r="AH120" s="180" t="str">
        <f t="shared" si="64"/>
        <v>#DIV/0!</v>
      </c>
      <c r="AI120" s="179">
        <v>0.0</v>
      </c>
      <c r="AJ120" s="178" t="str">
        <f t="shared" si="65"/>
        <v>#DIV/0!</v>
      </c>
      <c r="AK120" s="179">
        <v>0.0</v>
      </c>
      <c r="AL120" s="178" t="str">
        <f t="shared" si="66"/>
        <v>#DIV/0!</v>
      </c>
      <c r="AM120" s="181" t="str">
        <f t="shared" si="67"/>
        <v>#DIV/0!</v>
      </c>
      <c r="AN120" s="169"/>
      <c r="AO120" s="164"/>
      <c r="AP120" s="150" t="s">
        <v>131</v>
      </c>
      <c r="AQ120" s="151">
        <v>44334.0</v>
      </c>
      <c r="AR120" s="176">
        <v>0.0</v>
      </c>
      <c r="AS120" s="177">
        <v>0.0</v>
      </c>
      <c r="AT120" s="178" t="str">
        <f t="shared" si="68"/>
        <v>#DIV/0!</v>
      </c>
      <c r="AU120" s="179">
        <v>0.0</v>
      </c>
      <c r="AV120" s="180" t="str">
        <f t="shared" si="69"/>
        <v>#DIV/0!</v>
      </c>
      <c r="AW120" s="179">
        <v>0.0</v>
      </c>
      <c r="AX120" s="178" t="str">
        <f t="shared" si="70"/>
        <v>#DIV/0!</v>
      </c>
      <c r="AY120" s="179">
        <v>0.0</v>
      </c>
      <c r="AZ120" s="178" t="str">
        <f t="shared" si="71"/>
        <v>#DIV/0!</v>
      </c>
      <c r="BA120" s="181" t="str">
        <f t="shared" si="72"/>
        <v>#DIV/0!</v>
      </c>
      <c r="BB120" s="164"/>
      <c r="BC120" s="150" t="s">
        <v>131</v>
      </c>
      <c r="BD120" s="151">
        <v>44334.0</v>
      </c>
      <c r="BE120" s="176">
        <v>0.0</v>
      </c>
      <c r="BF120" s="177">
        <v>0.0</v>
      </c>
      <c r="BG120" s="178" t="str">
        <f t="shared" si="73"/>
        <v>#DIV/0!</v>
      </c>
      <c r="BH120" s="179">
        <v>0.0</v>
      </c>
      <c r="BI120" s="180" t="str">
        <f t="shared" si="74"/>
        <v>#DIV/0!</v>
      </c>
      <c r="BJ120" s="179">
        <v>0.0</v>
      </c>
      <c r="BK120" s="178" t="str">
        <f t="shared" si="75"/>
        <v>#DIV/0!</v>
      </c>
      <c r="BL120" s="179">
        <v>0.0</v>
      </c>
      <c r="BM120" s="178" t="str">
        <f t="shared" si="76"/>
        <v>#DIV/0!</v>
      </c>
      <c r="BN120" s="181" t="str">
        <f t="shared" si="77"/>
        <v>#DIV/0!</v>
      </c>
      <c r="BO120" s="169"/>
    </row>
    <row r="121" ht="15.75" customHeight="1">
      <c r="G121" s="51"/>
      <c r="H121" s="51"/>
      <c r="I121" s="51"/>
      <c r="J121" s="51"/>
      <c r="K121" s="51"/>
      <c r="L121" s="51"/>
      <c r="M121" s="51"/>
      <c r="N121" s="150" t="s">
        <v>134</v>
      </c>
      <c r="O121" s="151">
        <v>44335.0</v>
      </c>
      <c r="P121" s="176">
        <v>0.0</v>
      </c>
      <c r="Q121" s="177">
        <v>0.0</v>
      </c>
      <c r="R121" s="178">
        <v>0.0</v>
      </c>
      <c r="S121" s="179">
        <v>0.0</v>
      </c>
      <c r="T121" s="180">
        <v>0.0</v>
      </c>
      <c r="U121" s="179">
        <v>0.0</v>
      </c>
      <c r="V121" s="178">
        <v>0.0</v>
      </c>
      <c r="W121" s="179">
        <v>0.0</v>
      </c>
      <c r="X121" s="178">
        <v>0.0</v>
      </c>
      <c r="Y121" s="181" t="str">
        <f t="shared" si="78"/>
        <v>#DIV/0!</v>
      </c>
      <c r="Z121" s="185" t="str">
        <f t="shared" si="62"/>
        <v>#DIV/0!</v>
      </c>
      <c r="AA121" s="164"/>
      <c r="AB121" s="150" t="s">
        <v>134</v>
      </c>
      <c r="AC121" s="151">
        <v>44335.0</v>
      </c>
      <c r="AD121" s="176">
        <v>0.0</v>
      </c>
      <c r="AE121" s="177">
        <v>0.0</v>
      </c>
      <c r="AF121" s="178" t="str">
        <f t="shared" si="63"/>
        <v>#DIV/0!</v>
      </c>
      <c r="AG121" s="179">
        <v>0.0</v>
      </c>
      <c r="AH121" s="180" t="str">
        <f t="shared" si="64"/>
        <v>#DIV/0!</v>
      </c>
      <c r="AI121" s="179">
        <v>0.0</v>
      </c>
      <c r="AJ121" s="178" t="str">
        <f t="shared" si="65"/>
        <v>#DIV/0!</v>
      </c>
      <c r="AK121" s="179">
        <v>0.0</v>
      </c>
      <c r="AL121" s="178" t="str">
        <f t="shared" si="66"/>
        <v>#DIV/0!</v>
      </c>
      <c r="AM121" s="181" t="str">
        <f t="shared" si="67"/>
        <v>#DIV/0!</v>
      </c>
      <c r="AN121" s="169"/>
      <c r="AO121" s="164"/>
      <c r="AP121" s="150" t="s">
        <v>134</v>
      </c>
      <c r="AQ121" s="151">
        <v>44335.0</v>
      </c>
      <c r="AR121" s="176">
        <v>0.0</v>
      </c>
      <c r="AS121" s="177">
        <v>0.0</v>
      </c>
      <c r="AT121" s="178" t="str">
        <f t="shared" si="68"/>
        <v>#DIV/0!</v>
      </c>
      <c r="AU121" s="179">
        <v>0.0</v>
      </c>
      <c r="AV121" s="180" t="str">
        <f t="shared" si="69"/>
        <v>#DIV/0!</v>
      </c>
      <c r="AW121" s="179">
        <v>0.0</v>
      </c>
      <c r="AX121" s="178" t="str">
        <f t="shared" si="70"/>
        <v>#DIV/0!</v>
      </c>
      <c r="AY121" s="179">
        <v>0.0</v>
      </c>
      <c r="AZ121" s="178" t="str">
        <f t="shared" si="71"/>
        <v>#DIV/0!</v>
      </c>
      <c r="BA121" s="181" t="str">
        <f t="shared" si="72"/>
        <v>#DIV/0!</v>
      </c>
      <c r="BB121" s="164"/>
      <c r="BC121" s="150" t="s">
        <v>134</v>
      </c>
      <c r="BD121" s="151">
        <v>44335.0</v>
      </c>
      <c r="BE121" s="176">
        <v>0.0</v>
      </c>
      <c r="BF121" s="177">
        <v>0.0</v>
      </c>
      <c r="BG121" s="178" t="str">
        <f t="shared" si="73"/>
        <v>#DIV/0!</v>
      </c>
      <c r="BH121" s="179">
        <v>0.0</v>
      </c>
      <c r="BI121" s="180" t="str">
        <f t="shared" si="74"/>
        <v>#DIV/0!</v>
      </c>
      <c r="BJ121" s="179">
        <v>0.0</v>
      </c>
      <c r="BK121" s="178" t="str">
        <f t="shared" si="75"/>
        <v>#DIV/0!</v>
      </c>
      <c r="BL121" s="179">
        <v>0.0</v>
      </c>
      <c r="BM121" s="178" t="str">
        <f t="shared" si="76"/>
        <v>#DIV/0!</v>
      </c>
      <c r="BN121" s="181" t="str">
        <f t="shared" si="77"/>
        <v>#DIV/0!</v>
      </c>
      <c r="BO121" s="169"/>
    </row>
    <row r="122" ht="15.75" customHeight="1">
      <c r="B122" s="165" t="s">
        <v>145</v>
      </c>
      <c r="E122" s="171" t="str">
        <f>SUM(E106-E120)</f>
        <v>#REF!</v>
      </c>
      <c r="G122" s="51"/>
      <c r="H122" s="51"/>
      <c r="I122" s="51"/>
      <c r="J122" s="51"/>
      <c r="K122" s="51"/>
      <c r="L122" s="51"/>
      <c r="M122" s="51"/>
      <c r="N122" s="150" t="s">
        <v>135</v>
      </c>
      <c r="O122" s="151">
        <v>44336.0</v>
      </c>
      <c r="P122" s="176">
        <v>0.0</v>
      </c>
      <c r="Q122" s="177">
        <v>0.0</v>
      </c>
      <c r="R122" s="178">
        <v>0.0</v>
      </c>
      <c r="S122" s="179">
        <v>0.0</v>
      </c>
      <c r="T122" s="180">
        <v>0.0</v>
      </c>
      <c r="U122" s="179">
        <v>0.0</v>
      </c>
      <c r="V122" s="178">
        <v>0.0</v>
      </c>
      <c r="W122" s="179">
        <v>0.0</v>
      </c>
      <c r="X122" s="178">
        <v>0.0</v>
      </c>
      <c r="Y122" s="181" t="str">
        <f t="shared" si="78"/>
        <v>#DIV/0!</v>
      </c>
      <c r="Z122" s="185" t="str">
        <f t="shared" si="62"/>
        <v>#DIV/0!</v>
      </c>
      <c r="AA122" s="164"/>
      <c r="AB122" s="150" t="s">
        <v>135</v>
      </c>
      <c r="AC122" s="151">
        <v>44336.0</v>
      </c>
      <c r="AD122" s="176">
        <v>0.0</v>
      </c>
      <c r="AE122" s="177">
        <v>0.0</v>
      </c>
      <c r="AF122" s="178" t="str">
        <f t="shared" si="63"/>
        <v>#DIV/0!</v>
      </c>
      <c r="AG122" s="179">
        <v>0.0</v>
      </c>
      <c r="AH122" s="180" t="str">
        <f t="shared" si="64"/>
        <v>#DIV/0!</v>
      </c>
      <c r="AI122" s="179">
        <v>0.0</v>
      </c>
      <c r="AJ122" s="178" t="str">
        <f t="shared" si="65"/>
        <v>#DIV/0!</v>
      </c>
      <c r="AK122" s="179">
        <v>0.0</v>
      </c>
      <c r="AL122" s="178" t="str">
        <f t="shared" si="66"/>
        <v>#DIV/0!</v>
      </c>
      <c r="AM122" s="181" t="str">
        <f t="shared" si="67"/>
        <v>#DIV/0!</v>
      </c>
      <c r="AN122" s="169"/>
      <c r="AO122" s="164"/>
      <c r="AP122" s="150" t="s">
        <v>135</v>
      </c>
      <c r="AQ122" s="151">
        <v>44336.0</v>
      </c>
      <c r="AR122" s="176">
        <v>0.0</v>
      </c>
      <c r="AS122" s="177">
        <v>0.0</v>
      </c>
      <c r="AT122" s="178" t="str">
        <f t="shared" si="68"/>
        <v>#DIV/0!</v>
      </c>
      <c r="AU122" s="179">
        <v>0.0</v>
      </c>
      <c r="AV122" s="180" t="str">
        <f t="shared" si="69"/>
        <v>#DIV/0!</v>
      </c>
      <c r="AW122" s="179">
        <v>0.0</v>
      </c>
      <c r="AX122" s="178" t="str">
        <f t="shared" si="70"/>
        <v>#DIV/0!</v>
      </c>
      <c r="AY122" s="179">
        <v>0.0</v>
      </c>
      <c r="AZ122" s="178" t="str">
        <f t="shared" si="71"/>
        <v>#DIV/0!</v>
      </c>
      <c r="BA122" s="181" t="str">
        <f t="shared" si="72"/>
        <v>#DIV/0!</v>
      </c>
      <c r="BB122" s="164"/>
      <c r="BC122" s="150" t="s">
        <v>135</v>
      </c>
      <c r="BD122" s="151">
        <v>44336.0</v>
      </c>
      <c r="BE122" s="176">
        <v>0.0</v>
      </c>
      <c r="BF122" s="177">
        <v>0.0</v>
      </c>
      <c r="BG122" s="178" t="str">
        <f t="shared" si="73"/>
        <v>#DIV/0!</v>
      </c>
      <c r="BH122" s="179">
        <v>0.0</v>
      </c>
      <c r="BI122" s="180" t="str">
        <f t="shared" si="74"/>
        <v>#DIV/0!</v>
      </c>
      <c r="BJ122" s="179">
        <v>0.0</v>
      </c>
      <c r="BK122" s="178" t="str">
        <f t="shared" si="75"/>
        <v>#DIV/0!</v>
      </c>
      <c r="BL122" s="179">
        <v>0.0</v>
      </c>
      <c r="BM122" s="178" t="str">
        <f t="shared" si="76"/>
        <v>#DIV/0!</v>
      </c>
      <c r="BN122" s="181" t="str">
        <f t="shared" si="77"/>
        <v>#DIV/0!</v>
      </c>
      <c r="BO122" s="169"/>
    </row>
    <row r="123" ht="15.75" customHeight="1">
      <c r="G123" s="51"/>
      <c r="H123" s="51"/>
      <c r="I123" s="51"/>
      <c r="J123" s="51"/>
      <c r="K123" s="51"/>
      <c r="L123" s="51"/>
      <c r="M123" s="51"/>
      <c r="N123" s="150" t="s">
        <v>123</v>
      </c>
      <c r="O123" s="151">
        <v>44337.0</v>
      </c>
      <c r="P123" s="176">
        <v>0.0</v>
      </c>
      <c r="Q123" s="177">
        <v>0.0</v>
      </c>
      <c r="R123" s="178">
        <v>0.0</v>
      </c>
      <c r="S123" s="179">
        <v>0.0</v>
      </c>
      <c r="T123" s="180">
        <v>0.0</v>
      </c>
      <c r="U123" s="179">
        <v>0.0</v>
      </c>
      <c r="V123" s="178">
        <v>0.0</v>
      </c>
      <c r="W123" s="179">
        <v>0.0</v>
      </c>
      <c r="X123" s="178">
        <v>0.0</v>
      </c>
      <c r="Y123" s="181" t="str">
        <f t="shared" si="78"/>
        <v>#DIV/0!</v>
      </c>
      <c r="Z123" s="185" t="str">
        <f t="shared" si="62"/>
        <v>#DIV/0!</v>
      </c>
      <c r="AA123" s="164"/>
      <c r="AB123" s="150" t="s">
        <v>123</v>
      </c>
      <c r="AC123" s="151">
        <v>44337.0</v>
      </c>
      <c r="AD123" s="176">
        <v>0.0</v>
      </c>
      <c r="AE123" s="177">
        <v>0.0</v>
      </c>
      <c r="AF123" s="178" t="str">
        <f t="shared" si="63"/>
        <v>#DIV/0!</v>
      </c>
      <c r="AG123" s="179">
        <v>0.0</v>
      </c>
      <c r="AH123" s="180" t="str">
        <f t="shared" si="64"/>
        <v>#DIV/0!</v>
      </c>
      <c r="AI123" s="179">
        <v>0.0</v>
      </c>
      <c r="AJ123" s="178" t="str">
        <f t="shared" si="65"/>
        <v>#DIV/0!</v>
      </c>
      <c r="AK123" s="179">
        <v>0.0</v>
      </c>
      <c r="AL123" s="178" t="str">
        <f t="shared" si="66"/>
        <v>#DIV/0!</v>
      </c>
      <c r="AM123" s="181" t="str">
        <f t="shared" si="67"/>
        <v>#DIV/0!</v>
      </c>
      <c r="AN123" s="169"/>
      <c r="AO123" s="164"/>
      <c r="AP123" s="150" t="s">
        <v>123</v>
      </c>
      <c r="AQ123" s="151">
        <v>44337.0</v>
      </c>
      <c r="AR123" s="176">
        <v>0.0</v>
      </c>
      <c r="AS123" s="177">
        <v>0.0</v>
      </c>
      <c r="AT123" s="178" t="str">
        <f t="shared" si="68"/>
        <v>#DIV/0!</v>
      </c>
      <c r="AU123" s="179">
        <v>0.0</v>
      </c>
      <c r="AV123" s="180" t="str">
        <f t="shared" si="69"/>
        <v>#DIV/0!</v>
      </c>
      <c r="AW123" s="179">
        <v>0.0</v>
      </c>
      <c r="AX123" s="178" t="str">
        <f t="shared" si="70"/>
        <v>#DIV/0!</v>
      </c>
      <c r="AY123" s="179">
        <v>0.0</v>
      </c>
      <c r="AZ123" s="178" t="str">
        <f t="shared" si="71"/>
        <v>#DIV/0!</v>
      </c>
      <c r="BA123" s="181" t="str">
        <f t="shared" si="72"/>
        <v>#DIV/0!</v>
      </c>
      <c r="BB123" s="164"/>
      <c r="BC123" s="150" t="s">
        <v>123</v>
      </c>
      <c r="BD123" s="151">
        <v>44337.0</v>
      </c>
      <c r="BE123" s="176">
        <v>0.0</v>
      </c>
      <c r="BF123" s="177">
        <v>0.0</v>
      </c>
      <c r="BG123" s="178" t="str">
        <f t="shared" si="73"/>
        <v>#DIV/0!</v>
      </c>
      <c r="BH123" s="179">
        <v>0.0</v>
      </c>
      <c r="BI123" s="180" t="str">
        <f t="shared" si="74"/>
        <v>#DIV/0!</v>
      </c>
      <c r="BJ123" s="179">
        <v>0.0</v>
      </c>
      <c r="BK123" s="178" t="str">
        <f t="shared" si="75"/>
        <v>#DIV/0!</v>
      </c>
      <c r="BL123" s="179">
        <v>0.0</v>
      </c>
      <c r="BM123" s="178" t="str">
        <f t="shared" si="76"/>
        <v>#DIV/0!</v>
      </c>
      <c r="BN123" s="181" t="str">
        <f t="shared" si="77"/>
        <v>#DIV/0!</v>
      </c>
      <c r="BO123" s="169"/>
    </row>
    <row r="124" ht="15.75" customHeight="1">
      <c r="B124" s="167" t="s">
        <v>146</v>
      </c>
      <c r="E124" s="166">
        <v>30.0</v>
      </c>
      <c r="G124" s="51"/>
      <c r="H124" s="51"/>
      <c r="I124" s="51"/>
      <c r="J124" s="51"/>
      <c r="K124" s="51"/>
      <c r="L124" s="51"/>
      <c r="M124" s="51"/>
      <c r="N124" s="150" t="s">
        <v>126</v>
      </c>
      <c r="O124" s="151">
        <v>44338.0</v>
      </c>
      <c r="P124" s="176">
        <v>0.0</v>
      </c>
      <c r="Q124" s="177">
        <v>0.0</v>
      </c>
      <c r="R124" s="178">
        <v>0.0</v>
      </c>
      <c r="S124" s="179">
        <v>0.0</v>
      </c>
      <c r="T124" s="180">
        <v>0.0</v>
      </c>
      <c r="U124" s="179">
        <v>0.0</v>
      </c>
      <c r="V124" s="178">
        <v>0.0</v>
      </c>
      <c r="W124" s="179">
        <v>0.0</v>
      </c>
      <c r="X124" s="178">
        <v>0.0</v>
      </c>
      <c r="Y124" s="181" t="str">
        <f t="shared" si="78"/>
        <v>#DIV/0!</v>
      </c>
      <c r="Z124" s="185" t="str">
        <f t="shared" si="62"/>
        <v>#DIV/0!</v>
      </c>
      <c r="AA124" s="164"/>
      <c r="AB124" s="150" t="s">
        <v>126</v>
      </c>
      <c r="AC124" s="151">
        <v>44338.0</v>
      </c>
      <c r="AD124" s="176">
        <v>0.0</v>
      </c>
      <c r="AE124" s="177">
        <v>0.0</v>
      </c>
      <c r="AF124" s="178" t="str">
        <f t="shared" si="63"/>
        <v>#DIV/0!</v>
      </c>
      <c r="AG124" s="179">
        <v>0.0</v>
      </c>
      <c r="AH124" s="180" t="str">
        <f t="shared" si="64"/>
        <v>#DIV/0!</v>
      </c>
      <c r="AI124" s="179">
        <v>0.0</v>
      </c>
      <c r="AJ124" s="178" t="str">
        <f t="shared" si="65"/>
        <v>#DIV/0!</v>
      </c>
      <c r="AK124" s="179">
        <v>0.0</v>
      </c>
      <c r="AL124" s="178" t="str">
        <f t="shared" si="66"/>
        <v>#DIV/0!</v>
      </c>
      <c r="AM124" s="181" t="str">
        <f t="shared" si="67"/>
        <v>#DIV/0!</v>
      </c>
      <c r="AN124" s="169"/>
      <c r="AO124" s="164"/>
      <c r="AP124" s="150" t="s">
        <v>126</v>
      </c>
      <c r="AQ124" s="151">
        <v>44338.0</v>
      </c>
      <c r="AR124" s="176">
        <v>0.0</v>
      </c>
      <c r="AS124" s="177">
        <v>0.0</v>
      </c>
      <c r="AT124" s="178" t="str">
        <f t="shared" si="68"/>
        <v>#DIV/0!</v>
      </c>
      <c r="AU124" s="179">
        <v>0.0</v>
      </c>
      <c r="AV124" s="180" t="str">
        <f t="shared" si="69"/>
        <v>#DIV/0!</v>
      </c>
      <c r="AW124" s="179">
        <v>0.0</v>
      </c>
      <c r="AX124" s="178" t="str">
        <f t="shared" si="70"/>
        <v>#DIV/0!</v>
      </c>
      <c r="AY124" s="179">
        <v>0.0</v>
      </c>
      <c r="AZ124" s="178" t="str">
        <f t="shared" si="71"/>
        <v>#DIV/0!</v>
      </c>
      <c r="BA124" s="181" t="str">
        <f t="shared" si="72"/>
        <v>#DIV/0!</v>
      </c>
      <c r="BB124" s="164"/>
      <c r="BC124" s="150" t="s">
        <v>126</v>
      </c>
      <c r="BD124" s="151">
        <v>44338.0</v>
      </c>
      <c r="BE124" s="176">
        <v>0.0</v>
      </c>
      <c r="BF124" s="177">
        <v>0.0</v>
      </c>
      <c r="BG124" s="178" t="str">
        <f t="shared" si="73"/>
        <v>#DIV/0!</v>
      </c>
      <c r="BH124" s="179">
        <v>0.0</v>
      </c>
      <c r="BI124" s="180" t="str">
        <f t="shared" si="74"/>
        <v>#DIV/0!</v>
      </c>
      <c r="BJ124" s="179">
        <v>0.0</v>
      </c>
      <c r="BK124" s="178" t="str">
        <f t="shared" si="75"/>
        <v>#DIV/0!</v>
      </c>
      <c r="BL124" s="179">
        <v>0.0</v>
      </c>
      <c r="BM124" s="178" t="str">
        <f t="shared" si="76"/>
        <v>#DIV/0!</v>
      </c>
      <c r="BN124" s="181" t="str">
        <f t="shared" si="77"/>
        <v>#DIV/0!</v>
      </c>
      <c r="BO124" s="169"/>
    </row>
    <row r="125" ht="15.75" customHeight="1">
      <c r="G125" s="51"/>
      <c r="H125" s="51"/>
      <c r="I125" s="51"/>
      <c r="J125" s="51"/>
      <c r="K125" s="51"/>
      <c r="L125" s="51"/>
      <c r="M125" s="51"/>
      <c r="N125" s="150" t="s">
        <v>127</v>
      </c>
      <c r="O125" s="151">
        <v>44339.0</v>
      </c>
      <c r="P125" s="176">
        <v>0.0</v>
      </c>
      <c r="Q125" s="177">
        <v>0.0</v>
      </c>
      <c r="R125" s="178">
        <v>0.0</v>
      </c>
      <c r="S125" s="179">
        <v>0.0</v>
      </c>
      <c r="T125" s="180">
        <v>0.0</v>
      </c>
      <c r="U125" s="179">
        <v>0.0</v>
      </c>
      <c r="V125" s="178">
        <v>0.0</v>
      </c>
      <c r="W125" s="179">
        <v>0.0</v>
      </c>
      <c r="X125" s="178">
        <v>0.0</v>
      </c>
      <c r="Y125" s="181" t="str">
        <f t="shared" si="78"/>
        <v>#DIV/0!</v>
      </c>
      <c r="Z125" s="185" t="str">
        <f t="shared" si="62"/>
        <v>#DIV/0!</v>
      </c>
      <c r="AA125" s="164"/>
      <c r="AB125" s="150" t="s">
        <v>127</v>
      </c>
      <c r="AC125" s="151">
        <v>44339.0</v>
      </c>
      <c r="AD125" s="176">
        <v>0.0</v>
      </c>
      <c r="AE125" s="177">
        <v>0.0</v>
      </c>
      <c r="AF125" s="178" t="str">
        <f t="shared" si="63"/>
        <v>#DIV/0!</v>
      </c>
      <c r="AG125" s="179">
        <v>0.0</v>
      </c>
      <c r="AH125" s="180" t="str">
        <f t="shared" si="64"/>
        <v>#DIV/0!</v>
      </c>
      <c r="AI125" s="179">
        <v>0.0</v>
      </c>
      <c r="AJ125" s="178" t="str">
        <f t="shared" si="65"/>
        <v>#DIV/0!</v>
      </c>
      <c r="AK125" s="179">
        <v>0.0</v>
      </c>
      <c r="AL125" s="178" t="str">
        <f t="shared" si="66"/>
        <v>#DIV/0!</v>
      </c>
      <c r="AM125" s="181" t="str">
        <f t="shared" si="67"/>
        <v>#DIV/0!</v>
      </c>
      <c r="AN125" s="169"/>
      <c r="AO125" s="164"/>
      <c r="AP125" s="150" t="s">
        <v>127</v>
      </c>
      <c r="AQ125" s="151">
        <v>44339.0</v>
      </c>
      <c r="AR125" s="176">
        <v>0.0</v>
      </c>
      <c r="AS125" s="177">
        <v>0.0</v>
      </c>
      <c r="AT125" s="178" t="str">
        <f t="shared" si="68"/>
        <v>#DIV/0!</v>
      </c>
      <c r="AU125" s="179">
        <v>0.0</v>
      </c>
      <c r="AV125" s="180" t="str">
        <f t="shared" si="69"/>
        <v>#DIV/0!</v>
      </c>
      <c r="AW125" s="179">
        <v>0.0</v>
      </c>
      <c r="AX125" s="178" t="str">
        <f t="shared" si="70"/>
        <v>#DIV/0!</v>
      </c>
      <c r="AY125" s="179">
        <v>0.0</v>
      </c>
      <c r="AZ125" s="178" t="str">
        <f t="shared" si="71"/>
        <v>#DIV/0!</v>
      </c>
      <c r="BA125" s="181" t="str">
        <f t="shared" si="72"/>
        <v>#DIV/0!</v>
      </c>
      <c r="BB125" s="164"/>
      <c r="BC125" s="150" t="s">
        <v>127</v>
      </c>
      <c r="BD125" s="151">
        <v>44339.0</v>
      </c>
      <c r="BE125" s="176">
        <v>0.0</v>
      </c>
      <c r="BF125" s="177">
        <v>0.0</v>
      </c>
      <c r="BG125" s="178" t="str">
        <f t="shared" si="73"/>
        <v>#DIV/0!</v>
      </c>
      <c r="BH125" s="179">
        <v>0.0</v>
      </c>
      <c r="BI125" s="180" t="str">
        <f t="shared" si="74"/>
        <v>#DIV/0!</v>
      </c>
      <c r="BJ125" s="179">
        <v>0.0</v>
      </c>
      <c r="BK125" s="178" t="str">
        <f t="shared" si="75"/>
        <v>#DIV/0!</v>
      </c>
      <c r="BL125" s="179">
        <v>0.0</v>
      </c>
      <c r="BM125" s="178" t="str">
        <f t="shared" si="76"/>
        <v>#DIV/0!</v>
      </c>
      <c r="BN125" s="181" t="str">
        <f t="shared" si="77"/>
        <v>#DIV/0!</v>
      </c>
      <c r="BO125" s="169"/>
    </row>
    <row r="126" ht="15.75" customHeight="1">
      <c r="B126" s="165" t="s">
        <v>147</v>
      </c>
      <c r="E126" s="171" t="str">
        <f>SUM(E120/E124)-E130</f>
        <v>#REF!</v>
      </c>
      <c r="G126" s="51"/>
      <c r="H126" s="51"/>
      <c r="I126" s="51"/>
      <c r="J126" s="51"/>
      <c r="K126" s="51"/>
      <c r="L126" s="51"/>
      <c r="M126" s="51"/>
      <c r="N126" s="150" t="s">
        <v>130</v>
      </c>
      <c r="O126" s="151">
        <v>44340.0</v>
      </c>
      <c r="P126" s="176">
        <v>0.0</v>
      </c>
      <c r="Q126" s="177">
        <v>0.0</v>
      </c>
      <c r="R126" s="178">
        <v>0.0</v>
      </c>
      <c r="S126" s="179">
        <v>0.0</v>
      </c>
      <c r="T126" s="180">
        <v>0.0</v>
      </c>
      <c r="U126" s="179">
        <v>0.0</v>
      </c>
      <c r="V126" s="178">
        <v>0.0</v>
      </c>
      <c r="W126" s="179">
        <v>0.0</v>
      </c>
      <c r="X126" s="178">
        <v>0.0</v>
      </c>
      <c r="Y126" s="181" t="str">
        <f t="shared" si="78"/>
        <v>#DIV/0!</v>
      </c>
      <c r="Z126" s="185" t="str">
        <f t="shared" si="62"/>
        <v>#DIV/0!</v>
      </c>
      <c r="AA126" s="164"/>
      <c r="AB126" s="150" t="s">
        <v>130</v>
      </c>
      <c r="AC126" s="151">
        <v>44340.0</v>
      </c>
      <c r="AD126" s="176">
        <v>0.0</v>
      </c>
      <c r="AE126" s="177">
        <v>0.0</v>
      </c>
      <c r="AF126" s="178" t="str">
        <f t="shared" si="63"/>
        <v>#DIV/0!</v>
      </c>
      <c r="AG126" s="179">
        <v>0.0</v>
      </c>
      <c r="AH126" s="180" t="str">
        <f t="shared" si="64"/>
        <v>#DIV/0!</v>
      </c>
      <c r="AI126" s="179">
        <v>0.0</v>
      </c>
      <c r="AJ126" s="178" t="str">
        <f t="shared" si="65"/>
        <v>#DIV/0!</v>
      </c>
      <c r="AK126" s="179">
        <v>0.0</v>
      </c>
      <c r="AL126" s="178" t="str">
        <f t="shared" si="66"/>
        <v>#DIV/0!</v>
      </c>
      <c r="AM126" s="181" t="str">
        <f t="shared" si="67"/>
        <v>#DIV/0!</v>
      </c>
      <c r="AN126" s="169"/>
      <c r="AO126" s="164"/>
      <c r="AP126" s="150" t="s">
        <v>130</v>
      </c>
      <c r="AQ126" s="151">
        <v>44340.0</v>
      </c>
      <c r="AR126" s="176">
        <v>0.0</v>
      </c>
      <c r="AS126" s="177">
        <v>0.0</v>
      </c>
      <c r="AT126" s="178" t="str">
        <f t="shared" si="68"/>
        <v>#DIV/0!</v>
      </c>
      <c r="AU126" s="179">
        <v>0.0</v>
      </c>
      <c r="AV126" s="180" t="str">
        <f t="shared" si="69"/>
        <v>#DIV/0!</v>
      </c>
      <c r="AW126" s="179">
        <v>0.0</v>
      </c>
      <c r="AX126" s="178" t="str">
        <f t="shared" si="70"/>
        <v>#DIV/0!</v>
      </c>
      <c r="AY126" s="179">
        <v>0.0</v>
      </c>
      <c r="AZ126" s="178" t="str">
        <f t="shared" si="71"/>
        <v>#DIV/0!</v>
      </c>
      <c r="BA126" s="181" t="str">
        <f t="shared" si="72"/>
        <v>#DIV/0!</v>
      </c>
      <c r="BB126" s="164"/>
      <c r="BC126" s="150" t="s">
        <v>130</v>
      </c>
      <c r="BD126" s="151">
        <v>44340.0</v>
      </c>
      <c r="BE126" s="176">
        <v>0.0</v>
      </c>
      <c r="BF126" s="177">
        <v>0.0</v>
      </c>
      <c r="BG126" s="178" t="str">
        <f t="shared" si="73"/>
        <v>#DIV/0!</v>
      </c>
      <c r="BH126" s="179">
        <v>0.0</v>
      </c>
      <c r="BI126" s="180" t="str">
        <f t="shared" si="74"/>
        <v>#DIV/0!</v>
      </c>
      <c r="BJ126" s="179">
        <v>0.0</v>
      </c>
      <c r="BK126" s="178" t="str">
        <f t="shared" si="75"/>
        <v>#DIV/0!</v>
      </c>
      <c r="BL126" s="179">
        <v>0.0</v>
      </c>
      <c r="BM126" s="178" t="str">
        <f t="shared" si="76"/>
        <v>#DIV/0!</v>
      </c>
      <c r="BN126" s="181" t="str">
        <f t="shared" si="77"/>
        <v>#DIV/0!</v>
      </c>
      <c r="BO126" s="169"/>
    </row>
    <row r="127" ht="15.75" customHeight="1">
      <c r="G127" s="51"/>
      <c r="H127" s="51"/>
      <c r="I127" s="51"/>
      <c r="J127" s="51"/>
      <c r="K127" s="51"/>
      <c r="L127" s="51"/>
      <c r="M127" s="51"/>
      <c r="N127" s="150" t="s">
        <v>131</v>
      </c>
      <c r="O127" s="151">
        <v>44341.0</v>
      </c>
      <c r="P127" s="176">
        <v>0.0</v>
      </c>
      <c r="Q127" s="177">
        <v>0.0</v>
      </c>
      <c r="R127" s="178">
        <v>0.0</v>
      </c>
      <c r="S127" s="179">
        <v>0.0</v>
      </c>
      <c r="T127" s="180">
        <v>0.0</v>
      </c>
      <c r="U127" s="179">
        <v>0.0</v>
      </c>
      <c r="V127" s="178">
        <v>0.0</v>
      </c>
      <c r="W127" s="179">
        <v>0.0</v>
      </c>
      <c r="X127" s="178">
        <v>0.0</v>
      </c>
      <c r="Y127" s="181" t="str">
        <f t="shared" si="78"/>
        <v>#DIV/0!</v>
      </c>
      <c r="Z127" s="185" t="str">
        <f t="shared" si="62"/>
        <v>#DIV/0!</v>
      </c>
      <c r="AA127" s="164"/>
      <c r="AB127" s="150" t="s">
        <v>131</v>
      </c>
      <c r="AC127" s="151">
        <v>44341.0</v>
      </c>
      <c r="AD127" s="176">
        <v>0.0</v>
      </c>
      <c r="AE127" s="177">
        <v>0.0</v>
      </c>
      <c r="AF127" s="178" t="str">
        <f t="shared" si="63"/>
        <v>#DIV/0!</v>
      </c>
      <c r="AG127" s="179">
        <v>0.0</v>
      </c>
      <c r="AH127" s="180" t="str">
        <f t="shared" si="64"/>
        <v>#DIV/0!</v>
      </c>
      <c r="AI127" s="179">
        <v>0.0</v>
      </c>
      <c r="AJ127" s="178" t="str">
        <f t="shared" si="65"/>
        <v>#DIV/0!</v>
      </c>
      <c r="AK127" s="179">
        <v>0.0</v>
      </c>
      <c r="AL127" s="178" t="str">
        <f t="shared" si="66"/>
        <v>#DIV/0!</v>
      </c>
      <c r="AM127" s="181" t="str">
        <f t="shared" si="67"/>
        <v>#DIV/0!</v>
      </c>
      <c r="AN127" s="169"/>
      <c r="AO127" s="164"/>
      <c r="AP127" s="150" t="s">
        <v>131</v>
      </c>
      <c r="AQ127" s="151">
        <v>44341.0</v>
      </c>
      <c r="AR127" s="176">
        <v>0.0</v>
      </c>
      <c r="AS127" s="177">
        <v>0.0</v>
      </c>
      <c r="AT127" s="178" t="str">
        <f t="shared" si="68"/>
        <v>#DIV/0!</v>
      </c>
      <c r="AU127" s="179">
        <v>0.0</v>
      </c>
      <c r="AV127" s="180" t="str">
        <f t="shared" si="69"/>
        <v>#DIV/0!</v>
      </c>
      <c r="AW127" s="179">
        <v>0.0</v>
      </c>
      <c r="AX127" s="178" t="str">
        <f t="shared" si="70"/>
        <v>#DIV/0!</v>
      </c>
      <c r="AY127" s="179">
        <v>0.0</v>
      </c>
      <c r="AZ127" s="178" t="str">
        <f t="shared" si="71"/>
        <v>#DIV/0!</v>
      </c>
      <c r="BA127" s="181" t="str">
        <f t="shared" si="72"/>
        <v>#DIV/0!</v>
      </c>
      <c r="BB127" s="164"/>
      <c r="BC127" s="150" t="s">
        <v>131</v>
      </c>
      <c r="BD127" s="151">
        <v>44341.0</v>
      </c>
      <c r="BE127" s="176">
        <v>0.0</v>
      </c>
      <c r="BF127" s="177">
        <v>0.0</v>
      </c>
      <c r="BG127" s="178" t="str">
        <f t="shared" si="73"/>
        <v>#DIV/0!</v>
      </c>
      <c r="BH127" s="179">
        <v>0.0</v>
      </c>
      <c r="BI127" s="180" t="str">
        <f t="shared" si="74"/>
        <v>#DIV/0!</v>
      </c>
      <c r="BJ127" s="179">
        <v>0.0</v>
      </c>
      <c r="BK127" s="178" t="str">
        <f t="shared" si="75"/>
        <v>#DIV/0!</v>
      </c>
      <c r="BL127" s="179">
        <v>0.0</v>
      </c>
      <c r="BM127" s="178" t="str">
        <f t="shared" si="76"/>
        <v>#DIV/0!</v>
      </c>
      <c r="BN127" s="181" t="str">
        <f t="shared" si="77"/>
        <v>#DIV/0!</v>
      </c>
      <c r="BO127" s="169"/>
    </row>
    <row r="128" ht="15.75" customHeight="1">
      <c r="B128" s="167" t="s">
        <v>148</v>
      </c>
      <c r="E128" s="175" t="str">
        <f>SUM(E118/E124)</f>
        <v>#REF!</v>
      </c>
      <c r="G128" s="51"/>
      <c r="H128" s="51"/>
      <c r="I128" s="51"/>
      <c r="J128" s="51"/>
      <c r="K128" s="51"/>
      <c r="L128" s="51"/>
      <c r="M128" s="51"/>
      <c r="N128" s="150" t="s">
        <v>134</v>
      </c>
      <c r="O128" s="151">
        <v>44342.0</v>
      </c>
      <c r="P128" s="176">
        <v>0.0</v>
      </c>
      <c r="Q128" s="177">
        <v>0.0</v>
      </c>
      <c r="R128" s="178">
        <v>0.0</v>
      </c>
      <c r="S128" s="179">
        <v>0.0</v>
      </c>
      <c r="T128" s="180">
        <v>0.0</v>
      </c>
      <c r="U128" s="179">
        <v>0.0</v>
      </c>
      <c r="V128" s="178">
        <v>0.0</v>
      </c>
      <c r="W128" s="179">
        <v>0.0</v>
      </c>
      <c r="X128" s="178">
        <v>0.0</v>
      </c>
      <c r="Y128" s="181" t="str">
        <f t="shared" si="78"/>
        <v>#DIV/0!</v>
      </c>
      <c r="Z128" s="185" t="str">
        <f t="shared" si="62"/>
        <v>#DIV/0!</v>
      </c>
      <c r="AA128" s="164"/>
      <c r="AB128" s="150" t="s">
        <v>134</v>
      </c>
      <c r="AC128" s="151">
        <v>44342.0</v>
      </c>
      <c r="AD128" s="176">
        <v>0.0</v>
      </c>
      <c r="AE128" s="177">
        <v>0.0</v>
      </c>
      <c r="AF128" s="178" t="str">
        <f t="shared" si="63"/>
        <v>#DIV/0!</v>
      </c>
      <c r="AG128" s="179">
        <v>0.0</v>
      </c>
      <c r="AH128" s="180" t="str">
        <f t="shared" si="64"/>
        <v>#DIV/0!</v>
      </c>
      <c r="AI128" s="179">
        <v>0.0</v>
      </c>
      <c r="AJ128" s="178" t="str">
        <f t="shared" si="65"/>
        <v>#DIV/0!</v>
      </c>
      <c r="AK128" s="179">
        <v>0.0</v>
      </c>
      <c r="AL128" s="178" t="str">
        <f t="shared" si="66"/>
        <v>#DIV/0!</v>
      </c>
      <c r="AM128" s="181" t="str">
        <f t="shared" si="67"/>
        <v>#DIV/0!</v>
      </c>
      <c r="AN128" s="169"/>
      <c r="AO128" s="164"/>
      <c r="AP128" s="150" t="s">
        <v>134</v>
      </c>
      <c r="AQ128" s="151">
        <v>44342.0</v>
      </c>
      <c r="AR128" s="176">
        <v>0.0</v>
      </c>
      <c r="AS128" s="177">
        <v>0.0</v>
      </c>
      <c r="AT128" s="178" t="str">
        <f t="shared" si="68"/>
        <v>#DIV/0!</v>
      </c>
      <c r="AU128" s="179">
        <v>0.0</v>
      </c>
      <c r="AV128" s="180" t="str">
        <f t="shared" si="69"/>
        <v>#DIV/0!</v>
      </c>
      <c r="AW128" s="179">
        <v>0.0</v>
      </c>
      <c r="AX128" s="178" t="str">
        <f t="shared" si="70"/>
        <v>#DIV/0!</v>
      </c>
      <c r="AY128" s="179">
        <v>0.0</v>
      </c>
      <c r="AZ128" s="178" t="str">
        <f t="shared" si="71"/>
        <v>#DIV/0!</v>
      </c>
      <c r="BA128" s="181" t="str">
        <f t="shared" si="72"/>
        <v>#DIV/0!</v>
      </c>
      <c r="BB128" s="164"/>
      <c r="BC128" s="150" t="s">
        <v>134</v>
      </c>
      <c r="BD128" s="151">
        <v>44342.0</v>
      </c>
      <c r="BE128" s="176">
        <v>0.0</v>
      </c>
      <c r="BF128" s="177">
        <v>0.0</v>
      </c>
      <c r="BG128" s="178" t="str">
        <f t="shared" si="73"/>
        <v>#DIV/0!</v>
      </c>
      <c r="BH128" s="179">
        <v>0.0</v>
      </c>
      <c r="BI128" s="180" t="str">
        <f t="shared" si="74"/>
        <v>#DIV/0!</v>
      </c>
      <c r="BJ128" s="179">
        <v>0.0</v>
      </c>
      <c r="BK128" s="178" t="str">
        <f t="shared" si="75"/>
        <v>#DIV/0!</v>
      </c>
      <c r="BL128" s="179">
        <v>0.0</v>
      </c>
      <c r="BM128" s="178" t="str">
        <f t="shared" si="76"/>
        <v>#DIV/0!</v>
      </c>
      <c r="BN128" s="181" t="str">
        <f t="shared" si="77"/>
        <v>#DIV/0!</v>
      </c>
      <c r="BO128" s="169"/>
    </row>
    <row r="129" ht="15.75" customHeight="1">
      <c r="G129" s="51"/>
      <c r="H129" s="51"/>
      <c r="I129" s="51"/>
      <c r="J129" s="51"/>
      <c r="K129" s="51"/>
      <c r="L129" s="51"/>
      <c r="M129" s="51"/>
      <c r="N129" s="150" t="s">
        <v>135</v>
      </c>
      <c r="O129" s="151">
        <v>44343.0</v>
      </c>
      <c r="P129" s="176">
        <v>0.0</v>
      </c>
      <c r="Q129" s="177">
        <v>0.0</v>
      </c>
      <c r="R129" s="178">
        <v>0.0</v>
      </c>
      <c r="S129" s="179">
        <v>0.0</v>
      </c>
      <c r="T129" s="180">
        <v>0.0</v>
      </c>
      <c r="U129" s="179">
        <v>0.0</v>
      </c>
      <c r="V129" s="178">
        <v>0.0</v>
      </c>
      <c r="W129" s="179">
        <v>0.0</v>
      </c>
      <c r="X129" s="178">
        <v>0.0</v>
      </c>
      <c r="Y129" s="181" t="str">
        <f t="shared" si="78"/>
        <v>#DIV/0!</v>
      </c>
      <c r="Z129" s="185" t="str">
        <f t="shared" si="62"/>
        <v>#DIV/0!</v>
      </c>
      <c r="AA129" s="164"/>
      <c r="AB129" s="150" t="s">
        <v>135</v>
      </c>
      <c r="AC129" s="151">
        <v>44343.0</v>
      </c>
      <c r="AD129" s="176">
        <v>0.0</v>
      </c>
      <c r="AE129" s="177">
        <v>0.0</v>
      </c>
      <c r="AF129" s="178" t="str">
        <f t="shared" si="63"/>
        <v>#DIV/0!</v>
      </c>
      <c r="AG129" s="179">
        <v>0.0</v>
      </c>
      <c r="AH129" s="180" t="str">
        <f t="shared" si="64"/>
        <v>#DIV/0!</v>
      </c>
      <c r="AI129" s="179">
        <v>0.0</v>
      </c>
      <c r="AJ129" s="178" t="str">
        <f t="shared" si="65"/>
        <v>#DIV/0!</v>
      </c>
      <c r="AK129" s="179">
        <v>0.0</v>
      </c>
      <c r="AL129" s="178" t="str">
        <f t="shared" si="66"/>
        <v>#DIV/0!</v>
      </c>
      <c r="AM129" s="181" t="str">
        <f t="shared" si="67"/>
        <v>#DIV/0!</v>
      </c>
      <c r="AN129" s="169"/>
      <c r="AO129" s="164"/>
      <c r="AP129" s="150" t="s">
        <v>135</v>
      </c>
      <c r="AQ129" s="151">
        <v>44343.0</v>
      </c>
      <c r="AR129" s="176">
        <v>0.0</v>
      </c>
      <c r="AS129" s="177">
        <v>0.0</v>
      </c>
      <c r="AT129" s="178" t="str">
        <f t="shared" si="68"/>
        <v>#DIV/0!</v>
      </c>
      <c r="AU129" s="179">
        <v>0.0</v>
      </c>
      <c r="AV129" s="180" t="str">
        <f t="shared" si="69"/>
        <v>#DIV/0!</v>
      </c>
      <c r="AW129" s="179">
        <v>0.0</v>
      </c>
      <c r="AX129" s="178" t="str">
        <f t="shared" si="70"/>
        <v>#DIV/0!</v>
      </c>
      <c r="AY129" s="179">
        <v>0.0</v>
      </c>
      <c r="AZ129" s="178" t="str">
        <f t="shared" si="71"/>
        <v>#DIV/0!</v>
      </c>
      <c r="BA129" s="181" t="str">
        <f t="shared" si="72"/>
        <v>#DIV/0!</v>
      </c>
      <c r="BB129" s="164"/>
      <c r="BC129" s="150" t="s">
        <v>135</v>
      </c>
      <c r="BD129" s="151">
        <v>44343.0</v>
      </c>
      <c r="BE129" s="176">
        <v>0.0</v>
      </c>
      <c r="BF129" s="177">
        <v>0.0</v>
      </c>
      <c r="BG129" s="178" t="str">
        <f t="shared" si="73"/>
        <v>#DIV/0!</v>
      </c>
      <c r="BH129" s="179">
        <v>0.0</v>
      </c>
      <c r="BI129" s="180" t="str">
        <f t="shared" si="74"/>
        <v>#DIV/0!</v>
      </c>
      <c r="BJ129" s="179">
        <v>0.0</v>
      </c>
      <c r="BK129" s="178" t="str">
        <f t="shared" si="75"/>
        <v>#DIV/0!</v>
      </c>
      <c r="BL129" s="179">
        <v>0.0</v>
      </c>
      <c r="BM129" s="178" t="str">
        <f t="shared" si="76"/>
        <v>#DIV/0!</v>
      </c>
      <c r="BN129" s="181" t="str">
        <f t="shared" si="77"/>
        <v>#DIV/0!</v>
      </c>
      <c r="BO129" s="169"/>
    </row>
    <row r="130" ht="15.75" customHeight="1">
      <c r="B130" s="167" t="s">
        <v>149</v>
      </c>
      <c r="E130" s="82" t="str">
        <f>(E120*10%)/E124</f>
        <v>#REF!</v>
      </c>
      <c r="G130" s="51"/>
      <c r="H130" s="51"/>
      <c r="I130" s="51"/>
      <c r="J130" s="51"/>
      <c r="K130" s="51"/>
      <c r="L130" s="51"/>
      <c r="M130" s="51"/>
      <c r="N130" s="150" t="s">
        <v>123</v>
      </c>
      <c r="O130" s="151">
        <v>44344.0</v>
      </c>
      <c r="P130" s="176">
        <v>0.0</v>
      </c>
      <c r="Q130" s="177">
        <v>0.0</v>
      </c>
      <c r="R130" s="178">
        <v>0.0</v>
      </c>
      <c r="S130" s="179">
        <v>0.0</v>
      </c>
      <c r="T130" s="180">
        <v>0.0</v>
      </c>
      <c r="U130" s="179">
        <v>0.0</v>
      </c>
      <c r="V130" s="178">
        <v>0.0</v>
      </c>
      <c r="W130" s="179">
        <v>0.0</v>
      </c>
      <c r="X130" s="178">
        <v>0.0</v>
      </c>
      <c r="Y130" s="181" t="str">
        <f t="shared" si="78"/>
        <v>#DIV/0!</v>
      </c>
      <c r="Z130" s="185" t="str">
        <f t="shared" si="62"/>
        <v>#DIV/0!</v>
      </c>
      <c r="AA130" s="164"/>
      <c r="AB130" s="150" t="s">
        <v>123</v>
      </c>
      <c r="AC130" s="151">
        <v>44344.0</v>
      </c>
      <c r="AD130" s="176">
        <v>0.0</v>
      </c>
      <c r="AE130" s="177">
        <v>0.0</v>
      </c>
      <c r="AF130" s="178" t="str">
        <f t="shared" si="63"/>
        <v>#DIV/0!</v>
      </c>
      <c r="AG130" s="179">
        <v>0.0</v>
      </c>
      <c r="AH130" s="180" t="str">
        <f t="shared" si="64"/>
        <v>#DIV/0!</v>
      </c>
      <c r="AI130" s="179">
        <v>0.0</v>
      </c>
      <c r="AJ130" s="178" t="str">
        <f t="shared" si="65"/>
        <v>#DIV/0!</v>
      </c>
      <c r="AK130" s="179">
        <v>0.0</v>
      </c>
      <c r="AL130" s="178" t="str">
        <f t="shared" si="66"/>
        <v>#DIV/0!</v>
      </c>
      <c r="AM130" s="181" t="str">
        <f t="shared" si="67"/>
        <v>#DIV/0!</v>
      </c>
      <c r="AN130" s="169"/>
      <c r="AO130" s="164"/>
      <c r="AP130" s="150" t="s">
        <v>123</v>
      </c>
      <c r="AQ130" s="151">
        <v>44344.0</v>
      </c>
      <c r="AR130" s="176">
        <v>0.0</v>
      </c>
      <c r="AS130" s="177">
        <v>0.0</v>
      </c>
      <c r="AT130" s="178" t="str">
        <f t="shared" si="68"/>
        <v>#DIV/0!</v>
      </c>
      <c r="AU130" s="179">
        <v>0.0</v>
      </c>
      <c r="AV130" s="180" t="str">
        <f t="shared" si="69"/>
        <v>#DIV/0!</v>
      </c>
      <c r="AW130" s="179">
        <v>0.0</v>
      </c>
      <c r="AX130" s="178" t="str">
        <f t="shared" si="70"/>
        <v>#DIV/0!</v>
      </c>
      <c r="AY130" s="179">
        <v>0.0</v>
      </c>
      <c r="AZ130" s="178" t="str">
        <f t="shared" si="71"/>
        <v>#DIV/0!</v>
      </c>
      <c r="BA130" s="181" t="str">
        <f t="shared" si="72"/>
        <v>#DIV/0!</v>
      </c>
      <c r="BB130" s="164"/>
      <c r="BC130" s="150" t="s">
        <v>123</v>
      </c>
      <c r="BD130" s="151">
        <v>44344.0</v>
      </c>
      <c r="BE130" s="176">
        <v>0.0</v>
      </c>
      <c r="BF130" s="177">
        <v>0.0</v>
      </c>
      <c r="BG130" s="178" t="str">
        <f t="shared" si="73"/>
        <v>#DIV/0!</v>
      </c>
      <c r="BH130" s="179">
        <v>0.0</v>
      </c>
      <c r="BI130" s="180" t="str">
        <f t="shared" si="74"/>
        <v>#DIV/0!</v>
      </c>
      <c r="BJ130" s="179">
        <v>0.0</v>
      </c>
      <c r="BK130" s="178" t="str">
        <f t="shared" si="75"/>
        <v>#DIV/0!</v>
      </c>
      <c r="BL130" s="179">
        <v>0.0</v>
      </c>
      <c r="BM130" s="178" t="str">
        <f t="shared" si="76"/>
        <v>#DIV/0!</v>
      </c>
      <c r="BN130" s="181" t="str">
        <f t="shared" si="77"/>
        <v>#DIV/0!</v>
      </c>
      <c r="BO130" s="169"/>
    </row>
    <row r="131" ht="15.75" customHeight="1">
      <c r="G131" s="51"/>
      <c r="H131" s="51"/>
      <c r="I131" s="51"/>
      <c r="J131" s="51"/>
      <c r="K131" s="51"/>
      <c r="L131" s="51"/>
      <c r="M131" s="51"/>
      <c r="N131" s="150" t="s">
        <v>126</v>
      </c>
      <c r="O131" s="151">
        <v>44345.0</v>
      </c>
      <c r="P131" s="176">
        <v>0.0</v>
      </c>
      <c r="Q131" s="177">
        <v>0.0</v>
      </c>
      <c r="R131" s="178">
        <v>0.0</v>
      </c>
      <c r="S131" s="179">
        <v>0.0</v>
      </c>
      <c r="T131" s="180">
        <v>0.0</v>
      </c>
      <c r="U131" s="179">
        <v>0.0</v>
      </c>
      <c r="V131" s="178">
        <v>0.0</v>
      </c>
      <c r="W131" s="179">
        <v>0.0</v>
      </c>
      <c r="X131" s="178">
        <v>0.0</v>
      </c>
      <c r="Y131" s="181" t="str">
        <f t="shared" si="78"/>
        <v>#DIV/0!</v>
      </c>
      <c r="Z131" s="185" t="str">
        <f t="shared" si="62"/>
        <v>#DIV/0!</v>
      </c>
      <c r="AA131" s="164"/>
      <c r="AB131" s="150" t="s">
        <v>126</v>
      </c>
      <c r="AC131" s="151">
        <v>44345.0</v>
      </c>
      <c r="AD131" s="176">
        <v>0.0</v>
      </c>
      <c r="AE131" s="177">
        <v>0.0</v>
      </c>
      <c r="AF131" s="178" t="str">
        <f t="shared" si="63"/>
        <v>#DIV/0!</v>
      </c>
      <c r="AG131" s="179">
        <v>0.0</v>
      </c>
      <c r="AH131" s="180" t="str">
        <f t="shared" si="64"/>
        <v>#DIV/0!</v>
      </c>
      <c r="AI131" s="179">
        <v>0.0</v>
      </c>
      <c r="AJ131" s="178" t="str">
        <f t="shared" si="65"/>
        <v>#DIV/0!</v>
      </c>
      <c r="AK131" s="179">
        <v>0.0</v>
      </c>
      <c r="AL131" s="178" t="str">
        <f t="shared" si="66"/>
        <v>#DIV/0!</v>
      </c>
      <c r="AM131" s="181" t="str">
        <f t="shared" si="67"/>
        <v>#DIV/0!</v>
      </c>
      <c r="AN131" s="169"/>
      <c r="AO131" s="164"/>
      <c r="AP131" s="150" t="s">
        <v>126</v>
      </c>
      <c r="AQ131" s="151">
        <v>44345.0</v>
      </c>
      <c r="AR131" s="176">
        <v>0.0</v>
      </c>
      <c r="AS131" s="177">
        <v>0.0</v>
      </c>
      <c r="AT131" s="178" t="str">
        <f t="shared" si="68"/>
        <v>#DIV/0!</v>
      </c>
      <c r="AU131" s="179">
        <v>0.0</v>
      </c>
      <c r="AV131" s="180" t="str">
        <f t="shared" si="69"/>
        <v>#DIV/0!</v>
      </c>
      <c r="AW131" s="179">
        <v>0.0</v>
      </c>
      <c r="AX131" s="178" t="str">
        <f t="shared" si="70"/>
        <v>#DIV/0!</v>
      </c>
      <c r="AY131" s="179">
        <v>0.0</v>
      </c>
      <c r="AZ131" s="178" t="str">
        <f t="shared" si="71"/>
        <v>#DIV/0!</v>
      </c>
      <c r="BA131" s="181" t="str">
        <f t="shared" si="72"/>
        <v>#DIV/0!</v>
      </c>
      <c r="BB131" s="164"/>
      <c r="BC131" s="150" t="s">
        <v>126</v>
      </c>
      <c r="BD131" s="151">
        <v>44345.0</v>
      </c>
      <c r="BE131" s="176">
        <v>0.0</v>
      </c>
      <c r="BF131" s="177">
        <v>0.0</v>
      </c>
      <c r="BG131" s="178" t="str">
        <f t="shared" si="73"/>
        <v>#DIV/0!</v>
      </c>
      <c r="BH131" s="179">
        <v>0.0</v>
      </c>
      <c r="BI131" s="180" t="str">
        <f t="shared" si="74"/>
        <v>#DIV/0!</v>
      </c>
      <c r="BJ131" s="179">
        <v>0.0</v>
      </c>
      <c r="BK131" s="178" t="str">
        <f t="shared" si="75"/>
        <v>#DIV/0!</v>
      </c>
      <c r="BL131" s="179">
        <v>0.0</v>
      </c>
      <c r="BM131" s="178" t="str">
        <f t="shared" si="76"/>
        <v>#DIV/0!</v>
      </c>
      <c r="BN131" s="181" t="str">
        <f t="shared" si="77"/>
        <v>#DIV/0!</v>
      </c>
      <c r="BO131" s="169"/>
    </row>
    <row r="132" ht="15.75" customHeight="1">
      <c r="B132" s="51"/>
      <c r="C132" s="51"/>
      <c r="D132" s="51"/>
      <c r="E132" s="51"/>
      <c r="F132" s="51"/>
      <c r="G132" s="51"/>
      <c r="H132" s="51"/>
      <c r="I132" s="51"/>
      <c r="J132" s="51"/>
      <c r="K132" s="51"/>
      <c r="L132" s="51"/>
      <c r="M132" s="51"/>
      <c r="N132" s="150" t="s">
        <v>127</v>
      </c>
      <c r="O132" s="151">
        <v>44346.0</v>
      </c>
      <c r="P132" s="176">
        <v>0.0</v>
      </c>
      <c r="Q132" s="177">
        <v>0.0</v>
      </c>
      <c r="R132" s="178">
        <v>0.0</v>
      </c>
      <c r="S132" s="179">
        <v>0.0</v>
      </c>
      <c r="T132" s="180">
        <v>0.0</v>
      </c>
      <c r="U132" s="179">
        <v>0.0</v>
      </c>
      <c r="V132" s="178">
        <v>0.0</v>
      </c>
      <c r="W132" s="179">
        <v>0.0</v>
      </c>
      <c r="X132" s="178">
        <v>0.0</v>
      </c>
      <c r="Y132" s="181" t="str">
        <f t="shared" si="78"/>
        <v>#DIV/0!</v>
      </c>
      <c r="Z132" s="185" t="str">
        <f t="shared" si="62"/>
        <v>#DIV/0!</v>
      </c>
      <c r="AA132" s="164"/>
      <c r="AB132" s="150" t="s">
        <v>127</v>
      </c>
      <c r="AC132" s="151">
        <v>44346.0</v>
      </c>
      <c r="AD132" s="176">
        <v>0.0</v>
      </c>
      <c r="AE132" s="177">
        <v>0.0</v>
      </c>
      <c r="AF132" s="178" t="str">
        <f t="shared" si="63"/>
        <v>#DIV/0!</v>
      </c>
      <c r="AG132" s="179">
        <v>0.0</v>
      </c>
      <c r="AH132" s="180" t="str">
        <f t="shared" si="64"/>
        <v>#DIV/0!</v>
      </c>
      <c r="AI132" s="179">
        <v>0.0</v>
      </c>
      <c r="AJ132" s="178" t="str">
        <f t="shared" si="65"/>
        <v>#DIV/0!</v>
      </c>
      <c r="AK132" s="179">
        <v>0.0</v>
      </c>
      <c r="AL132" s="178" t="str">
        <f t="shared" si="66"/>
        <v>#DIV/0!</v>
      </c>
      <c r="AM132" s="181" t="str">
        <f t="shared" si="67"/>
        <v>#DIV/0!</v>
      </c>
      <c r="AN132" s="169"/>
      <c r="AO132" s="164"/>
      <c r="AP132" s="150" t="s">
        <v>127</v>
      </c>
      <c r="AQ132" s="151">
        <v>44346.0</v>
      </c>
      <c r="AR132" s="176">
        <v>0.0</v>
      </c>
      <c r="AS132" s="177">
        <v>0.0</v>
      </c>
      <c r="AT132" s="178" t="str">
        <f t="shared" si="68"/>
        <v>#DIV/0!</v>
      </c>
      <c r="AU132" s="179">
        <v>0.0</v>
      </c>
      <c r="AV132" s="180" t="str">
        <f t="shared" si="69"/>
        <v>#DIV/0!</v>
      </c>
      <c r="AW132" s="179">
        <v>0.0</v>
      </c>
      <c r="AX132" s="178" t="str">
        <f t="shared" si="70"/>
        <v>#DIV/0!</v>
      </c>
      <c r="AY132" s="179">
        <v>0.0</v>
      </c>
      <c r="AZ132" s="178" t="str">
        <f t="shared" si="71"/>
        <v>#DIV/0!</v>
      </c>
      <c r="BA132" s="181" t="str">
        <f t="shared" si="72"/>
        <v>#DIV/0!</v>
      </c>
      <c r="BB132" s="164"/>
      <c r="BC132" s="150" t="s">
        <v>127</v>
      </c>
      <c r="BD132" s="151">
        <v>44346.0</v>
      </c>
      <c r="BE132" s="176">
        <v>0.0</v>
      </c>
      <c r="BF132" s="177">
        <v>0.0</v>
      </c>
      <c r="BG132" s="178" t="str">
        <f t="shared" si="73"/>
        <v>#DIV/0!</v>
      </c>
      <c r="BH132" s="179">
        <v>0.0</v>
      </c>
      <c r="BI132" s="180" t="str">
        <f t="shared" si="74"/>
        <v>#DIV/0!</v>
      </c>
      <c r="BJ132" s="179">
        <v>0.0</v>
      </c>
      <c r="BK132" s="178" t="str">
        <f t="shared" si="75"/>
        <v>#DIV/0!</v>
      </c>
      <c r="BL132" s="179">
        <v>0.0</v>
      </c>
      <c r="BM132" s="178" t="str">
        <f t="shared" si="76"/>
        <v>#DIV/0!</v>
      </c>
      <c r="BN132" s="181" t="str">
        <f t="shared" si="77"/>
        <v>#DIV/0!</v>
      </c>
      <c r="BO132" s="169"/>
    </row>
    <row r="133" ht="15.75" customHeight="1">
      <c r="N133" s="150" t="s">
        <v>130</v>
      </c>
      <c r="O133" s="151">
        <v>44347.0</v>
      </c>
      <c r="P133" s="176">
        <v>0.0</v>
      </c>
      <c r="Q133" s="177">
        <v>0.0</v>
      </c>
      <c r="R133" s="178">
        <v>0.0</v>
      </c>
      <c r="S133" s="179">
        <v>0.0</v>
      </c>
      <c r="T133" s="180">
        <v>0.0</v>
      </c>
      <c r="U133" s="179">
        <v>0.0</v>
      </c>
      <c r="V133" s="178">
        <v>0.0</v>
      </c>
      <c r="W133" s="179">
        <v>0.0</v>
      </c>
      <c r="X133" s="178">
        <v>0.0</v>
      </c>
      <c r="Y133" s="181" t="str">
        <f t="shared" si="78"/>
        <v>#DIV/0!</v>
      </c>
      <c r="Z133" s="185" t="str">
        <f t="shared" si="62"/>
        <v>#DIV/0!</v>
      </c>
      <c r="AA133" s="164"/>
      <c r="AB133" s="150" t="s">
        <v>130</v>
      </c>
      <c r="AC133" s="151">
        <v>44347.0</v>
      </c>
      <c r="AD133" s="176">
        <v>0.0</v>
      </c>
      <c r="AE133" s="177">
        <v>0.0</v>
      </c>
      <c r="AF133" s="178" t="str">
        <f t="shared" si="63"/>
        <v>#DIV/0!</v>
      </c>
      <c r="AG133" s="179">
        <v>0.0</v>
      </c>
      <c r="AH133" s="180" t="str">
        <f t="shared" si="64"/>
        <v>#DIV/0!</v>
      </c>
      <c r="AI133" s="179">
        <v>0.0</v>
      </c>
      <c r="AJ133" s="178" t="str">
        <f t="shared" si="65"/>
        <v>#DIV/0!</v>
      </c>
      <c r="AK133" s="179">
        <v>0.0</v>
      </c>
      <c r="AL133" s="178" t="str">
        <f t="shared" si="66"/>
        <v>#DIV/0!</v>
      </c>
      <c r="AM133" s="181" t="str">
        <f t="shared" si="67"/>
        <v>#DIV/0!</v>
      </c>
      <c r="AN133" s="169"/>
      <c r="AO133" s="164"/>
      <c r="AP133" s="150" t="s">
        <v>130</v>
      </c>
      <c r="AQ133" s="151">
        <v>44347.0</v>
      </c>
      <c r="AR133" s="176">
        <v>0.0</v>
      </c>
      <c r="AS133" s="177">
        <v>0.0</v>
      </c>
      <c r="AT133" s="178" t="str">
        <f t="shared" si="68"/>
        <v>#DIV/0!</v>
      </c>
      <c r="AU133" s="179">
        <v>0.0</v>
      </c>
      <c r="AV133" s="180" t="str">
        <f t="shared" si="69"/>
        <v>#DIV/0!</v>
      </c>
      <c r="AW133" s="179">
        <v>0.0</v>
      </c>
      <c r="AX133" s="178" t="str">
        <f t="shared" si="70"/>
        <v>#DIV/0!</v>
      </c>
      <c r="AY133" s="179">
        <v>0.0</v>
      </c>
      <c r="AZ133" s="178" t="str">
        <f t="shared" si="71"/>
        <v>#DIV/0!</v>
      </c>
      <c r="BA133" s="181" t="str">
        <f t="shared" si="72"/>
        <v>#DIV/0!</v>
      </c>
      <c r="BB133" s="164"/>
      <c r="BC133" s="150" t="s">
        <v>130</v>
      </c>
      <c r="BD133" s="151">
        <v>44347.0</v>
      </c>
      <c r="BE133" s="176">
        <v>0.0</v>
      </c>
      <c r="BF133" s="177">
        <v>0.0</v>
      </c>
      <c r="BG133" s="178" t="str">
        <f t="shared" si="73"/>
        <v>#DIV/0!</v>
      </c>
      <c r="BH133" s="179">
        <v>0.0</v>
      </c>
      <c r="BI133" s="180" t="str">
        <f t="shared" si="74"/>
        <v>#DIV/0!</v>
      </c>
      <c r="BJ133" s="179">
        <v>0.0</v>
      </c>
      <c r="BK133" s="178" t="str">
        <f t="shared" si="75"/>
        <v>#DIV/0!</v>
      </c>
      <c r="BL133" s="179">
        <v>0.0</v>
      </c>
      <c r="BM133" s="178" t="str">
        <f t="shared" si="76"/>
        <v>#DIV/0!</v>
      </c>
      <c r="BN133" s="181" t="str">
        <f t="shared" si="77"/>
        <v>#DIV/0!</v>
      </c>
      <c r="BO133" s="169"/>
    </row>
    <row r="134" ht="15.75" customHeight="1">
      <c r="AK134" s="106"/>
    </row>
    <row r="135" ht="15.75" customHeight="1">
      <c r="AK135" s="106"/>
    </row>
    <row r="136" ht="15.75" customHeight="1">
      <c r="AK136" s="106"/>
    </row>
    <row r="137" ht="15.75" customHeight="1">
      <c r="AK137" s="106"/>
    </row>
    <row r="138" ht="15.75" customHeight="1">
      <c r="AK138" s="106"/>
    </row>
    <row r="139" ht="15.75" customHeight="1">
      <c r="N139" s="131"/>
      <c r="O139" s="132" t="s">
        <v>104</v>
      </c>
      <c r="AB139" s="131"/>
      <c r="AC139" s="132" t="s">
        <v>105</v>
      </c>
      <c r="AO139" s="133"/>
      <c r="AP139" s="131"/>
      <c r="AQ139" s="134" t="s">
        <v>106</v>
      </c>
      <c r="BC139" s="131"/>
      <c r="BD139" s="134" t="s">
        <v>107</v>
      </c>
    </row>
    <row r="140" ht="15.75" customHeight="1">
      <c r="N140" s="131"/>
      <c r="O140" s="136" t="s">
        <v>109</v>
      </c>
      <c r="P140" s="137" t="s">
        <v>110</v>
      </c>
      <c r="Q140" s="137" t="s">
        <v>111</v>
      </c>
      <c r="R140" s="137" t="s">
        <v>112</v>
      </c>
      <c r="S140" s="137" t="s">
        <v>113</v>
      </c>
      <c r="T140" s="137" t="s">
        <v>114</v>
      </c>
      <c r="U140" s="137" t="s">
        <v>115</v>
      </c>
      <c r="V140" s="137" t="s">
        <v>116</v>
      </c>
      <c r="W140" s="137" t="s">
        <v>117</v>
      </c>
      <c r="X140" s="137" t="s">
        <v>118</v>
      </c>
      <c r="Y140" s="136" t="s">
        <v>119</v>
      </c>
      <c r="Z140" s="137" t="s">
        <v>120</v>
      </c>
      <c r="AA140" s="136" t="s">
        <v>121</v>
      </c>
      <c r="AB140" s="131"/>
      <c r="AC140" s="136" t="s">
        <v>109</v>
      </c>
      <c r="AD140" s="137" t="s">
        <v>110</v>
      </c>
      <c r="AE140" s="137" t="s">
        <v>111</v>
      </c>
      <c r="AF140" s="137" t="s">
        <v>112</v>
      </c>
      <c r="AG140" s="137" t="s">
        <v>113</v>
      </c>
      <c r="AH140" s="137" t="s">
        <v>114</v>
      </c>
      <c r="AI140" s="137" t="s">
        <v>115</v>
      </c>
      <c r="AJ140" s="137" t="s">
        <v>116</v>
      </c>
      <c r="AK140" s="138" t="s">
        <v>117</v>
      </c>
      <c r="AL140" s="137" t="s">
        <v>118</v>
      </c>
      <c r="AM140" s="137" t="s">
        <v>122</v>
      </c>
      <c r="AN140" s="136" t="s">
        <v>121</v>
      </c>
      <c r="AO140" s="139"/>
      <c r="AP140" s="131"/>
      <c r="AQ140" s="136" t="s">
        <v>109</v>
      </c>
      <c r="AR140" s="137" t="s">
        <v>110</v>
      </c>
      <c r="AS140" s="137" t="s">
        <v>111</v>
      </c>
      <c r="AT140" s="137" t="s">
        <v>112</v>
      </c>
      <c r="AU140" s="137" t="s">
        <v>113</v>
      </c>
      <c r="AV140" s="137" t="s">
        <v>114</v>
      </c>
      <c r="AW140" s="137" t="s">
        <v>115</v>
      </c>
      <c r="AX140" s="137" t="s">
        <v>116</v>
      </c>
      <c r="AY140" s="137" t="s">
        <v>117</v>
      </c>
      <c r="AZ140" s="137" t="s">
        <v>118</v>
      </c>
      <c r="BA140" s="137" t="s">
        <v>122</v>
      </c>
      <c r="BB140" s="136" t="s">
        <v>121</v>
      </c>
      <c r="BC140" s="131"/>
      <c r="BD140" s="136" t="s">
        <v>109</v>
      </c>
      <c r="BE140" s="137" t="s">
        <v>110</v>
      </c>
      <c r="BF140" s="137" t="s">
        <v>111</v>
      </c>
      <c r="BG140" s="137" t="s">
        <v>112</v>
      </c>
      <c r="BH140" s="137" t="s">
        <v>113</v>
      </c>
      <c r="BI140" s="137" t="s">
        <v>114</v>
      </c>
      <c r="BJ140" s="137" t="s">
        <v>115</v>
      </c>
      <c r="BK140" s="137" t="s">
        <v>116</v>
      </c>
      <c r="BL140" s="137" t="s">
        <v>117</v>
      </c>
      <c r="BM140" s="137" t="s">
        <v>118</v>
      </c>
      <c r="BN140" s="137" t="s">
        <v>122</v>
      </c>
      <c r="BO140" s="136" t="s">
        <v>121</v>
      </c>
    </row>
    <row r="141" ht="15.75" customHeight="1">
      <c r="N141" s="131"/>
      <c r="P141" s="140">
        <f t="shared" ref="P141:Q141" si="79">SUM(P142:P172)</f>
        <v>587.18</v>
      </c>
      <c r="Q141" s="141">
        <f t="shared" si="79"/>
        <v>14</v>
      </c>
      <c r="R141" s="142">
        <f>P141/Q141</f>
        <v>41.94142857</v>
      </c>
      <c r="S141" s="143">
        <f>SUM(S142:S172)</f>
        <v>72</v>
      </c>
      <c r="T141" s="144">
        <f>P141/S141</f>
        <v>8.155277778</v>
      </c>
      <c r="U141" s="143">
        <f>SUM(U142:U172)</f>
        <v>220</v>
      </c>
      <c r="V141" s="142">
        <f>P141/U141</f>
        <v>2.669</v>
      </c>
      <c r="W141" s="143">
        <f>SUM(W142:W172)</f>
        <v>308</v>
      </c>
      <c r="X141" s="145">
        <f>P141/W141</f>
        <v>1.906428571</v>
      </c>
      <c r="Y141" s="146">
        <f t="shared" ref="Y141:Y172" si="83">U141/W141</f>
        <v>0.7142857143</v>
      </c>
      <c r="Z141" s="146">
        <f t="shared" ref="Z141:Z172" si="84">Q141/S141</f>
        <v>0.1944444444</v>
      </c>
      <c r="AB141" s="131"/>
      <c r="AD141" s="140">
        <f t="shared" ref="AD141:AE141" si="80">SUM(AD142:AD171)</f>
        <v>0</v>
      </c>
      <c r="AE141" s="141">
        <f t="shared" si="80"/>
        <v>0</v>
      </c>
      <c r="AF141" s="147" t="str">
        <f t="shared" ref="AF141:AF172" si="85">AD141/AE141</f>
        <v>#DIV/0!</v>
      </c>
      <c r="AG141" s="143">
        <f>SUM(AG142:AG171)</f>
        <v>0</v>
      </c>
      <c r="AH141" s="148" t="str">
        <f t="shared" ref="AH141:AH172" si="86">AD141/AG141</f>
        <v>#DIV/0!</v>
      </c>
      <c r="AI141" s="143">
        <f>SUM(AI142:AI171)</f>
        <v>0</v>
      </c>
      <c r="AJ141" s="142" t="str">
        <f t="shared" ref="AJ141:AJ172" si="87">AD141/AI141</f>
        <v>#DIV/0!</v>
      </c>
      <c r="AK141" s="143">
        <f>SUM(AK142:AK171)</f>
        <v>0</v>
      </c>
      <c r="AL141" s="145" t="str">
        <f t="shared" ref="AL141:AL172" si="88">AD141/AK141</f>
        <v>#DIV/0!</v>
      </c>
      <c r="AM141" s="149" t="str">
        <f t="shared" ref="AM141:AM172" si="89">AI141/AK141</f>
        <v>#DIV/0!</v>
      </c>
      <c r="AO141" s="139"/>
      <c r="AP141" s="131"/>
      <c r="AR141" s="140">
        <f t="shared" ref="AR141:AS141" si="81">SUM(AR142:AR171)</f>
        <v>0</v>
      </c>
      <c r="AS141" s="141">
        <f t="shared" si="81"/>
        <v>0</v>
      </c>
      <c r="AT141" s="142" t="str">
        <f t="shared" ref="AT141:AT172" si="90">AR141/AS141</f>
        <v>#DIV/0!</v>
      </c>
      <c r="AU141" s="143">
        <f>SUM(AU142:AU171)</f>
        <v>0</v>
      </c>
      <c r="AV141" s="144" t="str">
        <f t="shared" ref="AV141:AV172" si="91">AR141/AU141</f>
        <v>#DIV/0!</v>
      </c>
      <c r="AW141" s="143">
        <f>SUM(AW142:AW171)</f>
        <v>0</v>
      </c>
      <c r="AX141" s="142" t="str">
        <f t="shared" ref="AX141:AX172" si="92">AR141/AW141</f>
        <v>#DIV/0!</v>
      </c>
      <c r="AY141" s="143">
        <f>SUM(AY142:AY171)</f>
        <v>0</v>
      </c>
      <c r="AZ141" s="145" t="str">
        <f t="shared" ref="AZ141:AZ172" si="93">AR141/AY141</f>
        <v>#DIV/0!</v>
      </c>
      <c r="BA141" s="146" t="str">
        <f t="shared" ref="BA141:BA172" si="94">AW141/AY141</f>
        <v>#DIV/0!</v>
      </c>
      <c r="BC141" s="131"/>
      <c r="BE141" s="140">
        <f t="shared" ref="BE141:BF141" si="82">SUM(BE142:BE171)</f>
        <v>0</v>
      </c>
      <c r="BF141" s="141">
        <f t="shared" si="82"/>
        <v>0</v>
      </c>
      <c r="BG141" s="147" t="str">
        <f t="shared" ref="BG141:BG172" si="95">BE141/BF141</f>
        <v>#DIV/0!</v>
      </c>
      <c r="BH141" s="143">
        <f>SUM(BH142:BH171)</f>
        <v>0</v>
      </c>
      <c r="BI141" s="148" t="str">
        <f t="shared" ref="BI141:BI172" si="96">BE141/BH141</f>
        <v>#DIV/0!</v>
      </c>
      <c r="BJ141" s="143">
        <f>SUM(BJ142:BJ171)</f>
        <v>0</v>
      </c>
      <c r="BK141" s="142" t="str">
        <f t="shared" ref="BK141:BK172" si="97">BE141/BJ141</f>
        <v>#DIV/0!</v>
      </c>
      <c r="BL141" s="143">
        <f>SUM(BL142:BL171)</f>
        <v>0</v>
      </c>
      <c r="BM141" s="145" t="str">
        <f t="shared" ref="BM141:BM172" si="98">BE141/BL141</f>
        <v>#DIV/0!</v>
      </c>
      <c r="BN141" s="149" t="str">
        <f t="shared" ref="BN141:BN172" si="99">BJ141/BL141</f>
        <v>#DIV/0!</v>
      </c>
    </row>
    <row r="142" ht="15.75" customHeight="1">
      <c r="N142" s="150" t="s">
        <v>127</v>
      </c>
      <c r="O142" s="151">
        <v>44409.0</v>
      </c>
      <c r="P142" s="176">
        <v>0.0</v>
      </c>
      <c r="Q142" s="177">
        <v>0.0</v>
      </c>
      <c r="R142" s="178">
        <v>0.0</v>
      </c>
      <c r="S142" s="179">
        <v>0.0</v>
      </c>
      <c r="T142" s="180">
        <v>0.0</v>
      </c>
      <c r="U142" s="179">
        <v>0.0</v>
      </c>
      <c r="V142" s="178">
        <v>0.0</v>
      </c>
      <c r="W142" s="179">
        <v>0.0</v>
      </c>
      <c r="X142" s="178">
        <v>0.0</v>
      </c>
      <c r="Y142" s="181" t="str">
        <f t="shared" si="83"/>
        <v>#DIV/0!</v>
      </c>
      <c r="Z142" s="185" t="str">
        <f t="shared" si="84"/>
        <v>#DIV/0!</v>
      </c>
      <c r="AA142" s="85"/>
      <c r="AB142" s="150" t="s">
        <v>127</v>
      </c>
      <c r="AC142" s="151">
        <v>44409.0</v>
      </c>
      <c r="AD142" s="176">
        <v>0.0</v>
      </c>
      <c r="AE142" s="177">
        <v>0.0</v>
      </c>
      <c r="AF142" s="178" t="str">
        <f t="shared" si="85"/>
        <v>#DIV/0!</v>
      </c>
      <c r="AG142" s="179">
        <v>0.0</v>
      </c>
      <c r="AH142" s="180" t="str">
        <f t="shared" si="86"/>
        <v>#DIV/0!</v>
      </c>
      <c r="AI142" s="179">
        <v>0.0</v>
      </c>
      <c r="AJ142" s="178" t="str">
        <f t="shared" si="87"/>
        <v>#DIV/0!</v>
      </c>
      <c r="AK142" s="179">
        <v>0.0</v>
      </c>
      <c r="AL142" s="178" t="str">
        <f t="shared" si="88"/>
        <v>#DIV/0!</v>
      </c>
      <c r="AM142" s="181" t="str">
        <f t="shared" si="89"/>
        <v>#DIV/0!</v>
      </c>
      <c r="AN142" s="85"/>
      <c r="AO142" s="85"/>
      <c r="AP142" s="150" t="s">
        <v>127</v>
      </c>
      <c r="AQ142" s="151">
        <v>44409.0</v>
      </c>
      <c r="AR142" s="176">
        <v>0.0</v>
      </c>
      <c r="AS142" s="177">
        <v>0.0</v>
      </c>
      <c r="AT142" s="178" t="str">
        <f t="shared" si="90"/>
        <v>#DIV/0!</v>
      </c>
      <c r="AU142" s="179">
        <v>0.0</v>
      </c>
      <c r="AV142" s="180" t="str">
        <f t="shared" si="91"/>
        <v>#DIV/0!</v>
      </c>
      <c r="AW142" s="179">
        <v>0.0</v>
      </c>
      <c r="AX142" s="178" t="str">
        <f t="shared" si="92"/>
        <v>#DIV/0!</v>
      </c>
      <c r="AY142" s="179">
        <v>0.0</v>
      </c>
      <c r="AZ142" s="178" t="str">
        <f t="shared" si="93"/>
        <v>#DIV/0!</v>
      </c>
      <c r="BA142" s="181" t="str">
        <f t="shared" si="94"/>
        <v>#DIV/0!</v>
      </c>
      <c r="BB142" s="85"/>
      <c r="BC142" s="150" t="s">
        <v>127</v>
      </c>
      <c r="BD142" s="151">
        <v>44409.0</v>
      </c>
      <c r="BE142" s="176">
        <v>0.0</v>
      </c>
      <c r="BF142" s="177">
        <v>0.0</v>
      </c>
      <c r="BG142" s="178" t="str">
        <f t="shared" si="95"/>
        <v>#DIV/0!</v>
      </c>
      <c r="BH142" s="179">
        <v>0.0</v>
      </c>
      <c r="BI142" s="180" t="str">
        <f t="shared" si="96"/>
        <v>#DIV/0!</v>
      </c>
      <c r="BJ142" s="179">
        <v>0.0</v>
      </c>
      <c r="BK142" s="178" t="str">
        <f t="shared" si="97"/>
        <v>#DIV/0!</v>
      </c>
      <c r="BL142" s="179">
        <v>0.0</v>
      </c>
      <c r="BM142" s="178" t="str">
        <f t="shared" si="98"/>
        <v>#DIV/0!</v>
      </c>
      <c r="BN142" s="181" t="str">
        <f t="shared" si="99"/>
        <v>#DIV/0!</v>
      </c>
      <c r="BO142" s="85"/>
    </row>
    <row r="143" ht="15.75" customHeight="1">
      <c r="N143" s="150" t="s">
        <v>130</v>
      </c>
      <c r="O143" s="151">
        <v>44410.0</v>
      </c>
      <c r="P143" s="176">
        <v>0.0</v>
      </c>
      <c r="Q143" s="177">
        <v>0.0</v>
      </c>
      <c r="R143" s="178">
        <v>0.0</v>
      </c>
      <c r="S143" s="179">
        <v>0.0</v>
      </c>
      <c r="T143" s="180">
        <v>0.0</v>
      </c>
      <c r="U143" s="179">
        <v>0.0</v>
      </c>
      <c r="V143" s="178">
        <v>0.0</v>
      </c>
      <c r="W143" s="179">
        <v>0.0</v>
      </c>
      <c r="X143" s="178">
        <v>0.0</v>
      </c>
      <c r="Y143" s="181" t="str">
        <f t="shared" si="83"/>
        <v>#DIV/0!</v>
      </c>
      <c r="Z143" s="185" t="str">
        <f t="shared" si="84"/>
        <v>#DIV/0!</v>
      </c>
      <c r="AA143" s="51"/>
      <c r="AB143" s="150" t="s">
        <v>130</v>
      </c>
      <c r="AC143" s="151">
        <v>44410.0</v>
      </c>
      <c r="AD143" s="176">
        <v>0.0</v>
      </c>
      <c r="AE143" s="177">
        <v>0.0</v>
      </c>
      <c r="AF143" s="178" t="str">
        <f t="shared" si="85"/>
        <v>#DIV/0!</v>
      </c>
      <c r="AG143" s="179">
        <v>0.0</v>
      </c>
      <c r="AH143" s="180" t="str">
        <f t="shared" si="86"/>
        <v>#DIV/0!</v>
      </c>
      <c r="AI143" s="179">
        <v>0.0</v>
      </c>
      <c r="AJ143" s="178" t="str">
        <f t="shared" si="87"/>
        <v>#DIV/0!</v>
      </c>
      <c r="AK143" s="179">
        <v>0.0</v>
      </c>
      <c r="AL143" s="178" t="str">
        <f t="shared" si="88"/>
        <v>#DIV/0!</v>
      </c>
      <c r="AM143" s="181" t="str">
        <f t="shared" si="89"/>
        <v>#DIV/0!</v>
      </c>
      <c r="AN143" s="51"/>
      <c r="AO143" s="51"/>
      <c r="AP143" s="150" t="s">
        <v>130</v>
      </c>
      <c r="AQ143" s="151">
        <v>44410.0</v>
      </c>
      <c r="AR143" s="176">
        <v>0.0</v>
      </c>
      <c r="AS143" s="177">
        <v>0.0</v>
      </c>
      <c r="AT143" s="178" t="str">
        <f t="shared" si="90"/>
        <v>#DIV/0!</v>
      </c>
      <c r="AU143" s="179">
        <v>0.0</v>
      </c>
      <c r="AV143" s="180" t="str">
        <f t="shared" si="91"/>
        <v>#DIV/0!</v>
      </c>
      <c r="AW143" s="179">
        <v>0.0</v>
      </c>
      <c r="AX143" s="178" t="str">
        <f t="shared" si="92"/>
        <v>#DIV/0!</v>
      </c>
      <c r="AY143" s="179">
        <v>0.0</v>
      </c>
      <c r="AZ143" s="178" t="str">
        <f t="shared" si="93"/>
        <v>#DIV/0!</v>
      </c>
      <c r="BA143" s="181" t="str">
        <f t="shared" si="94"/>
        <v>#DIV/0!</v>
      </c>
      <c r="BB143" s="51"/>
      <c r="BC143" s="150" t="s">
        <v>130</v>
      </c>
      <c r="BD143" s="151">
        <v>44410.0</v>
      </c>
      <c r="BE143" s="176">
        <v>0.0</v>
      </c>
      <c r="BF143" s="177">
        <v>0.0</v>
      </c>
      <c r="BG143" s="178" t="str">
        <f t="shared" si="95"/>
        <v>#DIV/0!</v>
      </c>
      <c r="BH143" s="179">
        <v>0.0</v>
      </c>
      <c r="BI143" s="180" t="str">
        <f t="shared" si="96"/>
        <v>#DIV/0!</v>
      </c>
      <c r="BJ143" s="179">
        <v>0.0</v>
      </c>
      <c r="BK143" s="178" t="str">
        <f t="shared" si="97"/>
        <v>#DIV/0!</v>
      </c>
      <c r="BL143" s="179">
        <v>0.0</v>
      </c>
      <c r="BM143" s="178" t="str">
        <f t="shared" si="98"/>
        <v>#DIV/0!</v>
      </c>
      <c r="BN143" s="181" t="str">
        <f t="shared" si="99"/>
        <v>#DIV/0!</v>
      </c>
      <c r="BO143" s="51"/>
    </row>
    <row r="144" ht="15.75" customHeight="1">
      <c r="N144" s="150" t="s">
        <v>131</v>
      </c>
      <c r="O144" s="151">
        <v>44411.0</v>
      </c>
      <c r="P144" s="176">
        <v>0.0</v>
      </c>
      <c r="Q144" s="177">
        <v>0.0</v>
      </c>
      <c r="R144" s="178">
        <v>0.0</v>
      </c>
      <c r="S144" s="179">
        <v>0.0</v>
      </c>
      <c r="T144" s="180">
        <v>0.0</v>
      </c>
      <c r="U144" s="179">
        <v>0.0</v>
      </c>
      <c r="V144" s="178">
        <v>0.0</v>
      </c>
      <c r="W144" s="179">
        <v>0.0</v>
      </c>
      <c r="X144" s="178">
        <v>0.0</v>
      </c>
      <c r="Y144" s="181" t="str">
        <f t="shared" si="83"/>
        <v>#DIV/0!</v>
      </c>
      <c r="Z144" s="185" t="str">
        <f t="shared" si="84"/>
        <v>#DIV/0!</v>
      </c>
      <c r="AA144" s="164"/>
      <c r="AB144" s="150" t="s">
        <v>131</v>
      </c>
      <c r="AC144" s="151">
        <v>44411.0</v>
      </c>
      <c r="AD144" s="176">
        <v>0.0</v>
      </c>
      <c r="AE144" s="177">
        <v>0.0</v>
      </c>
      <c r="AF144" s="178" t="str">
        <f t="shared" si="85"/>
        <v>#DIV/0!</v>
      </c>
      <c r="AG144" s="179">
        <v>0.0</v>
      </c>
      <c r="AH144" s="180" t="str">
        <f t="shared" si="86"/>
        <v>#DIV/0!</v>
      </c>
      <c r="AI144" s="179">
        <v>0.0</v>
      </c>
      <c r="AJ144" s="178" t="str">
        <f t="shared" si="87"/>
        <v>#DIV/0!</v>
      </c>
      <c r="AK144" s="179">
        <v>0.0</v>
      </c>
      <c r="AL144" s="178" t="str">
        <f t="shared" si="88"/>
        <v>#DIV/0!</v>
      </c>
      <c r="AM144" s="181" t="str">
        <f t="shared" si="89"/>
        <v>#DIV/0!</v>
      </c>
      <c r="AN144" s="164"/>
      <c r="AO144" s="164"/>
      <c r="AP144" s="150" t="s">
        <v>131</v>
      </c>
      <c r="AQ144" s="151">
        <v>44411.0</v>
      </c>
      <c r="AR144" s="176">
        <v>0.0</v>
      </c>
      <c r="AS144" s="177">
        <v>0.0</v>
      </c>
      <c r="AT144" s="178" t="str">
        <f t="shared" si="90"/>
        <v>#DIV/0!</v>
      </c>
      <c r="AU144" s="179">
        <v>0.0</v>
      </c>
      <c r="AV144" s="180" t="str">
        <f t="shared" si="91"/>
        <v>#DIV/0!</v>
      </c>
      <c r="AW144" s="179">
        <v>0.0</v>
      </c>
      <c r="AX144" s="178" t="str">
        <f t="shared" si="92"/>
        <v>#DIV/0!</v>
      </c>
      <c r="AY144" s="179">
        <v>0.0</v>
      </c>
      <c r="AZ144" s="178" t="str">
        <f t="shared" si="93"/>
        <v>#DIV/0!</v>
      </c>
      <c r="BA144" s="181" t="str">
        <f t="shared" si="94"/>
        <v>#DIV/0!</v>
      </c>
      <c r="BB144" s="164"/>
      <c r="BC144" s="150" t="s">
        <v>131</v>
      </c>
      <c r="BD144" s="151">
        <v>44411.0</v>
      </c>
      <c r="BE144" s="176">
        <v>0.0</v>
      </c>
      <c r="BF144" s="177">
        <v>0.0</v>
      </c>
      <c r="BG144" s="178" t="str">
        <f t="shared" si="95"/>
        <v>#DIV/0!</v>
      </c>
      <c r="BH144" s="179">
        <v>0.0</v>
      </c>
      <c r="BI144" s="180" t="str">
        <f t="shared" si="96"/>
        <v>#DIV/0!</v>
      </c>
      <c r="BJ144" s="179">
        <v>0.0</v>
      </c>
      <c r="BK144" s="178" t="str">
        <f t="shared" si="97"/>
        <v>#DIV/0!</v>
      </c>
      <c r="BL144" s="179">
        <v>0.0</v>
      </c>
      <c r="BM144" s="178" t="str">
        <f t="shared" si="98"/>
        <v>#DIV/0!</v>
      </c>
      <c r="BN144" s="181" t="str">
        <f t="shared" si="99"/>
        <v>#DIV/0!</v>
      </c>
      <c r="BO144" s="164"/>
    </row>
    <row r="145" ht="15.75" customHeight="1">
      <c r="N145" s="150" t="s">
        <v>134</v>
      </c>
      <c r="O145" s="151">
        <v>44412.0</v>
      </c>
      <c r="P145" s="176">
        <v>0.0</v>
      </c>
      <c r="Q145" s="177">
        <v>0.0</v>
      </c>
      <c r="R145" s="178">
        <v>0.0</v>
      </c>
      <c r="S145" s="179">
        <v>0.0</v>
      </c>
      <c r="T145" s="180">
        <v>0.0</v>
      </c>
      <c r="U145" s="179">
        <v>0.0</v>
      </c>
      <c r="V145" s="178">
        <v>0.0</v>
      </c>
      <c r="W145" s="179">
        <v>0.0</v>
      </c>
      <c r="X145" s="178">
        <v>0.0</v>
      </c>
      <c r="Y145" s="181" t="str">
        <f t="shared" si="83"/>
        <v>#DIV/0!</v>
      </c>
      <c r="Z145" s="185" t="str">
        <f t="shared" si="84"/>
        <v>#DIV/0!</v>
      </c>
      <c r="AA145" s="51"/>
      <c r="AB145" s="150" t="s">
        <v>134</v>
      </c>
      <c r="AC145" s="151">
        <v>44412.0</v>
      </c>
      <c r="AD145" s="176">
        <v>0.0</v>
      </c>
      <c r="AE145" s="177">
        <v>0.0</v>
      </c>
      <c r="AF145" s="178" t="str">
        <f t="shared" si="85"/>
        <v>#DIV/0!</v>
      </c>
      <c r="AG145" s="179">
        <v>0.0</v>
      </c>
      <c r="AH145" s="180" t="str">
        <f t="shared" si="86"/>
        <v>#DIV/0!</v>
      </c>
      <c r="AI145" s="179">
        <v>0.0</v>
      </c>
      <c r="AJ145" s="178" t="str">
        <f t="shared" si="87"/>
        <v>#DIV/0!</v>
      </c>
      <c r="AK145" s="179">
        <v>0.0</v>
      </c>
      <c r="AL145" s="178" t="str">
        <f t="shared" si="88"/>
        <v>#DIV/0!</v>
      </c>
      <c r="AM145" s="181" t="str">
        <f t="shared" si="89"/>
        <v>#DIV/0!</v>
      </c>
      <c r="AN145" s="51"/>
      <c r="AO145" s="51"/>
      <c r="AP145" s="150" t="s">
        <v>134</v>
      </c>
      <c r="AQ145" s="151">
        <v>44412.0</v>
      </c>
      <c r="AR145" s="176">
        <v>0.0</v>
      </c>
      <c r="AS145" s="177">
        <v>0.0</v>
      </c>
      <c r="AT145" s="178" t="str">
        <f t="shared" si="90"/>
        <v>#DIV/0!</v>
      </c>
      <c r="AU145" s="179">
        <v>0.0</v>
      </c>
      <c r="AV145" s="180" t="str">
        <f t="shared" si="91"/>
        <v>#DIV/0!</v>
      </c>
      <c r="AW145" s="179">
        <v>0.0</v>
      </c>
      <c r="AX145" s="178" t="str">
        <f t="shared" si="92"/>
        <v>#DIV/0!</v>
      </c>
      <c r="AY145" s="179">
        <v>0.0</v>
      </c>
      <c r="AZ145" s="178" t="str">
        <f t="shared" si="93"/>
        <v>#DIV/0!</v>
      </c>
      <c r="BA145" s="181" t="str">
        <f t="shared" si="94"/>
        <v>#DIV/0!</v>
      </c>
      <c r="BB145" s="51"/>
      <c r="BC145" s="150" t="s">
        <v>134</v>
      </c>
      <c r="BD145" s="151">
        <v>44412.0</v>
      </c>
      <c r="BE145" s="176">
        <v>0.0</v>
      </c>
      <c r="BF145" s="177">
        <v>0.0</v>
      </c>
      <c r="BG145" s="178" t="str">
        <f t="shared" si="95"/>
        <v>#DIV/0!</v>
      </c>
      <c r="BH145" s="179">
        <v>0.0</v>
      </c>
      <c r="BI145" s="180" t="str">
        <f t="shared" si="96"/>
        <v>#DIV/0!</v>
      </c>
      <c r="BJ145" s="179">
        <v>0.0</v>
      </c>
      <c r="BK145" s="178" t="str">
        <f t="shared" si="97"/>
        <v>#DIV/0!</v>
      </c>
      <c r="BL145" s="179">
        <v>0.0</v>
      </c>
      <c r="BM145" s="178" t="str">
        <f t="shared" si="98"/>
        <v>#DIV/0!</v>
      </c>
      <c r="BN145" s="181" t="str">
        <f t="shared" si="99"/>
        <v>#DIV/0!</v>
      </c>
      <c r="BO145" s="51"/>
    </row>
    <row r="146" ht="15.75" customHeight="1">
      <c r="N146" s="150" t="s">
        <v>135</v>
      </c>
      <c r="O146" s="151">
        <v>44413.0</v>
      </c>
      <c r="P146" s="176">
        <v>0.0</v>
      </c>
      <c r="Q146" s="177">
        <v>0.0</v>
      </c>
      <c r="R146" s="178">
        <v>0.0</v>
      </c>
      <c r="S146" s="179">
        <v>0.0</v>
      </c>
      <c r="T146" s="180">
        <v>0.0</v>
      </c>
      <c r="U146" s="179">
        <v>0.0</v>
      </c>
      <c r="V146" s="178">
        <v>0.0</v>
      </c>
      <c r="W146" s="179">
        <v>0.0</v>
      </c>
      <c r="X146" s="178">
        <v>0.0</v>
      </c>
      <c r="Y146" s="181" t="str">
        <f t="shared" si="83"/>
        <v>#DIV/0!</v>
      </c>
      <c r="Z146" s="185" t="str">
        <f t="shared" si="84"/>
        <v>#DIV/0!</v>
      </c>
      <c r="AA146" s="164"/>
      <c r="AB146" s="150" t="s">
        <v>135</v>
      </c>
      <c r="AC146" s="151">
        <v>44413.0</v>
      </c>
      <c r="AD146" s="176">
        <v>0.0</v>
      </c>
      <c r="AE146" s="177">
        <v>0.0</v>
      </c>
      <c r="AF146" s="178" t="str">
        <f t="shared" si="85"/>
        <v>#DIV/0!</v>
      </c>
      <c r="AG146" s="179">
        <v>0.0</v>
      </c>
      <c r="AH146" s="180" t="str">
        <f t="shared" si="86"/>
        <v>#DIV/0!</v>
      </c>
      <c r="AI146" s="179">
        <v>0.0</v>
      </c>
      <c r="AJ146" s="178" t="str">
        <f t="shared" si="87"/>
        <v>#DIV/0!</v>
      </c>
      <c r="AK146" s="179">
        <v>0.0</v>
      </c>
      <c r="AL146" s="178" t="str">
        <f t="shared" si="88"/>
        <v>#DIV/0!</v>
      </c>
      <c r="AM146" s="181" t="str">
        <f t="shared" si="89"/>
        <v>#DIV/0!</v>
      </c>
      <c r="AN146" s="164"/>
      <c r="AO146" s="164"/>
      <c r="AP146" s="150" t="s">
        <v>135</v>
      </c>
      <c r="AQ146" s="151">
        <v>44413.0</v>
      </c>
      <c r="AR146" s="176">
        <v>0.0</v>
      </c>
      <c r="AS146" s="177">
        <v>0.0</v>
      </c>
      <c r="AT146" s="178" t="str">
        <f t="shared" si="90"/>
        <v>#DIV/0!</v>
      </c>
      <c r="AU146" s="179">
        <v>0.0</v>
      </c>
      <c r="AV146" s="180" t="str">
        <f t="shared" si="91"/>
        <v>#DIV/0!</v>
      </c>
      <c r="AW146" s="179">
        <v>0.0</v>
      </c>
      <c r="AX146" s="178" t="str">
        <f t="shared" si="92"/>
        <v>#DIV/0!</v>
      </c>
      <c r="AY146" s="179">
        <v>0.0</v>
      </c>
      <c r="AZ146" s="178" t="str">
        <f t="shared" si="93"/>
        <v>#DIV/0!</v>
      </c>
      <c r="BA146" s="181" t="str">
        <f t="shared" si="94"/>
        <v>#DIV/0!</v>
      </c>
      <c r="BB146" s="164"/>
      <c r="BC146" s="150" t="s">
        <v>135</v>
      </c>
      <c r="BD146" s="151">
        <v>44413.0</v>
      </c>
      <c r="BE146" s="176">
        <v>0.0</v>
      </c>
      <c r="BF146" s="177">
        <v>0.0</v>
      </c>
      <c r="BG146" s="178" t="str">
        <f t="shared" si="95"/>
        <v>#DIV/0!</v>
      </c>
      <c r="BH146" s="179">
        <v>0.0</v>
      </c>
      <c r="BI146" s="180" t="str">
        <f t="shared" si="96"/>
        <v>#DIV/0!</v>
      </c>
      <c r="BJ146" s="179">
        <v>0.0</v>
      </c>
      <c r="BK146" s="178" t="str">
        <f t="shared" si="97"/>
        <v>#DIV/0!</v>
      </c>
      <c r="BL146" s="179">
        <v>0.0</v>
      </c>
      <c r="BM146" s="178" t="str">
        <f t="shared" si="98"/>
        <v>#DIV/0!</v>
      </c>
      <c r="BN146" s="181" t="str">
        <f t="shared" si="99"/>
        <v>#DIV/0!</v>
      </c>
      <c r="BO146" s="164"/>
    </row>
    <row r="147" ht="15.75" customHeight="1">
      <c r="N147" s="150" t="s">
        <v>123</v>
      </c>
      <c r="O147" s="151">
        <v>44414.0</v>
      </c>
      <c r="P147" s="176">
        <v>0.0</v>
      </c>
      <c r="Q147" s="177">
        <v>0.0</v>
      </c>
      <c r="R147" s="178">
        <v>0.0</v>
      </c>
      <c r="S147" s="179">
        <v>0.0</v>
      </c>
      <c r="T147" s="180">
        <v>0.0</v>
      </c>
      <c r="U147" s="179">
        <v>0.0</v>
      </c>
      <c r="V147" s="178">
        <v>0.0</v>
      </c>
      <c r="W147" s="179">
        <v>0.0</v>
      </c>
      <c r="X147" s="178">
        <v>0.0</v>
      </c>
      <c r="Y147" s="181" t="str">
        <f t="shared" si="83"/>
        <v>#DIV/0!</v>
      </c>
      <c r="Z147" s="185" t="str">
        <f t="shared" si="84"/>
        <v>#DIV/0!</v>
      </c>
      <c r="AA147" s="164"/>
      <c r="AB147" s="150" t="s">
        <v>123</v>
      </c>
      <c r="AC147" s="151">
        <v>44414.0</v>
      </c>
      <c r="AD147" s="176">
        <v>0.0</v>
      </c>
      <c r="AE147" s="177">
        <v>0.0</v>
      </c>
      <c r="AF147" s="178" t="str">
        <f t="shared" si="85"/>
        <v>#DIV/0!</v>
      </c>
      <c r="AG147" s="179">
        <v>0.0</v>
      </c>
      <c r="AH147" s="180" t="str">
        <f t="shared" si="86"/>
        <v>#DIV/0!</v>
      </c>
      <c r="AI147" s="179">
        <v>0.0</v>
      </c>
      <c r="AJ147" s="178" t="str">
        <f t="shared" si="87"/>
        <v>#DIV/0!</v>
      </c>
      <c r="AK147" s="179">
        <v>0.0</v>
      </c>
      <c r="AL147" s="178" t="str">
        <f t="shared" si="88"/>
        <v>#DIV/0!</v>
      </c>
      <c r="AM147" s="181" t="str">
        <f t="shared" si="89"/>
        <v>#DIV/0!</v>
      </c>
      <c r="AN147" s="164"/>
      <c r="AO147" s="164"/>
      <c r="AP147" s="150" t="s">
        <v>123</v>
      </c>
      <c r="AQ147" s="151">
        <v>44414.0</v>
      </c>
      <c r="AR147" s="176">
        <v>0.0</v>
      </c>
      <c r="AS147" s="177">
        <v>0.0</v>
      </c>
      <c r="AT147" s="178" t="str">
        <f t="shared" si="90"/>
        <v>#DIV/0!</v>
      </c>
      <c r="AU147" s="179">
        <v>0.0</v>
      </c>
      <c r="AV147" s="180" t="str">
        <f t="shared" si="91"/>
        <v>#DIV/0!</v>
      </c>
      <c r="AW147" s="179">
        <v>0.0</v>
      </c>
      <c r="AX147" s="178" t="str">
        <f t="shared" si="92"/>
        <v>#DIV/0!</v>
      </c>
      <c r="AY147" s="179">
        <v>0.0</v>
      </c>
      <c r="AZ147" s="178" t="str">
        <f t="shared" si="93"/>
        <v>#DIV/0!</v>
      </c>
      <c r="BA147" s="181" t="str">
        <f t="shared" si="94"/>
        <v>#DIV/0!</v>
      </c>
      <c r="BB147" s="164"/>
      <c r="BC147" s="150" t="s">
        <v>123</v>
      </c>
      <c r="BD147" s="151">
        <v>44414.0</v>
      </c>
      <c r="BE147" s="176">
        <v>0.0</v>
      </c>
      <c r="BF147" s="177">
        <v>0.0</v>
      </c>
      <c r="BG147" s="178" t="str">
        <f t="shared" si="95"/>
        <v>#DIV/0!</v>
      </c>
      <c r="BH147" s="179">
        <v>0.0</v>
      </c>
      <c r="BI147" s="180" t="str">
        <f t="shared" si="96"/>
        <v>#DIV/0!</v>
      </c>
      <c r="BJ147" s="179">
        <v>0.0</v>
      </c>
      <c r="BK147" s="178" t="str">
        <f t="shared" si="97"/>
        <v>#DIV/0!</v>
      </c>
      <c r="BL147" s="179">
        <v>0.0</v>
      </c>
      <c r="BM147" s="178" t="str">
        <f t="shared" si="98"/>
        <v>#DIV/0!</v>
      </c>
      <c r="BN147" s="181" t="str">
        <f t="shared" si="99"/>
        <v>#DIV/0!</v>
      </c>
      <c r="BO147" s="164"/>
    </row>
    <row r="148" ht="15.75" customHeight="1">
      <c r="N148" s="150" t="s">
        <v>126</v>
      </c>
      <c r="O148" s="151">
        <v>44415.0</v>
      </c>
      <c r="P148" s="176">
        <v>0.0</v>
      </c>
      <c r="Q148" s="177">
        <v>0.0</v>
      </c>
      <c r="R148" s="178">
        <v>0.0</v>
      </c>
      <c r="S148" s="179">
        <v>0.0</v>
      </c>
      <c r="T148" s="180">
        <v>0.0</v>
      </c>
      <c r="U148" s="179">
        <v>0.0</v>
      </c>
      <c r="V148" s="178">
        <v>0.0</v>
      </c>
      <c r="W148" s="179">
        <v>0.0</v>
      </c>
      <c r="X148" s="178">
        <v>0.0</v>
      </c>
      <c r="Y148" s="181" t="str">
        <f t="shared" si="83"/>
        <v>#DIV/0!</v>
      </c>
      <c r="Z148" s="185" t="str">
        <f t="shared" si="84"/>
        <v>#DIV/0!</v>
      </c>
      <c r="AA148" s="164"/>
      <c r="AB148" s="150" t="s">
        <v>126</v>
      </c>
      <c r="AC148" s="151">
        <v>44415.0</v>
      </c>
      <c r="AD148" s="176">
        <v>0.0</v>
      </c>
      <c r="AE148" s="177">
        <v>0.0</v>
      </c>
      <c r="AF148" s="178" t="str">
        <f t="shared" si="85"/>
        <v>#DIV/0!</v>
      </c>
      <c r="AG148" s="179">
        <v>0.0</v>
      </c>
      <c r="AH148" s="180" t="str">
        <f t="shared" si="86"/>
        <v>#DIV/0!</v>
      </c>
      <c r="AI148" s="179">
        <v>0.0</v>
      </c>
      <c r="AJ148" s="178" t="str">
        <f t="shared" si="87"/>
        <v>#DIV/0!</v>
      </c>
      <c r="AK148" s="179">
        <v>0.0</v>
      </c>
      <c r="AL148" s="178" t="str">
        <f t="shared" si="88"/>
        <v>#DIV/0!</v>
      </c>
      <c r="AM148" s="181" t="str">
        <f t="shared" si="89"/>
        <v>#DIV/0!</v>
      </c>
      <c r="AN148" s="169"/>
      <c r="AO148" s="164"/>
      <c r="AP148" s="150" t="s">
        <v>126</v>
      </c>
      <c r="AQ148" s="151">
        <v>44415.0</v>
      </c>
      <c r="AR148" s="176">
        <v>0.0</v>
      </c>
      <c r="AS148" s="177">
        <v>0.0</v>
      </c>
      <c r="AT148" s="178" t="str">
        <f t="shared" si="90"/>
        <v>#DIV/0!</v>
      </c>
      <c r="AU148" s="179">
        <v>0.0</v>
      </c>
      <c r="AV148" s="180" t="str">
        <f t="shared" si="91"/>
        <v>#DIV/0!</v>
      </c>
      <c r="AW148" s="179">
        <v>0.0</v>
      </c>
      <c r="AX148" s="178" t="str">
        <f t="shared" si="92"/>
        <v>#DIV/0!</v>
      </c>
      <c r="AY148" s="179">
        <v>0.0</v>
      </c>
      <c r="AZ148" s="178" t="str">
        <f t="shared" si="93"/>
        <v>#DIV/0!</v>
      </c>
      <c r="BA148" s="181" t="str">
        <f t="shared" si="94"/>
        <v>#DIV/0!</v>
      </c>
      <c r="BB148" s="164"/>
      <c r="BC148" s="150" t="s">
        <v>126</v>
      </c>
      <c r="BD148" s="151">
        <v>44415.0</v>
      </c>
      <c r="BE148" s="176">
        <v>0.0</v>
      </c>
      <c r="BF148" s="177">
        <v>0.0</v>
      </c>
      <c r="BG148" s="178" t="str">
        <f t="shared" si="95"/>
        <v>#DIV/0!</v>
      </c>
      <c r="BH148" s="179">
        <v>0.0</v>
      </c>
      <c r="BI148" s="180" t="str">
        <f t="shared" si="96"/>
        <v>#DIV/0!</v>
      </c>
      <c r="BJ148" s="179">
        <v>0.0</v>
      </c>
      <c r="BK148" s="178" t="str">
        <f t="shared" si="97"/>
        <v>#DIV/0!</v>
      </c>
      <c r="BL148" s="179">
        <v>0.0</v>
      </c>
      <c r="BM148" s="178" t="str">
        <f t="shared" si="98"/>
        <v>#DIV/0!</v>
      </c>
      <c r="BN148" s="181" t="str">
        <f t="shared" si="99"/>
        <v>#DIV/0!</v>
      </c>
      <c r="BO148" s="169"/>
    </row>
    <row r="149" ht="15.75" customHeight="1">
      <c r="N149" s="150" t="s">
        <v>127</v>
      </c>
      <c r="O149" s="151">
        <v>44416.0</v>
      </c>
      <c r="P149" s="176">
        <v>0.0</v>
      </c>
      <c r="Q149" s="177">
        <v>0.0</v>
      </c>
      <c r="R149" s="178">
        <v>0.0</v>
      </c>
      <c r="S149" s="179">
        <v>0.0</v>
      </c>
      <c r="T149" s="180">
        <v>0.0</v>
      </c>
      <c r="U149" s="179">
        <v>0.0</v>
      </c>
      <c r="V149" s="178">
        <v>0.0</v>
      </c>
      <c r="W149" s="179">
        <v>0.0</v>
      </c>
      <c r="X149" s="178">
        <v>0.0</v>
      </c>
      <c r="Y149" s="181" t="str">
        <f t="shared" si="83"/>
        <v>#DIV/0!</v>
      </c>
      <c r="Z149" s="185" t="str">
        <f t="shared" si="84"/>
        <v>#DIV/0!</v>
      </c>
      <c r="AA149" s="164"/>
      <c r="AB149" s="150" t="s">
        <v>127</v>
      </c>
      <c r="AC149" s="151">
        <v>44416.0</v>
      </c>
      <c r="AD149" s="176">
        <v>0.0</v>
      </c>
      <c r="AE149" s="177">
        <v>0.0</v>
      </c>
      <c r="AF149" s="178" t="str">
        <f t="shared" si="85"/>
        <v>#DIV/0!</v>
      </c>
      <c r="AG149" s="179">
        <v>0.0</v>
      </c>
      <c r="AH149" s="180" t="str">
        <f t="shared" si="86"/>
        <v>#DIV/0!</v>
      </c>
      <c r="AI149" s="179">
        <v>0.0</v>
      </c>
      <c r="AJ149" s="178" t="str">
        <f t="shared" si="87"/>
        <v>#DIV/0!</v>
      </c>
      <c r="AK149" s="179">
        <v>0.0</v>
      </c>
      <c r="AL149" s="178" t="str">
        <f t="shared" si="88"/>
        <v>#DIV/0!</v>
      </c>
      <c r="AM149" s="181" t="str">
        <f t="shared" si="89"/>
        <v>#DIV/0!</v>
      </c>
      <c r="AN149" s="169"/>
      <c r="AO149" s="164"/>
      <c r="AP149" s="150" t="s">
        <v>127</v>
      </c>
      <c r="AQ149" s="151">
        <v>44416.0</v>
      </c>
      <c r="AR149" s="176">
        <v>0.0</v>
      </c>
      <c r="AS149" s="177">
        <v>0.0</v>
      </c>
      <c r="AT149" s="178" t="str">
        <f t="shared" si="90"/>
        <v>#DIV/0!</v>
      </c>
      <c r="AU149" s="179">
        <v>0.0</v>
      </c>
      <c r="AV149" s="180" t="str">
        <f t="shared" si="91"/>
        <v>#DIV/0!</v>
      </c>
      <c r="AW149" s="179">
        <v>0.0</v>
      </c>
      <c r="AX149" s="178" t="str">
        <f t="shared" si="92"/>
        <v>#DIV/0!</v>
      </c>
      <c r="AY149" s="179">
        <v>0.0</v>
      </c>
      <c r="AZ149" s="178" t="str">
        <f t="shared" si="93"/>
        <v>#DIV/0!</v>
      </c>
      <c r="BA149" s="181" t="str">
        <f t="shared" si="94"/>
        <v>#DIV/0!</v>
      </c>
      <c r="BB149" s="164"/>
      <c r="BC149" s="150" t="s">
        <v>127</v>
      </c>
      <c r="BD149" s="151">
        <v>44416.0</v>
      </c>
      <c r="BE149" s="176">
        <v>0.0</v>
      </c>
      <c r="BF149" s="177">
        <v>0.0</v>
      </c>
      <c r="BG149" s="178" t="str">
        <f t="shared" si="95"/>
        <v>#DIV/0!</v>
      </c>
      <c r="BH149" s="179">
        <v>0.0</v>
      </c>
      <c r="BI149" s="180" t="str">
        <f t="shared" si="96"/>
        <v>#DIV/0!</v>
      </c>
      <c r="BJ149" s="179">
        <v>0.0</v>
      </c>
      <c r="BK149" s="178" t="str">
        <f t="shared" si="97"/>
        <v>#DIV/0!</v>
      </c>
      <c r="BL149" s="179">
        <v>0.0</v>
      </c>
      <c r="BM149" s="178" t="str">
        <f t="shared" si="98"/>
        <v>#DIV/0!</v>
      </c>
      <c r="BN149" s="181" t="str">
        <f t="shared" si="99"/>
        <v>#DIV/0!</v>
      </c>
      <c r="BO149" s="169"/>
    </row>
    <row r="150" ht="15.75" customHeight="1">
      <c r="N150" s="150" t="s">
        <v>130</v>
      </c>
      <c r="O150" s="151">
        <v>44417.0</v>
      </c>
      <c r="P150" s="176">
        <v>0.0</v>
      </c>
      <c r="Q150" s="177">
        <v>0.0</v>
      </c>
      <c r="R150" s="178">
        <v>0.0</v>
      </c>
      <c r="S150" s="179">
        <v>0.0</v>
      </c>
      <c r="T150" s="180">
        <v>0.0</v>
      </c>
      <c r="U150" s="179">
        <v>0.0</v>
      </c>
      <c r="V150" s="178">
        <v>0.0</v>
      </c>
      <c r="W150" s="179">
        <v>0.0</v>
      </c>
      <c r="X150" s="178">
        <v>0.0</v>
      </c>
      <c r="Y150" s="181" t="str">
        <f t="shared" si="83"/>
        <v>#DIV/0!</v>
      </c>
      <c r="Z150" s="185" t="str">
        <f t="shared" si="84"/>
        <v>#DIV/0!</v>
      </c>
      <c r="AA150" s="164"/>
      <c r="AB150" s="150" t="s">
        <v>130</v>
      </c>
      <c r="AC150" s="151">
        <v>44417.0</v>
      </c>
      <c r="AD150" s="176">
        <v>0.0</v>
      </c>
      <c r="AE150" s="177">
        <v>0.0</v>
      </c>
      <c r="AF150" s="178" t="str">
        <f t="shared" si="85"/>
        <v>#DIV/0!</v>
      </c>
      <c r="AG150" s="179">
        <v>0.0</v>
      </c>
      <c r="AH150" s="180" t="str">
        <f t="shared" si="86"/>
        <v>#DIV/0!</v>
      </c>
      <c r="AI150" s="179">
        <v>0.0</v>
      </c>
      <c r="AJ150" s="178" t="str">
        <f t="shared" si="87"/>
        <v>#DIV/0!</v>
      </c>
      <c r="AK150" s="179">
        <v>0.0</v>
      </c>
      <c r="AL150" s="178" t="str">
        <f t="shared" si="88"/>
        <v>#DIV/0!</v>
      </c>
      <c r="AM150" s="181" t="str">
        <f t="shared" si="89"/>
        <v>#DIV/0!</v>
      </c>
      <c r="AN150" s="169"/>
      <c r="AO150" s="164"/>
      <c r="AP150" s="150" t="s">
        <v>130</v>
      </c>
      <c r="AQ150" s="151">
        <v>44417.0</v>
      </c>
      <c r="AR150" s="176">
        <v>0.0</v>
      </c>
      <c r="AS150" s="177">
        <v>0.0</v>
      </c>
      <c r="AT150" s="178" t="str">
        <f t="shared" si="90"/>
        <v>#DIV/0!</v>
      </c>
      <c r="AU150" s="179">
        <v>0.0</v>
      </c>
      <c r="AV150" s="180" t="str">
        <f t="shared" si="91"/>
        <v>#DIV/0!</v>
      </c>
      <c r="AW150" s="179">
        <v>0.0</v>
      </c>
      <c r="AX150" s="178" t="str">
        <f t="shared" si="92"/>
        <v>#DIV/0!</v>
      </c>
      <c r="AY150" s="179">
        <v>0.0</v>
      </c>
      <c r="AZ150" s="178" t="str">
        <f t="shared" si="93"/>
        <v>#DIV/0!</v>
      </c>
      <c r="BA150" s="181" t="str">
        <f t="shared" si="94"/>
        <v>#DIV/0!</v>
      </c>
      <c r="BB150" s="164"/>
      <c r="BC150" s="150" t="s">
        <v>130</v>
      </c>
      <c r="BD150" s="151">
        <v>44417.0</v>
      </c>
      <c r="BE150" s="176">
        <v>0.0</v>
      </c>
      <c r="BF150" s="177">
        <v>0.0</v>
      </c>
      <c r="BG150" s="178" t="str">
        <f t="shared" si="95"/>
        <v>#DIV/0!</v>
      </c>
      <c r="BH150" s="179">
        <v>0.0</v>
      </c>
      <c r="BI150" s="180" t="str">
        <f t="shared" si="96"/>
        <v>#DIV/0!</v>
      </c>
      <c r="BJ150" s="179">
        <v>0.0</v>
      </c>
      <c r="BK150" s="178" t="str">
        <f t="shared" si="97"/>
        <v>#DIV/0!</v>
      </c>
      <c r="BL150" s="179">
        <v>0.0</v>
      </c>
      <c r="BM150" s="178" t="str">
        <f t="shared" si="98"/>
        <v>#DIV/0!</v>
      </c>
      <c r="BN150" s="181" t="str">
        <f t="shared" si="99"/>
        <v>#DIV/0!</v>
      </c>
      <c r="BO150" s="169"/>
    </row>
    <row r="151" ht="15.75" customHeight="1">
      <c r="N151" s="150" t="s">
        <v>131</v>
      </c>
      <c r="O151" s="151">
        <v>44418.0</v>
      </c>
      <c r="P151" s="176">
        <v>0.0</v>
      </c>
      <c r="Q151" s="177">
        <v>0.0</v>
      </c>
      <c r="R151" s="178">
        <v>0.0</v>
      </c>
      <c r="S151" s="179">
        <v>0.0</v>
      </c>
      <c r="T151" s="180">
        <v>0.0</v>
      </c>
      <c r="U151" s="179">
        <v>0.0</v>
      </c>
      <c r="V151" s="178">
        <v>0.0</v>
      </c>
      <c r="W151" s="179">
        <v>0.0</v>
      </c>
      <c r="X151" s="178">
        <v>0.0</v>
      </c>
      <c r="Y151" s="181" t="str">
        <f t="shared" si="83"/>
        <v>#DIV/0!</v>
      </c>
      <c r="Z151" s="185" t="str">
        <f t="shared" si="84"/>
        <v>#DIV/0!</v>
      </c>
      <c r="AA151" s="164"/>
      <c r="AB151" s="150" t="s">
        <v>131</v>
      </c>
      <c r="AC151" s="151">
        <v>44418.0</v>
      </c>
      <c r="AD151" s="176">
        <v>0.0</v>
      </c>
      <c r="AE151" s="177">
        <v>0.0</v>
      </c>
      <c r="AF151" s="178" t="str">
        <f t="shared" si="85"/>
        <v>#DIV/0!</v>
      </c>
      <c r="AG151" s="179">
        <v>0.0</v>
      </c>
      <c r="AH151" s="180" t="str">
        <f t="shared" si="86"/>
        <v>#DIV/0!</v>
      </c>
      <c r="AI151" s="179">
        <v>0.0</v>
      </c>
      <c r="AJ151" s="178" t="str">
        <f t="shared" si="87"/>
        <v>#DIV/0!</v>
      </c>
      <c r="AK151" s="179">
        <v>0.0</v>
      </c>
      <c r="AL151" s="178" t="str">
        <f t="shared" si="88"/>
        <v>#DIV/0!</v>
      </c>
      <c r="AM151" s="181" t="str">
        <f t="shared" si="89"/>
        <v>#DIV/0!</v>
      </c>
      <c r="AN151" s="169"/>
      <c r="AO151" s="164"/>
      <c r="AP151" s="150" t="s">
        <v>131</v>
      </c>
      <c r="AQ151" s="151">
        <v>44418.0</v>
      </c>
      <c r="AR151" s="176">
        <v>0.0</v>
      </c>
      <c r="AS151" s="177">
        <v>0.0</v>
      </c>
      <c r="AT151" s="178" t="str">
        <f t="shared" si="90"/>
        <v>#DIV/0!</v>
      </c>
      <c r="AU151" s="179">
        <v>0.0</v>
      </c>
      <c r="AV151" s="180" t="str">
        <f t="shared" si="91"/>
        <v>#DIV/0!</v>
      </c>
      <c r="AW151" s="179">
        <v>0.0</v>
      </c>
      <c r="AX151" s="178" t="str">
        <f t="shared" si="92"/>
        <v>#DIV/0!</v>
      </c>
      <c r="AY151" s="179">
        <v>0.0</v>
      </c>
      <c r="AZ151" s="178" t="str">
        <f t="shared" si="93"/>
        <v>#DIV/0!</v>
      </c>
      <c r="BA151" s="181" t="str">
        <f t="shared" si="94"/>
        <v>#DIV/0!</v>
      </c>
      <c r="BB151" s="164"/>
      <c r="BC151" s="150" t="s">
        <v>131</v>
      </c>
      <c r="BD151" s="151">
        <v>44418.0</v>
      </c>
      <c r="BE151" s="176">
        <v>0.0</v>
      </c>
      <c r="BF151" s="177">
        <v>0.0</v>
      </c>
      <c r="BG151" s="178" t="str">
        <f t="shared" si="95"/>
        <v>#DIV/0!</v>
      </c>
      <c r="BH151" s="179">
        <v>0.0</v>
      </c>
      <c r="BI151" s="180" t="str">
        <f t="shared" si="96"/>
        <v>#DIV/0!</v>
      </c>
      <c r="BJ151" s="179">
        <v>0.0</v>
      </c>
      <c r="BK151" s="178" t="str">
        <f t="shared" si="97"/>
        <v>#DIV/0!</v>
      </c>
      <c r="BL151" s="179">
        <v>0.0</v>
      </c>
      <c r="BM151" s="178" t="str">
        <f t="shared" si="98"/>
        <v>#DIV/0!</v>
      </c>
      <c r="BN151" s="181" t="str">
        <f t="shared" si="99"/>
        <v>#DIV/0!</v>
      </c>
      <c r="BO151" s="169"/>
    </row>
    <row r="152" ht="15.75" customHeight="1">
      <c r="N152" s="150" t="s">
        <v>134</v>
      </c>
      <c r="O152" s="151">
        <v>44419.0</v>
      </c>
      <c r="P152" s="176">
        <v>0.0</v>
      </c>
      <c r="Q152" s="177">
        <v>0.0</v>
      </c>
      <c r="R152" s="178">
        <v>0.0</v>
      </c>
      <c r="S152" s="179">
        <v>0.0</v>
      </c>
      <c r="T152" s="180">
        <v>0.0</v>
      </c>
      <c r="U152" s="179">
        <v>0.0</v>
      </c>
      <c r="V152" s="178">
        <v>0.0</v>
      </c>
      <c r="W152" s="179">
        <v>0.0</v>
      </c>
      <c r="X152" s="178">
        <v>0.0</v>
      </c>
      <c r="Y152" s="181" t="str">
        <f t="shared" si="83"/>
        <v>#DIV/0!</v>
      </c>
      <c r="Z152" s="185" t="str">
        <f t="shared" si="84"/>
        <v>#DIV/0!</v>
      </c>
      <c r="AA152" s="164"/>
      <c r="AB152" s="150" t="s">
        <v>134</v>
      </c>
      <c r="AC152" s="151">
        <v>44419.0</v>
      </c>
      <c r="AD152" s="176">
        <v>0.0</v>
      </c>
      <c r="AE152" s="177">
        <v>0.0</v>
      </c>
      <c r="AF152" s="178" t="str">
        <f t="shared" si="85"/>
        <v>#DIV/0!</v>
      </c>
      <c r="AG152" s="179">
        <v>0.0</v>
      </c>
      <c r="AH152" s="180" t="str">
        <f t="shared" si="86"/>
        <v>#DIV/0!</v>
      </c>
      <c r="AI152" s="179">
        <v>0.0</v>
      </c>
      <c r="AJ152" s="178" t="str">
        <f t="shared" si="87"/>
        <v>#DIV/0!</v>
      </c>
      <c r="AK152" s="179">
        <v>0.0</v>
      </c>
      <c r="AL152" s="178" t="str">
        <f t="shared" si="88"/>
        <v>#DIV/0!</v>
      </c>
      <c r="AM152" s="181" t="str">
        <f t="shared" si="89"/>
        <v>#DIV/0!</v>
      </c>
      <c r="AN152" s="169"/>
      <c r="AO152" s="164"/>
      <c r="AP152" s="150" t="s">
        <v>134</v>
      </c>
      <c r="AQ152" s="151">
        <v>44419.0</v>
      </c>
      <c r="AR152" s="176">
        <v>0.0</v>
      </c>
      <c r="AS152" s="177">
        <v>0.0</v>
      </c>
      <c r="AT152" s="178" t="str">
        <f t="shared" si="90"/>
        <v>#DIV/0!</v>
      </c>
      <c r="AU152" s="179">
        <v>0.0</v>
      </c>
      <c r="AV152" s="180" t="str">
        <f t="shared" si="91"/>
        <v>#DIV/0!</v>
      </c>
      <c r="AW152" s="179">
        <v>0.0</v>
      </c>
      <c r="AX152" s="178" t="str">
        <f t="shared" si="92"/>
        <v>#DIV/0!</v>
      </c>
      <c r="AY152" s="179">
        <v>0.0</v>
      </c>
      <c r="AZ152" s="178" t="str">
        <f t="shared" si="93"/>
        <v>#DIV/0!</v>
      </c>
      <c r="BA152" s="181" t="str">
        <f t="shared" si="94"/>
        <v>#DIV/0!</v>
      </c>
      <c r="BB152" s="164"/>
      <c r="BC152" s="150" t="s">
        <v>134</v>
      </c>
      <c r="BD152" s="151">
        <v>44419.0</v>
      </c>
      <c r="BE152" s="176">
        <v>0.0</v>
      </c>
      <c r="BF152" s="177">
        <v>0.0</v>
      </c>
      <c r="BG152" s="178" t="str">
        <f t="shared" si="95"/>
        <v>#DIV/0!</v>
      </c>
      <c r="BH152" s="179">
        <v>0.0</v>
      </c>
      <c r="BI152" s="180" t="str">
        <f t="shared" si="96"/>
        <v>#DIV/0!</v>
      </c>
      <c r="BJ152" s="179">
        <v>0.0</v>
      </c>
      <c r="BK152" s="178" t="str">
        <f t="shared" si="97"/>
        <v>#DIV/0!</v>
      </c>
      <c r="BL152" s="179">
        <v>0.0</v>
      </c>
      <c r="BM152" s="178" t="str">
        <f t="shared" si="98"/>
        <v>#DIV/0!</v>
      </c>
      <c r="BN152" s="181" t="str">
        <f t="shared" si="99"/>
        <v>#DIV/0!</v>
      </c>
      <c r="BO152" s="169"/>
    </row>
    <row r="153" ht="15.75" customHeight="1">
      <c r="N153" s="150" t="s">
        <v>135</v>
      </c>
      <c r="O153" s="151">
        <v>44420.0</v>
      </c>
      <c r="P153" s="176">
        <v>0.0</v>
      </c>
      <c r="Q153" s="177">
        <v>0.0</v>
      </c>
      <c r="R153" s="178">
        <v>0.0</v>
      </c>
      <c r="S153" s="179">
        <v>0.0</v>
      </c>
      <c r="T153" s="180">
        <v>0.0</v>
      </c>
      <c r="U153" s="179">
        <v>0.0</v>
      </c>
      <c r="V153" s="178">
        <v>0.0</v>
      </c>
      <c r="W153" s="179">
        <v>0.0</v>
      </c>
      <c r="X153" s="178">
        <v>0.0</v>
      </c>
      <c r="Y153" s="181" t="str">
        <f t="shared" si="83"/>
        <v>#DIV/0!</v>
      </c>
      <c r="Z153" s="185" t="str">
        <f t="shared" si="84"/>
        <v>#DIV/0!</v>
      </c>
      <c r="AA153" s="164"/>
      <c r="AB153" s="150" t="s">
        <v>135</v>
      </c>
      <c r="AC153" s="151">
        <v>44420.0</v>
      </c>
      <c r="AD153" s="176">
        <v>0.0</v>
      </c>
      <c r="AE153" s="177">
        <v>0.0</v>
      </c>
      <c r="AF153" s="178" t="str">
        <f t="shared" si="85"/>
        <v>#DIV/0!</v>
      </c>
      <c r="AG153" s="179">
        <v>0.0</v>
      </c>
      <c r="AH153" s="180" t="str">
        <f t="shared" si="86"/>
        <v>#DIV/0!</v>
      </c>
      <c r="AI153" s="179">
        <v>0.0</v>
      </c>
      <c r="AJ153" s="178" t="str">
        <f t="shared" si="87"/>
        <v>#DIV/0!</v>
      </c>
      <c r="AK153" s="179">
        <v>0.0</v>
      </c>
      <c r="AL153" s="178" t="str">
        <f t="shared" si="88"/>
        <v>#DIV/0!</v>
      </c>
      <c r="AM153" s="181" t="str">
        <f t="shared" si="89"/>
        <v>#DIV/0!</v>
      </c>
      <c r="AN153" s="169"/>
      <c r="AO153" s="164"/>
      <c r="AP153" s="150" t="s">
        <v>135</v>
      </c>
      <c r="AQ153" s="151">
        <v>44420.0</v>
      </c>
      <c r="AR153" s="176">
        <v>0.0</v>
      </c>
      <c r="AS153" s="177">
        <v>0.0</v>
      </c>
      <c r="AT153" s="178" t="str">
        <f t="shared" si="90"/>
        <v>#DIV/0!</v>
      </c>
      <c r="AU153" s="179">
        <v>0.0</v>
      </c>
      <c r="AV153" s="180" t="str">
        <f t="shared" si="91"/>
        <v>#DIV/0!</v>
      </c>
      <c r="AW153" s="179">
        <v>0.0</v>
      </c>
      <c r="AX153" s="178" t="str">
        <f t="shared" si="92"/>
        <v>#DIV/0!</v>
      </c>
      <c r="AY153" s="179">
        <v>0.0</v>
      </c>
      <c r="AZ153" s="178" t="str">
        <f t="shared" si="93"/>
        <v>#DIV/0!</v>
      </c>
      <c r="BA153" s="181" t="str">
        <f t="shared" si="94"/>
        <v>#DIV/0!</v>
      </c>
      <c r="BB153" s="164"/>
      <c r="BC153" s="150" t="s">
        <v>135</v>
      </c>
      <c r="BD153" s="151">
        <v>44420.0</v>
      </c>
      <c r="BE153" s="176">
        <v>0.0</v>
      </c>
      <c r="BF153" s="177">
        <v>0.0</v>
      </c>
      <c r="BG153" s="178" t="str">
        <f t="shared" si="95"/>
        <v>#DIV/0!</v>
      </c>
      <c r="BH153" s="179">
        <v>0.0</v>
      </c>
      <c r="BI153" s="180" t="str">
        <f t="shared" si="96"/>
        <v>#DIV/0!</v>
      </c>
      <c r="BJ153" s="179">
        <v>0.0</v>
      </c>
      <c r="BK153" s="178" t="str">
        <f t="shared" si="97"/>
        <v>#DIV/0!</v>
      </c>
      <c r="BL153" s="179">
        <v>0.0</v>
      </c>
      <c r="BM153" s="178" t="str">
        <f t="shared" si="98"/>
        <v>#DIV/0!</v>
      </c>
      <c r="BN153" s="181" t="str">
        <f t="shared" si="99"/>
        <v>#DIV/0!</v>
      </c>
      <c r="BO153" s="169"/>
    </row>
    <row r="154" ht="15.75" customHeight="1">
      <c r="N154" s="150" t="s">
        <v>123</v>
      </c>
      <c r="O154" s="151">
        <v>44421.0</v>
      </c>
      <c r="P154" s="176">
        <v>0.0</v>
      </c>
      <c r="Q154" s="177">
        <v>0.0</v>
      </c>
      <c r="R154" s="178">
        <v>0.0</v>
      </c>
      <c r="S154" s="179">
        <v>0.0</v>
      </c>
      <c r="T154" s="180">
        <v>0.0</v>
      </c>
      <c r="U154" s="179">
        <v>0.0</v>
      </c>
      <c r="V154" s="178">
        <v>0.0</v>
      </c>
      <c r="W154" s="179">
        <v>0.0</v>
      </c>
      <c r="X154" s="178">
        <v>0.0</v>
      </c>
      <c r="Y154" s="181" t="str">
        <f t="shared" si="83"/>
        <v>#DIV/0!</v>
      </c>
      <c r="Z154" s="185" t="str">
        <f t="shared" si="84"/>
        <v>#DIV/0!</v>
      </c>
      <c r="AA154" s="164"/>
      <c r="AB154" s="150" t="s">
        <v>123</v>
      </c>
      <c r="AC154" s="151">
        <v>44421.0</v>
      </c>
      <c r="AD154" s="176">
        <v>0.0</v>
      </c>
      <c r="AE154" s="177">
        <v>0.0</v>
      </c>
      <c r="AF154" s="178" t="str">
        <f t="shared" si="85"/>
        <v>#DIV/0!</v>
      </c>
      <c r="AG154" s="179">
        <v>0.0</v>
      </c>
      <c r="AH154" s="180" t="str">
        <f t="shared" si="86"/>
        <v>#DIV/0!</v>
      </c>
      <c r="AI154" s="179">
        <v>0.0</v>
      </c>
      <c r="AJ154" s="178" t="str">
        <f t="shared" si="87"/>
        <v>#DIV/0!</v>
      </c>
      <c r="AK154" s="179">
        <v>0.0</v>
      </c>
      <c r="AL154" s="178" t="str">
        <f t="shared" si="88"/>
        <v>#DIV/0!</v>
      </c>
      <c r="AM154" s="181" t="str">
        <f t="shared" si="89"/>
        <v>#DIV/0!</v>
      </c>
      <c r="AN154" s="169"/>
      <c r="AO154" s="164"/>
      <c r="AP154" s="150" t="s">
        <v>123</v>
      </c>
      <c r="AQ154" s="151">
        <v>44421.0</v>
      </c>
      <c r="AR154" s="176">
        <v>0.0</v>
      </c>
      <c r="AS154" s="177">
        <v>0.0</v>
      </c>
      <c r="AT154" s="178" t="str">
        <f t="shared" si="90"/>
        <v>#DIV/0!</v>
      </c>
      <c r="AU154" s="179">
        <v>0.0</v>
      </c>
      <c r="AV154" s="180" t="str">
        <f t="shared" si="91"/>
        <v>#DIV/0!</v>
      </c>
      <c r="AW154" s="179">
        <v>0.0</v>
      </c>
      <c r="AX154" s="178" t="str">
        <f t="shared" si="92"/>
        <v>#DIV/0!</v>
      </c>
      <c r="AY154" s="179">
        <v>0.0</v>
      </c>
      <c r="AZ154" s="178" t="str">
        <f t="shared" si="93"/>
        <v>#DIV/0!</v>
      </c>
      <c r="BA154" s="181" t="str">
        <f t="shared" si="94"/>
        <v>#DIV/0!</v>
      </c>
      <c r="BB154" s="164"/>
      <c r="BC154" s="150" t="s">
        <v>123</v>
      </c>
      <c r="BD154" s="151">
        <v>44421.0</v>
      </c>
      <c r="BE154" s="176">
        <v>0.0</v>
      </c>
      <c r="BF154" s="177">
        <v>0.0</v>
      </c>
      <c r="BG154" s="178" t="str">
        <f t="shared" si="95"/>
        <v>#DIV/0!</v>
      </c>
      <c r="BH154" s="179">
        <v>0.0</v>
      </c>
      <c r="BI154" s="180" t="str">
        <f t="shared" si="96"/>
        <v>#DIV/0!</v>
      </c>
      <c r="BJ154" s="179">
        <v>0.0</v>
      </c>
      <c r="BK154" s="178" t="str">
        <f t="shared" si="97"/>
        <v>#DIV/0!</v>
      </c>
      <c r="BL154" s="179">
        <v>0.0</v>
      </c>
      <c r="BM154" s="178" t="str">
        <f t="shared" si="98"/>
        <v>#DIV/0!</v>
      </c>
      <c r="BN154" s="181" t="str">
        <f t="shared" si="99"/>
        <v>#DIV/0!</v>
      </c>
      <c r="BO154" s="169"/>
    </row>
    <row r="155" ht="15.75" customHeight="1">
      <c r="N155" s="150" t="s">
        <v>126</v>
      </c>
      <c r="O155" s="151">
        <v>44422.0</v>
      </c>
      <c r="P155" s="176">
        <v>0.0</v>
      </c>
      <c r="Q155" s="177">
        <v>0.0</v>
      </c>
      <c r="R155" s="178">
        <v>0.0</v>
      </c>
      <c r="S155" s="179">
        <v>0.0</v>
      </c>
      <c r="T155" s="180">
        <v>0.0</v>
      </c>
      <c r="U155" s="179">
        <v>0.0</v>
      </c>
      <c r="V155" s="178">
        <v>0.0</v>
      </c>
      <c r="W155" s="179">
        <v>0.0</v>
      </c>
      <c r="X155" s="178">
        <v>0.0</v>
      </c>
      <c r="Y155" s="181" t="str">
        <f t="shared" si="83"/>
        <v>#DIV/0!</v>
      </c>
      <c r="Z155" s="185" t="str">
        <f t="shared" si="84"/>
        <v>#DIV/0!</v>
      </c>
      <c r="AA155" s="164"/>
      <c r="AB155" s="150" t="s">
        <v>126</v>
      </c>
      <c r="AC155" s="151">
        <v>44422.0</v>
      </c>
      <c r="AD155" s="176">
        <v>0.0</v>
      </c>
      <c r="AE155" s="177">
        <v>0.0</v>
      </c>
      <c r="AF155" s="178" t="str">
        <f t="shared" si="85"/>
        <v>#DIV/0!</v>
      </c>
      <c r="AG155" s="179">
        <v>0.0</v>
      </c>
      <c r="AH155" s="180" t="str">
        <f t="shared" si="86"/>
        <v>#DIV/0!</v>
      </c>
      <c r="AI155" s="179">
        <v>0.0</v>
      </c>
      <c r="AJ155" s="178" t="str">
        <f t="shared" si="87"/>
        <v>#DIV/0!</v>
      </c>
      <c r="AK155" s="179">
        <v>0.0</v>
      </c>
      <c r="AL155" s="178" t="str">
        <f t="shared" si="88"/>
        <v>#DIV/0!</v>
      </c>
      <c r="AM155" s="181" t="str">
        <f t="shared" si="89"/>
        <v>#DIV/0!</v>
      </c>
      <c r="AN155" s="169"/>
      <c r="AO155" s="164"/>
      <c r="AP155" s="150" t="s">
        <v>126</v>
      </c>
      <c r="AQ155" s="151">
        <v>44422.0</v>
      </c>
      <c r="AR155" s="176">
        <v>0.0</v>
      </c>
      <c r="AS155" s="177">
        <v>0.0</v>
      </c>
      <c r="AT155" s="178" t="str">
        <f t="shared" si="90"/>
        <v>#DIV/0!</v>
      </c>
      <c r="AU155" s="179">
        <v>0.0</v>
      </c>
      <c r="AV155" s="180" t="str">
        <f t="shared" si="91"/>
        <v>#DIV/0!</v>
      </c>
      <c r="AW155" s="179">
        <v>0.0</v>
      </c>
      <c r="AX155" s="178" t="str">
        <f t="shared" si="92"/>
        <v>#DIV/0!</v>
      </c>
      <c r="AY155" s="179">
        <v>0.0</v>
      </c>
      <c r="AZ155" s="178" t="str">
        <f t="shared" si="93"/>
        <v>#DIV/0!</v>
      </c>
      <c r="BA155" s="181" t="str">
        <f t="shared" si="94"/>
        <v>#DIV/0!</v>
      </c>
      <c r="BB155" s="164"/>
      <c r="BC155" s="150" t="s">
        <v>126</v>
      </c>
      <c r="BD155" s="151">
        <v>44422.0</v>
      </c>
      <c r="BE155" s="176">
        <v>0.0</v>
      </c>
      <c r="BF155" s="177">
        <v>0.0</v>
      </c>
      <c r="BG155" s="178" t="str">
        <f t="shared" si="95"/>
        <v>#DIV/0!</v>
      </c>
      <c r="BH155" s="179">
        <v>0.0</v>
      </c>
      <c r="BI155" s="180" t="str">
        <f t="shared" si="96"/>
        <v>#DIV/0!</v>
      </c>
      <c r="BJ155" s="179">
        <v>0.0</v>
      </c>
      <c r="BK155" s="178" t="str">
        <f t="shared" si="97"/>
        <v>#DIV/0!</v>
      </c>
      <c r="BL155" s="179">
        <v>0.0</v>
      </c>
      <c r="BM155" s="178" t="str">
        <f t="shared" si="98"/>
        <v>#DIV/0!</v>
      </c>
      <c r="BN155" s="181" t="str">
        <f t="shared" si="99"/>
        <v>#DIV/0!</v>
      </c>
      <c r="BO155" s="169"/>
    </row>
    <row r="156" ht="15.75" customHeight="1">
      <c r="N156" s="150" t="s">
        <v>127</v>
      </c>
      <c r="O156" s="151">
        <v>44423.0</v>
      </c>
      <c r="P156" s="176">
        <v>0.0</v>
      </c>
      <c r="Q156" s="177">
        <v>0.0</v>
      </c>
      <c r="R156" s="178">
        <v>0.0</v>
      </c>
      <c r="S156" s="179">
        <v>0.0</v>
      </c>
      <c r="T156" s="180">
        <v>0.0</v>
      </c>
      <c r="U156" s="179">
        <v>0.0</v>
      </c>
      <c r="V156" s="178">
        <v>0.0</v>
      </c>
      <c r="W156" s="179">
        <v>0.0</v>
      </c>
      <c r="X156" s="178">
        <v>0.0</v>
      </c>
      <c r="Y156" s="181" t="str">
        <f t="shared" si="83"/>
        <v>#DIV/0!</v>
      </c>
      <c r="Z156" s="185" t="str">
        <f t="shared" si="84"/>
        <v>#DIV/0!</v>
      </c>
      <c r="AA156" s="164"/>
      <c r="AB156" s="150" t="s">
        <v>127</v>
      </c>
      <c r="AC156" s="151">
        <v>44423.0</v>
      </c>
      <c r="AD156" s="176">
        <v>0.0</v>
      </c>
      <c r="AE156" s="177">
        <v>0.0</v>
      </c>
      <c r="AF156" s="178" t="str">
        <f t="shared" si="85"/>
        <v>#DIV/0!</v>
      </c>
      <c r="AG156" s="179">
        <v>0.0</v>
      </c>
      <c r="AH156" s="180" t="str">
        <f t="shared" si="86"/>
        <v>#DIV/0!</v>
      </c>
      <c r="AI156" s="179">
        <v>0.0</v>
      </c>
      <c r="AJ156" s="178" t="str">
        <f t="shared" si="87"/>
        <v>#DIV/0!</v>
      </c>
      <c r="AK156" s="179">
        <v>0.0</v>
      </c>
      <c r="AL156" s="178" t="str">
        <f t="shared" si="88"/>
        <v>#DIV/0!</v>
      </c>
      <c r="AM156" s="181" t="str">
        <f t="shared" si="89"/>
        <v>#DIV/0!</v>
      </c>
      <c r="AN156" s="169"/>
      <c r="AO156" s="164"/>
      <c r="AP156" s="150" t="s">
        <v>127</v>
      </c>
      <c r="AQ156" s="151">
        <v>44423.0</v>
      </c>
      <c r="AR156" s="176">
        <v>0.0</v>
      </c>
      <c r="AS156" s="177">
        <v>0.0</v>
      </c>
      <c r="AT156" s="178" t="str">
        <f t="shared" si="90"/>
        <v>#DIV/0!</v>
      </c>
      <c r="AU156" s="179">
        <v>0.0</v>
      </c>
      <c r="AV156" s="180" t="str">
        <f t="shared" si="91"/>
        <v>#DIV/0!</v>
      </c>
      <c r="AW156" s="179">
        <v>0.0</v>
      </c>
      <c r="AX156" s="178" t="str">
        <f t="shared" si="92"/>
        <v>#DIV/0!</v>
      </c>
      <c r="AY156" s="179">
        <v>0.0</v>
      </c>
      <c r="AZ156" s="178" t="str">
        <f t="shared" si="93"/>
        <v>#DIV/0!</v>
      </c>
      <c r="BA156" s="181" t="str">
        <f t="shared" si="94"/>
        <v>#DIV/0!</v>
      </c>
      <c r="BB156" s="164"/>
      <c r="BC156" s="150" t="s">
        <v>127</v>
      </c>
      <c r="BD156" s="151">
        <v>44423.0</v>
      </c>
      <c r="BE156" s="176">
        <v>0.0</v>
      </c>
      <c r="BF156" s="177">
        <v>0.0</v>
      </c>
      <c r="BG156" s="178" t="str">
        <f t="shared" si="95"/>
        <v>#DIV/0!</v>
      </c>
      <c r="BH156" s="179">
        <v>0.0</v>
      </c>
      <c r="BI156" s="180" t="str">
        <f t="shared" si="96"/>
        <v>#DIV/0!</v>
      </c>
      <c r="BJ156" s="179">
        <v>0.0</v>
      </c>
      <c r="BK156" s="178" t="str">
        <f t="shared" si="97"/>
        <v>#DIV/0!</v>
      </c>
      <c r="BL156" s="179">
        <v>0.0</v>
      </c>
      <c r="BM156" s="178" t="str">
        <f t="shared" si="98"/>
        <v>#DIV/0!</v>
      </c>
      <c r="BN156" s="181" t="str">
        <f t="shared" si="99"/>
        <v>#DIV/0!</v>
      </c>
      <c r="BO156" s="169"/>
    </row>
    <row r="157" ht="15.75" customHeight="1">
      <c r="N157" s="150" t="s">
        <v>130</v>
      </c>
      <c r="O157" s="151">
        <v>44424.0</v>
      </c>
      <c r="P157" s="176">
        <v>0.0</v>
      </c>
      <c r="Q157" s="177">
        <v>0.0</v>
      </c>
      <c r="R157" s="178">
        <v>0.0</v>
      </c>
      <c r="S157" s="179">
        <v>0.0</v>
      </c>
      <c r="T157" s="180">
        <v>0.0</v>
      </c>
      <c r="U157" s="179">
        <v>0.0</v>
      </c>
      <c r="V157" s="178">
        <v>0.0</v>
      </c>
      <c r="W157" s="179">
        <v>0.0</v>
      </c>
      <c r="X157" s="178">
        <v>0.0</v>
      </c>
      <c r="Y157" s="181" t="str">
        <f t="shared" si="83"/>
        <v>#DIV/0!</v>
      </c>
      <c r="Z157" s="185" t="str">
        <f t="shared" si="84"/>
        <v>#DIV/0!</v>
      </c>
      <c r="AA157" s="164"/>
      <c r="AB157" s="150" t="s">
        <v>130</v>
      </c>
      <c r="AC157" s="151">
        <v>44424.0</v>
      </c>
      <c r="AD157" s="176">
        <v>0.0</v>
      </c>
      <c r="AE157" s="177">
        <v>0.0</v>
      </c>
      <c r="AF157" s="178" t="str">
        <f t="shared" si="85"/>
        <v>#DIV/0!</v>
      </c>
      <c r="AG157" s="179">
        <v>0.0</v>
      </c>
      <c r="AH157" s="180" t="str">
        <f t="shared" si="86"/>
        <v>#DIV/0!</v>
      </c>
      <c r="AI157" s="179">
        <v>0.0</v>
      </c>
      <c r="AJ157" s="178" t="str">
        <f t="shared" si="87"/>
        <v>#DIV/0!</v>
      </c>
      <c r="AK157" s="179">
        <v>0.0</v>
      </c>
      <c r="AL157" s="178" t="str">
        <f t="shared" si="88"/>
        <v>#DIV/0!</v>
      </c>
      <c r="AM157" s="181" t="str">
        <f t="shared" si="89"/>
        <v>#DIV/0!</v>
      </c>
      <c r="AN157" s="169"/>
      <c r="AO157" s="164"/>
      <c r="AP157" s="150" t="s">
        <v>130</v>
      </c>
      <c r="AQ157" s="151">
        <v>44424.0</v>
      </c>
      <c r="AR157" s="176">
        <v>0.0</v>
      </c>
      <c r="AS157" s="177">
        <v>0.0</v>
      </c>
      <c r="AT157" s="178" t="str">
        <f t="shared" si="90"/>
        <v>#DIV/0!</v>
      </c>
      <c r="AU157" s="179">
        <v>0.0</v>
      </c>
      <c r="AV157" s="180" t="str">
        <f t="shared" si="91"/>
        <v>#DIV/0!</v>
      </c>
      <c r="AW157" s="179">
        <v>0.0</v>
      </c>
      <c r="AX157" s="178" t="str">
        <f t="shared" si="92"/>
        <v>#DIV/0!</v>
      </c>
      <c r="AY157" s="179">
        <v>0.0</v>
      </c>
      <c r="AZ157" s="178" t="str">
        <f t="shared" si="93"/>
        <v>#DIV/0!</v>
      </c>
      <c r="BA157" s="181" t="str">
        <f t="shared" si="94"/>
        <v>#DIV/0!</v>
      </c>
      <c r="BB157" s="164"/>
      <c r="BC157" s="150" t="s">
        <v>130</v>
      </c>
      <c r="BD157" s="151">
        <v>44424.0</v>
      </c>
      <c r="BE157" s="176">
        <v>0.0</v>
      </c>
      <c r="BF157" s="177">
        <v>0.0</v>
      </c>
      <c r="BG157" s="178" t="str">
        <f t="shared" si="95"/>
        <v>#DIV/0!</v>
      </c>
      <c r="BH157" s="179">
        <v>0.0</v>
      </c>
      <c r="BI157" s="180" t="str">
        <f t="shared" si="96"/>
        <v>#DIV/0!</v>
      </c>
      <c r="BJ157" s="179">
        <v>0.0</v>
      </c>
      <c r="BK157" s="178" t="str">
        <f t="shared" si="97"/>
        <v>#DIV/0!</v>
      </c>
      <c r="BL157" s="179">
        <v>0.0</v>
      </c>
      <c r="BM157" s="178" t="str">
        <f t="shared" si="98"/>
        <v>#DIV/0!</v>
      </c>
      <c r="BN157" s="181" t="str">
        <f t="shared" si="99"/>
        <v>#DIV/0!</v>
      </c>
      <c r="BO157" s="169"/>
    </row>
    <row r="158" ht="15.75" customHeight="1">
      <c r="N158" s="150" t="s">
        <v>131</v>
      </c>
      <c r="O158" s="151">
        <v>44425.0</v>
      </c>
      <c r="P158" s="176">
        <v>0.0</v>
      </c>
      <c r="Q158" s="177">
        <v>0.0</v>
      </c>
      <c r="R158" s="178">
        <v>0.0</v>
      </c>
      <c r="S158" s="179">
        <v>0.0</v>
      </c>
      <c r="T158" s="180">
        <v>0.0</v>
      </c>
      <c r="U158" s="179">
        <v>0.0</v>
      </c>
      <c r="V158" s="178">
        <v>0.0</v>
      </c>
      <c r="W158" s="179">
        <v>0.0</v>
      </c>
      <c r="X158" s="178">
        <v>0.0</v>
      </c>
      <c r="Y158" s="181" t="str">
        <f t="shared" si="83"/>
        <v>#DIV/0!</v>
      </c>
      <c r="Z158" s="185" t="str">
        <f t="shared" si="84"/>
        <v>#DIV/0!</v>
      </c>
      <c r="AA158" s="164"/>
      <c r="AB158" s="150" t="s">
        <v>131</v>
      </c>
      <c r="AC158" s="151">
        <v>44425.0</v>
      </c>
      <c r="AD158" s="176">
        <v>0.0</v>
      </c>
      <c r="AE158" s="177">
        <v>0.0</v>
      </c>
      <c r="AF158" s="178" t="str">
        <f t="shared" si="85"/>
        <v>#DIV/0!</v>
      </c>
      <c r="AG158" s="179">
        <v>0.0</v>
      </c>
      <c r="AH158" s="180" t="str">
        <f t="shared" si="86"/>
        <v>#DIV/0!</v>
      </c>
      <c r="AI158" s="179">
        <v>0.0</v>
      </c>
      <c r="AJ158" s="178" t="str">
        <f t="shared" si="87"/>
        <v>#DIV/0!</v>
      </c>
      <c r="AK158" s="179">
        <v>0.0</v>
      </c>
      <c r="AL158" s="178" t="str">
        <f t="shared" si="88"/>
        <v>#DIV/0!</v>
      </c>
      <c r="AM158" s="181" t="str">
        <f t="shared" si="89"/>
        <v>#DIV/0!</v>
      </c>
      <c r="AN158" s="169"/>
      <c r="AO158" s="164"/>
      <c r="AP158" s="150" t="s">
        <v>131</v>
      </c>
      <c r="AQ158" s="151">
        <v>44425.0</v>
      </c>
      <c r="AR158" s="176">
        <v>0.0</v>
      </c>
      <c r="AS158" s="177">
        <v>0.0</v>
      </c>
      <c r="AT158" s="178" t="str">
        <f t="shared" si="90"/>
        <v>#DIV/0!</v>
      </c>
      <c r="AU158" s="179">
        <v>0.0</v>
      </c>
      <c r="AV158" s="180" t="str">
        <f t="shared" si="91"/>
        <v>#DIV/0!</v>
      </c>
      <c r="AW158" s="179">
        <v>0.0</v>
      </c>
      <c r="AX158" s="178" t="str">
        <f t="shared" si="92"/>
        <v>#DIV/0!</v>
      </c>
      <c r="AY158" s="179">
        <v>0.0</v>
      </c>
      <c r="AZ158" s="178" t="str">
        <f t="shared" si="93"/>
        <v>#DIV/0!</v>
      </c>
      <c r="BA158" s="181" t="str">
        <f t="shared" si="94"/>
        <v>#DIV/0!</v>
      </c>
      <c r="BB158" s="164"/>
      <c r="BC158" s="150" t="s">
        <v>131</v>
      </c>
      <c r="BD158" s="151">
        <v>44425.0</v>
      </c>
      <c r="BE158" s="176">
        <v>0.0</v>
      </c>
      <c r="BF158" s="177">
        <v>0.0</v>
      </c>
      <c r="BG158" s="178" t="str">
        <f t="shared" si="95"/>
        <v>#DIV/0!</v>
      </c>
      <c r="BH158" s="179">
        <v>0.0</v>
      </c>
      <c r="BI158" s="180" t="str">
        <f t="shared" si="96"/>
        <v>#DIV/0!</v>
      </c>
      <c r="BJ158" s="179">
        <v>0.0</v>
      </c>
      <c r="BK158" s="178" t="str">
        <f t="shared" si="97"/>
        <v>#DIV/0!</v>
      </c>
      <c r="BL158" s="179">
        <v>0.0</v>
      </c>
      <c r="BM158" s="178" t="str">
        <f t="shared" si="98"/>
        <v>#DIV/0!</v>
      </c>
      <c r="BN158" s="181" t="str">
        <f t="shared" si="99"/>
        <v>#DIV/0!</v>
      </c>
      <c r="BO158" s="169"/>
    </row>
    <row r="159" ht="15.75" customHeight="1">
      <c r="N159" s="150" t="s">
        <v>134</v>
      </c>
      <c r="O159" s="151">
        <v>44426.0</v>
      </c>
      <c r="P159" s="176">
        <v>0.0</v>
      </c>
      <c r="Q159" s="177">
        <v>0.0</v>
      </c>
      <c r="R159" s="178">
        <v>0.0</v>
      </c>
      <c r="S159" s="179">
        <v>0.0</v>
      </c>
      <c r="T159" s="180">
        <v>0.0</v>
      </c>
      <c r="U159" s="179">
        <v>0.0</v>
      </c>
      <c r="V159" s="178">
        <v>0.0</v>
      </c>
      <c r="W159" s="179">
        <v>0.0</v>
      </c>
      <c r="X159" s="178">
        <v>0.0</v>
      </c>
      <c r="Y159" s="181" t="str">
        <f t="shared" si="83"/>
        <v>#DIV/0!</v>
      </c>
      <c r="Z159" s="185" t="str">
        <f t="shared" si="84"/>
        <v>#DIV/0!</v>
      </c>
      <c r="AA159" s="164"/>
      <c r="AB159" s="150" t="s">
        <v>134</v>
      </c>
      <c r="AC159" s="151">
        <v>44426.0</v>
      </c>
      <c r="AD159" s="176">
        <v>0.0</v>
      </c>
      <c r="AE159" s="177">
        <v>0.0</v>
      </c>
      <c r="AF159" s="178" t="str">
        <f t="shared" si="85"/>
        <v>#DIV/0!</v>
      </c>
      <c r="AG159" s="179">
        <v>0.0</v>
      </c>
      <c r="AH159" s="180" t="str">
        <f t="shared" si="86"/>
        <v>#DIV/0!</v>
      </c>
      <c r="AI159" s="179">
        <v>0.0</v>
      </c>
      <c r="AJ159" s="178" t="str">
        <f t="shared" si="87"/>
        <v>#DIV/0!</v>
      </c>
      <c r="AK159" s="179">
        <v>0.0</v>
      </c>
      <c r="AL159" s="178" t="str">
        <f t="shared" si="88"/>
        <v>#DIV/0!</v>
      </c>
      <c r="AM159" s="181" t="str">
        <f t="shared" si="89"/>
        <v>#DIV/0!</v>
      </c>
      <c r="AN159" s="169"/>
      <c r="AO159" s="164"/>
      <c r="AP159" s="150" t="s">
        <v>134</v>
      </c>
      <c r="AQ159" s="151">
        <v>44426.0</v>
      </c>
      <c r="AR159" s="176">
        <v>0.0</v>
      </c>
      <c r="AS159" s="177">
        <v>0.0</v>
      </c>
      <c r="AT159" s="178" t="str">
        <f t="shared" si="90"/>
        <v>#DIV/0!</v>
      </c>
      <c r="AU159" s="179">
        <v>0.0</v>
      </c>
      <c r="AV159" s="180" t="str">
        <f t="shared" si="91"/>
        <v>#DIV/0!</v>
      </c>
      <c r="AW159" s="179">
        <v>0.0</v>
      </c>
      <c r="AX159" s="178" t="str">
        <f t="shared" si="92"/>
        <v>#DIV/0!</v>
      </c>
      <c r="AY159" s="179">
        <v>0.0</v>
      </c>
      <c r="AZ159" s="178" t="str">
        <f t="shared" si="93"/>
        <v>#DIV/0!</v>
      </c>
      <c r="BA159" s="181" t="str">
        <f t="shared" si="94"/>
        <v>#DIV/0!</v>
      </c>
      <c r="BB159" s="164"/>
      <c r="BC159" s="150" t="s">
        <v>134</v>
      </c>
      <c r="BD159" s="151">
        <v>44426.0</v>
      </c>
      <c r="BE159" s="176">
        <v>0.0</v>
      </c>
      <c r="BF159" s="177">
        <v>0.0</v>
      </c>
      <c r="BG159" s="178" t="str">
        <f t="shared" si="95"/>
        <v>#DIV/0!</v>
      </c>
      <c r="BH159" s="179">
        <v>0.0</v>
      </c>
      <c r="BI159" s="180" t="str">
        <f t="shared" si="96"/>
        <v>#DIV/0!</v>
      </c>
      <c r="BJ159" s="179">
        <v>0.0</v>
      </c>
      <c r="BK159" s="178" t="str">
        <f t="shared" si="97"/>
        <v>#DIV/0!</v>
      </c>
      <c r="BL159" s="179">
        <v>0.0</v>
      </c>
      <c r="BM159" s="178" t="str">
        <f t="shared" si="98"/>
        <v>#DIV/0!</v>
      </c>
      <c r="BN159" s="181" t="str">
        <f t="shared" si="99"/>
        <v>#DIV/0!</v>
      </c>
      <c r="BO159" s="169"/>
    </row>
    <row r="160" ht="15.75" customHeight="1">
      <c r="N160" s="150" t="s">
        <v>135</v>
      </c>
      <c r="O160" s="151">
        <v>44427.0</v>
      </c>
      <c r="P160" s="176">
        <v>0.0</v>
      </c>
      <c r="Q160" s="177">
        <v>0.0</v>
      </c>
      <c r="R160" s="178">
        <v>0.0</v>
      </c>
      <c r="S160" s="179">
        <v>0.0</v>
      </c>
      <c r="T160" s="180">
        <v>0.0</v>
      </c>
      <c r="U160" s="179">
        <v>0.0</v>
      </c>
      <c r="V160" s="178">
        <v>0.0</v>
      </c>
      <c r="W160" s="179">
        <v>0.0</v>
      </c>
      <c r="X160" s="178">
        <v>0.0</v>
      </c>
      <c r="Y160" s="181" t="str">
        <f t="shared" si="83"/>
        <v>#DIV/0!</v>
      </c>
      <c r="Z160" s="185" t="str">
        <f t="shared" si="84"/>
        <v>#DIV/0!</v>
      </c>
      <c r="AA160" s="164"/>
      <c r="AB160" s="150" t="s">
        <v>135</v>
      </c>
      <c r="AC160" s="151">
        <v>44427.0</v>
      </c>
      <c r="AD160" s="176">
        <v>0.0</v>
      </c>
      <c r="AE160" s="177">
        <v>0.0</v>
      </c>
      <c r="AF160" s="178" t="str">
        <f t="shared" si="85"/>
        <v>#DIV/0!</v>
      </c>
      <c r="AG160" s="179">
        <v>0.0</v>
      </c>
      <c r="AH160" s="180" t="str">
        <f t="shared" si="86"/>
        <v>#DIV/0!</v>
      </c>
      <c r="AI160" s="179">
        <v>0.0</v>
      </c>
      <c r="AJ160" s="178" t="str">
        <f t="shared" si="87"/>
        <v>#DIV/0!</v>
      </c>
      <c r="AK160" s="179">
        <v>0.0</v>
      </c>
      <c r="AL160" s="178" t="str">
        <f t="shared" si="88"/>
        <v>#DIV/0!</v>
      </c>
      <c r="AM160" s="181" t="str">
        <f t="shared" si="89"/>
        <v>#DIV/0!</v>
      </c>
      <c r="AN160" s="169"/>
      <c r="AO160" s="164"/>
      <c r="AP160" s="150" t="s">
        <v>135</v>
      </c>
      <c r="AQ160" s="151">
        <v>44427.0</v>
      </c>
      <c r="AR160" s="176">
        <v>0.0</v>
      </c>
      <c r="AS160" s="177">
        <v>0.0</v>
      </c>
      <c r="AT160" s="178" t="str">
        <f t="shared" si="90"/>
        <v>#DIV/0!</v>
      </c>
      <c r="AU160" s="179">
        <v>0.0</v>
      </c>
      <c r="AV160" s="180" t="str">
        <f t="shared" si="91"/>
        <v>#DIV/0!</v>
      </c>
      <c r="AW160" s="179">
        <v>0.0</v>
      </c>
      <c r="AX160" s="178" t="str">
        <f t="shared" si="92"/>
        <v>#DIV/0!</v>
      </c>
      <c r="AY160" s="179">
        <v>0.0</v>
      </c>
      <c r="AZ160" s="178" t="str">
        <f t="shared" si="93"/>
        <v>#DIV/0!</v>
      </c>
      <c r="BA160" s="181" t="str">
        <f t="shared" si="94"/>
        <v>#DIV/0!</v>
      </c>
      <c r="BB160" s="164"/>
      <c r="BC160" s="150" t="s">
        <v>135</v>
      </c>
      <c r="BD160" s="151">
        <v>44427.0</v>
      </c>
      <c r="BE160" s="176">
        <v>0.0</v>
      </c>
      <c r="BF160" s="177">
        <v>0.0</v>
      </c>
      <c r="BG160" s="178" t="str">
        <f t="shared" si="95"/>
        <v>#DIV/0!</v>
      </c>
      <c r="BH160" s="179">
        <v>0.0</v>
      </c>
      <c r="BI160" s="180" t="str">
        <f t="shared" si="96"/>
        <v>#DIV/0!</v>
      </c>
      <c r="BJ160" s="179">
        <v>0.0</v>
      </c>
      <c r="BK160" s="178" t="str">
        <f t="shared" si="97"/>
        <v>#DIV/0!</v>
      </c>
      <c r="BL160" s="179">
        <v>0.0</v>
      </c>
      <c r="BM160" s="178" t="str">
        <f t="shared" si="98"/>
        <v>#DIV/0!</v>
      </c>
      <c r="BN160" s="181" t="str">
        <f t="shared" si="99"/>
        <v>#DIV/0!</v>
      </c>
      <c r="BO160" s="169"/>
    </row>
    <row r="161" ht="15.75" customHeight="1">
      <c r="N161" s="150" t="s">
        <v>123</v>
      </c>
      <c r="O161" s="151">
        <v>44428.0</v>
      </c>
      <c r="P161" s="176">
        <v>0.0</v>
      </c>
      <c r="Q161" s="177">
        <v>0.0</v>
      </c>
      <c r="R161" s="178">
        <v>0.0</v>
      </c>
      <c r="S161" s="179">
        <v>0.0</v>
      </c>
      <c r="T161" s="180">
        <v>0.0</v>
      </c>
      <c r="U161" s="179">
        <v>0.0</v>
      </c>
      <c r="V161" s="178">
        <v>0.0</v>
      </c>
      <c r="W161" s="179">
        <v>0.0</v>
      </c>
      <c r="X161" s="178">
        <v>0.0</v>
      </c>
      <c r="Y161" s="181" t="str">
        <f t="shared" si="83"/>
        <v>#DIV/0!</v>
      </c>
      <c r="Z161" s="185" t="str">
        <f t="shared" si="84"/>
        <v>#DIV/0!</v>
      </c>
      <c r="AA161" s="164"/>
      <c r="AB161" s="150" t="s">
        <v>123</v>
      </c>
      <c r="AC161" s="151">
        <v>44428.0</v>
      </c>
      <c r="AD161" s="176">
        <v>0.0</v>
      </c>
      <c r="AE161" s="177">
        <v>0.0</v>
      </c>
      <c r="AF161" s="178" t="str">
        <f t="shared" si="85"/>
        <v>#DIV/0!</v>
      </c>
      <c r="AG161" s="179">
        <v>0.0</v>
      </c>
      <c r="AH161" s="180" t="str">
        <f t="shared" si="86"/>
        <v>#DIV/0!</v>
      </c>
      <c r="AI161" s="179">
        <v>0.0</v>
      </c>
      <c r="AJ161" s="178" t="str">
        <f t="shared" si="87"/>
        <v>#DIV/0!</v>
      </c>
      <c r="AK161" s="179">
        <v>0.0</v>
      </c>
      <c r="AL161" s="178" t="str">
        <f t="shared" si="88"/>
        <v>#DIV/0!</v>
      </c>
      <c r="AM161" s="181" t="str">
        <f t="shared" si="89"/>
        <v>#DIV/0!</v>
      </c>
      <c r="AN161" s="169"/>
      <c r="AO161" s="164"/>
      <c r="AP161" s="150" t="s">
        <v>123</v>
      </c>
      <c r="AQ161" s="151">
        <v>44428.0</v>
      </c>
      <c r="AR161" s="176">
        <v>0.0</v>
      </c>
      <c r="AS161" s="177">
        <v>0.0</v>
      </c>
      <c r="AT161" s="178" t="str">
        <f t="shared" si="90"/>
        <v>#DIV/0!</v>
      </c>
      <c r="AU161" s="179">
        <v>0.0</v>
      </c>
      <c r="AV161" s="180" t="str">
        <f t="shared" si="91"/>
        <v>#DIV/0!</v>
      </c>
      <c r="AW161" s="179">
        <v>0.0</v>
      </c>
      <c r="AX161" s="178" t="str">
        <f t="shared" si="92"/>
        <v>#DIV/0!</v>
      </c>
      <c r="AY161" s="179">
        <v>0.0</v>
      </c>
      <c r="AZ161" s="178" t="str">
        <f t="shared" si="93"/>
        <v>#DIV/0!</v>
      </c>
      <c r="BA161" s="181" t="str">
        <f t="shared" si="94"/>
        <v>#DIV/0!</v>
      </c>
      <c r="BB161" s="164"/>
      <c r="BC161" s="150" t="s">
        <v>123</v>
      </c>
      <c r="BD161" s="151">
        <v>44428.0</v>
      </c>
      <c r="BE161" s="176">
        <v>0.0</v>
      </c>
      <c r="BF161" s="177">
        <v>0.0</v>
      </c>
      <c r="BG161" s="178" t="str">
        <f t="shared" si="95"/>
        <v>#DIV/0!</v>
      </c>
      <c r="BH161" s="179">
        <v>0.0</v>
      </c>
      <c r="BI161" s="180" t="str">
        <f t="shared" si="96"/>
        <v>#DIV/0!</v>
      </c>
      <c r="BJ161" s="179">
        <v>0.0</v>
      </c>
      <c r="BK161" s="178" t="str">
        <f t="shared" si="97"/>
        <v>#DIV/0!</v>
      </c>
      <c r="BL161" s="179">
        <v>0.0</v>
      </c>
      <c r="BM161" s="178" t="str">
        <f t="shared" si="98"/>
        <v>#DIV/0!</v>
      </c>
      <c r="BN161" s="181" t="str">
        <f t="shared" si="99"/>
        <v>#DIV/0!</v>
      </c>
      <c r="BO161" s="169"/>
    </row>
    <row r="162" ht="15.75" customHeight="1">
      <c r="N162" s="150" t="s">
        <v>126</v>
      </c>
      <c r="O162" s="151">
        <v>44429.0</v>
      </c>
      <c r="P162" s="176">
        <v>0.0</v>
      </c>
      <c r="Q162" s="177">
        <v>0.0</v>
      </c>
      <c r="R162" s="178">
        <v>0.0</v>
      </c>
      <c r="S162" s="179">
        <v>0.0</v>
      </c>
      <c r="T162" s="180">
        <v>0.0</v>
      </c>
      <c r="U162" s="179">
        <v>0.0</v>
      </c>
      <c r="V162" s="178">
        <v>0.0</v>
      </c>
      <c r="W162" s="179">
        <v>0.0</v>
      </c>
      <c r="X162" s="178">
        <v>0.0</v>
      </c>
      <c r="Y162" s="181" t="str">
        <f t="shared" si="83"/>
        <v>#DIV/0!</v>
      </c>
      <c r="Z162" s="185" t="str">
        <f t="shared" si="84"/>
        <v>#DIV/0!</v>
      </c>
      <c r="AA162" s="164"/>
      <c r="AB162" s="150" t="s">
        <v>126</v>
      </c>
      <c r="AC162" s="151">
        <v>44429.0</v>
      </c>
      <c r="AD162" s="176">
        <v>0.0</v>
      </c>
      <c r="AE162" s="177">
        <v>0.0</v>
      </c>
      <c r="AF162" s="178" t="str">
        <f t="shared" si="85"/>
        <v>#DIV/0!</v>
      </c>
      <c r="AG162" s="179">
        <v>0.0</v>
      </c>
      <c r="AH162" s="180" t="str">
        <f t="shared" si="86"/>
        <v>#DIV/0!</v>
      </c>
      <c r="AI162" s="179">
        <v>0.0</v>
      </c>
      <c r="AJ162" s="178" t="str">
        <f t="shared" si="87"/>
        <v>#DIV/0!</v>
      </c>
      <c r="AK162" s="179">
        <v>0.0</v>
      </c>
      <c r="AL162" s="178" t="str">
        <f t="shared" si="88"/>
        <v>#DIV/0!</v>
      </c>
      <c r="AM162" s="181" t="str">
        <f t="shared" si="89"/>
        <v>#DIV/0!</v>
      </c>
      <c r="AN162" s="169"/>
      <c r="AO162" s="164"/>
      <c r="AP162" s="150" t="s">
        <v>126</v>
      </c>
      <c r="AQ162" s="151">
        <v>44429.0</v>
      </c>
      <c r="AR162" s="176">
        <v>0.0</v>
      </c>
      <c r="AS162" s="177">
        <v>0.0</v>
      </c>
      <c r="AT162" s="178" t="str">
        <f t="shared" si="90"/>
        <v>#DIV/0!</v>
      </c>
      <c r="AU162" s="179">
        <v>0.0</v>
      </c>
      <c r="AV162" s="180" t="str">
        <f t="shared" si="91"/>
        <v>#DIV/0!</v>
      </c>
      <c r="AW162" s="179">
        <v>0.0</v>
      </c>
      <c r="AX162" s="178" t="str">
        <f t="shared" si="92"/>
        <v>#DIV/0!</v>
      </c>
      <c r="AY162" s="179">
        <v>0.0</v>
      </c>
      <c r="AZ162" s="178" t="str">
        <f t="shared" si="93"/>
        <v>#DIV/0!</v>
      </c>
      <c r="BA162" s="181" t="str">
        <f t="shared" si="94"/>
        <v>#DIV/0!</v>
      </c>
      <c r="BB162" s="164"/>
      <c r="BC162" s="150" t="s">
        <v>126</v>
      </c>
      <c r="BD162" s="151">
        <v>44429.0</v>
      </c>
      <c r="BE162" s="176">
        <v>0.0</v>
      </c>
      <c r="BF162" s="177">
        <v>0.0</v>
      </c>
      <c r="BG162" s="178" t="str">
        <f t="shared" si="95"/>
        <v>#DIV/0!</v>
      </c>
      <c r="BH162" s="179">
        <v>0.0</v>
      </c>
      <c r="BI162" s="180" t="str">
        <f t="shared" si="96"/>
        <v>#DIV/0!</v>
      </c>
      <c r="BJ162" s="179">
        <v>0.0</v>
      </c>
      <c r="BK162" s="178" t="str">
        <f t="shared" si="97"/>
        <v>#DIV/0!</v>
      </c>
      <c r="BL162" s="179">
        <v>0.0</v>
      </c>
      <c r="BM162" s="178" t="str">
        <f t="shared" si="98"/>
        <v>#DIV/0!</v>
      </c>
      <c r="BN162" s="181" t="str">
        <f t="shared" si="99"/>
        <v>#DIV/0!</v>
      </c>
      <c r="BO162" s="169"/>
    </row>
    <row r="163" ht="15.75" customHeight="1">
      <c r="N163" s="150" t="s">
        <v>127</v>
      </c>
      <c r="O163" s="151">
        <v>44430.0</v>
      </c>
      <c r="P163" s="176">
        <v>0.0</v>
      </c>
      <c r="Q163" s="177">
        <v>0.0</v>
      </c>
      <c r="R163" s="178">
        <v>0.0</v>
      </c>
      <c r="S163" s="179">
        <v>0.0</v>
      </c>
      <c r="T163" s="180">
        <v>0.0</v>
      </c>
      <c r="U163" s="179">
        <v>0.0</v>
      </c>
      <c r="V163" s="178">
        <v>0.0</v>
      </c>
      <c r="W163" s="179">
        <v>0.0</v>
      </c>
      <c r="X163" s="178">
        <v>0.0</v>
      </c>
      <c r="Y163" s="181" t="str">
        <f t="shared" si="83"/>
        <v>#DIV/0!</v>
      </c>
      <c r="Z163" s="185" t="str">
        <f t="shared" si="84"/>
        <v>#DIV/0!</v>
      </c>
      <c r="AA163" s="164"/>
      <c r="AB163" s="150" t="s">
        <v>127</v>
      </c>
      <c r="AC163" s="151">
        <v>44430.0</v>
      </c>
      <c r="AD163" s="176">
        <v>0.0</v>
      </c>
      <c r="AE163" s="177">
        <v>0.0</v>
      </c>
      <c r="AF163" s="178" t="str">
        <f t="shared" si="85"/>
        <v>#DIV/0!</v>
      </c>
      <c r="AG163" s="179">
        <v>0.0</v>
      </c>
      <c r="AH163" s="180" t="str">
        <f t="shared" si="86"/>
        <v>#DIV/0!</v>
      </c>
      <c r="AI163" s="179">
        <v>0.0</v>
      </c>
      <c r="AJ163" s="178" t="str">
        <f t="shared" si="87"/>
        <v>#DIV/0!</v>
      </c>
      <c r="AK163" s="179">
        <v>0.0</v>
      </c>
      <c r="AL163" s="178" t="str">
        <f t="shared" si="88"/>
        <v>#DIV/0!</v>
      </c>
      <c r="AM163" s="181" t="str">
        <f t="shared" si="89"/>
        <v>#DIV/0!</v>
      </c>
      <c r="AN163" s="169"/>
      <c r="AO163" s="164"/>
      <c r="AP163" s="150" t="s">
        <v>127</v>
      </c>
      <c r="AQ163" s="151">
        <v>44430.0</v>
      </c>
      <c r="AR163" s="176">
        <v>0.0</v>
      </c>
      <c r="AS163" s="177">
        <v>0.0</v>
      </c>
      <c r="AT163" s="178" t="str">
        <f t="shared" si="90"/>
        <v>#DIV/0!</v>
      </c>
      <c r="AU163" s="179">
        <v>0.0</v>
      </c>
      <c r="AV163" s="180" t="str">
        <f t="shared" si="91"/>
        <v>#DIV/0!</v>
      </c>
      <c r="AW163" s="179">
        <v>0.0</v>
      </c>
      <c r="AX163" s="178" t="str">
        <f t="shared" si="92"/>
        <v>#DIV/0!</v>
      </c>
      <c r="AY163" s="179">
        <v>0.0</v>
      </c>
      <c r="AZ163" s="178" t="str">
        <f t="shared" si="93"/>
        <v>#DIV/0!</v>
      </c>
      <c r="BA163" s="181" t="str">
        <f t="shared" si="94"/>
        <v>#DIV/0!</v>
      </c>
      <c r="BB163" s="164"/>
      <c r="BC163" s="150" t="s">
        <v>127</v>
      </c>
      <c r="BD163" s="151">
        <v>44430.0</v>
      </c>
      <c r="BE163" s="176">
        <v>0.0</v>
      </c>
      <c r="BF163" s="177">
        <v>0.0</v>
      </c>
      <c r="BG163" s="178" t="str">
        <f t="shared" si="95"/>
        <v>#DIV/0!</v>
      </c>
      <c r="BH163" s="179">
        <v>0.0</v>
      </c>
      <c r="BI163" s="180" t="str">
        <f t="shared" si="96"/>
        <v>#DIV/0!</v>
      </c>
      <c r="BJ163" s="179">
        <v>0.0</v>
      </c>
      <c r="BK163" s="178" t="str">
        <f t="shared" si="97"/>
        <v>#DIV/0!</v>
      </c>
      <c r="BL163" s="179">
        <v>0.0</v>
      </c>
      <c r="BM163" s="178" t="str">
        <f t="shared" si="98"/>
        <v>#DIV/0!</v>
      </c>
      <c r="BN163" s="181" t="str">
        <f t="shared" si="99"/>
        <v>#DIV/0!</v>
      </c>
      <c r="BO163" s="169"/>
    </row>
    <row r="164" ht="15.75" customHeight="1">
      <c r="N164" s="150" t="s">
        <v>130</v>
      </c>
      <c r="O164" s="151">
        <v>44431.0</v>
      </c>
      <c r="P164" s="176">
        <v>0.0</v>
      </c>
      <c r="Q164" s="177">
        <v>0.0</v>
      </c>
      <c r="R164" s="178">
        <v>0.0</v>
      </c>
      <c r="S164" s="179">
        <v>0.0</v>
      </c>
      <c r="T164" s="180">
        <v>0.0</v>
      </c>
      <c r="U164" s="179">
        <v>0.0</v>
      </c>
      <c r="V164" s="178">
        <v>0.0</v>
      </c>
      <c r="W164" s="179">
        <v>0.0</v>
      </c>
      <c r="X164" s="178">
        <v>0.0</v>
      </c>
      <c r="Y164" s="181" t="str">
        <f t="shared" si="83"/>
        <v>#DIV/0!</v>
      </c>
      <c r="Z164" s="185" t="str">
        <f t="shared" si="84"/>
        <v>#DIV/0!</v>
      </c>
      <c r="AA164" s="164"/>
      <c r="AB164" s="150" t="s">
        <v>130</v>
      </c>
      <c r="AC164" s="151">
        <v>44431.0</v>
      </c>
      <c r="AD164" s="176">
        <v>0.0</v>
      </c>
      <c r="AE164" s="177">
        <v>0.0</v>
      </c>
      <c r="AF164" s="178" t="str">
        <f t="shared" si="85"/>
        <v>#DIV/0!</v>
      </c>
      <c r="AG164" s="179">
        <v>0.0</v>
      </c>
      <c r="AH164" s="180" t="str">
        <f t="shared" si="86"/>
        <v>#DIV/0!</v>
      </c>
      <c r="AI164" s="179">
        <v>0.0</v>
      </c>
      <c r="AJ164" s="178" t="str">
        <f t="shared" si="87"/>
        <v>#DIV/0!</v>
      </c>
      <c r="AK164" s="179">
        <v>0.0</v>
      </c>
      <c r="AL164" s="178" t="str">
        <f t="shared" si="88"/>
        <v>#DIV/0!</v>
      </c>
      <c r="AM164" s="181" t="str">
        <f t="shared" si="89"/>
        <v>#DIV/0!</v>
      </c>
      <c r="AN164" s="169"/>
      <c r="AO164" s="164"/>
      <c r="AP164" s="150" t="s">
        <v>130</v>
      </c>
      <c r="AQ164" s="151">
        <v>44431.0</v>
      </c>
      <c r="AR164" s="176">
        <v>0.0</v>
      </c>
      <c r="AS164" s="177">
        <v>0.0</v>
      </c>
      <c r="AT164" s="178" t="str">
        <f t="shared" si="90"/>
        <v>#DIV/0!</v>
      </c>
      <c r="AU164" s="179">
        <v>0.0</v>
      </c>
      <c r="AV164" s="180" t="str">
        <f t="shared" si="91"/>
        <v>#DIV/0!</v>
      </c>
      <c r="AW164" s="179">
        <v>0.0</v>
      </c>
      <c r="AX164" s="178" t="str">
        <f t="shared" si="92"/>
        <v>#DIV/0!</v>
      </c>
      <c r="AY164" s="179">
        <v>0.0</v>
      </c>
      <c r="AZ164" s="178" t="str">
        <f t="shared" si="93"/>
        <v>#DIV/0!</v>
      </c>
      <c r="BA164" s="181" t="str">
        <f t="shared" si="94"/>
        <v>#DIV/0!</v>
      </c>
      <c r="BB164" s="164"/>
      <c r="BC164" s="150" t="s">
        <v>130</v>
      </c>
      <c r="BD164" s="151">
        <v>44431.0</v>
      </c>
      <c r="BE164" s="176">
        <v>0.0</v>
      </c>
      <c r="BF164" s="177">
        <v>0.0</v>
      </c>
      <c r="BG164" s="178" t="str">
        <f t="shared" si="95"/>
        <v>#DIV/0!</v>
      </c>
      <c r="BH164" s="179">
        <v>0.0</v>
      </c>
      <c r="BI164" s="180" t="str">
        <f t="shared" si="96"/>
        <v>#DIV/0!</v>
      </c>
      <c r="BJ164" s="179">
        <v>0.0</v>
      </c>
      <c r="BK164" s="178" t="str">
        <f t="shared" si="97"/>
        <v>#DIV/0!</v>
      </c>
      <c r="BL164" s="179">
        <v>0.0</v>
      </c>
      <c r="BM164" s="178" t="str">
        <f t="shared" si="98"/>
        <v>#DIV/0!</v>
      </c>
      <c r="BN164" s="181" t="str">
        <f t="shared" si="99"/>
        <v>#DIV/0!</v>
      </c>
      <c r="BO164" s="169"/>
    </row>
    <row r="165" ht="15.75" customHeight="1">
      <c r="N165" s="150" t="s">
        <v>131</v>
      </c>
      <c r="O165" s="151">
        <v>44432.0</v>
      </c>
      <c r="P165" s="176">
        <v>0.0</v>
      </c>
      <c r="Q165" s="177">
        <v>0.0</v>
      </c>
      <c r="R165" s="178">
        <v>0.0</v>
      </c>
      <c r="S165" s="179">
        <v>0.0</v>
      </c>
      <c r="T165" s="180">
        <v>0.0</v>
      </c>
      <c r="U165" s="179">
        <v>0.0</v>
      </c>
      <c r="V165" s="178">
        <v>0.0</v>
      </c>
      <c r="W165" s="179">
        <v>0.0</v>
      </c>
      <c r="X165" s="178">
        <v>0.0</v>
      </c>
      <c r="Y165" s="181" t="str">
        <f t="shared" si="83"/>
        <v>#DIV/0!</v>
      </c>
      <c r="Z165" s="185" t="str">
        <f t="shared" si="84"/>
        <v>#DIV/0!</v>
      </c>
      <c r="AA165" s="164"/>
      <c r="AB165" s="150" t="s">
        <v>131</v>
      </c>
      <c r="AC165" s="151">
        <v>44432.0</v>
      </c>
      <c r="AD165" s="176">
        <v>0.0</v>
      </c>
      <c r="AE165" s="177">
        <v>0.0</v>
      </c>
      <c r="AF165" s="178" t="str">
        <f t="shared" si="85"/>
        <v>#DIV/0!</v>
      </c>
      <c r="AG165" s="179">
        <v>0.0</v>
      </c>
      <c r="AH165" s="180" t="str">
        <f t="shared" si="86"/>
        <v>#DIV/0!</v>
      </c>
      <c r="AI165" s="179">
        <v>0.0</v>
      </c>
      <c r="AJ165" s="178" t="str">
        <f t="shared" si="87"/>
        <v>#DIV/0!</v>
      </c>
      <c r="AK165" s="179">
        <v>0.0</v>
      </c>
      <c r="AL165" s="178" t="str">
        <f t="shared" si="88"/>
        <v>#DIV/0!</v>
      </c>
      <c r="AM165" s="181" t="str">
        <f t="shared" si="89"/>
        <v>#DIV/0!</v>
      </c>
      <c r="AN165" s="169"/>
      <c r="AO165" s="164"/>
      <c r="AP165" s="150" t="s">
        <v>131</v>
      </c>
      <c r="AQ165" s="151">
        <v>44432.0</v>
      </c>
      <c r="AR165" s="176">
        <v>0.0</v>
      </c>
      <c r="AS165" s="177">
        <v>0.0</v>
      </c>
      <c r="AT165" s="178" t="str">
        <f t="shared" si="90"/>
        <v>#DIV/0!</v>
      </c>
      <c r="AU165" s="179">
        <v>0.0</v>
      </c>
      <c r="AV165" s="180" t="str">
        <f t="shared" si="91"/>
        <v>#DIV/0!</v>
      </c>
      <c r="AW165" s="179">
        <v>0.0</v>
      </c>
      <c r="AX165" s="178" t="str">
        <f t="shared" si="92"/>
        <v>#DIV/0!</v>
      </c>
      <c r="AY165" s="179">
        <v>0.0</v>
      </c>
      <c r="AZ165" s="178" t="str">
        <f t="shared" si="93"/>
        <v>#DIV/0!</v>
      </c>
      <c r="BA165" s="181" t="str">
        <f t="shared" si="94"/>
        <v>#DIV/0!</v>
      </c>
      <c r="BB165" s="164"/>
      <c r="BC165" s="150" t="s">
        <v>131</v>
      </c>
      <c r="BD165" s="151">
        <v>44432.0</v>
      </c>
      <c r="BE165" s="176">
        <v>0.0</v>
      </c>
      <c r="BF165" s="177">
        <v>0.0</v>
      </c>
      <c r="BG165" s="178" t="str">
        <f t="shared" si="95"/>
        <v>#DIV/0!</v>
      </c>
      <c r="BH165" s="179">
        <v>0.0</v>
      </c>
      <c r="BI165" s="180" t="str">
        <f t="shared" si="96"/>
        <v>#DIV/0!</v>
      </c>
      <c r="BJ165" s="179">
        <v>0.0</v>
      </c>
      <c r="BK165" s="178" t="str">
        <f t="shared" si="97"/>
        <v>#DIV/0!</v>
      </c>
      <c r="BL165" s="179">
        <v>0.0</v>
      </c>
      <c r="BM165" s="178" t="str">
        <f t="shared" si="98"/>
        <v>#DIV/0!</v>
      </c>
      <c r="BN165" s="181" t="str">
        <f t="shared" si="99"/>
        <v>#DIV/0!</v>
      </c>
      <c r="BO165" s="169"/>
    </row>
    <row r="166" ht="15.75" customHeight="1">
      <c r="N166" s="150" t="s">
        <v>134</v>
      </c>
      <c r="O166" s="151">
        <v>44433.0</v>
      </c>
      <c r="P166" s="176">
        <v>103.92</v>
      </c>
      <c r="Q166" s="177">
        <v>2.0</v>
      </c>
      <c r="R166" s="178">
        <v>51.96</v>
      </c>
      <c r="S166" s="179">
        <v>12.0</v>
      </c>
      <c r="T166" s="180">
        <v>8.66</v>
      </c>
      <c r="U166" s="179">
        <v>36.0</v>
      </c>
      <c r="V166" s="178">
        <v>2.89</v>
      </c>
      <c r="W166" s="179">
        <v>45.0</v>
      </c>
      <c r="X166" s="178">
        <v>2.31</v>
      </c>
      <c r="Y166" s="181">
        <f t="shared" si="83"/>
        <v>0.8</v>
      </c>
      <c r="Z166" s="185">
        <f t="shared" si="84"/>
        <v>0.1666666667</v>
      </c>
      <c r="AA166" s="164"/>
      <c r="AB166" s="150" t="s">
        <v>134</v>
      </c>
      <c r="AC166" s="151">
        <v>44433.0</v>
      </c>
      <c r="AD166" s="176">
        <v>0.0</v>
      </c>
      <c r="AE166" s="177">
        <v>0.0</v>
      </c>
      <c r="AF166" s="178" t="str">
        <f t="shared" si="85"/>
        <v>#DIV/0!</v>
      </c>
      <c r="AG166" s="179">
        <v>0.0</v>
      </c>
      <c r="AH166" s="180" t="str">
        <f t="shared" si="86"/>
        <v>#DIV/0!</v>
      </c>
      <c r="AI166" s="179">
        <v>0.0</v>
      </c>
      <c r="AJ166" s="178" t="str">
        <f t="shared" si="87"/>
        <v>#DIV/0!</v>
      </c>
      <c r="AK166" s="179">
        <v>0.0</v>
      </c>
      <c r="AL166" s="178" t="str">
        <f t="shared" si="88"/>
        <v>#DIV/0!</v>
      </c>
      <c r="AM166" s="181" t="str">
        <f t="shared" si="89"/>
        <v>#DIV/0!</v>
      </c>
      <c r="AN166" s="169"/>
      <c r="AO166" s="164"/>
      <c r="AP166" s="150" t="s">
        <v>134</v>
      </c>
      <c r="AQ166" s="151">
        <v>44433.0</v>
      </c>
      <c r="AR166" s="176">
        <v>0.0</v>
      </c>
      <c r="AS166" s="177">
        <v>0.0</v>
      </c>
      <c r="AT166" s="178" t="str">
        <f t="shared" si="90"/>
        <v>#DIV/0!</v>
      </c>
      <c r="AU166" s="179">
        <v>0.0</v>
      </c>
      <c r="AV166" s="180" t="str">
        <f t="shared" si="91"/>
        <v>#DIV/0!</v>
      </c>
      <c r="AW166" s="179">
        <v>0.0</v>
      </c>
      <c r="AX166" s="178" t="str">
        <f t="shared" si="92"/>
        <v>#DIV/0!</v>
      </c>
      <c r="AY166" s="179">
        <v>0.0</v>
      </c>
      <c r="AZ166" s="178" t="str">
        <f t="shared" si="93"/>
        <v>#DIV/0!</v>
      </c>
      <c r="BA166" s="181" t="str">
        <f t="shared" si="94"/>
        <v>#DIV/0!</v>
      </c>
      <c r="BB166" s="164"/>
      <c r="BC166" s="150" t="s">
        <v>134</v>
      </c>
      <c r="BD166" s="151">
        <v>44433.0</v>
      </c>
      <c r="BE166" s="176">
        <v>0.0</v>
      </c>
      <c r="BF166" s="177">
        <v>0.0</v>
      </c>
      <c r="BG166" s="178" t="str">
        <f t="shared" si="95"/>
        <v>#DIV/0!</v>
      </c>
      <c r="BH166" s="179">
        <v>0.0</v>
      </c>
      <c r="BI166" s="180" t="str">
        <f t="shared" si="96"/>
        <v>#DIV/0!</v>
      </c>
      <c r="BJ166" s="179">
        <v>0.0</v>
      </c>
      <c r="BK166" s="178" t="str">
        <f t="shared" si="97"/>
        <v>#DIV/0!</v>
      </c>
      <c r="BL166" s="179">
        <v>0.0</v>
      </c>
      <c r="BM166" s="178" t="str">
        <f t="shared" si="98"/>
        <v>#DIV/0!</v>
      </c>
      <c r="BN166" s="181" t="str">
        <f t="shared" si="99"/>
        <v>#DIV/0!</v>
      </c>
      <c r="BO166" s="169"/>
    </row>
    <row r="167" ht="15.75" customHeight="1">
      <c r="N167" s="150" t="s">
        <v>135</v>
      </c>
      <c r="O167" s="151">
        <v>44434.0</v>
      </c>
      <c r="P167" s="176">
        <v>114.24</v>
      </c>
      <c r="Q167" s="177">
        <v>3.0</v>
      </c>
      <c r="R167" s="178">
        <v>38.08</v>
      </c>
      <c r="S167" s="179">
        <v>15.0</v>
      </c>
      <c r="T167" s="180">
        <v>7.62</v>
      </c>
      <c r="U167" s="179">
        <v>43.0</v>
      </c>
      <c r="V167" s="178">
        <v>2.66</v>
      </c>
      <c r="W167" s="179">
        <v>58.0</v>
      </c>
      <c r="X167" s="178">
        <v>1.97</v>
      </c>
      <c r="Y167" s="181">
        <f t="shared" si="83"/>
        <v>0.7413793103</v>
      </c>
      <c r="Z167" s="185">
        <f t="shared" si="84"/>
        <v>0.2</v>
      </c>
      <c r="AA167" s="164"/>
      <c r="AB167" s="150" t="s">
        <v>135</v>
      </c>
      <c r="AC167" s="151">
        <v>44434.0</v>
      </c>
      <c r="AD167" s="176">
        <v>0.0</v>
      </c>
      <c r="AE167" s="177">
        <v>0.0</v>
      </c>
      <c r="AF167" s="178" t="str">
        <f t="shared" si="85"/>
        <v>#DIV/0!</v>
      </c>
      <c r="AG167" s="179">
        <v>0.0</v>
      </c>
      <c r="AH167" s="180" t="str">
        <f t="shared" si="86"/>
        <v>#DIV/0!</v>
      </c>
      <c r="AI167" s="179">
        <v>0.0</v>
      </c>
      <c r="AJ167" s="178" t="str">
        <f t="shared" si="87"/>
        <v>#DIV/0!</v>
      </c>
      <c r="AK167" s="179">
        <v>0.0</v>
      </c>
      <c r="AL167" s="178" t="str">
        <f t="shared" si="88"/>
        <v>#DIV/0!</v>
      </c>
      <c r="AM167" s="181" t="str">
        <f t="shared" si="89"/>
        <v>#DIV/0!</v>
      </c>
      <c r="AN167" s="169"/>
      <c r="AO167" s="164"/>
      <c r="AP167" s="150" t="s">
        <v>135</v>
      </c>
      <c r="AQ167" s="151">
        <v>44434.0</v>
      </c>
      <c r="AR167" s="176">
        <v>0.0</v>
      </c>
      <c r="AS167" s="177">
        <v>0.0</v>
      </c>
      <c r="AT167" s="178" t="str">
        <f t="shared" si="90"/>
        <v>#DIV/0!</v>
      </c>
      <c r="AU167" s="179">
        <v>0.0</v>
      </c>
      <c r="AV167" s="180" t="str">
        <f t="shared" si="91"/>
        <v>#DIV/0!</v>
      </c>
      <c r="AW167" s="179">
        <v>0.0</v>
      </c>
      <c r="AX167" s="178" t="str">
        <f t="shared" si="92"/>
        <v>#DIV/0!</v>
      </c>
      <c r="AY167" s="179">
        <v>0.0</v>
      </c>
      <c r="AZ167" s="178" t="str">
        <f t="shared" si="93"/>
        <v>#DIV/0!</v>
      </c>
      <c r="BA167" s="181" t="str">
        <f t="shared" si="94"/>
        <v>#DIV/0!</v>
      </c>
      <c r="BB167" s="164"/>
      <c r="BC167" s="150" t="s">
        <v>135</v>
      </c>
      <c r="BD167" s="151">
        <v>44434.0</v>
      </c>
      <c r="BE167" s="176">
        <v>0.0</v>
      </c>
      <c r="BF167" s="177">
        <v>0.0</v>
      </c>
      <c r="BG167" s="178" t="str">
        <f t="shared" si="95"/>
        <v>#DIV/0!</v>
      </c>
      <c r="BH167" s="179">
        <v>0.0</v>
      </c>
      <c r="BI167" s="180" t="str">
        <f t="shared" si="96"/>
        <v>#DIV/0!</v>
      </c>
      <c r="BJ167" s="179">
        <v>0.0</v>
      </c>
      <c r="BK167" s="178" t="str">
        <f t="shared" si="97"/>
        <v>#DIV/0!</v>
      </c>
      <c r="BL167" s="179">
        <v>0.0</v>
      </c>
      <c r="BM167" s="178" t="str">
        <f t="shared" si="98"/>
        <v>#DIV/0!</v>
      </c>
      <c r="BN167" s="181" t="str">
        <f t="shared" si="99"/>
        <v>#DIV/0!</v>
      </c>
      <c r="BO167" s="169"/>
    </row>
    <row r="168" ht="15.75" customHeight="1">
      <c r="N168" s="150" t="s">
        <v>123</v>
      </c>
      <c r="O168" s="151">
        <v>44435.0</v>
      </c>
      <c r="P168" s="176">
        <v>68.88</v>
      </c>
      <c r="Q168" s="177"/>
      <c r="R168" s="178"/>
      <c r="S168" s="179">
        <v>1.0</v>
      </c>
      <c r="T168" s="180">
        <v>68.88</v>
      </c>
      <c r="U168" s="179">
        <v>22.0</v>
      </c>
      <c r="V168" s="178">
        <v>3.13</v>
      </c>
      <c r="W168" s="179">
        <v>39.0</v>
      </c>
      <c r="X168" s="178">
        <v>1.77</v>
      </c>
      <c r="Y168" s="181">
        <f t="shared" si="83"/>
        <v>0.5641025641</v>
      </c>
      <c r="Z168" s="185">
        <f t="shared" si="84"/>
        <v>0</v>
      </c>
      <c r="AA168" s="164"/>
      <c r="AB168" s="150" t="s">
        <v>123</v>
      </c>
      <c r="AC168" s="151">
        <v>44435.0</v>
      </c>
      <c r="AD168" s="176">
        <v>0.0</v>
      </c>
      <c r="AE168" s="177">
        <v>0.0</v>
      </c>
      <c r="AF168" s="178" t="str">
        <f t="shared" si="85"/>
        <v>#DIV/0!</v>
      </c>
      <c r="AG168" s="179">
        <v>0.0</v>
      </c>
      <c r="AH168" s="180" t="str">
        <f t="shared" si="86"/>
        <v>#DIV/0!</v>
      </c>
      <c r="AI168" s="179">
        <v>0.0</v>
      </c>
      <c r="AJ168" s="178" t="str">
        <f t="shared" si="87"/>
        <v>#DIV/0!</v>
      </c>
      <c r="AK168" s="179">
        <v>0.0</v>
      </c>
      <c r="AL168" s="178" t="str">
        <f t="shared" si="88"/>
        <v>#DIV/0!</v>
      </c>
      <c r="AM168" s="181" t="str">
        <f t="shared" si="89"/>
        <v>#DIV/0!</v>
      </c>
      <c r="AN168" s="169"/>
      <c r="AO168" s="164"/>
      <c r="AP168" s="150" t="s">
        <v>123</v>
      </c>
      <c r="AQ168" s="151">
        <v>44435.0</v>
      </c>
      <c r="AR168" s="176">
        <v>0.0</v>
      </c>
      <c r="AS168" s="177">
        <v>0.0</v>
      </c>
      <c r="AT168" s="178" t="str">
        <f t="shared" si="90"/>
        <v>#DIV/0!</v>
      </c>
      <c r="AU168" s="179">
        <v>0.0</v>
      </c>
      <c r="AV168" s="180" t="str">
        <f t="shared" si="91"/>
        <v>#DIV/0!</v>
      </c>
      <c r="AW168" s="179">
        <v>0.0</v>
      </c>
      <c r="AX168" s="178" t="str">
        <f t="shared" si="92"/>
        <v>#DIV/0!</v>
      </c>
      <c r="AY168" s="179">
        <v>0.0</v>
      </c>
      <c r="AZ168" s="178" t="str">
        <f t="shared" si="93"/>
        <v>#DIV/0!</v>
      </c>
      <c r="BA168" s="181" t="str">
        <f t="shared" si="94"/>
        <v>#DIV/0!</v>
      </c>
      <c r="BB168" s="164"/>
      <c r="BC168" s="150" t="s">
        <v>123</v>
      </c>
      <c r="BD168" s="151">
        <v>44435.0</v>
      </c>
      <c r="BE168" s="176">
        <v>0.0</v>
      </c>
      <c r="BF168" s="177">
        <v>0.0</v>
      </c>
      <c r="BG168" s="178" t="str">
        <f t="shared" si="95"/>
        <v>#DIV/0!</v>
      </c>
      <c r="BH168" s="179">
        <v>0.0</v>
      </c>
      <c r="BI168" s="180" t="str">
        <f t="shared" si="96"/>
        <v>#DIV/0!</v>
      </c>
      <c r="BJ168" s="179">
        <v>0.0</v>
      </c>
      <c r="BK168" s="178" t="str">
        <f t="shared" si="97"/>
        <v>#DIV/0!</v>
      </c>
      <c r="BL168" s="179">
        <v>0.0</v>
      </c>
      <c r="BM168" s="178" t="str">
        <f t="shared" si="98"/>
        <v>#DIV/0!</v>
      </c>
      <c r="BN168" s="181" t="str">
        <f t="shared" si="99"/>
        <v>#DIV/0!</v>
      </c>
      <c r="BO168" s="169"/>
    </row>
    <row r="169" ht="15.75" customHeight="1">
      <c r="N169" s="150" t="s">
        <v>126</v>
      </c>
      <c r="O169" s="151">
        <v>44436.0</v>
      </c>
      <c r="P169" s="176">
        <v>61.47</v>
      </c>
      <c r="Q169" s="177">
        <v>2.0</v>
      </c>
      <c r="R169" s="178">
        <v>30.74</v>
      </c>
      <c r="S169" s="179">
        <v>10.0</v>
      </c>
      <c r="T169" s="180">
        <v>6.15</v>
      </c>
      <c r="U169" s="179">
        <v>29.0</v>
      </c>
      <c r="V169" s="178">
        <v>2.12</v>
      </c>
      <c r="W169" s="179">
        <v>36.0</v>
      </c>
      <c r="X169" s="178">
        <v>1.71</v>
      </c>
      <c r="Y169" s="181">
        <f t="shared" si="83"/>
        <v>0.8055555556</v>
      </c>
      <c r="Z169" s="185">
        <f t="shared" si="84"/>
        <v>0.2</v>
      </c>
      <c r="AA169" s="164"/>
      <c r="AB169" s="150" t="s">
        <v>126</v>
      </c>
      <c r="AC169" s="151">
        <v>44436.0</v>
      </c>
      <c r="AD169" s="176">
        <v>0.0</v>
      </c>
      <c r="AE169" s="177">
        <v>0.0</v>
      </c>
      <c r="AF169" s="178" t="str">
        <f t="shared" si="85"/>
        <v>#DIV/0!</v>
      </c>
      <c r="AG169" s="179">
        <v>0.0</v>
      </c>
      <c r="AH169" s="180" t="str">
        <f t="shared" si="86"/>
        <v>#DIV/0!</v>
      </c>
      <c r="AI169" s="179">
        <v>0.0</v>
      </c>
      <c r="AJ169" s="178" t="str">
        <f t="shared" si="87"/>
        <v>#DIV/0!</v>
      </c>
      <c r="AK169" s="179">
        <v>0.0</v>
      </c>
      <c r="AL169" s="178" t="str">
        <f t="shared" si="88"/>
        <v>#DIV/0!</v>
      </c>
      <c r="AM169" s="181" t="str">
        <f t="shared" si="89"/>
        <v>#DIV/0!</v>
      </c>
      <c r="AN169" s="169"/>
      <c r="AO169" s="164"/>
      <c r="AP169" s="150" t="s">
        <v>126</v>
      </c>
      <c r="AQ169" s="151">
        <v>44436.0</v>
      </c>
      <c r="AR169" s="176">
        <v>0.0</v>
      </c>
      <c r="AS169" s="177">
        <v>0.0</v>
      </c>
      <c r="AT169" s="178" t="str">
        <f t="shared" si="90"/>
        <v>#DIV/0!</v>
      </c>
      <c r="AU169" s="179">
        <v>0.0</v>
      </c>
      <c r="AV169" s="180" t="str">
        <f t="shared" si="91"/>
        <v>#DIV/0!</v>
      </c>
      <c r="AW169" s="179">
        <v>0.0</v>
      </c>
      <c r="AX169" s="178" t="str">
        <f t="shared" si="92"/>
        <v>#DIV/0!</v>
      </c>
      <c r="AY169" s="179">
        <v>0.0</v>
      </c>
      <c r="AZ169" s="178" t="str">
        <f t="shared" si="93"/>
        <v>#DIV/0!</v>
      </c>
      <c r="BA169" s="181" t="str">
        <f t="shared" si="94"/>
        <v>#DIV/0!</v>
      </c>
      <c r="BB169" s="164"/>
      <c r="BC169" s="150" t="s">
        <v>126</v>
      </c>
      <c r="BD169" s="151">
        <v>44436.0</v>
      </c>
      <c r="BE169" s="176">
        <v>0.0</v>
      </c>
      <c r="BF169" s="177">
        <v>0.0</v>
      </c>
      <c r="BG169" s="178" t="str">
        <f t="shared" si="95"/>
        <v>#DIV/0!</v>
      </c>
      <c r="BH169" s="179">
        <v>0.0</v>
      </c>
      <c r="BI169" s="180" t="str">
        <f t="shared" si="96"/>
        <v>#DIV/0!</v>
      </c>
      <c r="BJ169" s="179">
        <v>0.0</v>
      </c>
      <c r="BK169" s="178" t="str">
        <f t="shared" si="97"/>
        <v>#DIV/0!</v>
      </c>
      <c r="BL169" s="179">
        <v>0.0</v>
      </c>
      <c r="BM169" s="178" t="str">
        <f t="shared" si="98"/>
        <v>#DIV/0!</v>
      </c>
      <c r="BN169" s="181" t="str">
        <f t="shared" si="99"/>
        <v>#DIV/0!</v>
      </c>
      <c r="BO169" s="169"/>
    </row>
    <row r="170" ht="15.75" customHeight="1">
      <c r="N170" s="150" t="s">
        <v>127</v>
      </c>
      <c r="O170" s="151">
        <v>44437.0</v>
      </c>
      <c r="P170" s="176">
        <v>60.83</v>
      </c>
      <c r="Q170" s="177">
        <v>3.0</v>
      </c>
      <c r="R170" s="178">
        <v>20.28</v>
      </c>
      <c r="S170" s="179">
        <v>13.0</v>
      </c>
      <c r="T170" s="180">
        <v>4.68</v>
      </c>
      <c r="U170" s="179">
        <v>39.0</v>
      </c>
      <c r="V170" s="178">
        <v>1.56</v>
      </c>
      <c r="W170" s="179">
        <v>49.0</v>
      </c>
      <c r="X170" s="178">
        <v>1.24</v>
      </c>
      <c r="Y170" s="181">
        <f t="shared" si="83"/>
        <v>0.7959183673</v>
      </c>
      <c r="Z170" s="185">
        <f t="shared" si="84"/>
        <v>0.2307692308</v>
      </c>
      <c r="AA170" s="164"/>
      <c r="AB170" s="150" t="s">
        <v>127</v>
      </c>
      <c r="AC170" s="151">
        <v>44437.0</v>
      </c>
      <c r="AD170" s="176">
        <v>0.0</v>
      </c>
      <c r="AE170" s="177">
        <v>0.0</v>
      </c>
      <c r="AF170" s="178" t="str">
        <f t="shared" si="85"/>
        <v>#DIV/0!</v>
      </c>
      <c r="AG170" s="179">
        <v>0.0</v>
      </c>
      <c r="AH170" s="180" t="str">
        <f t="shared" si="86"/>
        <v>#DIV/0!</v>
      </c>
      <c r="AI170" s="179">
        <v>0.0</v>
      </c>
      <c r="AJ170" s="178" t="str">
        <f t="shared" si="87"/>
        <v>#DIV/0!</v>
      </c>
      <c r="AK170" s="179">
        <v>0.0</v>
      </c>
      <c r="AL170" s="178" t="str">
        <f t="shared" si="88"/>
        <v>#DIV/0!</v>
      </c>
      <c r="AM170" s="181" t="str">
        <f t="shared" si="89"/>
        <v>#DIV/0!</v>
      </c>
      <c r="AN170" s="169"/>
      <c r="AO170" s="164"/>
      <c r="AP170" s="150" t="s">
        <v>127</v>
      </c>
      <c r="AQ170" s="151">
        <v>44437.0</v>
      </c>
      <c r="AR170" s="176">
        <v>0.0</v>
      </c>
      <c r="AS170" s="177">
        <v>0.0</v>
      </c>
      <c r="AT170" s="178" t="str">
        <f t="shared" si="90"/>
        <v>#DIV/0!</v>
      </c>
      <c r="AU170" s="179">
        <v>0.0</v>
      </c>
      <c r="AV170" s="180" t="str">
        <f t="shared" si="91"/>
        <v>#DIV/0!</v>
      </c>
      <c r="AW170" s="179">
        <v>0.0</v>
      </c>
      <c r="AX170" s="178" t="str">
        <f t="shared" si="92"/>
        <v>#DIV/0!</v>
      </c>
      <c r="AY170" s="179">
        <v>0.0</v>
      </c>
      <c r="AZ170" s="178" t="str">
        <f t="shared" si="93"/>
        <v>#DIV/0!</v>
      </c>
      <c r="BA170" s="181" t="str">
        <f t="shared" si="94"/>
        <v>#DIV/0!</v>
      </c>
      <c r="BB170" s="164"/>
      <c r="BC170" s="150" t="s">
        <v>127</v>
      </c>
      <c r="BD170" s="151">
        <v>44437.0</v>
      </c>
      <c r="BE170" s="176">
        <v>0.0</v>
      </c>
      <c r="BF170" s="177">
        <v>0.0</v>
      </c>
      <c r="BG170" s="178" t="str">
        <f t="shared" si="95"/>
        <v>#DIV/0!</v>
      </c>
      <c r="BH170" s="179">
        <v>0.0</v>
      </c>
      <c r="BI170" s="180" t="str">
        <f t="shared" si="96"/>
        <v>#DIV/0!</v>
      </c>
      <c r="BJ170" s="179">
        <v>0.0</v>
      </c>
      <c r="BK170" s="178" t="str">
        <f t="shared" si="97"/>
        <v>#DIV/0!</v>
      </c>
      <c r="BL170" s="179">
        <v>0.0</v>
      </c>
      <c r="BM170" s="178" t="str">
        <f t="shared" si="98"/>
        <v>#DIV/0!</v>
      </c>
      <c r="BN170" s="181" t="str">
        <f t="shared" si="99"/>
        <v>#DIV/0!</v>
      </c>
      <c r="BO170" s="169"/>
    </row>
    <row r="171" ht="15.75" customHeight="1">
      <c r="N171" s="150" t="s">
        <v>130</v>
      </c>
      <c r="O171" s="151">
        <v>44438.0</v>
      </c>
      <c r="P171" s="176">
        <v>92.36</v>
      </c>
      <c r="Q171" s="177">
        <v>1.0</v>
      </c>
      <c r="R171" s="178">
        <v>92.36</v>
      </c>
      <c r="S171" s="179">
        <v>5.0</v>
      </c>
      <c r="T171" s="180">
        <v>18.47</v>
      </c>
      <c r="U171" s="179">
        <v>23.0</v>
      </c>
      <c r="V171" s="178">
        <v>4.02</v>
      </c>
      <c r="W171" s="179">
        <v>41.0</v>
      </c>
      <c r="X171" s="178">
        <v>2.25</v>
      </c>
      <c r="Y171" s="181">
        <f t="shared" si="83"/>
        <v>0.5609756098</v>
      </c>
      <c r="Z171" s="185">
        <f t="shared" si="84"/>
        <v>0.2</v>
      </c>
      <c r="AA171" s="164"/>
      <c r="AB171" s="150" t="s">
        <v>130</v>
      </c>
      <c r="AC171" s="151">
        <v>44438.0</v>
      </c>
      <c r="AD171" s="176">
        <v>0.0</v>
      </c>
      <c r="AE171" s="177">
        <v>0.0</v>
      </c>
      <c r="AF171" s="178" t="str">
        <f t="shared" si="85"/>
        <v>#DIV/0!</v>
      </c>
      <c r="AG171" s="179">
        <v>0.0</v>
      </c>
      <c r="AH171" s="180" t="str">
        <f t="shared" si="86"/>
        <v>#DIV/0!</v>
      </c>
      <c r="AI171" s="179">
        <v>0.0</v>
      </c>
      <c r="AJ171" s="178" t="str">
        <f t="shared" si="87"/>
        <v>#DIV/0!</v>
      </c>
      <c r="AK171" s="179">
        <v>0.0</v>
      </c>
      <c r="AL171" s="178" t="str">
        <f t="shared" si="88"/>
        <v>#DIV/0!</v>
      </c>
      <c r="AM171" s="181" t="str">
        <f t="shared" si="89"/>
        <v>#DIV/0!</v>
      </c>
      <c r="AN171" s="169"/>
      <c r="AO171" s="164"/>
      <c r="AP171" s="150" t="s">
        <v>130</v>
      </c>
      <c r="AQ171" s="151">
        <v>44438.0</v>
      </c>
      <c r="AR171" s="176">
        <v>0.0</v>
      </c>
      <c r="AS171" s="177">
        <v>0.0</v>
      </c>
      <c r="AT171" s="178" t="str">
        <f t="shared" si="90"/>
        <v>#DIV/0!</v>
      </c>
      <c r="AU171" s="179">
        <v>0.0</v>
      </c>
      <c r="AV171" s="180" t="str">
        <f t="shared" si="91"/>
        <v>#DIV/0!</v>
      </c>
      <c r="AW171" s="179">
        <v>0.0</v>
      </c>
      <c r="AX171" s="178" t="str">
        <f t="shared" si="92"/>
        <v>#DIV/0!</v>
      </c>
      <c r="AY171" s="179">
        <v>0.0</v>
      </c>
      <c r="AZ171" s="178" t="str">
        <f t="shared" si="93"/>
        <v>#DIV/0!</v>
      </c>
      <c r="BA171" s="181" t="str">
        <f t="shared" si="94"/>
        <v>#DIV/0!</v>
      </c>
      <c r="BB171" s="164"/>
      <c r="BC171" s="150" t="s">
        <v>130</v>
      </c>
      <c r="BD171" s="151">
        <v>44438.0</v>
      </c>
      <c r="BE171" s="176">
        <v>0.0</v>
      </c>
      <c r="BF171" s="177">
        <v>0.0</v>
      </c>
      <c r="BG171" s="178" t="str">
        <f t="shared" si="95"/>
        <v>#DIV/0!</v>
      </c>
      <c r="BH171" s="179">
        <v>0.0</v>
      </c>
      <c r="BI171" s="180" t="str">
        <f t="shared" si="96"/>
        <v>#DIV/0!</v>
      </c>
      <c r="BJ171" s="179">
        <v>0.0</v>
      </c>
      <c r="BK171" s="178" t="str">
        <f t="shared" si="97"/>
        <v>#DIV/0!</v>
      </c>
      <c r="BL171" s="179">
        <v>0.0</v>
      </c>
      <c r="BM171" s="178" t="str">
        <f t="shared" si="98"/>
        <v>#DIV/0!</v>
      </c>
      <c r="BN171" s="181" t="str">
        <f t="shared" si="99"/>
        <v>#DIV/0!</v>
      </c>
      <c r="BO171" s="169"/>
    </row>
    <row r="172" ht="15.75" customHeight="1">
      <c r="N172" s="150" t="s">
        <v>131</v>
      </c>
      <c r="O172" s="151">
        <v>44439.0</v>
      </c>
      <c r="P172" s="176">
        <v>85.48</v>
      </c>
      <c r="Q172" s="177">
        <v>3.0</v>
      </c>
      <c r="R172" s="178">
        <v>28.49</v>
      </c>
      <c r="S172" s="179">
        <v>16.0</v>
      </c>
      <c r="T172" s="180">
        <v>5.34</v>
      </c>
      <c r="U172" s="179">
        <v>28.0</v>
      </c>
      <c r="V172" s="178">
        <v>3.05</v>
      </c>
      <c r="W172" s="179">
        <v>40.0</v>
      </c>
      <c r="X172" s="178">
        <v>2.14</v>
      </c>
      <c r="Y172" s="181">
        <f t="shared" si="83"/>
        <v>0.7</v>
      </c>
      <c r="Z172" s="185">
        <f t="shared" si="84"/>
        <v>0.1875</v>
      </c>
      <c r="AA172" s="164"/>
      <c r="AB172" s="150" t="s">
        <v>131</v>
      </c>
      <c r="AC172" s="151">
        <v>44439.0</v>
      </c>
      <c r="AD172" s="176">
        <v>0.0</v>
      </c>
      <c r="AE172" s="177">
        <v>0.0</v>
      </c>
      <c r="AF172" s="178" t="str">
        <f t="shared" si="85"/>
        <v>#DIV/0!</v>
      </c>
      <c r="AG172" s="179">
        <v>0.0</v>
      </c>
      <c r="AH172" s="180" t="str">
        <f t="shared" si="86"/>
        <v>#DIV/0!</v>
      </c>
      <c r="AI172" s="179">
        <v>0.0</v>
      </c>
      <c r="AJ172" s="178" t="str">
        <f t="shared" si="87"/>
        <v>#DIV/0!</v>
      </c>
      <c r="AK172" s="179">
        <v>0.0</v>
      </c>
      <c r="AL172" s="178" t="str">
        <f t="shared" si="88"/>
        <v>#DIV/0!</v>
      </c>
      <c r="AM172" s="181" t="str">
        <f t="shared" si="89"/>
        <v>#DIV/0!</v>
      </c>
      <c r="AN172" s="169"/>
      <c r="AO172" s="164"/>
      <c r="AP172" s="150" t="s">
        <v>131</v>
      </c>
      <c r="AQ172" s="151">
        <v>44439.0</v>
      </c>
      <c r="AR172" s="176">
        <v>0.0</v>
      </c>
      <c r="AS172" s="177">
        <v>0.0</v>
      </c>
      <c r="AT172" s="178" t="str">
        <f t="shared" si="90"/>
        <v>#DIV/0!</v>
      </c>
      <c r="AU172" s="179">
        <v>0.0</v>
      </c>
      <c r="AV172" s="180" t="str">
        <f t="shared" si="91"/>
        <v>#DIV/0!</v>
      </c>
      <c r="AW172" s="179">
        <v>0.0</v>
      </c>
      <c r="AX172" s="178" t="str">
        <f t="shared" si="92"/>
        <v>#DIV/0!</v>
      </c>
      <c r="AY172" s="179">
        <v>0.0</v>
      </c>
      <c r="AZ172" s="178" t="str">
        <f t="shared" si="93"/>
        <v>#DIV/0!</v>
      </c>
      <c r="BA172" s="181" t="str">
        <f t="shared" si="94"/>
        <v>#DIV/0!</v>
      </c>
      <c r="BB172" s="164"/>
      <c r="BC172" s="150" t="s">
        <v>131</v>
      </c>
      <c r="BD172" s="151">
        <v>44439.0</v>
      </c>
      <c r="BE172" s="176">
        <v>0.0</v>
      </c>
      <c r="BF172" s="177">
        <v>0.0</v>
      </c>
      <c r="BG172" s="178" t="str">
        <f t="shared" si="95"/>
        <v>#DIV/0!</v>
      </c>
      <c r="BH172" s="179">
        <v>0.0</v>
      </c>
      <c r="BI172" s="180" t="str">
        <f t="shared" si="96"/>
        <v>#DIV/0!</v>
      </c>
      <c r="BJ172" s="179">
        <v>0.0</v>
      </c>
      <c r="BK172" s="178" t="str">
        <f t="shared" si="97"/>
        <v>#DIV/0!</v>
      </c>
      <c r="BL172" s="179">
        <v>0.0</v>
      </c>
      <c r="BM172" s="178" t="str">
        <f t="shared" si="98"/>
        <v>#DIV/0!</v>
      </c>
      <c r="BN172" s="181" t="str">
        <f t="shared" si="99"/>
        <v>#DIV/0!</v>
      </c>
      <c r="BO172" s="169"/>
    </row>
    <row r="173" ht="15.75" customHeight="1">
      <c r="AK173" s="106"/>
    </row>
    <row r="174" ht="15.75" customHeight="1">
      <c r="AK174" s="106"/>
    </row>
    <row r="175" ht="15.75" customHeight="1">
      <c r="AK175" s="106"/>
    </row>
    <row r="176" ht="15.75" customHeight="1">
      <c r="AK176" s="106"/>
    </row>
    <row r="177" ht="15.75" customHeight="1">
      <c r="AK177" s="106"/>
    </row>
    <row r="178" ht="15.75" customHeight="1">
      <c r="AK178" s="106"/>
    </row>
    <row r="179" ht="15.75" customHeight="1">
      <c r="AK179" s="106"/>
    </row>
    <row r="180" ht="15.75" customHeight="1">
      <c r="AK180" s="106"/>
    </row>
    <row r="181" ht="15.75" customHeight="1">
      <c r="AK181" s="106"/>
    </row>
    <row r="182" ht="15.75" customHeight="1">
      <c r="AK182" s="106"/>
    </row>
    <row r="183" ht="15.75" customHeight="1">
      <c r="AK183" s="106"/>
    </row>
    <row r="184" ht="15.75" customHeight="1">
      <c r="AK184" s="106"/>
    </row>
    <row r="185" ht="15.75" customHeight="1">
      <c r="AK185" s="106"/>
    </row>
    <row r="186" ht="15.75" customHeight="1">
      <c r="AK186" s="106"/>
    </row>
    <row r="187" ht="15.75" customHeight="1">
      <c r="AK187" s="106"/>
    </row>
    <row r="188" ht="15.75" customHeight="1">
      <c r="AK188" s="106"/>
    </row>
    <row r="189" ht="15.75" customHeight="1">
      <c r="AK189" s="106"/>
    </row>
    <row r="190" ht="15.75" customHeight="1">
      <c r="AK190" s="106"/>
    </row>
    <row r="191" ht="15.75" customHeight="1">
      <c r="AK191" s="106"/>
    </row>
    <row r="192" ht="15.75" customHeight="1">
      <c r="AK192" s="106"/>
    </row>
    <row r="193" ht="15.75" customHeight="1">
      <c r="AK193" s="106"/>
    </row>
    <row r="194" ht="15.75" customHeight="1">
      <c r="AK194" s="106"/>
    </row>
    <row r="195" ht="15.75" customHeight="1">
      <c r="AK195" s="106"/>
    </row>
    <row r="196" ht="15.75" customHeight="1">
      <c r="AK196" s="106"/>
    </row>
    <row r="197" ht="15.75" customHeight="1">
      <c r="AK197" s="106"/>
    </row>
    <row r="198" ht="15.75" customHeight="1">
      <c r="AK198" s="106"/>
    </row>
    <row r="199" ht="15.75" customHeight="1">
      <c r="AK199" s="106"/>
    </row>
    <row r="200" ht="15.75" customHeight="1">
      <c r="AK200" s="106"/>
    </row>
    <row r="201" ht="15.75" customHeight="1">
      <c r="AK201" s="106"/>
    </row>
    <row r="202" ht="15.75" customHeight="1">
      <c r="AK202" s="106"/>
    </row>
    <row r="203" ht="15.75" customHeight="1">
      <c r="AK203" s="106"/>
    </row>
    <row r="204" ht="15.75" customHeight="1">
      <c r="AK204" s="106"/>
    </row>
    <row r="205" ht="15.75" customHeight="1">
      <c r="AK205" s="106"/>
    </row>
    <row r="206" ht="15.75" customHeight="1">
      <c r="AK206" s="106"/>
    </row>
    <row r="207" ht="15.75" customHeight="1">
      <c r="AK207" s="106"/>
    </row>
    <row r="208" ht="15.75" customHeight="1">
      <c r="AK208" s="106"/>
    </row>
    <row r="209" ht="15.75" customHeight="1">
      <c r="AK209" s="106"/>
    </row>
    <row r="210" ht="15.75" customHeight="1">
      <c r="AK210" s="106"/>
    </row>
    <row r="211" ht="15.75" customHeight="1">
      <c r="AK211" s="106"/>
    </row>
    <row r="212" ht="15.75" customHeight="1">
      <c r="AK212" s="106"/>
    </row>
    <row r="213" ht="15.75" customHeight="1">
      <c r="AK213" s="106"/>
    </row>
    <row r="214" ht="15.75" customHeight="1">
      <c r="AK214" s="106"/>
    </row>
    <row r="215" ht="15.75" customHeight="1">
      <c r="AK215" s="106"/>
    </row>
    <row r="216" ht="15.75" customHeight="1">
      <c r="AK216" s="106"/>
    </row>
    <row r="217" ht="15.75" customHeight="1">
      <c r="AK217" s="106"/>
    </row>
    <row r="218" ht="15.75" customHeight="1">
      <c r="AK218" s="106"/>
    </row>
    <row r="219" ht="15.75" customHeight="1">
      <c r="AK219" s="106"/>
    </row>
    <row r="220" ht="15.75" customHeight="1">
      <c r="AK220" s="106"/>
    </row>
    <row r="221" ht="15.75" customHeight="1">
      <c r="AK221" s="106"/>
    </row>
    <row r="222" ht="15.75" customHeight="1">
      <c r="AK222" s="106"/>
    </row>
    <row r="223" ht="15.75" customHeight="1">
      <c r="AK223" s="106"/>
    </row>
    <row r="224" ht="15.75" customHeight="1">
      <c r="AK224" s="106"/>
    </row>
    <row r="225" ht="15.75" customHeight="1">
      <c r="AK225" s="106"/>
    </row>
    <row r="226" ht="15.75" customHeight="1">
      <c r="AK226" s="106"/>
    </row>
    <row r="227" ht="15.75" customHeight="1">
      <c r="AK227" s="106"/>
    </row>
    <row r="228" ht="15.75" customHeight="1">
      <c r="AK228" s="106"/>
    </row>
    <row r="229" ht="15.75" customHeight="1">
      <c r="AK229" s="106"/>
    </row>
    <row r="230" ht="15.75" customHeight="1">
      <c r="AK230" s="106"/>
    </row>
    <row r="231" ht="15.75" customHeight="1">
      <c r="AK231" s="106"/>
    </row>
    <row r="232" ht="15.75" customHeight="1">
      <c r="AK232" s="106"/>
    </row>
    <row r="233" ht="15.75" customHeight="1">
      <c r="AK233" s="106"/>
    </row>
    <row r="234" ht="15.75" customHeight="1">
      <c r="AK234" s="106"/>
    </row>
    <row r="235" ht="15.75" customHeight="1">
      <c r="AK235" s="106"/>
    </row>
    <row r="236" ht="15.75" customHeight="1">
      <c r="AK236" s="106"/>
    </row>
    <row r="237" ht="15.75" customHeight="1">
      <c r="AK237" s="106"/>
    </row>
    <row r="238" ht="15.75" customHeight="1">
      <c r="AK238" s="106"/>
    </row>
    <row r="239" ht="15.75" customHeight="1">
      <c r="AK239" s="106"/>
    </row>
    <row r="240" ht="15.75" customHeight="1">
      <c r="AK240" s="106"/>
    </row>
    <row r="241" ht="15.75" customHeight="1">
      <c r="AK241" s="106"/>
    </row>
    <row r="242" ht="15.75" customHeight="1">
      <c r="AK242" s="106"/>
    </row>
    <row r="243" ht="15.75" customHeight="1">
      <c r="AK243" s="106"/>
    </row>
    <row r="244" ht="15.75" customHeight="1">
      <c r="AK244" s="106"/>
    </row>
    <row r="245" ht="15.75" customHeight="1">
      <c r="AK245" s="106"/>
    </row>
    <row r="246" ht="15.75" customHeight="1">
      <c r="AK246" s="106"/>
    </row>
    <row r="247" ht="15.75" customHeight="1">
      <c r="AK247" s="106"/>
    </row>
    <row r="248" ht="15.75" customHeight="1">
      <c r="AK248" s="106"/>
    </row>
    <row r="249" ht="15.75" customHeight="1">
      <c r="AK249" s="106"/>
    </row>
    <row r="250" ht="15.75" customHeight="1">
      <c r="AK250" s="106"/>
    </row>
    <row r="251" ht="15.75" customHeight="1">
      <c r="AK251" s="106"/>
    </row>
    <row r="252" ht="15.75" customHeight="1">
      <c r="AK252" s="106"/>
    </row>
    <row r="253" ht="15.75" customHeight="1">
      <c r="AK253" s="106"/>
    </row>
    <row r="254" ht="15.75" customHeight="1">
      <c r="AK254" s="106"/>
    </row>
    <row r="255" ht="15.75" customHeight="1">
      <c r="AK255" s="106"/>
    </row>
    <row r="256" ht="15.75" customHeight="1">
      <c r="AK256" s="106"/>
    </row>
    <row r="257" ht="15.75" customHeight="1">
      <c r="AK257" s="106"/>
    </row>
    <row r="258" ht="15.75" customHeight="1">
      <c r="AK258" s="106"/>
    </row>
    <row r="259" ht="15.75" customHeight="1">
      <c r="AK259" s="106"/>
    </row>
    <row r="260" ht="15.75" customHeight="1">
      <c r="AK260" s="106"/>
    </row>
    <row r="261" ht="15.75" customHeight="1">
      <c r="AK261" s="106"/>
    </row>
    <row r="262" ht="15.75" customHeight="1">
      <c r="AK262" s="106"/>
    </row>
    <row r="263" ht="15.75" customHeight="1">
      <c r="AK263" s="106"/>
    </row>
    <row r="264" ht="15.75" customHeight="1">
      <c r="AK264" s="106"/>
    </row>
    <row r="265" ht="15.75" customHeight="1">
      <c r="AK265" s="106"/>
    </row>
    <row r="266" ht="15.75" customHeight="1">
      <c r="AK266" s="106"/>
    </row>
    <row r="267" ht="15.75" customHeight="1">
      <c r="AK267" s="106"/>
    </row>
    <row r="268" ht="15.75" customHeight="1">
      <c r="AK268" s="106"/>
    </row>
    <row r="269" ht="15.75" customHeight="1">
      <c r="AK269" s="106"/>
    </row>
    <row r="270" ht="15.75" customHeight="1">
      <c r="AK270" s="106"/>
    </row>
    <row r="271" ht="15.75" customHeight="1">
      <c r="AK271" s="106"/>
    </row>
    <row r="272" ht="15.75" customHeight="1">
      <c r="AK272" s="106"/>
    </row>
    <row r="273" ht="15.75" customHeight="1">
      <c r="AK273" s="106"/>
    </row>
    <row r="274" ht="15.75" customHeight="1">
      <c r="AK274" s="106"/>
    </row>
    <row r="275" ht="15.75" customHeight="1">
      <c r="AK275" s="106"/>
    </row>
    <row r="276" ht="15.75" customHeight="1">
      <c r="AK276" s="106"/>
    </row>
    <row r="277" ht="15.75" customHeight="1">
      <c r="AK277" s="106"/>
    </row>
    <row r="278" ht="15.75" customHeight="1">
      <c r="AK278" s="106"/>
    </row>
    <row r="279" ht="15.75" customHeight="1">
      <c r="AK279" s="106"/>
    </row>
    <row r="280" ht="15.75" customHeight="1">
      <c r="AK280" s="106"/>
    </row>
    <row r="281" ht="15.75" customHeight="1">
      <c r="AK281" s="106"/>
    </row>
    <row r="282" ht="15.75" customHeight="1">
      <c r="AK282" s="106"/>
    </row>
    <row r="283" ht="15.75" customHeight="1">
      <c r="AK283" s="106"/>
    </row>
    <row r="284" ht="15.75" customHeight="1">
      <c r="AK284" s="106"/>
    </row>
    <row r="285" ht="15.75" customHeight="1">
      <c r="AK285" s="106"/>
    </row>
    <row r="286" ht="15.75" customHeight="1">
      <c r="AK286" s="106"/>
    </row>
    <row r="287" ht="15.75" customHeight="1">
      <c r="AK287" s="106"/>
    </row>
    <row r="288" ht="15.75" customHeight="1">
      <c r="AK288" s="106"/>
    </row>
    <row r="289" ht="15.75" customHeight="1">
      <c r="AK289" s="106"/>
    </row>
    <row r="290" ht="15.75" customHeight="1">
      <c r="AK290" s="106"/>
    </row>
    <row r="291" ht="15.75" customHeight="1">
      <c r="AK291" s="106"/>
    </row>
    <row r="292" ht="15.75" customHeight="1">
      <c r="AK292" s="106"/>
    </row>
    <row r="293" ht="15.75" customHeight="1">
      <c r="AK293" s="106"/>
    </row>
    <row r="294" ht="15.75" customHeight="1">
      <c r="AK294" s="106"/>
    </row>
    <row r="295" ht="15.75" customHeight="1">
      <c r="AK295" s="106"/>
    </row>
    <row r="296" ht="15.75" customHeight="1">
      <c r="AK296" s="106"/>
    </row>
    <row r="297" ht="15.75" customHeight="1">
      <c r="AK297" s="106"/>
    </row>
    <row r="298" ht="15.75" customHeight="1">
      <c r="AK298" s="106"/>
    </row>
    <row r="299" ht="15.75" customHeight="1">
      <c r="AK299" s="106"/>
    </row>
    <row r="300" ht="15.75" customHeight="1">
      <c r="AK300" s="106"/>
    </row>
    <row r="301" ht="15.75" customHeight="1">
      <c r="AK301" s="106"/>
    </row>
    <row r="302" ht="15.75" customHeight="1">
      <c r="AK302" s="106"/>
    </row>
    <row r="303" ht="15.75" customHeight="1">
      <c r="AK303" s="106"/>
    </row>
    <row r="304" ht="15.75" customHeight="1">
      <c r="AK304" s="106"/>
    </row>
    <row r="305" ht="15.75" customHeight="1">
      <c r="AK305" s="106"/>
    </row>
    <row r="306" ht="15.75" customHeight="1">
      <c r="AK306" s="106"/>
    </row>
    <row r="307" ht="15.75" customHeight="1">
      <c r="AK307" s="106"/>
    </row>
    <row r="308" ht="15.75" customHeight="1">
      <c r="AK308" s="106"/>
    </row>
    <row r="309" ht="15.75" customHeight="1">
      <c r="AK309" s="106"/>
    </row>
    <row r="310" ht="15.75" customHeight="1">
      <c r="AK310" s="106"/>
    </row>
    <row r="311" ht="15.75" customHeight="1">
      <c r="AK311" s="106"/>
    </row>
    <row r="312" ht="15.75" customHeight="1">
      <c r="AK312" s="106"/>
    </row>
    <row r="313" ht="15.75" customHeight="1">
      <c r="AK313" s="106"/>
    </row>
    <row r="314" ht="15.75" customHeight="1">
      <c r="AK314" s="106"/>
    </row>
    <row r="315" ht="15.75" customHeight="1">
      <c r="AK315" s="106"/>
    </row>
    <row r="316" ht="15.75" customHeight="1">
      <c r="AK316" s="106"/>
    </row>
    <row r="317" ht="15.75" customHeight="1">
      <c r="AK317" s="106"/>
    </row>
    <row r="318" ht="15.75" customHeight="1">
      <c r="AK318" s="106"/>
    </row>
    <row r="319" ht="15.75" customHeight="1">
      <c r="AK319" s="106"/>
    </row>
    <row r="320" ht="15.75" customHeight="1">
      <c r="AK320" s="106"/>
    </row>
    <row r="321" ht="15.75" customHeight="1">
      <c r="AK321" s="106"/>
    </row>
    <row r="322" ht="15.75" customHeight="1">
      <c r="AK322" s="106"/>
    </row>
    <row r="323" ht="15.75" customHeight="1">
      <c r="AK323" s="106"/>
    </row>
    <row r="324" ht="15.75" customHeight="1">
      <c r="AK324" s="106"/>
    </row>
    <row r="325" ht="15.75" customHeight="1">
      <c r="AK325" s="106"/>
    </row>
    <row r="326" ht="15.75" customHeight="1">
      <c r="AK326" s="106"/>
    </row>
    <row r="327" ht="15.75" customHeight="1">
      <c r="AK327" s="106"/>
    </row>
    <row r="328" ht="15.75" customHeight="1">
      <c r="AK328" s="106"/>
    </row>
    <row r="329" ht="15.75" customHeight="1">
      <c r="AK329" s="106"/>
    </row>
    <row r="330" ht="15.75" customHeight="1">
      <c r="AK330" s="106"/>
    </row>
    <row r="331" ht="15.75" customHeight="1">
      <c r="AK331" s="106"/>
    </row>
    <row r="332" ht="15.75" customHeight="1">
      <c r="AK332" s="106"/>
    </row>
    <row r="333" ht="15.75" customHeight="1">
      <c r="AK333" s="106"/>
    </row>
    <row r="334" ht="15.75" customHeight="1">
      <c r="AK334" s="106"/>
    </row>
    <row r="335" ht="15.75" customHeight="1">
      <c r="AK335" s="106"/>
    </row>
    <row r="336" ht="15.75" customHeight="1">
      <c r="AK336" s="106"/>
    </row>
    <row r="337" ht="15.75" customHeight="1">
      <c r="AK337" s="106"/>
    </row>
    <row r="338" ht="15.75" customHeight="1">
      <c r="AK338" s="106"/>
    </row>
    <row r="339" ht="15.75" customHeight="1">
      <c r="AK339" s="106"/>
    </row>
    <row r="340" ht="15.75" customHeight="1">
      <c r="AK340" s="106"/>
    </row>
    <row r="341" ht="15.75" customHeight="1">
      <c r="AK341" s="106"/>
    </row>
    <row r="342" ht="15.75" customHeight="1">
      <c r="AK342" s="106"/>
    </row>
    <row r="343" ht="15.75" customHeight="1">
      <c r="AK343" s="106"/>
    </row>
    <row r="344" ht="15.75" customHeight="1">
      <c r="AK344" s="106"/>
    </row>
    <row r="345" ht="15.75" customHeight="1">
      <c r="AK345" s="106"/>
    </row>
    <row r="346" ht="15.75" customHeight="1">
      <c r="AK346" s="106"/>
    </row>
    <row r="347" ht="15.75" customHeight="1">
      <c r="AK347" s="106"/>
    </row>
    <row r="348" ht="15.75" customHeight="1">
      <c r="AK348" s="106"/>
    </row>
    <row r="349" ht="15.75" customHeight="1">
      <c r="AK349" s="106"/>
    </row>
    <row r="350" ht="15.75" customHeight="1">
      <c r="AK350" s="106"/>
    </row>
    <row r="351" ht="15.75" customHeight="1">
      <c r="AK351" s="106"/>
    </row>
    <row r="352" ht="15.75" customHeight="1">
      <c r="AK352" s="106"/>
    </row>
    <row r="353" ht="15.75" customHeight="1">
      <c r="AK353" s="106"/>
    </row>
    <row r="354" ht="15.75" customHeight="1">
      <c r="AK354" s="106"/>
    </row>
    <row r="355" ht="15.75" customHeight="1">
      <c r="AK355" s="106"/>
    </row>
    <row r="356" ht="15.75" customHeight="1">
      <c r="AK356" s="106"/>
    </row>
    <row r="357" ht="15.75" customHeight="1">
      <c r="AK357" s="106"/>
    </row>
    <row r="358" ht="15.75" customHeight="1">
      <c r="AK358" s="106"/>
    </row>
    <row r="359" ht="15.75" customHeight="1">
      <c r="AK359" s="106"/>
    </row>
    <row r="360" ht="15.75" customHeight="1">
      <c r="AK360" s="106"/>
    </row>
    <row r="361" ht="15.75" customHeight="1">
      <c r="AK361" s="106"/>
    </row>
    <row r="362" ht="15.75" customHeight="1">
      <c r="AK362" s="106"/>
    </row>
    <row r="363" ht="15.75" customHeight="1">
      <c r="AK363" s="106"/>
    </row>
    <row r="364" ht="15.75" customHeight="1">
      <c r="AK364" s="106"/>
    </row>
    <row r="365" ht="15.75" customHeight="1">
      <c r="AK365" s="106"/>
    </row>
    <row r="366" ht="15.75" customHeight="1">
      <c r="AK366" s="106"/>
    </row>
    <row r="367" ht="15.75" customHeight="1">
      <c r="AK367" s="106"/>
    </row>
    <row r="368" ht="15.75" customHeight="1">
      <c r="AK368" s="106"/>
    </row>
    <row r="369" ht="15.75" customHeight="1">
      <c r="AK369" s="106"/>
    </row>
    <row r="370" ht="15.75" customHeight="1">
      <c r="AK370" s="106"/>
    </row>
    <row r="371" ht="15.75" customHeight="1">
      <c r="AK371" s="106"/>
    </row>
    <row r="372" ht="15.75" customHeight="1">
      <c r="AK372" s="106"/>
    </row>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0">
    <mergeCell ref="AA25:AA26"/>
    <mergeCell ref="AC25:AC26"/>
    <mergeCell ref="AN25:AN26"/>
    <mergeCell ref="AQ25:AQ26"/>
    <mergeCell ref="BB25:BB26"/>
    <mergeCell ref="BD25:BD26"/>
    <mergeCell ref="B2:N2"/>
    <mergeCell ref="O24:AA24"/>
    <mergeCell ref="AC24:AN24"/>
    <mergeCell ref="AQ24:BB24"/>
    <mergeCell ref="BD24:BO24"/>
    <mergeCell ref="O25:O26"/>
    <mergeCell ref="BO25:BO26"/>
    <mergeCell ref="B25:L27"/>
    <mergeCell ref="B28:F29"/>
    <mergeCell ref="H28:L29"/>
    <mergeCell ref="B30:D31"/>
    <mergeCell ref="E30:F31"/>
    <mergeCell ref="H30:J31"/>
    <mergeCell ref="K30:L31"/>
    <mergeCell ref="H38:J39"/>
    <mergeCell ref="K38:L39"/>
    <mergeCell ref="B40:D41"/>
    <mergeCell ref="E40:F41"/>
    <mergeCell ref="B32:D33"/>
    <mergeCell ref="E32:F33"/>
    <mergeCell ref="H32:J33"/>
    <mergeCell ref="K32:L33"/>
    <mergeCell ref="E34:F35"/>
    <mergeCell ref="H34:J35"/>
    <mergeCell ref="K34:L35"/>
    <mergeCell ref="B34:D35"/>
    <mergeCell ref="B36:D37"/>
    <mergeCell ref="E36:F37"/>
    <mergeCell ref="H36:J37"/>
    <mergeCell ref="K36:L37"/>
    <mergeCell ref="B38:D39"/>
    <mergeCell ref="E38:F39"/>
    <mergeCell ref="B42:D43"/>
    <mergeCell ref="E42:F43"/>
    <mergeCell ref="B44:D45"/>
    <mergeCell ref="E44:F45"/>
    <mergeCell ref="B46:D47"/>
    <mergeCell ref="E46:F47"/>
    <mergeCell ref="E48:F49"/>
    <mergeCell ref="O62:AA62"/>
    <mergeCell ref="AC62:AN62"/>
    <mergeCell ref="AQ62:BB62"/>
    <mergeCell ref="BD62:BO62"/>
    <mergeCell ref="BD63:BD64"/>
    <mergeCell ref="BO63:BO64"/>
    <mergeCell ref="B63:L65"/>
    <mergeCell ref="O63:O64"/>
    <mergeCell ref="AA63:AA64"/>
    <mergeCell ref="AC63:AC64"/>
    <mergeCell ref="AN63:AN64"/>
    <mergeCell ref="AQ63:AQ64"/>
    <mergeCell ref="BB63:BB64"/>
    <mergeCell ref="H66:L67"/>
    <mergeCell ref="B48:D49"/>
    <mergeCell ref="B50:D51"/>
    <mergeCell ref="E50:F51"/>
    <mergeCell ref="B52:D53"/>
    <mergeCell ref="E52:F53"/>
    <mergeCell ref="B54:D55"/>
    <mergeCell ref="E54:F55"/>
    <mergeCell ref="H70:J71"/>
    <mergeCell ref="K70:L71"/>
    <mergeCell ref="B66:F67"/>
    <mergeCell ref="B68:D69"/>
    <mergeCell ref="E68:F69"/>
    <mergeCell ref="H68:J69"/>
    <mergeCell ref="K68:L69"/>
    <mergeCell ref="B70:D71"/>
    <mergeCell ref="E70:F71"/>
    <mergeCell ref="B72:D73"/>
    <mergeCell ref="E72:F73"/>
    <mergeCell ref="H72:J73"/>
    <mergeCell ref="K72:L73"/>
    <mergeCell ref="E74:F75"/>
    <mergeCell ref="H74:J75"/>
    <mergeCell ref="K74:L75"/>
    <mergeCell ref="H78:J79"/>
    <mergeCell ref="K78:L79"/>
    <mergeCell ref="B74:D75"/>
    <mergeCell ref="B76:D77"/>
    <mergeCell ref="E76:F77"/>
    <mergeCell ref="H76:J77"/>
    <mergeCell ref="K76:L77"/>
    <mergeCell ref="B78:D79"/>
    <mergeCell ref="E78:F79"/>
    <mergeCell ref="O100:AA100"/>
    <mergeCell ref="AC100:AN100"/>
    <mergeCell ref="AQ100:BB100"/>
    <mergeCell ref="BD100:BO100"/>
    <mergeCell ref="BD101:BD102"/>
    <mergeCell ref="BO101:BO102"/>
    <mergeCell ref="B101:L103"/>
    <mergeCell ref="O101:O102"/>
    <mergeCell ref="AA101:AA102"/>
    <mergeCell ref="AC101:AC102"/>
    <mergeCell ref="AN101:AN102"/>
    <mergeCell ref="AQ101:AQ102"/>
    <mergeCell ref="BB101:BB102"/>
    <mergeCell ref="H104:L105"/>
    <mergeCell ref="B118:D119"/>
    <mergeCell ref="E118:F119"/>
    <mergeCell ref="B120:D121"/>
    <mergeCell ref="E120:F121"/>
    <mergeCell ref="B122:D123"/>
    <mergeCell ref="E122:F123"/>
    <mergeCell ref="E124:F125"/>
    <mergeCell ref="B124:D125"/>
    <mergeCell ref="B126:D127"/>
    <mergeCell ref="E126:F127"/>
    <mergeCell ref="B128:D129"/>
    <mergeCell ref="E128:F129"/>
    <mergeCell ref="B130:D131"/>
    <mergeCell ref="E130:F131"/>
    <mergeCell ref="AN140:AN141"/>
    <mergeCell ref="AQ140:AQ141"/>
    <mergeCell ref="BB140:BB141"/>
    <mergeCell ref="BD140:BD141"/>
    <mergeCell ref="O139:AA139"/>
    <mergeCell ref="AC139:AN139"/>
    <mergeCell ref="AQ139:BB139"/>
    <mergeCell ref="BD139:BO139"/>
    <mergeCell ref="O140:O141"/>
    <mergeCell ref="AA140:AA141"/>
    <mergeCell ref="AC140:AC141"/>
    <mergeCell ref="BO140:BO141"/>
    <mergeCell ref="B80:D81"/>
    <mergeCell ref="E80:F81"/>
    <mergeCell ref="B82:D83"/>
    <mergeCell ref="E82:F83"/>
    <mergeCell ref="B84:D85"/>
    <mergeCell ref="E84:F85"/>
    <mergeCell ref="E86:F87"/>
    <mergeCell ref="B86:D87"/>
    <mergeCell ref="B88:D89"/>
    <mergeCell ref="E88:F89"/>
    <mergeCell ref="B90:D91"/>
    <mergeCell ref="E90:F91"/>
    <mergeCell ref="B92:D93"/>
    <mergeCell ref="E92:F93"/>
    <mergeCell ref="H108:J109"/>
    <mergeCell ref="K108:L109"/>
    <mergeCell ref="B104:F105"/>
    <mergeCell ref="B106:D107"/>
    <mergeCell ref="E106:F107"/>
    <mergeCell ref="H106:J107"/>
    <mergeCell ref="K106:L107"/>
    <mergeCell ref="B108:D109"/>
    <mergeCell ref="E108:F109"/>
    <mergeCell ref="B110:D111"/>
    <mergeCell ref="E110:F111"/>
    <mergeCell ref="H110:J111"/>
    <mergeCell ref="K110:L111"/>
    <mergeCell ref="E112:F113"/>
    <mergeCell ref="H112:J113"/>
    <mergeCell ref="K112:L113"/>
    <mergeCell ref="H116:J117"/>
    <mergeCell ref="K116:L117"/>
    <mergeCell ref="B112:D113"/>
    <mergeCell ref="B114:D115"/>
    <mergeCell ref="E114:F115"/>
    <mergeCell ref="H114:J115"/>
    <mergeCell ref="K114:L115"/>
    <mergeCell ref="B116:D117"/>
    <mergeCell ref="E116:F11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89" t="s">
        <v>157</v>
      </c>
    </row>
    <row r="3">
      <c r="A3" s="190" t="s">
        <v>158</v>
      </c>
    </row>
    <row r="4">
      <c r="H4" s="191"/>
    </row>
    <row r="5">
      <c r="A5" s="56" t="s">
        <v>159</v>
      </c>
      <c r="H5" s="191"/>
    </row>
    <row r="6">
      <c r="A6" s="192" t="s">
        <v>160</v>
      </c>
      <c r="H6" s="191"/>
    </row>
    <row r="8">
      <c r="A8" s="192" t="s">
        <v>161</v>
      </c>
      <c r="H8" s="191" t="s">
        <v>162</v>
      </c>
    </row>
    <row r="10">
      <c r="A10" s="192" t="s">
        <v>163</v>
      </c>
    </row>
    <row r="13">
      <c r="A13" s="192" t="s">
        <v>164</v>
      </c>
    </row>
    <row r="16">
      <c r="A16" s="192" t="s">
        <v>165</v>
      </c>
    </row>
    <row r="19">
      <c r="A19" s="193" t="s">
        <v>166</v>
      </c>
      <c r="B19" s="193"/>
      <c r="C19" s="193"/>
      <c r="D19" s="193" t="s">
        <v>167</v>
      </c>
      <c r="E19" s="193" t="s">
        <v>168</v>
      </c>
      <c r="F19" s="193"/>
      <c r="G19" s="193" t="s">
        <v>169</v>
      </c>
      <c r="H19" s="193" t="s">
        <v>170</v>
      </c>
      <c r="I19" s="193" t="s">
        <v>171</v>
      </c>
      <c r="J19" s="193" t="s">
        <v>172</v>
      </c>
      <c r="K19" s="193" t="s">
        <v>173</v>
      </c>
      <c r="L19" s="193" t="s">
        <v>174</v>
      </c>
      <c r="M19" s="193" t="s">
        <v>175</v>
      </c>
      <c r="N19" s="193" t="s">
        <v>176</v>
      </c>
      <c r="O19" s="193" t="s">
        <v>177</v>
      </c>
      <c r="P19" s="193"/>
      <c r="Q19" s="193" t="s">
        <v>178</v>
      </c>
      <c r="R19" s="193" t="s">
        <v>179</v>
      </c>
      <c r="S19" s="193" t="s">
        <v>180</v>
      </c>
      <c r="T19" s="193" t="s">
        <v>181</v>
      </c>
      <c r="U19" s="193" t="s">
        <v>182</v>
      </c>
      <c r="V19" s="193"/>
      <c r="W19" s="193" t="s">
        <v>183</v>
      </c>
      <c r="X19" s="193" t="s">
        <v>184</v>
      </c>
      <c r="Y19" s="193" t="s">
        <v>185</v>
      </c>
      <c r="Z19" s="193" t="s">
        <v>186</v>
      </c>
      <c r="AA19" s="193" t="s">
        <v>187</v>
      </c>
      <c r="AB19" s="193" t="s">
        <v>188</v>
      </c>
      <c r="AC19" s="193" t="s">
        <v>189</v>
      </c>
      <c r="AD19" s="193" t="s">
        <v>190</v>
      </c>
      <c r="AE19" s="193" t="s">
        <v>191</v>
      </c>
      <c r="AF19" s="193" t="s">
        <v>192</v>
      </c>
      <c r="AG19" s="193" t="s">
        <v>193</v>
      </c>
      <c r="AH19" s="193"/>
      <c r="AI19" s="193"/>
      <c r="AJ19" s="193" t="s">
        <v>194</v>
      </c>
      <c r="AK19" s="193" t="s">
        <v>195</v>
      </c>
      <c r="AL19" s="193" t="s">
        <v>196</v>
      </c>
      <c r="AM19" s="193"/>
      <c r="AN19" s="193" t="s">
        <v>197</v>
      </c>
      <c r="AO19" s="193" t="s">
        <v>198</v>
      </c>
      <c r="AP19" s="193" t="s">
        <v>199</v>
      </c>
      <c r="AQ19" s="193" t="s">
        <v>200</v>
      </c>
      <c r="AR19" s="193"/>
      <c r="AS19" s="193"/>
      <c r="AT19" s="193" t="s">
        <v>201</v>
      </c>
      <c r="AU19" s="193" t="s">
        <v>202</v>
      </c>
      <c r="AV19" s="193" t="s">
        <v>203</v>
      </c>
      <c r="AW19" s="193"/>
      <c r="AX19" s="193"/>
      <c r="AY19" s="193"/>
      <c r="AZ19" s="193"/>
      <c r="BA19" s="193"/>
    </row>
    <row r="20" hidden="1">
      <c r="A20" s="56" t="s">
        <v>204</v>
      </c>
      <c r="C20" s="56" t="s">
        <v>205</v>
      </c>
      <c r="D20" s="56" t="s">
        <v>206</v>
      </c>
      <c r="E20" s="56" t="s">
        <v>207</v>
      </c>
      <c r="G20" s="56" t="s">
        <v>208</v>
      </c>
      <c r="H20" s="56" t="s">
        <v>209</v>
      </c>
      <c r="I20" s="56" t="s">
        <v>210</v>
      </c>
      <c r="J20" s="56" t="s">
        <v>211</v>
      </c>
      <c r="K20" s="56" t="s">
        <v>212</v>
      </c>
      <c r="L20" s="56" t="s">
        <v>213</v>
      </c>
      <c r="M20" s="56" t="s">
        <v>214</v>
      </c>
      <c r="N20" s="56" t="s">
        <v>215</v>
      </c>
      <c r="O20" s="56" t="s">
        <v>216</v>
      </c>
      <c r="Q20" s="56" t="s">
        <v>217</v>
      </c>
      <c r="R20" s="56" t="s">
        <v>218</v>
      </c>
      <c r="S20" s="56" t="s">
        <v>219</v>
      </c>
      <c r="T20" s="56" t="s">
        <v>220</v>
      </c>
      <c r="U20" s="56" t="s">
        <v>221</v>
      </c>
      <c r="W20" s="56" t="s">
        <v>222</v>
      </c>
      <c r="X20" s="56" t="s">
        <v>223</v>
      </c>
      <c r="Y20" s="56" t="s">
        <v>224</v>
      </c>
      <c r="Z20" s="56" t="s">
        <v>225</v>
      </c>
      <c r="AA20" s="56" t="s">
        <v>226</v>
      </c>
      <c r="AB20" s="56" t="s">
        <v>227</v>
      </c>
      <c r="AC20" s="56" t="s">
        <v>228</v>
      </c>
      <c r="AD20" s="56" t="s">
        <v>229</v>
      </c>
      <c r="AE20" s="56" t="s">
        <v>230</v>
      </c>
      <c r="AF20" s="56" t="s">
        <v>231</v>
      </c>
      <c r="AG20" s="56" t="s">
        <v>232</v>
      </c>
      <c r="AJ20" s="56" t="s">
        <v>233</v>
      </c>
      <c r="AK20" s="56" t="s">
        <v>234</v>
      </c>
      <c r="AL20" s="56" t="s">
        <v>235</v>
      </c>
      <c r="AN20" s="56" t="s">
        <v>236</v>
      </c>
      <c r="AO20" s="56" t="s">
        <v>237</v>
      </c>
      <c r="AP20" s="56" t="s">
        <v>238</v>
      </c>
      <c r="AQ20" s="56" t="s">
        <v>239</v>
      </c>
      <c r="AR20" s="56" t="s">
        <v>240</v>
      </c>
      <c r="AS20" s="56" t="s">
        <v>241</v>
      </c>
      <c r="AT20" s="56" t="s">
        <v>242</v>
      </c>
      <c r="AU20" s="56" t="s">
        <v>243</v>
      </c>
      <c r="AV20" s="56" t="s">
        <v>244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6:G7"/>
    <mergeCell ref="A8:G9"/>
    <mergeCell ref="A10:G11"/>
    <mergeCell ref="A13:H15"/>
    <mergeCell ref="A16:H17"/>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94" t="s">
        <v>245</v>
      </c>
      <c r="D1" s="194" t="s">
        <v>246</v>
      </c>
      <c r="G1" s="194" t="s">
        <v>246</v>
      </c>
    </row>
    <row r="2">
      <c r="A2" s="195">
        <v>115.33</v>
      </c>
      <c r="B2" s="195">
        <f t="shared" ref="B2:B13" si="1">A2*10%</f>
        <v>11.533</v>
      </c>
      <c r="D2" s="195">
        <v>115.33</v>
      </c>
      <c r="E2" s="195">
        <f t="shared" ref="E2:E24" si="2">D2*10%</f>
        <v>11.533</v>
      </c>
      <c r="G2" s="195">
        <v>115.33</v>
      </c>
      <c r="H2" s="195">
        <f t="shared" ref="H2:H48" si="3">G2*10%</f>
        <v>11.533</v>
      </c>
    </row>
    <row r="3">
      <c r="A3" s="195">
        <f t="shared" ref="A3:A13" si="4">A2+B2</f>
        <v>126.863</v>
      </c>
      <c r="B3" s="195">
        <f t="shared" si="1"/>
        <v>12.6863</v>
      </c>
      <c r="D3" s="195">
        <f t="shared" ref="D3:D24" si="5">D2+E2</f>
        <v>126.863</v>
      </c>
      <c r="E3" s="195">
        <f t="shared" si="2"/>
        <v>12.6863</v>
      </c>
      <c r="G3" s="195">
        <f t="shared" ref="G3:G48" si="6">G2+H2</f>
        <v>126.863</v>
      </c>
      <c r="H3" s="195">
        <f t="shared" si="3"/>
        <v>12.6863</v>
      </c>
    </row>
    <row r="4">
      <c r="A4" s="195">
        <f t="shared" si="4"/>
        <v>139.5493</v>
      </c>
      <c r="B4" s="195">
        <f t="shared" si="1"/>
        <v>13.95493</v>
      </c>
      <c r="D4" s="195">
        <f t="shared" si="5"/>
        <v>139.5493</v>
      </c>
      <c r="E4" s="195">
        <f t="shared" si="2"/>
        <v>13.95493</v>
      </c>
      <c r="G4" s="195">
        <f t="shared" si="6"/>
        <v>139.5493</v>
      </c>
      <c r="H4" s="195">
        <f t="shared" si="3"/>
        <v>13.95493</v>
      </c>
    </row>
    <row r="5">
      <c r="A5" s="195">
        <f t="shared" si="4"/>
        <v>153.50423</v>
      </c>
      <c r="B5" s="195">
        <f t="shared" si="1"/>
        <v>15.350423</v>
      </c>
      <c r="D5" s="195">
        <f t="shared" si="5"/>
        <v>153.50423</v>
      </c>
      <c r="E5" s="195">
        <f t="shared" si="2"/>
        <v>15.350423</v>
      </c>
      <c r="G5" s="195">
        <f t="shared" si="6"/>
        <v>153.50423</v>
      </c>
      <c r="H5" s="195">
        <f t="shared" si="3"/>
        <v>15.350423</v>
      </c>
    </row>
    <row r="6">
      <c r="A6" s="195">
        <f t="shared" si="4"/>
        <v>168.854653</v>
      </c>
      <c r="B6" s="195">
        <f t="shared" si="1"/>
        <v>16.8854653</v>
      </c>
      <c r="D6" s="195">
        <f t="shared" si="5"/>
        <v>168.854653</v>
      </c>
      <c r="E6" s="195">
        <f t="shared" si="2"/>
        <v>16.8854653</v>
      </c>
      <c r="G6" s="195">
        <f t="shared" si="6"/>
        <v>168.854653</v>
      </c>
      <c r="H6" s="195">
        <f t="shared" si="3"/>
        <v>16.8854653</v>
      </c>
    </row>
    <row r="7">
      <c r="A7" s="195">
        <f t="shared" si="4"/>
        <v>185.7401183</v>
      </c>
      <c r="B7" s="195">
        <f t="shared" si="1"/>
        <v>18.57401183</v>
      </c>
      <c r="D7" s="195">
        <f t="shared" si="5"/>
        <v>185.7401183</v>
      </c>
      <c r="E7" s="195">
        <f t="shared" si="2"/>
        <v>18.57401183</v>
      </c>
      <c r="G7" s="195">
        <f t="shared" si="6"/>
        <v>185.7401183</v>
      </c>
      <c r="H7" s="195">
        <f t="shared" si="3"/>
        <v>18.57401183</v>
      </c>
    </row>
    <row r="8">
      <c r="A8" s="195">
        <f t="shared" si="4"/>
        <v>204.3141301</v>
      </c>
      <c r="B8" s="195">
        <f t="shared" si="1"/>
        <v>20.43141301</v>
      </c>
      <c r="D8" s="195">
        <f t="shared" si="5"/>
        <v>204.3141301</v>
      </c>
      <c r="E8" s="195">
        <f t="shared" si="2"/>
        <v>20.43141301</v>
      </c>
      <c r="G8" s="195">
        <f t="shared" si="6"/>
        <v>204.3141301</v>
      </c>
      <c r="H8" s="195">
        <f t="shared" si="3"/>
        <v>20.43141301</v>
      </c>
    </row>
    <row r="9">
      <c r="A9" s="195">
        <f t="shared" si="4"/>
        <v>224.7455431</v>
      </c>
      <c r="B9" s="195">
        <f t="shared" si="1"/>
        <v>22.47455431</v>
      </c>
      <c r="D9" s="195">
        <f t="shared" si="5"/>
        <v>224.7455431</v>
      </c>
      <c r="E9" s="195">
        <f t="shared" si="2"/>
        <v>22.47455431</v>
      </c>
      <c r="G9" s="195">
        <f t="shared" si="6"/>
        <v>224.7455431</v>
      </c>
      <c r="H9" s="195">
        <f t="shared" si="3"/>
        <v>22.47455431</v>
      </c>
    </row>
    <row r="10">
      <c r="A10" s="195">
        <f t="shared" si="4"/>
        <v>247.2200975</v>
      </c>
      <c r="B10" s="195">
        <f t="shared" si="1"/>
        <v>24.72200975</v>
      </c>
      <c r="D10" s="195">
        <f t="shared" si="5"/>
        <v>247.2200975</v>
      </c>
      <c r="E10" s="195">
        <f t="shared" si="2"/>
        <v>24.72200975</v>
      </c>
      <c r="G10" s="195">
        <f t="shared" si="6"/>
        <v>247.2200975</v>
      </c>
      <c r="H10" s="195">
        <f t="shared" si="3"/>
        <v>24.72200975</v>
      </c>
    </row>
    <row r="11">
      <c r="A11" s="195">
        <f t="shared" si="4"/>
        <v>271.9421072</v>
      </c>
      <c r="B11" s="195">
        <f t="shared" si="1"/>
        <v>27.19421072</v>
      </c>
      <c r="D11" s="195">
        <f t="shared" si="5"/>
        <v>271.9421072</v>
      </c>
      <c r="E11" s="195">
        <f t="shared" si="2"/>
        <v>27.19421072</v>
      </c>
      <c r="G11" s="195">
        <f t="shared" si="6"/>
        <v>271.9421072</v>
      </c>
      <c r="H11" s="195">
        <f t="shared" si="3"/>
        <v>27.19421072</v>
      </c>
    </row>
    <row r="12">
      <c r="A12" s="195">
        <f t="shared" si="4"/>
        <v>299.1363179</v>
      </c>
      <c r="B12" s="195">
        <f t="shared" si="1"/>
        <v>29.91363179</v>
      </c>
      <c r="D12" s="195">
        <f t="shared" si="5"/>
        <v>299.1363179</v>
      </c>
      <c r="E12" s="195">
        <f t="shared" si="2"/>
        <v>29.91363179</v>
      </c>
      <c r="G12" s="195">
        <f t="shared" si="6"/>
        <v>299.1363179</v>
      </c>
      <c r="H12" s="195">
        <f t="shared" si="3"/>
        <v>29.91363179</v>
      </c>
    </row>
    <row r="13">
      <c r="A13" s="195">
        <f t="shared" si="4"/>
        <v>329.0499497</v>
      </c>
      <c r="B13" s="195">
        <f t="shared" si="1"/>
        <v>32.90499497</v>
      </c>
      <c r="D13" s="195">
        <f t="shared" si="5"/>
        <v>329.0499497</v>
      </c>
      <c r="E13" s="195">
        <f t="shared" si="2"/>
        <v>32.90499497</v>
      </c>
      <c r="G13" s="195">
        <f t="shared" si="6"/>
        <v>329.0499497</v>
      </c>
      <c r="H13" s="195">
        <f t="shared" si="3"/>
        <v>32.90499497</v>
      </c>
    </row>
    <row r="14">
      <c r="A14" s="195"/>
      <c r="B14" s="196"/>
      <c r="D14" s="195">
        <f t="shared" si="5"/>
        <v>361.9549447</v>
      </c>
      <c r="E14" s="195">
        <f t="shared" si="2"/>
        <v>36.19549447</v>
      </c>
      <c r="G14" s="195">
        <f t="shared" si="6"/>
        <v>361.9549447</v>
      </c>
      <c r="H14" s="195">
        <f t="shared" si="3"/>
        <v>36.19549447</v>
      </c>
    </row>
    <row r="15">
      <c r="A15" s="195"/>
      <c r="B15" s="196"/>
      <c r="D15" s="195">
        <f t="shared" si="5"/>
        <v>398.1504392</v>
      </c>
      <c r="E15" s="195">
        <f t="shared" si="2"/>
        <v>39.81504392</v>
      </c>
      <c r="G15" s="195">
        <f t="shared" si="6"/>
        <v>398.1504392</v>
      </c>
      <c r="H15" s="195">
        <f t="shared" si="3"/>
        <v>39.81504392</v>
      </c>
    </row>
    <row r="16">
      <c r="A16" s="195"/>
      <c r="B16" s="196"/>
      <c r="D16" s="195">
        <f t="shared" si="5"/>
        <v>437.9654831</v>
      </c>
      <c r="E16" s="195">
        <f t="shared" si="2"/>
        <v>43.79654831</v>
      </c>
      <c r="G16" s="195">
        <f t="shared" si="6"/>
        <v>437.9654831</v>
      </c>
      <c r="H16" s="195">
        <f t="shared" si="3"/>
        <v>43.79654831</v>
      </c>
    </row>
    <row r="17">
      <c r="A17" s="195"/>
      <c r="B17" s="196"/>
      <c r="D17" s="195">
        <f t="shared" si="5"/>
        <v>481.7620314</v>
      </c>
      <c r="E17" s="195">
        <f t="shared" si="2"/>
        <v>48.17620314</v>
      </c>
      <c r="G17" s="195">
        <f t="shared" si="6"/>
        <v>481.7620314</v>
      </c>
      <c r="H17" s="195">
        <f t="shared" si="3"/>
        <v>48.17620314</v>
      </c>
    </row>
    <row r="18">
      <c r="A18" s="195"/>
      <c r="B18" s="196"/>
      <c r="D18" s="195">
        <f t="shared" si="5"/>
        <v>529.9382345</v>
      </c>
      <c r="E18" s="195">
        <f t="shared" si="2"/>
        <v>52.99382345</v>
      </c>
      <c r="G18" s="195">
        <f t="shared" si="6"/>
        <v>529.9382345</v>
      </c>
      <c r="H18" s="195">
        <f t="shared" si="3"/>
        <v>52.99382345</v>
      </c>
    </row>
    <row r="19">
      <c r="A19" s="195"/>
      <c r="B19" s="196"/>
      <c r="D19" s="195">
        <f t="shared" si="5"/>
        <v>582.932058</v>
      </c>
      <c r="E19" s="195">
        <f t="shared" si="2"/>
        <v>58.2932058</v>
      </c>
      <c r="G19" s="195">
        <f t="shared" si="6"/>
        <v>582.932058</v>
      </c>
      <c r="H19" s="195">
        <f t="shared" si="3"/>
        <v>58.2932058</v>
      </c>
    </row>
    <row r="20">
      <c r="A20" s="195"/>
      <c r="B20" s="196"/>
      <c r="D20" s="195">
        <f t="shared" si="5"/>
        <v>641.2252638</v>
      </c>
      <c r="E20" s="195">
        <f t="shared" si="2"/>
        <v>64.12252638</v>
      </c>
      <c r="G20" s="195">
        <f t="shared" si="6"/>
        <v>641.2252638</v>
      </c>
      <c r="H20" s="195">
        <f t="shared" si="3"/>
        <v>64.12252638</v>
      </c>
    </row>
    <row r="21" ht="15.75" customHeight="1">
      <c r="A21" s="195"/>
      <c r="B21" s="196"/>
      <c r="D21" s="195">
        <f t="shared" si="5"/>
        <v>705.3477901</v>
      </c>
      <c r="E21" s="195">
        <f t="shared" si="2"/>
        <v>70.53477901</v>
      </c>
      <c r="G21" s="195">
        <f t="shared" si="6"/>
        <v>705.3477901</v>
      </c>
      <c r="H21" s="195">
        <f t="shared" si="3"/>
        <v>70.53477901</v>
      </c>
    </row>
    <row r="22" ht="15.75" customHeight="1">
      <c r="A22" s="195"/>
      <c r="B22" s="196"/>
      <c r="D22" s="195">
        <f t="shared" si="5"/>
        <v>775.8825692</v>
      </c>
      <c r="E22" s="195">
        <f t="shared" si="2"/>
        <v>77.58825692</v>
      </c>
      <c r="G22" s="195">
        <f t="shared" si="6"/>
        <v>775.8825692</v>
      </c>
      <c r="H22" s="195">
        <f t="shared" si="3"/>
        <v>77.58825692</v>
      </c>
    </row>
    <row r="23" ht="15.75" customHeight="1">
      <c r="A23" s="195"/>
      <c r="B23" s="196"/>
      <c r="D23" s="195">
        <f t="shared" si="5"/>
        <v>853.4708261</v>
      </c>
      <c r="E23" s="195">
        <f t="shared" si="2"/>
        <v>85.34708261</v>
      </c>
      <c r="G23" s="195">
        <f t="shared" si="6"/>
        <v>853.4708261</v>
      </c>
      <c r="H23" s="195">
        <f t="shared" si="3"/>
        <v>85.34708261</v>
      </c>
    </row>
    <row r="24" ht="15.75" customHeight="1">
      <c r="A24" s="195"/>
      <c r="B24" s="196"/>
      <c r="D24" s="195">
        <f t="shared" si="5"/>
        <v>938.8179087</v>
      </c>
      <c r="E24" s="195">
        <f t="shared" si="2"/>
        <v>93.88179087</v>
      </c>
      <c r="G24" s="195">
        <f t="shared" si="6"/>
        <v>938.8179087</v>
      </c>
      <c r="H24" s="195">
        <f t="shared" si="3"/>
        <v>93.88179087</v>
      </c>
    </row>
    <row r="25" ht="15.75" customHeight="1">
      <c r="G25" s="195">
        <f t="shared" si="6"/>
        <v>1032.6997</v>
      </c>
      <c r="H25" s="195">
        <f t="shared" si="3"/>
        <v>103.26997</v>
      </c>
    </row>
    <row r="26" ht="15.75" customHeight="1">
      <c r="G26" s="195">
        <f t="shared" si="6"/>
        <v>1135.96967</v>
      </c>
      <c r="H26" s="195">
        <f t="shared" si="3"/>
        <v>113.596967</v>
      </c>
    </row>
    <row r="27" ht="15.75" customHeight="1">
      <c r="G27" s="195">
        <f t="shared" si="6"/>
        <v>1249.566636</v>
      </c>
      <c r="H27" s="195">
        <f t="shared" si="3"/>
        <v>124.9566636</v>
      </c>
    </row>
    <row r="28" ht="15.75" customHeight="1">
      <c r="G28" s="195">
        <f t="shared" si="6"/>
        <v>1374.5233</v>
      </c>
      <c r="H28" s="195">
        <f t="shared" si="3"/>
        <v>137.45233</v>
      </c>
    </row>
    <row r="29" ht="15.75" customHeight="1">
      <c r="G29" s="195">
        <f t="shared" si="6"/>
        <v>1511.97563</v>
      </c>
      <c r="H29" s="195">
        <f t="shared" si="3"/>
        <v>151.197563</v>
      </c>
    </row>
    <row r="30" ht="15.75" customHeight="1">
      <c r="G30" s="195">
        <f t="shared" si="6"/>
        <v>1663.173193</v>
      </c>
      <c r="H30" s="195">
        <f t="shared" si="3"/>
        <v>166.3173193</v>
      </c>
    </row>
    <row r="31" ht="15.75" customHeight="1">
      <c r="G31" s="195">
        <f t="shared" si="6"/>
        <v>1829.490512</v>
      </c>
      <c r="H31" s="195">
        <f t="shared" si="3"/>
        <v>182.9490512</v>
      </c>
    </row>
    <row r="32" ht="15.75" customHeight="1">
      <c r="G32" s="195">
        <f t="shared" si="6"/>
        <v>2012.439564</v>
      </c>
      <c r="H32" s="195">
        <f t="shared" si="3"/>
        <v>201.2439564</v>
      </c>
    </row>
    <row r="33" ht="15.75" customHeight="1">
      <c r="G33" s="195">
        <f t="shared" si="6"/>
        <v>2213.68352</v>
      </c>
      <c r="H33" s="195">
        <f t="shared" si="3"/>
        <v>221.368352</v>
      </c>
    </row>
    <row r="34" ht="15.75" customHeight="1">
      <c r="G34" s="195">
        <f t="shared" si="6"/>
        <v>2435.051872</v>
      </c>
      <c r="H34" s="195">
        <f t="shared" si="3"/>
        <v>243.5051872</v>
      </c>
    </row>
    <row r="35" ht="15.75" customHeight="1">
      <c r="G35" s="195">
        <f t="shared" si="6"/>
        <v>2678.557059</v>
      </c>
      <c r="H35" s="195">
        <f t="shared" si="3"/>
        <v>267.8557059</v>
      </c>
    </row>
    <row r="36" ht="15.75" customHeight="1">
      <c r="G36" s="195">
        <f t="shared" si="6"/>
        <v>2946.412765</v>
      </c>
      <c r="H36" s="195">
        <f t="shared" si="3"/>
        <v>294.6412765</v>
      </c>
    </row>
    <row r="37" ht="15.75" customHeight="1">
      <c r="G37" s="195">
        <f t="shared" si="6"/>
        <v>3241.054042</v>
      </c>
      <c r="H37" s="195">
        <f t="shared" si="3"/>
        <v>324.1054042</v>
      </c>
    </row>
    <row r="38" ht="15.75" customHeight="1">
      <c r="G38" s="195">
        <f t="shared" si="6"/>
        <v>3565.159446</v>
      </c>
      <c r="H38" s="195">
        <f t="shared" si="3"/>
        <v>356.5159446</v>
      </c>
    </row>
    <row r="39" ht="15.75" customHeight="1">
      <c r="G39" s="195">
        <f t="shared" si="6"/>
        <v>3921.67539</v>
      </c>
      <c r="H39" s="195">
        <f t="shared" si="3"/>
        <v>392.167539</v>
      </c>
    </row>
    <row r="40" ht="15.75" customHeight="1">
      <c r="G40" s="195">
        <f t="shared" si="6"/>
        <v>4313.842929</v>
      </c>
      <c r="H40" s="195">
        <f t="shared" si="3"/>
        <v>431.3842929</v>
      </c>
    </row>
    <row r="41" ht="15.75" customHeight="1">
      <c r="G41" s="195">
        <f t="shared" si="6"/>
        <v>4745.227222</v>
      </c>
      <c r="H41" s="195">
        <f t="shared" si="3"/>
        <v>474.5227222</v>
      </c>
    </row>
    <row r="42" ht="15.75" customHeight="1">
      <c r="G42" s="195">
        <f t="shared" si="6"/>
        <v>5219.749945</v>
      </c>
      <c r="H42" s="195">
        <f t="shared" si="3"/>
        <v>521.9749945</v>
      </c>
    </row>
    <row r="43" ht="15.75" customHeight="1">
      <c r="G43" s="195">
        <f t="shared" si="6"/>
        <v>5741.724939</v>
      </c>
      <c r="H43" s="195">
        <f t="shared" si="3"/>
        <v>574.1724939</v>
      </c>
    </row>
    <row r="44" ht="15.75" customHeight="1">
      <c r="G44" s="195">
        <f t="shared" si="6"/>
        <v>6315.897433</v>
      </c>
      <c r="H44" s="195">
        <f t="shared" si="3"/>
        <v>631.5897433</v>
      </c>
    </row>
    <row r="45" ht="15.75" customHeight="1">
      <c r="G45" s="195">
        <f t="shared" si="6"/>
        <v>6947.487176</v>
      </c>
      <c r="H45" s="195">
        <f t="shared" si="3"/>
        <v>694.7487176</v>
      </c>
    </row>
    <row r="46" ht="15.75" customHeight="1">
      <c r="G46" s="195">
        <f t="shared" si="6"/>
        <v>7642.235894</v>
      </c>
      <c r="H46" s="195">
        <f t="shared" si="3"/>
        <v>764.2235894</v>
      </c>
    </row>
    <row r="47" ht="15.75" customHeight="1">
      <c r="G47" s="195">
        <f t="shared" si="6"/>
        <v>8406.459483</v>
      </c>
      <c r="H47" s="195">
        <f t="shared" si="3"/>
        <v>840.6459483</v>
      </c>
    </row>
    <row r="48" ht="15.75" customHeight="1">
      <c r="G48" s="195">
        <f t="shared" si="6"/>
        <v>9247.105432</v>
      </c>
      <c r="H48" s="195">
        <f t="shared" si="3"/>
        <v>924.7105432</v>
      </c>
    </row>
    <row r="49" ht="15.75" customHeight="1">
      <c r="G49" s="195"/>
      <c r="H49" s="196"/>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D1:E1"/>
    <mergeCell ref="G1:H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14"/>
    <col customWidth="1" min="2" max="6" width="14.43"/>
    <col customWidth="1" min="7" max="7" width="20.43"/>
    <col customWidth="1" min="10" max="10" width="29.29"/>
  </cols>
  <sheetData>
    <row r="1">
      <c r="A1" s="197" t="s">
        <v>247</v>
      </c>
      <c r="H1" s="197"/>
      <c r="I1" s="197"/>
      <c r="J1" s="197"/>
    </row>
    <row r="2">
      <c r="A2" s="198" t="s">
        <v>248</v>
      </c>
      <c r="H2" s="198"/>
      <c r="I2" s="198"/>
      <c r="J2" s="198"/>
    </row>
    <row r="3">
      <c r="H3" s="198"/>
      <c r="I3" s="198"/>
      <c r="J3" s="198"/>
    </row>
    <row r="5">
      <c r="A5" s="56" t="s">
        <v>249</v>
      </c>
    </row>
    <row r="6">
      <c r="A6" s="56" t="s">
        <v>250</v>
      </c>
    </row>
    <row r="8">
      <c r="A8" s="56" t="s">
        <v>251</v>
      </c>
    </row>
    <row r="9">
      <c r="A9" s="56" t="s">
        <v>252</v>
      </c>
    </row>
    <row r="11">
      <c r="A11" s="56" t="s">
        <v>253</v>
      </c>
    </row>
    <row r="12">
      <c r="A12" s="56" t="s">
        <v>254</v>
      </c>
    </row>
    <row r="13">
      <c r="A13" s="56"/>
    </row>
    <row r="14">
      <c r="A14" s="56"/>
    </row>
    <row r="15">
      <c r="A15" s="56"/>
    </row>
    <row r="16">
      <c r="A16" s="199" t="s">
        <v>255</v>
      </c>
    </row>
    <row r="17">
      <c r="A17" s="200" t="s">
        <v>256</v>
      </c>
      <c r="B17" s="200" t="s">
        <v>257</v>
      </c>
      <c r="C17" s="133" t="s">
        <v>258</v>
      </c>
      <c r="J17" s="200" t="s">
        <v>259</v>
      </c>
    </row>
    <row r="18">
      <c r="A18" s="51" t="s">
        <v>260</v>
      </c>
      <c r="B18" s="51" t="s">
        <v>261</v>
      </c>
      <c r="C18" s="198" t="s">
        <v>262</v>
      </c>
      <c r="J18" s="51" t="s">
        <v>263</v>
      </c>
    </row>
    <row r="19">
      <c r="A19" s="51" t="s">
        <v>264</v>
      </c>
      <c r="B19" s="51" t="s">
        <v>265</v>
      </c>
      <c r="C19" s="51"/>
      <c r="J19" s="51" t="s">
        <v>266</v>
      </c>
    </row>
    <row r="20">
      <c r="A20" s="51" t="s">
        <v>267</v>
      </c>
      <c r="B20" s="51" t="s">
        <v>265</v>
      </c>
      <c r="C20" s="51"/>
      <c r="J20" s="51" t="s">
        <v>268</v>
      </c>
    </row>
    <row r="21" ht="15.75" customHeight="1">
      <c r="A21" s="51" t="s">
        <v>269</v>
      </c>
      <c r="B21" s="51" t="s">
        <v>265</v>
      </c>
      <c r="C21" s="51"/>
      <c r="J21" s="51" t="s">
        <v>270</v>
      </c>
    </row>
    <row r="22" ht="15.75" customHeight="1">
      <c r="A22" s="51" t="s">
        <v>271</v>
      </c>
      <c r="B22" s="51" t="s">
        <v>265</v>
      </c>
      <c r="C22" s="51"/>
      <c r="J22" s="51" t="s">
        <v>272</v>
      </c>
    </row>
    <row r="23" ht="15.75" customHeight="1">
      <c r="A23" s="51" t="s">
        <v>273</v>
      </c>
      <c r="B23" s="51" t="s">
        <v>265</v>
      </c>
      <c r="C23" s="51"/>
      <c r="J23" s="51" t="s">
        <v>274</v>
      </c>
    </row>
    <row r="24" ht="15.75" customHeight="1">
      <c r="A24" s="51" t="s">
        <v>275</v>
      </c>
      <c r="B24" s="51" t="s">
        <v>265</v>
      </c>
      <c r="C24" s="51"/>
      <c r="J24" s="51" t="s">
        <v>276</v>
      </c>
    </row>
    <row r="25" ht="15.75" customHeight="1">
      <c r="A25" s="51" t="s">
        <v>277</v>
      </c>
      <c r="B25" s="51" t="s">
        <v>265</v>
      </c>
      <c r="C25" s="51"/>
      <c r="J25" s="51" t="s">
        <v>278</v>
      </c>
    </row>
    <row r="26" ht="15.75" customHeight="1">
      <c r="A26" s="51" t="s">
        <v>279</v>
      </c>
      <c r="B26" s="51" t="s">
        <v>265</v>
      </c>
      <c r="C26" s="51"/>
      <c r="J26" s="51" t="s">
        <v>280</v>
      </c>
    </row>
    <row r="27" ht="15.75" customHeight="1">
      <c r="A27" s="51" t="s">
        <v>281</v>
      </c>
      <c r="B27" s="51" t="s">
        <v>265</v>
      </c>
      <c r="C27" s="51"/>
      <c r="J27" s="51" t="s">
        <v>282</v>
      </c>
    </row>
    <row r="28" ht="15.75" customHeight="1">
      <c r="A28" s="51" t="s">
        <v>283</v>
      </c>
      <c r="B28" s="51" t="s">
        <v>265</v>
      </c>
      <c r="C28" s="51"/>
      <c r="J28" s="51" t="s">
        <v>284</v>
      </c>
    </row>
    <row r="29" ht="15.75" customHeight="1">
      <c r="A29" s="51" t="s">
        <v>279</v>
      </c>
      <c r="B29" s="51" t="s">
        <v>285</v>
      </c>
      <c r="C29" s="51"/>
      <c r="J29" s="51" t="s">
        <v>286</v>
      </c>
    </row>
    <row r="30" ht="15.75" customHeight="1">
      <c r="A30" s="51" t="s">
        <v>277</v>
      </c>
      <c r="B30" s="51" t="s">
        <v>285</v>
      </c>
      <c r="C30" s="51"/>
      <c r="J30" s="51" t="s">
        <v>287</v>
      </c>
    </row>
    <row r="31" ht="15.75" customHeight="1">
      <c r="A31" s="51" t="s">
        <v>281</v>
      </c>
      <c r="B31" s="51" t="s">
        <v>285</v>
      </c>
      <c r="C31" s="51"/>
      <c r="J31" s="51" t="s">
        <v>288</v>
      </c>
    </row>
    <row r="32" ht="15.75" customHeight="1">
      <c r="A32" s="51" t="s">
        <v>283</v>
      </c>
      <c r="B32" s="51" t="s">
        <v>285</v>
      </c>
      <c r="C32" s="51"/>
      <c r="D32" s="51"/>
      <c r="E32" s="51"/>
      <c r="F32" s="51"/>
      <c r="G32" s="51"/>
      <c r="H32" s="51"/>
      <c r="I32" s="51"/>
      <c r="J32" s="51" t="s">
        <v>289</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G1"/>
    <mergeCell ref="A2:G3"/>
    <mergeCell ref="A16:J16"/>
    <mergeCell ref="C17:I17"/>
    <mergeCell ref="C18:I18"/>
    <mergeCell ref="C19:I19"/>
    <mergeCell ref="C20:I20"/>
    <mergeCell ref="C28:I28"/>
    <mergeCell ref="C29:I29"/>
    <mergeCell ref="C30:I30"/>
    <mergeCell ref="C31:I31"/>
    <mergeCell ref="C21:I21"/>
    <mergeCell ref="C22:I22"/>
    <mergeCell ref="C23:I23"/>
    <mergeCell ref="C24:I24"/>
    <mergeCell ref="C25:I25"/>
    <mergeCell ref="C26:I26"/>
    <mergeCell ref="C27:I2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1.29"/>
    <col customWidth="1" min="2" max="2" width="21.57"/>
    <col customWidth="1" min="3" max="5" width="14.43"/>
    <col customWidth="1" min="6" max="6" width="21.57"/>
    <col customWidth="1" min="10" max="10" width="21.57"/>
    <col customWidth="1" min="14" max="14" width="21.57"/>
    <col customWidth="1" min="18" max="18" width="29.0"/>
    <col customWidth="1" min="21" max="21" width="18.57"/>
    <col customWidth="1" min="22" max="22" width="31.57"/>
    <col customWidth="1" min="26" max="26" width="21.57"/>
    <col customWidth="1" min="30" max="30" width="21.57"/>
    <col customWidth="1" min="38" max="38" width="21.57"/>
  </cols>
  <sheetData>
    <row r="1" ht="15.75" customHeight="1">
      <c r="A1" s="201"/>
      <c r="B1" s="202"/>
      <c r="C1" s="201"/>
      <c r="D1" s="201"/>
      <c r="E1" s="201"/>
      <c r="F1" s="203"/>
      <c r="G1" s="203"/>
      <c r="H1" s="203"/>
      <c r="I1" s="203"/>
      <c r="J1" s="203"/>
      <c r="K1" s="203"/>
      <c r="L1" s="203"/>
      <c r="M1" s="203"/>
      <c r="N1" s="201"/>
      <c r="O1" s="201"/>
      <c r="P1" s="201"/>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row>
    <row r="2" ht="15.75" customHeight="1">
      <c r="A2" s="204"/>
      <c r="B2" s="205" t="s">
        <v>290</v>
      </c>
      <c r="D2" s="206" t="str">
        <f>B7+N7+Z7+AL7</f>
        <v>#REF!</v>
      </c>
      <c r="H2" s="207"/>
      <c r="I2" s="207"/>
      <c r="J2" s="207"/>
      <c r="K2" s="207"/>
      <c r="L2" s="207"/>
      <c r="M2" s="207"/>
      <c r="N2" s="201"/>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1"/>
      <c r="AV2" s="201"/>
      <c r="AW2" s="201"/>
    </row>
    <row r="3" ht="15.75" customHeight="1">
      <c r="A3" s="204"/>
      <c r="H3" s="207"/>
      <c r="I3" s="207"/>
      <c r="J3" s="207"/>
      <c r="K3" s="207"/>
      <c r="L3" s="207"/>
      <c r="M3" s="207"/>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row>
    <row r="4" ht="15.75" customHeight="1">
      <c r="A4" s="204"/>
      <c r="H4" s="207"/>
      <c r="I4" s="207"/>
      <c r="J4" s="207"/>
      <c r="K4" s="207"/>
      <c r="L4" s="207"/>
      <c r="M4" s="207"/>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row>
    <row r="5" ht="15.75" customHeight="1">
      <c r="A5" s="208"/>
      <c r="B5" s="207"/>
      <c r="C5" s="208"/>
      <c r="D5" s="208"/>
      <c r="E5" s="208"/>
      <c r="F5" s="209"/>
      <c r="G5" s="209"/>
      <c r="H5" s="209"/>
      <c r="I5" s="209"/>
      <c r="J5" s="209"/>
      <c r="K5" s="209"/>
      <c r="L5" s="209"/>
      <c r="M5" s="209"/>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row>
    <row r="6" ht="40.5" customHeight="1">
      <c r="A6" s="210"/>
      <c r="B6" s="210" t="s">
        <v>66</v>
      </c>
      <c r="N6" s="211" t="s">
        <v>72</v>
      </c>
      <c r="Z6" s="210" t="s">
        <v>291</v>
      </c>
      <c r="AL6" s="211" t="s">
        <v>292</v>
      </c>
    </row>
    <row r="7" ht="15.75" customHeight="1">
      <c r="A7" s="208"/>
      <c r="B7" s="212" t="str">
        <f>B12+F12+J12</f>
        <v>#REF!</v>
      </c>
      <c r="N7" s="213" t="str">
        <f>N12+R12+V12</f>
        <v>#REF!</v>
      </c>
      <c r="Z7" s="212" t="str">
        <f>Z12+AD12+AH12</f>
        <v>#REF!</v>
      </c>
      <c r="AL7" s="213" t="str">
        <f>AL12+AP12+AT12</f>
        <v>#REF!</v>
      </c>
    </row>
    <row r="8" ht="15.75" customHeight="1">
      <c r="A8" s="208"/>
    </row>
    <row r="9" ht="15.75" customHeight="1">
      <c r="A9" s="208"/>
    </row>
    <row r="10" ht="15.75" customHeight="1">
      <c r="A10" s="208"/>
    </row>
    <row r="11" ht="15.75" customHeight="1">
      <c r="A11" s="208"/>
      <c r="B11" s="207"/>
      <c r="C11" s="208"/>
      <c r="D11" s="208"/>
      <c r="E11" s="208"/>
      <c r="F11" s="214"/>
      <c r="G11" s="214"/>
      <c r="H11" s="214"/>
      <c r="I11" s="214"/>
      <c r="J11" s="214"/>
      <c r="K11" s="214"/>
      <c r="L11" s="214"/>
      <c r="M11" s="214"/>
      <c r="N11" s="215"/>
      <c r="O11" s="215"/>
      <c r="P11" s="215"/>
      <c r="Q11" s="215"/>
      <c r="R11" s="216"/>
      <c r="S11" s="216"/>
      <c r="T11" s="216"/>
      <c r="U11" s="216"/>
      <c r="V11" s="216"/>
      <c r="W11" s="216"/>
      <c r="X11" s="216"/>
      <c r="Y11" s="216"/>
      <c r="Z11" s="207"/>
      <c r="AA11" s="208"/>
      <c r="AB11" s="208"/>
      <c r="AC11" s="208"/>
      <c r="AD11" s="214"/>
      <c r="AE11" s="214"/>
      <c r="AF11" s="214"/>
      <c r="AG11" s="214"/>
      <c r="AH11" s="214"/>
      <c r="AI11" s="214"/>
      <c r="AJ11" s="214"/>
      <c r="AK11" s="214"/>
      <c r="AL11" s="215"/>
      <c r="AM11" s="215"/>
      <c r="AN11" s="215"/>
      <c r="AO11" s="215"/>
      <c r="AP11" s="216"/>
      <c r="AQ11" s="216"/>
      <c r="AR11" s="216"/>
      <c r="AS11" s="216"/>
      <c r="AT11" s="216"/>
      <c r="AU11" s="216"/>
      <c r="AV11" s="216"/>
      <c r="AW11" s="216"/>
    </row>
    <row r="12" ht="15.75" customHeight="1">
      <c r="A12" s="208"/>
      <c r="B12" s="217" t="str">
        <f>sum(E18:E34)</f>
        <v>#REF!</v>
      </c>
      <c r="F12" s="217" t="str">
        <f>sum(I18:I34)</f>
        <v>#REF!</v>
      </c>
      <c r="J12" s="217" t="str">
        <f>sum(M18:M34)</f>
        <v>#REF!</v>
      </c>
      <c r="N12" s="218" t="str">
        <f>SUM(Q18:Q34)</f>
        <v>#REF!</v>
      </c>
      <c r="R12" s="219" t="str">
        <f>SUM(U18:U34)</f>
        <v>#REF!</v>
      </c>
      <c r="S12" s="220"/>
      <c r="T12" s="220"/>
      <c r="U12" s="221"/>
      <c r="V12" s="218" t="str">
        <f>SUM(Y18:Y34)</f>
        <v>#REF!</v>
      </c>
      <c r="Z12" s="217" t="str">
        <f>sum(AC18:AC34)</f>
        <v>#REF!</v>
      </c>
      <c r="AD12" s="217" t="str">
        <f>sum(AG18:AG34)</f>
        <v>#REF!</v>
      </c>
      <c r="AH12" s="217" t="str">
        <f>sum(AK18:AK34)</f>
        <v>#REF!</v>
      </c>
      <c r="AL12" s="218" t="str">
        <f>SUM(AO18:AO34)</f>
        <v>#REF!</v>
      </c>
      <c r="AP12" s="218" t="str">
        <f>SUM(AS18:AS34)</f>
        <v>#REF!</v>
      </c>
      <c r="AT12" s="218" t="str">
        <f>SUM(AW18:AW34)</f>
        <v>#REF!</v>
      </c>
    </row>
    <row r="13" ht="15.75" customHeight="1">
      <c r="A13" s="208"/>
      <c r="R13" s="222"/>
      <c r="U13" s="223"/>
    </row>
    <row r="14" ht="15.75" customHeight="1">
      <c r="A14" s="208"/>
      <c r="B14" s="207"/>
      <c r="C14" s="208"/>
      <c r="D14" s="208"/>
      <c r="E14" s="208"/>
      <c r="F14" s="208"/>
      <c r="G14" s="208"/>
      <c r="H14" s="208"/>
      <c r="I14" s="208"/>
      <c r="J14" s="208"/>
      <c r="K14" s="208"/>
      <c r="L14" s="208"/>
      <c r="M14" s="208"/>
      <c r="N14" s="215"/>
      <c r="O14" s="215"/>
      <c r="P14" s="215"/>
      <c r="Q14" s="215"/>
      <c r="R14" s="224"/>
      <c r="S14" s="215"/>
      <c r="T14" s="215"/>
      <c r="U14" s="225"/>
      <c r="V14" s="215"/>
      <c r="W14" s="215"/>
      <c r="X14" s="215"/>
      <c r="Y14" s="215"/>
      <c r="Z14" s="207"/>
      <c r="AA14" s="208"/>
      <c r="AB14" s="208"/>
      <c r="AC14" s="208"/>
      <c r="AD14" s="208"/>
      <c r="AE14" s="208"/>
      <c r="AF14" s="208"/>
      <c r="AG14" s="208"/>
      <c r="AH14" s="208"/>
      <c r="AI14" s="208"/>
      <c r="AJ14" s="208"/>
      <c r="AK14" s="208"/>
      <c r="AL14" s="215"/>
      <c r="AM14" s="215"/>
      <c r="AN14" s="215"/>
      <c r="AO14" s="215"/>
      <c r="AP14" s="215"/>
      <c r="AQ14" s="215"/>
      <c r="AR14" s="215"/>
      <c r="AS14" s="215"/>
      <c r="AT14" s="215"/>
      <c r="AU14" s="215"/>
      <c r="AV14" s="215"/>
      <c r="AW14" s="215"/>
    </row>
    <row r="15" ht="15.75" customHeight="1">
      <c r="A15" s="208"/>
      <c r="B15" s="207"/>
      <c r="C15" s="208"/>
      <c r="D15" s="208"/>
      <c r="E15" s="208"/>
      <c r="F15" s="208"/>
      <c r="G15" s="208"/>
      <c r="H15" s="208"/>
      <c r="I15" s="208"/>
      <c r="J15" s="208"/>
      <c r="K15" s="208"/>
      <c r="L15" s="208"/>
      <c r="M15" s="208"/>
      <c r="N15" s="226"/>
      <c r="O15" s="226"/>
      <c r="P15" s="226"/>
      <c r="Q15" s="226"/>
      <c r="R15" s="227"/>
      <c r="S15" s="226"/>
      <c r="T15" s="226"/>
      <c r="U15" s="228"/>
      <c r="V15" s="226"/>
      <c r="W15" s="226"/>
      <c r="X15" s="226"/>
      <c r="Y15" s="226"/>
      <c r="Z15" s="207"/>
      <c r="AA15" s="208"/>
      <c r="AB15" s="208"/>
      <c r="AC15" s="208"/>
      <c r="AD15" s="208"/>
      <c r="AE15" s="208"/>
      <c r="AF15" s="208"/>
      <c r="AG15" s="208"/>
      <c r="AH15" s="208"/>
      <c r="AI15" s="208"/>
      <c r="AJ15" s="208"/>
      <c r="AK15" s="208"/>
      <c r="AL15" s="226"/>
      <c r="AM15" s="226"/>
      <c r="AN15" s="226"/>
      <c r="AO15" s="226"/>
      <c r="AP15" s="226"/>
      <c r="AQ15" s="226"/>
      <c r="AR15" s="226"/>
      <c r="AS15" s="226"/>
      <c r="AT15" s="226"/>
      <c r="AU15" s="226"/>
      <c r="AV15" s="226"/>
      <c r="AW15" s="226"/>
    </row>
    <row r="16" ht="22.5" customHeight="1">
      <c r="A16" s="229"/>
      <c r="B16" s="230" t="s">
        <v>58</v>
      </c>
      <c r="C16" s="231"/>
      <c r="D16" s="231"/>
      <c r="E16" s="232"/>
      <c r="F16" s="233" t="s">
        <v>68</v>
      </c>
      <c r="G16" s="234"/>
      <c r="H16" s="234"/>
      <c r="I16" s="235"/>
      <c r="J16" s="233" t="s">
        <v>70</v>
      </c>
      <c r="K16" s="234"/>
      <c r="L16" s="234"/>
      <c r="M16" s="235"/>
      <c r="N16" s="236" t="s">
        <v>71</v>
      </c>
      <c r="O16" s="237"/>
      <c r="P16" s="237"/>
      <c r="Q16" s="238"/>
      <c r="R16" s="239" t="s">
        <v>73</v>
      </c>
      <c r="S16" s="237"/>
      <c r="T16" s="237"/>
      <c r="U16" s="240"/>
      <c r="V16" s="241" t="s">
        <v>74</v>
      </c>
      <c r="W16" s="237"/>
      <c r="X16" s="237"/>
      <c r="Y16" s="238"/>
      <c r="Z16" s="230" t="s">
        <v>293</v>
      </c>
      <c r="AA16" s="231"/>
      <c r="AB16" s="231"/>
      <c r="AC16" s="232"/>
      <c r="AD16" s="233" t="s">
        <v>294</v>
      </c>
      <c r="AE16" s="234"/>
      <c r="AF16" s="234"/>
      <c r="AG16" s="235"/>
      <c r="AH16" s="233" t="s">
        <v>295</v>
      </c>
      <c r="AI16" s="234"/>
      <c r="AJ16" s="234"/>
      <c r="AK16" s="235"/>
      <c r="AL16" s="236" t="s">
        <v>296</v>
      </c>
      <c r="AM16" s="237"/>
      <c r="AN16" s="237"/>
      <c r="AO16" s="238"/>
      <c r="AP16" s="241" t="s">
        <v>297</v>
      </c>
      <c r="AQ16" s="237"/>
      <c r="AR16" s="237"/>
      <c r="AS16" s="238"/>
      <c r="AT16" s="241" t="s">
        <v>298</v>
      </c>
      <c r="AU16" s="237"/>
      <c r="AV16" s="237"/>
      <c r="AW16" s="238"/>
    </row>
    <row r="17" ht="22.5" customHeight="1">
      <c r="A17" s="242"/>
      <c r="B17" s="243" t="s">
        <v>256</v>
      </c>
      <c r="C17" s="243" t="s">
        <v>11</v>
      </c>
      <c r="D17" s="244" t="s">
        <v>60</v>
      </c>
      <c r="E17" s="245" t="s">
        <v>23</v>
      </c>
      <c r="F17" s="243" t="s">
        <v>256</v>
      </c>
      <c r="G17" s="243" t="s">
        <v>11</v>
      </c>
      <c r="H17" s="244" t="s">
        <v>60</v>
      </c>
      <c r="I17" s="245" t="s">
        <v>23</v>
      </c>
      <c r="J17" s="243" t="s">
        <v>256</v>
      </c>
      <c r="K17" s="246" t="s">
        <v>11</v>
      </c>
      <c r="L17" s="244" t="s">
        <v>60</v>
      </c>
      <c r="M17" s="245" t="s">
        <v>23</v>
      </c>
      <c r="N17" s="247" t="s">
        <v>256</v>
      </c>
      <c r="O17" s="248" t="s">
        <v>11</v>
      </c>
      <c r="P17" s="248" t="s">
        <v>60</v>
      </c>
      <c r="Q17" s="249" t="s">
        <v>23</v>
      </c>
      <c r="R17" s="250" t="s">
        <v>256</v>
      </c>
      <c r="S17" s="248" t="s">
        <v>11</v>
      </c>
      <c r="T17" s="248" t="s">
        <v>60</v>
      </c>
      <c r="U17" s="251" t="s">
        <v>23</v>
      </c>
      <c r="V17" s="248" t="s">
        <v>256</v>
      </c>
      <c r="W17" s="248" t="s">
        <v>11</v>
      </c>
      <c r="X17" s="248" t="s">
        <v>60</v>
      </c>
      <c r="Y17" s="252" t="s">
        <v>23</v>
      </c>
      <c r="Z17" s="243" t="s">
        <v>256</v>
      </c>
      <c r="AA17" s="243" t="s">
        <v>11</v>
      </c>
      <c r="AB17" s="244" t="s">
        <v>60</v>
      </c>
      <c r="AC17" s="245" t="s">
        <v>23</v>
      </c>
      <c r="AD17" s="243" t="s">
        <v>256</v>
      </c>
      <c r="AE17" s="243" t="s">
        <v>11</v>
      </c>
      <c r="AF17" s="244" t="s">
        <v>60</v>
      </c>
      <c r="AG17" s="245" t="s">
        <v>23</v>
      </c>
      <c r="AH17" s="243" t="s">
        <v>256</v>
      </c>
      <c r="AI17" s="246" t="s">
        <v>11</v>
      </c>
      <c r="AJ17" s="244" t="s">
        <v>60</v>
      </c>
      <c r="AK17" s="245" t="s">
        <v>23</v>
      </c>
      <c r="AL17" s="247" t="s">
        <v>256</v>
      </c>
      <c r="AM17" s="248" t="s">
        <v>11</v>
      </c>
      <c r="AN17" s="248" t="s">
        <v>60</v>
      </c>
      <c r="AO17" s="252" t="s">
        <v>23</v>
      </c>
      <c r="AP17" s="252" t="s">
        <v>256</v>
      </c>
      <c r="AQ17" s="248" t="s">
        <v>11</v>
      </c>
      <c r="AR17" s="248" t="s">
        <v>60</v>
      </c>
      <c r="AS17" s="252" t="s">
        <v>23</v>
      </c>
      <c r="AT17" s="248" t="s">
        <v>256</v>
      </c>
      <c r="AU17" s="248" t="s">
        <v>11</v>
      </c>
      <c r="AV17" s="248" t="s">
        <v>60</v>
      </c>
      <c r="AW17" s="252" t="s">
        <v>23</v>
      </c>
    </row>
    <row r="18" ht="22.5" customHeight="1">
      <c r="A18" s="253"/>
      <c r="B18" s="56" t="s">
        <v>299</v>
      </c>
      <c r="C18" s="254" t="str">
        <f t="shared" ref="C18:C34" si="1">#REF!/3</f>
        <v>#REF!</v>
      </c>
      <c r="D18" s="255" t="str">
        <f t="shared" ref="D18:D20" si="2">#REF!</f>
        <v>#REF!</v>
      </c>
      <c r="E18" s="256" t="str">
        <f t="shared" ref="E18:E34" si="3">C18*D18</f>
        <v>#REF!</v>
      </c>
      <c r="F18" s="56" t="s">
        <v>299</v>
      </c>
      <c r="G18" s="254" t="str">
        <f t="shared" ref="G18:G34" si="4">#REF!/3</f>
        <v>#REF!</v>
      </c>
      <c r="H18" s="257" t="str">
        <f t="shared" ref="H18:H20" si="5">#REF!</f>
        <v>#REF!</v>
      </c>
      <c r="I18" s="256" t="str">
        <f t="shared" ref="I18:I34" si="6">G18*H18</f>
        <v>#REF!</v>
      </c>
      <c r="J18" s="56" t="s">
        <v>299</v>
      </c>
      <c r="K18" s="254" t="str">
        <f t="shared" ref="K18:K34" si="7">#REF!/3</f>
        <v>#REF!</v>
      </c>
      <c r="L18" s="257" t="str">
        <f t="shared" ref="L18:L20" si="8">#REF!</f>
        <v>#REF!</v>
      </c>
      <c r="M18" s="256" t="str">
        <f t="shared" ref="M18:M34" si="9">K18*L18</f>
        <v>#REF!</v>
      </c>
      <c r="N18" s="258" t="s">
        <v>299</v>
      </c>
      <c r="O18" s="259" t="str">
        <f t="shared" ref="O18:O34" si="10">#REF!/3</f>
        <v>#REF!</v>
      </c>
      <c r="P18" s="260" t="str">
        <f t="shared" ref="P18:P20" si="11">#REF!</f>
        <v>#REF!</v>
      </c>
      <c r="Q18" s="261" t="str">
        <f t="shared" ref="Q18:Q34" si="12">O18*P18</f>
        <v>#REF!</v>
      </c>
      <c r="R18" s="262" t="s">
        <v>299</v>
      </c>
      <c r="S18" s="259" t="str">
        <f t="shared" ref="S18:S34" si="13">#REF!/3</f>
        <v>#REF!</v>
      </c>
      <c r="T18" s="260" t="str">
        <f t="shared" ref="T18:T20" si="14">#REF!</f>
        <v>#REF!</v>
      </c>
      <c r="U18" s="263" t="str">
        <f t="shared" ref="U18:U34" si="15">S18*T18</f>
        <v>#REF!</v>
      </c>
      <c r="V18" s="258" t="s">
        <v>299</v>
      </c>
      <c r="W18" s="259" t="str">
        <f t="shared" ref="W18:W34" si="16">#REF!/3</f>
        <v>#REF!</v>
      </c>
      <c r="X18" s="260" t="str">
        <f t="shared" ref="X18:X20" si="17">#REF!</f>
        <v>#REF!</v>
      </c>
      <c r="Y18" s="264" t="str">
        <f t="shared" ref="Y18:Y34" si="18">W18*X18</f>
        <v>#REF!</v>
      </c>
      <c r="Z18" s="56" t="s">
        <v>299</v>
      </c>
      <c r="AA18" s="254" t="str">
        <f t="shared" ref="AA18:AA34" si="19">#REF!/3</f>
        <v>#REF!</v>
      </c>
      <c r="AB18" s="257" t="str">
        <f t="shared" ref="AB18:AB20" si="20">#REF!</f>
        <v>#REF!</v>
      </c>
      <c r="AC18" s="256" t="str">
        <f t="shared" ref="AC18:AC34" si="21">AA18*AB18</f>
        <v>#REF!</v>
      </c>
      <c r="AD18" s="56" t="s">
        <v>299</v>
      </c>
      <c r="AE18" s="254" t="str">
        <f t="shared" ref="AE18:AE34" si="22">#REF!/3</f>
        <v>#REF!</v>
      </c>
      <c r="AF18" s="257" t="str">
        <f t="shared" ref="AF18:AF20" si="23">#REF!</f>
        <v>#REF!</v>
      </c>
      <c r="AG18" s="256" t="str">
        <f t="shared" ref="AG18:AG34" si="24">AE18*AF18</f>
        <v>#REF!</v>
      </c>
      <c r="AH18" s="56" t="s">
        <v>299</v>
      </c>
      <c r="AI18" s="254" t="str">
        <f t="shared" ref="AI18:AI34" si="25">#REF!/3</f>
        <v>#REF!</v>
      </c>
      <c r="AJ18" s="257" t="str">
        <f t="shared" ref="AJ18:AJ20" si="26">#REF!</f>
        <v>#REF!</v>
      </c>
      <c r="AK18" s="256" t="str">
        <f t="shared" ref="AK18:AK34" si="27">AI18*AJ18</f>
        <v>#REF!</v>
      </c>
      <c r="AL18" s="258" t="s">
        <v>299</v>
      </c>
      <c r="AM18" s="259" t="str">
        <f t="shared" ref="AM18:AM34" si="28">#REF!/3</f>
        <v>#REF!</v>
      </c>
      <c r="AN18" s="260" t="str">
        <f t="shared" ref="AN18:AN20" si="29">#REF!</f>
        <v>#REF!</v>
      </c>
      <c r="AO18" s="264" t="str">
        <f t="shared" ref="AO18:AO34" si="30">AM18*AN18</f>
        <v>#REF!</v>
      </c>
      <c r="AP18" s="258" t="s">
        <v>299</v>
      </c>
      <c r="AQ18" s="259" t="str">
        <f t="shared" ref="AQ18:AQ34" si="31">#REF!/3</f>
        <v>#REF!</v>
      </c>
      <c r="AR18" s="260" t="str">
        <f t="shared" ref="AR18:AR20" si="32">#REF!</f>
        <v>#REF!</v>
      </c>
      <c r="AS18" s="264" t="str">
        <f t="shared" ref="AS18:AS34" si="33">AQ18*AR18</f>
        <v>#REF!</v>
      </c>
      <c r="AT18" s="258" t="s">
        <v>299</v>
      </c>
      <c r="AU18" s="259" t="str">
        <f t="shared" ref="AU18:AU34" si="34">#REF!/3</f>
        <v>#REF!</v>
      </c>
      <c r="AV18" s="260" t="str">
        <f t="shared" ref="AV18:AV20" si="35">#REF!</f>
        <v>#REF!</v>
      </c>
      <c r="AW18" s="264" t="str">
        <f t="shared" ref="AW18:AW34" si="36">AU18*AV18</f>
        <v>#REF!</v>
      </c>
    </row>
    <row r="19" ht="22.5" customHeight="1">
      <c r="A19" s="253"/>
      <c r="B19" s="265" t="s">
        <v>300</v>
      </c>
      <c r="C19" s="254" t="str">
        <f t="shared" si="1"/>
        <v>#REF!</v>
      </c>
      <c r="D19" s="255" t="str">
        <f t="shared" si="2"/>
        <v>#REF!</v>
      </c>
      <c r="E19" s="256" t="str">
        <f t="shared" si="3"/>
        <v>#REF!</v>
      </c>
      <c r="F19" s="265" t="s">
        <v>300</v>
      </c>
      <c r="G19" s="254" t="str">
        <f t="shared" si="4"/>
        <v>#REF!</v>
      </c>
      <c r="H19" s="257" t="str">
        <f t="shared" si="5"/>
        <v>#REF!</v>
      </c>
      <c r="I19" s="256" t="str">
        <f t="shared" si="6"/>
        <v>#REF!</v>
      </c>
      <c r="J19" s="265" t="s">
        <v>300</v>
      </c>
      <c r="K19" s="254" t="str">
        <f t="shared" si="7"/>
        <v>#REF!</v>
      </c>
      <c r="L19" s="257" t="str">
        <f t="shared" si="8"/>
        <v>#REF!</v>
      </c>
      <c r="M19" s="256" t="str">
        <f t="shared" si="9"/>
        <v>#REF!</v>
      </c>
      <c r="N19" s="266" t="s">
        <v>300</v>
      </c>
      <c r="O19" s="259" t="str">
        <f t="shared" si="10"/>
        <v>#REF!</v>
      </c>
      <c r="P19" s="260" t="str">
        <f t="shared" si="11"/>
        <v>#REF!</v>
      </c>
      <c r="Q19" s="261" t="str">
        <f t="shared" si="12"/>
        <v>#REF!</v>
      </c>
      <c r="R19" s="267" t="s">
        <v>300</v>
      </c>
      <c r="S19" s="259" t="str">
        <f t="shared" si="13"/>
        <v>#REF!</v>
      </c>
      <c r="T19" s="260" t="str">
        <f t="shared" si="14"/>
        <v>#REF!</v>
      </c>
      <c r="U19" s="263" t="str">
        <f t="shared" si="15"/>
        <v>#REF!</v>
      </c>
      <c r="V19" s="268" t="s">
        <v>300</v>
      </c>
      <c r="W19" s="259" t="str">
        <f t="shared" si="16"/>
        <v>#REF!</v>
      </c>
      <c r="X19" s="260" t="str">
        <f t="shared" si="17"/>
        <v>#REF!</v>
      </c>
      <c r="Y19" s="264" t="str">
        <f t="shared" si="18"/>
        <v>#REF!</v>
      </c>
      <c r="Z19" s="265" t="s">
        <v>300</v>
      </c>
      <c r="AA19" s="254" t="str">
        <f t="shared" si="19"/>
        <v>#REF!</v>
      </c>
      <c r="AB19" s="257" t="str">
        <f t="shared" si="20"/>
        <v>#REF!</v>
      </c>
      <c r="AC19" s="256" t="str">
        <f t="shared" si="21"/>
        <v>#REF!</v>
      </c>
      <c r="AD19" s="265" t="s">
        <v>300</v>
      </c>
      <c r="AE19" s="254" t="str">
        <f t="shared" si="22"/>
        <v>#REF!</v>
      </c>
      <c r="AF19" s="257" t="str">
        <f t="shared" si="23"/>
        <v>#REF!</v>
      </c>
      <c r="AG19" s="256" t="str">
        <f t="shared" si="24"/>
        <v>#REF!</v>
      </c>
      <c r="AH19" s="265" t="s">
        <v>300</v>
      </c>
      <c r="AI19" s="254" t="str">
        <f t="shared" si="25"/>
        <v>#REF!</v>
      </c>
      <c r="AJ19" s="257" t="str">
        <f t="shared" si="26"/>
        <v>#REF!</v>
      </c>
      <c r="AK19" s="256" t="str">
        <f t="shared" si="27"/>
        <v>#REF!</v>
      </c>
      <c r="AL19" s="266" t="s">
        <v>300</v>
      </c>
      <c r="AM19" s="259" t="str">
        <f t="shared" si="28"/>
        <v>#REF!</v>
      </c>
      <c r="AN19" s="260" t="str">
        <f t="shared" si="29"/>
        <v>#REF!</v>
      </c>
      <c r="AO19" s="264" t="str">
        <f t="shared" si="30"/>
        <v>#REF!</v>
      </c>
      <c r="AP19" s="266" t="s">
        <v>300</v>
      </c>
      <c r="AQ19" s="259" t="str">
        <f t="shared" si="31"/>
        <v>#REF!</v>
      </c>
      <c r="AR19" s="260" t="str">
        <f t="shared" si="32"/>
        <v>#REF!</v>
      </c>
      <c r="AS19" s="264" t="str">
        <f t="shared" si="33"/>
        <v>#REF!</v>
      </c>
      <c r="AT19" s="266" t="s">
        <v>300</v>
      </c>
      <c r="AU19" s="259" t="str">
        <f t="shared" si="34"/>
        <v>#REF!</v>
      </c>
      <c r="AV19" s="260" t="str">
        <f t="shared" si="35"/>
        <v>#REF!</v>
      </c>
      <c r="AW19" s="264" t="str">
        <f t="shared" si="36"/>
        <v>#REF!</v>
      </c>
    </row>
    <row r="20" ht="22.5" customHeight="1">
      <c r="A20" s="253"/>
      <c r="B20" s="265" t="s">
        <v>301</v>
      </c>
      <c r="C20" s="254" t="str">
        <f t="shared" si="1"/>
        <v>#REF!</v>
      </c>
      <c r="D20" s="255" t="str">
        <f t="shared" si="2"/>
        <v>#REF!</v>
      </c>
      <c r="E20" s="256" t="str">
        <f t="shared" si="3"/>
        <v>#REF!</v>
      </c>
      <c r="F20" s="265" t="s">
        <v>301</v>
      </c>
      <c r="G20" s="254" t="str">
        <f t="shared" si="4"/>
        <v>#REF!</v>
      </c>
      <c r="H20" s="257" t="str">
        <f t="shared" si="5"/>
        <v>#REF!</v>
      </c>
      <c r="I20" s="256" t="str">
        <f t="shared" si="6"/>
        <v>#REF!</v>
      </c>
      <c r="J20" s="265" t="s">
        <v>301</v>
      </c>
      <c r="K20" s="254" t="str">
        <f t="shared" si="7"/>
        <v>#REF!</v>
      </c>
      <c r="L20" s="257" t="str">
        <f t="shared" si="8"/>
        <v>#REF!</v>
      </c>
      <c r="M20" s="256" t="str">
        <f t="shared" si="9"/>
        <v>#REF!</v>
      </c>
      <c r="N20" s="266" t="s">
        <v>301</v>
      </c>
      <c r="O20" s="259" t="str">
        <f t="shared" si="10"/>
        <v>#REF!</v>
      </c>
      <c r="P20" s="260" t="str">
        <f t="shared" si="11"/>
        <v>#REF!</v>
      </c>
      <c r="Q20" s="261" t="str">
        <f t="shared" si="12"/>
        <v>#REF!</v>
      </c>
      <c r="R20" s="267" t="s">
        <v>301</v>
      </c>
      <c r="S20" s="259" t="str">
        <f t="shared" si="13"/>
        <v>#REF!</v>
      </c>
      <c r="T20" s="260" t="str">
        <f t="shared" si="14"/>
        <v>#REF!</v>
      </c>
      <c r="U20" s="263" t="str">
        <f t="shared" si="15"/>
        <v>#REF!</v>
      </c>
      <c r="V20" s="268" t="s">
        <v>301</v>
      </c>
      <c r="W20" s="259" t="str">
        <f t="shared" si="16"/>
        <v>#REF!</v>
      </c>
      <c r="X20" s="260" t="str">
        <f t="shared" si="17"/>
        <v>#REF!</v>
      </c>
      <c r="Y20" s="264" t="str">
        <f t="shared" si="18"/>
        <v>#REF!</v>
      </c>
      <c r="Z20" s="265" t="s">
        <v>301</v>
      </c>
      <c r="AA20" s="254" t="str">
        <f t="shared" si="19"/>
        <v>#REF!</v>
      </c>
      <c r="AB20" s="257" t="str">
        <f t="shared" si="20"/>
        <v>#REF!</v>
      </c>
      <c r="AC20" s="256" t="str">
        <f t="shared" si="21"/>
        <v>#REF!</v>
      </c>
      <c r="AD20" s="265" t="s">
        <v>301</v>
      </c>
      <c r="AE20" s="254" t="str">
        <f t="shared" si="22"/>
        <v>#REF!</v>
      </c>
      <c r="AF20" s="257" t="str">
        <f t="shared" si="23"/>
        <v>#REF!</v>
      </c>
      <c r="AG20" s="256" t="str">
        <f t="shared" si="24"/>
        <v>#REF!</v>
      </c>
      <c r="AH20" s="265" t="s">
        <v>301</v>
      </c>
      <c r="AI20" s="254" t="str">
        <f t="shared" si="25"/>
        <v>#REF!</v>
      </c>
      <c r="AJ20" s="257" t="str">
        <f t="shared" si="26"/>
        <v>#REF!</v>
      </c>
      <c r="AK20" s="256" t="str">
        <f t="shared" si="27"/>
        <v>#REF!</v>
      </c>
      <c r="AL20" s="266" t="s">
        <v>301</v>
      </c>
      <c r="AM20" s="259" t="str">
        <f t="shared" si="28"/>
        <v>#REF!</v>
      </c>
      <c r="AN20" s="260" t="str">
        <f t="shared" si="29"/>
        <v>#REF!</v>
      </c>
      <c r="AO20" s="264" t="str">
        <f t="shared" si="30"/>
        <v>#REF!</v>
      </c>
      <c r="AP20" s="266" t="s">
        <v>301</v>
      </c>
      <c r="AQ20" s="259" t="str">
        <f t="shared" si="31"/>
        <v>#REF!</v>
      </c>
      <c r="AR20" s="260" t="str">
        <f t="shared" si="32"/>
        <v>#REF!</v>
      </c>
      <c r="AS20" s="264" t="str">
        <f t="shared" si="33"/>
        <v>#REF!</v>
      </c>
      <c r="AT20" s="266" t="s">
        <v>301</v>
      </c>
      <c r="AU20" s="259" t="str">
        <f t="shared" si="34"/>
        <v>#REF!</v>
      </c>
      <c r="AV20" s="260" t="str">
        <f t="shared" si="35"/>
        <v>#REF!</v>
      </c>
      <c r="AW20" s="264" t="str">
        <f t="shared" si="36"/>
        <v>#REF!</v>
      </c>
    </row>
    <row r="21" ht="22.5" customHeight="1">
      <c r="A21" s="253"/>
      <c r="B21" s="265" t="s">
        <v>302</v>
      </c>
      <c r="C21" s="254" t="str">
        <f t="shared" si="1"/>
        <v>#REF!</v>
      </c>
      <c r="D21" s="255">
        <f>'WEBINAR SEMANAL'!L8</f>
        <v>200</v>
      </c>
      <c r="E21" s="256" t="str">
        <f t="shared" si="3"/>
        <v>#REF!</v>
      </c>
      <c r="F21" s="265" t="s">
        <v>302</v>
      </c>
      <c r="G21" s="254" t="str">
        <f t="shared" si="4"/>
        <v>#REF!</v>
      </c>
      <c r="H21" s="257">
        <f>'WEBINAR SEMANAL'!L8</f>
        <v>200</v>
      </c>
      <c r="I21" s="256" t="str">
        <f t="shared" si="6"/>
        <v>#REF!</v>
      </c>
      <c r="J21" s="265" t="s">
        <v>302</v>
      </c>
      <c r="K21" s="254" t="str">
        <f t="shared" si="7"/>
        <v>#REF!</v>
      </c>
      <c r="L21" s="257">
        <f>'WEBINAR SEMANAL'!L8</f>
        <v>200</v>
      </c>
      <c r="M21" s="256" t="str">
        <f t="shared" si="9"/>
        <v>#REF!</v>
      </c>
      <c r="N21" s="266" t="s">
        <v>302</v>
      </c>
      <c r="O21" s="259" t="str">
        <f t="shared" si="10"/>
        <v>#REF!</v>
      </c>
      <c r="P21" s="260">
        <f>'WEBINAR SEMANAL'!L8</f>
        <v>200</v>
      </c>
      <c r="Q21" s="261" t="str">
        <f t="shared" si="12"/>
        <v>#REF!</v>
      </c>
      <c r="R21" s="267" t="s">
        <v>302</v>
      </c>
      <c r="S21" s="259" t="str">
        <f t="shared" si="13"/>
        <v>#REF!</v>
      </c>
      <c r="T21" s="260">
        <f>'WEBINAR SEMANAL'!L8</f>
        <v>200</v>
      </c>
      <c r="U21" s="263" t="str">
        <f t="shared" si="15"/>
        <v>#REF!</v>
      </c>
      <c r="V21" s="268" t="s">
        <v>302</v>
      </c>
      <c r="W21" s="259" t="str">
        <f t="shared" si="16"/>
        <v>#REF!</v>
      </c>
      <c r="X21" s="260">
        <f>'WEBINAR SEMANAL'!L8</f>
        <v>200</v>
      </c>
      <c r="Y21" s="264" t="str">
        <f t="shared" si="18"/>
        <v>#REF!</v>
      </c>
      <c r="Z21" s="265" t="s">
        <v>302</v>
      </c>
      <c r="AA21" s="254" t="str">
        <f t="shared" si="19"/>
        <v>#REF!</v>
      </c>
      <c r="AB21" s="257">
        <f>'WEBINAR SEMANAL'!L8</f>
        <v>200</v>
      </c>
      <c r="AC21" s="256" t="str">
        <f t="shared" si="21"/>
        <v>#REF!</v>
      </c>
      <c r="AD21" s="265" t="s">
        <v>302</v>
      </c>
      <c r="AE21" s="254" t="str">
        <f t="shared" si="22"/>
        <v>#REF!</v>
      </c>
      <c r="AF21" s="257">
        <f>'WEBINAR SEMANAL'!L8</f>
        <v>200</v>
      </c>
      <c r="AG21" s="256" t="str">
        <f t="shared" si="24"/>
        <v>#REF!</v>
      </c>
      <c r="AH21" s="265" t="s">
        <v>302</v>
      </c>
      <c r="AI21" s="254" t="str">
        <f t="shared" si="25"/>
        <v>#REF!</v>
      </c>
      <c r="AJ21" s="257">
        <f>'WEBINAR SEMANAL'!L8</f>
        <v>200</v>
      </c>
      <c r="AK21" s="256" t="str">
        <f t="shared" si="27"/>
        <v>#REF!</v>
      </c>
      <c r="AL21" s="266" t="s">
        <v>302</v>
      </c>
      <c r="AM21" s="259" t="str">
        <f t="shared" si="28"/>
        <v>#REF!</v>
      </c>
      <c r="AN21" s="260">
        <f>'WEBINAR SEMANAL'!L8</f>
        <v>200</v>
      </c>
      <c r="AO21" s="264" t="str">
        <f t="shared" si="30"/>
        <v>#REF!</v>
      </c>
      <c r="AP21" s="266" t="s">
        <v>302</v>
      </c>
      <c r="AQ21" s="259" t="str">
        <f t="shared" si="31"/>
        <v>#REF!</v>
      </c>
      <c r="AR21" s="260">
        <f>'WEBINAR SEMANAL'!L8</f>
        <v>200</v>
      </c>
      <c r="AS21" s="264" t="str">
        <f t="shared" si="33"/>
        <v>#REF!</v>
      </c>
      <c r="AT21" s="266" t="s">
        <v>302</v>
      </c>
      <c r="AU21" s="259" t="str">
        <f t="shared" si="34"/>
        <v>#REF!</v>
      </c>
      <c r="AV21" s="260">
        <f>'WEBINAR SEMANAL'!L8</f>
        <v>200</v>
      </c>
      <c r="AW21" s="264" t="str">
        <f t="shared" si="36"/>
        <v>#REF!</v>
      </c>
    </row>
    <row r="22" ht="22.5" customHeight="1">
      <c r="A22" s="253"/>
      <c r="B22" s="265" t="s">
        <v>303</v>
      </c>
      <c r="C22" s="254" t="str">
        <f t="shared" si="1"/>
        <v>#REF!</v>
      </c>
      <c r="D22" s="255">
        <f>'WEBINAR SEMANAL'!L11</f>
        <v>200</v>
      </c>
      <c r="E22" s="256" t="str">
        <f t="shared" si="3"/>
        <v>#REF!</v>
      </c>
      <c r="F22" s="265" t="s">
        <v>303</v>
      </c>
      <c r="G22" s="254" t="str">
        <f t="shared" si="4"/>
        <v>#REF!</v>
      </c>
      <c r="H22" s="257">
        <f>'WEBINAR SEMANAL'!L11</f>
        <v>200</v>
      </c>
      <c r="I22" s="256" t="str">
        <f t="shared" si="6"/>
        <v>#REF!</v>
      </c>
      <c r="J22" s="265" t="s">
        <v>303</v>
      </c>
      <c r="K22" s="254" t="str">
        <f t="shared" si="7"/>
        <v>#REF!</v>
      </c>
      <c r="L22" s="257">
        <f>'WEBINAR SEMANAL'!L11</f>
        <v>200</v>
      </c>
      <c r="M22" s="256" t="str">
        <f t="shared" si="9"/>
        <v>#REF!</v>
      </c>
      <c r="N22" s="266" t="s">
        <v>303</v>
      </c>
      <c r="O22" s="259" t="str">
        <f t="shared" si="10"/>
        <v>#REF!</v>
      </c>
      <c r="P22" s="260">
        <f>'WEBINAR SEMANAL'!L11</f>
        <v>200</v>
      </c>
      <c r="Q22" s="261" t="str">
        <f t="shared" si="12"/>
        <v>#REF!</v>
      </c>
      <c r="R22" s="267" t="s">
        <v>303</v>
      </c>
      <c r="S22" s="259" t="str">
        <f t="shared" si="13"/>
        <v>#REF!</v>
      </c>
      <c r="T22" s="260">
        <f>'WEBINAR SEMANAL'!L11</f>
        <v>200</v>
      </c>
      <c r="U22" s="263" t="str">
        <f t="shared" si="15"/>
        <v>#REF!</v>
      </c>
      <c r="V22" s="268" t="s">
        <v>303</v>
      </c>
      <c r="W22" s="259" t="str">
        <f t="shared" si="16"/>
        <v>#REF!</v>
      </c>
      <c r="X22" s="260">
        <f>'WEBINAR SEMANAL'!L11</f>
        <v>200</v>
      </c>
      <c r="Y22" s="264" t="str">
        <f t="shared" si="18"/>
        <v>#REF!</v>
      </c>
      <c r="Z22" s="265" t="s">
        <v>303</v>
      </c>
      <c r="AA22" s="254" t="str">
        <f t="shared" si="19"/>
        <v>#REF!</v>
      </c>
      <c r="AB22" s="257">
        <f>'WEBINAR SEMANAL'!L11</f>
        <v>200</v>
      </c>
      <c r="AC22" s="256" t="str">
        <f t="shared" si="21"/>
        <v>#REF!</v>
      </c>
      <c r="AD22" s="265" t="s">
        <v>303</v>
      </c>
      <c r="AE22" s="254" t="str">
        <f t="shared" si="22"/>
        <v>#REF!</v>
      </c>
      <c r="AF22" s="257">
        <f>'WEBINAR SEMANAL'!L11</f>
        <v>200</v>
      </c>
      <c r="AG22" s="256" t="str">
        <f t="shared" si="24"/>
        <v>#REF!</v>
      </c>
      <c r="AH22" s="265" t="s">
        <v>303</v>
      </c>
      <c r="AI22" s="254" t="str">
        <f t="shared" si="25"/>
        <v>#REF!</v>
      </c>
      <c r="AJ22" s="257">
        <f>'WEBINAR SEMANAL'!L11</f>
        <v>200</v>
      </c>
      <c r="AK22" s="256" t="str">
        <f t="shared" si="27"/>
        <v>#REF!</v>
      </c>
      <c r="AL22" s="266" t="s">
        <v>303</v>
      </c>
      <c r="AM22" s="259" t="str">
        <f t="shared" si="28"/>
        <v>#REF!</v>
      </c>
      <c r="AN22" s="260">
        <f>'WEBINAR SEMANAL'!L11</f>
        <v>200</v>
      </c>
      <c r="AO22" s="264" t="str">
        <f t="shared" si="30"/>
        <v>#REF!</v>
      </c>
      <c r="AP22" s="266" t="s">
        <v>303</v>
      </c>
      <c r="AQ22" s="259" t="str">
        <f t="shared" si="31"/>
        <v>#REF!</v>
      </c>
      <c r="AR22" s="260">
        <f>'WEBINAR SEMANAL'!L11</f>
        <v>200</v>
      </c>
      <c r="AS22" s="264" t="str">
        <f t="shared" si="33"/>
        <v>#REF!</v>
      </c>
      <c r="AT22" s="266" t="s">
        <v>303</v>
      </c>
      <c r="AU22" s="259" t="str">
        <f t="shared" si="34"/>
        <v>#REF!</v>
      </c>
      <c r="AV22" s="260">
        <f>'WEBINAR SEMANAL'!L11</f>
        <v>200</v>
      </c>
      <c r="AW22" s="264" t="str">
        <f t="shared" si="36"/>
        <v>#REF!</v>
      </c>
    </row>
    <row r="23" ht="22.5" customHeight="1">
      <c r="A23" s="253"/>
      <c r="B23" s="265" t="s">
        <v>277</v>
      </c>
      <c r="C23" s="254" t="str">
        <f t="shared" si="1"/>
        <v>#REF!</v>
      </c>
      <c r="D23" s="255" t="str">
        <f t="shared" ref="D23:D25" si="37">#REF!</f>
        <v>#REF!</v>
      </c>
      <c r="E23" s="256" t="str">
        <f t="shared" si="3"/>
        <v>#REF!</v>
      </c>
      <c r="F23" s="265" t="s">
        <v>277</v>
      </c>
      <c r="G23" s="254" t="str">
        <f t="shared" si="4"/>
        <v>#REF!</v>
      </c>
      <c r="H23" s="257" t="str">
        <f t="shared" ref="H23:H25" si="38">#REF!</f>
        <v>#REF!</v>
      </c>
      <c r="I23" s="256" t="str">
        <f t="shared" si="6"/>
        <v>#REF!</v>
      </c>
      <c r="J23" s="265" t="s">
        <v>277</v>
      </c>
      <c r="K23" s="254" t="str">
        <f t="shared" si="7"/>
        <v>#REF!</v>
      </c>
      <c r="L23" s="257" t="str">
        <f t="shared" ref="L23:L25" si="39">#REF!</f>
        <v>#REF!</v>
      </c>
      <c r="M23" s="256" t="str">
        <f t="shared" si="9"/>
        <v>#REF!</v>
      </c>
      <c r="N23" s="266" t="s">
        <v>277</v>
      </c>
      <c r="O23" s="259" t="str">
        <f t="shared" si="10"/>
        <v>#REF!</v>
      </c>
      <c r="P23" s="260" t="str">
        <f t="shared" ref="P23:P25" si="40">#REF!</f>
        <v>#REF!</v>
      </c>
      <c r="Q23" s="261" t="str">
        <f t="shared" si="12"/>
        <v>#REF!</v>
      </c>
      <c r="R23" s="267" t="s">
        <v>277</v>
      </c>
      <c r="S23" s="259" t="str">
        <f t="shared" si="13"/>
        <v>#REF!</v>
      </c>
      <c r="T23" s="260" t="str">
        <f t="shared" ref="T23:T25" si="41">#REF!</f>
        <v>#REF!</v>
      </c>
      <c r="U23" s="263" t="str">
        <f t="shared" si="15"/>
        <v>#REF!</v>
      </c>
      <c r="V23" s="268" t="s">
        <v>277</v>
      </c>
      <c r="W23" s="259" t="str">
        <f t="shared" si="16"/>
        <v>#REF!</v>
      </c>
      <c r="X23" s="260" t="str">
        <f t="shared" ref="X23:X25" si="42">#REF!</f>
        <v>#REF!</v>
      </c>
      <c r="Y23" s="264" t="str">
        <f t="shared" si="18"/>
        <v>#REF!</v>
      </c>
      <c r="Z23" s="265" t="s">
        <v>277</v>
      </c>
      <c r="AA23" s="254" t="str">
        <f t="shared" si="19"/>
        <v>#REF!</v>
      </c>
      <c r="AB23" s="257" t="str">
        <f t="shared" ref="AB23:AB25" si="43">#REF!</f>
        <v>#REF!</v>
      </c>
      <c r="AC23" s="256" t="str">
        <f t="shared" si="21"/>
        <v>#REF!</v>
      </c>
      <c r="AD23" s="265" t="s">
        <v>277</v>
      </c>
      <c r="AE23" s="254" t="str">
        <f t="shared" si="22"/>
        <v>#REF!</v>
      </c>
      <c r="AF23" s="257" t="str">
        <f t="shared" ref="AF23:AF25" si="44">#REF!</f>
        <v>#REF!</v>
      </c>
      <c r="AG23" s="256" t="str">
        <f t="shared" si="24"/>
        <v>#REF!</v>
      </c>
      <c r="AH23" s="265" t="s">
        <v>277</v>
      </c>
      <c r="AI23" s="254" t="str">
        <f t="shared" si="25"/>
        <v>#REF!</v>
      </c>
      <c r="AJ23" s="257" t="str">
        <f t="shared" ref="AJ23:AJ25" si="45">#REF!</f>
        <v>#REF!</v>
      </c>
      <c r="AK23" s="256" t="str">
        <f t="shared" si="27"/>
        <v>#REF!</v>
      </c>
      <c r="AL23" s="266" t="s">
        <v>277</v>
      </c>
      <c r="AM23" s="259" t="str">
        <f t="shared" si="28"/>
        <v>#REF!</v>
      </c>
      <c r="AN23" s="260" t="str">
        <f t="shared" ref="AN23:AN25" si="46">#REF!</f>
        <v>#REF!</v>
      </c>
      <c r="AO23" s="264" t="str">
        <f t="shared" si="30"/>
        <v>#REF!</v>
      </c>
      <c r="AP23" s="266" t="s">
        <v>277</v>
      </c>
      <c r="AQ23" s="259" t="str">
        <f t="shared" si="31"/>
        <v>#REF!</v>
      </c>
      <c r="AR23" s="260" t="str">
        <f t="shared" ref="AR23:AR25" si="47">#REF!</f>
        <v>#REF!</v>
      </c>
      <c r="AS23" s="264" t="str">
        <f t="shared" si="33"/>
        <v>#REF!</v>
      </c>
      <c r="AT23" s="266" t="s">
        <v>277</v>
      </c>
      <c r="AU23" s="259" t="str">
        <f t="shared" si="34"/>
        <v>#REF!</v>
      </c>
      <c r="AV23" s="260" t="str">
        <f t="shared" ref="AV23:AV25" si="48">#REF!</f>
        <v>#REF!</v>
      </c>
      <c r="AW23" s="264" t="str">
        <f t="shared" si="36"/>
        <v>#REF!</v>
      </c>
    </row>
    <row r="24" ht="22.5" customHeight="1">
      <c r="A24" s="253"/>
      <c r="B24" s="265" t="s">
        <v>260</v>
      </c>
      <c r="C24" s="254" t="str">
        <f t="shared" si="1"/>
        <v>#REF!</v>
      </c>
      <c r="D24" s="255" t="str">
        <f t="shared" si="37"/>
        <v>#REF!</v>
      </c>
      <c r="E24" s="256" t="str">
        <f t="shared" si="3"/>
        <v>#REF!</v>
      </c>
      <c r="F24" s="265" t="s">
        <v>260</v>
      </c>
      <c r="G24" s="254" t="str">
        <f t="shared" si="4"/>
        <v>#REF!</v>
      </c>
      <c r="H24" s="257" t="str">
        <f t="shared" si="38"/>
        <v>#REF!</v>
      </c>
      <c r="I24" s="256" t="str">
        <f t="shared" si="6"/>
        <v>#REF!</v>
      </c>
      <c r="J24" s="265" t="s">
        <v>260</v>
      </c>
      <c r="K24" s="254" t="str">
        <f t="shared" si="7"/>
        <v>#REF!</v>
      </c>
      <c r="L24" s="257" t="str">
        <f t="shared" si="39"/>
        <v>#REF!</v>
      </c>
      <c r="M24" s="256" t="str">
        <f t="shared" si="9"/>
        <v>#REF!</v>
      </c>
      <c r="N24" s="266" t="s">
        <v>260</v>
      </c>
      <c r="O24" s="259" t="str">
        <f t="shared" si="10"/>
        <v>#REF!</v>
      </c>
      <c r="P24" s="260" t="str">
        <f t="shared" si="40"/>
        <v>#REF!</v>
      </c>
      <c r="Q24" s="261" t="str">
        <f t="shared" si="12"/>
        <v>#REF!</v>
      </c>
      <c r="R24" s="267" t="s">
        <v>260</v>
      </c>
      <c r="S24" s="259" t="str">
        <f t="shared" si="13"/>
        <v>#REF!</v>
      </c>
      <c r="T24" s="260" t="str">
        <f t="shared" si="41"/>
        <v>#REF!</v>
      </c>
      <c r="U24" s="263" t="str">
        <f t="shared" si="15"/>
        <v>#REF!</v>
      </c>
      <c r="V24" s="268" t="s">
        <v>260</v>
      </c>
      <c r="W24" s="259" t="str">
        <f t="shared" si="16"/>
        <v>#REF!</v>
      </c>
      <c r="X24" s="260" t="str">
        <f t="shared" si="42"/>
        <v>#REF!</v>
      </c>
      <c r="Y24" s="264" t="str">
        <f t="shared" si="18"/>
        <v>#REF!</v>
      </c>
      <c r="Z24" s="265" t="s">
        <v>260</v>
      </c>
      <c r="AA24" s="254" t="str">
        <f t="shared" si="19"/>
        <v>#REF!</v>
      </c>
      <c r="AB24" s="257" t="str">
        <f t="shared" si="43"/>
        <v>#REF!</v>
      </c>
      <c r="AC24" s="256" t="str">
        <f t="shared" si="21"/>
        <v>#REF!</v>
      </c>
      <c r="AD24" s="265" t="s">
        <v>260</v>
      </c>
      <c r="AE24" s="254" t="str">
        <f t="shared" si="22"/>
        <v>#REF!</v>
      </c>
      <c r="AF24" s="257" t="str">
        <f t="shared" si="44"/>
        <v>#REF!</v>
      </c>
      <c r="AG24" s="256" t="str">
        <f t="shared" si="24"/>
        <v>#REF!</v>
      </c>
      <c r="AH24" s="265" t="s">
        <v>260</v>
      </c>
      <c r="AI24" s="254" t="str">
        <f t="shared" si="25"/>
        <v>#REF!</v>
      </c>
      <c r="AJ24" s="257" t="str">
        <f t="shared" si="45"/>
        <v>#REF!</v>
      </c>
      <c r="AK24" s="256" t="str">
        <f t="shared" si="27"/>
        <v>#REF!</v>
      </c>
      <c r="AL24" s="266" t="s">
        <v>260</v>
      </c>
      <c r="AM24" s="259" t="str">
        <f t="shared" si="28"/>
        <v>#REF!</v>
      </c>
      <c r="AN24" s="260" t="str">
        <f t="shared" si="46"/>
        <v>#REF!</v>
      </c>
      <c r="AO24" s="264" t="str">
        <f t="shared" si="30"/>
        <v>#REF!</v>
      </c>
      <c r="AP24" s="266" t="s">
        <v>260</v>
      </c>
      <c r="AQ24" s="259" t="str">
        <f t="shared" si="31"/>
        <v>#REF!</v>
      </c>
      <c r="AR24" s="260" t="str">
        <f t="shared" si="47"/>
        <v>#REF!</v>
      </c>
      <c r="AS24" s="264" t="str">
        <f t="shared" si="33"/>
        <v>#REF!</v>
      </c>
      <c r="AT24" s="266" t="s">
        <v>260</v>
      </c>
      <c r="AU24" s="259" t="str">
        <f t="shared" si="34"/>
        <v>#REF!</v>
      </c>
      <c r="AV24" s="260" t="str">
        <f t="shared" si="48"/>
        <v>#REF!</v>
      </c>
      <c r="AW24" s="264" t="str">
        <f t="shared" si="36"/>
        <v>#REF!</v>
      </c>
    </row>
    <row r="25" ht="22.5" customHeight="1">
      <c r="A25" s="253"/>
      <c r="B25" s="265" t="s">
        <v>275</v>
      </c>
      <c r="C25" s="254" t="str">
        <f t="shared" si="1"/>
        <v>#REF!</v>
      </c>
      <c r="D25" s="255" t="str">
        <f t="shared" si="37"/>
        <v>#REF!</v>
      </c>
      <c r="E25" s="256" t="str">
        <f t="shared" si="3"/>
        <v>#REF!</v>
      </c>
      <c r="F25" s="265" t="s">
        <v>275</v>
      </c>
      <c r="G25" s="254" t="str">
        <f t="shared" si="4"/>
        <v>#REF!</v>
      </c>
      <c r="H25" s="257" t="str">
        <f t="shared" si="38"/>
        <v>#REF!</v>
      </c>
      <c r="I25" s="256" t="str">
        <f t="shared" si="6"/>
        <v>#REF!</v>
      </c>
      <c r="J25" s="265" t="s">
        <v>275</v>
      </c>
      <c r="K25" s="254" t="str">
        <f t="shared" si="7"/>
        <v>#REF!</v>
      </c>
      <c r="L25" s="257" t="str">
        <f t="shared" si="39"/>
        <v>#REF!</v>
      </c>
      <c r="M25" s="256" t="str">
        <f t="shared" si="9"/>
        <v>#REF!</v>
      </c>
      <c r="N25" s="266" t="s">
        <v>275</v>
      </c>
      <c r="O25" s="259" t="str">
        <f t="shared" si="10"/>
        <v>#REF!</v>
      </c>
      <c r="P25" s="260" t="str">
        <f t="shared" si="40"/>
        <v>#REF!</v>
      </c>
      <c r="Q25" s="261" t="str">
        <f t="shared" si="12"/>
        <v>#REF!</v>
      </c>
      <c r="R25" s="267" t="s">
        <v>275</v>
      </c>
      <c r="S25" s="259" t="str">
        <f t="shared" si="13"/>
        <v>#REF!</v>
      </c>
      <c r="T25" s="260" t="str">
        <f t="shared" si="41"/>
        <v>#REF!</v>
      </c>
      <c r="U25" s="263" t="str">
        <f t="shared" si="15"/>
        <v>#REF!</v>
      </c>
      <c r="V25" s="268" t="s">
        <v>275</v>
      </c>
      <c r="W25" s="259" t="str">
        <f t="shared" si="16"/>
        <v>#REF!</v>
      </c>
      <c r="X25" s="260" t="str">
        <f t="shared" si="42"/>
        <v>#REF!</v>
      </c>
      <c r="Y25" s="264" t="str">
        <f t="shared" si="18"/>
        <v>#REF!</v>
      </c>
      <c r="Z25" s="265" t="s">
        <v>275</v>
      </c>
      <c r="AA25" s="254" t="str">
        <f t="shared" si="19"/>
        <v>#REF!</v>
      </c>
      <c r="AB25" s="257" t="str">
        <f t="shared" si="43"/>
        <v>#REF!</v>
      </c>
      <c r="AC25" s="256" t="str">
        <f t="shared" si="21"/>
        <v>#REF!</v>
      </c>
      <c r="AD25" s="265" t="s">
        <v>275</v>
      </c>
      <c r="AE25" s="254" t="str">
        <f t="shared" si="22"/>
        <v>#REF!</v>
      </c>
      <c r="AF25" s="257" t="str">
        <f t="shared" si="44"/>
        <v>#REF!</v>
      </c>
      <c r="AG25" s="256" t="str">
        <f t="shared" si="24"/>
        <v>#REF!</v>
      </c>
      <c r="AH25" s="265" t="s">
        <v>275</v>
      </c>
      <c r="AI25" s="254" t="str">
        <f t="shared" si="25"/>
        <v>#REF!</v>
      </c>
      <c r="AJ25" s="257" t="str">
        <f t="shared" si="45"/>
        <v>#REF!</v>
      </c>
      <c r="AK25" s="256" t="str">
        <f t="shared" si="27"/>
        <v>#REF!</v>
      </c>
      <c r="AL25" s="266" t="s">
        <v>275</v>
      </c>
      <c r="AM25" s="259" t="str">
        <f t="shared" si="28"/>
        <v>#REF!</v>
      </c>
      <c r="AN25" s="260" t="str">
        <f t="shared" si="46"/>
        <v>#REF!</v>
      </c>
      <c r="AO25" s="264" t="str">
        <f t="shared" si="30"/>
        <v>#REF!</v>
      </c>
      <c r="AP25" s="266" t="s">
        <v>275</v>
      </c>
      <c r="AQ25" s="259" t="str">
        <f t="shared" si="31"/>
        <v>#REF!</v>
      </c>
      <c r="AR25" s="260" t="str">
        <f t="shared" si="47"/>
        <v>#REF!</v>
      </c>
      <c r="AS25" s="264" t="str">
        <f t="shared" si="33"/>
        <v>#REF!</v>
      </c>
      <c r="AT25" s="266" t="s">
        <v>275</v>
      </c>
      <c r="AU25" s="259" t="str">
        <f t="shared" si="34"/>
        <v>#REF!</v>
      </c>
      <c r="AV25" s="260" t="str">
        <f t="shared" si="48"/>
        <v>#REF!</v>
      </c>
      <c r="AW25" s="264" t="str">
        <f t="shared" si="36"/>
        <v>#REF!</v>
      </c>
    </row>
    <row r="26" ht="22.5" customHeight="1">
      <c r="A26" s="253"/>
      <c r="B26" s="265" t="s">
        <v>304</v>
      </c>
      <c r="C26" s="254" t="str">
        <f t="shared" si="1"/>
        <v>#REF!</v>
      </c>
      <c r="D26" s="255">
        <f>'WEBINAR SEMANAL'!L10</f>
        <v>200</v>
      </c>
      <c r="E26" s="256" t="str">
        <f t="shared" si="3"/>
        <v>#REF!</v>
      </c>
      <c r="F26" s="265" t="s">
        <v>304</v>
      </c>
      <c r="G26" s="254" t="str">
        <f t="shared" si="4"/>
        <v>#REF!</v>
      </c>
      <c r="H26" s="257">
        <f>'WEBINAR SEMANAL'!L10</f>
        <v>200</v>
      </c>
      <c r="I26" s="256" t="str">
        <f t="shared" si="6"/>
        <v>#REF!</v>
      </c>
      <c r="J26" s="265" t="s">
        <v>304</v>
      </c>
      <c r="K26" s="254" t="str">
        <f t="shared" si="7"/>
        <v>#REF!</v>
      </c>
      <c r="L26" s="257">
        <f>'WEBINAR SEMANAL'!L10</f>
        <v>200</v>
      </c>
      <c r="M26" s="256" t="str">
        <f t="shared" si="9"/>
        <v>#REF!</v>
      </c>
      <c r="N26" s="266" t="s">
        <v>304</v>
      </c>
      <c r="O26" s="259" t="str">
        <f t="shared" si="10"/>
        <v>#REF!</v>
      </c>
      <c r="P26" s="260">
        <f>'WEBINAR SEMANAL'!L10</f>
        <v>200</v>
      </c>
      <c r="Q26" s="261" t="str">
        <f t="shared" si="12"/>
        <v>#REF!</v>
      </c>
      <c r="R26" s="267" t="s">
        <v>304</v>
      </c>
      <c r="S26" s="259" t="str">
        <f t="shared" si="13"/>
        <v>#REF!</v>
      </c>
      <c r="T26" s="260">
        <f>'WEBINAR SEMANAL'!L10</f>
        <v>200</v>
      </c>
      <c r="U26" s="263" t="str">
        <f t="shared" si="15"/>
        <v>#REF!</v>
      </c>
      <c r="V26" s="268" t="s">
        <v>304</v>
      </c>
      <c r="W26" s="259" t="str">
        <f t="shared" si="16"/>
        <v>#REF!</v>
      </c>
      <c r="X26" s="260">
        <f>'WEBINAR SEMANAL'!L10</f>
        <v>200</v>
      </c>
      <c r="Y26" s="264" t="str">
        <f t="shared" si="18"/>
        <v>#REF!</v>
      </c>
      <c r="Z26" s="265" t="s">
        <v>304</v>
      </c>
      <c r="AA26" s="254" t="str">
        <f t="shared" si="19"/>
        <v>#REF!</v>
      </c>
      <c r="AB26" s="257">
        <f>'WEBINAR SEMANAL'!L10</f>
        <v>200</v>
      </c>
      <c r="AC26" s="256" t="str">
        <f t="shared" si="21"/>
        <v>#REF!</v>
      </c>
      <c r="AD26" s="265" t="s">
        <v>304</v>
      </c>
      <c r="AE26" s="254" t="str">
        <f t="shared" si="22"/>
        <v>#REF!</v>
      </c>
      <c r="AF26" s="257">
        <f>'WEBINAR SEMANAL'!L10</f>
        <v>200</v>
      </c>
      <c r="AG26" s="256" t="str">
        <f t="shared" si="24"/>
        <v>#REF!</v>
      </c>
      <c r="AH26" s="265" t="s">
        <v>304</v>
      </c>
      <c r="AI26" s="254" t="str">
        <f t="shared" si="25"/>
        <v>#REF!</v>
      </c>
      <c r="AJ26" s="257">
        <f>'WEBINAR SEMANAL'!L10</f>
        <v>200</v>
      </c>
      <c r="AK26" s="256" t="str">
        <f t="shared" si="27"/>
        <v>#REF!</v>
      </c>
      <c r="AL26" s="266" t="s">
        <v>304</v>
      </c>
      <c r="AM26" s="259" t="str">
        <f t="shared" si="28"/>
        <v>#REF!</v>
      </c>
      <c r="AN26" s="260">
        <f>'WEBINAR SEMANAL'!L10</f>
        <v>200</v>
      </c>
      <c r="AO26" s="264" t="str">
        <f t="shared" si="30"/>
        <v>#REF!</v>
      </c>
      <c r="AP26" s="266" t="s">
        <v>304</v>
      </c>
      <c r="AQ26" s="259" t="str">
        <f t="shared" si="31"/>
        <v>#REF!</v>
      </c>
      <c r="AR26" s="260">
        <f>'WEBINAR SEMANAL'!L10</f>
        <v>200</v>
      </c>
      <c r="AS26" s="264" t="str">
        <f t="shared" si="33"/>
        <v>#REF!</v>
      </c>
      <c r="AT26" s="266" t="s">
        <v>304</v>
      </c>
      <c r="AU26" s="259" t="str">
        <f t="shared" si="34"/>
        <v>#REF!</v>
      </c>
      <c r="AV26" s="260">
        <f>'WEBINAR SEMANAL'!L10</f>
        <v>200</v>
      </c>
      <c r="AW26" s="264" t="str">
        <f t="shared" si="36"/>
        <v>#REF!</v>
      </c>
    </row>
    <row r="27" ht="22.5" customHeight="1">
      <c r="A27" s="253"/>
      <c r="B27" s="269" t="s">
        <v>305</v>
      </c>
      <c r="C27" s="254" t="str">
        <f t="shared" si="1"/>
        <v>#REF!</v>
      </c>
      <c r="D27" s="255" t="str">
        <f>#REF!</f>
        <v>#REF!</v>
      </c>
      <c r="E27" s="256" t="str">
        <f t="shared" si="3"/>
        <v>#REF!</v>
      </c>
      <c r="F27" s="269" t="s">
        <v>305</v>
      </c>
      <c r="G27" s="254" t="str">
        <f t="shared" si="4"/>
        <v>#REF!</v>
      </c>
      <c r="H27" s="257" t="str">
        <f>#REF!</f>
        <v>#REF!</v>
      </c>
      <c r="I27" s="256" t="str">
        <f t="shared" si="6"/>
        <v>#REF!</v>
      </c>
      <c r="J27" s="269" t="s">
        <v>305</v>
      </c>
      <c r="K27" s="254" t="str">
        <f t="shared" si="7"/>
        <v>#REF!</v>
      </c>
      <c r="L27" s="257" t="str">
        <f>#REF!</f>
        <v>#REF!</v>
      </c>
      <c r="M27" s="256" t="str">
        <f t="shared" si="9"/>
        <v>#REF!</v>
      </c>
      <c r="N27" s="270" t="s">
        <v>305</v>
      </c>
      <c r="O27" s="259" t="str">
        <f t="shared" si="10"/>
        <v>#REF!</v>
      </c>
      <c r="P27" s="260" t="str">
        <f>#REF!</f>
        <v>#REF!</v>
      </c>
      <c r="Q27" s="261" t="str">
        <f t="shared" si="12"/>
        <v>#REF!</v>
      </c>
      <c r="R27" s="271" t="s">
        <v>305</v>
      </c>
      <c r="S27" s="259" t="str">
        <f t="shared" si="13"/>
        <v>#REF!</v>
      </c>
      <c r="T27" s="260" t="str">
        <f>#REF!</f>
        <v>#REF!</v>
      </c>
      <c r="U27" s="263" t="str">
        <f t="shared" si="15"/>
        <v>#REF!</v>
      </c>
      <c r="V27" s="272" t="s">
        <v>305</v>
      </c>
      <c r="W27" s="259" t="str">
        <f t="shared" si="16"/>
        <v>#REF!</v>
      </c>
      <c r="X27" s="260" t="str">
        <f>#REF!</f>
        <v>#REF!</v>
      </c>
      <c r="Y27" s="264" t="str">
        <f t="shared" si="18"/>
        <v>#REF!</v>
      </c>
      <c r="Z27" s="269" t="s">
        <v>305</v>
      </c>
      <c r="AA27" s="254" t="str">
        <f t="shared" si="19"/>
        <v>#REF!</v>
      </c>
      <c r="AB27" s="257" t="str">
        <f>#REF!</f>
        <v>#REF!</v>
      </c>
      <c r="AC27" s="256" t="str">
        <f t="shared" si="21"/>
        <v>#REF!</v>
      </c>
      <c r="AD27" s="269" t="s">
        <v>305</v>
      </c>
      <c r="AE27" s="254" t="str">
        <f t="shared" si="22"/>
        <v>#REF!</v>
      </c>
      <c r="AF27" s="257" t="str">
        <f>#REF!</f>
        <v>#REF!</v>
      </c>
      <c r="AG27" s="256" t="str">
        <f t="shared" si="24"/>
        <v>#REF!</v>
      </c>
      <c r="AH27" s="269" t="s">
        <v>305</v>
      </c>
      <c r="AI27" s="254" t="str">
        <f t="shared" si="25"/>
        <v>#REF!</v>
      </c>
      <c r="AJ27" s="257" t="str">
        <f>#REF!</f>
        <v>#REF!</v>
      </c>
      <c r="AK27" s="256" t="str">
        <f t="shared" si="27"/>
        <v>#REF!</v>
      </c>
      <c r="AL27" s="270" t="s">
        <v>305</v>
      </c>
      <c r="AM27" s="259" t="str">
        <f t="shared" si="28"/>
        <v>#REF!</v>
      </c>
      <c r="AN27" s="260" t="str">
        <f>#REF!</f>
        <v>#REF!</v>
      </c>
      <c r="AO27" s="264" t="str">
        <f t="shared" si="30"/>
        <v>#REF!</v>
      </c>
      <c r="AP27" s="270" t="s">
        <v>305</v>
      </c>
      <c r="AQ27" s="259" t="str">
        <f t="shared" si="31"/>
        <v>#REF!</v>
      </c>
      <c r="AR27" s="260" t="str">
        <f>#REF!</f>
        <v>#REF!</v>
      </c>
      <c r="AS27" s="264" t="str">
        <f t="shared" si="33"/>
        <v>#REF!</v>
      </c>
      <c r="AT27" s="270" t="s">
        <v>305</v>
      </c>
      <c r="AU27" s="259" t="str">
        <f t="shared" si="34"/>
        <v>#REF!</v>
      </c>
      <c r="AV27" s="260" t="str">
        <f>#REF!</f>
        <v>#REF!</v>
      </c>
      <c r="AW27" s="264" t="str">
        <f t="shared" si="36"/>
        <v>#REF!</v>
      </c>
    </row>
    <row r="28" ht="22.5" customHeight="1">
      <c r="A28" s="253"/>
      <c r="B28" s="269" t="s">
        <v>279</v>
      </c>
      <c r="C28" s="254" t="str">
        <f t="shared" si="1"/>
        <v>#REF!</v>
      </c>
      <c r="D28" s="255">
        <f>'WEBINAR SEMANAL'!L3</f>
        <v>200</v>
      </c>
      <c r="E28" s="256" t="str">
        <f t="shared" si="3"/>
        <v>#REF!</v>
      </c>
      <c r="F28" s="269" t="s">
        <v>279</v>
      </c>
      <c r="G28" s="254" t="str">
        <f t="shared" si="4"/>
        <v>#REF!</v>
      </c>
      <c r="H28" s="257">
        <f>'WEBINAR SEMANAL'!L3</f>
        <v>200</v>
      </c>
      <c r="I28" s="256" t="str">
        <f t="shared" si="6"/>
        <v>#REF!</v>
      </c>
      <c r="J28" s="269" t="s">
        <v>279</v>
      </c>
      <c r="K28" s="254" t="str">
        <f t="shared" si="7"/>
        <v>#REF!</v>
      </c>
      <c r="L28" s="257">
        <f>'WEBINAR SEMANAL'!L3</f>
        <v>200</v>
      </c>
      <c r="M28" s="256" t="str">
        <f t="shared" si="9"/>
        <v>#REF!</v>
      </c>
      <c r="N28" s="270" t="s">
        <v>279</v>
      </c>
      <c r="O28" s="259" t="str">
        <f t="shared" si="10"/>
        <v>#REF!</v>
      </c>
      <c r="P28" s="260">
        <f>'WEBINAR SEMANAL'!L3</f>
        <v>200</v>
      </c>
      <c r="Q28" s="261" t="str">
        <f t="shared" si="12"/>
        <v>#REF!</v>
      </c>
      <c r="R28" s="271" t="s">
        <v>279</v>
      </c>
      <c r="S28" s="259" t="str">
        <f t="shared" si="13"/>
        <v>#REF!</v>
      </c>
      <c r="T28" s="260">
        <f>'WEBINAR SEMANAL'!L3</f>
        <v>200</v>
      </c>
      <c r="U28" s="263" t="str">
        <f t="shared" si="15"/>
        <v>#REF!</v>
      </c>
      <c r="V28" s="272" t="s">
        <v>279</v>
      </c>
      <c r="W28" s="259" t="str">
        <f t="shared" si="16"/>
        <v>#REF!</v>
      </c>
      <c r="X28" s="260">
        <f>'WEBINAR SEMANAL'!L3</f>
        <v>200</v>
      </c>
      <c r="Y28" s="264" t="str">
        <f t="shared" si="18"/>
        <v>#REF!</v>
      </c>
      <c r="Z28" s="269" t="s">
        <v>279</v>
      </c>
      <c r="AA28" s="254" t="str">
        <f t="shared" si="19"/>
        <v>#REF!</v>
      </c>
      <c r="AB28" s="257">
        <f>'WEBINAR SEMANAL'!L3</f>
        <v>200</v>
      </c>
      <c r="AC28" s="256" t="str">
        <f t="shared" si="21"/>
        <v>#REF!</v>
      </c>
      <c r="AD28" s="269" t="s">
        <v>279</v>
      </c>
      <c r="AE28" s="254" t="str">
        <f t="shared" si="22"/>
        <v>#REF!</v>
      </c>
      <c r="AF28" s="257">
        <f>'WEBINAR SEMANAL'!L3</f>
        <v>200</v>
      </c>
      <c r="AG28" s="256" t="str">
        <f t="shared" si="24"/>
        <v>#REF!</v>
      </c>
      <c r="AH28" s="269" t="s">
        <v>279</v>
      </c>
      <c r="AI28" s="254" t="str">
        <f t="shared" si="25"/>
        <v>#REF!</v>
      </c>
      <c r="AJ28" s="257">
        <f>'WEBINAR SEMANAL'!L3</f>
        <v>200</v>
      </c>
      <c r="AK28" s="256" t="str">
        <f t="shared" si="27"/>
        <v>#REF!</v>
      </c>
      <c r="AL28" s="270" t="s">
        <v>279</v>
      </c>
      <c r="AM28" s="259" t="str">
        <f t="shared" si="28"/>
        <v>#REF!</v>
      </c>
      <c r="AN28" s="260">
        <f>'WEBINAR SEMANAL'!L3</f>
        <v>200</v>
      </c>
      <c r="AO28" s="264" t="str">
        <f t="shared" si="30"/>
        <v>#REF!</v>
      </c>
      <c r="AP28" s="270" t="s">
        <v>279</v>
      </c>
      <c r="AQ28" s="259" t="str">
        <f t="shared" si="31"/>
        <v>#REF!</v>
      </c>
      <c r="AR28" s="260">
        <f>'WEBINAR SEMANAL'!L3</f>
        <v>200</v>
      </c>
      <c r="AS28" s="264" t="str">
        <f t="shared" si="33"/>
        <v>#REF!</v>
      </c>
      <c r="AT28" s="270" t="s">
        <v>279</v>
      </c>
      <c r="AU28" s="259" t="str">
        <f t="shared" si="34"/>
        <v>#REF!</v>
      </c>
      <c r="AV28" s="260">
        <f>'WEBINAR SEMANAL'!L3</f>
        <v>200</v>
      </c>
      <c r="AW28" s="264" t="str">
        <f t="shared" si="36"/>
        <v>#REF!</v>
      </c>
    </row>
    <row r="29" ht="22.5" customHeight="1">
      <c r="A29" s="253"/>
      <c r="B29" s="273" t="s">
        <v>281</v>
      </c>
      <c r="C29" s="254" t="str">
        <f t="shared" si="1"/>
        <v>#REF!</v>
      </c>
      <c r="D29" s="255">
        <f>'WEBINAR SEMANAL'!L5</f>
        <v>200</v>
      </c>
      <c r="E29" s="274" t="str">
        <f t="shared" si="3"/>
        <v>#REF!</v>
      </c>
      <c r="F29" s="269" t="s">
        <v>281</v>
      </c>
      <c r="G29" s="254" t="str">
        <f t="shared" si="4"/>
        <v>#REF!</v>
      </c>
      <c r="H29" s="257">
        <f>'WEBINAR SEMANAL'!L5</f>
        <v>200</v>
      </c>
      <c r="I29" s="256" t="str">
        <f t="shared" si="6"/>
        <v>#REF!</v>
      </c>
      <c r="J29" s="269" t="s">
        <v>281</v>
      </c>
      <c r="K29" s="254" t="str">
        <f t="shared" si="7"/>
        <v>#REF!</v>
      </c>
      <c r="L29" s="257">
        <f>'WEBINAR SEMANAL'!L5</f>
        <v>200</v>
      </c>
      <c r="M29" s="256" t="str">
        <f t="shared" si="9"/>
        <v>#REF!</v>
      </c>
      <c r="N29" s="270" t="s">
        <v>281</v>
      </c>
      <c r="O29" s="259" t="str">
        <f t="shared" si="10"/>
        <v>#REF!</v>
      </c>
      <c r="P29" s="260">
        <f>'WEBINAR SEMANAL'!L5</f>
        <v>200</v>
      </c>
      <c r="Q29" s="261" t="str">
        <f t="shared" si="12"/>
        <v>#REF!</v>
      </c>
      <c r="R29" s="271" t="s">
        <v>281</v>
      </c>
      <c r="S29" s="259" t="str">
        <f t="shared" si="13"/>
        <v>#REF!</v>
      </c>
      <c r="T29" s="260">
        <f>'WEBINAR SEMANAL'!L5</f>
        <v>200</v>
      </c>
      <c r="U29" s="263" t="str">
        <f t="shared" si="15"/>
        <v>#REF!</v>
      </c>
      <c r="V29" s="272" t="s">
        <v>281</v>
      </c>
      <c r="W29" s="259" t="str">
        <f t="shared" si="16"/>
        <v>#REF!</v>
      </c>
      <c r="X29" s="260">
        <f>'WEBINAR SEMANAL'!L5</f>
        <v>200</v>
      </c>
      <c r="Y29" s="264" t="str">
        <f t="shared" si="18"/>
        <v>#REF!</v>
      </c>
      <c r="Z29" s="269" t="s">
        <v>281</v>
      </c>
      <c r="AA29" s="254" t="str">
        <f t="shared" si="19"/>
        <v>#REF!</v>
      </c>
      <c r="AB29" s="257">
        <f>'WEBINAR SEMANAL'!L5</f>
        <v>200</v>
      </c>
      <c r="AC29" s="256" t="str">
        <f t="shared" si="21"/>
        <v>#REF!</v>
      </c>
      <c r="AD29" s="269" t="s">
        <v>281</v>
      </c>
      <c r="AE29" s="254" t="str">
        <f t="shared" si="22"/>
        <v>#REF!</v>
      </c>
      <c r="AF29" s="257">
        <f>'WEBINAR SEMANAL'!L5</f>
        <v>200</v>
      </c>
      <c r="AG29" s="256" t="str">
        <f t="shared" si="24"/>
        <v>#REF!</v>
      </c>
      <c r="AH29" s="269" t="s">
        <v>281</v>
      </c>
      <c r="AI29" s="254" t="str">
        <f t="shared" si="25"/>
        <v>#REF!</v>
      </c>
      <c r="AJ29" s="257">
        <f>'WEBINAR SEMANAL'!L5</f>
        <v>200</v>
      </c>
      <c r="AK29" s="256" t="str">
        <f t="shared" si="27"/>
        <v>#REF!</v>
      </c>
      <c r="AL29" s="270" t="s">
        <v>281</v>
      </c>
      <c r="AM29" s="259" t="str">
        <f t="shared" si="28"/>
        <v>#REF!</v>
      </c>
      <c r="AN29" s="260">
        <f>'WEBINAR SEMANAL'!L5</f>
        <v>200</v>
      </c>
      <c r="AO29" s="264" t="str">
        <f t="shared" si="30"/>
        <v>#REF!</v>
      </c>
      <c r="AP29" s="270" t="s">
        <v>281</v>
      </c>
      <c r="AQ29" s="259" t="str">
        <f t="shared" si="31"/>
        <v>#REF!</v>
      </c>
      <c r="AR29" s="260">
        <f>'WEBINAR SEMANAL'!L5</f>
        <v>200</v>
      </c>
      <c r="AS29" s="264" t="str">
        <f t="shared" si="33"/>
        <v>#REF!</v>
      </c>
      <c r="AT29" s="270" t="s">
        <v>281</v>
      </c>
      <c r="AU29" s="259" t="str">
        <f t="shared" si="34"/>
        <v>#REF!</v>
      </c>
      <c r="AV29" s="260">
        <f>'WEBINAR SEMANAL'!L5</f>
        <v>200</v>
      </c>
      <c r="AW29" s="264" t="str">
        <f t="shared" si="36"/>
        <v>#REF!</v>
      </c>
    </row>
    <row r="30" ht="22.5" customHeight="1">
      <c r="A30" s="253"/>
      <c r="B30" s="275" t="s">
        <v>306</v>
      </c>
      <c r="C30" s="254" t="str">
        <f t="shared" si="1"/>
        <v>#REF!</v>
      </c>
      <c r="D30" s="255" t="str">
        <f>'WEBINAR SEMANAL'!L2</f>
        <v>CP AG </v>
      </c>
      <c r="E30" s="256" t="str">
        <f t="shared" si="3"/>
        <v>#REF!</v>
      </c>
      <c r="F30" s="275" t="s">
        <v>306</v>
      </c>
      <c r="G30" s="254" t="str">
        <f t="shared" si="4"/>
        <v>#REF!</v>
      </c>
      <c r="H30" s="257" t="str">
        <f>'WEBINAR SEMANAL'!L2</f>
        <v>CP AG </v>
      </c>
      <c r="I30" s="256" t="str">
        <f t="shared" si="6"/>
        <v>#REF!</v>
      </c>
      <c r="J30" s="275" t="s">
        <v>306</v>
      </c>
      <c r="K30" s="254" t="str">
        <f t="shared" si="7"/>
        <v>#REF!</v>
      </c>
      <c r="L30" s="257" t="str">
        <f>'WEBINAR SEMANAL'!L2</f>
        <v>CP AG </v>
      </c>
      <c r="M30" s="256" t="str">
        <f t="shared" si="9"/>
        <v>#REF!</v>
      </c>
      <c r="N30" s="276" t="s">
        <v>306</v>
      </c>
      <c r="O30" s="259" t="str">
        <f t="shared" si="10"/>
        <v>#REF!</v>
      </c>
      <c r="P30" s="260" t="str">
        <f>'WEBINAR SEMANAL'!L2</f>
        <v>CP AG </v>
      </c>
      <c r="Q30" s="261" t="str">
        <f t="shared" si="12"/>
        <v>#REF!</v>
      </c>
      <c r="R30" s="277" t="s">
        <v>306</v>
      </c>
      <c r="S30" s="259" t="str">
        <f t="shared" si="13"/>
        <v>#REF!</v>
      </c>
      <c r="T30" s="260" t="str">
        <f>'WEBINAR SEMANAL'!L2</f>
        <v>CP AG </v>
      </c>
      <c r="U30" s="263" t="str">
        <f t="shared" si="15"/>
        <v>#REF!</v>
      </c>
      <c r="V30" s="278" t="s">
        <v>306</v>
      </c>
      <c r="W30" s="259" t="str">
        <f t="shared" si="16"/>
        <v>#REF!</v>
      </c>
      <c r="X30" s="260" t="str">
        <f>'WEBINAR SEMANAL'!L2</f>
        <v>CP AG </v>
      </c>
      <c r="Y30" s="264" t="str">
        <f t="shared" si="18"/>
        <v>#REF!</v>
      </c>
      <c r="Z30" s="275" t="s">
        <v>306</v>
      </c>
      <c r="AA30" s="254" t="str">
        <f t="shared" si="19"/>
        <v>#REF!</v>
      </c>
      <c r="AB30" s="257" t="str">
        <f>'WEBINAR SEMANAL'!L2</f>
        <v>CP AG </v>
      </c>
      <c r="AC30" s="256" t="str">
        <f t="shared" si="21"/>
        <v>#REF!</v>
      </c>
      <c r="AD30" s="275" t="s">
        <v>306</v>
      </c>
      <c r="AE30" s="254" t="str">
        <f t="shared" si="22"/>
        <v>#REF!</v>
      </c>
      <c r="AF30" s="257" t="str">
        <f>'WEBINAR SEMANAL'!L2</f>
        <v>CP AG </v>
      </c>
      <c r="AG30" s="256" t="str">
        <f t="shared" si="24"/>
        <v>#REF!</v>
      </c>
      <c r="AH30" s="275" t="s">
        <v>306</v>
      </c>
      <c r="AI30" s="254" t="str">
        <f t="shared" si="25"/>
        <v>#REF!</v>
      </c>
      <c r="AJ30" s="257" t="str">
        <f>'WEBINAR SEMANAL'!L2</f>
        <v>CP AG </v>
      </c>
      <c r="AK30" s="256" t="str">
        <f t="shared" si="27"/>
        <v>#REF!</v>
      </c>
      <c r="AL30" s="276" t="s">
        <v>306</v>
      </c>
      <c r="AM30" s="259" t="str">
        <f t="shared" si="28"/>
        <v>#REF!</v>
      </c>
      <c r="AN30" s="260" t="str">
        <f>'WEBINAR SEMANAL'!L2</f>
        <v>CP AG </v>
      </c>
      <c r="AO30" s="264" t="str">
        <f t="shared" si="30"/>
        <v>#REF!</v>
      </c>
      <c r="AP30" s="276" t="s">
        <v>306</v>
      </c>
      <c r="AQ30" s="259" t="str">
        <f t="shared" si="31"/>
        <v>#REF!</v>
      </c>
      <c r="AR30" s="260" t="str">
        <f>'WEBINAR SEMANAL'!L2</f>
        <v>CP AG </v>
      </c>
      <c r="AS30" s="264" t="str">
        <f t="shared" si="33"/>
        <v>#REF!</v>
      </c>
      <c r="AT30" s="276" t="s">
        <v>306</v>
      </c>
      <c r="AU30" s="259" t="str">
        <f t="shared" si="34"/>
        <v>#REF!</v>
      </c>
      <c r="AV30" s="260" t="str">
        <f>'WEBINAR SEMANAL'!L2</f>
        <v>CP AG </v>
      </c>
      <c r="AW30" s="264" t="str">
        <f t="shared" si="36"/>
        <v>#REF!</v>
      </c>
    </row>
    <row r="31" ht="22.5" customHeight="1">
      <c r="A31" s="253"/>
      <c r="B31" s="275" t="s">
        <v>307</v>
      </c>
      <c r="C31" s="254" t="str">
        <f t="shared" si="1"/>
        <v>#REF!</v>
      </c>
      <c r="D31" s="255">
        <f>'WEBINAR SEMANAL'!L9</f>
        <v>200</v>
      </c>
      <c r="E31" s="256" t="str">
        <f t="shared" si="3"/>
        <v>#REF!</v>
      </c>
      <c r="F31" s="275" t="s">
        <v>307</v>
      </c>
      <c r="G31" s="254" t="str">
        <f t="shared" si="4"/>
        <v>#REF!</v>
      </c>
      <c r="H31" s="257">
        <f>'WEBINAR SEMANAL'!L9</f>
        <v>200</v>
      </c>
      <c r="I31" s="256" t="str">
        <f t="shared" si="6"/>
        <v>#REF!</v>
      </c>
      <c r="J31" s="275" t="s">
        <v>307</v>
      </c>
      <c r="K31" s="254" t="str">
        <f t="shared" si="7"/>
        <v>#REF!</v>
      </c>
      <c r="L31" s="257">
        <f>'WEBINAR SEMANAL'!L9</f>
        <v>200</v>
      </c>
      <c r="M31" s="256" t="str">
        <f t="shared" si="9"/>
        <v>#REF!</v>
      </c>
      <c r="N31" s="276" t="s">
        <v>307</v>
      </c>
      <c r="O31" s="259" t="str">
        <f t="shared" si="10"/>
        <v>#REF!</v>
      </c>
      <c r="P31" s="260">
        <f>'WEBINAR SEMANAL'!L9</f>
        <v>200</v>
      </c>
      <c r="Q31" s="261" t="str">
        <f t="shared" si="12"/>
        <v>#REF!</v>
      </c>
      <c r="R31" s="277" t="s">
        <v>307</v>
      </c>
      <c r="S31" s="259" t="str">
        <f t="shared" si="13"/>
        <v>#REF!</v>
      </c>
      <c r="T31" s="260">
        <f>'WEBINAR SEMANAL'!L9</f>
        <v>200</v>
      </c>
      <c r="U31" s="263" t="str">
        <f t="shared" si="15"/>
        <v>#REF!</v>
      </c>
      <c r="V31" s="278" t="s">
        <v>307</v>
      </c>
      <c r="W31" s="259" t="str">
        <f t="shared" si="16"/>
        <v>#REF!</v>
      </c>
      <c r="X31" s="260">
        <f>'WEBINAR SEMANAL'!L9</f>
        <v>200</v>
      </c>
      <c r="Y31" s="264" t="str">
        <f t="shared" si="18"/>
        <v>#REF!</v>
      </c>
      <c r="Z31" s="275" t="s">
        <v>307</v>
      </c>
      <c r="AA31" s="254" t="str">
        <f t="shared" si="19"/>
        <v>#REF!</v>
      </c>
      <c r="AB31" s="257">
        <f>'WEBINAR SEMANAL'!L9</f>
        <v>200</v>
      </c>
      <c r="AC31" s="256" t="str">
        <f t="shared" si="21"/>
        <v>#REF!</v>
      </c>
      <c r="AD31" s="275" t="s">
        <v>307</v>
      </c>
      <c r="AE31" s="254" t="str">
        <f t="shared" si="22"/>
        <v>#REF!</v>
      </c>
      <c r="AF31" s="257">
        <f>'WEBINAR SEMANAL'!L9</f>
        <v>200</v>
      </c>
      <c r="AG31" s="256" t="str">
        <f t="shared" si="24"/>
        <v>#REF!</v>
      </c>
      <c r="AH31" s="275" t="s">
        <v>307</v>
      </c>
      <c r="AI31" s="254" t="str">
        <f t="shared" si="25"/>
        <v>#REF!</v>
      </c>
      <c r="AJ31" s="257">
        <f>'WEBINAR SEMANAL'!L9</f>
        <v>200</v>
      </c>
      <c r="AK31" s="256" t="str">
        <f t="shared" si="27"/>
        <v>#REF!</v>
      </c>
      <c r="AL31" s="276" t="s">
        <v>307</v>
      </c>
      <c r="AM31" s="259" t="str">
        <f t="shared" si="28"/>
        <v>#REF!</v>
      </c>
      <c r="AN31" s="260">
        <f>'WEBINAR SEMANAL'!L9</f>
        <v>200</v>
      </c>
      <c r="AO31" s="264" t="str">
        <f t="shared" si="30"/>
        <v>#REF!</v>
      </c>
      <c r="AP31" s="276" t="s">
        <v>307</v>
      </c>
      <c r="AQ31" s="259" t="str">
        <f t="shared" si="31"/>
        <v>#REF!</v>
      </c>
      <c r="AR31" s="260">
        <f>'WEBINAR SEMANAL'!L9</f>
        <v>200</v>
      </c>
      <c r="AS31" s="264" t="str">
        <f t="shared" si="33"/>
        <v>#REF!</v>
      </c>
      <c r="AT31" s="276" t="s">
        <v>307</v>
      </c>
      <c r="AU31" s="259" t="str">
        <f t="shared" si="34"/>
        <v>#REF!</v>
      </c>
      <c r="AV31" s="260">
        <f>'WEBINAR SEMANAL'!L9</f>
        <v>200</v>
      </c>
      <c r="AW31" s="264" t="str">
        <f t="shared" si="36"/>
        <v>#REF!</v>
      </c>
    </row>
    <row r="32" ht="22.5" customHeight="1">
      <c r="A32" s="253"/>
      <c r="B32" s="275" t="s">
        <v>308</v>
      </c>
      <c r="C32" s="254" t="str">
        <f t="shared" si="1"/>
        <v>#REF!</v>
      </c>
      <c r="D32" s="255" t="str">
        <f t="shared" ref="D32:D34" si="49">#REF!</f>
        <v>#REF!</v>
      </c>
      <c r="E32" s="256" t="str">
        <f t="shared" si="3"/>
        <v>#REF!</v>
      </c>
      <c r="F32" s="275" t="s">
        <v>308</v>
      </c>
      <c r="G32" s="254" t="str">
        <f t="shared" si="4"/>
        <v>#REF!</v>
      </c>
      <c r="H32" s="257" t="str">
        <f t="shared" ref="H32:H34" si="50">#REF!</f>
        <v>#REF!</v>
      </c>
      <c r="I32" s="256" t="str">
        <f t="shared" si="6"/>
        <v>#REF!</v>
      </c>
      <c r="J32" s="275" t="s">
        <v>308</v>
      </c>
      <c r="K32" s="254" t="str">
        <f t="shared" si="7"/>
        <v>#REF!</v>
      </c>
      <c r="L32" s="257" t="str">
        <f t="shared" ref="L32:L34" si="51">#REF!</f>
        <v>#REF!</v>
      </c>
      <c r="M32" s="256" t="str">
        <f t="shared" si="9"/>
        <v>#REF!</v>
      </c>
      <c r="N32" s="276" t="s">
        <v>308</v>
      </c>
      <c r="O32" s="259" t="str">
        <f t="shared" si="10"/>
        <v>#REF!</v>
      </c>
      <c r="P32" s="260" t="str">
        <f t="shared" ref="P32:P34" si="52">#REF!</f>
        <v>#REF!</v>
      </c>
      <c r="Q32" s="261" t="str">
        <f t="shared" si="12"/>
        <v>#REF!</v>
      </c>
      <c r="R32" s="277" t="s">
        <v>308</v>
      </c>
      <c r="S32" s="259" t="str">
        <f t="shared" si="13"/>
        <v>#REF!</v>
      </c>
      <c r="T32" s="260" t="str">
        <f t="shared" ref="T32:T34" si="53">#REF!</f>
        <v>#REF!</v>
      </c>
      <c r="U32" s="263" t="str">
        <f t="shared" si="15"/>
        <v>#REF!</v>
      </c>
      <c r="V32" s="278" t="s">
        <v>308</v>
      </c>
      <c r="W32" s="259" t="str">
        <f t="shared" si="16"/>
        <v>#REF!</v>
      </c>
      <c r="X32" s="260" t="str">
        <f t="shared" ref="X32:X34" si="54">#REF!</f>
        <v>#REF!</v>
      </c>
      <c r="Y32" s="264" t="str">
        <f t="shared" si="18"/>
        <v>#REF!</v>
      </c>
      <c r="Z32" s="275" t="s">
        <v>308</v>
      </c>
      <c r="AA32" s="254" t="str">
        <f t="shared" si="19"/>
        <v>#REF!</v>
      </c>
      <c r="AB32" s="257" t="str">
        <f t="shared" ref="AB32:AB34" si="55">#REF!</f>
        <v>#REF!</v>
      </c>
      <c r="AC32" s="256" t="str">
        <f t="shared" si="21"/>
        <v>#REF!</v>
      </c>
      <c r="AD32" s="275" t="s">
        <v>308</v>
      </c>
      <c r="AE32" s="254" t="str">
        <f t="shared" si="22"/>
        <v>#REF!</v>
      </c>
      <c r="AF32" s="257" t="str">
        <f t="shared" ref="AF32:AF34" si="56">#REF!</f>
        <v>#REF!</v>
      </c>
      <c r="AG32" s="256" t="str">
        <f t="shared" si="24"/>
        <v>#REF!</v>
      </c>
      <c r="AH32" s="275" t="s">
        <v>308</v>
      </c>
      <c r="AI32" s="254" t="str">
        <f t="shared" si="25"/>
        <v>#REF!</v>
      </c>
      <c r="AJ32" s="257" t="str">
        <f t="shared" ref="AJ32:AJ34" si="57">#REF!</f>
        <v>#REF!</v>
      </c>
      <c r="AK32" s="256" t="str">
        <f t="shared" si="27"/>
        <v>#REF!</v>
      </c>
      <c r="AL32" s="276" t="s">
        <v>308</v>
      </c>
      <c r="AM32" s="259" t="str">
        <f t="shared" si="28"/>
        <v>#REF!</v>
      </c>
      <c r="AN32" s="260" t="str">
        <f t="shared" ref="AN32:AN34" si="58">#REF!</f>
        <v>#REF!</v>
      </c>
      <c r="AO32" s="264" t="str">
        <f t="shared" si="30"/>
        <v>#REF!</v>
      </c>
      <c r="AP32" s="276" t="s">
        <v>308</v>
      </c>
      <c r="AQ32" s="259" t="str">
        <f t="shared" si="31"/>
        <v>#REF!</v>
      </c>
      <c r="AR32" s="260" t="str">
        <f t="shared" ref="AR32:AR34" si="59">#REF!</f>
        <v>#REF!</v>
      </c>
      <c r="AS32" s="264" t="str">
        <f t="shared" si="33"/>
        <v>#REF!</v>
      </c>
      <c r="AT32" s="276" t="s">
        <v>308</v>
      </c>
      <c r="AU32" s="259" t="str">
        <f t="shared" si="34"/>
        <v>#REF!</v>
      </c>
      <c r="AV32" s="260" t="str">
        <f t="shared" ref="AV32:AV34" si="60">#REF!</f>
        <v>#REF!</v>
      </c>
      <c r="AW32" s="264" t="str">
        <f t="shared" si="36"/>
        <v>#REF!</v>
      </c>
    </row>
    <row r="33" ht="22.5" customHeight="1">
      <c r="A33" s="253"/>
      <c r="B33" s="275" t="s">
        <v>309</v>
      </c>
      <c r="C33" s="254" t="str">
        <f t="shared" si="1"/>
        <v>#REF!</v>
      </c>
      <c r="D33" s="255" t="str">
        <f t="shared" si="49"/>
        <v>#REF!</v>
      </c>
      <c r="E33" s="256" t="str">
        <f t="shared" si="3"/>
        <v>#REF!</v>
      </c>
      <c r="F33" s="275" t="s">
        <v>309</v>
      </c>
      <c r="G33" s="254" t="str">
        <f t="shared" si="4"/>
        <v>#REF!</v>
      </c>
      <c r="H33" s="257" t="str">
        <f t="shared" si="50"/>
        <v>#REF!</v>
      </c>
      <c r="I33" s="256" t="str">
        <f t="shared" si="6"/>
        <v>#REF!</v>
      </c>
      <c r="J33" s="275" t="s">
        <v>309</v>
      </c>
      <c r="K33" s="254" t="str">
        <f t="shared" si="7"/>
        <v>#REF!</v>
      </c>
      <c r="L33" s="257" t="str">
        <f t="shared" si="51"/>
        <v>#REF!</v>
      </c>
      <c r="M33" s="256" t="str">
        <f t="shared" si="9"/>
        <v>#REF!</v>
      </c>
      <c r="N33" s="276" t="s">
        <v>309</v>
      </c>
      <c r="O33" s="259" t="str">
        <f t="shared" si="10"/>
        <v>#REF!</v>
      </c>
      <c r="P33" s="260" t="str">
        <f t="shared" si="52"/>
        <v>#REF!</v>
      </c>
      <c r="Q33" s="261" t="str">
        <f t="shared" si="12"/>
        <v>#REF!</v>
      </c>
      <c r="R33" s="277" t="s">
        <v>309</v>
      </c>
      <c r="S33" s="259" t="str">
        <f t="shared" si="13"/>
        <v>#REF!</v>
      </c>
      <c r="T33" s="260" t="str">
        <f t="shared" si="53"/>
        <v>#REF!</v>
      </c>
      <c r="U33" s="263" t="str">
        <f t="shared" si="15"/>
        <v>#REF!</v>
      </c>
      <c r="V33" s="278" t="s">
        <v>309</v>
      </c>
      <c r="W33" s="259" t="str">
        <f t="shared" si="16"/>
        <v>#REF!</v>
      </c>
      <c r="X33" s="260" t="str">
        <f t="shared" si="54"/>
        <v>#REF!</v>
      </c>
      <c r="Y33" s="264" t="str">
        <f t="shared" si="18"/>
        <v>#REF!</v>
      </c>
      <c r="Z33" s="275" t="s">
        <v>309</v>
      </c>
      <c r="AA33" s="254" t="str">
        <f t="shared" si="19"/>
        <v>#REF!</v>
      </c>
      <c r="AB33" s="257" t="str">
        <f t="shared" si="55"/>
        <v>#REF!</v>
      </c>
      <c r="AC33" s="256" t="str">
        <f t="shared" si="21"/>
        <v>#REF!</v>
      </c>
      <c r="AD33" s="275" t="s">
        <v>309</v>
      </c>
      <c r="AE33" s="254" t="str">
        <f t="shared" si="22"/>
        <v>#REF!</v>
      </c>
      <c r="AF33" s="257" t="str">
        <f t="shared" si="56"/>
        <v>#REF!</v>
      </c>
      <c r="AG33" s="256" t="str">
        <f t="shared" si="24"/>
        <v>#REF!</v>
      </c>
      <c r="AH33" s="275" t="s">
        <v>309</v>
      </c>
      <c r="AI33" s="254" t="str">
        <f t="shared" si="25"/>
        <v>#REF!</v>
      </c>
      <c r="AJ33" s="257" t="str">
        <f t="shared" si="57"/>
        <v>#REF!</v>
      </c>
      <c r="AK33" s="256" t="str">
        <f t="shared" si="27"/>
        <v>#REF!</v>
      </c>
      <c r="AL33" s="276" t="s">
        <v>309</v>
      </c>
      <c r="AM33" s="259" t="str">
        <f t="shared" si="28"/>
        <v>#REF!</v>
      </c>
      <c r="AN33" s="260" t="str">
        <f t="shared" si="58"/>
        <v>#REF!</v>
      </c>
      <c r="AO33" s="264" t="str">
        <f t="shared" si="30"/>
        <v>#REF!</v>
      </c>
      <c r="AP33" s="276" t="s">
        <v>309</v>
      </c>
      <c r="AQ33" s="259" t="str">
        <f t="shared" si="31"/>
        <v>#REF!</v>
      </c>
      <c r="AR33" s="260" t="str">
        <f t="shared" si="59"/>
        <v>#REF!</v>
      </c>
      <c r="AS33" s="264" t="str">
        <f t="shared" si="33"/>
        <v>#REF!</v>
      </c>
      <c r="AT33" s="276" t="s">
        <v>309</v>
      </c>
      <c r="AU33" s="259" t="str">
        <f t="shared" si="34"/>
        <v>#REF!</v>
      </c>
      <c r="AV33" s="260" t="str">
        <f t="shared" si="60"/>
        <v>#REF!</v>
      </c>
      <c r="AW33" s="264" t="str">
        <f t="shared" si="36"/>
        <v>#REF!</v>
      </c>
    </row>
    <row r="34" ht="22.5" customHeight="1">
      <c r="A34" s="253"/>
      <c r="B34" s="275" t="s">
        <v>310</v>
      </c>
      <c r="C34" s="254" t="str">
        <f t="shared" si="1"/>
        <v>#REF!</v>
      </c>
      <c r="D34" s="255" t="str">
        <f t="shared" si="49"/>
        <v>#REF!</v>
      </c>
      <c r="E34" s="256" t="str">
        <f t="shared" si="3"/>
        <v>#REF!</v>
      </c>
      <c r="F34" s="275" t="s">
        <v>310</v>
      </c>
      <c r="G34" s="254" t="str">
        <f t="shared" si="4"/>
        <v>#REF!</v>
      </c>
      <c r="H34" s="257" t="str">
        <f t="shared" si="50"/>
        <v>#REF!</v>
      </c>
      <c r="I34" s="256" t="str">
        <f t="shared" si="6"/>
        <v>#REF!</v>
      </c>
      <c r="J34" s="275" t="s">
        <v>310</v>
      </c>
      <c r="K34" s="254" t="str">
        <f t="shared" si="7"/>
        <v>#REF!</v>
      </c>
      <c r="L34" s="257" t="str">
        <f t="shared" si="51"/>
        <v>#REF!</v>
      </c>
      <c r="M34" s="256" t="str">
        <f t="shared" si="9"/>
        <v>#REF!</v>
      </c>
      <c r="N34" s="276" t="s">
        <v>310</v>
      </c>
      <c r="O34" s="259" t="str">
        <f t="shared" si="10"/>
        <v>#REF!</v>
      </c>
      <c r="P34" s="260" t="str">
        <f t="shared" si="52"/>
        <v>#REF!</v>
      </c>
      <c r="Q34" s="261" t="str">
        <f t="shared" si="12"/>
        <v>#REF!</v>
      </c>
      <c r="R34" s="277" t="s">
        <v>310</v>
      </c>
      <c r="S34" s="259" t="str">
        <f t="shared" si="13"/>
        <v>#REF!</v>
      </c>
      <c r="T34" s="260" t="str">
        <f t="shared" si="53"/>
        <v>#REF!</v>
      </c>
      <c r="U34" s="263" t="str">
        <f t="shared" si="15"/>
        <v>#REF!</v>
      </c>
      <c r="V34" s="278" t="s">
        <v>310</v>
      </c>
      <c r="W34" s="259" t="str">
        <f t="shared" si="16"/>
        <v>#REF!</v>
      </c>
      <c r="X34" s="260" t="str">
        <f t="shared" si="54"/>
        <v>#REF!</v>
      </c>
      <c r="Y34" s="264" t="str">
        <f t="shared" si="18"/>
        <v>#REF!</v>
      </c>
      <c r="Z34" s="275" t="s">
        <v>310</v>
      </c>
      <c r="AA34" s="254" t="str">
        <f t="shared" si="19"/>
        <v>#REF!</v>
      </c>
      <c r="AB34" s="257" t="str">
        <f t="shared" si="55"/>
        <v>#REF!</v>
      </c>
      <c r="AC34" s="256" t="str">
        <f t="shared" si="21"/>
        <v>#REF!</v>
      </c>
      <c r="AD34" s="275" t="s">
        <v>310</v>
      </c>
      <c r="AE34" s="254" t="str">
        <f t="shared" si="22"/>
        <v>#REF!</v>
      </c>
      <c r="AF34" s="257" t="str">
        <f t="shared" si="56"/>
        <v>#REF!</v>
      </c>
      <c r="AG34" s="256" t="str">
        <f t="shared" si="24"/>
        <v>#REF!</v>
      </c>
      <c r="AH34" s="275" t="s">
        <v>310</v>
      </c>
      <c r="AI34" s="254" t="str">
        <f t="shared" si="25"/>
        <v>#REF!</v>
      </c>
      <c r="AJ34" s="257" t="str">
        <f t="shared" si="57"/>
        <v>#REF!</v>
      </c>
      <c r="AK34" s="256" t="str">
        <f t="shared" si="27"/>
        <v>#REF!</v>
      </c>
      <c r="AL34" s="276" t="s">
        <v>310</v>
      </c>
      <c r="AM34" s="259" t="str">
        <f t="shared" si="28"/>
        <v>#REF!</v>
      </c>
      <c r="AN34" s="260" t="str">
        <f t="shared" si="58"/>
        <v>#REF!</v>
      </c>
      <c r="AO34" s="264" t="str">
        <f t="shared" si="30"/>
        <v>#REF!</v>
      </c>
      <c r="AP34" s="276" t="s">
        <v>310</v>
      </c>
      <c r="AQ34" s="259" t="str">
        <f t="shared" si="31"/>
        <v>#REF!</v>
      </c>
      <c r="AR34" s="260" t="str">
        <f t="shared" si="59"/>
        <v>#REF!</v>
      </c>
      <c r="AS34" s="264" t="str">
        <f t="shared" si="33"/>
        <v>#REF!</v>
      </c>
      <c r="AT34" s="276" t="s">
        <v>310</v>
      </c>
      <c r="AU34" s="259" t="str">
        <f t="shared" si="34"/>
        <v>#REF!</v>
      </c>
      <c r="AV34" s="260" t="str">
        <f t="shared" si="60"/>
        <v>#REF!</v>
      </c>
      <c r="AW34" s="264" t="str">
        <f t="shared" si="36"/>
        <v>#REF!</v>
      </c>
    </row>
    <row r="35" ht="22.5" customHeight="1">
      <c r="A35" s="253"/>
      <c r="B35" s="205" t="s">
        <v>311</v>
      </c>
      <c r="D35" s="206" t="str">
        <f>B40+N40+Z40+AL40</f>
        <v>#REF!</v>
      </c>
      <c r="H35" s="207"/>
      <c r="I35" s="207"/>
      <c r="J35" s="207"/>
      <c r="K35" s="207"/>
      <c r="L35" s="207"/>
      <c r="M35" s="207"/>
      <c r="N35" s="201"/>
      <c r="O35" s="201"/>
      <c r="P35" s="201"/>
      <c r="Q35" s="201"/>
      <c r="R35" s="201"/>
      <c r="S35" s="201"/>
      <c r="T35" s="201"/>
      <c r="U35" s="201"/>
      <c r="V35" s="201"/>
      <c r="W35" s="201"/>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row>
    <row r="36" ht="22.5" customHeight="1">
      <c r="A36" s="253"/>
      <c r="H36" s="209"/>
      <c r="I36" s="209"/>
      <c r="J36" s="209"/>
      <c r="K36" s="209"/>
      <c r="L36" s="209"/>
      <c r="M36" s="209"/>
      <c r="N36" s="201"/>
      <c r="O36" s="201"/>
      <c r="P36" s="201"/>
      <c r="Q36" s="201"/>
      <c r="R36" s="201"/>
      <c r="S36" s="201"/>
      <c r="T36" s="201"/>
      <c r="U36" s="201"/>
      <c r="V36" s="201"/>
      <c r="W36" s="201"/>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row>
    <row r="37" ht="22.5" customHeight="1">
      <c r="A37" s="253"/>
      <c r="H37" s="209"/>
      <c r="I37" s="209"/>
      <c r="J37" s="209"/>
      <c r="K37" s="209"/>
      <c r="L37" s="209"/>
      <c r="M37" s="209"/>
      <c r="N37" s="201"/>
      <c r="O37" s="201"/>
      <c r="P37" s="201"/>
      <c r="Q37" s="201"/>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row>
    <row r="38" ht="22.5" customHeight="1">
      <c r="A38" s="253"/>
      <c r="B38" s="207"/>
      <c r="C38" s="208"/>
      <c r="D38" s="208"/>
      <c r="E38" s="208"/>
      <c r="F38" s="209"/>
      <c r="G38" s="209"/>
      <c r="H38" s="209"/>
      <c r="I38" s="209"/>
      <c r="J38" s="209"/>
      <c r="K38" s="209"/>
      <c r="L38" s="209"/>
      <c r="M38" s="209"/>
      <c r="N38" s="201"/>
      <c r="O38" s="201"/>
      <c r="P38" s="201"/>
      <c r="Q38" s="201"/>
      <c r="R38" s="201"/>
      <c r="S38" s="201"/>
      <c r="T38" s="201"/>
      <c r="U38" s="201"/>
      <c r="V38" s="201"/>
      <c r="W38" s="201"/>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row>
    <row r="39" ht="22.5" customHeight="1">
      <c r="A39" s="253"/>
      <c r="B39" s="210" t="s">
        <v>66</v>
      </c>
      <c r="N39" s="211" t="s">
        <v>72</v>
      </c>
      <c r="Z39" s="210" t="s">
        <v>291</v>
      </c>
      <c r="AL39" s="211" t="s">
        <v>292</v>
      </c>
    </row>
    <row r="40" ht="22.5" customHeight="1">
      <c r="A40" s="253"/>
      <c r="B40" s="212" t="str">
        <f>B45+F45+J45</f>
        <v>#REF!</v>
      </c>
      <c r="N40" s="213" t="str">
        <f>N45+R45+V45</f>
        <v>#REF!</v>
      </c>
      <c r="Z40" s="212" t="str">
        <f>Z45+AD45+AH45</f>
        <v>#REF!</v>
      </c>
      <c r="AL40" s="213" t="str">
        <f>AL45+AP45+AT45</f>
        <v>#REF!</v>
      </c>
    </row>
    <row r="41" ht="22.5" customHeight="1">
      <c r="A41" s="253"/>
    </row>
    <row r="42" ht="22.5" customHeight="1">
      <c r="A42" s="253"/>
    </row>
    <row r="43" ht="22.5" customHeight="1">
      <c r="A43" s="253"/>
    </row>
    <row r="44" ht="22.5" customHeight="1">
      <c r="A44" s="253"/>
      <c r="B44" s="207"/>
      <c r="C44" s="208"/>
      <c r="D44" s="208"/>
      <c r="E44" s="208"/>
      <c r="F44" s="214"/>
      <c r="G44" s="214"/>
      <c r="H44" s="214"/>
      <c r="I44" s="214"/>
      <c r="J44" s="214"/>
      <c r="K44" s="214"/>
      <c r="L44" s="214"/>
      <c r="M44" s="214"/>
      <c r="N44" s="215"/>
      <c r="O44" s="215"/>
      <c r="P44" s="215"/>
      <c r="Q44" s="215"/>
      <c r="R44" s="216"/>
      <c r="S44" s="216"/>
      <c r="T44" s="216"/>
      <c r="U44" s="216"/>
      <c r="V44" s="216"/>
      <c r="W44" s="216"/>
      <c r="X44" s="216"/>
      <c r="Y44" s="216"/>
      <c r="Z44" s="207"/>
      <c r="AA44" s="208"/>
      <c r="AB44" s="208"/>
      <c r="AC44" s="208"/>
      <c r="AD44" s="214"/>
      <c r="AE44" s="214"/>
      <c r="AF44" s="214"/>
      <c r="AG44" s="214"/>
      <c r="AH44" s="214"/>
      <c r="AI44" s="214"/>
      <c r="AJ44" s="214"/>
      <c r="AK44" s="214"/>
      <c r="AL44" s="215"/>
      <c r="AM44" s="215"/>
      <c r="AN44" s="215"/>
      <c r="AO44" s="215"/>
      <c r="AP44" s="216"/>
      <c r="AQ44" s="216"/>
      <c r="AR44" s="216"/>
      <c r="AS44" s="216"/>
      <c r="AT44" s="216"/>
      <c r="AU44" s="216"/>
      <c r="AV44" s="216"/>
      <c r="AW44" s="216"/>
    </row>
    <row r="45" ht="22.5" customHeight="1">
      <c r="A45" s="253"/>
      <c r="B45" s="217" t="str">
        <f>sum(E51:E71)</f>
        <v>#REF!</v>
      </c>
      <c r="F45" s="217" t="str">
        <f>sum(I51:I71)</f>
        <v>#REF!</v>
      </c>
      <c r="J45" s="217" t="str">
        <f>sum(M51:M71)</f>
        <v>#REF!</v>
      </c>
      <c r="N45" s="218" t="str">
        <f>SUM(Q51:Q64)</f>
        <v>#REF!</v>
      </c>
      <c r="R45" s="219" t="str">
        <f>SUM(U51:U72)</f>
        <v>#REF!</v>
      </c>
      <c r="S45" s="220"/>
      <c r="T45" s="220"/>
      <c r="U45" s="221"/>
      <c r="V45" s="218">
        <f>SUM(Y51:Y75)</f>
        <v>278704</v>
      </c>
      <c r="Z45" s="217" t="str">
        <f>sum(AC51:AC63)</f>
        <v>#REF!</v>
      </c>
      <c r="AD45" s="217" t="str">
        <f>sum(AG51:AG63)</f>
        <v>#REF!</v>
      </c>
      <c r="AH45" s="217" t="str">
        <f>sum(AK51:AK63)</f>
        <v>#REF!</v>
      </c>
      <c r="AL45" s="218" t="str">
        <f>SUM(AO51:AO63)</f>
        <v>#REF!</v>
      </c>
      <c r="AP45" s="218" t="str">
        <f>SUM(AS51:AS63)</f>
        <v>#REF!</v>
      </c>
      <c r="AT45" s="218" t="str">
        <f>SUM(AW51:AW63)</f>
        <v>#REF!</v>
      </c>
    </row>
    <row r="46" ht="22.5" customHeight="1">
      <c r="A46" s="253"/>
      <c r="R46" s="222"/>
      <c r="U46" s="223"/>
    </row>
    <row r="47" ht="22.5" customHeight="1">
      <c r="A47" s="253"/>
      <c r="B47" s="207"/>
      <c r="C47" s="208"/>
      <c r="D47" s="208"/>
      <c r="E47" s="208"/>
      <c r="F47" s="208"/>
      <c r="G47" s="208"/>
      <c r="H47" s="208"/>
      <c r="I47" s="208"/>
      <c r="J47" s="208"/>
      <c r="K47" s="208"/>
      <c r="L47" s="208"/>
      <c r="M47" s="208"/>
      <c r="N47" s="215"/>
      <c r="O47" s="215"/>
      <c r="P47" s="215"/>
      <c r="Q47" s="215"/>
      <c r="R47" s="224"/>
      <c r="S47" s="215"/>
      <c r="T47" s="215"/>
      <c r="U47" s="225"/>
      <c r="V47" s="215"/>
      <c r="W47" s="215"/>
      <c r="X47" s="215"/>
      <c r="Y47" s="215"/>
      <c r="Z47" s="207"/>
      <c r="AA47" s="208"/>
      <c r="AB47" s="208"/>
      <c r="AC47" s="208"/>
      <c r="AD47" s="208"/>
      <c r="AE47" s="208"/>
      <c r="AF47" s="208"/>
      <c r="AG47" s="208"/>
      <c r="AH47" s="208"/>
      <c r="AI47" s="208"/>
      <c r="AJ47" s="208"/>
      <c r="AK47" s="208"/>
      <c r="AL47" s="215"/>
      <c r="AM47" s="215"/>
      <c r="AN47" s="215"/>
      <c r="AO47" s="215"/>
      <c r="AP47" s="215"/>
      <c r="AQ47" s="215"/>
      <c r="AR47" s="215"/>
      <c r="AS47" s="215"/>
      <c r="AT47" s="215"/>
      <c r="AU47" s="215"/>
      <c r="AV47" s="215"/>
      <c r="AW47" s="215"/>
    </row>
    <row r="48" ht="22.5" customHeight="1">
      <c r="A48" s="253"/>
      <c r="B48" s="207"/>
      <c r="C48" s="208"/>
      <c r="D48" s="208"/>
      <c r="E48" s="208"/>
      <c r="F48" s="208"/>
      <c r="G48" s="208"/>
      <c r="H48" s="208"/>
      <c r="I48" s="208"/>
      <c r="J48" s="208"/>
      <c r="K48" s="208"/>
      <c r="L48" s="208"/>
      <c r="M48" s="208"/>
      <c r="N48" s="226"/>
      <c r="O48" s="226"/>
      <c r="P48" s="226"/>
      <c r="Q48" s="226"/>
      <c r="R48" s="227"/>
      <c r="S48" s="226"/>
      <c r="T48" s="226"/>
      <c r="U48" s="228"/>
      <c r="V48" s="226"/>
      <c r="W48" s="226"/>
      <c r="X48" s="226"/>
      <c r="Y48" s="226"/>
      <c r="Z48" s="207"/>
      <c r="AA48" s="208"/>
      <c r="AB48" s="208"/>
      <c r="AC48" s="208"/>
      <c r="AD48" s="208"/>
      <c r="AE48" s="208"/>
      <c r="AF48" s="208"/>
      <c r="AG48" s="208"/>
      <c r="AH48" s="208"/>
      <c r="AI48" s="208"/>
      <c r="AJ48" s="208"/>
      <c r="AK48" s="208"/>
      <c r="AL48" s="226"/>
      <c r="AM48" s="226"/>
      <c r="AN48" s="226"/>
      <c r="AO48" s="226"/>
      <c r="AP48" s="226"/>
      <c r="AQ48" s="226"/>
      <c r="AR48" s="226"/>
      <c r="AS48" s="226"/>
      <c r="AT48" s="226"/>
      <c r="AU48" s="226"/>
      <c r="AV48" s="226"/>
      <c r="AW48" s="226"/>
    </row>
    <row r="49" ht="22.5" customHeight="1">
      <c r="A49" s="253"/>
      <c r="B49" s="230" t="s">
        <v>58</v>
      </c>
      <c r="C49" s="231"/>
      <c r="D49" s="231"/>
      <c r="E49" s="232"/>
      <c r="F49" s="233" t="s">
        <v>68</v>
      </c>
      <c r="G49" s="234"/>
      <c r="H49" s="234"/>
      <c r="I49" s="235"/>
      <c r="J49" s="233" t="s">
        <v>70</v>
      </c>
      <c r="K49" s="234"/>
      <c r="L49" s="234"/>
      <c r="M49" s="235"/>
      <c r="N49" s="236" t="s">
        <v>71</v>
      </c>
      <c r="O49" s="237"/>
      <c r="P49" s="237"/>
      <c r="Q49" s="238"/>
      <c r="R49" s="239" t="s">
        <v>73</v>
      </c>
      <c r="S49" s="237"/>
      <c r="T49" s="237"/>
      <c r="U49" s="240"/>
      <c r="V49" s="241" t="s">
        <v>74</v>
      </c>
      <c r="W49" s="237"/>
      <c r="X49" s="237"/>
      <c r="Y49" s="238"/>
      <c r="Z49" s="230" t="s">
        <v>293</v>
      </c>
      <c r="AA49" s="231"/>
      <c r="AB49" s="231"/>
      <c r="AC49" s="232"/>
      <c r="AD49" s="233" t="s">
        <v>294</v>
      </c>
      <c r="AE49" s="234"/>
      <c r="AF49" s="234"/>
      <c r="AG49" s="235"/>
      <c r="AH49" s="233" t="s">
        <v>295</v>
      </c>
      <c r="AI49" s="234"/>
      <c r="AJ49" s="234"/>
      <c r="AK49" s="235"/>
      <c r="AL49" s="236" t="s">
        <v>296</v>
      </c>
      <c r="AM49" s="237"/>
      <c r="AN49" s="237"/>
      <c r="AO49" s="238"/>
      <c r="AP49" s="241" t="s">
        <v>297</v>
      </c>
      <c r="AQ49" s="237"/>
      <c r="AR49" s="237"/>
      <c r="AS49" s="238"/>
      <c r="AT49" s="241" t="s">
        <v>298</v>
      </c>
      <c r="AU49" s="237"/>
      <c r="AV49" s="237"/>
      <c r="AW49" s="238"/>
    </row>
    <row r="50" ht="22.5" customHeight="1">
      <c r="A50" s="253"/>
      <c r="B50" s="243" t="s">
        <v>256</v>
      </c>
      <c r="C50" s="243" t="s">
        <v>11</v>
      </c>
      <c r="D50" s="244" t="s">
        <v>60</v>
      </c>
      <c r="E50" s="245" t="s">
        <v>23</v>
      </c>
      <c r="F50" s="243" t="s">
        <v>256</v>
      </c>
      <c r="G50" s="243" t="s">
        <v>11</v>
      </c>
      <c r="H50" s="244" t="s">
        <v>60</v>
      </c>
      <c r="I50" s="245" t="s">
        <v>23</v>
      </c>
      <c r="J50" s="243" t="s">
        <v>256</v>
      </c>
      <c r="K50" s="246" t="s">
        <v>11</v>
      </c>
      <c r="L50" s="244" t="s">
        <v>60</v>
      </c>
      <c r="M50" s="245" t="s">
        <v>23</v>
      </c>
      <c r="N50" s="247" t="s">
        <v>256</v>
      </c>
      <c r="O50" s="248" t="s">
        <v>11</v>
      </c>
      <c r="P50" s="248" t="s">
        <v>60</v>
      </c>
      <c r="Q50" s="249" t="s">
        <v>23</v>
      </c>
      <c r="R50" s="250" t="s">
        <v>256</v>
      </c>
      <c r="S50" s="248" t="s">
        <v>11</v>
      </c>
      <c r="T50" s="248" t="s">
        <v>60</v>
      </c>
      <c r="U50" s="251" t="s">
        <v>23</v>
      </c>
      <c r="V50" s="279" t="s">
        <v>256</v>
      </c>
      <c r="W50" s="279" t="s">
        <v>11</v>
      </c>
      <c r="X50" s="279" t="s">
        <v>60</v>
      </c>
      <c r="Y50" s="280" t="s">
        <v>23</v>
      </c>
      <c r="Z50" s="243" t="s">
        <v>256</v>
      </c>
      <c r="AA50" s="243" t="s">
        <v>11</v>
      </c>
      <c r="AB50" s="244" t="s">
        <v>60</v>
      </c>
      <c r="AC50" s="245" t="s">
        <v>23</v>
      </c>
      <c r="AD50" s="243" t="s">
        <v>256</v>
      </c>
      <c r="AE50" s="243" t="s">
        <v>11</v>
      </c>
      <c r="AF50" s="244" t="s">
        <v>60</v>
      </c>
      <c r="AG50" s="245" t="s">
        <v>23</v>
      </c>
      <c r="AH50" s="243" t="s">
        <v>256</v>
      </c>
      <c r="AI50" s="246" t="s">
        <v>11</v>
      </c>
      <c r="AJ50" s="244" t="s">
        <v>60</v>
      </c>
      <c r="AK50" s="245" t="s">
        <v>23</v>
      </c>
      <c r="AL50" s="247" t="s">
        <v>256</v>
      </c>
      <c r="AM50" s="248" t="s">
        <v>11</v>
      </c>
      <c r="AN50" s="248" t="s">
        <v>60</v>
      </c>
      <c r="AO50" s="252" t="s">
        <v>23</v>
      </c>
      <c r="AP50" s="252" t="s">
        <v>256</v>
      </c>
      <c r="AQ50" s="248" t="s">
        <v>11</v>
      </c>
      <c r="AR50" s="248" t="s">
        <v>60</v>
      </c>
      <c r="AS50" s="252" t="s">
        <v>23</v>
      </c>
      <c r="AT50" s="248" t="s">
        <v>256</v>
      </c>
      <c r="AU50" s="248" t="s">
        <v>11</v>
      </c>
      <c r="AV50" s="248" t="s">
        <v>60</v>
      </c>
      <c r="AW50" s="252" t="s">
        <v>23</v>
      </c>
    </row>
    <row r="51" ht="22.5" customHeight="1">
      <c r="A51" s="253"/>
      <c r="B51" s="56" t="s">
        <v>299</v>
      </c>
      <c r="C51" s="281">
        <v>5.0</v>
      </c>
      <c r="D51" s="257" t="str">
        <f t="shared" ref="D51:D53" si="61">#REF!</f>
        <v>#REF!</v>
      </c>
      <c r="E51" s="256" t="str">
        <f t="shared" ref="E51:E56" si="62">C51*D51</f>
        <v>#REF!</v>
      </c>
      <c r="F51" s="56" t="s">
        <v>299</v>
      </c>
      <c r="G51" s="281">
        <v>5.0</v>
      </c>
      <c r="H51" s="257" t="str">
        <f t="shared" ref="H51:H53" si="63">#REF!</f>
        <v>#REF!</v>
      </c>
      <c r="I51" s="256" t="str">
        <f t="shared" ref="I51:I56" si="64">G51*H51</f>
        <v>#REF!</v>
      </c>
      <c r="J51" s="56" t="s">
        <v>299</v>
      </c>
      <c r="K51" s="281">
        <v>6.0</v>
      </c>
      <c r="L51" s="257" t="str">
        <f t="shared" ref="L51:L53" si="65">#REF!</f>
        <v>#REF!</v>
      </c>
      <c r="M51" s="256" t="str">
        <f t="shared" ref="M51:M56" si="66">K51*L51</f>
        <v>#REF!</v>
      </c>
      <c r="N51" s="258" t="s">
        <v>299</v>
      </c>
      <c r="O51" s="282">
        <v>106.0</v>
      </c>
      <c r="P51" s="260" t="str">
        <f t="shared" ref="P51:P53" si="67">#REF!</f>
        <v>#REF!</v>
      </c>
      <c r="Q51" s="261" t="str">
        <f t="shared" ref="Q51:Q56" si="68">O51*P51</f>
        <v>#REF!</v>
      </c>
      <c r="R51" s="262" t="s">
        <v>299</v>
      </c>
      <c r="S51" s="282">
        <v>88.0</v>
      </c>
      <c r="T51" s="260" t="str">
        <f t="shared" ref="T51:T53" si="69">#REF!</f>
        <v>#REF!</v>
      </c>
      <c r="U51" s="261" t="str">
        <f t="shared" ref="U51:U71" si="70">S51*T51</f>
        <v>#REF!</v>
      </c>
      <c r="V51" s="283" t="s">
        <v>299</v>
      </c>
      <c r="W51" s="284">
        <v>88.0</v>
      </c>
      <c r="X51" s="285">
        <v>47.0</v>
      </c>
      <c r="Y51" s="286">
        <f t="shared" ref="Y51:Y75" si="71">W51*X51</f>
        <v>4136</v>
      </c>
      <c r="Z51" s="56" t="s">
        <v>299</v>
      </c>
      <c r="AA51" s="287">
        <v>0.0</v>
      </c>
      <c r="AB51" s="288" t="str">
        <f t="shared" ref="AB51:AB53" si="72">#REF!</f>
        <v>#REF!</v>
      </c>
      <c r="AC51" s="289" t="str">
        <f t="shared" ref="AC51:AC64" si="73">AA51*AB51</f>
        <v>#REF!</v>
      </c>
      <c r="AD51" s="56" t="s">
        <v>299</v>
      </c>
      <c r="AE51" s="287">
        <v>0.0</v>
      </c>
      <c r="AF51" s="288" t="str">
        <f t="shared" ref="AF51:AF53" si="74">#REF!</f>
        <v>#REF!</v>
      </c>
      <c r="AG51" s="289" t="str">
        <f t="shared" ref="AG51:AG56" si="75">AE51*AF51</f>
        <v>#REF!</v>
      </c>
      <c r="AH51" s="56" t="s">
        <v>299</v>
      </c>
      <c r="AI51" s="287">
        <v>0.0</v>
      </c>
      <c r="AJ51" s="288" t="str">
        <f t="shared" ref="AJ51:AJ53" si="76">#REF!</f>
        <v>#REF!</v>
      </c>
      <c r="AK51" s="289" t="str">
        <f t="shared" ref="AK51:AK56" si="77">AI51*AJ51</f>
        <v>#REF!</v>
      </c>
      <c r="AL51" s="258" t="s">
        <v>299</v>
      </c>
      <c r="AM51" s="282">
        <v>0.0</v>
      </c>
      <c r="AN51" s="260" t="str">
        <f t="shared" ref="AN51:AN53" si="78">#REF!</f>
        <v>#REF!</v>
      </c>
      <c r="AO51" s="264" t="str">
        <f t="shared" ref="AO51:AO56" si="79">AM51*AN51</f>
        <v>#REF!</v>
      </c>
      <c r="AP51" s="258" t="s">
        <v>299</v>
      </c>
      <c r="AQ51" s="282">
        <v>0.0</v>
      </c>
      <c r="AR51" s="260" t="str">
        <f t="shared" ref="AR51:AR53" si="80">#REF!</f>
        <v>#REF!</v>
      </c>
      <c r="AS51" s="264" t="str">
        <f t="shared" ref="AS51:AS56" si="81">AQ51*AR51</f>
        <v>#REF!</v>
      </c>
      <c r="AT51" s="258" t="s">
        <v>299</v>
      </c>
      <c r="AU51" s="282">
        <v>0.0</v>
      </c>
      <c r="AV51" s="260" t="str">
        <f t="shared" ref="AV51:AV53" si="82">#REF!</f>
        <v>#REF!</v>
      </c>
      <c r="AW51" s="264" t="str">
        <f t="shared" ref="AW51:AW56" si="83">AU51*AV51</f>
        <v>#REF!</v>
      </c>
    </row>
    <row r="52" ht="22.5" customHeight="1">
      <c r="A52" s="253"/>
      <c r="B52" s="265" t="s">
        <v>300</v>
      </c>
      <c r="C52" s="281">
        <v>60.0</v>
      </c>
      <c r="D52" s="257" t="str">
        <f t="shared" si="61"/>
        <v>#REF!</v>
      </c>
      <c r="E52" s="256" t="str">
        <f t="shared" si="62"/>
        <v>#REF!</v>
      </c>
      <c r="F52" s="265" t="s">
        <v>300</v>
      </c>
      <c r="G52" s="281">
        <v>39.0</v>
      </c>
      <c r="H52" s="257" t="str">
        <f t="shared" si="63"/>
        <v>#REF!</v>
      </c>
      <c r="I52" s="256" t="str">
        <f t="shared" si="64"/>
        <v>#REF!</v>
      </c>
      <c r="J52" s="265" t="s">
        <v>300</v>
      </c>
      <c r="K52" s="281">
        <v>51.0</v>
      </c>
      <c r="L52" s="257" t="str">
        <f t="shared" si="65"/>
        <v>#REF!</v>
      </c>
      <c r="M52" s="256" t="str">
        <f t="shared" si="66"/>
        <v>#REF!</v>
      </c>
      <c r="N52" s="266" t="s">
        <v>300</v>
      </c>
      <c r="O52" s="282">
        <v>45.0</v>
      </c>
      <c r="P52" s="260" t="str">
        <f t="shared" si="67"/>
        <v>#REF!</v>
      </c>
      <c r="Q52" s="261" t="str">
        <f t="shared" si="68"/>
        <v>#REF!</v>
      </c>
      <c r="R52" s="267" t="s">
        <v>300</v>
      </c>
      <c r="S52" s="282">
        <v>62.0</v>
      </c>
      <c r="T52" s="260" t="str">
        <f t="shared" si="69"/>
        <v>#REF!</v>
      </c>
      <c r="U52" s="261" t="str">
        <f t="shared" si="70"/>
        <v>#REF!</v>
      </c>
      <c r="V52" s="290" t="s">
        <v>300</v>
      </c>
      <c r="W52" s="291">
        <v>9.0</v>
      </c>
      <c r="X52" s="292">
        <v>47.0</v>
      </c>
      <c r="Y52" s="293">
        <f t="shared" si="71"/>
        <v>423</v>
      </c>
      <c r="Z52" s="294" t="s">
        <v>300</v>
      </c>
      <c r="AA52" s="287">
        <v>0.0</v>
      </c>
      <c r="AB52" s="288" t="str">
        <f t="shared" si="72"/>
        <v>#REF!</v>
      </c>
      <c r="AC52" s="289" t="str">
        <f t="shared" si="73"/>
        <v>#REF!</v>
      </c>
      <c r="AD52" s="265" t="s">
        <v>300</v>
      </c>
      <c r="AE52" s="287">
        <v>0.0</v>
      </c>
      <c r="AF52" s="288" t="str">
        <f t="shared" si="74"/>
        <v>#REF!</v>
      </c>
      <c r="AG52" s="289" t="str">
        <f t="shared" si="75"/>
        <v>#REF!</v>
      </c>
      <c r="AH52" s="265" t="s">
        <v>300</v>
      </c>
      <c r="AI52" s="287">
        <v>0.0</v>
      </c>
      <c r="AJ52" s="288" t="str">
        <f t="shared" si="76"/>
        <v>#REF!</v>
      </c>
      <c r="AK52" s="289" t="str">
        <f t="shared" si="77"/>
        <v>#REF!</v>
      </c>
      <c r="AL52" s="266" t="s">
        <v>300</v>
      </c>
      <c r="AM52" s="282">
        <v>0.0</v>
      </c>
      <c r="AN52" s="260" t="str">
        <f t="shared" si="78"/>
        <v>#REF!</v>
      </c>
      <c r="AO52" s="264" t="str">
        <f t="shared" si="79"/>
        <v>#REF!</v>
      </c>
      <c r="AP52" s="266" t="s">
        <v>300</v>
      </c>
      <c r="AQ52" s="282">
        <v>0.0</v>
      </c>
      <c r="AR52" s="260" t="str">
        <f t="shared" si="80"/>
        <v>#REF!</v>
      </c>
      <c r="AS52" s="264" t="str">
        <f t="shared" si="81"/>
        <v>#REF!</v>
      </c>
      <c r="AT52" s="266" t="s">
        <v>300</v>
      </c>
      <c r="AU52" s="282">
        <v>0.0</v>
      </c>
      <c r="AV52" s="260" t="str">
        <f t="shared" si="82"/>
        <v>#REF!</v>
      </c>
      <c r="AW52" s="264" t="str">
        <f t="shared" si="83"/>
        <v>#REF!</v>
      </c>
    </row>
    <row r="53" ht="22.5" customHeight="1">
      <c r="A53" s="253"/>
      <c r="B53" s="265" t="s">
        <v>301</v>
      </c>
      <c r="C53" s="281">
        <v>33.0</v>
      </c>
      <c r="D53" s="257" t="str">
        <f t="shared" si="61"/>
        <v>#REF!</v>
      </c>
      <c r="E53" s="256" t="str">
        <f t="shared" si="62"/>
        <v>#REF!</v>
      </c>
      <c r="F53" s="265" t="s">
        <v>301</v>
      </c>
      <c r="G53" s="281">
        <v>218.0</v>
      </c>
      <c r="H53" s="257" t="str">
        <f t="shared" si="63"/>
        <v>#REF!</v>
      </c>
      <c r="I53" s="256" t="str">
        <f t="shared" si="64"/>
        <v>#REF!</v>
      </c>
      <c r="J53" s="265" t="s">
        <v>301</v>
      </c>
      <c r="K53" s="281">
        <v>13.0</v>
      </c>
      <c r="L53" s="257" t="str">
        <f t="shared" si="65"/>
        <v>#REF!</v>
      </c>
      <c r="M53" s="256" t="str">
        <f t="shared" si="66"/>
        <v>#REF!</v>
      </c>
      <c r="N53" s="266" t="s">
        <v>301</v>
      </c>
      <c r="O53" s="282">
        <v>41.0</v>
      </c>
      <c r="P53" s="260" t="str">
        <f t="shared" si="67"/>
        <v>#REF!</v>
      </c>
      <c r="Q53" s="261" t="str">
        <f t="shared" si="68"/>
        <v>#REF!</v>
      </c>
      <c r="R53" s="267" t="s">
        <v>301</v>
      </c>
      <c r="S53" s="282">
        <v>44.0</v>
      </c>
      <c r="T53" s="260" t="str">
        <f t="shared" si="69"/>
        <v>#REF!</v>
      </c>
      <c r="U53" s="261" t="str">
        <f t="shared" si="70"/>
        <v>#REF!</v>
      </c>
      <c r="V53" s="295" t="s">
        <v>301</v>
      </c>
      <c r="W53" s="284">
        <v>74.0</v>
      </c>
      <c r="X53" s="285">
        <v>47.0</v>
      </c>
      <c r="Y53" s="286">
        <f t="shared" si="71"/>
        <v>3478</v>
      </c>
      <c r="Z53" s="294" t="s">
        <v>301</v>
      </c>
      <c r="AA53" s="287">
        <v>0.0</v>
      </c>
      <c r="AB53" s="288" t="str">
        <f t="shared" si="72"/>
        <v>#REF!</v>
      </c>
      <c r="AC53" s="289" t="str">
        <f t="shared" si="73"/>
        <v>#REF!</v>
      </c>
      <c r="AD53" s="265" t="s">
        <v>301</v>
      </c>
      <c r="AE53" s="287">
        <v>0.0</v>
      </c>
      <c r="AF53" s="288" t="str">
        <f t="shared" si="74"/>
        <v>#REF!</v>
      </c>
      <c r="AG53" s="289" t="str">
        <f t="shared" si="75"/>
        <v>#REF!</v>
      </c>
      <c r="AH53" s="265" t="s">
        <v>301</v>
      </c>
      <c r="AI53" s="287">
        <v>0.0</v>
      </c>
      <c r="AJ53" s="288" t="str">
        <f t="shared" si="76"/>
        <v>#REF!</v>
      </c>
      <c r="AK53" s="289" t="str">
        <f t="shared" si="77"/>
        <v>#REF!</v>
      </c>
      <c r="AL53" s="266" t="s">
        <v>301</v>
      </c>
      <c r="AM53" s="282">
        <v>0.0</v>
      </c>
      <c r="AN53" s="260" t="str">
        <f t="shared" si="78"/>
        <v>#REF!</v>
      </c>
      <c r="AO53" s="264" t="str">
        <f t="shared" si="79"/>
        <v>#REF!</v>
      </c>
      <c r="AP53" s="266" t="s">
        <v>301</v>
      </c>
      <c r="AQ53" s="282">
        <v>0.0</v>
      </c>
      <c r="AR53" s="260" t="str">
        <f t="shared" si="80"/>
        <v>#REF!</v>
      </c>
      <c r="AS53" s="264" t="str">
        <f t="shared" si="81"/>
        <v>#REF!</v>
      </c>
      <c r="AT53" s="266" t="s">
        <v>301</v>
      </c>
      <c r="AU53" s="282">
        <v>0.0</v>
      </c>
      <c r="AV53" s="260" t="str">
        <f t="shared" si="82"/>
        <v>#REF!</v>
      </c>
      <c r="AW53" s="264" t="str">
        <f t="shared" si="83"/>
        <v>#REF!</v>
      </c>
    </row>
    <row r="54" ht="22.5" customHeight="1">
      <c r="A54" s="253"/>
      <c r="B54" s="265" t="s">
        <v>302</v>
      </c>
      <c r="C54" s="281">
        <v>229.0</v>
      </c>
      <c r="D54" s="257">
        <f>'WEBINAR SEMANAL'!L8</f>
        <v>200</v>
      </c>
      <c r="E54" s="256">
        <f t="shared" si="62"/>
        <v>45800</v>
      </c>
      <c r="F54" s="265" t="s">
        <v>302</v>
      </c>
      <c r="G54" s="281">
        <v>250.0</v>
      </c>
      <c r="H54" s="257">
        <f>'WEBINAR SEMANAL'!L8</f>
        <v>200</v>
      </c>
      <c r="I54" s="256">
        <f t="shared" si="64"/>
        <v>50000</v>
      </c>
      <c r="J54" s="265" t="s">
        <v>302</v>
      </c>
      <c r="K54" s="281">
        <v>257.0</v>
      </c>
      <c r="L54" s="257">
        <f>'WEBINAR SEMANAL'!L8</f>
        <v>200</v>
      </c>
      <c r="M54" s="256">
        <f t="shared" si="66"/>
        <v>51400</v>
      </c>
      <c r="N54" s="266" t="s">
        <v>302</v>
      </c>
      <c r="O54" s="282">
        <v>399.0</v>
      </c>
      <c r="P54" s="260">
        <f>'WEBINAR SEMANAL'!L8</f>
        <v>200</v>
      </c>
      <c r="Q54" s="261">
        <f t="shared" si="68"/>
        <v>79800</v>
      </c>
      <c r="R54" s="267" t="s">
        <v>302</v>
      </c>
      <c r="S54" s="282">
        <v>377.0</v>
      </c>
      <c r="T54" s="260">
        <f>'WEBINAR SEMANAL'!L8</f>
        <v>200</v>
      </c>
      <c r="U54" s="261">
        <f t="shared" si="70"/>
        <v>75400</v>
      </c>
      <c r="V54" s="295" t="s">
        <v>302</v>
      </c>
      <c r="W54" s="284">
        <v>283.0</v>
      </c>
      <c r="X54" s="285">
        <v>37.0</v>
      </c>
      <c r="Y54" s="286">
        <f t="shared" si="71"/>
        <v>10471</v>
      </c>
      <c r="Z54" s="294" t="s">
        <v>302</v>
      </c>
      <c r="AA54" s="287">
        <v>0.0</v>
      </c>
      <c r="AB54" s="288">
        <f>'WEBINAR SEMANAL'!L8</f>
        <v>200</v>
      </c>
      <c r="AC54" s="289">
        <f t="shared" si="73"/>
        <v>0</v>
      </c>
      <c r="AD54" s="265" t="s">
        <v>302</v>
      </c>
      <c r="AE54" s="287">
        <v>0.0</v>
      </c>
      <c r="AF54" s="288">
        <f>'WEBINAR SEMANAL'!L8</f>
        <v>200</v>
      </c>
      <c r="AG54" s="289">
        <f t="shared" si="75"/>
        <v>0</v>
      </c>
      <c r="AH54" s="265" t="s">
        <v>302</v>
      </c>
      <c r="AI54" s="287">
        <v>0.0</v>
      </c>
      <c r="AJ54" s="288">
        <f>'WEBINAR SEMANAL'!L8</f>
        <v>200</v>
      </c>
      <c r="AK54" s="289">
        <f t="shared" si="77"/>
        <v>0</v>
      </c>
      <c r="AL54" s="266" t="s">
        <v>302</v>
      </c>
      <c r="AM54" s="282">
        <v>0.0</v>
      </c>
      <c r="AN54" s="260">
        <f>'WEBINAR SEMANAL'!L8</f>
        <v>200</v>
      </c>
      <c r="AO54" s="264">
        <f t="shared" si="79"/>
        <v>0</v>
      </c>
      <c r="AP54" s="266" t="s">
        <v>302</v>
      </c>
      <c r="AQ54" s="282">
        <v>0.0</v>
      </c>
      <c r="AR54" s="260">
        <f>'WEBINAR SEMANAL'!L8</f>
        <v>200</v>
      </c>
      <c r="AS54" s="264">
        <f t="shared" si="81"/>
        <v>0</v>
      </c>
      <c r="AT54" s="266" t="s">
        <v>302</v>
      </c>
      <c r="AU54" s="282">
        <v>0.0</v>
      </c>
      <c r="AV54" s="260">
        <f>'WEBINAR SEMANAL'!L8</f>
        <v>200</v>
      </c>
      <c r="AW54" s="264">
        <f t="shared" si="83"/>
        <v>0</v>
      </c>
    </row>
    <row r="55" ht="22.5" customHeight="1">
      <c r="A55" s="253"/>
      <c r="B55" s="265" t="s">
        <v>303</v>
      </c>
      <c r="C55" s="281">
        <v>0.0</v>
      </c>
      <c r="D55" s="257">
        <f>'WEBINAR SEMANAL'!L11</f>
        <v>200</v>
      </c>
      <c r="E55" s="256">
        <f t="shared" si="62"/>
        <v>0</v>
      </c>
      <c r="F55" s="265" t="s">
        <v>303</v>
      </c>
      <c r="G55" s="281">
        <v>0.0</v>
      </c>
      <c r="H55" s="257">
        <f>'WEBINAR SEMANAL'!L11</f>
        <v>200</v>
      </c>
      <c r="I55" s="256">
        <f t="shared" si="64"/>
        <v>0</v>
      </c>
      <c r="J55" s="265" t="s">
        <v>303</v>
      </c>
      <c r="K55" s="281">
        <v>0.0</v>
      </c>
      <c r="L55" s="257">
        <f>'WEBINAR SEMANAL'!L11</f>
        <v>200</v>
      </c>
      <c r="M55" s="256">
        <f t="shared" si="66"/>
        <v>0</v>
      </c>
      <c r="N55" s="266" t="s">
        <v>303</v>
      </c>
      <c r="O55" s="282">
        <v>285.0</v>
      </c>
      <c r="P55" s="260">
        <f>'WEBINAR SEMANAL'!L11</f>
        <v>200</v>
      </c>
      <c r="Q55" s="261">
        <f t="shared" si="68"/>
        <v>57000</v>
      </c>
      <c r="R55" s="267" t="s">
        <v>303</v>
      </c>
      <c r="S55" s="282">
        <v>410.0</v>
      </c>
      <c r="T55" s="260">
        <f>'WEBINAR SEMANAL'!L11</f>
        <v>200</v>
      </c>
      <c r="U55" s="261">
        <f t="shared" si="70"/>
        <v>82000</v>
      </c>
      <c r="V55" s="295" t="s">
        <v>303</v>
      </c>
      <c r="W55" s="284">
        <v>312.0</v>
      </c>
      <c r="X55" s="285">
        <f>'WEBINAR SEMANAL'!L11</f>
        <v>200</v>
      </c>
      <c r="Y55" s="286">
        <f t="shared" si="71"/>
        <v>62400</v>
      </c>
      <c r="Z55" s="294" t="s">
        <v>303</v>
      </c>
      <c r="AA55" s="287">
        <v>0.0</v>
      </c>
      <c r="AB55" s="288">
        <f>'WEBINAR SEMANAL'!L11</f>
        <v>200</v>
      </c>
      <c r="AC55" s="289">
        <f t="shared" si="73"/>
        <v>0</v>
      </c>
      <c r="AD55" s="265" t="s">
        <v>303</v>
      </c>
      <c r="AE55" s="287">
        <v>0.0</v>
      </c>
      <c r="AF55" s="288">
        <f>'WEBINAR SEMANAL'!L11</f>
        <v>200</v>
      </c>
      <c r="AG55" s="289">
        <f t="shared" si="75"/>
        <v>0</v>
      </c>
      <c r="AH55" s="265" t="s">
        <v>303</v>
      </c>
      <c r="AI55" s="287">
        <v>0.0</v>
      </c>
      <c r="AJ55" s="288">
        <f>'WEBINAR SEMANAL'!L11</f>
        <v>200</v>
      </c>
      <c r="AK55" s="289">
        <f t="shared" si="77"/>
        <v>0</v>
      </c>
      <c r="AL55" s="266" t="s">
        <v>303</v>
      </c>
      <c r="AM55" s="282">
        <v>0.0</v>
      </c>
      <c r="AN55" s="260">
        <f>'WEBINAR SEMANAL'!L11</f>
        <v>200</v>
      </c>
      <c r="AO55" s="264">
        <f t="shared" si="79"/>
        <v>0</v>
      </c>
      <c r="AP55" s="266" t="s">
        <v>303</v>
      </c>
      <c r="AQ55" s="282">
        <v>0.0</v>
      </c>
      <c r="AR55" s="260">
        <f>'WEBINAR SEMANAL'!L11</f>
        <v>200</v>
      </c>
      <c r="AS55" s="264">
        <f t="shared" si="81"/>
        <v>0</v>
      </c>
      <c r="AT55" s="266" t="s">
        <v>303</v>
      </c>
      <c r="AU55" s="282">
        <v>0.0</v>
      </c>
      <c r="AV55" s="260">
        <f>'WEBINAR SEMANAL'!L11</f>
        <v>200</v>
      </c>
      <c r="AW55" s="264">
        <f t="shared" si="83"/>
        <v>0</v>
      </c>
    </row>
    <row r="56" ht="22.5" customHeight="1">
      <c r="A56" s="253"/>
      <c r="B56" s="265" t="s">
        <v>277</v>
      </c>
      <c r="C56" s="281">
        <v>126.0</v>
      </c>
      <c r="D56" s="257" t="str">
        <f>#REF!</f>
        <v>#REF!</v>
      </c>
      <c r="E56" s="256" t="str">
        <f t="shared" si="62"/>
        <v>#REF!</v>
      </c>
      <c r="F56" s="265" t="s">
        <v>277</v>
      </c>
      <c r="G56" s="281">
        <v>93.0</v>
      </c>
      <c r="H56" s="257" t="str">
        <f>#REF!</f>
        <v>#REF!</v>
      </c>
      <c r="I56" s="256" t="str">
        <f t="shared" si="64"/>
        <v>#REF!</v>
      </c>
      <c r="J56" s="265" t="s">
        <v>277</v>
      </c>
      <c r="K56" s="281">
        <v>115.0</v>
      </c>
      <c r="L56" s="257" t="str">
        <f>#REF!</f>
        <v>#REF!</v>
      </c>
      <c r="M56" s="256" t="str">
        <f t="shared" si="66"/>
        <v>#REF!</v>
      </c>
      <c r="N56" s="266" t="s">
        <v>277</v>
      </c>
      <c r="O56" s="282">
        <v>103.0</v>
      </c>
      <c r="P56" s="260" t="str">
        <f>#REF!</f>
        <v>#REF!</v>
      </c>
      <c r="Q56" s="261" t="str">
        <f t="shared" si="68"/>
        <v>#REF!</v>
      </c>
      <c r="R56" s="296" t="s">
        <v>277</v>
      </c>
      <c r="S56" s="297">
        <v>115.0</v>
      </c>
      <c r="T56" s="298" t="str">
        <f>#REF!</f>
        <v>#REF!</v>
      </c>
      <c r="U56" s="298" t="str">
        <f t="shared" si="70"/>
        <v>#REF!</v>
      </c>
      <c r="V56" s="299" t="s">
        <v>277</v>
      </c>
      <c r="W56" s="300">
        <v>120.0</v>
      </c>
      <c r="X56" s="301">
        <v>397.0</v>
      </c>
      <c r="Y56" s="301">
        <f t="shared" si="71"/>
        <v>47640</v>
      </c>
      <c r="Z56" s="294" t="s">
        <v>277</v>
      </c>
      <c r="AA56" s="287">
        <v>0.0</v>
      </c>
      <c r="AB56" s="288" t="str">
        <f>#REF!</f>
        <v>#REF!</v>
      </c>
      <c r="AC56" s="289" t="str">
        <f t="shared" si="73"/>
        <v>#REF!</v>
      </c>
      <c r="AD56" s="265" t="s">
        <v>277</v>
      </c>
      <c r="AE56" s="287">
        <v>0.0</v>
      </c>
      <c r="AF56" s="288" t="str">
        <f>#REF!</f>
        <v>#REF!</v>
      </c>
      <c r="AG56" s="289" t="str">
        <f t="shared" si="75"/>
        <v>#REF!</v>
      </c>
      <c r="AH56" s="265" t="s">
        <v>277</v>
      </c>
      <c r="AI56" s="287">
        <v>0.0</v>
      </c>
      <c r="AJ56" s="288" t="str">
        <f>#REF!</f>
        <v>#REF!</v>
      </c>
      <c r="AK56" s="289" t="str">
        <f t="shared" si="77"/>
        <v>#REF!</v>
      </c>
      <c r="AL56" s="266" t="s">
        <v>277</v>
      </c>
      <c r="AM56" s="282">
        <v>0.0</v>
      </c>
      <c r="AN56" s="260" t="str">
        <f>#REF!</f>
        <v>#REF!</v>
      </c>
      <c r="AO56" s="264" t="str">
        <f t="shared" si="79"/>
        <v>#REF!</v>
      </c>
      <c r="AP56" s="266" t="s">
        <v>277</v>
      </c>
      <c r="AQ56" s="282">
        <v>0.0</v>
      </c>
      <c r="AR56" s="260" t="str">
        <f>#REF!</f>
        <v>#REF!</v>
      </c>
      <c r="AS56" s="264" t="str">
        <f t="shared" si="81"/>
        <v>#REF!</v>
      </c>
      <c r="AT56" s="266" t="s">
        <v>277</v>
      </c>
      <c r="AU56" s="282">
        <v>0.0</v>
      </c>
      <c r="AV56" s="260" t="str">
        <f>#REF!</f>
        <v>#REF!</v>
      </c>
      <c r="AW56" s="264" t="str">
        <f t="shared" si="83"/>
        <v>#REF!</v>
      </c>
    </row>
    <row r="57" ht="22.5" customHeight="1">
      <c r="A57" s="253"/>
      <c r="B57" s="265"/>
      <c r="C57" s="281"/>
      <c r="D57" s="257"/>
      <c r="E57" s="256"/>
      <c r="F57" s="265"/>
      <c r="G57" s="281"/>
      <c r="H57" s="257"/>
      <c r="I57" s="256"/>
      <c r="J57" s="265"/>
      <c r="K57" s="281"/>
      <c r="L57" s="257"/>
      <c r="M57" s="256"/>
      <c r="N57" s="266"/>
      <c r="O57" s="282"/>
      <c r="P57" s="260"/>
      <c r="Q57" s="261"/>
      <c r="R57" s="296" t="s">
        <v>312</v>
      </c>
      <c r="S57" s="297">
        <v>249.0</v>
      </c>
      <c r="T57" s="298">
        <v>197.0</v>
      </c>
      <c r="U57" s="298">
        <f t="shared" si="70"/>
        <v>49053</v>
      </c>
      <c r="V57" s="299" t="s">
        <v>312</v>
      </c>
      <c r="W57" s="300">
        <v>0.0</v>
      </c>
      <c r="X57" s="302">
        <v>197.0</v>
      </c>
      <c r="Y57" s="301">
        <f t="shared" si="71"/>
        <v>0</v>
      </c>
      <c r="Z57" s="294" t="s">
        <v>312</v>
      </c>
      <c r="AA57" s="287">
        <v>0.0</v>
      </c>
      <c r="AB57" s="288">
        <v>197.0</v>
      </c>
      <c r="AC57" s="289">
        <f t="shared" si="73"/>
        <v>0</v>
      </c>
      <c r="AD57" s="265"/>
      <c r="AE57" s="287"/>
      <c r="AF57" s="288"/>
      <c r="AG57" s="289"/>
      <c r="AH57" s="265"/>
      <c r="AI57" s="287"/>
      <c r="AJ57" s="288"/>
      <c r="AK57" s="289"/>
      <c r="AL57" s="266"/>
      <c r="AM57" s="282"/>
      <c r="AN57" s="260"/>
      <c r="AO57" s="264"/>
      <c r="AP57" s="266"/>
      <c r="AQ57" s="282"/>
      <c r="AR57" s="260"/>
      <c r="AS57" s="264"/>
      <c r="AT57" s="266"/>
      <c r="AU57" s="282"/>
      <c r="AV57" s="260"/>
      <c r="AW57" s="264"/>
    </row>
    <row r="58" ht="22.5" customHeight="1">
      <c r="A58" s="253"/>
      <c r="B58" s="265"/>
      <c r="C58" s="281"/>
      <c r="D58" s="257"/>
      <c r="E58" s="256"/>
      <c r="F58" s="265"/>
      <c r="G58" s="281"/>
      <c r="H58" s="257"/>
      <c r="I58" s="256"/>
      <c r="J58" s="265"/>
      <c r="K58" s="281"/>
      <c r="L58" s="257"/>
      <c r="M58" s="256"/>
      <c r="N58" s="266"/>
      <c r="O58" s="282"/>
      <c r="P58" s="260"/>
      <c r="Q58" s="261"/>
      <c r="R58" s="296" t="s">
        <v>312</v>
      </c>
      <c r="S58" s="297">
        <v>15.0</v>
      </c>
      <c r="T58" s="298">
        <v>297.0</v>
      </c>
      <c r="U58" s="298">
        <f t="shared" si="70"/>
        <v>4455</v>
      </c>
      <c r="V58" s="299" t="s">
        <v>312</v>
      </c>
      <c r="W58" s="300">
        <v>78.0</v>
      </c>
      <c r="X58" s="301">
        <v>297.0</v>
      </c>
      <c r="Y58" s="301">
        <f t="shared" si="71"/>
        <v>23166</v>
      </c>
      <c r="Z58" s="294" t="s">
        <v>312</v>
      </c>
      <c r="AA58" s="287">
        <v>0.0</v>
      </c>
      <c r="AB58" s="288">
        <v>297.0</v>
      </c>
      <c r="AC58" s="289">
        <f t="shared" si="73"/>
        <v>0</v>
      </c>
      <c r="AD58" s="265"/>
      <c r="AE58" s="287"/>
      <c r="AF58" s="288"/>
      <c r="AG58" s="289"/>
      <c r="AH58" s="265"/>
      <c r="AI58" s="287"/>
      <c r="AJ58" s="288"/>
      <c r="AK58" s="289"/>
      <c r="AL58" s="266"/>
      <c r="AM58" s="282"/>
      <c r="AN58" s="260"/>
      <c r="AO58" s="264"/>
      <c r="AP58" s="266"/>
      <c r="AQ58" s="282"/>
      <c r="AR58" s="260"/>
      <c r="AS58" s="264"/>
      <c r="AT58" s="266"/>
      <c r="AU58" s="282"/>
      <c r="AV58" s="260"/>
      <c r="AW58" s="264"/>
    </row>
    <row r="59" ht="22.5" customHeight="1">
      <c r="A59" s="253"/>
      <c r="B59" s="265" t="s">
        <v>260</v>
      </c>
      <c r="C59" s="281">
        <v>3.0</v>
      </c>
      <c r="D59" s="257" t="str">
        <f t="shared" ref="D59:D60" si="84">#REF!</f>
        <v>#REF!</v>
      </c>
      <c r="E59" s="256" t="str">
        <f t="shared" ref="E59:E64" si="85">C59*D59</f>
        <v>#REF!</v>
      </c>
      <c r="F59" s="265" t="s">
        <v>260</v>
      </c>
      <c r="G59" s="281">
        <v>2.0</v>
      </c>
      <c r="H59" s="257" t="str">
        <f t="shared" ref="H59:H60" si="86">#REF!</f>
        <v>#REF!</v>
      </c>
      <c r="I59" s="256" t="str">
        <f t="shared" ref="I59:I64" si="87">G59*H59</f>
        <v>#REF!</v>
      </c>
      <c r="J59" s="265" t="s">
        <v>260</v>
      </c>
      <c r="K59" s="281">
        <v>0.0</v>
      </c>
      <c r="L59" s="257" t="str">
        <f t="shared" ref="L59:L60" si="88">#REF!</f>
        <v>#REF!</v>
      </c>
      <c r="M59" s="256" t="str">
        <f t="shared" ref="M59:M64" si="89">K59*L59</f>
        <v>#REF!</v>
      </c>
      <c r="N59" s="266" t="s">
        <v>260</v>
      </c>
      <c r="O59" s="282">
        <v>228.0</v>
      </c>
      <c r="P59" s="260" t="str">
        <f t="shared" ref="P59:P60" si="90">#REF!</f>
        <v>#REF!</v>
      </c>
      <c r="Q59" s="261" t="str">
        <f t="shared" ref="Q59:Q64" si="91">O59*P59</f>
        <v>#REF!</v>
      </c>
      <c r="R59" s="267" t="s">
        <v>260</v>
      </c>
      <c r="S59" s="282">
        <v>0.0</v>
      </c>
      <c r="T59" s="260" t="str">
        <f t="shared" ref="T59:T60" si="92">#REF!</f>
        <v>#REF!</v>
      </c>
      <c r="U59" s="261" t="str">
        <f t="shared" si="70"/>
        <v>#REF!</v>
      </c>
      <c r="V59" s="295" t="s">
        <v>260</v>
      </c>
      <c r="W59" s="284">
        <v>1.0</v>
      </c>
      <c r="X59" s="285">
        <v>997.0</v>
      </c>
      <c r="Y59" s="286">
        <f t="shared" si="71"/>
        <v>997</v>
      </c>
      <c r="Z59" s="294" t="s">
        <v>260</v>
      </c>
      <c r="AA59" s="287">
        <v>0.0</v>
      </c>
      <c r="AB59" s="288" t="str">
        <f t="shared" ref="AB59:AB60" si="93">#REF!</f>
        <v>#REF!</v>
      </c>
      <c r="AC59" s="289" t="str">
        <f t="shared" si="73"/>
        <v>#REF!</v>
      </c>
      <c r="AD59" s="265" t="s">
        <v>260</v>
      </c>
      <c r="AE59" s="287">
        <v>0.0</v>
      </c>
      <c r="AF59" s="288" t="str">
        <f t="shared" ref="AF59:AF60" si="94">#REF!</f>
        <v>#REF!</v>
      </c>
      <c r="AG59" s="289" t="str">
        <f t="shared" ref="AG59:AG64" si="95">AE59*AF59</f>
        <v>#REF!</v>
      </c>
      <c r="AH59" s="265" t="s">
        <v>260</v>
      </c>
      <c r="AI59" s="287">
        <v>0.0</v>
      </c>
      <c r="AJ59" s="288" t="str">
        <f t="shared" ref="AJ59:AJ60" si="96">#REF!</f>
        <v>#REF!</v>
      </c>
      <c r="AK59" s="289" t="str">
        <f t="shared" ref="AK59:AK64" si="97">AI59*AJ59</f>
        <v>#REF!</v>
      </c>
      <c r="AL59" s="266" t="s">
        <v>260</v>
      </c>
      <c r="AM59" s="282">
        <v>0.0</v>
      </c>
      <c r="AN59" s="260" t="str">
        <f t="shared" ref="AN59:AN60" si="98">#REF!</f>
        <v>#REF!</v>
      </c>
      <c r="AO59" s="264" t="str">
        <f t="shared" ref="AO59:AO64" si="99">AM59*AN59</f>
        <v>#REF!</v>
      </c>
      <c r="AP59" s="266" t="s">
        <v>260</v>
      </c>
      <c r="AQ59" s="282">
        <v>0.0</v>
      </c>
      <c r="AR59" s="260" t="str">
        <f t="shared" ref="AR59:AR60" si="100">#REF!</f>
        <v>#REF!</v>
      </c>
      <c r="AS59" s="264" t="str">
        <f t="shared" ref="AS59:AS64" si="101">AQ59*AR59</f>
        <v>#REF!</v>
      </c>
      <c r="AT59" s="266" t="s">
        <v>260</v>
      </c>
      <c r="AU59" s="282">
        <v>0.0</v>
      </c>
      <c r="AV59" s="260" t="str">
        <f t="shared" ref="AV59:AV60" si="102">#REF!</f>
        <v>#REF!</v>
      </c>
      <c r="AW59" s="264" t="str">
        <f t="shared" ref="AW59:AW64" si="103">AU59*AV59</f>
        <v>#REF!</v>
      </c>
    </row>
    <row r="60" ht="22.5" customHeight="1">
      <c r="A60" s="253"/>
      <c r="B60" s="265" t="s">
        <v>275</v>
      </c>
      <c r="C60" s="281">
        <v>3.0</v>
      </c>
      <c r="D60" s="257" t="str">
        <f t="shared" si="84"/>
        <v>#REF!</v>
      </c>
      <c r="E60" s="256" t="str">
        <f t="shared" si="85"/>
        <v>#REF!</v>
      </c>
      <c r="F60" s="265" t="s">
        <v>275</v>
      </c>
      <c r="G60" s="281">
        <v>0.0</v>
      </c>
      <c r="H60" s="257" t="str">
        <f t="shared" si="86"/>
        <v>#REF!</v>
      </c>
      <c r="I60" s="256" t="str">
        <f t="shared" si="87"/>
        <v>#REF!</v>
      </c>
      <c r="J60" s="265" t="s">
        <v>275</v>
      </c>
      <c r="K60" s="281">
        <v>4.0</v>
      </c>
      <c r="L60" s="257" t="str">
        <f t="shared" si="88"/>
        <v>#REF!</v>
      </c>
      <c r="M60" s="256" t="str">
        <f t="shared" si="89"/>
        <v>#REF!</v>
      </c>
      <c r="N60" s="266" t="s">
        <v>275</v>
      </c>
      <c r="O60" s="282">
        <v>1.0</v>
      </c>
      <c r="P60" s="260" t="str">
        <f t="shared" si="90"/>
        <v>#REF!</v>
      </c>
      <c r="Q60" s="261" t="str">
        <f t="shared" si="91"/>
        <v>#REF!</v>
      </c>
      <c r="R60" s="267" t="s">
        <v>275</v>
      </c>
      <c r="S60" s="282">
        <v>0.0</v>
      </c>
      <c r="T60" s="260" t="str">
        <f t="shared" si="92"/>
        <v>#REF!</v>
      </c>
      <c r="U60" s="261" t="str">
        <f t="shared" si="70"/>
        <v>#REF!</v>
      </c>
      <c r="V60" s="295" t="s">
        <v>275</v>
      </c>
      <c r="W60" s="284">
        <v>4.0</v>
      </c>
      <c r="X60" s="285">
        <v>197.0</v>
      </c>
      <c r="Y60" s="286">
        <f t="shared" si="71"/>
        <v>788</v>
      </c>
      <c r="Z60" s="294" t="s">
        <v>275</v>
      </c>
      <c r="AA60" s="287">
        <v>0.0</v>
      </c>
      <c r="AB60" s="288" t="str">
        <f t="shared" si="93"/>
        <v>#REF!</v>
      </c>
      <c r="AC60" s="289" t="str">
        <f t="shared" si="73"/>
        <v>#REF!</v>
      </c>
      <c r="AD60" s="265" t="s">
        <v>275</v>
      </c>
      <c r="AE60" s="287">
        <v>0.0</v>
      </c>
      <c r="AF60" s="288" t="str">
        <f t="shared" si="94"/>
        <v>#REF!</v>
      </c>
      <c r="AG60" s="289" t="str">
        <f t="shared" si="95"/>
        <v>#REF!</v>
      </c>
      <c r="AH60" s="265" t="s">
        <v>275</v>
      </c>
      <c r="AI60" s="287">
        <v>0.0</v>
      </c>
      <c r="AJ60" s="288" t="str">
        <f t="shared" si="96"/>
        <v>#REF!</v>
      </c>
      <c r="AK60" s="289" t="str">
        <f t="shared" si="97"/>
        <v>#REF!</v>
      </c>
      <c r="AL60" s="266" t="s">
        <v>275</v>
      </c>
      <c r="AM60" s="282">
        <v>0.0</v>
      </c>
      <c r="AN60" s="260" t="str">
        <f t="shared" si="98"/>
        <v>#REF!</v>
      </c>
      <c r="AO60" s="264" t="str">
        <f t="shared" si="99"/>
        <v>#REF!</v>
      </c>
      <c r="AP60" s="266" t="s">
        <v>275</v>
      </c>
      <c r="AQ60" s="282">
        <v>0.0</v>
      </c>
      <c r="AR60" s="260" t="str">
        <f t="shared" si="100"/>
        <v>#REF!</v>
      </c>
      <c r="AS60" s="264" t="str">
        <f t="shared" si="101"/>
        <v>#REF!</v>
      </c>
      <c r="AT60" s="266" t="s">
        <v>275</v>
      </c>
      <c r="AU60" s="282">
        <v>0.0</v>
      </c>
      <c r="AV60" s="260" t="str">
        <f t="shared" si="102"/>
        <v>#REF!</v>
      </c>
      <c r="AW60" s="264" t="str">
        <f t="shared" si="103"/>
        <v>#REF!</v>
      </c>
    </row>
    <row r="61" ht="22.5" customHeight="1">
      <c r="A61" s="253"/>
      <c r="B61" s="265" t="s">
        <v>304</v>
      </c>
      <c r="C61" s="281">
        <v>88.0</v>
      </c>
      <c r="D61" s="257">
        <f>'WEBINAR SEMANAL'!L10</f>
        <v>200</v>
      </c>
      <c r="E61" s="256">
        <f t="shared" si="85"/>
        <v>17600</v>
      </c>
      <c r="F61" s="265" t="s">
        <v>304</v>
      </c>
      <c r="G61" s="281">
        <v>73.0</v>
      </c>
      <c r="H61" s="257">
        <f>'WEBINAR SEMANAL'!L10</f>
        <v>200</v>
      </c>
      <c r="I61" s="256">
        <f t="shared" si="87"/>
        <v>14600</v>
      </c>
      <c r="J61" s="265" t="s">
        <v>304</v>
      </c>
      <c r="K61" s="281">
        <v>87.0</v>
      </c>
      <c r="L61" s="257">
        <f>'WEBINAR SEMANAL'!L10</f>
        <v>200</v>
      </c>
      <c r="M61" s="256">
        <f t="shared" si="89"/>
        <v>17400</v>
      </c>
      <c r="N61" s="266" t="s">
        <v>304</v>
      </c>
      <c r="O61" s="282">
        <v>142.0</v>
      </c>
      <c r="P61" s="260">
        <f>'WEBINAR SEMANAL'!L10</f>
        <v>200</v>
      </c>
      <c r="Q61" s="261">
        <f t="shared" si="91"/>
        <v>28400</v>
      </c>
      <c r="R61" s="267" t="s">
        <v>304</v>
      </c>
      <c r="S61" s="282">
        <v>151.0</v>
      </c>
      <c r="T61" s="260">
        <f>'WEBINAR SEMANAL'!L10</f>
        <v>200</v>
      </c>
      <c r="U61" s="261">
        <f t="shared" si="70"/>
        <v>30200</v>
      </c>
      <c r="V61" s="295" t="s">
        <v>304</v>
      </c>
      <c r="W61" s="284">
        <v>161.0</v>
      </c>
      <c r="X61" s="285">
        <v>97.0</v>
      </c>
      <c r="Y61" s="286">
        <f t="shared" si="71"/>
        <v>15617</v>
      </c>
      <c r="Z61" s="294" t="s">
        <v>304</v>
      </c>
      <c r="AA61" s="287">
        <v>0.0</v>
      </c>
      <c r="AB61" s="288">
        <f>'WEBINAR SEMANAL'!L10</f>
        <v>200</v>
      </c>
      <c r="AC61" s="289">
        <f t="shared" si="73"/>
        <v>0</v>
      </c>
      <c r="AD61" s="265" t="s">
        <v>304</v>
      </c>
      <c r="AE61" s="287">
        <v>0.0</v>
      </c>
      <c r="AF61" s="288">
        <f>'WEBINAR SEMANAL'!L10</f>
        <v>200</v>
      </c>
      <c r="AG61" s="289">
        <f t="shared" si="95"/>
        <v>0</v>
      </c>
      <c r="AH61" s="265" t="s">
        <v>304</v>
      </c>
      <c r="AI61" s="287">
        <v>0.0</v>
      </c>
      <c r="AJ61" s="288">
        <f>'WEBINAR SEMANAL'!L10</f>
        <v>200</v>
      </c>
      <c r="AK61" s="289">
        <f t="shared" si="97"/>
        <v>0</v>
      </c>
      <c r="AL61" s="266" t="s">
        <v>304</v>
      </c>
      <c r="AM61" s="282">
        <v>0.0</v>
      </c>
      <c r="AN61" s="260">
        <f>'WEBINAR SEMANAL'!L10</f>
        <v>200</v>
      </c>
      <c r="AO61" s="264">
        <f t="shared" si="99"/>
        <v>0</v>
      </c>
      <c r="AP61" s="266" t="s">
        <v>304</v>
      </c>
      <c r="AQ61" s="282">
        <v>0.0</v>
      </c>
      <c r="AR61" s="260">
        <f>'WEBINAR SEMANAL'!L10</f>
        <v>200</v>
      </c>
      <c r="AS61" s="264">
        <f t="shared" si="101"/>
        <v>0</v>
      </c>
      <c r="AT61" s="266" t="s">
        <v>304</v>
      </c>
      <c r="AU61" s="282">
        <v>0.0</v>
      </c>
      <c r="AV61" s="260">
        <f>'WEBINAR SEMANAL'!L10</f>
        <v>200</v>
      </c>
      <c r="AW61" s="264">
        <f t="shared" si="103"/>
        <v>0</v>
      </c>
    </row>
    <row r="62" ht="22.5" customHeight="1">
      <c r="A62" s="253"/>
      <c r="B62" s="269" t="s">
        <v>305</v>
      </c>
      <c r="C62" s="281">
        <v>14.0</v>
      </c>
      <c r="D62" s="257" t="str">
        <f>#REF!</f>
        <v>#REF!</v>
      </c>
      <c r="E62" s="256" t="str">
        <f t="shared" si="85"/>
        <v>#REF!</v>
      </c>
      <c r="F62" s="269" t="s">
        <v>305</v>
      </c>
      <c r="G62" s="281">
        <v>8.0</v>
      </c>
      <c r="H62" s="257" t="str">
        <f>#REF!</f>
        <v>#REF!</v>
      </c>
      <c r="I62" s="256" t="str">
        <f t="shared" si="87"/>
        <v>#REF!</v>
      </c>
      <c r="J62" s="269" t="s">
        <v>305</v>
      </c>
      <c r="K62" s="281">
        <v>7.0</v>
      </c>
      <c r="L62" s="257" t="str">
        <f>#REF!</f>
        <v>#REF!</v>
      </c>
      <c r="M62" s="256" t="str">
        <f t="shared" si="89"/>
        <v>#REF!</v>
      </c>
      <c r="N62" s="270" t="s">
        <v>305</v>
      </c>
      <c r="O62" s="282">
        <v>18.0</v>
      </c>
      <c r="P62" s="260" t="str">
        <f>#REF!</f>
        <v>#REF!</v>
      </c>
      <c r="Q62" s="261" t="str">
        <f t="shared" si="91"/>
        <v>#REF!</v>
      </c>
      <c r="R62" s="271" t="s">
        <v>305</v>
      </c>
      <c r="S62" s="282">
        <v>21.0</v>
      </c>
      <c r="T62" s="260" t="str">
        <f>#REF!</f>
        <v>#REF!</v>
      </c>
      <c r="U62" s="261" t="str">
        <f t="shared" si="70"/>
        <v>#REF!</v>
      </c>
      <c r="V62" s="303" t="s">
        <v>305</v>
      </c>
      <c r="W62" s="284">
        <v>18.0</v>
      </c>
      <c r="X62" s="285">
        <v>97.0</v>
      </c>
      <c r="Y62" s="286">
        <f t="shared" si="71"/>
        <v>1746</v>
      </c>
      <c r="Z62" s="304" t="s">
        <v>305</v>
      </c>
      <c r="AA62" s="287">
        <v>0.0</v>
      </c>
      <c r="AB62" s="288" t="str">
        <f>#REF!</f>
        <v>#REF!</v>
      </c>
      <c r="AC62" s="289" t="str">
        <f t="shared" si="73"/>
        <v>#REF!</v>
      </c>
      <c r="AD62" s="269" t="s">
        <v>305</v>
      </c>
      <c r="AE62" s="287">
        <v>0.0</v>
      </c>
      <c r="AF62" s="288" t="str">
        <f>#REF!</f>
        <v>#REF!</v>
      </c>
      <c r="AG62" s="289" t="str">
        <f t="shared" si="95"/>
        <v>#REF!</v>
      </c>
      <c r="AH62" s="269" t="s">
        <v>305</v>
      </c>
      <c r="AI62" s="287">
        <v>0.0</v>
      </c>
      <c r="AJ62" s="288" t="str">
        <f>#REF!</f>
        <v>#REF!</v>
      </c>
      <c r="AK62" s="289" t="str">
        <f t="shared" si="97"/>
        <v>#REF!</v>
      </c>
      <c r="AL62" s="270" t="s">
        <v>305</v>
      </c>
      <c r="AM62" s="282">
        <v>0.0</v>
      </c>
      <c r="AN62" s="260" t="str">
        <f>#REF!</f>
        <v>#REF!</v>
      </c>
      <c r="AO62" s="264" t="str">
        <f t="shared" si="99"/>
        <v>#REF!</v>
      </c>
      <c r="AP62" s="270" t="s">
        <v>305</v>
      </c>
      <c r="AQ62" s="282">
        <v>0.0</v>
      </c>
      <c r="AR62" s="260" t="str">
        <f>#REF!</f>
        <v>#REF!</v>
      </c>
      <c r="AS62" s="264" t="str">
        <f t="shared" si="101"/>
        <v>#REF!</v>
      </c>
      <c r="AT62" s="270" t="s">
        <v>305</v>
      </c>
      <c r="AU62" s="282">
        <v>0.0</v>
      </c>
      <c r="AV62" s="260" t="str">
        <f>#REF!</f>
        <v>#REF!</v>
      </c>
      <c r="AW62" s="264" t="str">
        <f t="shared" si="103"/>
        <v>#REF!</v>
      </c>
    </row>
    <row r="63" ht="22.5" customHeight="1">
      <c r="A63" s="253"/>
      <c r="B63" s="269" t="s">
        <v>279</v>
      </c>
      <c r="C63" s="281">
        <v>95.0</v>
      </c>
      <c r="D63" s="257">
        <f>'WEBINAR SEMANAL'!L3</f>
        <v>200</v>
      </c>
      <c r="E63" s="256">
        <f t="shared" si="85"/>
        <v>19000</v>
      </c>
      <c r="F63" s="269" t="s">
        <v>279</v>
      </c>
      <c r="G63" s="281">
        <v>218.0</v>
      </c>
      <c r="H63" s="257">
        <f>'WEBINAR SEMANAL'!L3</f>
        <v>200</v>
      </c>
      <c r="I63" s="256">
        <f t="shared" si="87"/>
        <v>43600</v>
      </c>
      <c r="J63" s="269" t="s">
        <v>279</v>
      </c>
      <c r="K63" s="281">
        <v>46.0</v>
      </c>
      <c r="L63" s="257">
        <f>'WEBINAR SEMANAL'!L3</f>
        <v>200</v>
      </c>
      <c r="M63" s="256">
        <f t="shared" si="89"/>
        <v>9200</v>
      </c>
      <c r="N63" s="270" t="s">
        <v>279</v>
      </c>
      <c r="O63" s="282">
        <v>69.0</v>
      </c>
      <c r="P63" s="260">
        <f>'WEBINAR SEMANAL'!L3</f>
        <v>200</v>
      </c>
      <c r="Q63" s="261">
        <f t="shared" si="91"/>
        <v>13800</v>
      </c>
      <c r="R63" s="271" t="s">
        <v>279</v>
      </c>
      <c r="S63" s="282">
        <v>101.0</v>
      </c>
      <c r="T63" s="260">
        <f>'WEBINAR SEMANAL'!L3</f>
        <v>200</v>
      </c>
      <c r="U63" s="261">
        <f t="shared" si="70"/>
        <v>20200</v>
      </c>
      <c r="V63" s="305" t="s">
        <v>279</v>
      </c>
      <c r="W63" s="306">
        <v>77.0</v>
      </c>
      <c r="X63" s="307">
        <v>397.0</v>
      </c>
      <c r="Y63" s="308">
        <f t="shared" si="71"/>
        <v>30569</v>
      </c>
      <c r="Z63" s="304" t="s">
        <v>279</v>
      </c>
      <c r="AA63" s="287">
        <v>0.0</v>
      </c>
      <c r="AB63" s="288">
        <f>'WEBINAR SEMANAL'!L3</f>
        <v>200</v>
      </c>
      <c r="AC63" s="289">
        <f t="shared" si="73"/>
        <v>0</v>
      </c>
      <c r="AD63" s="269" t="s">
        <v>279</v>
      </c>
      <c r="AE63" s="287">
        <v>0.0</v>
      </c>
      <c r="AF63" s="288">
        <f>'WEBINAR SEMANAL'!L3</f>
        <v>200</v>
      </c>
      <c r="AG63" s="289">
        <f t="shared" si="95"/>
        <v>0</v>
      </c>
      <c r="AH63" s="269" t="s">
        <v>279</v>
      </c>
      <c r="AI63" s="287">
        <v>0.0</v>
      </c>
      <c r="AJ63" s="288">
        <f>'WEBINAR SEMANAL'!L3</f>
        <v>200</v>
      </c>
      <c r="AK63" s="289">
        <f t="shared" si="97"/>
        <v>0</v>
      </c>
      <c r="AL63" s="270" t="s">
        <v>279</v>
      </c>
      <c r="AM63" s="282">
        <v>0.0</v>
      </c>
      <c r="AN63" s="260">
        <f>'WEBINAR SEMANAL'!L3</f>
        <v>200</v>
      </c>
      <c r="AO63" s="264">
        <f t="shared" si="99"/>
        <v>0</v>
      </c>
      <c r="AP63" s="270" t="s">
        <v>279</v>
      </c>
      <c r="AQ63" s="282">
        <v>0.0</v>
      </c>
      <c r="AR63" s="260">
        <f>'WEBINAR SEMANAL'!L3</f>
        <v>200</v>
      </c>
      <c r="AS63" s="264">
        <f t="shared" si="101"/>
        <v>0</v>
      </c>
      <c r="AT63" s="270" t="s">
        <v>279</v>
      </c>
      <c r="AU63" s="282">
        <v>0.0</v>
      </c>
      <c r="AV63" s="260">
        <f>'WEBINAR SEMANAL'!L3</f>
        <v>200</v>
      </c>
      <c r="AW63" s="264">
        <f t="shared" si="103"/>
        <v>0</v>
      </c>
    </row>
    <row r="64" ht="22.5" customHeight="1">
      <c r="A64" s="253"/>
      <c r="B64" s="273" t="s">
        <v>281</v>
      </c>
      <c r="C64" s="281">
        <v>5.0</v>
      </c>
      <c r="D64" s="257">
        <f>'WEBINAR SEMANAL'!L5</f>
        <v>200</v>
      </c>
      <c r="E64" s="256">
        <f t="shared" si="85"/>
        <v>1000</v>
      </c>
      <c r="F64" s="273" t="s">
        <v>281</v>
      </c>
      <c r="G64" s="281">
        <v>9.0</v>
      </c>
      <c r="H64" s="257">
        <f>'WEBINAR SEMANAL'!L5</f>
        <v>200</v>
      </c>
      <c r="I64" s="256">
        <f t="shared" si="87"/>
        <v>1800</v>
      </c>
      <c r="J64" s="273" t="s">
        <v>281</v>
      </c>
      <c r="K64" s="281">
        <v>13.0</v>
      </c>
      <c r="L64" s="257">
        <f>'WEBINAR SEMANAL'!L5</f>
        <v>200</v>
      </c>
      <c r="M64" s="256">
        <f t="shared" si="89"/>
        <v>2600</v>
      </c>
      <c r="N64" s="309" t="s">
        <v>281</v>
      </c>
      <c r="O64" s="282">
        <v>10.0</v>
      </c>
      <c r="P64" s="260">
        <f>'WEBINAR SEMANAL'!L5</f>
        <v>200</v>
      </c>
      <c r="Q64" s="261">
        <f t="shared" si="91"/>
        <v>2000</v>
      </c>
      <c r="R64" s="310" t="s">
        <v>281</v>
      </c>
      <c r="S64" s="282">
        <v>21.0</v>
      </c>
      <c r="T64" s="260">
        <f>'WEBINAR SEMANAL'!L5</f>
        <v>200</v>
      </c>
      <c r="U64" s="261">
        <f t="shared" si="70"/>
        <v>4200</v>
      </c>
      <c r="V64" s="305" t="s">
        <v>313</v>
      </c>
      <c r="W64" s="306">
        <v>6.0</v>
      </c>
      <c r="X64" s="307">
        <v>297.0</v>
      </c>
      <c r="Y64" s="308">
        <f t="shared" si="71"/>
        <v>1782</v>
      </c>
      <c r="Z64" s="311" t="s">
        <v>281</v>
      </c>
      <c r="AA64" s="287">
        <v>0.0</v>
      </c>
      <c r="AB64" s="288">
        <f>'WEBINAR SEMANAL'!L5</f>
        <v>200</v>
      </c>
      <c r="AC64" s="289">
        <f t="shared" si="73"/>
        <v>0</v>
      </c>
      <c r="AD64" s="273" t="s">
        <v>281</v>
      </c>
      <c r="AE64" s="287">
        <v>0.0</v>
      </c>
      <c r="AF64" s="288">
        <f>'WEBINAR SEMANAL'!L5</f>
        <v>200</v>
      </c>
      <c r="AG64" s="289">
        <f t="shared" si="95"/>
        <v>0</v>
      </c>
      <c r="AH64" s="273" t="s">
        <v>281</v>
      </c>
      <c r="AI64" s="287">
        <v>0.0</v>
      </c>
      <c r="AJ64" s="288">
        <f>'WEBINAR SEMANAL'!L5</f>
        <v>200</v>
      </c>
      <c r="AK64" s="289">
        <f t="shared" si="97"/>
        <v>0</v>
      </c>
      <c r="AL64" s="309" t="s">
        <v>281</v>
      </c>
      <c r="AM64" s="282">
        <v>0.0</v>
      </c>
      <c r="AN64" s="260">
        <f>'WEBINAR SEMANAL'!L5</f>
        <v>200</v>
      </c>
      <c r="AO64" s="264">
        <f t="shared" si="99"/>
        <v>0</v>
      </c>
      <c r="AP64" s="309" t="s">
        <v>281</v>
      </c>
      <c r="AQ64" s="282">
        <v>0.0</v>
      </c>
      <c r="AR64" s="260">
        <f>'WEBINAR SEMANAL'!L5</f>
        <v>200</v>
      </c>
      <c r="AS64" s="264">
        <f t="shared" si="101"/>
        <v>0</v>
      </c>
      <c r="AT64" s="309" t="s">
        <v>281</v>
      </c>
      <c r="AU64" s="282">
        <v>0.0</v>
      </c>
      <c r="AV64" s="260">
        <f>'WEBINAR SEMANAL'!L5</f>
        <v>200</v>
      </c>
      <c r="AW64" s="264">
        <f t="shared" si="103"/>
        <v>0</v>
      </c>
    </row>
    <row r="65" ht="22.5" customHeight="1">
      <c r="A65" s="253"/>
      <c r="B65" s="312"/>
      <c r="C65" s="281"/>
      <c r="D65" s="257"/>
      <c r="E65" s="256"/>
      <c r="F65" s="312"/>
      <c r="G65" s="281"/>
      <c r="H65" s="257"/>
      <c r="I65" s="256"/>
      <c r="J65" s="312"/>
      <c r="K65" s="281"/>
      <c r="L65" s="257"/>
      <c r="M65" s="256"/>
      <c r="N65" s="309"/>
      <c r="O65" s="282"/>
      <c r="P65" s="260"/>
      <c r="Q65" s="261"/>
      <c r="R65" s="310" t="s">
        <v>314</v>
      </c>
      <c r="S65" s="282">
        <v>40.0</v>
      </c>
      <c r="T65" s="260">
        <v>297.0</v>
      </c>
      <c r="U65" s="261">
        <f t="shared" si="70"/>
        <v>11880</v>
      </c>
      <c r="V65" s="305" t="s">
        <v>313</v>
      </c>
      <c r="W65" s="306">
        <v>105.0</v>
      </c>
      <c r="X65" s="307">
        <v>197.0</v>
      </c>
      <c r="Y65" s="308">
        <f t="shared" si="71"/>
        <v>20685</v>
      </c>
      <c r="Z65" s="313"/>
      <c r="AA65" s="287"/>
      <c r="AB65" s="288"/>
      <c r="AC65" s="289"/>
      <c r="AD65" s="312"/>
      <c r="AE65" s="287"/>
      <c r="AF65" s="288"/>
      <c r="AG65" s="289"/>
      <c r="AH65" s="312"/>
      <c r="AI65" s="287"/>
      <c r="AJ65" s="288"/>
      <c r="AK65" s="289"/>
      <c r="AL65" s="314"/>
      <c r="AM65" s="282"/>
      <c r="AN65" s="260"/>
      <c r="AO65" s="264"/>
      <c r="AP65" s="314"/>
      <c r="AQ65" s="282"/>
      <c r="AR65" s="260"/>
      <c r="AS65" s="264"/>
      <c r="AT65" s="314"/>
      <c r="AU65" s="282"/>
      <c r="AV65" s="260"/>
      <c r="AW65" s="264"/>
    </row>
    <row r="66" ht="22.5" customHeight="1">
      <c r="A66" s="253"/>
      <c r="B66" s="275" t="s">
        <v>306</v>
      </c>
      <c r="C66" s="281">
        <v>0.0</v>
      </c>
      <c r="D66" s="257" t="str">
        <f>'WEBINAR SEMANAL'!L2</f>
        <v>CP AG </v>
      </c>
      <c r="E66" s="256" t="str">
        <f t="shared" ref="E66:E70" si="104">C66*D66</f>
        <v>#VALUE!</v>
      </c>
      <c r="F66" s="275" t="s">
        <v>306</v>
      </c>
      <c r="G66" s="281">
        <v>0.0</v>
      </c>
      <c r="H66" s="257" t="str">
        <f>'WEBINAR SEMANAL'!L2</f>
        <v>CP AG </v>
      </c>
      <c r="I66" s="256" t="str">
        <f t="shared" ref="I66:I70" si="105">G66*H66</f>
        <v>#VALUE!</v>
      </c>
      <c r="J66" s="275" t="s">
        <v>306</v>
      </c>
      <c r="K66" s="281">
        <v>0.0</v>
      </c>
      <c r="L66" s="257" t="str">
        <f>'WEBINAR SEMANAL'!L2</f>
        <v>CP AG </v>
      </c>
      <c r="M66" s="256" t="str">
        <f t="shared" ref="M66:M70" si="106">K66*L66</f>
        <v>#VALUE!</v>
      </c>
      <c r="N66" s="276" t="s">
        <v>306</v>
      </c>
      <c r="O66" s="282">
        <v>0.0</v>
      </c>
      <c r="P66" s="260" t="str">
        <f>'WEBINAR SEMANAL'!L2</f>
        <v>CP AG </v>
      </c>
      <c r="Q66" s="261" t="str">
        <f t="shared" ref="Q66:Q70" si="107">O66*P66</f>
        <v>#VALUE!</v>
      </c>
      <c r="R66" s="310" t="s">
        <v>314</v>
      </c>
      <c r="S66" s="282">
        <v>49.0</v>
      </c>
      <c r="T66" s="260">
        <v>197.0</v>
      </c>
      <c r="U66" s="261">
        <f t="shared" si="70"/>
        <v>9653</v>
      </c>
      <c r="V66" s="303" t="s">
        <v>315</v>
      </c>
      <c r="W66" s="284">
        <v>18.0</v>
      </c>
      <c r="X66" s="285">
        <v>197.0</v>
      </c>
      <c r="Y66" s="286">
        <f t="shared" si="71"/>
        <v>3546</v>
      </c>
      <c r="Z66" s="315" t="s">
        <v>306</v>
      </c>
      <c r="AA66" s="287">
        <v>0.0</v>
      </c>
      <c r="AB66" s="288" t="str">
        <f>'WEBINAR SEMANAL'!L2</f>
        <v>CP AG </v>
      </c>
      <c r="AC66" s="289" t="str">
        <f t="shared" ref="AC66:AC70" si="108">AA66*AB66</f>
        <v>#VALUE!</v>
      </c>
      <c r="AD66" s="275" t="s">
        <v>306</v>
      </c>
      <c r="AE66" s="287">
        <v>0.0</v>
      </c>
      <c r="AF66" s="288" t="str">
        <f>'WEBINAR SEMANAL'!L2</f>
        <v>CP AG </v>
      </c>
      <c r="AG66" s="289" t="str">
        <f t="shared" ref="AG66:AG70" si="109">AE66*AF66</f>
        <v>#VALUE!</v>
      </c>
      <c r="AH66" s="275" t="s">
        <v>306</v>
      </c>
      <c r="AI66" s="287">
        <v>0.0</v>
      </c>
      <c r="AJ66" s="288" t="str">
        <f>'WEBINAR SEMANAL'!L2</f>
        <v>CP AG </v>
      </c>
      <c r="AK66" s="289" t="str">
        <f t="shared" ref="AK66:AK70" si="110">AI66*AJ66</f>
        <v>#VALUE!</v>
      </c>
      <c r="AL66" s="276" t="s">
        <v>306</v>
      </c>
      <c r="AM66" s="282">
        <v>0.0</v>
      </c>
      <c r="AN66" s="260" t="str">
        <f>'WEBINAR SEMANAL'!L2</f>
        <v>CP AG </v>
      </c>
      <c r="AO66" s="264" t="str">
        <f t="shared" ref="AO66:AO70" si="111">AM66*AN66</f>
        <v>#VALUE!</v>
      </c>
      <c r="AP66" s="276" t="s">
        <v>306</v>
      </c>
      <c r="AQ66" s="282">
        <v>0.0</v>
      </c>
      <c r="AR66" s="260" t="str">
        <f>'WEBINAR SEMANAL'!L2</f>
        <v>CP AG </v>
      </c>
      <c r="AS66" s="264" t="str">
        <f t="shared" ref="AS66:AS70" si="112">AQ66*AR66</f>
        <v>#VALUE!</v>
      </c>
      <c r="AT66" s="276" t="s">
        <v>306</v>
      </c>
      <c r="AU66" s="282">
        <v>0.0</v>
      </c>
      <c r="AV66" s="260" t="str">
        <f>'WEBINAR SEMANAL'!L2</f>
        <v>CP AG </v>
      </c>
      <c r="AW66" s="264" t="str">
        <f t="shared" ref="AW66:AW70" si="113">AU66*AV66</f>
        <v>#VALUE!</v>
      </c>
    </row>
    <row r="67" ht="22.5" customHeight="1">
      <c r="A67" s="253"/>
      <c r="B67" s="275" t="s">
        <v>307</v>
      </c>
      <c r="C67" s="281">
        <v>0.0</v>
      </c>
      <c r="D67" s="257">
        <f>'WEBINAR SEMANAL'!L9</f>
        <v>200</v>
      </c>
      <c r="E67" s="256">
        <f t="shared" si="104"/>
        <v>0</v>
      </c>
      <c r="F67" s="275" t="s">
        <v>307</v>
      </c>
      <c r="G67" s="281">
        <v>0.0</v>
      </c>
      <c r="H67" s="257">
        <f>'WEBINAR SEMANAL'!L9</f>
        <v>200</v>
      </c>
      <c r="I67" s="256">
        <f t="shared" si="105"/>
        <v>0</v>
      </c>
      <c r="J67" s="275" t="s">
        <v>307</v>
      </c>
      <c r="K67" s="281">
        <v>0.0</v>
      </c>
      <c r="L67" s="257">
        <f>'WEBINAR SEMANAL'!L9</f>
        <v>200</v>
      </c>
      <c r="M67" s="256">
        <f t="shared" si="106"/>
        <v>0</v>
      </c>
      <c r="N67" s="276" t="s">
        <v>307</v>
      </c>
      <c r="O67" s="282">
        <v>0.0</v>
      </c>
      <c r="P67" s="260">
        <f>'WEBINAR SEMANAL'!L9</f>
        <v>200</v>
      </c>
      <c r="Q67" s="261">
        <f t="shared" si="107"/>
        <v>0</v>
      </c>
      <c r="R67" s="277" t="s">
        <v>306</v>
      </c>
      <c r="S67" s="282">
        <v>0.0</v>
      </c>
      <c r="T67" s="260" t="str">
        <f>'WEBINAR SEMANAL'!L2</f>
        <v>CP AG </v>
      </c>
      <c r="U67" s="261" t="str">
        <f t="shared" si="70"/>
        <v>#VALUE!</v>
      </c>
      <c r="V67" s="305" t="s">
        <v>281</v>
      </c>
      <c r="W67" s="306">
        <v>27.0</v>
      </c>
      <c r="X67" s="307">
        <v>397.0</v>
      </c>
      <c r="Y67" s="308">
        <f t="shared" si="71"/>
        <v>10719</v>
      </c>
      <c r="Z67" s="315" t="s">
        <v>307</v>
      </c>
      <c r="AA67" s="287">
        <v>0.0</v>
      </c>
      <c r="AB67" s="288">
        <f>'WEBINAR SEMANAL'!L9</f>
        <v>200</v>
      </c>
      <c r="AC67" s="289">
        <f t="shared" si="108"/>
        <v>0</v>
      </c>
      <c r="AD67" s="275" t="s">
        <v>307</v>
      </c>
      <c r="AE67" s="287">
        <v>0.0</v>
      </c>
      <c r="AF67" s="288">
        <f>'WEBINAR SEMANAL'!L9</f>
        <v>200</v>
      </c>
      <c r="AG67" s="289">
        <f t="shared" si="109"/>
        <v>0</v>
      </c>
      <c r="AH67" s="275" t="s">
        <v>307</v>
      </c>
      <c r="AI67" s="287">
        <v>0.0</v>
      </c>
      <c r="AJ67" s="288">
        <f>'WEBINAR SEMANAL'!L9</f>
        <v>200</v>
      </c>
      <c r="AK67" s="289">
        <f t="shared" si="110"/>
        <v>0</v>
      </c>
      <c r="AL67" s="276" t="s">
        <v>307</v>
      </c>
      <c r="AM67" s="282">
        <v>0.0</v>
      </c>
      <c r="AN67" s="260">
        <f>'WEBINAR SEMANAL'!L9</f>
        <v>200</v>
      </c>
      <c r="AO67" s="264">
        <f t="shared" si="111"/>
        <v>0</v>
      </c>
      <c r="AP67" s="276" t="s">
        <v>307</v>
      </c>
      <c r="AQ67" s="282">
        <v>0.0</v>
      </c>
      <c r="AR67" s="260">
        <f>'WEBINAR SEMANAL'!L9</f>
        <v>200</v>
      </c>
      <c r="AS67" s="264">
        <f t="shared" si="112"/>
        <v>0</v>
      </c>
      <c r="AT67" s="276" t="s">
        <v>307</v>
      </c>
      <c r="AU67" s="282">
        <v>0.0</v>
      </c>
      <c r="AV67" s="260">
        <f>'WEBINAR SEMANAL'!L9</f>
        <v>200</v>
      </c>
      <c r="AW67" s="264">
        <f t="shared" si="113"/>
        <v>0</v>
      </c>
    </row>
    <row r="68" ht="22.5" customHeight="1">
      <c r="A68" s="253"/>
      <c r="B68" s="275" t="s">
        <v>308</v>
      </c>
      <c r="C68" s="281">
        <v>0.0</v>
      </c>
      <c r="D68" s="257" t="str">
        <f t="shared" ref="D68:D70" si="114">#REF!</f>
        <v>#REF!</v>
      </c>
      <c r="E68" s="256" t="str">
        <f t="shared" si="104"/>
        <v>#REF!</v>
      </c>
      <c r="F68" s="275" t="s">
        <v>308</v>
      </c>
      <c r="G68" s="281">
        <v>0.0</v>
      </c>
      <c r="H68" s="257" t="str">
        <f t="shared" ref="H68:H70" si="115">#REF!</f>
        <v>#REF!</v>
      </c>
      <c r="I68" s="256" t="str">
        <f t="shared" si="105"/>
        <v>#REF!</v>
      </c>
      <c r="J68" s="275" t="s">
        <v>308</v>
      </c>
      <c r="K68" s="281">
        <v>0.0</v>
      </c>
      <c r="L68" s="257" t="str">
        <f t="shared" ref="L68:L70" si="116">#REF!</f>
        <v>#REF!</v>
      </c>
      <c r="M68" s="256" t="str">
        <f t="shared" si="106"/>
        <v>#REF!</v>
      </c>
      <c r="N68" s="276" t="s">
        <v>308</v>
      </c>
      <c r="O68" s="282">
        <v>0.0</v>
      </c>
      <c r="P68" s="260" t="str">
        <f t="shared" ref="P68:P70" si="117">#REF!</f>
        <v>#REF!</v>
      </c>
      <c r="Q68" s="261" t="str">
        <f t="shared" si="107"/>
        <v>#REF!</v>
      </c>
      <c r="R68" s="277" t="s">
        <v>307</v>
      </c>
      <c r="S68" s="282">
        <v>0.0</v>
      </c>
      <c r="T68" s="260">
        <f>'WEBINAR SEMANAL'!L9</f>
        <v>200</v>
      </c>
      <c r="U68" s="261">
        <f t="shared" si="70"/>
        <v>0</v>
      </c>
      <c r="V68" s="305" t="s">
        <v>314</v>
      </c>
      <c r="W68" s="306">
        <v>10.0</v>
      </c>
      <c r="X68" s="307">
        <v>297.0</v>
      </c>
      <c r="Y68" s="308">
        <f t="shared" si="71"/>
        <v>2970</v>
      </c>
      <c r="Z68" s="315" t="s">
        <v>308</v>
      </c>
      <c r="AA68" s="281">
        <v>0.0</v>
      </c>
      <c r="AB68" s="288" t="str">
        <f t="shared" ref="AB68:AB70" si="118">#REF!</f>
        <v>#REF!</v>
      </c>
      <c r="AC68" s="256" t="str">
        <f t="shared" si="108"/>
        <v>#REF!</v>
      </c>
      <c r="AD68" s="275" t="s">
        <v>308</v>
      </c>
      <c r="AE68" s="281">
        <v>0.0</v>
      </c>
      <c r="AF68" s="288" t="str">
        <f t="shared" ref="AF68:AF70" si="119">#REF!</f>
        <v>#REF!</v>
      </c>
      <c r="AG68" s="256" t="str">
        <f t="shared" si="109"/>
        <v>#REF!</v>
      </c>
      <c r="AH68" s="275" t="s">
        <v>308</v>
      </c>
      <c r="AI68" s="281">
        <v>0.0</v>
      </c>
      <c r="AJ68" s="288" t="str">
        <f t="shared" ref="AJ68:AJ70" si="120">#REF!</f>
        <v>#REF!</v>
      </c>
      <c r="AK68" s="256" t="str">
        <f t="shared" si="110"/>
        <v>#REF!</v>
      </c>
      <c r="AL68" s="276" t="s">
        <v>308</v>
      </c>
      <c r="AM68" s="282">
        <v>0.0</v>
      </c>
      <c r="AN68" s="260" t="str">
        <f t="shared" ref="AN68:AN70" si="121">#REF!</f>
        <v>#REF!</v>
      </c>
      <c r="AO68" s="264" t="str">
        <f t="shared" si="111"/>
        <v>#REF!</v>
      </c>
      <c r="AP68" s="276" t="s">
        <v>308</v>
      </c>
      <c r="AQ68" s="282">
        <v>0.0</v>
      </c>
      <c r="AR68" s="260" t="str">
        <f t="shared" ref="AR68:AR70" si="122">#REF!</f>
        <v>#REF!</v>
      </c>
      <c r="AS68" s="264" t="str">
        <f t="shared" si="112"/>
        <v>#REF!</v>
      </c>
      <c r="AT68" s="276" t="s">
        <v>308</v>
      </c>
      <c r="AU68" s="282">
        <v>0.0</v>
      </c>
      <c r="AV68" s="260" t="str">
        <f t="shared" ref="AV68:AV70" si="123">#REF!</f>
        <v>#REF!</v>
      </c>
      <c r="AW68" s="264" t="str">
        <f t="shared" si="113"/>
        <v>#REF!</v>
      </c>
    </row>
    <row r="69" ht="22.5" customHeight="1">
      <c r="A69" s="253"/>
      <c r="B69" s="275" t="s">
        <v>309</v>
      </c>
      <c r="C69" s="281">
        <v>0.0</v>
      </c>
      <c r="D69" s="257" t="str">
        <f t="shared" si="114"/>
        <v>#REF!</v>
      </c>
      <c r="E69" s="256" t="str">
        <f t="shared" si="104"/>
        <v>#REF!</v>
      </c>
      <c r="F69" s="275" t="s">
        <v>309</v>
      </c>
      <c r="G69" s="281">
        <v>0.0</v>
      </c>
      <c r="H69" s="257" t="str">
        <f t="shared" si="115"/>
        <v>#REF!</v>
      </c>
      <c r="I69" s="256" t="str">
        <f t="shared" si="105"/>
        <v>#REF!</v>
      </c>
      <c r="J69" s="275" t="s">
        <v>309</v>
      </c>
      <c r="K69" s="281">
        <v>0.0</v>
      </c>
      <c r="L69" s="257" t="str">
        <f t="shared" si="116"/>
        <v>#REF!</v>
      </c>
      <c r="M69" s="256" t="str">
        <f t="shared" si="106"/>
        <v>#REF!</v>
      </c>
      <c r="N69" s="276" t="s">
        <v>309</v>
      </c>
      <c r="O69" s="282">
        <v>0.0</v>
      </c>
      <c r="P69" s="260" t="str">
        <f t="shared" si="117"/>
        <v>#REF!</v>
      </c>
      <c r="Q69" s="261" t="str">
        <f t="shared" si="107"/>
        <v>#REF!</v>
      </c>
      <c r="R69" s="277" t="s">
        <v>308</v>
      </c>
      <c r="S69" s="282">
        <v>0.0</v>
      </c>
      <c r="T69" s="260" t="str">
        <f t="shared" ref="T69:T71" si="124">#REF!</f>
        <v>#REF!</v>
      </c>
      <c r="U69" s="261" t="str">
        <f t="shared" si="70"/>
        <v>#REF!</v>
      </c>
      <c r="V69" s="305" t="s">
        <v>314</v>
      </c>
      <c r="W69" s="306">
        <v>18.0</v>
      </c>
      <c r="X69" s="307">
        <v>197.0</v>
      </c>
      <c r="Y69" s="308">
        <f t="shared" si="71"/>
        <v>3546</v>
      </c>
      <c r="Z69" s="315" t="s">
        <v>309</v>
      </c>
      <c r="AA69" s="281">
        <v>0.0</v>
      </c>
      <c r="AB69" s="288" t="str">
        <f t="shared" si="118"/>
        <v>#REF!</v>
      </c>
      <c r="AC69" s="256" t="str">
        <f t="shared" si="108"/>
        <v>#REF!</v>
      </c>
      <c r="AD69" s="275" t="s">
        <v>309</v>
      </c>
      <c r="AE69" s="281">
        <v>0.0</v>
      </c>
      <c r="AF69" s="288" t="str">
        <f t="shared" si="119"/>
        <v>#REF!</v>
      </c>
      <c r="AG69" s="256" t="str">
        <f t="shared" si="109"/>
        <v>#REF!</v>
      </c>
      <c r="AH69" s="275" t="s">
        <v>309</v>
      </c>
      <c r="AI69" s="281">
        <v>0.0</v>
      </c>
      <c r="AJ69" s="288" t="str">
        <f t="shared" si="120"/>
        <v>#REF!</v>
      </c>
      <c r="AK69" s="256" t="str">
        <f t="shared" si="110"/>
        <v>#REF!</v>
      </c>
      <c r="AL69" s="276" t="s">
        <v>309</v>
      </c>
      <c r="AM69" s="282">
        <v>0.0</v>
      </c>
      <c r="AN69" s="260" t="str">
        <f t="shared" si="121"/>
        <v>#REF!</v>
      </c>
      <c r="AO69" s="264" t="str">
        <f t="shared" si="111"/>
        <v>#REF!</v>
      </c>
      <c r="AP69" s="276" t="s">
        <v>309</v>
      </c>
      <c r="AQ69" s="282">
        <v>0.0</v>
      </c>
      <c r="AR69" s="260" t="str">
        <f t="shared" si="122"/>
        <v>#REF!</v>
      </c>
      <c r="AS69" s="264" t="str">
        <f t="shared" si="112"/>
        <v>#REF!</v>
      </c>
      <c r="AT69" s="276" t="s">
        <v>309</v>
      </c>
      <c r="AU69" s="282">
        <v>0.0</v>
      </c>
      <c r="AV69" s="260" t="str">
        <f t="shared" si="123"/>
        <v>#REF!</v>
      </c>
      <c r="AW69" s="264" t="str">
        <f t="shared" si="113"/>
        <v>#REF!</v>
      </c>
    </row>
    <row r="70" ht="22.5" customHeight="1">
      <c r="A70" s="253"/>
      <c r="B70" s="275" t="s">
        <v>310</v>
      </c>
      <c r="C70" s="281">
        <v>0.0</v>
      </c>
      <c r="D70" s="257" t="str">
        <f t="shared" si="114"/>
        <v>#REF!</v>
      </c>
      <c r="E70" s="256" t="str">
        <f t="shared" si="104"/>
        <v>#REF!</v>
      </c>
      <c r="F70" s="275" t="s">
        <v>310</v>
      </c>
      <c r="G70" s="281">
        <v>0.0</v>
      </c>
      <c r="H70" s="257" t="str">
        <f t="shared" si="115"/>
        <v>#REF!</v>
      </c>
      <c r="I70" s="256" t="str">
        <f t="shared" si="105"/>
        <v>#REF!</v>
      </c>
      <c r="J70" s="275" t="s">
        <v>310</v>
      </c>
      <c r="K70" s="281">
        <v>0.0</v>
      </c>
      <c r="L70" s="257" t="str">
        <f t="shared" si="116"/>
        <v>#REF!</v>
      </c>
      <c r="M70" s="256" t="str">
        <f t="shared" si="106"/>
        <v>#REF!</v>
      </c>
      <c r="N70" s="276" t="s">
        <v>310</v>
      </c>
      <c r="O70" s="282">
        <v>0.0</v>
      </c>
      <c r="P70" s="260" t="str">
        <f t="shared" si="117"/>
        <v>#REF!</v>
      </c>
      <c r="Q70" s="261" t="str">
        <f t="shared" si="107"/>
        <v>#REF!</v>
      </c>
      <c r="R70" s="277" t="s">
        <v>309</v>
      </c>
      <c r="S70" s="282">
        <v>0.0</v>
      </c>
      <c r="T70" s="260" t="str">
        <f t="shared" si="124"/>
        <v>#REF!</v>
      </c>
      <c r="U70" s="261" t="str">
        <f t="shared" si="70"/>
        <v>#REF!</v>
      </c>
      <c r="V70" s="316" t="s">
        <v>306</v>
      </c>
      <c r="W70" s="284">
        <v>0.0</v>
      </c>
      <c r="X70" s="285">
        <v>997.0</v>
      </c>
      <c r="Y70" s="286">
        <f t="shared" si="71"/>
        <v>0</v>
      </c>
      <c r="Z70" s="315" t="s">
        <v>310</v>
      </c>
      <c r="AA70" s="281">
        <v>0.0</v>
      </c>
      <c r="AB70" s="288" t="str">
        <f t="shared" si="118"/>
        <v>#REF!</v>
      </c>
      <c r="AC70" s="256" t="str">
        <f t="shared" si="108"/>
        <v>#REF!</v>
      </c>
      <c r="AD70" s="275" t="s">
        <v>310</v>
      </c>
      <c r="AE70" s="281">
        <v>0.0</v>
      </c>
      <c r="AF70" s="288" t="str">
        <f t="shared" si="119"/>
        <v>#REF!</v>
      </c>
      <c r="AG70" s="256" t="str">
        <f t="shared" si="109"/>
        <v>#REF!</v>
      </c>
      <c r="AH70" s="275" t="s">
        <v>310</v>
      </c>
      <c r="AI70" s="281">
        <v>0.0</v>
      </c>
      <c r="AJ70" s="288" t="str">
        <f t="shared" si="120"/>
        <v>#REF!</v>
      </c>
      <c r="AK70" s="256" t="str">
        <f t="shared" si="110"/>
        <v>#REF!</v>
      </c>
      <c r="AL70" s="276" t="s">
        <v>310</v>
      </c>
      <c r="AM70" s="282">
        <v>0.0</v>
      </c>
      <c r="AN70" s="260" t="str">
        <f t="shared" si="121"/>
        <v>#REF!</v>
      </c>
      <c r="AO70" s="264" t="str">
        <f t="shared" si="111"/>
        <v>#REF!</v>
      </c>
      <c r="AP70" s="276" t="s">
        <v>310</v>
      </c>
      <c r="AQ70" s="282">
        <v>0.0</v>
      </c>
      <c r="AR70" s="260" t="str">
        <f t="shared" si="122"/>
        <v>#REF!</v>
      </c>
      <c r="AS70" s="264" t="str">
        <f t="shared" si="112"/>
        <v>#REF!</v>
      </c>
      <c r="AT70" s="276" t="s">
        <v>310</v>
      </c>
      <c r="AU70" s="282">
        <v>0.0</v>
      </c>
      <c r="AV70" s="260" t="str">
        <f t="shared" si="123"/>
        <v>#REF!</v>
      </c>
      <c r="AW70" s="264" t="str">
        <f t="shared" si="113"/>
        <v>#REF!</v>
      </c>
    </row>
    <row r="71" ht="22.5" customHeight="1">
      <c r="A71" s="253"/>
      <c r="B71" s="275"/>
      <c r="C71" s="281"/>
      <c r="D71" s="257"/>
      <c r="E71" s="256"/>
      <c r="F71" s="275"/>
      <c r="G71" s="281"/>
      <c r="H71" s="257"/>
      <c r="I71" s="256"/>
      <c r="J71" s="275"/>
      <c r="K71" s="281"/>
      <c r="L71" s="257"/>
      <c r="M71" s="256"/>
      <c r="N71" s="276"/>
      <c r="O71" s="282"/>
      <c r="P71" s="260"/>
      <c r="Q71" s="261"/>
      <c r="R71" s="277" t="s">
        <v>310</v>
      </c>
      <c r="S71" s="282">
        <v>0.0</v>
      </c>
      <c r="T71" s="260" t="str">
        <f t="shared" si="124"/>
        <v>#REF!</v>
      </c>
      <c r="U71" s="261" t="str">
        <f t="shared" si="70"/>
        <v>#REF!</v>
      </c>
      <c r="V71" s="316" t="s">
        <v>307</v>
      </c>
      <c r="W71" s="284">
        <v>249.0</v>
      </c>
      <c r="X71" s="285">
        <v>47.0</v>
      </c>
      <c r="Y71" s="286">
        <f t="shared" si="71"/>
        <v>11703</v>
      </c>
      <c r="Z71" s="315"/>
      <c r="AA71" s="281"/>
      <c r="AB71" s="288"/>
      <c r="AC71" s="256"/>
      <c r="AD71" s="275"/>
      <c r="AE71" s="281"/>
      <c r="AF71" s="288"/>
      <c r="AG71" s="256"/>
      <c r="AH71" s="275"/>
      <c r="AI71" s="281"/>
      <c r="AJ71" s="288"/>
      <c r="AK71" s="256"/>
      <c r="AL71" s="276"/>
      <c r="AM71" s="282"/>
      <c r="AN71" s="260"/>
      <c r="AO71" s="264"/>
      <c r="AP71" s="276"/>
      <c r="AQ71" s="282"/>
      <c r="AR71" s="260"/>
      <c r="AS71" s="264"/>
      <c r="AT71" s="276"/>
      <c r="AU71" s="282"/>
      <c r="AV71" s="260"/>
      <c r="AW71" s="264"/>
    </row>
    <row r="72" ht="22.5" customHeight="1">
      <c r="A72" s="253"/>
      <c r="B72" s="317"/>
      <c r="C72" s="318"/>
      <c r="D72" s="253"/>
      <c r="E72" s="253"/>
      <c r="F72" s="317"/>
      <c r="G72" s="318"/>
      <c r="H72" s="319"/>
      <c r="I72" s="319"/>
      <c r="J72" s="319"/>
      <c r="K72" s="319"/>
      <c r="L72" s="319"/>
      <c r="M72" s="319"/>
      <c r="N72" s="319"/>
      <c r="O72" s="319"/>
      <c r="P72" s="319"/>
      <c r="Q72" s="319"/>
      <c r="R72" s="320"/>
      <c r="S72" s="321"/>
      <c r="T72" s="322"/>
      <c r="U72" s="323"/>
      <c r="V72" s="316" t="s">
        <v>308</v>
      </c>
      <c r="W72" s="284">
        <v>0.0</v>
      </c>
      <c r="X72" s="285">
        <v>97.0</v>
      </c>
      <c r="Y72" s="286">
        <f t="shared" si="71"/>
        <v>0</v>
      </c>
      <c r="Z72" s="319"/>
      <c r="AA72" s="318"/>
      <c r="AB72" s="253"/>
      <c r="AC72" s="253"/>
      <c r="AD72" s="253"/>
      <c r="AE72" s="318"/>
      <c r="AF72" s="253"/>
      <c r="AG72" s="253"/>
      <c r="AH72" s="319"/>
      <c r="AI72" s="318"/>
      <c r="AJ72" s="253"/>
      <c r="AK72" s="253"/>
      <c r="AL72" s="324"/>
      <c r="AM72" s="325"/>
      <c r="AN72" s="324"/>
      <c r="AO72" s="324"/>
      <c r="AP72" s="324"/>
      <c r="AQ72" s="325"/>
      <c r="AR72" s="324"/>
      <c r="AS72" s="324"/>
      <c r="AT72" s="324"/>
      <c r="AU72" s="325"/>
      <c r="AV72" s="324"/>
      <c r="AW72" s="324"/>
    </row>
    <row r="73" ht="22.5" customHeight="1">
      <c r="A73" s="253"/>
      <c r="B73" s="317"/>
      <c r="C73" s="318"/>
      <c r="D73" s="253"/>
      <c r="E73" s="253"/>
      <c r="F73" s="317"/>
      <c r="G73" s="318"/>
      <c r="H73" s="319"/>
      <c r="I73" s="319"/>
      <c r="J73" s="319"/>
      <c r="K73" s="319"/>
      <c r="L73" s="319"/>
      <c r="M73" s="319"/>
      <c r="N73" s="319"/>
      <c r="O73" s="319"/>
      <c r="P73" s="319"/>
      <c r="Q73" s="319"/>
      <c r="R73" s="319"/>
      <c r="S73" s="319"/>
      <c r="T73" s="319"/>
      <c r="U73" s="319"/>
      <c r="V73" s="316" t="s">
        <v>316</v>
      </c>
      <c r="W73" s="284">
        <v>14.0</v>
      </c>
      <c r="X73" s="285">
        <v>997.0</v>
      </c>
      <c r="Y73" s="286">
        <f t="shared" si="71"/>
        <v>13958</v>
      </c>
      <c r="Z73" s="319"/>
      <c r="AA73" s="318"/>
      <c r="AB73" s="253"/>
      <c r="AC73" s="253"/>
      <c r="AD73" s="253"/>
      <c r="AE73" s="318"/>
      <c r="AF73" s="253"/>
      <c r="AG73" s="253"/>
      <c r="AH73" s="319"/>
      <c r="AI73" s="318"/>
      <c r="AJ73" s="253"/>
      <c r="AK73" s="253"/>
      <c r="AL73" s="324"/>
      <c r="AM73" s="325"/>
      <c r="AN73" s="324"/>
      <c r="AO73" s="324"/>
      <c r="AP73" s="324"/>
      <c r="AQ73" s="325"/>
      <c r="AR73" s="324"/>
      <c r="AS73" s="324"/>
      <c r="AT73" s="324"/>
      <c r="AU73" s="325"/>
      <c r="AV73" s="324"/>
      <c r="AW73" s="324"/>
    </row>
    <row r="74" ht="22.5" customHeight="1">
      <c r="A74" s="253"/>
      <c r="B74" s="205" t="s">
        <v>317</v>
      </c>
      <c r="D74" s="206">
        <f>B79+N79+Z79+AL79</f>
        <v>2311013</v>
      </c>
      <c r="H74" s="207"/>
      <c r="I74" s="207"/>
      <c r="J74" s="207"/>
      <c r="K74" s="207"/>
      <c r="L74" s="207"/>
      <c r="M74" s="207"/>
      <c r="N74" s="201"/>
      <c r="O74" s="201"/>
      <c r="P74" s="201"/>
      <c r="Q74" s="201"/>
      <c r="R74" s="201"/>
      <c r="S74" s="201"/>
      <c r="T74" s="201"/>
      <c r="U74" s="201"/>
      <c r="V74" s="316" t="s">
        <v>318</v>
      </c>
      <c r="W74" s="284">
        <v>6.0</v>
      </c>
      <c r="X74" s="285">
        <v>1394.0</v>
      </c>
      <c r="Y74" s="286">
        <f t="shared" si="71"/>
        <v>8364</v>
      </c>
      <c r="Z74" s="201"/>
      <c r="AA74" s="201"/>
      <c r="AB74" s="201"/>
      <c r="AC74" s="201"/>
      <c r="AD74" s="201"/>
      <c r="AE74" s="201"/>
      <c r="AF74" s="201"/>
      <c r="AG74" s="201"/>
      <c r="AH74" s="201"/>
      <c r="AI74" s="201"/>
      <c r="AJ74" s="201"/>
      <c r="AK74" s="201"/>
      <c r="AL74" s="201"/>
      <c r="AM74" s="201"/>
      <c r="AN74" s="201"/>
      <c r="AO74" s="201"/>
      <c r="AP74" s="201"/>
      <c r="AQ74" s="201"/>
      <c r="AR74" s="201"/>
      <c r="AS74" s="201"/>
      <c r="AT74" s="201"/>
      <c r="AU74" s="201"/>
      <c r="AV74" s="201"/>
      <c r="AW74" s="201"/>
    </row>
    <row r="75" ht="22.5" customHeight="1">
      <c r="A75" s="253"/>
      <c r="H75" s="207"/>
      <c r="I75" s="207"/>
      <c r="J75" s="207"/>
      <c r="K75" s="207"/>
      <c r="L75" s="207"/>
      <c r="M75" s="207"/>
      <c r="N75" s="201"/>
      <c r="O75" s="201"/>
      <c r="P75" s="201"/>
      <c r="Q75" s="201"/>
      <c r="R75" s="201"/>
      <c r="S75" s="201"/>
      <c r="T75" s="201"/>
      <c r="U75" s="201"/>
      <c r="V75" s="316" t="s">
        <v>310</v>
      </c>
      <c r="W75" s="284">
        <v>0.0</v>
      </c>
      <c r="X75" s="285">
        <v>997.0</v>
      </c>
      <c r="Y75" s="286">
        <f t="shared" si="71"/>
        <v>0</v>
      </c>
      <c r="Z75" s="201"/>
      <c r="AA75" s="201"/>
      <c r="AB75" s="201"/>
      <c r="AC75" s="201"/>
      <c r="AD75" s="201"/>
      <c r="AE75" s="201"/>
      <c r="AF75" s="201"/>
      <c r="AG75" s="201"/>
      <c r="AH75" s="201"/>
      <c r="AI75" s="201"/>
      <c r="AJ75" s="201"/>
      <c r="AK75" s="201"/>
      <c r="AL75" s="201"/>
      <c r="AM75" s="201"/>
      <c r="AN75" s="201"/>
      <c r="AO75" s="201"/>
      <c r="AP75" s="201"/>
      <c r="AQ75" s="201"/>
      <c r="AR75" s="201"/>
      <c r="AS75" s="201"/>
      <c r="AT75" s="201"/>
      <c r="AU75" s="201"/>
      <c r="AV75" s="201"/>
      <c r="AW75" s="201"/>
    </row>
    <row r="76" ht="22.5" customHeight="1">
      <c r="A76" s="253"/>
      <c r="H76" s="207"/>
      <c r="I76" s="207"/>
      <c r="J76" s="207"/>
      <c r="K76" s="207"/>
      <c r="L76" s="207"/>
      <c r="M76" s="207"/>
      <c r="N76" s="201"/>
      <c r="O76" s="201"/>
      <c r="P76" s="201"/>
      <c r="Q76" s="201"/>
      <c r="R76" s="201"/>
      <c r="S76" s="201"/>
      <c r="T76" s="201"/>
      <c r="U76" s="201"/>
      <c r="V76" s="201"/>
      <c r="W76" s="201"/>
      <c r="X76" s="201"/>
      <c r="Y76" s="201"/>
      <c r="Z76" s="201"/>
      <c r="AA76" s="201"/>
      <c r="AB76" s="201"/>
      <c r="AC76" s="201"/>
      <c r="AD76" s="201"/>
      <c r="AE76" s="201"/>
      <c r="AF76" s="201"/>
      <c r="AG76" s="201"/>
      <c r="AH76" s="201"/>
      <c r="AI76" s="201"/>
      <c r="AJ76" s="201"/>
      <c r="AK76" s="201"/>
      <c r="AL76" s="201"/>
      <c r="AM76" s="201"/>
      <c r="AN76" s="201"/>
      <c r="AO76" s="201"/>
      <c r="AP76" s="201"/>
      <c r="AQ76" s="201"/>
      <c r="AR76" s="201"/>
      <c r="AS76" s="201"/>
      <c r="AT76" s="201"/>
      <c r="AU76" s="201"/>
      <c r="AV76" s="201"/>
      <c r="AW76" s="201"/>
    </row>
    <row r="77" ht="22.5" customHeight="1">
      <c r="A77" s="253"/>
      <c r="B77" s="207"/>
      <c r="C77" s="208"/>
      <c r="D77" s="208"/>
      <c r="E77" s="208"/>
      <c r="F77" s="209"/>
      <c r="G77" s="209"/>
      <c r="H77" s="209"/>
      <c r="I77" s="209"/>
      <c r="J77" s="209"/>
      <c r="K77" s="209"/>
      <c r="L77" s="209"/>
      <c r="M77" s="209"/>
      <c r="N77" s="201"/>
      <c r="O77" s="201"/>
      <c r="P77" s="201"/>
      <c r="Q77" s="201"/>
      <c r="R77" s="201"/>
      <c r="S77" s="201"/>
      <c r="T77" s="201"/>
      <c r="U77" s="201"/>
      <c r="V77" s="201"/>
      <c r="W77" s="201"/>
      <c r="X77" s="201"/>
      <c r="Y77" s="201"/>
      <c r="Z77" s="201"/>
      <c r="AA77" s="201"/>
      <c r="AB77" s="201"/>
      <c r="AC77" s="201"/>
      <c r="AD77" s="201"/>
      <c r="AE77" s="201"/>
      <c r="AF77" s="201"/>
      <c r="AG77" s="201"/>
      <c r="AH77" s="201"/>
      <c r="AI77" s="201"/>
      <c r="AJ77" s="201"/>
      <c r="AK77" s="201"/>
      <c r="AL77" s="201"/>
      <c r="AM77" s="201"/>
      <c r="AN77" s="201"/>
      <c r="AO77" s="201"/>
      <c r="AP77" s="201"/>
      <c r="AQ77" s="201"/>
      <c r="AR77" s="201"/>
      <c r="AS77" s="201"/>
      <c r="AT77" s="201"/>
      <c r="AU77" s="201"/>
      <c r="AV77" s="201"/>
      <c r="AW77" s="201"/>
    </row>
    <row r="78" ht="22.5" customHeight="1">
      <c r="A78" s="253"/>
      <c r="B78" s="210" t="s">
        <v>66</v>
      </c>
      <c r="N78" s="211" t="s">
        <v>72</v>
      </c>
      <c r="Z78" s="210" t="s">
        <v>291</v>
      </c>
      <c r="AL78" s="211" t="s">
        <v>292</v>
      </c>
    </row>
    <row r="79" ht="22.5" customHeight="1">
      <c r="A79" s="253"/>
      <c r="B79" s="212">
        <f>B84+F84+J84</f>
        <v>536855</v>
      </c>
      <c r="N79" s="213">
        <f>N84+R84+V84</f>
        <v>656052</v>
      </c>
      <c r="Z79" s="212">
        <f>Z84+AD84+AH84</f>
        <v>618631</v>
      </c>
      <c r="AL79" s="213">
        <f>AL84+AP84+AT84</f>
        <v>499475</v>
      </c>
    </row>
    <row r="80" ht="22.5" customHeight="1">
      <c r="A80" s="253"/>
    </row>
    <row r="81" ht="22.5" customHeight="1">
      <c r="A81" s="253"/>
    </row>
    <row r="82" ht="22.5" customHeight="1">
      <c r="A82" s="253"/>
    </row>
    <row r="83" ht="22.5" customHeight="1">
      <c r="A83" s="253"/>
      <c r="B83" s="207"/>
      <c r="C83" s="208"/>
      <c r="D83" s="208"/>
      <c r="E83" s="208"/>
      <c r="F83" s="214"/>
      <c r="G83" s="214"/>
      <c r="H83" s="214"/>
      <c r="I83" s="214"/>
      <c r="J83" s="214"/>
      <c r="K83" s="214"/>
      <c r="L83" s="214"/>
      <c r="M83" s="214"/>
      <c r="N83" s="215"/>
      <c r="O83" s="215"/>
      <c r="P83" s="215"/>
      <c r="Q83" s="215"/>
      <c r="R83" s="216"/>
      <c r="S83" s="216"/>
      <c r="T83" s="216"/>
      <c r="U83" s="216"/>
      <c r="V83" s="216"/>
      <c r="W83" s="216"/>
      <c r="X83" s="216"/>
      <c r="Y83" s="216"/>
      <c r="Z83" s="207"/>
      <c r="AA83" s="208"/>
      <c r="AB83" s="208"/>
      <c r="AC83" s="208"/>
      <c r="AD83" s="214"/>
      <c r="AE83" s="214"/>
      <c r="AF83" s="214"/>
      <c r="AG83" s="214"/>
      <c r="AH83" s="214"/>
      <c r="AI83" s="214"/>
      <c r="AJ83" s="214"/>
      <c r="AK83" s="214"/>
      <c r="AL83" s="215"/>
      <c r="AM83" s="215"/>
      <c r="AN83" s="215"/>
      <c r="AO83" s="215"/>
      <c r="AP83" s="216"/>
      <c r="AQ83" s="216"/>
      <c r="AR83" s="216"/>
      <c r="AS83" s="216"/>
      <c r="AT83" s="216"/>
      <c r="AU83" s="216"/>
      <c r="AV83" s="216"/>
      <c r="AW83" s="216"/>
    </row>
    <row r="84" ht="22.5" customHeight="1">
      <c r="A84" s="253"/>
      <c r="B84" s="217">
        <f>sum(E91:E101)</f>
        <v>162500</v>
      </c>
      <c r="F84" s="217">
        <f>sum(I91:I101)</f>
        <v>163706</v>
      </c>
      <c r="J84" s="217">
        <f>sum(M91:M101)</f>
        <v>210649</v>
      </c>
      <c r="N84" s="218">
        <f>SUM(Q90:Q101)</f>
        <v>233972</v>
      </c>
      <c r="R84" s="218">
        <f>SUM(U90:U101)</f>
        <v>225140</v>
      </c>
      <c r="V84" s="218">
        <f>SUM(Y90:Y101)</f>
        <v>196940</v>
      </c>
      <c r="Z84" s="217">
        <f>sum(AC90:AC101)</f>
        <v>222106</v>
      </c>
      <c r="AD84" s="217">
        <f>sum(AG90:AG101)</f>
        <v>220382</v>
      </c>
      <c r="AH84" s="217">
        <f>sum(AK90:AK101)</f>
        <v>176143</v>
      </c>
      <c r="AL84" s="218">
        <f>SUM(AO90:AO101)</f>
        <v>170939</v>
      </c>
      <c r="AP84" s="218">
        <f>SUM(AS90:AS101)</f>
        <v>120411</v>
      </c>
      <c r="AT84" s="218">
        <f>SUM(AW90:AW101)</f>
        <v>208125</v>
      </c>
    </row>
    <row r="85" ht="22.5" customHeight="1">
      <c r="A85" s="253"/>
    </row>
    <row r="86" ht="22.5" customHeight="1">
      <c r="A86" s="253"/>
      <c r="B86" s="207"/>
      <c r="C86" s="208"/>
      <c r="D86" s="208"/>
      <c r="E86" s="208"/>
      <c r="F86" s="208"/>
      <c r="G86" s="208"/>
      <c r="H86" s="208"/>
      <c r="I86" s="208"/>
      <c r="J86" s="208"/>
      <c r="K86" s="208"/>
      <c r="L86" s="208"/>
      <c r="M86" s="208"/>
      <c r="N86" s="215"/>
      <c r="O86" s="215"/>
      <c r="P86" s="215"/>
      <c r="Q86" s="215"/>
      <c r="R86" s="215"/>
      <c r="S86" s="215"/>
      <c r="T86" s="215"/>
      <c r="U86" s="215"/>
      <c r="V86" s="215"/>
      <c r="W86" s="215"/>
      <c r="X86" s="215"/>
      <c r="Y86" s="215"/>
      <c r="Z86" s="207"/>
      <c r="AA86" s="208"/>
      <c r="AB86" s="208"/>
      <c r="AC86" s="208"/>
      <c r="AD86" s="208"/>
      <c r="AE86" s="208"/>
      <c r="AF86" s="208"/>
      <c r="AG86" s="208"/>
      <c r="AH86" s="208"/>
      <c r="AI86" s="208"/>
      <c r="AJ86" s="208"/>
      <c r="AK86" s="208"/>
      <c r="AL86" s="215"/>
      <c r="AM86" s="215"/>
      <c r="AN86" s="215"/>
      <c r="AO86" s="215"/>
      <c r="AP86" s="215"/>
      <c r="AQ86" s="215"/>
      <c r="AR86" s="215"/>
      <c r="AS86" s="215"/>
      <c r="AT86" s="215"/>
      <c r="AU86" s="215"/>
      <c r="AV86" s="215"/>
      <c r="AW86" s="215"/>
    </row>
    <row r="87" ht="22.5" customHeight="1">
      <c r="A87" s="253"/>
      <c r="B87" s="207"/>
      <c r="C87" s="208"/>
      <c r="D87" s="208"/>
      <c r="E87" s="208"/>
      <c r="F87" s="208"/>
      <c r="G87" s="208"/>
      <c r="H87" s="208"/>
      <c r="I87" s="208"/>
      <c r="J87" s="208"/>
      <c r="K87" s="208"/>
      <c r="L87" s="208"/>
      <c r="M87" s="208"/>
      <c r="N87" s="226"/>
      <c r="O87" s="226"/>
      <c r="P87" s="226"/>
      <c r="Q87" s="226"/>
      <c r="R87" s="226"/>
      <c r="S87" s="226"/>
      <c r="T87" s="226"/>
      <c r="U87" s="226"/>
      <c r="V87" s="226"/>
      <c r="W87" s="226"/>
      <c r="X87" s="226"/>
      <c r="Y87" s="226"/>
      <c r="Z87" s="207"/>
      <c r="AA87" s="208"/>
      <c r="AB87" s="208"/>
      <c r="AC87" s="208"/>
      <c r="AD87" s="208"/>
      <c r="AE87" s="208"/>
      <c r="AF87" s="208"/>
      <c r="AG87" s="208"/>
      <c r="AH87" s="208"/>
      <c r="AI87" s="208"/>
      <c r="AJ87" s="208"/>
      <c r="AK87" s="208"/>
      <c r="AL87" s="215"/>
      <c r="AM87" s="215"/>
      <c r="AN87" s="215"/>
      <c r="AO87" s="215"/>
      <c r="AP87" s="226"/>
      <c r="AQ87" s="226"/>
      <c r="AR87" s="226"/>
      <c r="AS87" s="226"/>
      <c r="AT87" s="226"/>
      <c r="AU87" s="226"/>
      <c r="AV87" s="226"/>
      <c r="AW87" s="226"/>
    </row>
    <row r="88" ht="22.5" customHeight="1">
      <c r="A88" s="253"/>
      <c r="B88" s="230" t="s">
        <v>58</v>
      </c>
      <c r="C88" s="231"/>
      <c r="D88" s="231"/>
      <c r="E88" s="232"/>
      <c r="F88" s="230" t="s">
        <v>68</v>
      </c>
      <c r="G88" s="231"/>
      <c r="H88" s="231"/>
      <c r="I88" s="232"/>
      <c r="J88" s="230" t="s">
        <v>70</v>
      </c>
      <c r="K88" s="231"/>
      <c r="L88" s="231"/>
      <c r="M88" s="232"/>
      <c r="N88" s="326" t="s">
        <v>71</v>
      </c>
      <c r="Q88" s="327"/>
      <c r="R88" s="328" t="s">
        <v>73</v>
      </c>
      <c r="U88" s="327"/>
      <c r="V88" s="328" t="s">
        <v>74</v>
      </c>
      <c r="Y88" s="327"/>
      <c r="Z88" s="230" t="s">
        <v>293</v>
      </c>
      <c r="AA88" s="231"/>
      <c r="AB88" s="231"/>
      <c r="AC88" s="232"/>
      <c r="AD88" s="230" t="s">
        <v>294</v>
      </c>
      <c r="AE88" s="231"/>
      <c r="AF88" s="231"/>
      <c r="AG88" s="232"/>
      <c r="AH88" s="230" t="s">
        <v>295</v>
      </c>
      <c r="AI88" s="231"/>
      <c r="AJ88" s="231"/>
      <c r="AK88" s="232"/>
      <c r="AL88" s="328" t="s">
        <v>296</v>
      </c>
      <c r="AP88" s="328" t="s">
        <v>297</v>
      </c>
      <c r="AS88" s="327"/>
      <c r="AT88" s="328" t="s">
        <v>298</v>
      </c>
      <c r="AW88" s="327"/>
    </row>
    <row r="89" ht="22.5" customHeight="1">
      <c r="A89" s="253"/>
      <c r="B89" s="242" t="s">
        <v>256</v>
      </c>
      <c r="C89" s="242" t="s">
        <v>11</v>
      </c>
      <c r="D89" s="242" t="s">
        <v>60</v>
      </c>
      <c r="E89" s="242" t="s">
        <v>23</v>
      </c>
      <c r="F89" s="242" t="s">
        <v>256</v>
      </c>
      <c r="G89" s="242" t="s">
        <v>11</v>
      </c>
      <c r="H89" s="242" t="s">
        <v>60</v>
      </c>
      <c r="I89" s="242" t="s">
        <v>23</v>
      </c>
      <c r="J89" s="242" t="s">
        <v>256</v>
      </c>
      <c r="K89" s="242" t="s">
        <v>11</v>
      </c>
      <c r="L89" s="242" t="s">
        <v>60</v>
      </c>
      <c r="M89" s="242" t="s">
        <v>23</v>
      </c>
      <c r="N89" s="329" t="s">
        <v>256</v>
      </c>
      <c r="O89" s="329" t="s">
        <v>11</v>
      </c>
      <c r="P89" s="329" t="s">
        <v>60</v>
      </c>
      <c r="Q89" s="329" t="s">
        <v>23</v>
      </c>
      <c r="R89" s="329" t="s">
        <v>256</v>
      </c>
      <c r="S89" s="329" t="s">
        <v>11</v>
      </c>
      <c r="T89" s="329" t="s">
        <v>60</v>
      </c>
      <c r="U89" s="329" t="s">
        <v>23</v>
      </c>
      <c r="V89" s="329" t="s">
        <v>256</v>
      </c>
      <c r="W89" s="329" t="s">
        <v>11</v>
      </c>
      <c r="X89" s="329" t="s">
        <v>60</v>
      </c>
      <c r="Y89" s="329" t="s">
        <v>23</v>
      </c>
      <c r="Z89" s="242" t="s">
        <v>256</v>
      </c>
      <c r="AA89" s="242" t="s">
        <v>11</v>
      </c>
      <c r="AB89" s="242" t="s">
        <v>60</v>
      </c>
      <c r="AC89" s="242" t="s">
        <v>23</v>
      </c>
      <c r="AD89" s="242" t="s">
        <v>256</v>
      </c>
      <c r="AE89" s="242" t="s">
        <v>11</v>
      </c>
      <c r="AF89" s="242" t="s">
        <v>60</v>
      </c>
      <c r="AG89" s="242" t="s">
        <v>23</v>
      </c>
      <c r="AH89" s="242" t="s">
        <v>256</v>
      </c>
      <c r="AI89" s="242" t="s">
        <v>11</v>
      </c>
      <c r="AJ89" s="242" t="s">
        <v>60</v>
      </c>
      <c r="AK89" s="242" t="s">
        <v>23</v>
      </c>
      <c r="AL89" s="329" t="s">
        <v>256</v>
      </c>
      <c r="AM89" s="329" t="s">
        <v>11</v>
      </c>
      <c r="AN89" s="329" t="s">
        <v>60</v>
      </c>
      <c r="AO89" s="329" t="s">
        <v>23</v>
      </c>
      <c r="AP89" s="329" t="s">
        <v>256</v>
      </c>
      <c r="AQ89" s="329" t="s">
        <v>11</v>
      </c>
      <c r="AR89" s="329" t="s">
        <v>60</v>
      </c>
      <c r="AS89" s="329" t="s">
        <v>23</v>
      </c>
      <c r="AT89" s="329" t="s">
        <v>256</v>
      </c>
      <c r="AU89" s="329" t="s">
        <v>11</v>
      </c>
      <c r="AV89" s="329" t="s">
        <v>60</v>
      </c>
      <c r="AW89" s="329" t="s">
        <v>23</v>
      </c>
    </row>
    <row r="90" ht="22.5" customHeight="1">
      <c r="A90" s="253"/>
      <c r="B90" s="330" t="s">
        <v>299</v>
      </c>
      <c r="C90" s="331">
        <v>0.0</v>
      </c>
      <c r="D90" s="307">
        <v>47.0</v>
      </c>
      <c r="E90" s="308">
        <f t="shared" ref="E90:E106" si="125">C90*D90</f>
        <v>0</v>
      </c>
      <c r="F90" s="330" t="s">
        <v>299</v>
      </c>
      <c r="G90" s="331">
        <v>0.0</v>
      </c>
      <c r="H90" s="307">
        <v>47.0</v>
      </c>
      <c r="I90" s="308">
        <f t="shared" ref="I90:I106" si="126">G90*H90</f>
        <v>0</v>
      </c>
      <c r="J90" s="330" t="s">
        <v>299</v>
      </c>
      <c r="K90" s="331">
        <v>0.0</v>
      </c>
      <c r="L90" s="307">
        <v>47.0</v>
      </c>
      <c r="M90" s="308">
        <f t="shared" ref="M90:M106" si="127">K90*L90</f>
        <v>0</v>
      </c>
      <c r="N90" s="283" t="s">
        <v>299</v>
      </c>
      <c r="O90" s="332">
        <v>0.0</v>
      </c>
      <c r="P90" s="285">
        <v>47.0</v>
      </c>
      <c r="Q90" s="333">
        <f t="shared" ref="Q90:Q106" si="128">O90*P90</f>
        <v>0</v>
      </c>
      <c r="R90" s="283" t="s">
        <v>299</v>
      </c>
      <c r="S90" s="332">
        <v>0.0</v>
      </c>
      <c r="T90" s="285">
        <v>47.0</v>
      </c>
      <c r="U90" s="333">
        <f t="shared" ref="U90:U106" si="129">S90*T90</f>
        <v>0</v>
      </c>
      <c r="V90" s="283" t="s">
        <v>299</v>
      </c>
      <c r="W90" s="332">
        <v>0.0</v>
      </c>
      <c r="X90" s="285">
        <v>47.0</v>
      </c>
      <c r="Y90" s="333">
        <f t="shared" ref="Y90:Y106" si="130">W90*X90</f>
        <v>0</v>
      </c>
      <c r="Z90" s="330" t="s">
        <v>299</v>
      </c>
      <c r="AA90" s="331">
        <v>0.0</v>
      </c>
      <c r="AB90" s="307">
        <v>47.0</v>
      </c>
      <c r="AC90" s="308">
        <f t="shared" ref="AC90:AC106" si="131">AA90*AB90</f>
        <v>0</v>
      </c>
      <c r="AD90" s="330" t="s">
        <v>299</v>
      </c>
      <c r="AE90" s="331">
        <v>0.0</v>
      </c>
      <c r="AF90" s="307">
        <v>47.0</v>
      </c>
      <c r="AG90" s="308">
        <f t="shared" ref="AG90:AG106" si="132">AE90*AF90</f>
        <v>0</v>
      </c>
      <c r="AH90" s="330" t="s">
        <v>299</v>
      </c>
      <c r="AI90" s="331">
        <v>0.0</v>
      </c>
      <c r="AJ90" s="307">
        <v>47.0</v>
      </c>
      <c r="AK90" s="308">
        <f t="shared" ref="AK90:AK106" si="133">AI90*AJ90</f>
        <v>0</v>
      </c>
      <c r="AL90" s="283" t="s">
        <v>299</v>
      </c>
      <c r="AM90" s="332">
        <v>46.0</v>
      </c>
      <c r="AN90" s="285">
        <v>47.0</v>
      </c>
      <c r="AO90" s="333">
        <f t="shared" ref="AO90:AO106" si="134">AM90*AN90</f>
        <v>2162</v>
      </c>
      <c r="AP90" s="283" t="s">
        <v>299</v>
      </c>
      <c r="AQ90" s="332">
        <v>6.0</v>
      </c>
      <c r="AR90" s="285">
        <v>47.0</v>
      </c>
      <c r="AS90" s="333">
        <f t="shared" ref="AS90:AS106" si="135">AQ90*AR90</f>
        <v>282</v>
      </c>
      <c r="AT90" s="283" t="s">
        <v>299</v>
      </c>
      <c r="AU90" s="332">
        <v>55.0</v>
      </c>
      <c r="AV90" s="285">
        <v>47.0</v>
      </c>
      <c r="AW90" s="333">
        <f t="shared" ref="AW90:AW106" si="136">AU90*AV90</f>
        <v>2585</v>
      </c>
    </row>
    <row r="91" ht="22.5" customHeight="1">
      <c r="A91" s="253"/>
      <c r="B91" s="334" t="s">
        <v>300</v>
      </c>
      <c r="C91" s="331">
        <v>0.0</v>
      </c>
      <c r="D91" s="308">
        <v>47.0</v>
      </c>
      <c r="E91" s="308">
        <f t="shared" si="125"/>
        <v>0</v>
      </c>
      <c r="F91" s="334" t="s">
        <v>300</v>
      </c>
      <c r="G91" s="331">
        <v>0.0</v>
      </c>
      <c r="H91" s="308">
        <v>47.0</v>
      </c>
      <c r="I91" s="308">
        <f t="shared" si="126"/>
        <v>0</v>
      </c>
      <c r="J91" s="334" t="s">
        <v>300</v>
      </c>
      <c r="K91" s="331">
        <v>0.0</v>
      </c>
      <c r="L91" s="308">
        <v>47.0</v>
      </c>
      <c r="M91" s="308">
        <f t="shared" si="127"/>
        <v>0</v>
      </c>
      <c r="N91" s="295" t="s">
        <v>300</v>
      </c>
      <c r="O91" s="332">
        <v>70.0</v>
      </c>
      <c r="P91" s="286">
        <v>47.0</v>
      </c>
      <c r="Q91" s="333">
        <f t="shared" si="128"/>
        <v>3290</v>
      </c>
      <c r="R91" s="295" t="s">
        <v>300</v>
      </c>
      <c r="S91" s="332">
        <v>106.0</v>
      </c>
      <c r="T91" s="286">
        <v>47.0</v>
      </c>
      <c r="U91" s="333">
        <f t="shared" si="129"/>
        <v>4982</v>
      </c>
      <c r="V91" s="295" t="s">
        <v>300</v>
      </c>
      <c r="W91" s="332">
        <v>95.0</v>
      </c>
      <c r="X91" s="286">
        <v>47.0</v>
      </c>
      <c r="Y91" s="333">
        <f t="shared" si="130"/>
        <v>4465</v>
      </c>
      <c r="Z91" s="334" t="s">
        <v>300</v>
      </c>
      <c r="AA91" s="331">
        <v>0.0</v>
      </c>
      <c r="AB91" s="308">
        <v>47.0</v>
      </c>
      <c r="AC91" s="308">
        <f t="shared" si="131"/>
        <v>0</v>
      </c>
      <c r="AD91" s="334" t="s">
        <v>300</v>
      </c>
      <c r="AE91" s="331">
        <v>135.0</v>
      </c>
      <c r="AF91" s="308">
        <v>47.0</v>
      </c>
      <c r="AG91" s="308">
        <f t="shared" si="132"/>
        <v>6345</v>
      </c>
      <c r="AH91" s="334" t="s">
        <v>300</v>
      </c>
      <c r="AI91" s="331">
        <v>88.0</v>
      </c>
      <c r="AJ91" s="308">
        <v>47.0</v>
      </c>
      <c r="AK91" s="308">
        <f t="shared" si="133"/>
        <v>4136</v>
      </c>
      <c r="AL91" s="295" t="s">
        <v>300</v>
      </c>
      <c r="AM91" s="332">
        <v>69.0</v>
      </c>
      <c r="AN91" s="286">
        <v>47.0</v>
      </c>
      <c r="AO91" s="333">
        <f t="shared" si="134"/>
        <v>3243</v>
      </c>
      <c r="AP91" s="295" t="s">
        <v>300</v>
      </c>
      <c r="AQ91" s="332">
        <v>78.0</v>
      </c>
      <c r="AR91" s="286">
        <v>47.0</v>
      </c>
      <c r="AS91" s="333">
        <f t="shared" si="135"/>
        <v>3666</v>
      </c>
      <c r="AT91" s="295" t="s">
        <v>300</v>
      </c>
      <c r="AU91" s="332">
        <v>57.0</v>
      </c>
      <c r="AV91" s="286">
        <v>47.0</v>
      </c>
      <c r="AW91" s="333">
        <f t="shared" si="136"/>
        <v>2679</v>
      </c>
    </row>
    <row r="92" ht="22.5" customHeight="1">
      <c r="A92" s="253"/>
      <c r="B92" s="334" t="s">
        <v>301</v>
      </c>
      <c r="C92" s="331">
        <v>0.0</v>
      </c>
      <c r="D92" s="308">
        <v>47.0</v>
      </c>
      <c r="E92" s="308">
        <f t="shared" si="125"/>
        <v>0</v>
      </c>
      <c r="F92" s="334" t="s">
        <v>301</v>
      </c>
      <c r="G92" s="331">
        <v>0.0</v>
      </c>
      <c r="H92" s="308">
        <v>47.0</v>
      </c>
      <c r="I92" s="308">
        <f t="shared" si="126"/>
        <v>0</v>
      </c>
      <c r="J92" s="334" t="s">
        <v>301</v>
      </c>
      <c r="K92" s="331">
        <v>0.0</v>
      </c>
      <c r="L92" s="308">
        <v>47.0</v>
      </c>
      <c r="M92" s="308">
        <f t="shared" si="127"/>
        <v>0</v>
      </c>
      <c r="N92" s="295" t="s">
        <v>301</v>
      </c>
      <c r="O92" s="332">
        <v>95.0</v>
      </c>
      <c r="P92" s="286">
        <v>47.0</v>
      </c>
      <c r="Q92" s="333">
        <f t="shared" si="128"/>
        <v>4465</v>
      </c>
      <c r="R92" s="295" t="s">
        <v>301</v>
      </c>
      <c r="S92" s="332">
        <v>75.0</v>
      </c>
      <c r="T92" s="286">
        <v>47.0</v>
      </c>
      <c r="U92" s="333">
        <f t="shared" si="129"/>
        <v>3525</v>
      </c>
      <c r="V92" s="295" t="s">
        <v>301</v>
      </c>
      <c r="W92" s="332">
        <v>90.0</v>
      </c>
      <c r="X92" s="286">
        <v>47.0</v>
      </c>
      <c r="Y92" s="333">
        <f t="shared" si="130"/>
        <v>4230</v>
      </c>
      <c r="Z92" s="334" t="s">
        <v>301</v>
      </c>
      <c r="AA92" s="331">
        <v>194.0</v>
      </c>
      <c r="AB92" s="308">
        <v>47.0</v>
      </c>
      <c r="AC92" s="308">
        <f t="shared" si="131"/>
        <v>9118</v>
      </c>
      <c r="AD92" s="334" t="s">
        <v>301</v>
      </c>
      <c r="AE92" s="331">
        <v>54.0</v>
      </c>
      <c r="AF92" s="308">
        <v>47.0</v>
      </c>
      <c r="AG92" s="308">
        <f t="shared" si="132"/>
        <v>2538</v>
      </c>
      <c r="AH92" s="334" t="s">
        <v>301</v>
      </c>
      <c r="AI92" s="331">
        <v>64.0</v>
      </c>
      <c r="AJ92" s="308">
        <v>47.0</v>
      </c>
      <c r="AK92" s="308">
        <f t="shared" si="133"/>
        <v>3008</v>
      </c>
      <c r="AL92" s="295" t="s">
        <v>301</v>
      </c>
      <c r="AM92" s="332">
        <v>50.0</v>
      </c>
      <c r="AN92" s="286">
        <v>47.0</v>
      </c>
      <c r="AO92" s="333">
        <f t="shared" si="134"/>
        <v>2350</v>
      </c>
      <c r="AP92" s="295" t="s">
        <v>301</v>
      </c>
      <c r="AQ92" s="332">
        <v>32.0</v>
      </c>
      <c r="AR92" s="286">
        <v>47.0</v>
      </c>
      <c r="AS92" s="333">
        <f t="shared" si="135"/>
        <v>1504</v>
      </c>
      <c r="AT92" s="295" t="s">
        <v>301</v>
      </c>
      <c r="AU92" s="332">
        <v>35.0</v>
      </c>
      <c r="AV92" s="286">
        <v>47.0</v>
      </c>
      <c r="AW92" s="333">
        <f t="shared" si="136"/>
        <v>1645</v>
      </c>
    </row>
    <row r="93" ht="22.5" customHeight="1">
      <c r="A93" s="253"/>
      <c r="B93" s="334" t="s">
        <v>302</v>
      </c>
      <c r="C93" s="331">
        <v>0.0</v>
      </c>
      <c r="D93" s="308">
        <v>37.0</v>
      </c>
      <c r="E93" s="308">
        <f t="shared" si="125"/>
        <v>0</v>
      </c>
      <c r="F93" s="334" t="s">
        <v>302</v>
      </c>
      <c r="G93" s="331">
        <v>0.0</v>
      </c>
      <c r="H93" s="308">
        <v>37.0</v>
      </c>
      <c r="I93" s="308">
        <f t="shared" si="126"/>
        <v>0</v>
      </c>
      <c r="J93" s="334" t="s">
        <v>302</v>
      </c>
      <c r="K93" s="331">
        <v>0.0</v>
      </c>
      <c r="L93" s="308">
        <v>37.0</v>
      </c>
      <c r="M93" s="308">
        <f t="shared" si="127"/>
        <v>0</v>
      </c>
      <c r="N93" s="295" t="s">
        <v>302</v>
      </c>
      <c r="O93" s="332">
        <v>0.0</v>
      </c>
      <c r="P93" s="286">
        <v>37.0</v>
      </c>
      <c r="Q93" s="333">
        <f t="shared" si="128"/>
        <v>0</v>
      </c>
      <c r="R93" s="295" t="s">
        <v>302</v>
      </c>
      <c r="S93" s="332">
        <v>60.0</v>
      </c>
      <c r="T93" s="286">
        <v>37.0</v>
      </c>
      <c r="U93" s="333">
        <f t="shared" si="129"/>
        <v>2220</v>
      </c>
      <c r="V93" s="295" t="s">
        <v>302</v>
      </c>
      <c r="W93" s="332">
        <v>125.0</v>
      </c>
      <c r="X93" s="286">
        <v>37.0</v>
      </c>
      <c r="Y93" s="333">
        <f t="shared" si="130"/>
        <v>4625</v>
      </c>
      <c r="Z93" s="334" t="s">
        <v>302</v>
      </c>
      <c r="AA93" s="331">
        <v>144.0</v>
      </c>
      <c r="AB93" s="308">
        <v>37.0</v>
      </c>
      <c r="AC93" s="308">
        <f t="shared" si="131"/>
        <v>5328</v>
      </c>
      <c r="AD93" s="334" t="s">
        <v>302</v>
      </c>
      <c r="AE93" s="331">
        <v>229.0</v>
      </c>
      <c r="AF93" s="308">
        <v>37.0</v>
      </c>
      <c r="AG93" s="308">
        <f t="shared" si="132"/>
        <v>8473</v>
      </c>
      <c r="AH93" s="334" t="s">
        <v>302</v>
      </c>
      <c r="AI93" s="331">
        <v>130.0</v>
      </c>
      <c r="AJ93" s="308">
        <v>37.0</v>
      </c>
      <c r="AK93" s="308">
        <f t="shared" si="133"/>
        <v>4810</v>
      </c>
      <c r="AL93" s="295" t="s">
        <v>302</v>
      </c>
      <c r="AM93" s="332">
        <v>85.0</v>
      </c>
      <c r="AN93" s="286">
        <v>37.0</v>
      </c>
      <c r="AO93" s="333">
        <f t="shared" si="134"/>
        <v>3145</v>
      </c>
      <c r="AP93" s="295" t="s">
        <v>302</v>
      </c>
      <c r="AQ93" s="332">
        <v>103.0</v>
      </c>
      <c r="AR93" s="286">
        <v>37.0</v>
      </c>
      <c r="AS93" s="333">
        <f t="shared" si="135"/>
        <v>3811</v>
      </c>
      <c r="AT93" s="295" t="s">
        <v>302</v>
      </c>
      <c r="AU93" s="332">
        <v>167.0</v>
      </c>
      <c r="AV93" s="286">
        <v>37.0</v>
      </c>
      <c r="AW93" s="333">
        <f t="shared" si="136"/>
        <v>6179</v>
      </c>
    </row>
    <row r="94" ht="22.5" customHeight="1">
      <c r="A94" s="253"/>
      <c r="B94" s="335" t="s">
        <v>303</v>
      </c>
      <c r="C94" s="331">
        <v>0.0</v>
      </c>
      <c r="D94" s="308">
        <v>97.0</v>
      </c>
      <c r="E94" s="308">
        <f t="shared" si="125"/>
        <v>0</v>
      </c>
      <c r="F94" s="335" t="s">
        <v>303</v>
      </c>
      <c r="G94" s="331">
        <v>0.0</v>
      </c>
      <c r="H94" s="308">
        <v>97.0</v>
      </c>
      <c r="I94" s="308">
        <f t="shared" si="126"/>
        <v>0</v>
      </c>
      <c r="J94" s="335" t="s">
        <v>303</v>
      </c>
      <c r="K94" s="331">
        <v>0.0</v>
      </c>
      <c r="L94" s="308">
        <v>97.0</v>
      </c>
      <c r="M94" s="308">
        <f t="shared" si="127"/>
        <v>0</v>
      </c>
      <c r="N94" s="336" t="s">
        <v>303</v>
      </c>
      <c r="O94" s="332">
        <v>0.0</v>
      </c>
      <c r="P94" s="286">
        <v>97.0</v>
      </c>
      <c r="Q94" s="286">
        <f t="shared" si="128"/>
        <v>0</v>
      </c>
      <c r="R94" s="336" t="s">
        <v>303</v>
      </c>
      <c r="S94" s="332">
        <v>0.0</v>
      </c>
      <c r="T94" s="286">
        <v>97.0</v>
      </c>
      <c r="U94" s="286">
        <f t="shared" si="129"/>
        <v>0</v>
      </c>
      <c r="V94" s="336" t="s">
        <v>303</v>
      </c>
      <c r="W94" s="332">
        <v>0.0</v>
      </c>
      <c r="X94" s="286">
        <v>97.0</v>
      </c>
      <c r="Y94" s="286">
        <f t="shared" si="130"/>
        <v>0</v>
      </c>
      <c r="Z94" s="335" t="s">
        <v>303</v>
      </c>
      <c r="AA94" s="331">
        <v>0.0</v>
      </c>
      <c r="AB94" s="308">
        <v>97.0</v>
      </c>
      <c r="AC94" s="308">
        <f t="shared" si="131"/>
        <v>0</v>
      </c>
      <c r="AD94" s="335" t="s">
        <v>303</v>
      </c>
      <c r="AE94" s="331">
        <v>0.0</v>
      </c>
      <c r="AF94" s="308">
        <v>97.0</v>
      </c>
      <c r="AG94" s="308">
        <f t="shared" si="132"/>
        <v>0</v>
      </c>
      <c r="AH94" s="335" t="s">
        <v>303</v>
      </c>
      <c r="AI94" s="331">
        <v>0.0</v>
      </c>
      <c r="AJ94" s="308">
        <v>97.0</v>
      </c>
      <c r="AK94" s="308">
        <f t="shared" si="133"/>
        <v>0</v>
      </c>
      <c r="AL94" s="336" t="s">
        <v>303</v>
      </c>
      <c r="AM94" s="332">
        <v>0.0</v>
      </c>
      <c r="AN94" s="286">
        <v>97.0</v>
      </c>
      <c r="AO94" s="286">
        <f t="shared" si="134"/>
        <v>0</v>
      </c>
      <c r="AP94" s="336" t="s">
        <v>303</v>
      </c>
      <c r="AQ94" s="332">
        <v>0.0</v>
      </c>
      <c r="AR94" s="286">
        <v>97.0</v>
      </c>
      <c r="AS94" s="286">
        <f t="shared" si="135"/>
        <v>0</v>
      </c>
      <c r="AT94" s="336" t="s">
        <v>303</v>
      </c>
      <c r="AU94" s="332">
        <v>0.0</v>
      </c>
      <c r="AV94" s="286">
        <v>97.0</v>
      </c>
      <c r="AW94" s="286">
        <f t="shared" si="136"/>
        <v>0</v>
      </c>
    </row>
    <row r="95" ht="22.5" customHeight="1">
      <c r="A95" s="253"/>
      <c r="B95" s="334" t="s">
        <v>277</v>
      </c>
      <c r="C95" s="331">
        <v>363.0</v>
      </c>
      <c r="D95" s="308">
        <v>397.0</v>
      </c>
      <c r="E95" s="308">
        <f t="shared" si="125"/>
        <v>144111</v>
      </c>
      <c r="F95" s="334" t="s">
        <v>277</v>
      </c>
      <c r="G95" s="331">
        <v>341.0</v>
      </c>
      <c r="H95" s="308">
        <v>397.0</v>
      </c>
      <c r="I95" s="308">
        <f t="shared" si="126"/>
        <v>135377</v>
      </c>
      <c r="J95" s="334" t="s">
        <v>277</v>
      </c>
      <c r="K95" s="331">
        <v>463.0</v>
      </c>
      <c r="L95" s="308">
        <v>397.0</v>
      </c>
      <c r="M95" s="308">
        <f t="shared" si="127"/>
        <v>183811</v>
      </c>
      <c r="N95" s="295" t="s">
        <v>277</v>
      </c>
      <c r="O95" s="332">
        <v>287.0</v>
      </c>
      <c r="P95" s="286">
        <v>397.0</v>
      </c>
      <c r="Q95" s="333">
        <f t="shared" si="128"/>
        <v>113939</v>
      </c>
      <c r="R95" s="295" t="s">
        <v>277</v>
      </c>
      <c r="S95" s="332">
        <v>297.0</v>
      </c>
      <c r="T95" s="286">
        <v>397.0</v>
      </c>
      <c r="U95" s="333">
        <f t="shared" si="129"/>
        <v>117909</v>
      </c>
      <c r="V95" s="295" t="s">
        <v>277</v>
      </c>
      <c r="W95" s="332">
        <v>262.0</v>
      </c>
      <c r="X95" s="286">
        <v>397.0</v>
      </c>
      <c r="Y95" s="333">
        <f t="shared" si="130"/>
        <v>104014</v>
      </c>
      <c r="Z95" s="334" t="s">
        <v>277</v>
      </c>
      <c r="AA95" s="331">
        <v>309.0</v>
      </c>
      <c r="AB95" s="308">
        <v>397.0</v>
      </c>
      <c r="AC95" s="308">
        <f t="shared" si="131"/>
        <v>122673</v>
      </c>
      <c r="AD95" s="334" t="s">
        <v>277</v>
      </c>
      <c r="AE95" s="331">
        <v>330.0</v>
      </c>
      <c r="AF95" s="308">
        <v>397.0</v>
      </c>
      <c r="AG95" s="308">
        <f t="shared" si="132"/>
        <v>131010</v>
      </c>
      <c r="AH95" s="334" t="s">
        <v>277</v>
      </c>
      <c r="AI95" s="331">
        <v>194.0</v>
      </c>
      <c r="AJ95" s="308">
        <v>397.0</v>
      </c>
      <c r="AK95" s="308">
        <f t="shared" si="133"/>
        <v>77018</v>
      </c>
      <c r="AL95" s="295" t="s">
        <v>277</v>
      </c>
      <c r="AM95" s="332">
        <v>130.0</v>
      </c>
      <c r="AN95" s="286">
        <v>397.0</v>
      </c>
      <c r="AO95" s="333">
        <f t="shared" si="134"/>
        <v>51610</v>
      </c>
      <c r="AP95" s="295" t="s">
        <v>277</v>
      </c>
      <c r="AQ95" s="332">
        <v>179.0</v>
      </c>
      <c r="AR95" s="286">
        <v>397.0</v>
      </c>
      <c r="AS95" s="333">
        <f t="shared" si="135"/>
        <v>71063</v>
      </c>
      <c r="AT95" s="295" t="s">
        <v>277</v>
      </c>
      <c r="AU95" s="332">
        <v>103.0</v>
      </c>
      <c r="AV95" s="286">
        <v>397.0</v>
      </c>
      <c r="AW95" s="333">
        <f t="shared" si="136"/>
        <v>40891</v>
      </c>
    </row>
    <row r="96" ht="22.5" customHeight="1">
      <c r="A96" s="253"/>
      <c r="B96" s="334" t="s">
        <v>260</v>
      </c>
      <c r="C96" s="331">
        <v>0.0</v>
      </c>
      <c r="D96" s="308">
        <v>997.0</v>
      </c>
      <c r="E96" s="308">
        <f t="shared" si="125"/>
        <v>0</v>
      </c>
      <c r="F96" s="334" t="s">
        <v>260</v>
      </c>
      <c r="G96" s="331">
        <v>0.0</v>
      </c>
      <c r="H96" s="308">
        <v>997.0</v>
      </c>
      <c r="I96" s="308">
        <f t="shared" si="126"/>
        <v>0</v>
      </c>
      <c r="J96" s="334" t="s">
        <v>260</v>
      </c>
      <c r="K96" s="331">
        <v>0.0</v>
      </c>
      <c r="L96" s="308">
        <v>997.0</v>
      </c>
      <c r="M96" s="308">
        <f t="shared" si="127"/>
        <v>0</v>
      </c>
      <c r="N96" s="295" t="s">
        <v>260</v>
      </c>
      <c r="O96" s="332">
        <v>0.0</v>
      </c>
      <c r="P96" s="286">
        <v>997.0</v>
      </c>
      <c r="Q96" s="333">
        <f t="shared" si="128"/>
        <v>0</v>
      </c>
      <c r="R96" s="295" t="s">
        <v>260</v>
      </c>
      <c r="S96" s="332">
        <v>0.0</v>
      </c>
      <c r="T96" s="286">
        <v>997.0</v>
      </c>
      <c r="U96" s="333">
        <f t="shared" si="129"/>
        <v>0</v>
      </c>
      <c r="V96" s="295" t="s">
        <v>260</v>
      </c>
      <c r="W96" s="332">
        <v>0.0</v>
      </c>
      <c r="X96" s="286">
        <v>997.0</v>
      </c>
      <c r="Y96" s="333">
        <f t="shared" si="130"/>
        <v>0</v>
      </c>
      <c r="Z96" s="334" t="s">
        <v>260</v>
      </c>
      <c r="AA96" s="331">
        <v>0.0</v>
      </c>
      <c r="AB96" s="308">
        <v>997.0</v>
      </c>
      <c r="AC96" s="308">
        <f t="shared" si="131"/>
        <v>0</v>
      </c>
      <c r="AD96" s="334" t="s">
        <v>260</v>
      </c>
      <c r="AE96" s="331">
        <v>0.0</v>
      </c>
      <c r="AF96" s="308">
        <v>997.0</v>
      </c>
      <c r="AG96" s="308">
        <f t="shared" si="132"/>
        <v>0</v>
      </c>
      <c r="AH96" s="334" t="s">
        <v>260</v>
      </c>
      <c r="AI96" s="331">
        <v>0.0</v>
      </c>
      <c r="AJ96" s="308">
        <v>997.0</v>
      </c>
      <c r="AK96" s="308">
        <f t="shared" si="133"/>
        <v>0</v>
      </c>
      <c r="AL96" s="295" t="s">
        <v>260</v>
      </c>
      <c r="AM96" s="332">
        <v>0.0</v>
      </c>
      <c r="AN96" s="286">
        <v>997.0</v>
      </c>
      <c r="AO96" s="333">
        <f t="shared" si="134"/>
        <v>0</v>
      </c>
      <c r="AP96" s="295" t="s">
        <v>260</v>
      </c>
      <c r="AQ96" s="332">
        <v>0.0</v>
      </c>
      <c r="AR96" s="286">
        <v>997.0</v>
      </c>
      <c r="AS96" s="333">
        <f t="shared" si="135"/>
        <v>0</v>
      </c>
      <c r="AT96" s="295" t="s">
        <v>260</v>
      </c>
      <c r="AU96" s="332">
        <v>108.0</v>
      </c>
      <c r="AV96" s="286">
        <v>997.0</v>
      </c>
      <c r="AW96" s="333">
        <f t="shared" si="136"/>
        <v>107676</v>
      </c>
    </row>
    <row r="97" ht="22.5" customHeight="1">
      <c r="A97" s="253"/>
      <c r="B97" s="334" t="s">
        <v>275</v>
      </c>
      <c r="C97" s="331">
        <v>0.0</v>
      </c>
      <c r="D97" s="308">
        <v>197.0</v>
      </c>
      <c r="E97" s="308">
        <f t="shared" si="125"/>
        <v>0</v>
      </c>
      <c r="F97" s="334" t="s">
        <v>275</v>
      </c>
      <c r="G97" s="331">
        <v>0.0</v>
      </c>
      <c r="H97" s="308">
        <v>197.0</v>
      </c>
      <c r="I97" s="308">
        <f t="shared" si="126"/>
        <v>0</v>
      </c>
      <c r="J97" s="334" t="s">
        <v>275</v>
      </c>
      <c r="K97" s="331">
        <v>0.0</v>
      </c>
      <c r="L97" s="308">
        <v>197.0</v>
      </c>
      <c r="M97" s="308">
        <f t="shared" si="127"/>
        <v>0</v>
      </c>
      <c r="N97" s="295" t="s">
        <v>275</v>
      </c>
      <c r="O97" s="332">
        <v>0.0</v>
      </c>
      <c r="P97" s="286">
        <v>197.0</v>
      </c>
      <c r="Q97" s="333">
        <f t="shared" si="128"/>
        <v>0</v>
      </c>
      <c r="R97" s="295" t="s">
        <v>275</v>
      </c>
      <c r="S97" s="332">
        <v>0.0</v>
      </c>
      <c r="T97" s="286">
        <v>197.0</v>
      </c>
      <c r="U97" s="333">
        <f t="shared" si="129"/>
        <v>0</v>
      </c>
      <c r="V97" s="295" t="s">
        <v>275</v>
      </c>
      <c r="W97" s="332">
        <v>0.0</v>
      </c>
      <c r="X97" s="286">
        <v>197.0</v>
      </c>
      <c r="Y97" s="333">
        <f t="shared" si="130"/>
        <v>0</v>
      </c>
      <c r="Z97" s="334" t="s">
        <v>275</v>
      </c>
      <c r="AA97" s="331">
        <v>0.0</v>
      </c>
      <c r="AB97" s="308">
        <v>197.0</v>
      </c>
      <c r="AC97" s="308">
        <f t="shared" si="131"/>
        <v>0</v>
      </c>
      <c r="AD97" s="334" t="s">
        <v>275</v>
      </c>
      <c r="AE97" s="331">
        <v>0.0</v>
      </c>
      <c r="AF97" s="308">
        <v>197.0</v>
      </c>
      <c r="AG97" s="308">
        <f t="shared" si="132"/>
        <v>0</v>
      </c>
      <c r="AH97" s="334" t="s">
        <v>275</v>
      </c>
      <c r="AI97" s="331">
        <v>23.0</v>
      </c>
      <c r="AJ97" s="308">
        <v>197.0</v>
      </c>
      <c r="AK97" s="308">
        <f t="shared" si="133"/>
        <v>4531</v>
      </c>
      <c r="AL97" s="295" t="s">
        <v>275</v>
      </c>
      <c r="AM97" s="332">
        <v>12.0</v>
      </c>
      <c r="AN97" s="286">
        <v>197.0</v>
      </c>
      <c r="AO97" s="333">
        <f t="shared" si="134"/>
        <v>2364</v>
      </c>
      <c r="AP97" s="295" t="s">
        <v>275</v>
      </c>
      <c r="AQ97" s="332">
        <v>0.0</v>
      </c>
      <c r="AR97" s="286">
        <v>197.0</v>
      </c>
      <c r="AS97" s="333">
        <f t="shared" si="135"/>
        <v>0</v>
      </c>
      <c r="AT97" s="295" t="s">
        <v>275</v>
      </c>
      <c r="AU97" s="332">
        <v>0.0</v>
      </c>
      <c r="AV97" s="286">
        <v>197.0</v>
      </c>
      <c r="AW97" s="333">
        <f t="shared" si="136"/>
        <v>0</v>
      </c>
    </row>
    <row r="98" ht="22.5" customHeight="1">
      <c r="A98" s="253"/>
      <c r="B98" s="334" t="s">
        <v>304</v>
      </c>
      <c r="C98" s="331">
        <v>0.0</v>
      </c>
      <c r="D98" s="308">
        <v>97.0</v>
      </c>
      <c r="E98" s="308">
        <f t="shared" si="125"/>
        <v>0</v>
      </c>
      <c r="F98" s="334" t="s">
        <v>304</v>
      </c>
      <c r="G98" s="331">
        <v>0.0</v>
      </c>
      <c r="H98" s="308">
        <v>97.0</v>
      </c>
      <c r="I98" s="308">
        <f t="shared" si="126"/>
        <v>0</v>
      </c>
      <c r="J98" s="334" t="s">
        <v>304</v>
      </c>
      <c r="K98" s="331">
        <v>0.0</v>
      </c>
      <c r="L98" s="308">
        <v>97.0</v>
      </c>
      <c r="M98" s="308">
        <f t="shared" si="127"/>
        <v>0</v>
      </c>
      <c r="N98" s="295" t="s">
        <v>304</v>
      </c>
      <c r="O98" s="332">
        <v>0.0</v>
      </c>
      <c r="P98" s="286">
        <v>97.0</v>
      </c>
      <c r="Q98" s="333">
        <f t="shared" si="128"/>
        <v>0</v>
      </c>
      <c r="R98" s="295" t="s">
        <v>304</v>
      </c>
      <c r="S98" s="332">
        <v>0.0</v>
      </c>
      <c r="T98" s="286">
        <v>97.0</v>
      </c>
      <c r="U98" s="333">
        <f t="shared" si="129"/>
        <v>0</v>
      </c>
      <c r="V98" s="295" t="s">
        <v>304</v>
      </c>
      <c r="W98" s="332">
        <v>0.0</v>
      </c>
      <c r="X98" s="286">
        <v>97.0</v>
      </c>
      <c r="Y98" s="333">
        <f t="shared" si="130"/>
        <v>0</v>
      </c>
      <c r="Z98" s="334" t="s">
        <v>304</v>
      </c>
      <c r="AA98" s="331">
        <v>0.0</v>
      </c>
      <c r="AB98" s="308">
        <v>97.0</v>
      </c>
      <c r="AC98" s="308">
        <f t="shared" si="131"/>
        <v>0</v>
      </c>
      <c r="AD98" s="334" t="s">
        <v>304</v>
      </c>
      <c r="AE98" s="331">
        <v>0.0</v>
      </c>
      <c r="AF98" s="308">
        <v>97.0</v>
      </c>
      <c r="AG98" s="308">
        <f t="shared" si="132"/>
        <v>0</v>
      </c>
      <c r="AH98" s="334" t="s">
        <v>304</v>
      </c>
      <c r="AI98" s="331">
        <v>0.0</v>
      </c>
      <c r="AJ98" s="308">
        <v>97.0</v>
      </c>
      <c r="AK98" s="308">
        <f t="shared" si="133"/>
        <v>0</v>
      </c>
      <c r="AL98" s="295" t="s">
        <v>304</v>
      </c>
      <c r="AM98" s="332">
        <v>0.0</v>
      </c>
      <c r="AN98" s="286">
        <v>97.0</v>
      </c>
      <c r="AO98" s="333">
        <f t="shared" si="134"/>
        <v>0</v>
      </c>
      <c r="AP98" s="295" t="s">
        <v>304</v>
      </c>
      <c r="AQ98" s="332">
        <v>0.0</v>
      </c>
      <c r="AR98" s="286">
        <v>97.0</v>
      </c>
      <c r="AS98" s="333">
        <f t="shared" si="135"/>
        <v>0</v>
      </c>
      <c r="AT98" s="295" t="s">
        <v>304</v>
      </c>
      <c r="AU98" s="332">
        <v>109.0</v>
      </c>
      <c r="AV98" s="286">
        <v>97.0</v>
      </c>
      <c r="AW98" s="333">
        <f t="shared" si="136"/>
        <v>10573</v>
      </c>
    </row>
    <row r="99" ht="22.5" customHeight="1">
      <c r="A99" s="253"/>
      <c r="B99" s="305" t="s">
        <v>305</v>
      </c>
      <c r="C99" s="331">
        <v>0.0</v>
      </c>
      <c r="D99" s="308">
        <v>97.0</v>
      </c>
      <c r="E99" s="308">
        <f t="shared" si="125"/>
        <v>0</v>
      </c>
      <c r="F99" s="305" t="s">
        <v>305</v>
      </c>
      <c r="G99" s="331">
        <v>0.0</v>
      </c>
      <c r="H99" s="308">
        <v>97.0</v>
      </c>
      <c r="I99" s="308">
        <f t="shared" si="126"/>
        <v>0</v>
      </c>
      <c r="J99" s="305" t="s">
        <v>305</v>
      </c>
      <c r="K99" s="331">
        <v>0.0</v>
      </c>
      <c r="L99" s="308">
        <v>97.0</v>
      </c>
      <c r="M99" s="308">
        <f t="shared" si="127"/>
        <v>0</v>
      </c>
      <c r="N99" s="303" t="s">
        <v>305</v>
      </c>
      <c r="O99" s="332">
        <v>0.0</v>
      </c>
      <c r="P99" s="286">
        <v>97.0</v>
      </c>
      <c r="Q99" s="333">
        <f t="shared" si="128"/>
        <v>0</v>
      </c>
      <c r="R99" s="303" t="s">
        <v>305</v>
      </c>
      <c r="S99" s="332">
        <v>0.0</v>
      </c>
      <c r="T99" s="286">
        <v>97.0</v>
      </c>
      <c r="U99" s="333">
        <f t="shared" si="129"/>
        <v>0</v>
      </c>
      <c r="V99" s="303" t="s">
        <v>305</v>
      </c>
      <c r="W99" s="332">
        <v>5.0</v>
      </c>
      <c r="X99" s="286">
        <v>97.0</v>
      </c>
      <c r="Y99" s="333">
        <f t="shared" si="130"/>
        <v>485</v>
      </c>
      <c r="Z99" s="305" t="s">
        <v>305</v>
      </c>
      <c r="AA99" s="331">
        <v>86.0</v>
      </c>
      <c r="AB99" s="308">
        <v>97.0</v>
      </c>
      <c r="AC99" s="308">
        <f t="shared" si="131"/>
        <v>8342</v>
      </c>
      <c r="AD99" s="305" t="s">
        <v>305</v>
      </c>
      <c r="AE99" s="331">
        <v>71.0</v>
      </c>
      <c r="AF99" s="308">
        <v>97.0</v>
      </c>
      <c r="AG99" s="308">
        <f t="shared" si="132"/>
        <v>6887</v>
      </c>
      <c r="AH99" s="305" t="s">
        <v>305</v>
      </c>
      <c r="AI99" s="331">
        <v>23.0</v>
      </c>
      <c r="AJ99" s="308">
        <v>97.0</v>
      </c>
      <c r="AK99" s="308">
        <f t="shared" si="133"/>
        <v>2231</v>
      </c>
      <c r="AL99" s="303" t="s">
        <v>305</v>
      </c>
      <c r="AM99" s="332">
        <v>7.0</v>
      </c>
      <c r="AN99" s="286">
        <v>97.0</v>
      </c>
      <c r="AO99" s="333">
        <f t="shared" si="134"/>
        <v>679</v>
      </c>
      <c r="AP99" s="303" t="s">
        <v>305</v>
      </c>
      <c r="AQ99" s="332">
        <v>9.0</v>
      </c>
      <c r="AR99" s="286">
        <v>97.0</v>
      </c>
      <c r="AS99" s="333">
        <f t="shared" si="135"/>
        <v>873</v>
      </c>
      <c r="AT99" s="303" t="s">
        <v>305</v>
      </c>
      <c r="AU99" s="332">
        <v>18.0</v>
      </c>
      <c r="AV99" s="286">
        <v>97.0</v>
      </c>
      <c r="AW99" s="333">
        <f t="shared" si="136"/>
        <v>1746</v>
      </c>
    </row>
    <row r="100" ht="22.5" customHeight="1">
      <c r="A100" s="253"/>
      <c r="B100" s="305" t="s">
        <v>279</v>
      </c>
      <c r="C100" s="331">
        <v>0.0</v>
      </c>
      <c r="D100" s="308">
        <v>397.0</v>
      </c>
      <c r="E100" s="308">
        <f t="shared" si="125"/>
        <v>0</v>
      </c>
      <c r="F100" s="305" t="s">
        <v>279</v>
      </c>
      <c r="G100" s="331">
        <v>0.0</v>
      </c>
      <c r="H100" s="308">
        <v>397.0</v>
      </c>
      <c r="I100" s="308">
        <f t="shared" si="126"/>
        <v>0</v>
      </c>
      <c r="J100" s="305" t="s">
        <v>279</v>
      </c>
      <c r="K100" s="331">
        <v>0.0</v>
      </c>
      <c r="L100" s="308">
        <v>397.0</v>
      </c>
      <c r="M100" s="308">
        <f t="shared" si="127"/>
        <v>0</v>
      </c>
      <c r="N100" s="303" t="s">
        <v>279</v>
      </c>
      <c r="O100" s="332">
        <v>239.0</v>
      </c>
      <c r="P100" s="286">
        <v>397.0</v>
      </c>
      <c r="Q100" s="333">
        <f t="shared" si="128"/>
        <v>94883</v>
      </c>
      <c r="R100" s="303" t="s">
        <v>279</v>
      </c>
      <c r="S100" s="332">
        <v>188.0</v>
      </c>
      <c r="T100" s="286">
        <v>397.0</v>
      </c>
      <c r="U100" s="333">
        <f t="shared" si="129"/>
        <v>74636</v>
      </c>
      <c r="V100" s="303" t="s">
        <v>279</v>
      </c>
      <c r="W100" s="332">
        <v>168.0</v>
      </c>
      <c r="X100" s="286">
        <v>397.0</v>
      </c>
      <c r="Y100" s="333">
        <f t="shared" si="130"/>
        <v>66696</v>
      </c>
      <c r="Z100" s="305" t="s">
        <v>279</v>
      </c>
      <c r="AA100" s="331">
        <v>153.0</v>
      </c>
      <c r="AB100" s="308">
        <v>397.0</v>
      </c>
      <c r="AC100" s="308">
        <f t="shared" si="131"/>
        <v>60741</v>
      </c>
      <c r="AD100" s="305" t="s">
        <v>279</v>
      </c>
      <c r="AE100" s="331">
        <v>129.0</v>
      </c>
      <c r="AF100" s="308">
        <v>397.0</v>
      </c>
      <c r="AG100" s="308">
        <f t="shared" si="132"/>
        <v>51213</v>
      </c>
      <c r="AH100" s="305" t="s">
        <v>279</v>
      </c>
      <c r="AI100" s="331">
        <v>175.0</v>
      </c>
      <c r="AJ100" s="308">
        <v>397.0</v>
      </c>
      <c r="AK100" s="308">
        <f t="shared" si="133"/>
        <v>69475</v>
      </c>
      <c r="AL100" s="303" t="s">
        <v>279</v>
      </c>
      <c r="AM100" s="332">
        <v>129.0</v>
      </c>
      <c r="AN100" s="286">
        <v>397.0</v>
      </c>
      <c r="AO100" s="333">
        <f t="shared" si="134"/>
        <v>51213</v>
      </c>
      <c r="AP100" s="303" t="s">
        <v>279</v>
      </c>
      <c r="AQ100" s="332">
        <v>85.0</v>
      </c>
      <c r="AR100" s="286">
        <v>397.0</v>
      </c>
      <c r="AS100" s="333">
        <f t="shared" si="135"/>
        <v>33745</v>
      </c>
      <c r="AT100" s="303" t="s">
        <v>279</v>
      </c>
      <c r="AU100" s="332">
        <v>71.0</v>
      </c>
      <c r="AV100" s="286">
        <v>397.0</v>
      </c>
      <c r="AW100" s="333">
        <f t="shared" si="136"/>
        <v>28187</v>
      </c>
    </row>
    <row r="101" ht="22.5" customHeight="1">
      <c r="A101" s="253"/>
      <c r="B101" s="305" t="s">
        <v>281</v>
      </c>
      <c r="C101" s="331">
        <v>37.0</v>
      </c>
      <c r="D101" s="308">
        <v>497.0</v>
      </c>
      <c r="E101" s="308">
        <f t="shared" si="125"/>
        <v>18389</v>
      </c>
      <c r="F101" s="305" t="s">
        <v>281</v>
      </c>
      <c r="G101" s="331">
        <v>57.0</v>
      </c>
      <c r="H101" s="308">
        <v>497.0</v>
      </c>
      <c r="I101" s="308">
        <f t="shared" si="126"/>
        <v>28329</v>
      </c>
      <c r="J101" s="305" t="s">
        <v>281</v>
      </c>
      <c r="K101" s="331">
        <v>54.0</v>
      </c>
      <c r="L101" s="308">
        <v>497.0</v>
      </c>
      <c r="M101" s="308">
        <f t="shared" si="127"/>
        <v>26838</v>
      </c>
      <c r="N101" s="303" t="s">
        <v>281</v>
      </c>
      <c r="O101" s="332">
        <v>35.0</v>
      </c>
      <c r="P101" s="286">
        <v>497.0</v>
      </c>
      <c r="Q101" s="333">
        <f t="shared" si="128"/>
        <v>17395</v>
      </c>
      <c r="R101" s="303" t="s">
        <v>281</v>
      </c>
      <c r="S101" s="332">
        <v>44.0</v>
      </c>
      <c r="T101" s="286">
        <v>497.0</v>
      </c>
      <c r="U101" s="333">
        <f t="shared" si="129"/>
        <v>21868</v>
      </c>
      <c r="V101" s="303" t="s">
        <v>281</v>
      </c>
      <c r="W101" s="332">
        <v>25.0</v>
      </c>
      <c r="X101" s="286">
        <v>497.0</v>
      </c>
      <c r="Y101" s="333">
        <f t="shared" si="130"/>
        <v>12425</v>
      </c>
      <c r="Z101" s="305" t="s">
        <v>281</v>
      </c>
      <c r="AA101" s="331">
        <v>32.0</v>
      </c>
      <c r="AB101" s="308">
        <v>497.0</v>
      </c>
      <c r="AC101" s="308">
        <f t="shared" si="131"/>
        <v>15904</v>
      </c>
      <c r="AD101" s="305" t="s">
        <v>281</v>
      </c>
      <c r="AE101" s="331">
        <v>28.0</v>
      </c>
      <c r="AF101" s="308">
        <v>497.0</v>
      </c>
      <c r="AG101" s="308">
        <f t="shared" si="132"/>
        <v>13916</v>
      </c>
      <c r="AH101" s="305" t="s">
        <v>281</v>
      </c>
      <c r="AI101" s="331">
        <v>22.0</v>
      </c>
      <c r="AJ101" s="308">
        <v>497.0</v>
      </c>
      <c r="AK101" s="308">
        <f t="shared" si="133"/>
        <v>10934</v>
      </c>
      <c r="AL101" s="303" t="s">
        <v>281</v>
      </c>
      <c r="AM101" s="332">
        <v>109.0</v>
      </c>
      <c r="AN101" s="286">
        <v>497.0</v>
      </c>
      <c r="AO101" s="333">
        <f t="shared" si="134"/>
        <v>54173</v>
      </c>
      <c r="AP101" s="303" t="s">
        <v>281</v>
      </c>
      <c r="AQ101" s="332">
        <v>11.0</v>
      </c>
      <c r="AR101" s="286">
        <v>497.0</v>
      </c>
      <c r="AS101" s="333">
        <f t="shared" si="135"/>
        <v>5467</v>
      </c>
      <c r="AT101" s="303" t="s">
        <v>281</v>
      </c>
      <c r="AU101" s="332">
        <v>12.0</v>
      </c>
      <c r="AV101" s="286">
        <v>497.0</v>
      </c>
      <c r="AW101" s="333">
        <f t="shared" si="136"/>
        <v>5964</v>
      </c>
    </row>
    <row r="102" ht="22.5" customHeight="1">
      <c r="A102" s="253"/>
      <c r="B102" s="337" t="s">
        <v>306</v>
      </c>
      <c r="C102" s="306">
        <v>0.0</v>
      </c>
      <c r="D102" s="301">
        <v>997.0</v>
      </c>
      <c r="E102" s="308">
        <f t="shared" si="125"/>
        <v>0</v>
      </c>
      <c r="F102" s="337" t="s">
        <v>306</v>
      </c>
      <c r="G102" s="306">
        <v>0.0</v>
      </c>
      <c r="H102" s="301">
        <v>997.0</v>
      </c>
      <c r="I102" s="308">
        <f t="shared" si="126"/>
        <v>0</v>
      </c>
      <c r="J102" s="337" t="s">
        <v>306</v>
      </c>
      <c r="K102" s="306">
        <v>0.0</v>
      </c>
      <c r="L102" s="301">
        <v>997.0</v>
      </c>
      <c r="M102" s="308">
        <f t="shared" si="127"/>
        <v>0</v>
      </c>
      <c r="N102" s="316" t="s">
        <v>306</v>
      </c>
      <c r="O102" s="284">
        <v>0.0</v>
      </c>
      <c r="P102" s="338">
        <v>997.0</v>
      </c>
      <c r="Q102" s="286">
        <f t="shared" si="128"/>
        <v>0</v>
      </c>
      <c r="R102" s="316" t="s">
        <v>306</v>
      </c>
      <c r="S102" s="284">
        <v>0.0</v>
      </c>
      <c r="T102" s="338">
        <v>997.0</v>
      </c>
      <c r="U102" s="286">
        <f t="shared" si="129"/>
        <v>0</v>
      </c>
      <c r="V102" s="316" t="s">
        <v>306</v>
      </c>
      <c r="W102" s="284">
        <v>0.0</v>
      </c>
      <c r="X102" s="338">
        <v>997.0</v>
      </c>
      <c r="Y102" s="286">
        <f t="shared" si="130"/>
        <v>0</v>
      </c>
      <c r="Z102" s="337" t="s">
        <v>306</v>
      </c>
      <c r="AA102" s="306">
        <v>0.0</v>
      </c>
      <c r="AB102" s="301">
        <v>997.0</v>
      </c>
      <c r="AC102" s="308">
        <f t="shared" si="131"/>
        <v>0</v>
      </c>
      <c r="AD102" s="337" t="s">
        <v>306</v>
      </c>
      <c r="AE102" s="306">
        <v>0.0</v>
      </c>
      <c r="AF102" s="301">
        <v>997.0</v>
      </c>
      <c r="AG102" s="308">
        <f t="shared" si="132"/>
        <v>0</v>
      </c>
      <c r="AH102" s="337" t="s">
        <v>306</v>
      </c>
      <c r="AI102" s="306">
        <v>0.0</v>
      </c>
      <c r="AJ102" s="301">
        <v>997.0</v>
      </c>
      <c r="AK102" s="308">
        <f t="shared" si="133"/>
        <v>0</v>
      </c>
      <c r="AL102" s="316" t="s">
        <v>306</v>
      </c>
      <c r="AM102" s="284">
        <v>0.0</v>
      </c>
      <c r="AN102" s="338">
        <v>997.0</v>
      </c>
      <c r="AO102" s="286">
        <f t="shared" si="134"/>
        <v>0</v>
      </c>
      <c r="AP102" s="316" t="s">
        <v>306</v>
      </c>
      <c r="AQ102" s="284">
        <v>0.0</v>
      </c>
      <c r="AR102" s="338">
        <v>997.0</v>
      </c>
      <c r="AS102" s="286">
        <f t="shared" si="135"/>
        <v>0</v>
      </c>
      <c r="AT102" s="316" t="s">
        <v>306</v>
      </c>
      <c r="AU102" s="284">
        <v>0.0</v>
      </c>
      <c r="AV102" s="338">
        <v>997.0</v>
      </c>
      <c r="AW102" s="286">
        <f t="shared" si="136"/>
        <v>0</v>
      </c>
    </row>
    <row r="103" ht="22.5" customHeight="1">
      <c r="A103" s="253"/>
      <c r="B103" s="337" t="s">
        <v>307</v>
      </c>
      <c r="C103" s="306">
        <v>0.0</v>
      </c>
      <c r="D103" s="301">
        <v>97.0</v>
      </c>
      <c r="E103" s="308">
        <f t="shared" si="125"/>
        <v>0</v>
      </c>
      <c r="F103" s="337" t="s">
        <v>307</v>
      </c>
      <c r="G103" s="306">
        <v>0.0</v>
      </c>
      <c r="H103" s="301">
        <v>97.0</v>
      </c>
      <c r="I103" s="308">
        <f t="shared" si="126"/>
        <v>0</v>
      </c>
      <c r="J103" s="337" t="s">
        <v>307</v>
      </c>
      <c r="K103" s="306">
        <v>0.0</v>
      </c>
      <c r="L103" s="301">
        <v>97.0</v>
      </c>
      <c r="M103" s="308">
        <f t="shared" si="127"/>
        <v>0</v>
      </c>
      <c r="N103" s="316" t="s">
        <v>307</v>
      </c>
      <c r="O103" s="284">
        <v>0.0</v>
      </c>
      <c r="P103" s="338">
        <v>97.0</v>
      </c>
      <c r="Q103" s="286">
        <f t="shared" si="128"/>
        <v>0</v>
      </c>
      <c r="R103" s="316" t="s">
        <v>307</v>
      </c>
      <c r="S103" s="284">
        <v>0.0</v>
      </c>
      <c r="T103" s="338">
        <v>97.0</v>
      </c>
      <c r="U103" s="286">
        <f t="shared" si="129"/>
        <v>0</v>
      </c>
      <c r="V103" s="316" t="s">
        <v>307</v>
      </c>
      <c r="W103" s="284">
        <v>0.0</v>
      </c>
      <c r="X103" s="338">
        <v>97.0</v>
      </c>
      <c r="Y103" s="286">
        <f t="shared" si="130"/>
        <v>0</v>
      </c>
      <c r="Z103" s="337" t="s">
        <v>307</v>
      </c>
      <c r="AA103" s="306">
        <v>0.0</v>
      </c>
      <c r="AB103" s="301">
        <v>97.0</v>
      </c>
      <c r="AC103" s="308">
        <f t="shared" si="131"/>
        <v>0</v>
      </c>
      <c r="AD103" s="337" t="s">
        <v>307</v>
      </c>
      <c r="AE103" s="306">
        <v>0.0</v>
      </c>
      <c r="AF103" s="301">
        <v>97.0</v>
      </c>
      <c r="AG103" s="308">
        <f t="shared" si="132"/>
        <v>0</v>
      </c>
      <c r="AH103" s="337" t="s">
        <v>307</v>
      </c>
      <c r="AI103" s="306">
        <v>0.0</v>
      </c>
      <c r="AJ103" s="301">
        <v>97.0</v>
      </c>
      <c r="AK103" s="308">
        <f t="shared" si="133"/>
        <v>0</v>
      </c>
      <c r="AL103" s="316" t="s">
        <v>307</v>
      </c>
      <c r="AM103" s="284">
        <v>0.0</v>
      </c>
      <c r="AN103" s="338">
        <v>97.0</v>
      </c>
      <c r="AO103" s="286">
        <f t="shared" si="134"/>
        <v>0</v>
      </c>
      <c r="AP103" s="316" t="s">
        <v>307</v>
      </c>
      <c r="AQ103" s="284">
        <v>0.0</v>
      </c>
      <c r="AR103" s="338">
        <v>97.0</v>
      </c>
      <c r="AS103" s="286">
        <f t="shared" si="135"/>
        <v>0</v>
      </c>
      <c r="AT103" s="316" t="s">
        <v>307</v>
      </c>
      <c r="AU103" s="284">
        <v>0.0</v>
      </c>
      <c r="AV103" s="338">
        <v>97.0</v>
      </c>
      <c r="AW103" s="286">
        <f t="shared" si="136"/>
        <v>0</v>
      </c>
    </row>
    <row r="104" ht="22.5" customHeight="1">
      <c r="A104" s="253"/>
      <c r="B104" s="337" t="s">
        <v>308</v>
      </c>
      <c r="C104" s="306">
        <v>0.0</v>
      </c>
      <c r="D104" s="301">
        <v>97.0</v>
      </c>
      <c r="E104" s="308">
        <f t="shared" si="125"/>
        <v>0</v>
      </c>
      <c r="F104" s="337" t="s">
        <v>308</v>
      </c>
      <c r="G104" s="306">
        <v>0.0</v>
      </c>
      <c r="H104" s="301">
        <v>97.0</v>
      </c>
      <c r="I104" s="308">
        <f t="shared" si="126"/>
        <v>0</v>
      </c>
      <c r="J104" s="337" t="s">
        <v>308</v>
      </c>
      <c r="K104" s="306">
        <v>0.0</v>
      </c>
      <c r="L104" s="301">
        <v>97.0</v>
      </c>
      <c r="M104" s="308">
        <f t="shared" si="127"/>
        <v>0</v>
      </c>
      <c r="N104" s="316" t="s">
        <v>308</v>
      </c>
      <c r="O104" s="284">
        <v>0.0</v>
      </c>
      <c r="P104" s="338">
        <v>97.0</v>
      </c>
      <c r="Q104" s="286">
        <f t="shared" si="128"/>
        <v>0</v>
      </c>
      <c r="R104" s="316" t="s">
        <v>308</v>
      </c>
      <c r="S104" s="284">
        <v>0.0</v>
      </c>
      <c r="T104" s="338">
        <v>97.0</v>
      </c>
      <c r="U104" s="286">
        <f t="shared" si="129"/>
        <v>0</v>
      </c>
      <c r="V104" s="316" t="s">
        <v>308</v>
      </c>
      <c r="W104" s="284">
        <v>0.0</v>
      </c>
      <c r="X104" s="338">
        <v>97.0</v>
      </c>
      <c r="Y104" s="286">
        <f t="shared" si="130"/>
        <v>0</v>
      </c>
      <c r="Z104" s="337" t="s">
        <v>308</v>
      </c>
      <c r="AA104" s="306">
        <v>0.0</v>
      </c>
      <c r="AB104" s="301">
        <v>97.0</v>
      </c>
      <c r="AC104" s="308">
        <f t="shared" si="131"/>
        <v>0</v>
      </c>
      <c r="AD104" s="337" t="s">
        <v>308</v>
      </c>
      <c r="AE104" s="306">
        <v>0.0</v>
      </c>
      <c r="AF104" s="301">
        <v>97.0</v>
      </c>
      <c r="AG104" s="308">
        <f t="shared" si="132"/>
        <v>0</v>
      </c>
      <c r="AH104" s="337" t="s">
        <v>308</v>
      </c>
      <c r="AI104" s="306">
        <v>0.0</v>
      </c>
      <c r="AJ104" s="301">
        <v>97.0</v>
      </c>
      <c r="AK104" s="308">
        <f t="shared" si="133"/>
        <v>0</v>
      </c>
      <c r="AL104" s="316" t="s">
        <v>308</v>
      </c>
      <c r="AM104" s="284">
        <v>0.0</v>
      </c>
      <c r="AN104" s="338">
        <v>97.0</v>
      </c>
      <c r="AO104" s="286">
        <f t="shared" si="134"/>
        <v>0</v>
      </c>
      <c r="AP104" s="316" t="s">
        <v>308</v>
      </c>
      <c r="AQ104" s="284">
        <v>0.0</v>
      </c>
      <c r="AR104" s="338">
        <v>97.0</v>
      </c>
      <c r="AS104" s="286">
        <f t="shared" si="135"/>
        <v>0</v>
      </c>
      <c r="AT104" s="316" t="s">
        <v>308</v>
      </c>
      <c r="AU104" s="284">
        <v>0.0</v>
      </c>
      <c r="AV104" s="338">
        <v>97.0</v>
      </c>
      <c r="AW104" s="286">
        <f t="shared" si="136"/>
        <v>0</v>
      </c>
    </row>
    <row r="105" ht="22.5" customHeight="1">
      <c r="A105" s="253"/>
      <c r="B105" s="337" t="s">
        <v>309</v>
      </c>
      <c r="C105" s="306">
        <v>0.0</v>
      </c>
      <c r="D105" s="301">
        <v>997.0</v>
      </c>
      <c r="E105" s="308">
        <f t="shared" si="125"/>
        <v>0</v>
      </c>
      <c r="F105" s="337" t="s">
        <v>309</v>
      </c>
      <c r="G105" s="306">
        <v>0.0</v>
      </c>
      <c r="H105" s="301">
        <v>997.0</v>
      </c>
      <c r="I105" s="308">
        <f t="shared" si="126"/>
        <v>0</v>
      </c>
      <c r="J105" s="337" t="s">
        <v>309</v>
      </c>
      <c r="K105" s="306">
        <v>0.0</v>
      </c>
      <c r="L105" s="301">
        <v>997.0</v>
      </c>
      <c r="M105" s="308">
        <f t="shared" si="127"/>
        <v>0</v>
      </c>
      <c r="N105" s="316" t="s">
        <v>309</v>
      </c>
      <c r="O105" s="284">
        <v>0.0</v>
      </c>
      <c r="P105" s="338">
        <v>997.0</v>
      </c>
      <c r="Q105" s="286">
        <f t="shared" si="128"/>
        <v>0</v>
      </c>
      <c r="R105" s="316" t="s">
        <v>309</v>
      </c>
      <c r="S105" s="284">
        <v>0.0</v>
      </c>
      <c r="T105" s="338">
        <v>997.0</v>
      </c>
      <c r="U105" s="286">
        <f t="shared" si="129"/>
        <v>0</v>
      </c>
      <c r="V105" s="316" t="s">
        <v>309</v>
      </c>
      <c r="W105" s="284">
        <v>0.0</v>
      </c>
      <c r="X105" s="338">
        <v>997.0</v>
      </c>
      <c r="Y105" s="286">
        <f t="shared" si="130"/>
        <v>0</v>
      </c>
      <c r="Z105" s="337" t="s">
        <v>309</v>
      </c>
      <c r="AA105" s="306">
        <v>0.0</v>
      </c>
      <c r="AB105" s="301">
        <v>997.0</v>
      </c>
      <c r="AC105" s="308">
        <f t="shared" si="131"/>
        <v>0</v>
      </c>
      <c r="AD105" s="337" t="s">
        <v>309</v>
      </c>
      <c r="AE105" s="306">
        <v>0.0</v>
      </c>
      <c r="AF105" s="301">
        <v>997.0</v>
      </c>
      <c r="AG105" s="308">
        <f t="shared" si="132"/>
        <v>0</v>
      </c>
      <c r="AH105" s="337" t="s">
        <v>309</v>
      </c>
      <c r="AI105" s="306">
        <v>0.0</v>
      </c>
      <c r="AJ105" s="301">
        <v>997.0</v>
      </c>
      <c r="AK105" s="308">
        <f t="shared" si="133"/>
        <v>0</v>
      </c>
      <c r="AL105" s="316" t="s">
        <v>309</v>
      </c>
      <c r="AM105" s="284">
        <v>0.0</v>
      </c>
      <c r="AN105" s="338">
        <v>997.0</v>
      </c>
      <c r="AO105" s="286">
        <f t="shared" si="134"/>
        <v>0</v>
      </c>
      <c r="AP105" s="316" t="s">
        <v>309</v>
      </c>
      <c r="AQ105" s="284">
        <v>0.0</v>
      </c>
      <c r="AR105" s="338">
        <v>997.0</v>
      </c>
      <c r="AS105" s="286">
        <f t="shared" si="135"/>
        <v>0</v>
      </c>
      <c r="AT105" s="316" t="s">
        <v>309</v>
      </c>
      <c r="AU105" s="284">
        <v>0.0</v>
      </c>
      <c r="AV105" s="338">
        <v>997.0</v>
      </c>
      <c r="AW105" s="286">
        <f t="shared" si="136"/>
        <v>0</v>
      </c>
    </row>
    <row r="106" ht="22.5" customHeight="1">
      <c r="A106" s="253"/>
      <c r="B106" s="337" t="s">
        <v>310</v>
      </c>
      <c r="C106" s="306">
        <v>0.0</v>
      </c>
      <c r="D106" s="301">
        <v>997.0</v>
      </c>
      <c r="E106" s="308">
        <f t="shared" si="125"/>
        <v>0</v>
      </c>
      <c r="F106" s="337" t="s">
        <v>310</v>
      </c>
      <c r="G106" s="306">
        <v>0.0</v>
      </c>
      <c r="H106" s="301">
        <v>997.0</v>
      </c>
      <c r="I106" s="308">
        <f t="shared" si="126"/>
        <v>0</v>
      </c>
      <c r="J106" s="337" t="s">
        <v>310</v>
      </c>
      <c r="K106" s="306">
        <v>0.0</v>
      </c>
      <c r="L106" s="301">
        <v>997.0</v>
      </c>
      <c r="M106" s="308">
        <f t="shared" si="127"/>
        <v>0</v>
      </c>
      <c r="N106" s="316" t="s">
        <v>310</v>
      </c>
      <c r="O106" s="284">
        <v>0.0</v>
      </c>
      <c r="P106" s="338">
        <v>997.0</v>
      </c>
      <c r="Q106" s="286">
        <f t="shared" si="128"/>
        <v>0</v>
      </c>
      <c r="R106" s="316" t="s">
        <v>310</v>
      </c>
      <c r="S106" s="284">
        <v>0.0</v>
      </c>
      <c r="T106" s="338">
        <v>997.0</v>
      </c>
      <c r="U106" s="286">
        <f t="shared" si="129"/>
        <v>0</v>
      </c>
      <c r="V106" s="316" t="s">
        <v>310</v>
      </c>
      <c r="W106" s="284">
        <v>0.0</v>
      </c>
      <c r="X106" s="338">
        <v>997.0</v>
      </c>
      <c r="Y106" s="286">
        <f t="shared" si="130"/>
        <v>0</v>
      </c>
      <c r="Z106" s="337" t="s">
        <v>310</v>
      </c>
      <c r="AA106" s="306">
        <v>0.0</v>
      </c>
      <c r="AB106" s="301">
        <v>997.0</v>
      </c>
      <c r="AC106" s="308">
        <f t="shared" si="131"/>
        <v>0</v>
      </c>
      <c r="AD106" s="337" t="s">
        <v>310</v>
      </c>
      <c r="AE106" s="306">
        <v>0.0</v>
      </c>
      <c r="AF106" s="301">
        <v>997.0</v>
      </c>
      <c r="AG106" s="308">
        <f t="shared" si="132"/>
        <v>0</v>
      </c>
      <c r="AH106" s="337" t="s">
        <v>310</v>
      </c>
      <c r="AI106" s="306">
        <v>0.0</v>
      </c>
      <c r="AJ106" s="301">
        <v>997.0</v>
      </c>
      <c r="AK106" s="308">
        <f t="shared" si="133"/>
        <v>0</v>
      </c>
      <c r="AL106" s="316" t="s">
        <v>310</v>
      </c>
      <c r="AM106" s="284">
        <v>0.0</v>
      </c>
      <c r="AN106" s="338">
        <v>997.0</v>
      </c>
      <c r="AO106" s="286">
        <f t="shared" si="134"/>
        <v>0</v>
      </c>
      <c r="AP106" s="316" t="s">
        <v>310</v>
      </c>
      <c r="AQ106" s="284">
        <v>0.0</v>
      </c>
      <c r="AR106" s="338">
        <v>997.0</v>
      </c>
      <c r="AS106" s="286">
        <f t="shared" si="135"/>
        <v>0</v>
      </c>
      <c r="AT106" s="316" t="s">
        <v>310</v>
      </c>
      <c r="AU106" s="284">
        <v>0.0</v>
      </c>
      <c r="AV106" s="338">
        <v>997.0</v>
      </c>
      <c r="AW106" s="286">
        <f t="shared" si="136"/>
        <v>0</v>
      </c>
    </row>
    <row r="107" ht="22.5" customHeight="1">
      <c r="A107" s="253"/>
      <c r="B107" s="337"/>
      <c r="C107" s="306"/>
      <c r="D107" s="301"/>
      <c r="E107" s="308"/>
      <c r="F107" s="337"/>
      <c r="G107" s="306"/>
      <c r="H107" s="301"/>
      <c r="I107" s="308"/>
      <c r="J107" s="337"/>
      <c r="K107" s="306"/>
      <c r="L107" s="301"/>
      <c r="M107" s="308"/>
      <c r="N107" s="316"/>
      <c r="O107" s="284"/>
      <c r="P107" s="338"/>
      <c r="Q107" s="286"/>
      <c r="R107" s="316"/>
      <c r="S107" s="284"/>
      <c r="T107" s="338"/>
      <c r="U107" s="286"/>
      <c r="V107" s="316"/>
      <c r="W107" s="284"/>
      <c r="X107" s="338"/>
      <c r="Y107" s="286"/>
      <c r="Z107" s="337"/>
      <c r="AA107" s="306"/>
      <c r="AB107" s="301"/>
      <c r="AC107" s="308"/>
      <c r="AD107" s="337"/>
      <c r="AE107" s="306"/>
      <c r="AF107" s="301"/>
      <c r="AG107" s="308"/>
      <c r="AH107" s="337"/>
      <c r="AI107" s="306"/>
      <c r="AJ107" s="301"/>
      <c r="AK107" s="308"/>
      <c r="AL107" s="316"/>
      <c r="AM107" s="284"/>
      <c r="AN107" s="338"/>
      <c r="AO107" s="286"/>
      <c r="AP107" s="316"/>
      <c r="AQ107" s="284"/>
      <c r="AR107" s="338"/>
      <c r="AS107" s="286"/>
      <c r="AT107" s="316"/>
      <c r="AU107" s="284"/>
      <c r="AV107" s="338"/>
      <c r="AW107" s="286"/>
    </row>
    <row r="108" ht="22.5" customHeight="1">
      <c r="A108" s="253"/>
      <c r="B108" s="317"/>
      <c r="C108" s="318"/>
      <c r="D108" s="253"/>
      <c r="E108" s="253"/>
      <c r="F108" s="317"/>
      <c r="G108" s="318"/>
      <c r="H108" s="253"/>
      <c r="I108" s="253"/>
      <c r="J108" s="317"/>
      <c r="K108" s="318"/>
      <c r="L108" s="253"/>
      <c r="M108" s="253"/>
      <c r="N108" s="339"/>
      <c r="O108" s="215"/>
      <c r="P108" s="339"/>
      <c r="Q108" s="339"/>
      <c r="R108" s="339"/>
      <c r="S108" s="215"/>
      <c r="T108" s="339"/>
      <c r="U108" s="339"/>
      <c r="V108" s="339"/>
      <c r="W108" s="215"/>
      <c r="X108" s="339"/>
      <c r="Y108" s="339"/>
      <c r="Z108" s="319"/>
      <c r="AA108" s="318"/>
      <c r="AB108" s="253"/>
      <c r="AC108" s="253"/>
      <c r="AD108" s="253"/>
      <c r="AE108" s="318"/>
      <c r="AF108" s="253"/>
      <c r="AG108" s="253"/>
      <c r="AH108" s="319"/>
      <c r="AI108" s="318"/>
      <c r="AJ108" s="253"/>
      <c r="AK108" s="253"/>
      <c r="AL108" s="339"/>
      <c r="AM108" s="215"/>
      <c r="AN108" s="339"/>
      <c r="AO108" s="339"/>
      <c r="AP108" s="339"/>
      <c r="AQ108" s="215"/>
      <c r="AR108" s="339"/>
      <c r="AS108" s="339"/>
      <c r="AT108" s="339"/>
      <c r="AU108" s="215"/>
      <c r="AV108" s="339"/>
      <c r="AW108" s="339"/>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2">
    <mergeCell ref="N40:Y43"/>
    <mergeCell ref="Z40:AK43"/>
    <mergeCell ref="B35:C37"/>
    <mergeCell ref="D35:G37"/>
    <mergeCell ref="B39:M39"/>
    <mergeCell ref="N39:Y39"/>
    <mergeCell ref="Z39:AK39"/>
    <mergeCell ref="AL39:AW39"/>
    <mergeCell ref="AL40:AW43"/>
    <mergeCell ref="N7:Y10"/>
    <mergeCell ref="Z7:AK10"/>
    <mergeCell ref="B2:C4"/>
    <mergeCell ref="D2:G4"/>
    <mergeCell ref="B6:M6"/>
    <mergeCell ref="N6:Y6"/>
    <mergeCell ref="Z6:AK6"/>
    <mergeCell ref="AL6:AW6"/>
    <mergeCell ref="AL7:AW10"/>
    <mergeCell ref="Z12:AC13"/>
    <mergeCell ref="AD12:AG13"/>
    <mergeCell ref="AH12:AK13"/>
    <mergeCell ref="AL12:AO13"/>
    <mergeCell ref="AP12:AS13"/>
    <mergeCell ref="AT12:AW13"/>
    <mergeCell ref="AD16:AG16"/>
    <mergeCell ref="AH16:AK16"/>
    <mergeCell ref="AL16:AO16"/>
    <mergeCell ref="AP16:AS16"/>
    <mergeCell ref="AT16:AW16"/>
    <mergeCell ref="B16:E16"/>
    <mergeCell ref="F16:I16"/>
    <mergeCell ref="J16:M16"/>
    <mergeCell ref="N16:Q16"/>
    <mergeCell ref="R16:U16"/>
    <mergeCell ref="V16:Y16"/>
    <mergeCell ref="Z16:AC16"/>
    <mergeCell ref="B7:M10"/>
    <mergeCell ref="B12:E13"/>
    <mergeCell ref="F12:I13"/>
    <mergeCell ref="J12:M13"/>
    <mergeCell ref="N12:Q13"/>
    <mergeCell ref="R12:U13"/>
    <mergeCell ref="V12:Y13"/>
    <mergeCell ref="Z45:AC46"/>
    <mergeCell ref="AD45:AG46"/>
    <mergeCell ref="AH45:AK46"/>
    <mergeCell ref="AL45:AO46"/>
    <mergeCell ref="AP45:AS46"/>
    <mergeCell ref="AT45:AW46"/>
    <mergeCell ref="AD88:AG88"/>
    <mergeCell ref="AH88:AK88"/>
    <mergeCell ref="AL88:AO88"/>
    <mergeCell ref="AP88:AS88"/>
    <mergeCell ref="AT88:AW88"/>
    <mergeCell ref="B88:E88"/>
    <mergeCell ref="F88:I88"/>
    <mergeCell ref="J88:M88"/>
    <mergeCell ref="N88:Q88"/>
    <mergeCell ref="R88:U88"/>
    <mergeCell ref="V88:Y88"/>
    <mergeCell ref="Z88:AC88"/>
    <mergeCell ref="AD49:AG49"/>
    <mergeCell ref="AH49:AK49"/>
    <mergeCell ref="AL49:AO49"/>
    <mergeCell ref="AP49:AS49"/>
    <mergeCell ref="AT49:AW49"/>
    <mergeCell ref="B49:E49"/>
    <mergeCell ref="F49:I49"/>
    <mergeCell ref="J49:M49"/>
    <mergeCell ref="N49:Q49"/>
    <mergeCell ref="R49:U49"/>
    <mergeCell ref="V49:Y49"/>
    <mergeCell ref="Z49:AC49"/>
    <mergeCell ref="B40:M43"/>
    <mergeCell ref="B45:E46"/>
    <mergeCell ref="F45:I46"/>
    <mergeCell ref="J45:M46"/>
    <mergeCell ref="N45:Q46"/>
    <mergeCell ref="R45:U46"/>
    <mergeCell ref="V45:Y46"/>
    <mergeCell ref="N79:Y82"/>
    <mergeCell ref="Z79:AK82"/>
    <mergeCell ref="B74:C76"/>
    <mergeCell ref="D74:G76"/>
    <mergeCell ref="B78:M78"/>
    <mergeCell ref="N78:Y78"/>
    <mergeCell ref="Z78:AK78"/>
    <mergeCell ref="AL78:AW78"/>
    <mergeCell ref="AL79:AW82"/>
    <mergeCell ref="Z84:AC85"/>
    <mergeCell ref="AD84:AG85"/>
    <mergeCell ref="AH84:AK85"/>
    <mergeCell ref="AL84:AO85"/>
    <mergeCell ref="AP84:AS85"/>
    <mergeCell ref="AT84:AW85"/>
    <mergeCell ref="B79:M82"/>
    <mergeCell ref="B84:E85"/>
    <mergeCell ref="F84:I85"/>
    <mergeCell ref="J84:M85"/>
    <mergeCell ref="N84:Q85"/>
    <mergeCell ref="R84:U85"/>
    <mergeCell ref="V84:Y85"/>
  </mergeCells>
  <printOptions gridLines="1" horizontalCentered="1"/>
  <pageMargins bottom="0.75" footer="0.0" header="0.0" left="0.25" right="0.25"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29"/>
    <col customWidth="1" min="2" max="2" width="39.86"/>
    <col customWidth="1" min="3" max="6" width="14.43"/>
    <col customWidth="1" min="10" max="10" width="9.43"/>
    <col customWidth="1" min="11" max="11" width="7.29"/>
    <col customWidth="1" min="12" max="12" width="39.29"/>
    <col customWidth="1" min="20" max="20" width="9.0"/>
  </cols>
  <sheetData>
    <row r="1" ht="70.5" customHeight="1">
      <c r="A1" s="340" t="s">
        <v>319</v>
      </c>
      <c r="C1" s="341" t="s">
        <v>320</v>
      </c>
      <c r="F1" s="342" t="s">
        <v>321</v>
      </c>
      <c r="G1" s="342" t="s">
        <v>322</v>
      </c>
      <c r="H1" s="342" t="s">
        <v>323</v>
      </c>
      <c r="I1" s="342" t="s">
        <v>324</v>
      </c>
      <c r="J1" s="343"/>
      <c r="K1" s="341"/>
      <c r="L1" s="341"/>
      <c r="M1" s="341" t="s">
        <v>320</v>
      </c>
      <c r="P1" s="342" t="s">
        <v>321</v>
      </c>
      <c r="Q1" s="342" t="s">
        <v>322</v>
      </c>
      <c r="R1" s="342" t="s">
        <v>323</v>
      </c>
      <c r="S1" s="342" t="s">
        <v>325</v>
      </c>
      <c r="T1" s="343"/>
      <c r="U1" s="341" t="s">
        <v>320</v>
      </c>
      <c r="X1" s="342" t="s">
        <v>321</v>
      </c>
      <c r="Y1" s="342" t="s">
        <v>322</v>
      </c>
      <c r="Z1" s="342" t="s">
        <v>323</v>
      </c>
      <c r="AA1" s="342" t="s">
        <v>325</v>
      </c>
    </row>
    <row r="2">
      <c r="C2" s="344" t="s">
        <v>326</v>
      </c>
      <c r="J2" s="345"/>
      <c r="K2" s="346"/>
      <c r="L2" s="346"/>
      <c r="M2" s="346" t="s">
        <v>327</v>
      </c>
      <c r="T2" s="345"/>
      <c r="U2" s="347" t="s">
        <v>328</v>
      </c>
    </row>
    <row r="3" ht="66.75" customHeight="1">
      <c r="J3" s="345"/>
      <c r="K3" s="346"/>
      <c r="L3" s="346"/>
      <c r="T3" s="345"/>
    </row>
    <row r="4">
      <c r="A4" s="348">
        <v>1.0</v>
      </c>
      <c r="B4" s="349" t="s">
        <v>329</v>
      </c>
      <c r="C4" s="350" t="s">
        <v>330</v>
      </c>
      <c r="F4" s="351" t="s">
        <v>279</v>
      </c>
      <c r="G4" s="351"/>
      <c r="H4" s="351"/>
      <c r="I4" s="351" t="s">
        <v>331</v>
      </c>
      <c r="J4" s="352"/>
      <c r="K4" s="348">
        <v>1.0</v>
      </c>
      <c r="L4" s="349" t="s">
        <v>332</v>
      </c>
      <c r="M4" s="353" t="s">
        <v>281</v>
      </c>
      <c r="P4" s="351" t="s">
        <v>299</v>
      </c>
      <c r="Q4" s="351" t="s">
        <v>333</v>
      </c>
      <c r="R4" s="351"/>
      <c r="S4" s="351" t="s">
        <v>279</v>
      </c>
      <c r="T4" s="352"/>
      <c r="U4" s="354" t="s">
        <v>260</v>
      </c>
      <c r="X4" s="351" t="s">
        <v>334</v>
      </c>
      <c r="Y4" s="351"/>
      <c r="Z4" s="351"/>
      <c r="AA4" s="351"/>
    </row>
    <row r="5" ht="26.25" customHeight="1">
      <c r="J5" s="352"/>
      <c r="T5" s="352"/>
    </row>
    <row r="6">
      <c r="A6" s="348">
        <v>2.0</v>
      </c>
      <c r="B6" s="349"/>
      <c r="J6" s="352"/>
      <c r="K6" s="348">
        <v>2.0</v>
      </c>
      <c r="L6" s="349" t="s">
        <v>335</v>
      </c>
      <c r="T6" s="352"/>
    </row>
    <row r="7">
      <c r="J7" s="352"/>
      <c r="T7" s="352"/>
    </row>
    <row r="8">
      <c r="A8" s="348">
        <v>3.0</v>
      </c>
      <c r="B8" s="349"/>
      <c r="J8" s="352"/>
      <c r="K8" s="348">
        <v>3.0</v>
      </c>
      <c r="L8" s="349" t="s">
        <v>336</v>
      </c>
      <c r="T8" s="352"/>
    </row>
    <row r="9">
      <c r="J9" s="352"/>
      <c r="T9" s="352"/>
    </row>
    <row r="10" ht="8.25" customHeight="1">
      <c r="A10" s="355"/>
      <c r="X10" s="355"/>
      <c r="Y10" s="355"/>
      <c r="Z10" s="355"/>
      <c r="AA10" s="355"/>
    </row>
    <row r="11">
      <c r="A11" s="348">
        <v>1.0</v>
      </c>
      <c r="B11" s="349" t="s">
        <v>337</v>
      </c>
      <c r="C11" s="350" t="s">
        <v>338</v>
      </c>
      <c r="F11" s="351" t="s">
        <v>339</v>
      </c>
      <c r="G11" s="351" t="s">
        <v>273</v>
      </c>
      <c r="H11" s="351"/>
      <c r="I11" s="351" t="s">
        <v>331</v>
      </c>
      <c r="J11" s="352"/>
      <c r="K11" s="348">
        <v>1.0</v>
      </c>
      <c r="L11" s="349" t="s">
        <v>340</v>
      </c>
      <c r="M11" s="353" t="s">
        <v>331</v>
      </c>
      <c r="P11" s="351" t="s">
        <v>300</v>
      </c>
      <c r="Q11" s="351"/>
      <c r="R11" s="351"/>
      <c r="S11" s="351" t="s">
        <v>279</v>
      </c>
      <c r="T11" s="352"/>
      <c r="U11" s="354" t="s">
        <v>341</v>
      </c>
      <c r="X11" s="351" t="s">
        <v>342</v>
      </c>
      <c r="Y11" s="351"/>
      <c r="Z11" s="351"/>
      <c r="AA11" s="351"/>
    </row>
    <row r="12" ht="19.5" customHeight="1">
      <c r="J12" s="352"/>
      <c r="T12" s="352"/>
    </row>
    <row r="13">
      <c r="A13" s="348">
        <v>2.0</v>
      </c>
      <c r="B13" s="349"/>
      <c r="J13" s="352"/>
      <c r="K13" s="348">
        <v>2.0</v>
      </c>
      <c r="L13" s="349" t="s">
        <v>343</v>
      </c>
      <c r="T13" s="352"/>
    </row>
    <row r="14">
      <c r="J14" s="352"/>
      <c r="T14" s="352"/>
    </row>
    <row r="15">
      <c r="A15" s="348">
        <v>3.0</v>
      </c>
      <c r="B15" s="349"/>
      <c r="J15" s="352"/>
      <c r="K15" s="348">
        <v>3.0</v>
      </c>
      <c r="L15" s="349" t="s">
        <v>344</v>
      </c>
      <c r="T15" s="352"/>
    </row>
    <row r="16">
      <c r="J16" s="352"/>
      <c r="T16" s="352"/>
    </row>
    <row r="17" ht="8.25" customHeight="1">
      <c r="A17" s="355"/>
      <c r="X17" s="355"/>
      <c r="Y17" s="355"/>
      <c r="Z17" s="355"/>
      <c r="AA17" s="355"/>
    </row>
    <row r="18">
      <c r="A18" s="348">
        <v>1.0</v>
      </c>
      <c r="B18" s="349" t="s">
        <v>345</v>
      </c>
      <c r="C18" s="350" t="s">
        <v>304</v>
      </c>
      <c r="F18" s="351" t="s">
        <v>331</v>
      </c>
      <c r="G18" s="351"/>
      <c r="H18" s="351"/>
      <c r="I18" s="351" t="s">
        <v>279</v>
      </c>
      <c r="J18" s="352"/>
      <c r="K18" s="348">
        <v>1.0</v>
      </c>
      <c r="L18" s="349" t="s">
        <v>346</v>
      </c>
      <c r="M18" s="353" t="s">
        <v>279</v>
      </c>
      <c r="P18" s="351" t="s">
        <v>301</v>
      </c>
      <c r="Q18" s="351"/>
      <c r="R18" s="351"/>
      <c r="S18" s="351" t="s">
        <v>331</v>
      </c>
      <c r="T18" s="352"/>
      <c r="U18" s="354" t="s">
        <v>347</v>
      </c>
      <c r="X18" s="351"/>
      <c r="Y18" s="351"/>
      <c r="Z18" s="351"/>
      <c r="AA18" s="351"/>
    </row>
    <row r="19">
      <c r="J19" s="352"/>
      <c r="T19" s="352"/>
    </row>
    <row r="20">
      <c r="A20" s="348">
        <v>2.0</v>
      </c>
      <c r="B20" s="349"/>
      <c r="J20" s="352"/>
      <c r="K20" s="348">
        <v>2.0</v>
      </c>
      <c r="L20" s="349" t="s">
        <v>348</v>
      </c>
      <c r="T20" s="352"/>
    </row>
    <row r="21" ht="15.75" customHeight="1">
      <c r="J21" s="352"/>
      <c r="T21" s="352"/>
    </row>
    <row r="22" ht="15.75" customHeight="1">
      <c r="A22" s="348">
        <v>3.0</v>
      </c>
      <c r="B22" s="349"/>
      <c r="J22" s="352"/>
      <c r="K22" s="348">
        <v>3.0</v>
      </c>
      <c r="L22" s="349" t="s">
        <v>349</v>
      </c>
      <c r="T22" s="352"/>
    </row>
    <row r="23" ht="15.75" customHeight="1">
      <c r="J23" s="352"/>
      <c r="T23" s="352"/>
    </row>
    <row r="24" ht="8.25" customHeight="1">
      <c r="A24" s="355"/>
      <c r="X24" s="355"/>
      <c r="Y24" s="355"/>
      <c r="Z24" s="355"/>
      <c r="AA24" s="355"/>
    </row>
    <row r="25" ht="15.75" customHeight="1">
      <c r="A25" s="348">
        <v>1.0</v>
      </c>
      <c r="B25" s="349" t="s">
        <v>350</v>
      </c>
      <c r="C25" s="350" t="s">
        <v>351</v>
      </c>
      <c r="F25" s="351" t="s">
        <v>331</v>
      </c>
      <c r="G25" s="351"/>
      <c r="H25" s="351"/>
      <c r="I25" s="351" t="s">
        <v>279</v>
      </c>
      <c r="J25" s="352"/>
      <c r="K25" s="348">
        <v>1.0</v>
      </c>
      <c r="L25" s="349" t="s">
        <v>352</v>
      </c>
      <c r="M25" s="356" t="s">
        <v>353</v>
      </c>
      <c r="P25" s="351" t="s">
        <v>354</v>
      </c>
      <c r="Q25" s="351" t="s">
        <v>355</v>
      </c>
      <c r="R25" s="351"/>
      <c r="S25" s="351" t="s">
        <v>281</v>
      </c>
      <c r="T25" s="352"/>
      <c r="U25" s="354"/>
      <c r="X25" s="351"/>
      <c r="Y25" s="351"/>
      <c r="Z25" s="351"/>
      <c r="AA25" s="351"/>
    </row>
    <row r="26" ht="15.75" customHeight="1">
      <c r="J26" s="352"/>
      <c r="T26" s="352"/>
      <c r="Y26" s="351"/>
      <c r="Z26" s="351"/>
      <c r="AA26" s="351"/>
    </row>
    <row r="27" ht="15.75" customHeight="1">
      <c r="A27" s="348">
        <v>2.0</v>
      </c>
      <c r="B27" s="349"/>
      <c r="J27" s="352"/>
      <c r="K27" s="348">
        <v>2.0</v>
      </c>
      <c r="L27" s="349"/>
      <c r="T27" s="352"/>
      <c r="Y27" s="351"/>
      <c r="Z27" s="351"/>
      <c r="AA27" s="351"/>
    </row>
    <row r="28" ht="15.75" customHeight="1">
      <c r="J28" s="352"/>
      <c r="T28" s="352"/>
      <c r="Y28" s="351"/>
      <c r="Z28" s="351"/>
      <c r="AA28" s="351"/>
    </row>
    <row r="29" ht="15.75" customHeight="1">
      <c r="A29" s="348">
        <v>3.0</v>
      </c>
      <c r="B29" s="349"/>
      <c r="J29" s="352"/>
      <c r="K29" s="348">
        <v>3.0</v>
      </c>
      <c r="L29" s="349"/>
      <c r="T29" s="352"/>
      <c r="Y29" s="351"/>
      <c r="Z29" s="351"/>
      <c r="AA29" s="351"/>
    </row>
    <row r="30" ht="15.75" customHeight="1">
      <c r="J30" s="352"/>
      <c r="T30" s="352"/>
      <c r="Y30" s="351"/>
      <c r="Z30" s="351"/>
      <c r="AA30" s="351"/>
    </row>
    <row r="31" ht="8.25" customHeight="1">
      <c r="A31" s="355"/>
      <c r="X31" s="355"/>
      <c r="Y31" s="355"/>
      <c r="Z31" s="355"/>
      <c r="AA31" s="355"/>
    </row>
    <row r="32" ht="15.75" customHeight="1">
      <c r="A32" s="348">
        <v>1.0</v>
      </c>
      <c r="B32" s="349" t="s">
        <v>356</v>
      </c>
      <c r="C32" s="350" t="s">
        <v>357</v>
      </c>
      <c r="F32" s="351" t="s">
        <v>304</v>
      </c>
      <c r="G32" s="351" t="s">
        <v>351</v>
      </c>
      <c r="H32" s="351"/>
      <c r="I32" s="351" t="s">
        <v>353</v>
      </c>
      <c r="J32" s="352"/>
      <c r="K32" s="348">
        <v>1.0</v>
      </c>
      <c r="L32" s="349"/>
      <c r="M32" s="353"/>
      <c r="P32" s="351"/>
      <c r="Q32" s="351"/>
      <c r="R32" s="351"/>
      <c r="S32" s="351"/>
      <c r="T32" s="352"/>
      <c r="U32" s="354"/>
      <c r="X32" s="351"/>
      <c r="Y32" s="351"/>
      <c r="Z32" s="351"/>
      <c r="AA32" s="351"/>
    </row>
    <row r="33" ht="15.75" customHeight="1">
      <c r="J33" s="352"/>
      <c r="Q33" s="351"/>
      <c r="R33" s="351"/>
      <c r="S33" s="351"/>
      <c r="T33" s="352"/>
      <c r="Y33" s="351"/>
      <c r="Z33" s="351"/>
      <c r="AA33" s="351"/>
    </row>
    <row r="34" ht="15.75" customHeight="1">
      <c r="A34" s="348">
        <v>2.0</v>
      </c>
      <c r="B34" s="349"/>
      <c r="J34" s="352"/>
      <c r="K34" s="348">
        <v>2.0</v>
      </c>
      <c r="L34" s="349"/>
      <c r="Q34" s="351"/>
      <c r="R34" s="351"/>
      <c r="S34" s="351"/>
      <c r="T34" s="352"/>
      <c r="Y34" s="351"/>
      <c r="Z34" s="351"/>
      <c r="AA34" s="351"/>
    </row>
    <row r="35" ht="15.75" customHeight="1">
      <c r="J35" s="352"/>
      <c r="Q35" s="351"/>
      <c r="R35" s="351"/>
      <c r="S35" s="351"/>
      <c r="T35" s="352"/>
      <c r="Y35" s="351"/>
      <c r="Z35" s="351"/>
      <c r="AA35" s="351"/>
    </row>
    <row r="36" ht="15.75" customHeight="1">
      <c r="A36" s="348">
        <v>3.0</v>
      </c>
      <c r="B36" s="349"/>
      <c r="J36" s="352"/>
      <c r="K36" s="348">
        <v>3.0</v>
      </c>
      <c r="L36" s="349"/>
      <c r="Q36" s="351"/>
      <c r="R36" s="351"/>
      <c r="S36" s="351"/>
      <c r="T36" s="352"/>
      <c r="Y36" s="351"/>
      <c r="Z36" s="351"/>
      <c r="AA36" s="351"/>
    </row>
    <row r="37" ht="15.75" customHeight="1">
      <c r="J37" s="352"/>
      <c r="Q37" s="351"/>
      <c r="R37" s="351"/>
      <c r="S37" s="351"/>
      <c r="T37" s="352"/>
      <c r="Y37" s="351"/>
      <c r="Z37" s="351"/>
      <c r="AA37" s="351"/>
    </row>
    <row r="38" ht="8.25" customHeight="1">
      <c r="A38" s="355"/>
      <c r="X38" s="355"/>
      <c r="Y38" s="355"/>
      <c r="Z38" s="355"/>
      <c r="AA38" s="355"/>
    </row>
    <row r="39" ht="15.75" customHeight="1">
      <c r="A39" s="348">
        <v>1.0</v>
      </c>
      <c r="B39" s="349" t="s">
        <v>358</v>
      </c>
      <c r="C39" s="350" t="s">
        <v>275</v>
      </c>
      <c r="F39" s="351" t="s">
        <v>304</v>
      </c>
      <c r="G39" s="351" t="s">
        <v>351</v>
      </c>
      <c r="H39" s="351"/>
      <c r="I39" s="351" t="s">
        <v>277</v>
      </c>
      <c r="J39" s="352"/>
      <c r="K39" s="348">
        <v>1.0</v>
      </c>
      <c r="L39" s="349"/>
      <c r="M39" s="353"/>
      <c r="P39" s="351"/>
      <c r="Q39" s="351"/>
      <c r="R39" s="351"/>
      <c r="S39" s="351"/>
      <c r="T39" s="352"/>
      <c r="U39" s="354"/>
      <c r="X39" s="351"/>
      <c r="Y39" s="351"/>
      <c r="Z39" s="351"/>
      <c r="AA39" s="351"/>
    </row>
    <row r="40" ht="15.75" customHeight="1">
      <c r="J40" s="352"/>
      <c r="Q40" s="351"/>
      <c r="R40" s="351"/>
      <c r="S40" s="351"/>
      <c r="T40" s="352"/>
      <c r="Y40" s="351"/>
      <c r="Z40" s="351"/>
      <c r="AA40" s="351"/>
    </row>
    <row r="41" ht="15.75" customHeight="1">
      <c r="A41" s="348">
        <v>2.0</v>
      </c>
      <c r="B41" s="349"/>
      <c r="J41" s="352"/>
      <c r="K41" s="348">
        <v>2.0</v>
      </c>
      <c r="L41" s="349"/>
      <c r="Q41" s="351"/>
      <c r="R41" s="351"/>
      <c r="S41" s="351"/>
      <c r="T41" s="352"/>
      <c r="Y41" s="351"/>
      <c r="Z41" s="351"/>
      <c r="AA41" s="351"/>
    </row>
    <row r="42" ht="15.75" customHeight="1">
      <c r="J42" s="352"/>
      <c r="Q42" s="351"/>
      <c r="R42" s="351"/>
      <c r="S42" s="351"/>
      <c r="T42" s="352"/>
      <c r="Y42" s="351"/>
      <c r="Z42" s="351"/>
      <c r="AA42" s="351"/>
    </row>
    <row r="43" ht="15.75" customHeight="1">
      <c r="A43" s="348">
        <v>3.0</v>
      </c>
      <c r="B43" s="349"/>
      <c r="J43" s="352"/>
      <c r="K43" s="348">
        <v>3.0</v>
      </c>
      <c r="L43" s="349"/>
      <c r="Q43" s="351"/>
      <c r="R43" s="351"/>
      <c r="S43" s="351"/>
      <c r="T43" s="352"/>
      <c r="Y43" s="351"/>
      <c r="Z43" s="351"/>
      <c r="AA43" s="351"/>
    </row>
    <row r="44" ht="15.75" customHeight="1">
      <c r="J44" s="352"/>
      <c r="Q44" s="351"/>
      <c r="R44" s="351"/>
      <c r="S44" s="351"/>
      <c r="T44" s="352"/>
      <c r="Y44" s="351"/>
      <c r="Z44" s="351"/>
      <c r="AA44" s="351"/>
    </row>
    <row r="45" ht="8.25" customHeight="1">
      <c r="A45" s="355"/>
      <c r="X45" s="355"/>
      <c r="Y45" s="355"/>
      <c r="Z45" s="355"/>
      <c r="AA45" s="355"/>
    </row>
    <row r="46" ht="15.75" customHeight="1">
      <c r="A46" s="348">
        <v>1.0</v>
      </c>
      <c r="B46" s="349" t="s">
        <v>359</v>
      </c>
      <c r="C46" s="350" t="s">
        <v>308</v>
      </c>
      <c r="F46" s="351" t="s">
        <v>357</v>
      </c>
      <c r="G46" s="351" t="s">
        <v>331</v>
      </c>
      <c r="H46" s="351"/>
      <c r="I46" s="351" t="s">
        <v>360</v>
      </c>
      <c r="J46" s="352"/>
      <c r="K46" s="348">
        <v>1.0</v>
      </c>
      <c r="L46" s="349"/>
      <c r="M46" s="353"/>
      <c r="P46" s="351"/>
      <c r="Q46" s="351"/>
      <c r="R46" s="351"/>
      <c r="S46" s="351"/>
      <c r="T46" s="352"/>
      <c r="U46" s="354"/>
      <c r="X46" s="351"/>
      <c r="Y46" s="351"/>
      <c r="Z46" s="351"/>
      <c r="AA46" s="351"/>
    </row>
    <row r="47" ht="15.75" customHeight="1">
      <c r="J47" s="352"/>
      <c r="Q47" s="351"/>
      <c r="R47" s="351"/>
      <c r="S47" s="351"/>
      <c r="T47" s="352"/>
      <c r="Y47" s="351"/>
      <c r="Z47" s="351"/>
      <c r="AA47" s="351"/>
    </row>
    <row r="48" ht="15.75" customHeight="1">
      <c r="A48" s="348">
        <v>2.0</v>
      </c>
      <c r="B48" s="349"/>
      <c r="J48" s="352"/>
      <c r="K48" s="348">
        <v>2.0</v>
      </c>
      <c r="L48" s="349"/>
      <c r="Q48" s="351"/>
      <c r="R48" s="351"/>
      <c r="S48" s="351"/>
      <c r="T48" s="352"/>
      <c r="Y48" s="351"/>
      <c r="Z48" s="351"/>
      <c r="AA48" s="351"/>
    </row>
    <row r="49" ht="15.75" customHeight="1">
      <c r="J49" s="352"/>
      <c r="Q49" s="351"/>
      <c r="R49" s="351"/>
      <c r="S49" s="351"/>
      <c r="T49" s="352"/>
      <c r="Y49" s="351"/>
      <c r="Z49" s="351"/>
      <c r="AA49" s="351"/>
    </row>
    <row r="50" ht="15.75" customHeight="1">
      <c r="A50" s="348">
        <v>3.0</v>
      </c>
      <c r="B50" s="349"/>
      <c r="J50" s="352"/>
      <c r="K50" s="348">
        <v>3.0</v>
      </c>
      <c r="L50" s="349"/>
      <c r="Q50" s="351"/>
      <c r="R50" s="351"/>
      <c r="S50" s="351"/>
      <c r="T50" s="352"/>
      <c r="Y50" s="351"/>
      <c r="Z50" s="351"/>
      <c r="AA50" s="351"/>
    </row>
    <row r="51" ht="15.75" customHeight="1">
      <c r="J51" s="352"/>
      <c r="Q51" s="351"/>
      <c r="R51" s="351"/>
      <c r="S51" s="351"/>
      <c r="T51" s="352"/>
      <c r="Y51" s="351"/>
      <c r="Z51" s="351"/>
      <c r="AA51" s="351"/>
    </row>
    <row r="52" ht="8.25" customHeight="1">
      <c r="A52" s="355"/>
      <c r="X52" s="355"/>
      <c r="Y52" s="355"/>
      <c r="Z52" s="355"/>
      <c r="AA52" s="355"/>
    </row>
    <row r="53" ht="15.75" customHeight="1">
      <c r="A53" s="348">
        <v>1.0</v>
      </c>
      <c r="B53" s="349" t="s">
        <v>361</v>
      </c>
      <c r="C53" s="350" t="s">
        <v>362</v>
      </c>
      <c r="F53" s="351" t="s">
        <v>360</v>
      </c>
      <c r="G53" s="351"/>
      <c r="H53" s="351"/>
      <c r="I53" s="351" t="s">
        <v>360</v>
      </c>
      <c r="J53" s="357"/>
      <c r="K53" s="348">
        <v>1.0</v>
      </c>
      <c r="L53" s="349"/>
      <c r="M53" s="356"/>
      <c r="P53" s="351"/>
      <c r="Q53" s="351"/>
      <c r="R53" s="351"/>
      <c r="S53" s="351"/>
      <c r="T53" s="357"/>
      <c r="U53" s="358"/>
      <c r="X53" s="351"/>
      <c r="Y53" s="351"/>
      <c r="Z53" s="351"/>
      <c r="AA53" s="351"/>
    </row>
    <row r="54" ht="15.75" customHeight="1">
      <c r="J54" s="357"/>
      <c r="Q54" s="351"/>
      <c r="R54" s="351"/>
      <c r="S54" s="351"/>
      <c r="T54" s="357"/>
      <c r="Y54" s="351"/>
      <c r="Z54" s="351"/>
      <c r="AA54" s="351"/>
    </row>
    <row r="55" ht="15.75" customHeight="1">
      <c r="A55" s="348">
        <v>2.0</v>
      </c>
      <c r="B55" s="349"/>
      <c r="J55" s="357"/>
      <c r="K55" s="348">
        <v>2.0</v>
      </c>
      <c r="L55" s="349"/>
      <c r="Q55" s="351"/>
      <c r="R55" s="351"/>
      <c r="S55" s="351"/>
      <c r="T55" s="357"/>
      <c r="Y55" s="351"/>
      <c r="Z55" s="351"/>
      <c r="AA55" s="351"/>
    </row>
    <row r="56" ht="15.75" customHeight="1">
      <c r="J56" s="357"/>
      <c r="Q56" s="351"/>
      <c r="R56" s="351"/>
      <c r="S56" s="351"/>
      <c r="T56" s="357"/>
      <c r="Y56" s="351"/>
      <c r="Z56" s="351"/>
      <c r="AA56" s="351"/>
    </row>
    <row r="57" ht="15.75" customHeight="1">
      <c r="A57" s="348">
        <v>3.0</v>
      </c>
      <c r="B57" s="349"/>
      <c r="J57" s="357"/>
      <c r="K57" s="348">
        <v>3.0</v>
      </c>
      <c r="L57" s="349"/>
      <c r="Q57" s="351"/>
      <c r="R57" s="351"/>
      <c r="S57" s="351"/>
      <c r="T57" s="357"/>
      <c r="Y57" s="351"/>
      <c r="Z57" s="351"/>
      <c r="AA57" s="351"/>
    </row>
    <row r="58" ht="15.75" customHeight="1">
      <c r="J58" s="357"/>
      <c r="Q58" s="351"/>
      <c r="R58" s="351"/>
      <c r="S58" s="351"/>
      <c r="T58" s="357"/>
      <c r="Y58" s="351"/>
      <c r="Z58" s="351"/>
      <c r="AA58" s="351"/>
    </row>
    <row r="59" ht="8.25" customHeight="1">
      <c r="A59" s="355"/>
      <c r="X59" s="355"/>
      <c r="Y59" s="355"/>
      <c r="Z59" s="355"/>
      <c r="AA59" s="355"/>
    </row>
    <row r="60" ht="15.75" customHeight="1">
      <c r="J60" s="357"/>
      <c r="K60" s="348">
        <v>1.0</v>
      </c>
      <c r="L60" s="349"/>
      <c r="M60" s="356"/>
      <c r="P60" s="351"/>
      <c r="Q60" s="351"/>
      <c r="R60" s="351"/>
      <c r="S60" s="351"/>
      <c r="T60" s="357"/>
      <c r="U60" s="358"/>
      <c r="X60" s="351"/>
      <c r="Y60" s="351"/>
      <c r="Z60" s="351"/>
      <c r="AA60" s="351"/>
    </row>
    <row r="61" ht="15.75" customHeight="1">
      <c r="J61" s="357"/>
      <c r="Q61" s="351"/>
      <c r="R61" s="351"/>
      <c r="S61" s="351"/>
      <c r="T61" s="357"/>
      <c r="Y61" s="351"/>
      <c r="Z61" s="351"/>
      <c r="AA61" s="351"/>
    </row>
    <row r="62" ht="15.75" customHeight="1">
      <c r="J62" s="357"/>
      <c r="K62" s="348">
        <v>2.0</v>
      </c>
      <c r="L62" s="349"/>
      <c r="Q62" s="351"/>
      <c r="R62" s="351"/>
      <c r="S62" s="351"/>
      <c r="T62" s="357"/>
      <c r="Y62" s="351"/>
      <c r="Z62" s="351"/>
      <c r="AA62" s="351"/>
    </row>
    <row r="63" ht="15.75" customHeight="1">
      <c r="J63" s="357"/>
      <c r="Q63" s="351"/>
      <c r="R63" s="351"/>
      <c r="S63" s="351"/>
      <c r="T63" s="357"/>
      <c r="Y63" s="351"/>
      <c r="Z63" s="351"/>
      <c r="AA63" s="351"/>
    </row>
    <row r="64" ht="15.75" customHeight="1">
      <c r="J64" s="357"/>
      <c r="K64" s="348">
        <v>3.0</v>
      </c>
      <c r="L64" s="349"/>
      <c r="Q64" s="351"/>
      <c r="R64" s="351"/>
      <c r="S64" s="351"/>
      <c r="T64" s="357"/>
      <c r="Y64" s="351"/>
      <c r="Z64" s="351"/>
      <c r="AA64" s="351"/>
    </row>
    <row r="65" ht="15.75" customHeight="1">
      <c r="J65" s="357"/>
      <c r="Q65" s="351"/>
      <c r="R65" s="351"/>
      <c r="S65" s="351"/>
      <c r="T65" s="357"/>
      <c r="Y65" s="351"/>
      <c r="Z65" s="351"/>
      <c r="AA65" s="351"/>
    </row>
    <row r="66" ht="8.25" customHeight="1">
      <c r="A66" s="355"/>
      <c r="X66" s="355"/>
      <c r="Y66" s="355"/>
      <c r="Z66" s="355"/>
      <c r="AA66" s="355"/>
    </row>
    <row r="67" ht="15.75" customHeight="1">
      <c r="J67" s="357"/>
      <c r="K67" s="348">
        <v>1.0</v>
      </c>
      <c r="L67" s="349"/>
      <c r="M67" s="356"/>
      <c r="P67" s="351" t="s">
        <v>360</v>
      </c>
      <c r="Q67" s="351"/>
      <c r="R67" s="351"/>
      <c r="S67" s="351"/>
      <c r="T67" s="357"/>
      <c r="U67" s="358"/>
      <c r="X67" s="351"/>
      <c r="Y67" s="351"/>
      <c r="Z67" s="351"/>
      <c r="AA67" s="351"/>
    </row>
    <row r="68" ht="15.75" customHeight="1">
      <c r="J68" s="357"/>
      <c r="Q68" s="351"/>
      <c r="R68" s="351"/>
      <c r="S68" s="351"/>
      <c r="T68" s="357"/>
      <c r="Y68" s="351"/>
      <c r="Z68" s="351"/>
      <c r="AA68" s="351"/>
    </row>
    <row r="69" ht="15.75" customHeight="1">
      <c r="J69" s="357"/>
      <c r="K69" s="348">
        <v>2.0</v>
      </c>
      <c r="L69" s="349"/>
      <c r="Q69" s="351"/>
      <c r="R69" s="351"/>
      <c r="S69" s="351"/>
      <c r="T69" s="357"/>
      <c r="Y69" s="351"/>
      <c r="Z69" s="351"/>
      <c r="AA69" s="351"/>
    </row>
    <row r="70" ht="15.75" customHeight="1">
      <c r="J70" s="357"/>
      <c r="Q70" s="351"/>
      <c r="R70" s="351"/>
      <c r="S70" s="351"/>
      <c r="T70" s="357"/>
      <c r="Y70" s="351"/>
      <c r="Z70" s="351"/>
      <c r="AA70" s="351"/>
    </row>
    <row r="71" ht="15.75" customHeight="1">
      <c r="J71" s="357"/>
      <c r="K71" s="348">
        <v>3.0</v>
      </c>
      <c r="L71" s="349"/>
      <c r="Q71" s="351"/>
      <c r="R71" s="351"/>
      <c r="S71" s="351"/>
      <c r="T71" s="357"/>
      <c r="Y71" s="351"/>
      <c r="Z71" s="351"/>
      <c r="AA71" s="351"/>
    </row>
    <row r="72" ht="15.75" customHeight="1">
      <c r="J72" s="357"/>
      <c r="Q72" s="351"/>
      <c r="R72" s="351"/>
      <c r="S72" s="351"/>
      <c r="T72" s="357"/>
      <c r="Y72" s="351"/>
      <c r="Z72" s="351"/>
      <c r="AA72" s="351"/>
    </row>
    <row r="73" ht="9.75" customHeight="1">
      <c r="A73" s="355"/>
      <c r="X73" s="355"/>
      <c r="Y73" s="355"/>
      <c r="Z73" s="355"/>
      <c r="AA73" s="355"/>
    </row>
    <row r="74" ht="15.75" customHeight="1">
      <c r="J74" s="352"/>
      <c r="K74" s="348">
        <v>1.0</v>
      </c>
      <c r="L74" s="349"/>
      <c r="M74" s="353"/>
      <c r="P74" s="351" t="s">
        <v>360</v>
      </c>
      <c r="Q74" s="351"/>
      <c r="R74" s="351"/>
      <c r="S74" s="351"/>
      <c r="T74" s="352"/>
      <c r="U74" s="354"/>
      <c r="X74" s="351"/>
      <c r="Y74" s="351"/>
      <c r="Z74" s="351"/>
      <c r="AA74" s="351"/>
    </row>
    <row r="75" ht="15.75" customHeight="1">
      <c r="J75" s="352"/>
      <c r="Q75" s="351"/>
      <c r="R75" s="351"/>
      <c r="S75" s="351"/>
      <c r="T75" s="352"/>
      <c r="Y75" s="351"/>
      <c r="Z75" s="351"/>
      <c r="AA75" s="351"/>
    </row>
    <row r="76" ht="15.75" customHeight="1">
      <c r="J76" s="352"/>
      <c r="K76" s="348">
        <v>2.0</v>
      </c>
      <c r="L76" s="349"/>
      <c r="Q76" s="351"/>
      <c r="R76" s="351"/>
      <c r="S76" s="351"/>
      <c r="T76" s="352"/>
      <c r="Y76" s="351"/>
      <c r="Z76" s="351"/>
      <c r="AA76" s="351"/>
    </row>
    <row r="77" ht="15.75" customHeight="1">
      <c r="J77" s="352"/>
      <c r="Q77" s="351"/>
      <c r="R77" s="351"/>
      <c r="S77" s="351"/>
      <c r="T77" s="352"/>
      <c r="Y77" s="351"/>
      <c r="Z77" s="351"/>
      <c r="AA77" s="351"/>
    </row>
    <row r="78" ht="15.75" customHeight="1">
      <c r="J78" s="352"/>
      <c r="K78" s="348">
        <v>3.0</v>
      </c>
      <c r="L78" s="349"/>
      <c r="Q78" s="351"/>
      <c r="R78" s="351"/>
      <c r="S78" s="351"/>
      <c r="T78" s="352"/>
      <c r="Y78" s="351"/>
      <c r="Z78" s="351"/>
      <c r="AA78" s="351"/>
    </row>
    <row r="79" ht="15.75" customHeight="1">
      <c r="J79" s="352"/>
      <c r="Q79" s="351"/>
      <c r="R79" s="351"/>
      <c r="S79" s="351"/>
      <c r="T79" s="352"/>
      <c r="Y79" s="351"/>
      <c r="Z79" s="351"/>
      <c r="AA79" s="351"/>
    </row>
    <row r="80" ht="15.75" customHeight="1">
      <c r="J80" s="359"/>
      <c r="T80" s="359"/>
    </row>
    <row r="81" ht="15.75" customHeight="1">
      <c r="J81" s="359"/>
      <c r="T81" s="359"/>
    </row>
    <row r="82" ht="15.75" customHeight="1">
      <c r="J82" s="359"/>
      <c r="T82" s="359"/>
    </row>
    <row r="83" ht="15.75" customHeight="1">
      <c r="J83" s="359"/>
      <c r="T83" s="359"/>
    </row>
    <row r="84" ht="15.75" customHeight="1">
      <c r="J84" s="359"/>
      <c r="T84" s="359"/>
    </row>
    <row r="85" ht="15.75" customHeight="1">
      <c r="J85" s="359"/>
      <c r="T85" s="359"/>
    </row>
    <row r="86" ht="15.75" customHeight="1">
      <c r="A86" s="203"/>
      <c r="B86" s="203"/>
      <c r="J86" s="359"/>
      <c r="T86" s="359"/>
    </row>
    <row r="87" ht="15.75" customHeight="1">
      <c r="A87" s="203"/>
      <c r="B87" s="203"/>
      <c r="J87" s="359"/>
      <c r="T87" s="359"/>
    </row>
    <row r="88" ht="15.75" customHeight="1">
      <c r="A88" s="203"/>
      <c r="B88" s="203"/>
      <c r="J88" s="359"/>
      <c r="T88" s="359"/>
    </row>
    <row r="89" ht="15.75" customHeight="1">
      <c r="A89" s="203"/>
      <c r="B89" s="203"/>
      <c r="J89" s="359"/>
      <c r="T89" s="359"/>
    </row>
    <row r="90" ht="15.75" customHeight="1">
      <c r="A90" s="203"/>
      <c r="B90" s="203"/>
      <c r="J90" s="359"/>
      <c r="T90" s="359"/>
    </row>
    <row r="91" ht="15.75" customHeight="1">
      <c r="A91" s="203"/>
      <c r="B91" s="203"/>
      <c r="J91" s="359"/>
      <c r="T91" s="359"/>
    </row>
    <row r="92" ht="15.75" customHeight="1">
      <c r="A92" s="203"/>
      <c r="B92" s="203"/>
      <c r="J92" s="359"/>
      <c r="T92" s="359"/>
    </row>
    <row r="93" ht="15.75" customHeight="1">
      <c r="A93" s="203"/>
      <c r="B93" s="203"/>
      <c r="J93" s="359"/>
      <c r="T93" s="359"/>
    </row>
    <row r="94" ht="15.75" customHeight="1">
      <c r="A94" s="203"/>
      <c r="B94" s="203"/>
      <c r="J94" s="359"/>
      <c r="T94" s="359"/>
    </row>
    <row r="95" ht="15.75" customHeight="1">
      <c r="A95" s="203"/>
      <c r="B95" s="203"/>
      <c r="J95" s="359"/>
      <c r="T95" s="359"/>
    </row>
    <row r="96" ht="15.75" customHeight="1">
      <c r="A96" s="203"/>
      <c r="B96" s="203"/>
      <c r="J96" s="359"/>
      <c r="T96" s="359"/>
    </row>
    <row r="97" ht="15.75" customHeight="1">
      <c r="A97" s="203"/>
      <c r="B97" s="203"/>
      <c r="J97" s="359"/>
      <c r="T97" s="359"/>
    </row>
    <row r="98" ht="15.75" customHeight="1">
      <c r="A98" s="203"/>
      <c r="B98" s="203"/>
      <c r="J98" s="359"/>
      <c r="T98" s="359"/>
    </row>
    <row r="99" ht="15.75" customHeight="1">
      <c r="A99" s="203"/>
      <c r="B99" s="203"/>
      <c r="J99" s="359"/>
      <c r="T99" s="359"/>
    </row>
    <row r="100" ht="15.75" customHeight="1">
      <c r="A100" s="203"/>
      <c r="B100" s="203"/>
      <c r="J100" s="359"/>
      <c r="T100" s="359"/>
    </row>
    <row r="101" ht="15.75" customHeight="1">
      <c r="A101" s="203"/>
      <c r="B101" s="203"/>
      <c r="J101" s="359"/>
      <c r="T101" s="359"/>
    </row>
    <row r="102" ht="15.75" customHeight="1">
      <c r="A102" s="203"/>
      <c r="B102" s="203"/>
      <c r="J102" s="359"/>
      <c r="T102" s="359"/>
    </row>
    <row r="103" ht="15.75" customHeight="1">
      <c r="A103" s="203"/>
      <c r="B103" s="203"/>
      <c r="J103" s="359"/>
      <c r="T103" s="359"/>
    </row>
    <row r="104" ht="15.75" customHeight="1">
      <c r="A104" s="203"/>
      <c r="B104" s="203"/>
      <c r="J104" s="359"/>
      <c r="T104" s="359"/>
    </row>
    <row r="105" ht="15.75" customHeight="1">
      <c r="A105" s="203"/>
      <c r="B105" s="203"/>
      <c r="J105" s="359"/>
      <c r="T105" s="359"/>
    </row>
    <row r="106" ht="15.75" customHeight="1">
      <c r="A106" s="203"/>
      <c r="B106" s="203"/>
      <c r="J106" s="359"/>
      <c r="T106" s="359"/>
    </row>
    <row r="107" ht="15.75" customHeight="1">
      <c r="A107" s="203"/>
      <c r="B107" s="203"/>
      <c r="J107" s="359"/>
      <c r="T107" s="359"/>
    </row>
    <row r="108" ht="15.75" customHeight="1">
      <c r="A108" s="203"/>
      <c r="B108" s="203"/>
      <c r="J108" s="359"/>
      <c r="T108" s="359"/>
    </row>
    <row r="109" ht="15.75" customHeight="1">
      <c r="A109" s="203"/>
      <c r="B109" s="203"/>
      <c r="J109" s="359"/>
      <c r="T109" s="359"/>
    </row>
    <row r="110" ht="15.75" customHeight="1">
      <c r="A110" s="203"/>
      <c r="B110" s="203"/>
      <c r="J110" s="359"/>
      <c r="T110" s="359"/>
    </row>
    <row r="111" ht="15.75" customHeight="1">
      <c r="A111" s="203"/>
      <c r="B111" s="203"/>
      <c r="J111" s="359"/>
      <c r="T111" s="359"/>
    </row>
    <row r="112" ht="15.75" customHeight="1">
      <c r="A112" s="203"/>
      <c r="B112" s="203"/>
      <c r="J112" s="359"/>
      <c r="T112" s="359"/>
    </row>
    <row r="113" ht="15.75" customHeight="1">
      <c r="A113" s="203"/>
      <c r="B113" s="203"/>
      <c r="J113" s="359"/>
      <c r="T113" s="359"/>
    </row>
    <row r="114" ht="15.75" customHeight="1">
      <c r="A114" s="203"/>
      <c r="B114" s="203"/>
      <c r="J114" s="359"/>
      <c r="T114" s="359"/>
    </row>
    <row r="115" ht="15.75" customHeight="1">
      <c r="A115" s="203"/>
      <c r="B115" s="203"/>
      <c r="J115" s="359"/>
      <c r="T115" s="359"/>
    </row>
    <row r="116" ht="15.75" customHeight="1">
      <c r="A116" s="203"/>
      <c r="B116" s="203"/>
      <c r="J116" s="359"/>
      <c r="T116" s="359"/>
    </row>
    <row r="117" ht="15.75" customHeight="1">
      <c r="A117" s="203"/>
      <c r="B117" s="203"/>
      <c r="J117" s="359"/>
      <c r="T117" s="359"/>
    </row>
    <row r="118" ht="15.75" customHeight="1">
      <c r="A118" s="203"/>
      <c r="B118" s="203"/>
      <c r="J118" s="359"/>
      <c r="T118" s="359"/>
    </row>
    <row r="119" ht="15.75" customHeight="1">
      <c r="A119" s="203"/>
      <c r="B119" s="203"/>
      <c r="J119" s="359"/>
      <c r="T119" s="359"/>
    </row>
    <row r="120" ht="15.75" customHeight="1">
      <c r="A120" s="203"/>
      <c r="B120" s="203"/>
      <c r="J120" s="359"/>
      <c r="T120" s="359"/>
    </row>
    <row r="121" ht="15.75" customHeight="1">
      <c r="A121" s="203"/>
      <c r="B121" s="203"/>
      <c r="J121" s="359"/>
      <c r="T121" s="359"/>
    </row>
    <row r="122" ht="15.75" customHeight="1">
      <c r="A122" s="203"/>
      <c r="B122" s="203"/>
      <c r="J122" s="359"/>
      <c r="T122" s="359"/>
    </row>
    <row r="123" ht="15.75" customHeight="1">
      <c r="A123" s="203"/>
      <c r="B123" s="203"/>
      <c r="J123" s="359"/>
      <c r="T123" s="359"/>
    </row>
    <row r="124" ht="15.75" customHeight="1">
      <c r="A124" s="203"/>
      <c r="B124" s="203"/>
      <c r="J124" s="359"/>
      <c r="T124" s="359"/>
    </row>
    <row r="125" ht="15.75" customHeight="1">
      <c r="A125" s="203"/>
      <c r="B125" s="203"/>
      <c r="J125" s="359"/>
      <c r="T125" s="359"/>
    </row>
    <row r="126" ht="15.75" customHeight="1">
      <c r="A126" s="203"/>
      <c r="B126" s="203"/>
      <c r="J126" s="359"/>
      <c r="T126" s="359"/>
    </row>
    <row r="127" ht="15.75" customHeight="1">
      <c r="A127" s="203"/>
      <c r="B127" s="203"/>
      <c r="J127" s="359"/>
      <c r="T127" s="359"/>
    </row>
    <row r="128" ht="15.75" customHeight="1">
      <c r="A128" s="203"/>
      <c r="B128" s="203"/>
      <c r="J128" s="359"/>
      <c r="T128" s="359"/>
    </row>
    <row r="129" ht="15.75" customHeight="1">
      <c r="A129" s="203"/>
      <c r="B129" s="203"/>
      <c r="J129" s="359"/>
      <c r="T129" s="359"/>
    </row>
    <row r="130" ht="15.75" customHeight="1">
      <c r="A130" s="203"/>
      <c r="B130" s="203"/>
      <c r="J130" s="359"/>
      <c r="T130" s="359"/>
    </row>
    <row r="131" ht="15.75" customHeight="1">
      <c r="A131" s="203"/>
      <c r="B131" s="203"/>
      <c r="J131" s="359"/>
      <c r="T131" s="359"/>
    </row>
    <row r="132" ht="15.75" customHeight="1">
      <c r="A132" s="203"/>
      <c r="B132" s="203"/>
      <c r="J132" s="359"/>
      <c r="T132" s="359"/>
    </row>
    <row r="133" ht="15.75" customHeight="1">
      <c r="A133" s="203"/>
      <c r="B133" s="203"/>
      <c r="J133" s="359"/>
      <c r="T133" s="359"/>
    </row>
    <row r="134" ht="15.75" customHeight="1">
      <c r="A134" s="203"/>
      <c r="B134" s="203"/>
      <c r="J134" s="359"/>
      <c r="T134" s="359"/>
    </row>
    <row r="135" ht="15.75" customHeight="1">
      <c r="A135" s="203"/>
      <c r="B135" s="203"/>
      <c r="J135" s="359"/>
      <c r="T135" s="359"/>
    </row>
    <row r="136" ht="15.75" customHeight="1">
      <c r="A136" s="203"/>
      <c r="B136" s="203"/>
      <c r="J136" s="359"/>
      <c r="T136" s="359"/>
    </row>
    <row r="137" ht="15.75" customHeight="1">
      <c r="A137" s="203"/>
      <c r="B137" s="203"/>
      <c r="J137" s="359"/>
      <c r="T137" s="359"/>
    </row>
    <row r="138" ht="15.75" customHeight="1">
      <c r="A138" s="203"/>
      <c r="B138" s="203"/>
      <c r="J138" s="359"/>
      <c r="T138" s="359"/>
    </row>
    <row r="139" ht="15.75" customHeight="1">
      <c r="A139" s="203"/>
      <c r="B139" s="203"/>
      <c r="J139" s="359"/>
      <c r="T139" s="359"/>
    </row>
    <row r="140" ht="15.75" customHeight="1">
      <c r="A140" s="203"/>
      <c r="B140" s="203"/>
      <c r="J140" s="359"/>
      <c r="T140" s="359"/>
    </row>
    <row r="141" ht="15.75" customHeight="1">
      <c r="A141" s="203"/>
      <c r="B141" s="203"/>
      <c r="J141" s="359"/>
      <c r="T141" s="359"/>
    </row>
    <row r="142" ht="15.75" customHeight="1">
      <c r="A142" s="203"/>
      <c r="B142" s="203"/>
      <c r="J142" s="359"/>
      <c r="T142" s="359"/>
    </row>
    <row r="143" ht="15.75" customHeight="1">
      <c r="A143" s="203"/>
      <c r="B143" s="203"/>
      <c r="J143" s="359"/>
      <c r="T143" s="359"/>
    </row>
    <row r="144" ht="15.75" customHeight="1">
      <c r="A144" s="203"/>
      <c r="B144" s="203"/>
      <c r="J144" s="359"/>
      <c r="T144" s="359"/>
    </row>
    <row r="145" ht="15.75" customHeight="1">
      <c r="A145" s="203"/>
      <c r="B145" s="203"/>
      <c r="J145" s="359"/>
      <c r="T145" s="359"/>
    </row>
    <row r="146" ht="15.75" customHeight="1">
      <c r="A146" s="203"/>
      <c r="B146" s="203"/>
      <c r="J146" s="359"/>
      <c r="T146" s="359"/>
    </row>
    <row r="147" ht="15.75" customHeight="1">
      <c r="A147" s="203"/>
      <c r="B147" s="203"/>
      <c r="J147" s="359"/>
      <c r="T147" s="359"/>
    </row>
    <row r="148" ht="15.75" customHeight="1">
      <c r="A148" s="203"/>
      <c r="B148" s="203"/>
      <c r="J148" s="359"/>
      <c r="T148" s="359"/>
    </row>
    <row r="149" ht="15.75" customHeight="1">
      <c r="A149" s="203"/>
      <c r="B149" s="203"/>
      <c r="J149" s="359"/>
      <c r="T149" s="359"/>
    </row>
    <row r="150" ht="15.75" customHeight="1">
      <c r="A150" s="203"/>
      <c r="B150" s="203"/>
      <c r="J150" s="359"/>
      <c r="T150" s="359"/>
    </row>
    <row r="151" ht="15.75" customHeight="1">
      <c r="A151" s="203"/>
      <c r="B151" s="203"/>
      <c r="J151" s="359"/>
      <c r="T151" s="359"/>
    </row>
    <row r="152" ht="15.75" customHeight="1">
      <c r="A152" s="203"/>
      <c r="B152" s="203"/>
      <c r="J152" s="359"/>
      <c r="T152" s="359"/>
    </row>
    <row r="153" ht="15.75" customHeight="1">
      <c r="A153" s="203"/>
      <c r="B153" s="203"/>
      <c r="J153" s="359"/>
      <c r="T153" s="359"/>
    </row>
    <row r="154" ht="15.75" customHeight="1">
      <c r="A154" s="203"/>
      <c r="B154" s="203"/>
      <c r="J154" s="359"/>
      <c r="T154" s="359"/>
    </row>
    <row r="155" ht="15.75" customHeight="1">
      <c r="A155" s="203"/>
      <c r="B155" s="203"/>
      <c r="J155" s="359"/>
      <c r="T155" s="359"/>
    </row>
    <row r="156" ht="15.75" customHeight="1">
      <c r="A156" s="203"/>
      <c r="B156" s="203"/>
      <c r="J156" s="359"/>
      <c r="T156" s="359"/>
    </row>
    <row r="157" ht="15.75" customHeight="1">
      <c r="A157" s="203"/>
      <c r="B157" s="203"/>
      <c r="J157" s="359"/>
      <c r="T157" s="359"/>
    </row>
    <row r="158" ht="15.75" customHeight="1">
      <c r="A158" s="203"/>
      <c r="B158" s="203"/>
      <c r="J158" s="359"/>
      <c r="T158" s="359"/>
    </row>
    <row r="159" ht="15.75" customHeight="1">
      <c r="A159" s="203"/>
      <c r="B159" s="203"/>
      <c r="J159" s="359"/>
      <c r="T159" s="359"/>
    </row>
    <row r="160" ht="15.75" customHeight="1">
      <c r="A160" s="203"/>
      <c r="B160" s="203"/>
      <c r="J160" s="359"/>
      <c r="T160" s="359"/>
    </row>
    <row r="161" ht="15.75" customHeight="1">
      <c r="A161" s="203"/>
      <c r="B161" s="203"/>
      <c r="J161" s="359"/>
      <c r="T161" s="359"/>
    </row>
    <row r="162" ht="15.75" customHeight="1">
      <c r="A162" s="203"/>
      <c r="B162" s="203"/>
      <c r="J162" s="359"/>
      <c r="T162" s="359"/>
    </row>
    <row r="163" ht="15.75" customHeight="1">
      <c r="A163" s="203"/>
      <c r="B163" s="203"/>
      <c r="J163" s="359"/>
      <c r="T163" s="359"/>
    </row>
    <row r="164" ht="15.75" customHeight="1">
      <c r="A164" s="203"/>
      <c r="B164" s="203"/>
      <c r="J164" s="359"/>
      <c r="T164" s="359"/>
    </row>
    <row r="165" ht="15.75" customHeight="1">
      <c r="A165" s="203"/>
      <c r="B165" s="203"/>
      <c r="J165" s="359"/>
      <c r="T165" s="359"/>
    </row>
    <row r="166" ht="15.75" customHeight="1">
      <c r="A166" s="203"/>
      <c r="B166" s="203"/>
      <c r="J166" s="359"/>
      <c r="T166" s="359"/>
    </row>
    <row r="167" ht="15.75" customHeight="1">
      <c r="A167" s="203"/>
      <c r="B167" s="203"/>
      <c r="J167" s="359"/>
      <c r="T167" s="359"/>
    </row>
    <row r="168" ht="15.75" customHeight="1">
      <c r="A168" s="203"/>
      <c r="B168" s="203"/>
      <c r="J168" s="359"/>
      <c r="T168" s="359"/>
    </row>
    <row r="169" ht="15.75" customHeight="1">
      <c r="A169" s="203"/>
      <c r="B169" s="203"/>
      <c r="J169" s="359"/>
      <c r="T169" s="359"/>
    </row>
    <row r="170" ht="15.75" customHeight="1">
      <c r="A170" s="203"/>
      <c r="B170" s="203"/>
      <c r="J170" s="359"/>
      <c r="T170" s="359"/>
    </row>
    <row r="171" ht="15.75" customHeight="1">
      <c r="A171" s="203"/>
      <c r="B171" s="203"/>
      <c r="J171" s="359"/>
      <c r="T171" s="359"/>
    </row>
    <row r="172" ht="15.75" customHeight="1">
      <c r="A172" s="203"/>
      <c r="B172" s="203"/>
      <c r="J172" s="359"/>
      <c r="T172" s="359"/>
    </row>
    <row r="173" ht="15.75" customHeight="1">
      <c r="A173" s="203"/>
      <c r="B173" s="203"/>
      <c r="J173" s="359"/>
      <c r="T173" s="359"/>
    </row>
    <row r="174" ht="15.75" customHeight="1">
      <c r="A174" s="203"/>
      <c r="B174" s="203"/>
      <c r="J174" s="359"/>
      <c r="T174" s="359"/>
    </row>
    <row r="175" ht="15.75" customHeight="1">
      <c r="A175" s="203"/>
      <c r="B175" s="203"/>
      <c r="J175" s="359"/>
      <c r="T175" s="359"/>
    </row>
    <row r="176" ht="15.75" customHeight="1">
      <c r="A176" s="203"/>
      <c r="B176" s="203"/>
      <c r="J176" s="359"/>
      <c r="T176" s="359"/>
    </row>
    <row r="177" ht="15.75" customHeight="1">
      <c r="A177" s="203"/>
      <c r="B177" s="203"/>
      <c r="J177" s="359"/>
      <c r="T177" s="359"/>
    </row>
    <row r="178" ht="15.75" customHeight="1">
      <c r="A178" s="203"/>
      <c r="B178" s="203"/>
      <c r="J178" s="359"/>
      <c r="T178" s="359"/>
    </row>
    <row r="179" ht="15.75" customHeight="1">
      <c r="A179" s="203"/>
      <c r="B179" s="203"/>
      <c r="J179" s="359"/>
      <c r="T179" s="359"/>
    </row>
    <row r="180" ht="15.75" customHeight="1">
      <c r="A180" s="203"/>
      <c r="B180" s="203"/>
      <c r="J180" s="359"/>
      <c r="T180" s="359"/>
    </row>
    <row r="181" ht="15.75" customHeight="1">
      <c r="A181" s="203"/>
      <c r="B181" s="203"/>
      <c r="J181" s="359"/>
      <c r="T181" s="359"/>
    </row>
    <row r="182" ht="15.75" customHeight="1">
      <c r="A182" s="203"/>
      <c r="B182" s="203"/>
      <c r="J182" s="359"/>
      <c r="T182" s="359"/>
    </row>
    <row r="183" ht="15.75" customHeight="1">
      <c r="A183" s="203"/>
      <c r="B183" s="203"/>
      <c r="J183" s="359"/>
      <c r="T183" s="359"/>
    </row>
    <row r="184" ht="15.75" customHeight="1">
      <c r="A184" s="203"/>
      <c r="B184" s="203"/>
      <c r="J184" s="359"/>
      <c r="T184" s="359"/>
    </row>
    <row r="185" ht="15.75" customHeight="1">
      <c r="A185" s="203"/>
      <c r="B185" s="203"/>
      <c r="J185" s="359"/>
      <c r="T185" s="359"/>
    </row>
    <row r="186" ht="15.75" customHeight="1">
      <c r="A186" s="203"/>
      <c r="B186" s="203"/>
      <c r="J186" s="359"/>
      <c r="T186" s="359"/>
    </row>
    <row r="187" ht="15.75" customHeight="1">
      <c r="A187" s="203"/>
      <c r="B187" s="203"/>
      <c r="J187" s="359"/>
      <c r="T187" s="359"/>
    </row>
    <row r="188" ht="15.75" customHeight="1">
      <c r="A188" s="203"/>
      <c r="B188" s="203"/>
      <c r="J188" s="359"/>
      <c r="T188" s="359"/>
    </row>
    <row r="189" ht="15.75" customHeight="1">
      <c r="A189" s="203"/>
      <c r="B189" s="203"/>
      <c r="J189" s="359"/>
      <c r="T189" s="359"/>
    </row>
    <row r="190" ht="15.75" customHeight="1">
      <c r="A190" s="203"/>
      <c r="B190" s="203"/>
      <c r="J190" s="359"/>
      <c r="T190" s="359"/>
    </row>
    <row r="191" ht="15.75" customHeight="1">
      <c r="A191" s="203"/>
      <c r="B191" s="203"/>
      <c r="J191" s="359"/>
      <c r="T191" s="359"/>
    </row>
    <row r="192" ht="15.75" customHeight="1">
      <c r="A192" s="203"/>
      <c r="B192" s="203"/>
      <c r="J192" s="359"/>
      <c r="T192" s="359"/>
    </row>
    <row r="193" ht="15.75" customHeight="1">
      <c r="A193" s="203"/>
      <c r="B193" s="203"/>
      <c r="J193" s="359"/>
      <c r="T193" s="359"/>
    </row>
    <row r="194" ht="15.75" customHeight="1">
      <c r="A194" s="203"/>
      <c r="B194" s="203"/>
      <c r="J194" s="359"/>
      <c r="T194" s="359"/>
    </row>
    <row r="195" ht="15.75" customHeight="1">
      <c r="A195" s="203"/>
      <c r="B195" s="203"/>
      <c r="J195" s="359"/>
      <c r="T195" s="359"/>
    </row>
    <row r="196" ht="15.75" customHeight="1">
      <c r="A196" s="203"/>
      <c r="B196" s="203"/>
      <c r="J196" s="359"/>
      <c r="T196" s="359"/>
    </row>
    <row r="197" ht="15.75" customHeight="1">
      <c r="A197" s="203"/>
      <c r="B197" s="203"/>
      <c r="J197" s="359"/>
      <c r="T197" s="359"/>
    </row>
    <row r="198" ht="15.75" customHeight="1">
      <c r="A198" s="203"/>
      <c r="B198" s="203"/>
      <c r="J198" s="359"/>
      <c r="T198" s="359"/>
    </row>
    <row r="199" ht="15.75" customHeight="1">
      <c r="A199" s="203"/>
      <c r="B199" s="203"/>
      <c r="J199" s="359"/>
      <c r="T199" s="359"/>
    </row>
    <row r="200" ht="15.75" customHeight="1">
      <c r="A200" s="203"/>
      <c r="B200" s="203"/>
      <c r="J200" s="359"/>
      <c r="T200" s="359"/>
    </row>
    <row r="201" ht="15.75" customHeight="1">
      <c r="A201" s="203"/>
      <c r="B201" s="203"/>
      <c r="J201" s="359"/>
      <c r="T201" s="359"/>
    </row>
    <row r="202" ht="15.75" customHeight="1">
      <c r="A202" s="203"/>
      <c r="B202" s="203"/>
      <c r="J202" s="359"/>
      <c r="T202" s="359"/>
    </row>
    <row r="203" ht="15.75" customHeight="1">
      <c r="A203" s="203"/>
      <c r="B203" s="203"/>
      <c r="J203" s="359"/>
      <c r="T203" s="359"/>
    </row>
    <row r="204" ht="15.75" customHeight="1">
      <c r="A204" s="203"/>
      <c r="B204" s="203"/>
      <c r="J204" s="359"/>
      <c r="T204" s="359"/>
    </row>
    <row r="205" ht="15.75" customHeight="1">
      <c r="A205" s="203"/>
      <c r="B205" s="203"/>
      <c r="J205" s="359"/>
      <c r="T205" s="359"/>
    </row>
    <row r="206" ht="15.75" customHeight="1">
      <c r="A206" s="203"/>
      <c r="B206" s="203"/>
      <c r="J206" s="359"/>
      <c r="T206" s="359"/>
    </row>
    <row r="207" ht="15.75" customHeight="1">
      <c r="A207" s="203"/>
      <c r="B207" s="203"/>
      <c r="J207" s="359"/>
      <c r="T207" s="359"/>
    </row>
    <row r="208" ht="15.75" customHeight="1">
      <c r="A208" s="203"/>
      <c r="B208" s="203"/>
      <c r="J208" s="359"/>
      <c r="T208" s="359"/>
    </row>
    <row r="209" ht="15.75" customHeight="1">
      <c r="A209" s="203"/>
      <c r="B209" s="203"/>
      <c r="J209" s="359"/>
      <c r="T209" s="359"/>
    </row>
    <row r="210" ht="15.75" customHeight="1">
      <c r="A210" s="203"/>
      <c r="B210" s="203"/>
      <c r="J210" s="359"/>
      <c r="T210" s="359"/>
    </row>
    <row r="211" ht="15.75" customHeight="1">
      <c r="A211" s="203"/>
      <c r="B211" s="203"/>
      <c r="J211" s="359"/>
      <c r="T211" s="359"/>
    </row>
    <row r="212" ht="15.75" customHeight="1">
      <c r="A212" s="203"/>
      <c r="B212" s="203"/>
      <c r="J212" s="359"/>
      <c r="T212" s="359"/>
    </row>
    <row r="213" ht="15.75" customHeight="1">
      <c r="A213" s="203"/>
      <c r="B213" s="203"/>
      <c r="J213" s="359"/>
      <c r="T213" s="359"/>
    </row>
    <row r="214" ht="15.75" customHeight="1">
      <c r="A214" s="203"/>
      <c r="B214" s="203"/>
      <c r="J214" s="359"/>
      <c r="T214" s="359"/>
    </row>
    <row r="215" ht="15.75" customHeight="1">
      <c r="A215" s="203"/>
      <c r="B215" s="203"/>
      <c r="J215" s="359"/>
      <c r="T215" s="359"/>
    </row>
    <row r="216" ht="15.75" customHeight="1">
      <c r="A216" s="203"/>
      <c r="B216" s="203"/>
      <c r="J216" s="359"/>
      <c r="T216" s="359"/>
    </row>
    <row r="217" ht="15.75" customHeight="1">
      <c r="A217" s="203"/>
      <c r="B217" s="203"/>
      <c r="J217" s="359"/>
      <c r="T217" s="359"/>
    </row>
    <row r="218" ht="15.75" customHeight="1">
      <c r="A218" s="203"/>
      <c r="B218" s="203"/>
      <c r="J218" s="359"/>
      <c r="T218" s="359"/>
    </row>
    <row r="219" ht="15.75" customHeight="1">
      <c r="A219" s="203"/>
      <c r="B219" s="203"/>
      <c r="J219" s="359"/>
      <c r="T219" s="359"/>
    </row>
    <row r="220" ht="15.75" customHeight="1">
      <c r="A220" s="203"/>
      <c r="B220" s="203"/>
      <c r="J220" s="359"/>
      <c r="T220" s="359"/>
    </row>
    <row r="221" ht="15.75" customHeight="1">
      <c r="A221" s="203"/>
      <c r="B221" s="203"/>
      <c r="J221" s="359"/>
      <c r="T221" s="359"/>
    </row>
    <row r="222" ht="15.75" customHeight="1">
      <c r="A222" s="203"/>
      <c r="B222" s="203"/>
      <c r="J222" s="359"/>
      <c r="T222" s="359"/>
    </row>
    <row r="223" ht="15.75" customHeight="1">
      <c r="A223" s="203"/>
      <c r="B223" s="203"/>
      <c r="J223" s="359"/>
      <c r="T223" s="359"/>
    </row>
    <row r="224" ht="15.75" customHeight="1">
      <c r="A224" s="203"/>
      <c r="B224" s="203"/>
      <c r="J224" s="359"/>
      <c r="T224" s="359"/>
    </row>
    <row r="225" ht="15.75" customHeight="1">
      <c r="A225" s="203"/>
      <c r="B225" s="203"/>
      <c r="J225" s="359"/>
      <c r="T225" s="359"/>
    </row>
    <row r="226" ht="15.75" customHeight="1">
      <c r="A226" s="203"/>
      <c r="B226" s="203"/>
      <c r="J226" s="359"/>
      <c r="T226" s="359"/>
    </row>
    <row r="227" ht="15.75" customHeight="1">
      <c r="A227" s="203"/>
      <c r="B227" s="203"/>
      <c r="J227" s="359"/>
      <c r="T227" s="359"/>
    </row>
    <row r="228" ht="15.75" customHeight="1">
      <c r="A228" s="203"/>
      <c r="B228" s="203"/>
      <c r="J228" s="359"/>
      <c r="T228" s="359"/>
    </row>
    <row r="229" ht="15.75" customHeight="1">
      <c r="A229" s="203"/>
      <c r="B229" s="203"/>
      <c r="J229" s="359"/>
      <c r="T229" s="359"/>
    </row>
    <row r="230" ht="15.75" customHeight="1">
      <c r="A230" s="203"/>
      <c r="B230" s="203"/>
      <c r="J230" s="359"/>
      <c r="T230" s="359"/>
    </row>
    <row r="231" ht="15.75" customHeight="1">
      <c r="A231" s="203"/>
      <c r="B231" s="203"/>
      <c r="J231" s="359"/>
      <c r="T231" s="359"/>
    </row>
    <row r="232" ht="15.75" customHeight="1">
      <c r="A232" s="203"/>
      <c r="B232" s="203"/>
      <c r="J232" s="359"/>
      <c r="T232" s="359"/>
    </row>
    <row r="233" ht="15.75" customHeight="1">
      <c r="A233" s="203"/>
      <c r="B233" s="203"/>
      <c r="J233" s="359"/>
      <c r="T233" s="359"/>
    </row>
    <row r="234" ht="15.75" customHeight="1">
      <c r="A234" s="203"/>
      <c r="B234" s="203"/>
      <c r="J234" s="359"/>
      <c r="T234" s="359"/>
    </row>
    <row r="235" ht="15.75" customHeight="1">
      <c r="A235" s="203"/>
      <c r="B235" s="203"/>
      <c r="J235" s="359"/>
      <c r="T235" s="359"/>
    </row>
    <row r="236" ht="15.75" customHeight="1">
      <c r="A236" s="203"/>
      <c r="B236" s="203"/>
      <c r="J236" s="359"/>
      <c r="T236" s="359"/>
    </row>
    <row r="237" ht="15.75" customHeight="1">
      <c r="A237" s="203"/>
      <c r="B237" s="203"/>
      <c r="J237" s="359"/>
      <c r="T237" s="359"/>
    </row>
    <row r="238" ht="15.75" customHeight="1">
      <c r="A238" s="203"/>
      <c r="B238" s="203"/>
      <c r="J238" s="359"/>
      <c r="T238" s="359"/>
    </row>
    <row r="239" ht="15.75" customHeight="1">
      <c r="A239" s="203"/>
      <c r="B239" s="203"/>
      <c r="J239" s="359"/>
      <c r="T239" s="359"/>
    </row>
    <row r="240" ht="15.75" customHeight="1">
      <c r="A240" s="203"/>
      <c r="B240" s="203"/>
      <c r="J240" s="359"/>
      <c r="T240" s="359"/>
    </row>
    <row r="241" ht="15.75" customHeight="1">
      <c r="A241" s="203"/>
      <c r="B241" s="203"/>
      <c r="J241" s="359"/>
      <c r="T241" s="359"/>
    </row>
    <row r="242" ht="15.75" customHeight="1">
      <c r="A242" s="203"/>
      <c r="B242" s="203"/>
      <c r="J242" s="359"/>
      <c r="T242" s="359"/>
    </row>
    <row r="243" ht="15.75" customHeight="1">
      <c r="A243" s="203"/>
      <c r="B243" s="203"/>
      <c r="J243" s="359"/>
      <c r="T243" s="359"/>
    </row>
    <row r="244" ht="15.75" customHeight="1">
      <c r="A244" s="203"/>
      <c r="B244" s="203"/>
      <c r="J244" s="359"/>
      <c r="T244" s="359"/>
    </row>
    <row r="245" ht="15.75" customHeight="1">
      <c r="A245" s="203"/>
      <c r="B245" s="203"/>
      <c r="J245" s="359"/>
      <c r="T245" s="359"/>
    </row>
    <row r="246" ht="15.75" customHeight="1">
      <c r="A246" s="203"/>
      <c r="B246" s="203"/>
      <c r="J246" s="359"/>
      <c r="T246" s="359"/>
    </row>
    <row r="247" ht="15.75" customHeight="1">
      <c r="A247" s="203"/>
      <c r="B247" s="203"/>
      <c r="J247" s="359"/>
      <c r="T247" s="359"/>
    </row>
    <row r="248" ht="15.75" customHeight="1">
      <c r="A248" s="203"/>
      <c r="B248" s="203"/>
      <c r="J248" s="359"/>
      <c r="T248" s="359"/>
    </row>
    <row r="249" ht="15.75" customHeight="1">
      <c r="A249" s="203"/>
      <c r="B249" s="203"/>
      <c r="J249" s="359"/>
      <c r="T249" s="359"/>
    </row>
    <row r="250" ht="15.75" customHeight="1">
      <c r="A250" s="203"/>
      <c r="B250" s="203"/>
      <c r="J250" s="359"/>
      <c r="T250" s="359"/>
    </row>
    <row r="251" ht="15.75" customHeight="1">
      <c r="A251" s="203"/>
      <c r="B251" s="203"/>
      <c r="J251" s="359"/>
      <c r="T251" s="359"/>
    </row>
    <row r="252" ht="15.75" customHeight="1">
      <c r="A252" s="203"/>
      <c r="B252" s="203"/>
      <c r="J252" s="359"/>
      <c r="T252" s="359"/>
    </row>
    <row r="253" ht="15.75" customHeight="1">
      <c r="A253" s="203"/>
      <c r="B253" s="203"/>
      <c r="J253" s="359"/>
      <c r="T253" s="359"/>
    </row>
    <row r="254" ht="15.75" customHeight="1">
      <c r="A254" s="203"/>
      <c r="B254" s="203"/>
      <c r="J254" s="359"/>
      <c r="T254" s="359"/>
    </row>
    <row r="255" ht="15.75" customHeight="1">
      <c r="A255" s="203"/>
      <c r="B255" s="203"/>
      <c r="J255" s="359"/>
      <c r="T255" s="359"/>
    </row>
    <row r="256" ht="15.75" customHeight="1">
      <c r="A256" s="203"/>
      <c r="B256" s="203"/>
      <c r="J256" s="359"/>
      <c r="T256" s="359"/>
    </row>
    <row r="257" ht="15.75" customHeight="1">
      <c r="A257" s="203"/>
      <c r="B257" s="203"/>
      <c r="J257" s="359"/>
      <c r="T257" s="359"/>
    </row>
    <row r="258" ht="15.75" customHeight="1">
      <c r="A258" s="203"/>
      <c r="B258" s="203"/>
      <c r="J258" s="359"/>
      <c r="T258" s="359"/>
    </row>
    <row r="259" ht="15.75" customHeight="1">
      <c r="A259" s="203"/>
      <c r="B259" s="203"/>
      <c r="J259" s="359"/>
      <c r="T259" s="359"/>
    </row>
    <row r="260" ht="15.75" customHeight="1">
      <c r="A260" s="203"/>
      <c r="B260" s="203"/>
      <c r="J260" s="359"/>
      <c r="T260" s="359"/>
    </row>
    <row r="261" ht="15.75" customHeight="1">
      <c r="A261" s="203"/>
      <c r="B261" s="203"/>
      <c r="J261" s="359"/>
      <c r="T261" s="359"/>
    </row>
    <row r="262" ht="15.75" customHeight="1">
      <c r="A262" s="203"/>
      <c r="B262" s="203"/>
      <c r="J262" s="359"/>
      <c r="T262" s="359"/>
    </row>
    <row r="263" ht="15.75" customHeight="1">
      <c r="A263" s="203"/>
      <c r="B263" s="203"/>
      <c r="J263" s="359"/>
      <c r="T263" s="359"/>
    </row>
    <row r="264" ht="15.75" customHeight="1">
      <c r="A264" s="203"/>
      <c r="B264" s="203"/>
      <c r="J264" s="359"/>
      <c r="T264" s="359"/>
    </row>
    <row r="265" ht="15.75" customHeight="1">
      <c r="A265" s="203"/>
      <c r="B265" s="203"/>
      <c r="J265" s="359"/>
      <c r="T265" s="359"/>
    </row>
    <row r="266" ht="15.75" customHeight="1">
      <c r="A266" s="203"/>
      <c r="B266" s="203"/>
      <c r="J266" s="359"/>
      <c r="T266" s="359"/>
    </row>
    <row r="267" ht="15.75" customHeight="1">
      <c r="A267" s="203"/>
      <c r="B267" s="203"/>
      <c r="J267" s="359"/>
      <c r="T267" s="359"/>
    </row>
    <row r="268" ht="15.75" customHeight="1">
      <c r="A268" s="203"/>
      <c r="B268" s="203"/>
      <c r="J268" s="359"/>
      <c r="T268" s="359"/>
    </row>
    <row r="269" ht="15.75" customHeight="1">
      <c r="A269" s="203"/>
      <c r="B269" s="203"/>
      <c r="J269" s="359"/>
      <c r="T269" s="359"/>
    </row>
    <row r="270" ht="15.75" customHeight="1">
      <c r="A270" s="203"/>
      <c r="B270" s="203"/>
      <c r="J270" s="359"/>
      <c r="T270" s="359"/>
    </row>
    <row r="271" ht="15.75" customHeight="1">
      <c r="A271" s="203"/>
      <c r="B271" s="203"/>
      <c r="J271" s="359"/>
      <c r="T271" s="359"/>
    </row>
    <row r="272" ht="15.75" customHeight="1">
      <c r="A272" s="203"/>
      <c r="B272" s="203"/>
      <c r="J272" s="359"/>
      <c r="T272" s="359"/>
    </row>
    <row r="273" ht="15.75" customHeight="1">
      <c r="A273" s="203"/>
      <c r="B273" s="203"/>
      <c r="J273" s="359"/>
      <c r="T273" s="359"/>
    </row>
    <row r="274" ht="15.75" customHeight="1">
      <c r="A274" s="203"/>
      <c r="B274" s="203"/>
      <c r="J274" s="359"/>
      <c r="T274" s="359"/>
    </row>
    <row r="275" ht="15.75" customHeight="1">
      <c r="A275" s="203"/>
      <c r="B275" s="203"/>
      <c r="J275" s="359"/>
      <c r="T275" s="359"/>
    </row>
    <row r="276" ht="15.75" customHeight="1">
      <c r="A276" s="203"/>
      <c r="B276" s="203"/>
      <c r="J276" s="359"/>
      <c r="T276" s="359"/>
    </row>
    <row r="277" ht="15.75" customHeight="1">
      <c r="A277" s="203"/>
      <c r="B277" s="203"/>
      <c r="J277" s="359"/>
      <c r="T277" s="359"/>
    </row>
    <row r="278" ht="15.75" customHeight="1">
      <c r="A278" s="203"/>
      <c r="B278" s="203"/>
      <c r="J278" s="359"/>
      <c r="T278" s="359"/>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6">
    <mergeCell ref="U46:W51"/>
    <mergeCell ref="U53:W58"/>
    <mergeCell ref="B57:B58"/>
    <mergeCell ref="K57:K58"/>
    <mergeCell ref="X46:X51"/>
    <mergeCell ref="A52:W52"/>
    <mergeCell ref="B53:B54"/>
    <mergeCell ref="C53:E58"/>
    <mergeCell ref="F53:F58"/>
    <mergeCell ref="P53:P58"/>
    <mergeCell ref="X53:X58"/>
    <mergeCell ref="L57:L58"/>
    <mergeCell ref="H39:H44"/>
    <mergeCell ref="I39:I44"/>
    <mergeCell ref="M39:O44"/>
    <mergeCell ref="P39:P44"/>
    <mergeCell ref="U39:W44"/>
    <mergeCell ref="X39:X44"/>
    <mergeCell ref="L41:L42"/>
    <mergeCell ref="G53:G58"/>
    <mergeCell ref="H53:H58"/>
    <mergeCell ref="A53:A54"/>
    <mergeCell ref="A55:A56"/>
    <mergeCell ref="B55:B56"/>
    <mergeCell ref="A57:A58"/>
    <mergeCell ref="A59:W59"/>
    <mergeCell ref="K64:K65"/>
    <mergeCell ref="L64:L65"/>
    <mergeCell ref="A66:W66"/>
    <mergeCell ref="L71:L72"/>
    <mergeCell ref="A73:W73"/>
    <mergeCell ref="U74:W79"/>
    <mergeCell ref="X74:X79"/>
    <mergeCell ref="L78:L79"/>
    <mergeCell ref="K76:K77"/>
    <mergeCell ref="K78:K79"/>
    <mergeCell ref="K41:K42"/>
    <mergeCell ref="K43:K44"/>
    <mergeCell ref="K74:K75"/>
    <mergeCell ref="L74:L75"/>
    <mergeCell ref="M74:O79"/>
    <mergeCell ref="P74:P79"/>
    <mergeCell ref="L76:L77"/>
    <mergeCell ref="K13:K14"/>
    <mergeCell ref="L13:L14"/>
    <mergeCell ref="H11:H16"/>
    <mergeCell ref="I11:I16"/>
    <mergeCell ref="M11:O16"/>
    <mergeCell ref="P11:P16"/>
    <mergeCell ref="Q11:Q16"/>
    <mergeCell ref="R11:R16"/>
    <mergeCell ref="S11:S16"/>
    <mergeCell ref="R18:R23"/>
    <mergeCell ref="S18:S23"/>
    <mergeCell ref="U18:W23"/>
    <mergeCell ref="X18:X23"/>
    <mergeCell ref="Y18:Y23"/>
    <mergeCell ref="Z18:Z23"/>
    <mergeCell ref="AA18:AA23"/>
    <mergeCell ref="K22:K23"/>
    <mergeCell ref="L22:L23"/>
    <mergeCell ref="A24:W24"/>
    <mergeCell ref="K15:K16"/>
    <mergeCell ref="L15:L16"/>
    <mergeCell ref="K18:K19"/>
    <mergeCell ref="L18:L19"/>
    <mergeCell ref="M18:O23"/>
    <mergeCell ref="P18:P23"/>
    <mergeCell ref="Q18:Q23"/>
    <mergeCell ref="R25:R30"/>
    <mergeCell ref="S25:S30"/>
    <mergeCell ref="U25:W30"/>
    <mergeCell ref="X25:X30"/>
    <mergeCell ref="K27:K28"/>
    <mergeCell ref="L27:L28"/>
    <mergeCell ref="A29:A30"/>
    <mergeCell ref="B29:B30"/>
    <mergeCell ref="K29:K30"/>
    <mergeCell ref="L29:L30"/>
    <mergeCell ref="A31:W31"/>
    <mergeCell ref="K20:K21"/>
    <mergeCell ref="L20:L21"/>
    <mergeCell ref="K25:K26"/>
    <mergeCell ref="L25:L26"/>
    <mergeCell ref="M25:O30"/>
    <mergeCell ref="P25:P30"/>
    <mergeCell ref="Q25:Q30"/>
    <mergeCell ref="A1:B3"/>
    <mergeCell ref="C1:E1"/>
    <mergeCell ref="M1:O1"/>
    <mergeCell ref="U1:W1"/>
    <mergeCell ref="C2:I3"/>
    <mergeCell ref="M2:S3"/>
    <mergeCell ref="U2:AA3"/>
    <mergeCell ref="U4:W9"/>
    <mergeCell ref="X4:X9"/>
    <mergeCell ref="Y4:Y9"/>
    <mergeCell ref="Z4:Z9"/>
    <mergeCell ref="AA4:AA9"/>
    <mergeCell ref="A6:A7"/>
    <mergeCell ref="B6:B7"/>
    <mergeCell ref="K6:K7"/>
    <mergeCell ref="L6:L7"/>
    <mergeCell ref="K11:K12"/>
    <mergeCell ref="L11:L12"/>
    <mergeCell ref="K8:K9"/>
    <mergeCell ref="L8:L9"/>
    <mergeCell ref="A10:W10"/>
    <mergeCell ref="K4:K5"/>
    <mergeCell ref="L4:L5"/>
    <mergeCell ref="M4:O9"/>
    <mergeCell ref="P4:P9"/>
    <mergeCell ref="Q4:Q9"/>
    <mergeCell ref="R4:R9"/>
    <mergeCell ref="S4:S9"/>
    <mergeCell ref="U11:W16"/>
    <mergeCell ref="X11:X16"/>
    <mergeCell ref="Y11:Y16"/>
    <mergeCell ref="Z11:Z16"/>
    <mergeCell ref="AA11:AA16"/>
    <mergeCell ref="A17:W17"/>
    <mergeCell ref="A4:A5"/>
    <mergeCell ref="B4:B5"/>
    <mergeCell ref="C4:E9"/>
    <mergeCell ref="F4:F9"/>
    <mergeCell ref="G4:G9"/>
    <mergeCell ref="H4:H9"/>
    <mergeCell ref="I4:I9"/>
    <mergeCell ref="A13:A14"/>
    <mergeCell ref="B13:B14"/>
    <mergeCell ref="A8:A9"/>
    <mergeCell ref="B8:B9"/>
    <mergeCell ref="A11:A12"/>
    <mergeCell ref="B11:B12"/>
    <mergeCell ref="C11:E16"/>
    <mergeCell ref="F11:F16"/>
    <mergeCell ref="G11:G16"/>
    <mergeCell ref="H18:H23"/>
    <mergeCell ref="I18:I23"/>
    <mergeCell ref="A20:A21"/>
    <mergeCell ref="B20:B21"/>
    <mergeCell ref="H25:H30"/>
    <mergeCell ref="I25:I30"/>
    <mergeCell ref="A27:A28"/>
    <mergeCell ref="B27:B28"/>
    <mergeCell ref="A32:A33"/>
    <mergeCell ref="B32:B33"/>
    <mergeCell ref="C32:E37"/>
    <mergeCell ref="F32:F37"/>
    <mergeCell ref="G32:G37"/>
    <mergeCell ref="H32:H37"/>
    <mergeCell ref="I32:I37"/>
    <mergeCell ref="A34:A35"/>
    <mergeCell ref="B34:B35"/>
    <mergeCell ref="A39:A40"/>
    <mergeCell ref="B39:B40"/>
    <mergeCell ref="C39:E44"/>
    <mergeCell ref="F39:F44"/>
    <mergeCell ref="G39:G44"/>
    <mergeCell ref="A48:A49"/>
    <mergeCell ref="B48:B49"/>
    <mergeCell ref="A50:A51"/>
    <mergeCell ref="B50:B51"/>
    <mergeCell ref="A43:A44"/>
    <mergeCell ref="B43:B44"/>
    <mergeCell ref="A46:A47"/>
    <mergeCell ref="B46:B47"/>
    <mergeCell ref="C46:E51"/>
    <mergeCell ref="F46:F51"/>
    <mergeCell ref="G46:G51"/>
    <mergeCell ref="K48:K49"/>
    <mergeCell ref="K50:K51"/>
    <mergeCell ref="H46:H51"/>
    <mergeCell ref="I46:I51"/>
    <mergeCell ref="K46:K47"/>
    <mergeCell ref="L46:L47"/>
    <mergeCell ref="M46:O51"/>
    <mergeCell ref="P46:P51"/>
    <mergeCell ref="L48:L49"/>
    <mergeCell ref="L50:L51"/>
    <mergeCell ref="A15:A16"/>
    <mergeCell ref="B15:B16"/>
    <mergeCell ref="A18:A19"/>
    <mergeCell ref="B18:B19"/>
    <mergeCell ref="C18:E23"/>
    <mergeCell ref="F18:F23"/>
    <mergeCell ref="G18:G23"/>
    <mergeCell ref="A22:A23"/>
    <mergeCell ref="B22:B23"/>
    <mergeCell ref="A25:A26"/>
    <mergeCell ref="B25:B26"/>
    <mergeCell ref="C25:E30"/>
    <mergeCell ref="F25:F30"/>
    <mergeCell ref="G25:G30"/>
    <mergeCell ref="A36:A37"/>
    <mergeCell ref="B36:B37"/>
    <mergeCell ref="A38:W38"/>
    <mergeCell ref="K34:K35"/>
    <mergeCell ref="K36:K37"/>
    <mergeCell ref="K39:K40"/>
    <mergeCell ref="L39:L40"/>
    <mergeCell ref="K32:K33"/>
    <mergeCell ref="L32:L33"/>
    <mergeCell ref="M32:O37"/>
    <mergeCell ref="P32:P37"/>
    <mergeCell ref="U32:W37"/>
    <mergeCell ref="X32:X37"/>
    <mergeCell ref="L34:L35"/>
    <mergeCell ref="L36:L37"/>
    <mergeCell ref="A41:A42"/>
    <mergeCell ref="B41:B42"/>
    <mergeCell ref="L43:L44"/>
    <mergeCell ref="A45:W45"/>
    <mergeCell ref="L53:L54"/>
    <mergeCell ref="M53:O58"/>
    <mergeCell ref="L55:L56"/>
    <mergeCell ref="M60:O65"/>
    <mergeCell ref="P60:P65"/>
    <mergeCell ref="U60:W65"/>
    <mergeCell ref="X60:X65"/>
    <mergeCell ref="I53:I58"/>
    <mergeCell ref="K53:K54"/>
    <mergeCell ref="K55:K56"/>
    <mergeCell ref="K60:K61"/>
    <mergeCell ref="L60:L61"/>
    <mergeCell ref="K62:K63"/>
    <mergeCell ref="L62:L63"/>
    <mergeCell ref="K69:K70"/>
    <mergeCell ref="K71:K72"/>
    <mergeCell ref="K67:K68"/>
    <mergeCell ref="L67:L68"/>
    <mergeCell ref="M67:O72"/>
    <mergeCell ref="P67:P72"/>
    <mergeCell ref="U67:W72"/>
    <mergeCell ref="X67:X72"/>
    <mergeCell ref="L69:L7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4.43" defaultRowHeight="15.0"/>
  <cols>
    <col customWidth="1" min="1" max="1" width="42.14"/>
    <col customWidth="1" min="2" max="2" width="18.43"/>
    <col customWidth="1" min="3" max="6" width="14.43"/>
    <col customWidth="1" min="7" max="7" width="19.0"/>
  </cols>
  <sheetData>
    <row r="1">
      <c r="A1" s="360" t="s">
        <v>363</v>
      </c>
    </row>
    <row r="2">
      <c r="A2" s="360"/>
    </row>
    <row r="3">
      <c r="A3" s="361" t="s">
        <v>364</v>
      </c>
      <c r="B3" s="361" t="s">
        <v>365</v>
      </c>
      <c r="C3" s="361" t="s">
        <v>6</v>
      </c>
      <c r="D3" s="361" t="s">
        <v>110</v>
      </c>
    </row>
    <row r="4">
      <c r="A4" s="362" t="s">
        <v>366</v>
      </c>
      <c r="B4" s="363">
        <v>0.88</v>
      </c>
      <c r="C4" s="364">
        <v>2500.0</v>
      </c>
      <c r="D4" s="365">
        <v>4400.0</v>
      </c>
    </row>
    <row r="5">
      <c r="A5" s="366" t="s">
        <v>367</v>
      </c>
      <c r="B5" s="363">
        <v>0.44</v>
      </c>
      <c r="C5" s="364">
        <v>2500.0</v>
      </c>
      <c r="D5" s="365">
        <v>2200.0</v>
      </c>
    </row>
    <row r="6">
      <c r="A6" s="367" t="s">
        <v>368</v>
      </c>
      <c r="B6" s="368">
        <v>0.72</v>
      </c>
      <c r="C6" s="364">
        <v>2500.0</v>
      </c>
      <c r="D6" s="365">
        <f t="shared" ref="D6:D7" si="1">C6*B6</f>
        <v>1800</v>
      </c>
    </row>
    <row r="7">
      <c r="A7" s="369" t="s">
        <v>369</v>
      </c>
      <c r="B7" s="368">
        <v>1.0</v>
      </c>
      <c r="C7" s="364">
        <v>2500.0</v>
      </c>
      <c r="D7" s="368">
        <f t="shared" si="1"/>
        <v>2500</v>
      </c>
    </row>
    <row r="8">
      <c r="A8" s="370"/>
      <c r="D8" s="371"/>
    </row>
    <row r="9">
      <c r="A9" s="370"/>
    </row>
    <row r="10">
      <c r="A10" s="370" t="s">
        <v>370</v>
      </c>
    </row>
    <row r="11">
      <c r="A11" s="370"/>
    </row>
    <row r="12">
      <c r="A12" s="361" t="s">
        <v>364</v>
      </c>
      <c r="B12" s="361" t="s">
        <v>365</v>
      </c>
      <c r="C12" s="361" t="s">
        <v>6</v>
      </c>
      <c r="D12" s="361" t="s">
        <v>110</v>
      </c>
    </row>
    <row r="13">
      <c r="A13" s="362" t="s">
        <v>371</v>
      </c>
      <c r="B13" s="368">
        <v>1.96</v>
      </c>
      <c r="C13" s="364">
        <v>2500.0</v>
      </c>
      <c r="D13" s="368">
        <f t="shared" ref="D13:D16" si="2">C13*B13</f>
        <v>4900</v>
      </c>
    </row>
    <row r="14">
      <c r="A14" s="366" t="s">
        <v>367</v>
      </c>
      <c r="B14" s="368">
        <v>2.0</v>
      </c>
      <c r="C14" s="364">
        <v>2500.0</v>
      </c>
      <c r="D14" s="368">
        <f t="shared" si="2"/>
        <v>5000</v>
      </c>
    </row>
    <row r="15">
      <c r="A15" s="367" t="s">
        <v>368</v>
      </c>
      <c r="B15" s="368">
        <v>2.0</v>
      </c>
      <c r="C15" s="364">
        <v>2500.0</v>
      </c>
      <c r="D15" s="368">
        <f t="shared" si="2"/>
        <v>5000</v>
      </c>
    </row>
    <row r="16">
      <c r="A16" s="369" t="s">
        <v>369</v>
      </c>
      <c r="B16" s="368">
        <v>2.0</v>
      </c>
      <c r="C16" s="364">
        <v>2500.0</v>
      </c>
      <c r="D16" s="368">
        <f t="shared" si="2"/>
        <v>5000</v>
      </c>
    </row>
    <row r="17">
      <c r="A17" s="370"/>
    </row>
    <row r="18">
      <c r="A18" s="370" t="s">
        <v>372</v>
      </c>
    </row>
    <row r="19">
      <c r="A19" s="370"/>
    </row>
    <row r="20">
      <c r="A20" s="361" t="s">
        <v>364</v>
      </c>
      <c r="B20" s="361" t="s">
        <v>365</v>
      </c>
      <c r="C20" s="361" t="s">
        <v>6</v>
      </c>
      <c r="D20" s="361" t="s">
        <v>110</v>
      </c>
    </row>
    <row r="21" ht="15.75" customHeight="1">
      <c r="A21" s="362" t="s">
        <v>366</v>
      </c>
      <c r="B21" s="368">
        <v>2.0</v>
      </c>
      <c r="C21" s="364">
        <v>2500.0</v>
      </c>
      <c r="D21" s="368">
        <f t="shared" ref="D21:D24" si="3">C21*B21</f>
        <v>5000</v>
      </c>
    </row>
    <row r="22" ht="15.75" customHeight="1">
      <c r="A22" s="366" t="s">
        <v>367</v>
      </c>
      <c r="B22" s="368">
        <v>2.0</v>
      </c>
      <c r="C22" s="364">
        <v>2500.0</v>
      </c>
      <c r="D22" s="368">
        <f t="shared" si="3"/>
        <v>5000</v>
      </c>
    </row>
    <row r="23" ht="15.75" customHeight="1">
      <c r="A23" s="367" t="s">
        <v>368</v>
      </c>
      <c r="B23" s="368">
        <v>2.0</v>
      </c>
      <c r="C23" s="364">
        <v>2500.0</v>
      </c>
      <c r="D23" s="368">
        <f t="shared" si="3"/>
        <v>5000</v>
      </c>
    </row>
    <row r="24" ht="15.75" customHeight="1">
      <c r="A24" s="369" t="s">
        <v>369</v>
      </c>
      <c r="B24" s="368">
        <v>2.0</v>
      </c>
      <c r="C24" s="364">
        <v>2500.0</v>
      </c>
      <c r="D24" s="368">
        <f t="shared" si="3"/>
        <v>5000</v>
      </c>
    </row>
    <row r="25" ht="15.75" customHeight="1">
      <c r="A25" s="370"/>
    </row>
    <row r="26" ht="15.75" customHeight="1">
      <c r="A26" s="370" t="s">
        <v>373</v>
      </c>
    </row>
    <row r="27" ht="15.75" customHeight="1">
      <c r="A27" s="370"/>
    </row>
    <row r="28" ht="15.75" customHeight="1">
      <c r="A28" s="361" t="s">
        <v>364</v>
      </c>
      <c r="B28" s="361" t="s">
        <v>365</v>
      </c>
      <c r="C28" s="361" t="s">
        <v>6</v>
      </c>
      <c r="D28" s="361" t="s">
        <v>110</v>
      </c>
    </row>
    <row r="29" ht="15.75" customHeight="1">
      <c r="A29" s="362" t="s">
        <v>374</v>
      </c>
      <c r="B29" s="368">
        <v>1.87</v>
      </c>
      <c r="C29" s="372">
        <v>1500.0</v>
      </c>
      <c r="D29" s="368">
        <f t="shared" ref="D29:D31" si="4">B29*C29</f>
        <v>2805</v>
      </c>
    </row>
    <row r="30" ht="15.75" customHeight="1">
      <c r="A30" s="366" t="s">
        <v>375</v>
      </c>
      <c r="B30" s="368">
        <v>3.24</v>
      </c>
      <c r="C30" s="372">
        <v>1500.0</v>
      </c>
      <c r="D30" s="368">
        <f t="shared" si="4"/>
        <v>4860</v>
      </c>
    </row>
    <row r="31" ht="15.75" customHeight="1">
      <c r="A31" s="367" t="s">
        <v>376</v>
      </c>
      <c r="B31" s="368">
        <v>1.7</v>
      </c>
      <c r="C31" s="372">
        <v>1500.0</v>
      </c>
      <c r="D31" s="368">
        <f t="shared" si="4"/>
        <v>2550</v>
      </c>
    </row>
    <row r="32" ht="15.75" customHeight="1">
      <c r="A32" s="369" t="s">
        <v>377</v>
      </c>
      <c r="B32" s="368">
        <v>0.0</v>
      </c>
      <c r="C32" s="372">
        <v>0.0</v>
      </c>
      <c r="D32" s="368">
        <v>5000.0</v>
      </c>
    </row>
    <row r="33" ht="15.75" customHeight="1">
      <c r="A33" s="370"/>
    </row>
    <row r="34" ht="15.75" customHeight="1">
      <c r="A34" s="370" t="s">
        <v>378</v>
      </c>
    </row>
    <row r="35" ht="15.75" customHeight="1">
      <c r="A35" s="370"/>
    </row>
    <row r="36" ht="15.75" customHeight="1">
      <c r="A36" s="361" t="s">
        <v>364</v>
      </c>
      <c r="B36" s="361" t="s">
        <v>379</v>
      </c>
      <c r="C36" s="361" t="s">
        <v>380</v>
      </c>
      <c r="D36" s="361" t="s">
        <v>110</v>
      </c>
    </row>
    <row r="37" ht="15.75" customHeight="1">
      <c r="A37" s="362" t="s">
        <v>381</v>
      </c>
      <c r="B37" s="368">
        <f t="shared" ref="B37:B41" si="5">D37/C37</f>
        <v>20.12925325</v>
      </c>
      <c r="C37" s="372">
        <f>176+132</f>
        <v>308</v>
      </c>
      <c r="D37" s="368">
        <v>6199.81</v>
      </c>
      <c r="E37" s="373">
        <f t="shared" ref="E37:E38" si="6">D37/30</f>
        <v>206.6603333</v>
      </c>
    </row>
    <row r="38" ht="15.75" customHeight="1">
      <c r="A38" s="362" t="s">
        <v>382</v>
      </c>
      <c r="B38" s="368">
        <f t="shared" si="5"/>
        <v>18.70185039</v>
      </c>
      <c r="C38" s="372">
        <f>91+70+93</f>
        <v>254</v>
      </c>
      <c r="D38" s="368">
        <v>4750.27</v>
      </c>
      <c r="E38" s="373">
        <f t="shared" si="6"/>
        <v>158.3423333</v>
      </c>
    </row>
    <row r="39" ht="15.75" customHeight="1">
      <c r="A39" s="362" t="s">
        <v>383</v>
      </c>
      <c r="B39" s="368">
        <f t="shared" si="5"/>
        <v>129.7759633</v>
      </c>
      <c r="C39" s="372">
        <f>45+41+23</f>
        <v>109</v>
      </c>
      <c r="D39" s="368">
        <f>12765.3+1380.28</f>
        <v>14145.58</v>
      </c>
    </row>
    <row r="40" ht="15.75" customHeight="1">
      <c r="A40" s="374" t="s">
        <v>384</v>
      </c>
      <c r="B40" s="368">
        <f t="shared" si="5"/>
        <v>14.7114881</v>
      </c>
      <c r="C40" s="372">
        <v>168.0</v>
      </c>
      <c r="D40" s="368">
        <v>2471.53</v>
      </c>
    </row>
    <row r="41" ht="15.75" customHeight="1">
      <c r="A41" s="374" t="s">
        <v>385</v>
      </c>
      <c r="B41" s="368">
        <f t="shared" si="5"/>
        <v>84.75409639</v>
      </c>
      <c r="C41" s="372">
        <f>21+3+59</f>
        <v>83</v>
      </c>
      <c r="D41" s="368">
        <v>7034.59</v>
      </c>
    </row>
    <row r="42" ht="15.75" customHeight="1">
      <c r="A42" s="367" t="s">
        <v>386</v>
      </c>
      <c r="B42" s="368"/>
      <c r="C42" s="372"/>
      <c r="D42" s="368"/>
    </row>
    <row r="43" ht="15.75" customHeight="1">
      <c r="A43" s="367" t="s">
        <v>387</v>
      </c>
      <c r="B43" s="368">
        <f t="shared" ref="B43:B45" si="7">D43/C43</f>
        <v>29.59875</v>
      </c>
      <c r="C43" s="372">
        <v>16.0</v>
      </c>
      <c r="D43" s="368">
        <v>473.58</v>
      </c>
    </row>
    <row r="44" ht="15.75" customHeight="1">
      <c r="A44" s="369" t="s">
        <v>388</v>
      </c>
      <c r="B44" s="368">
        <f t="shared" si="7"/>
        <v>41.11621622</v>
      </c>
      <c r="C44" s="372">
        <v>111.0</v>
      </c>
      <c r="D44" s="368">
        <v>4563.9</v>
      </c>
      <c r="E44" s="373">
        <f>D44/30</f>
        <v>152.13</v>
      </c>
    </row>
    <row r="45" ht="15.75" customHeight="1">
      <c r="A45" s="369" t="s">
        <v>389</v>
      </c>
      <c r="B45" s="368">
        <f t="shared" si="7"/>
        <v>50</v>
      </c>
      <c r="C45" s="372">
        <v>100.0</v>
      </c>
      <c r="D45" s="368">
        <v>5000.0</v>
      </c>
    </row>
    <row r="46" ht="15.75" customHeight="1"/>
    <row r="47" ht="15.75" customHeight="1">
      <c r="A47" s="370"/>
    </row>
    <row r="48" ht="15.75" customHeight="1">
      <c r="A48" s="370" t="s">
        <v>390</v>
      </c>
    </row>
    <row r="49" ht="15.75" customHeight="1">
      <c r="A49" s="370"/>
    </row>
    <row r="50" ht="15.75" customHeight="1">
      <c r="A50" s="361" t="s">
        <v>364</v>
      </c>
      <c r="B50" s="361" t="s">
        <v>365</v>
      </c>
      <c r="C50" s="361" t="s">
        <v>6</v>
      </c>
      <c r="D50" s="361" t="s">
        <v>110</v>
      </c>
      <c r="E50" s="375" t="s">
        <v>391</v>
      </c>
      <c r="F50" s="375" t="s">
        <v>380</v>
      </c>
      <c r="G50" s="361" t="s">
        <v>379</v>
      </c>
    </row>
    <row r="51" ht="15.75" customHeight="1">
      <c r="A51" s="367" t="s">
        <v>392</v>
      </c>
      <c r="B51" s="376" t="s">
        <v>393</v>
      </c>
      <c r="C51" s="364">
        <v>15000.0</v>
      </c>
      <c r="D51" s="365">
        <v>20000.0</v>
      </c>
      <c r="E51" s="377">
        <v>20000.0</v>
      </c>
      <c r="F51" s="378">
        <v>200.0</v>
      </c>
      <c r="G51" s="379">
        <f t="shared" ref="G51:G52" si="8">(D51+E51)/F51</f>
        <v>200</v>
      </c>
    </row>
    <row r="52" ht="15.75" customHeight="1">
      <c r="A52" s="369" t="s">
        <v>394</v>
      </c>
      <c r="B52" s="380">
        <v>0.65</v>
      </c>
      <c r="C52" s="381">
        <v>12000.0</v>
      </c>
      <c r="D52" s="380">
        <v>7500.0</v>
      </c>
      <c r="E52" s="380">
        <v>7500.0</v>
      </c>
      <c r="F52" s="378">
        <v>30.0</v>
      </c>
      <c r="G52" s="379">
        <f t="shared" si="8"/>
        <v>500</v>
      </c>
    </row>
    <row r="53" ht="15.75" customHeight="1"/>
    <row r="54" ht="15.75" customHeight="1"/>
    <row r="55" ht="15.75" customHeight="1">
      <c r="B55" s="197" t="s">
        <v>395</v>
      </c>
      <c r="D55" s="373">
        <f>D6+D4+D5+D7+D15+D13+D14+D16+D29+D30+D31+D31+D39+D41+D43+D45+D37+D44+D40+D38</f>
        <v>88204.26</v>
      </c>
    </row>
    <row r="56" ht="15.75" customHeight="1"/>
    <row r="57" ht="15.75" customHeight="1">
      <c r="B57" s="197" t="s">
        <v>396</v>
      </c>
      <c r="D57" s="373">
        <f>(D55*3)+D51+E51+D52+E52</f>
        <v>319612.78</v>
      </c>
    </row>
    <row r="58" ht="15.75" customHeight="1"/>
    <row r="59" ht="15.75" customHeight="1">
      <c r="B59" s="197" t="s">
        <v>397</v>
      </c>
      <c r="D59" s="373">
        <f>(D55*12)+(D51+E51+D52+E52)*3</f>
        <v>1223451.12</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55:C56"/>
    <mergeCell ref="D55:D56"/>
    <mergeCell ref="B57:C58"/>
    <mergeCell ref="D57:D58"/>
    <mergeCell ref="B59:C5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21.57"/>
    <col customWidth="1" min="3" max="3" width="27.0"/>
    <col customWidth="1" min="4" max="4" width="37.43"/>
    <col customWidth="1" min="5" max="5" width="20.43"/>
    <col customWidth="1" min="6" max="6" width="18.57"/>
    <col customWidth="1" min="7" max="7" width="21.57"/>
    <col customWidth="1" min="8" max="8" width="43.14"/>
    <col customWidth="1" min="9" max="9" width="21.57"/>
    <col customWidth="1" min="10" max="10" width="10.86"/>
    <col customWidth="1" min="11" max="11" width="21.57"/>
    <col customWidth="1" min="12" max="12" width="9.71"/>
    <col customWidth="1" min="13" max="15" width="21.57"/>
  </cols>
  <sheetData>
    <row r="1">
      <c r="A1" s="382" t="s">
        <v>398</v>
      </c>
      <c r="B1" s="382" t="s">
        <v>399</v>
      </c>
      <c r="C1" s="382" t="s">
        <v>400</v>
      </c>
      <c r="D1" s="382" t="s">
        <v>401</v>
      </c>
      <c r="E1" s="382" t="s">
        <v>402</v>
      </c>
      <c r="F1" s="382" t="s">
        <v>403</v>
      </c>
      <c r="G1" s="382" t="s">
        <v>404</v>
      </c>
      <c r="H1" s="382" t="s">
        <v>405</v>
      </c>
      <c r="I1" s="382" t="s">
        <v>406</v>
      </c>
      <c r="J1" s="382" t="s">
        <v>407</v>
      </c>
      <c r="K1" s="382" t="s">
        <v>408</v>
      </c>
      <c r="L1" s="382" t="s">
        <v>407</v>
      </c>
      <c r="M1" s="382" t="s">
        <v>409</v>
      </c>
      <c r="N1" s="382" t="s">
        <v>380</v>
      </c>
      <c r="O1" s="382" t="s">
        <v>410</v>
      </c>
    </row>
    <row r="2">
      <c r="A2" s="383" t="s">
        <v>411</v>
      </c>
      <c r="B2" s="384" t="s">
        <v>412</v>
      </c>
      <c r="C2" s="385" t="s">
        <v>413</v>
      </c>
      <c r="D2" s="383" t="s">
        <v>414</v>
      </c>
      <c r="E2" s="385" t="s">
        <v>415</v>
      </c>
      <c r="F2" s="386"/>
      <c r="G2" s="386"/>
      <c r="H2" s="386"/>
      <c r="I2" s="386"/>
      <c r="J2" s="387" t="str">
        <f t="shared" ref="J2:J7" si="1">K2/I2</f>
        <v>#DIV/0!</v>
      </c>
      <c r="K2" s="386"/>
      <c r="L2" s="387" t="str">
        <f t="shared" ref="L2:L7" si="2">M2/K2</f>
        <v>#DIV/0!</v>
      </c>
      <c r="M2" s="386"/>
      <c r="N2" s="388">
        <v>1.0</v>
      </c>
      <c r="O2" s="386"/>
    </row>
    <row r="3">
      <c r="A3" s="388" t="s">
        <v>411</v>
      </c>
      <c r="B3" s="384" t="s">
        <v>412</v>
      </c>
      <c r="C3" s="385" t="s">
        <v>416</v>
      </c>
      <c r="D3" s="383" t="s">
        <v>417</v>
      </c>
      <c r="E3" s="385" t="s">
        <v>415</v>
      </c>
      <c r="F3" s="386"/>
      <c r="G3" s="386"/>
      <c r="H3" s="386"/>
      <c r="I3" s="386"/>
      <c r="J3" s="387" t="str">
        <f t="shared" si="1"/>
        <v>#DIV/0!</v>
      </c>
      <c r="K3" s="386"/>
      <c r="L3" s="387" t="str">
        <f t="shared" si="2"/>
        <v>#DIV/0!</v>
      </c>
      <c r="M3" s="386"/>
      <c r="N3" s="388">
        <v>1.0</v>
      </c>
      <c r="O3" s="386"/>
    </row>
    <row r="4">
      <c r="A4" s="388" t="s">
        <v>411</v>
      </c>
      <c r="B4" s="385" t="s">
        <v>412</v>
      </c>
      <c r="C4" s="385" t="s">
        <v>413</v>
      </c>
      <c r="D4" s="383" t="s">
        <v>418</v>
      </c>
      <c r="E4" s="385" t="s">
        <v>419</v>
      </c>
      <c r="F4" s="386"/>
      <c r="G4" s="386"/>
      <c r="H4" s="386"/>
      <c r="I4" s="386"/>
      <c r="J4" s="387" t="str">
        <f t="shared" si="1"/>
        <v>#DIV/0!</v>
      </c>
      <c r="K4" s="386"/>
      <c r="L4" s="387" t="str">
        <f t="shared" si="2"/>
        <v>#DIV/0!</v>
      </c>
      <c r="M4" s="386"/>
      <c r="N4" s="388">
        <v>2.0</v>
      </c>
      <c r="O4" s="386"/>
    </row>
    <row r="5">
      <c r="A5" s="388" t="s">
        <v>411</v>
      </c>
      <c r="B5" s="385" t="s">
        <v>412</v>
      </c>
      <c r="C5" s="385" t="s">
        <v>413</v>
      </c>
      <c r="D5" s="383" t="s">
        <v>420</v>
      </c>
      <c r="E5" s="388" t="s">
        <v>419</v>
      </c>
      <c r="F5" s="386"/>
      <c r="G5" s="386"/>
      <c r="H5" s="386"/>
      <c r="I5" s="386"/>
      <c r="J5" s="387" t="str">
        <f t="shared" si="1"/>
        <v>#DIV/0!</v>
      </c>
      <c r="K5" s="386"/>
      <c r="L5" s="387" t="str">
        <f t="shared" si="2"/>
        <v>#DIV/0!</v>
      </c>
      <c r="M5" s="386"/>
      <c r="N5" s="388">
        <v>2.0</v>
      </c>
      <c r="O5" s="386"/>
    </row>
    <row r="6">
      <c r="A6" s="388" t="s">
        <v>411</v>
      </c>
      <c r="B6" s="385" t="s">
        <v>412</v>
      </c>
      <c r="C6" s="385" t="s">
        <v>413</v>
      </c>
      <c r="D6" s="383" t="s">
        <v>421</v>
      </c>
      <c r="E6" s="388" t="s">
        <v>419</v>
      </c>
      <c r="F6" s="386"/>
      <c r="G6" s="386"/>
      <c r="H6" s="386"/>
      <c r="I6" s="386"/>
      <c r="J6" s="387" t="str">
        <f t="shared" si="1"/>
        <v>#DIV/0!</v>
      </c>
      <c r="K6" s="386"/>
      <c r="L6" s="387" t="str">
        <f t="shared" si="2"/>
        <v>#DIV/0!</v>
      </c>
      <c r="M6" s="386"/>
      <c r="N6" s="388">
        <v>1.0</v>
      </c>
      <c r="O6" s="386"/>
    </row>
    <row r="7">
      <c r="A7" s="388" t="s">
        <v>411</v>
      </c>
      <c r="B7" s="385" t="s">
        <v>412</v>
      </c>
      <c r="C7" s="385" t="s">
        <v>413</v>
      </c>
      <c r="D7" s="383" t="s">
        <v>422</v>
      </c>
      <c r="E7" s="388" t="s">
        <v>419</v>
      </c>
      <c r="F7" s="386"/>
      <c r="G7" s="386"/>
      <c r="H7" s="386"/>
      <c r="I7" s="386"/>
      <c r="J7" s="387" t="str">
        <f t="shared" si="1"/>
        <v>#DIV/0!</v>
      </c>
      <c r="K7" s="386"/>
      <c r="L7" s="387" t="str">
        <f t="shared" si="2"/>
        <v>#DIV/0!</v>
      </c>
      <c r="M7" s="386"/>
      <c r="N7" s="388">
        <v>1.0</v>
      </c>
      <c r="O7" s="386"/>
    </row>
    <row r="8">
      <c r="A8" s="389"/>
      <c r="B8" s="198"/>
      <c r="C8" s="198"/>
      <c r="D8" s="198"/>
      <c r="E8" s="198"/>
      <c r="F8" s="198"/>
      <c r="G8" s="198"/>
      <c r="H8" s="198"/>
      <c r="I8" s="198"/>
      <c r="J8" s="198"/>
      <c r="K8" s="198"/>
      <c r="L8" s="198"/>
      <c r="M8" s="198"/>
      <c r="N8" s="198"/>
      <c r="O8" s="198"/>
    </row>
    <row r="9">
      <c r="A9" s="198"/>
      <c r="B9" s="198"/>
      <c r="C9" s="198"/>
      <c r="D9" s="198"/>
      <c r="E9" s="198"/>
      <c r="F9" s="198"/>
      <c r="G9" s="198"/>
      <c r="H9" s="198"/>
      <c r="I9" s="198"/>
      <c r="J9" s="198"/>
      <c r="K9" s="198"/>
      <c r="L9" s="198"/>
      <c r="M9" s="198"/>
      <c r="N9" s="198"/>
      <c r="O9" s="198"/>
    </row>
    <row r="10">
      <c r="A10" s="198"/>
      <c r="B10" s="198"/>
      <c r="C10" s="198"/>
      <c r="D10" s="198"/>
      <c r="E10" s="198"/>
      <c r="F10" s="198"/>
      <c r="G10" s="198"/>
      <c r="H10" s="198"/>
      <c r="I10" s="198"/>
      <c r="J10" s="198"/>
      <c r="K10" s="198"/>
      <c r="L10" s="198"/>
      <c r="M10" s="198"/>
      <c r="N10" s="198"/>
      <c r="O10" s="198"/>
    </row>
    <row r="11">
      <c r="A11" s="198"/>
      <c r="B11" s="198"/>
      <c r="C11" s="198"/>
      <c r="D11" s="198"/>
      <c r="E11" s="198"/>
      <c r="F11" s="198"/>
      <c r="G11" s="198"/>
      <c r="H11" s="198"/>
      <c r="I11" s="198"/>
      <c r="J11" s="198"/>
      <c r="K11" s="198"/>
      <c r="L11" s="198"/>
      <c r="M11" s="198"/>
      <c r="N11" s="198"/>
      <c r="O11" s="198"/>
    </row>
    <row r="12">
      <c r="A12" s="198"/>
      <c r="B12" s="198"/>
      <c r="C12" s="198"/>
      <c r="D12" s="198"/>
      <c r="E12" s="198"/>
      <c r="F12" s="198"/>
      <c r="G12" s="198"/>
      <c r="H12" s="198"/>
      <c r="I12" s="198"/>
      <c r="J12" s="198"/>
      <c r="K12" s="198"/>
      <c r="L12" s="198"/>
      <c r="M12" s="198"/>
      <c r="N12" s="198"/>
      <c r="O12" s="198"/>
    </row>
    <row r="13">
      <c r="A13" s="198"/>
      <c r="B13" s="198"/>
      <c r="C13" s="198"/>
      <c r="D13" s="198"/>
      <c r="E13" s="198"/>
      <c r="F13" s="198"/>
      <c r="G13" s="198"/>
      <c r="H13" s="198"/>
      <c r="I13" s="198"/>
      <c r="J13" s="198"/>
      <c r="K13" s="198"/>
      <c r="L13" s="198"/>
      <c r="M13" s="198"/>
      <c r="N13" s="198"/>
      <c r="O13" s="198"/>
    </row>
    <row r="14">
      <c r="A14" s="198"/>
      <c r="B14" s="198"/>
      <c r="C14" s="198"/>
      <c r="D14" s="198"/>
      <c r="E14" s="198"/>
      <c r="F14" s="198"/>
      <c r="G14" s="198"/>
      <c r="H14" s="198"/>
      <c r="I14" s="198"/>
      <c r="J14" s="198"/>
      <c r="K14" s="198"/>
      <c r="L14" s="198"/>
      <c r="M14" s="198"/>
      <c r="N14" s="198"/>
      <c r="O14" s="198"/>
    </row>
    <row r="15">
      <c r="A15" s="198"/>
      <c r="B15" s="198"/>
      <c r="C15" s="198"/>
      <c r="D15" s="198"/>
      <c r="E15" s="198"/>
      <c r="F15" s="198"/>
      <c r="G15" s="198"/>
      <c r="H15" s="198"/>
      <c r="I15" s="198"/>
      <c r="J15" s="198"/>
      <c r="K15" s="198"/>
      <c r="L15" s="198"/>
      <c r="M15" s="198"/>
      <c r="N15" s="198"/>
      <c r="O15" s="198"/>
    </row>
    <row r="16">
      <c r="A16" s="198"/>
      <c r="B16" s="198"/>
      <c r="C16" s="198"/>
      <c r="D16" s="198"/>
      <c r="E16" s="198"/>
      <c r="F16" s="198"/>
      <c r="G16" s="198"/>
      <c r="H16" s="198"/>
      <c r="I16" s="198"/>
      <c r="J16" s="198"/>
      <c r="K16" s="198"/>
      <c r="L16" s="198"/>
      <c r="M16" s="198"/>
      <c r="N16" s="198"/>
      <c r="O16" s="198"/>
    </row>
    <row r="17">
      <c r="A17" s="198"/>
      <c r="B17" s="198"/>
      <c r="C17" s="198"/>
      <c r="D17" s="198"/>
      <c r="E17" s="198"/>
      <c r="F17" s="198"/>
      <c r="G17" s="198"/>
      <c r="H17" s="198"/>
      <c r="I17" s="198"/>
      <c r="J17" s="198"/>
      <c r="K17" s="198"/>
      <c r="L17" s="198"/>
      <c r="M17" s="198"/>
      <c r="N17" s="198"/>
      <c r="O17" s="198"/>
    </row>
    <row r="18">
      <c r="A18" s="198"/>
      <c r="B18" s="198"/>
      <c r="C18" s="198"/>
      <c r="D18" s="198"/>
      <c r="E18" s="198"/>
      <c r="F18" s="198"/>
      <c r="G18" s="198"/>
      <c r="H18" s="198"/>
      <c r="I18" s="198"/>
      <c r="J18" s="198"/>
      <c r="K18" s="198"/>
      <c r="L18" s="198"/>
      <c r="M18" s="198"/>
      <c r="N18" s="198"/>
      <c r="O18" s="198"/>
    </row>
    <row r="19">
      <c r="A19" s="198"/>
      <c r="B19" s="198"/>
      <c r="C19" s="198"/>
      <c r="D19" s="198"/>
      <c r="E19" s="198"/>
      <c r="F19" s="198"/>
      <c r="G19" s="198"/>
      <c r="H19" s="198"/>
      <c r="I19" s="198"/>
      <c r="J19" s="198"/>
      <c r="K19" s="198"/>
      <c r="L19" s="198"/>
      <c r="M19" s="198"/>
      <c r="N19" s="198"/>
      <c r="O19" s="198"/>
    </row>
    <row r="20">
      <c r="A20" s="198"/>
      <c r="B20" s="198"/>
      <c r="C20" s="198"/>
      <c r="D20" s="198"/>
      <c r="E20" s="198"/>
      <c r="F20" s="198"/>
      <c r="G20" s="198"/>
      <c r="H20" s="198"/>
      <c r="I20" s="198"/>
      <c r="J20" s="198"/>
      <c r="K20" s="198"/>
      <c r="L20" s="198"/>
      <c r="M20" s="198"/>
      <c r="N20" s="198"/>
      <c r="O20" s="198"/>
    </row>
    <row r="21" ht="15.75" customHeight="1">
      <c r="A21" s="198"/>
      <c r="B21" s="198"/>
      <c r="C21" s="198"/>
      <c r="D21" s="198"/>
      <c r="E21" s="198"/>
      <c r="F21" s="198"/>
      <c r="G21" s="198"/>
      <c r="H21" s="198"/>
      <c r="I21" s="198"/>
      <c r="J21" s="198"/>
      <c r="K21" s="198"/>
      <c r="L21" s="198"/>
      <c r="M21" s="198"/>
      <c r="N21" s="198"/>
      <c r="O21" s="198"/>
    </row>
    <row r="22" ht="15.75" customHeight="1">
      <c r="A22" s="198"/>
      <c r="B22" s="198"/>
      <c r="C22" s="198"/>
      <c r="D22" s="198"/>
      <c r="E22" s="198"/>
      <c r="F22" s="198"/>
      <c r="G22" s="198"/>
      <c r="H22" s="198"/>
      <c r="I22" s="198"/>
      <c r="J22" s="198"/>
      <c r="K22" s="198"/>
      <c r="L22" s="198"/>
      <c r="M22" s="198"/>
      <c r="N22" s="198"/>
      <c r="O22" s="198"/>
    </row>
    <row r="23" ht="15.75" customHeight="1">
      <c r="A23" s="198"/>
      <c r="B23" s="198"/>
      <c r="C23" s="198"/>
      <c r="D23" s="198"/>
      <c r="E23" s="198"/>
      <c r="F23" s="198"/>
      <c r="G23" s="198"/>
      <c r="H23" s="198"/>
      <c r="I23" s="198"/>
      <c r="J23" s="198"/>
      <c r="K23" s="198"/>
      <c r="L23" s="198"/>
      <c r="M23" s="198"/>
      <c r="N23" s="198"/>
      <c r="O23" s="198"/>
    </row>
    <row r="24" ht="15.75" customHeight="1">
      <c r="A24" s="198"/>
      <c r="B24" s="198"/>
      <c r="C24" s="198"/>
      <c r="D24" s="198"/>
      <c r="E24" s="198"/>
      <c r="F24" s="198"/>
      <c r="G24" s="198"/>
      <c r="H24" s="198"/>
      <c r="I24" s="198"/>
      <c r="J24" s="198"/>
      <c r="K24" s="198"/>
      <c r="L24" s="198"/>
      <c r="M24" s="198"/>
      <c r="N24" s="198"/>
      <c r="O24" s="198"/>
    </row>
    <row r="25" ht="15.75" customHeight="1">
      <c r="A25" s="198"/>
      <c r="B25" s="198"/>
      <c r="C25" s="198"/>
      <c r="D25" s="198"/>
      <c r="E25" s="198"/>
      <c r="F25" s="198"/>
      <c r="G25" s="198"/>
      <c r="H25" s="198"/>
      <c r="I25" s="198"/>
      <c r="J25" s="198"/>
      <c r="K25" s="198"/>
      <c r="L25" s="198"/>
      <c r="M25" s="198"/>
      <c r="N25" s="198"/>
      <c r="O25" s="198"/>
    </row>
    <row r="26" ht="15.75" customHeight="1">
      <c r="A26" s="198"/>
      <c r="B26" s="198"/>
      <c r="C26" s="198"/>
      <c r="D26" s="198"/>
      <c r="E26" s="198"/>
      <c r="F26" s="198"/>
      <c r="G26" s="198"/>
      <c r="H26" s="198"/>
      <c r="I26" s="198"/>
      <c r="J26" s="198"/>
      <c r="K26" s="198"/>
      <c r="L26" s="198"/>
      <c r="M26" s="198"/>
      <c r="N26" s="198"/>
      <c r="O26" s="198"/>
    </row>
    <row r="27" ht="15.75" customHeight="1">
      <c r="A27" s="198"/>
      <c r="B27" s="198"/>
      <c r="C27" s="198"/>
      <c r="D27" s="198"/>
      <c r="E27" s="198"/>
      <c r="F27" s="198"/>
      <c r="G27" s="198"/>
      <c r="H27" s="198"/>
      <c r="I27" s="198"/>
      <c r="J27" s="198"/>
      <c r="K27" s="198"/>
      <c r="L27" s="198"/>
      <c r="M27" s="198"/>
      <c r="N27" s="198"/>
      <c r="O27" s="198"/>
    </row>
    <row r="28" ht="15.75" customHeight="1">
      <c r="A28" s="198"/>
      <c r="B28" s="198"/>
      <c r="C28" s="198"/>
      <c r="D28" s="198"/>
      <c r="E28" s="198"/>
      <c r="F28" s="198"/>
      <c r="G28" s="198"/>
      <c r="H28" s="198"/>
      <c r="I28" s="198"/>
      <c r="J28" s="198"/>
      <c r="K28" s="198"/>
      <c r="L28" s="198"/>
      <c r="M28" s="198"/>
      <c r="N28" s="198"/>
      <c r="O28" s="198"/>
    </row>
    <row r="29" ht="15.75" customHeight="1">
      <c r="A29" s="198"/>
      <c r="B29" s="198"/>
      <c r="C29" s="198"/>
      <c r="D29" s="198"/>
      <c r="E29" s="198"/>
      <c r="F29" s="198"/>
      <c r="G29" s="198"/>
      <c r="H29" s="198"/>
      <c r="I29" s="198"/>
      <c r="J29" s="198"/>
      <c r="K29" s="198"/>
      <c r="L29" s="198"/>
      <c r="M29" s="198"/>
      <c r="N29" s="198"/>
      <c r="O29" s="198"/>
    </row>
    <row r="30" ht="15.75" customHeight="1">
      <c r="A30" s="198"/>
      <c r="B30" s="198"/>
      <c r="C30" s="198"/>
      <c r="D30" s="198"/>
      <c r="E30" s="198"/>
      <c r="F30" s="198"/>
      <c r="G30" s="198"/>
      <c r="H30" s="198"/>
      <c r="I30" s="198"/>
      <c r="J30" s="198"/>
      <c r="K30" s="198"/>
      <c r="L30" s="198"/>
      <c r="M30" s="198"/>
      <c r="N30" s="198"/>
      <c r="O30" s="198"/>
    </row>
    <row r="31" ht="15.75" customHeight="1">
      <c r="A31" s="198"/>
      <c r="B31" s="198"/>
      <c r="C31" s="198"/>
      <c r="D31" s="198"/>
      <c r="E31" s="198"/>
      <c r="F31" s="198"/>
      <c r="G31" s="198"/>
      <c r="H31" s="198"/>
      <c r="I31" s="198"/>
      <c r="J31" s="198"/>
      <c r="K31" s="198"/>
      <c r="L31" s="198"/>
      <c r="M31" s="198"/>
      <c r="N31" s="198"/>
      <c r="O31" s="198"/>
    </row>
    <row r="32" ht="15.75" customHeight="1">
      <c r="A32" s="198"/>
      <c r="B32" s="198"/>
      <c r="C32" s="198"/>
      <c r="D32" s="198"/>
      <c r="E32" s="198"/>
      <c r="F32" s="198"/>
      <c r="G32" s="198"/>
      <c r="H32" s="198"/>
      <c r="I32" s="198"/>
      <c r="J32" s="198"/>
      <c r="K32" s="198"/>
      <c r="L32" s="198"/>
      <c r="M32" s="198"/>
      <c r="N32" s="198"/>
      <c r="O32" s="198"/>
    </row>
    <row r="33" ht="15.75" customHeight="1">
      <c r="A33" s="198"/>
      <c r="B33" s="198"/>
      <c r="C33" s="198"/>
      <c r="D33" s="198"/>
      <c r="E33" s="198"/>
      <c r="F33" s="198"/>
      <c r="G33" s="198"/>
      <c r="H33" s="198"/>
      <c r="I33" s="198"/>
      <c r="J33" s="198"/>
      <c r="K33" s="198"/>
      <c r="L33" s="198"/>
      <c r="M33" s="198"/>
      <c r="N33" s="198"/>
      <c r="O33" s="198"/>
    </row>
    <row r="34" ht="15.75" customHeight="1">
      <c r="A34" s="198"/>
      <c r="B34" s="198"/>
      <c r="C34" s="198"/>
      <c r="D34" s="198"/>
      <c r="E34" s="198"/>
      <c r="F34" s="198"/>
      <c r="G34" s="198"/>
      <c r="H34" s="198"/>
      <c r="I34" s="198"/>
      <c r="J34" s="198"/>
      <c r="K34" s="198"/>
      <c r="L34" s="198"/>
      <c r="M34" s="198"/>
      <c r="N34" s="198"/>
      <c r="O34" s="198"/>
    </row>
    <row r="35" ht="15.75" customHeight="1">
      <c r="A35" s="198"/>
      <c r="B35" s="198"/>
      <c r="C35" s="198"/>
      <c r="D35" s="198"/>
      <c r="E35" s="198"/>
      <c r="F35" s="198"/>
      <c r="G35" s="198"/>
      <c r="H35" s="198"/>
      <c r="I35" s="198"/>
      <c r="J35" s="198"/>
      <c r="K35" s="198"/>
      <c r="L35" s="198"/>
      <c r="M35" s="198"/>
      <c r="N35" s="198"/>
      <c r="O35" s="198"/>
    </row>
    <row r="36" ht="15.75" customHeight="1">
      <c r="A36" s="198"/>
      <c r="B36" s="198"/>
      <c r="C36" s="198"/>
      <c r="D36" s="198"/>
      <c r="E36" s="198"/>
      <c r="F36" s="198"/>
      <c r="G36" s="198"/>
      <c r="H36" s="198"/>
      <c r="I36" s="198"/>
      <c r="J36" s="198"/>
      <c r="K36" s="198"/>
      <c r="L36" s="198"/>
      <c r="M36" s="198"/>
      <c r="N36" s="198"/>
      <c r="O36" s="198"/>
    </row>
    <row r="37" ht="15.75" customHeight="1">
      <c r="A37" s="198"/>
      <c r="B37" s="198"/>
      <c r="C37" s="198"/>
      <c r="D37" s="198"/>
      <c r="E37" s="198"/>
      <c r="F37" s="198"/>
      <c r="G37" s="198"/>
      <c r="H37" s="198"/>
      <c r="I37" s="198"/>
      <c r="J37" s="198"/>
      <c r="K37" s="198"/>
      <c r="L37" s="198"/>
      <c r="M37" s="198"/>
      <c r="N37" s="198"/>
      <c r="O37" s="198"/>
    </row>
    <row r="38" ht="15.75" customHeight="1">
      <c r="A38" s="198"/>
      <c r="B38" s="198"/>
      <c r="C38" s="198"/>
      <c r="D38" s="198"/>
      <c r="E38" s="198"/>
      <c r="F38" s="198"/>
      <c r="G38" s="198"/>
      <c r="H38" s="198"/>
      <c r="I38" s="198"/>
      <c r="J38" s="198"/>
      <c r="K38" s="198"/>
      <c r="L38" s="198"/>
      <c r="M38" s="198"/>
      <c r="N38" s="198"/>
      <c r="O38" s="198"/>
    </row>
    <row r="39" ht="15.75" customHeight="1">
      <c r="A39" s="198"/>
      <c r="B39" s="198"/>
      <c r="C39" s="198"/>
      <c r="D39" s="198"/>
      <c r="E39" s="198"/>
      <c r="F39" s="198"/>
      <c r="G39" s="198"/>
      <c r="H39" s="198"/>
      <c r="I39" s="198"/>
      <c r="J39" s="198"/>
      <c r="K39" s="198"/>
      <c r="L39" s="198"/>
      <c r="M39" s="198"/>
      <c r="N39" s="198"/>
      <c r="O39" s="198"/>
    </row>
    <row r="40" ht="15.75" customHeight="1">
      <c r="A40" s="198"/>
      <c r="B40" s="198"/>
      <c r="C40" s="198"/>
      <c r="D40" s="198"/>
      <c r="E40" s="198"/>
      <c r="F40" s="198"/>
      <c r="G40" s="198"/>
      <c r="H40" s="198"/>
      <c r="I40" s="198"/>
      <c r="J40" s="198"/>
      <c r="K40" s="198"/>
      <c r="L40" s="198"/>
      <c r="M40" s="198"/>
      <c r="N40" s="198"/>
      <c r="O40" s="198"/>
    </row>
    <row r="41" ht="15.75" customHeight="1">
      <c r="A41" s="198"/>
      <c r="B41" s="198"/>
      <c r="C41" s="198"/>
      <c r="D41" s="198"/>
      <c r="E41" s="198"/>
      <c r="F41" s="198"/>
      <c r="G41" s="198"/>
      <c r="H41" s="198"/>
      <c r="I41" s="198"/>
      <c r="J41" s="198"/>
      <c r="K41" s="198"/>
      <c r="L41" s="198"/>
      <c r="M41" s="198"/>
      <c r="N41" s="198"/>
      <c r="O41" s="198"/>
    </row>
    <row r="42" ht="15.75" customHeight="1">
      <c r="A42" s="198"/>
      <c r="B42" s="198"/>
      <c r="C42" s="198"/>
      <c r="D42" s="198"/>
      <c r="E42" s="198"/>
      <c r="F42" s="198"/>
      <c r="G42" s="198"/>
      <c r="H42" s="198"/>
      <c r="I42" s="198"/>
      <c r="J42" s="198"/>
      <c r="K42" s="198"/>
      <c r="L42" s="198"/>
      <c r="M42" s="198"/>
      <c r="N42" s="198"/>
      <c r="O42" s="198"/>
    </row>
    <row r="43" ht="15.75" customHeight="1">
      <c r="A43" s="198"/>
      <c r="B43" s="198"/>
      <c r="C43" s="198"/>
      <c r="D43" s="198"/>
      <c r="E43" s="198"/>
      <c r="F43" s="198"/>
      <c r="G43" s="198"/>
      <c r="H43" s="198"/>
      <c r="I43" s="198"/>
      <c r="J43" s="198"/>
      <c r="K43" s="198"/>
      <c r="L43" s="198"/>
      <c r="M43" s="198"/>
      <c r="N43" s="198"/>
      <c r="O43" s="198"/>
    </row>
    <row r="44" ht="15.75" customHeight="1">
      <c r="A44" s="198"/>
      <c r="B44" s="198"/>
      <c r="C44" s="198"/>
      <c r="D44" s="198"/>
      <c r="E44" s="198"/>
      <c r="F44" s="198"/>
      <c r="G44" s="198"/>
      <c r="H44" s="198"/>
      <c r="I44" s="198"/>
      <c r="J44" s="198"/>
      <c r="K44" s="198"/>
      <c r="L44" s="198"/>
      <c r="M44" s="198"/>
      <c r="N44" s="198"/>
      <c r="O44" s="198"/>
    </row>
    <row r="45" ht="15.75" customHeight="1">
      <c r="A45" s="198"/>
      <c r="B45" s="198"/>
      <c r="C45" s="198"/>
      <c r="D45" s="198"/>
      <c r="E45" s="198"/>
      <c r="F45" s="198"/>
      <c r="G45" s="198"/>
      <c r="H45" s="198"/>
      <c r="I45" s="198"/>
      <c r="J45" s="198"/>
      <c r="K45" s="198"/>
      <c r="L45" s="198"/>
      <c r="M45" s="198"/>
      <c r="N45" s="198"/>
      <c r="O45" s="198"/>
    </row>
    <row r="46" ht="15.75" customHeight="1">
      <c r="A46" s="198"/>
      <c r="B46" s="198"/>
      <c r="C46" s="198"/>
      <c r="D46" s="198"/>
      <c r="E46" s="198"/>
      <c r="F46" s="198"/>
      <c r="G46" s="198"/>
      <c r="H46" s="198"/>
      <c r="I46" s="198"/>
      <c r="J46" s="198"/>
      <c r="K46" s="198"/>
      <c r="L46" s="198"/>
      <c r="M46" s="198"/>
      <c r="N46" s="198"/>
      <c r="O46" s="198"/>
    </row>
    <row r="47" ht="15.75" customHeight="1">
      <c r="A47" s="198"/>
      <c r="B47" s="198"/>
      <c r="C47" s="198"/>
      <c r="D47" s="198"/>
      <c r="E47" s="198"/>
      <c r="F47" s="198"/>
      <c r="G47" s="198"/>
      <c r="H47" s="198"/>
      <c r="I47" s="198"/>
      <c r="J47" s="198"/>
      <c r="K47" s="198"/>
      <c r="L47" s="198"/>
      <c r="M47" s="198"/>
      <c r="N47" s="198"/>
      <c r="O47" s="198"/>
    </row>
    <row r="48" ht="15.75" customHeight="1">
      <c r="A48" s="198"/>
      <c r="B48" s="198"/>
      <c r="C48" s="198"/>
      <c r="D48" s="198"/>
      <c r="E48" s="198"/>
      <c r="F48" s="198"/>
      <c r="G48" s="198"/>
      <c r="H48" s="198"/>
      <c r="I48" s="198"/>
      <c r="J48" s="198"/>
      <c r="K48" s="198"/>
      <c r="L48" s="198"/>
      <c r="M48" s="198"/>
      <c r="N48" s="198"/>
      <c r="O48" s="198"/>
    </row>
    <row r="49" ht="15.75" customHeight="1">
      <c r="A49" s="198"/>
      <c r="B49" s="198"/>
      <c r="C49" s="198"/>
      <c r="D49" s="198"/>
      <c r="E49" s="198"/>
      <c r="F49" s="198"/>
      <c r="G49" s="198"/>
      <c r="H49" s="198"/>
      <c r="I49" s="198"/>
      <c r="J49" s="198"/>
      <c r="K49" s="198"/>
      <c r="L49" s="198"/>
      <c r="M49" s="198"/>
      <c r="N49" s="198"/>
      <c r="O49" s="198"/>
    </row>
    <row r="50" ht="15.75" customHeight="1">
      <c r="A50" s="198"/>
      <c r="B50" s="198"/>
      <c r="C50" s="198"/>
      <c r="D50" s="198"/>
      <c r="E50" s="198"/>
      <c r="F50" s="198"/>
      <c r="G50" s="198"/>
      <c r="H50" s="198"/>
      <c r="I50" s="198"/>
      <c r="J50" s="198"/>
      <c r="K50" s="198"/>
      <c r="L50" s="198"/>
      <c r="M50" s="198"/>
      <c r="N50" s="198"/>
      <c r="O50" s="198"/>
    </row>
    <row r="51" ht="15.75" customHeight="1">
      <c r="A51" s="198"/>
      <c r="B51" s="198"/>
      <c r="C51" s="198"/>
      <c r="D51" s="198"/>
      <c r="E51" s="198"/>
      <c r="F51" s="198"/>
      <c r="G51" s="198"/>
      <c r="H51" s="198"/>
      <c r="I51" s="198"/>
      <c r="J51" s="198"/>
      <c r="K51" s="198"/>
      <c r="L51" s="198"/>
      <c r="M51" s="198"/>
      <c r="N51" s="198"/>
      <c r="O51" s="198"/>
    </row>
    <row r="52" ht="15.75" customHeight="1">
      <c r="A52" s="198"/>
      <c r="B52" s="198"/>
      <c r="C52" s="198"/>
      <c r="D52" s="198"/>
      <c r="E52" s="198"/>
      <c r="F52" s="198"/>
      <c r="G52" s="198"/>
      <c r="H52" s="198"/>
      <c r="I52" s="198"/>
      <c r="J52" s="198"/>
      <c r="K52" s="198"/>
      <c r="L52" s="198"/>
      <c r="M52" s="198"/>
      <c r="N52" s="198"/>
      <c r="O52" s="198"/>
    </row>
    <row r="53" ht="15.75" customHeight="1">
      <c r="A53" s="198"/>
      <c r="B53" s="198"/>
      <c r="C53" s="198"/>
      <c r="D53" s="198"/>
      <c r="E53" s="198"/>
      <c r="F53" s="198"/>
      <c r="G53" s="198"/>
      <c r="H53" s="198"/>
      <c r="I53" s="198"/>
      <c r="J53" s="198"/>
      <c r="K53" s="198"/>
      <c r="L53" s="198"/>
      <c r="M53" s="198"/>
      <c r="N53" s="198"/>
      <c r="O53" s="198"/>
    </row>
    <row r="54" ht="15.75" customHeight="1">
      <c r="A54" s="198"/>
      <c r="B54" s="198"/>
      <c r="C54" s="198"/>
      <c r="D54" s="198"/>
      <c r="E54" s="198"/>
      <c r="F54" s="198"/>
      <c r="G54" s="198"/>
      <c r="H54" s="198"/>
      <c r="I54" s="198"/>
      <c r="J54" s="198"/>
      <c r="K54" s="198"/>
      <c r="L54" s="198"/>
      <c r="M54" s="198"/>
      <c r="N54" s="198"/>
      <c r="O54" s="198"/>
    </row>
    <row r="55" ht="15.75" customHeight="1">
      <c r="A55" s="198"/>
      <c r="B55" s="198"/>
      <c r="C55" s="198"/>
      <c r="D55" s="198"/>
      <c r="E55" s="198"/>
      <c r="F55" s="198"/>
      <c r="G55" s="198"/>
      <c r="H55" s="198"/>
      <c r="I55" s="198"/>
      <c r="J55" s="198"/>
      <c r="K55" s="198"/>
      <c r="L55" s="198"/>
      <c r="M55" s="198"/>
      <c r="N55" s="198"/>
      <c r="O55" s="198"/>
    </row>
    <row r="56" ht="15.75" customHeight="1">
      <c r="A56" s="198"/>
      <c r="B56" s="198"/>
      <c r="C56" s="198"/>
      <c r="D56" s="198"/>
      <c r="E56" s="198"/>
      <c r="F56" s="198"/>
      <c r="G56" s="198"/>
      <c r="H56" s="198"/>
      <c r="I56" s="198"/>
      <c r="J56" s="198"/>
      <c r="K56" s="198"/>
      <c r="L56" s="198"/>
      <c r="M56" s="198"/>
      <c r="N56" s="198"/>
      <c r="O56" s="198"/>
    </row>
    <row r="57" ht="15.75" customHeight="1">
      <c r="A57" s="198"/>
      <c r="B57" s="198"/>
      <c r="C57" s="198"/>
      <c r="D57" s="198"/>
      <c r="E57" s="198"/>
      <c r="F57" s="198"/>
      <c r="G57" s="198"/>
      <c r="H57" s="198"/>
      <c r="I57" s="198"/>
      <c r="J57" s="198"/>
      <c r="K57" s="198"/>
      <c r="L57" s="198"/>
      <c r="M57" s="198"/>
      <c r="N57" s="198"/>
      <c r="O57" s="198"/>
    </row>
    <row r="58" ht="15.75" customHeight="1">
      <c r="A58" s="198"/>
      <c r="B58" s="198"/>
      <c r="C58" s="198"/>
      <c r="D58" s="198"/>
      <c r="E58" s="198"/>
      <c r="F58" s="198"/>
      <c r="G58" s="198"/>
      <c r="H58" s="198"/>
      <c r="I58" s="198"/>
      <c r="J58" s="198"/>
      <c r="K58" s="198"/>
      <c r="L58" s="198"/>
      <c r="M58" s="198"/>
      <c r="N58" s="198"/>
      <c r="O58" s="198"/>
    </row>
    <row r="59" ht="15.75" customHeight="1">
      <c r="A59" s="198"/>
      <c r="B59" s="198"/>
      <c r="C59" s="198"/>
      <c r="D59" s="198"/>
      <c r="E59" s="198"/>
      <c r="F59" s="198"/>
      <c r="G59" s="198"/>
      <c r="H59" s="198"/>
      <c r="I59" s="198"/>
      <c r="J59" s="198"/>
      <c r="K59" s="198"/>
      <c r="L59" s="198"/>
      <c r="M59" s="198"/>
      <c r="N59" s="198"/>
      <c r="O59" s="198"/>
    </row>
    <row r="60" ht="15.75" customHeight="1">
      <c r="A60" s="198"/>
      <c r="B60" s="198"/>
      <c r="C60" s="198"/>
      <c r="D60" s="198"/>
      <c r="E60" s="198"/>
      <c r="F60" s="198"/>
      <c r="G60" s="198"/>
      <c r="H60" s="198"/>
      <c r="I60" s="198"/>
      <c r="J60" s="198"/>
      <c r="K60" s="198"/>
      <c r="L60" s="198"/>
      <c r="M60" s="198"/>
      <c r="N60" s="198"/>
      <c r="O60" s="198"/>
    </row>
    <row r="61" ht="15.75" customHeight="1">
      <c r="A61" s="198"/>
      <c r="B61" s="198"/>
      <c r="C61" s="198"/>
      <c r="D61" s="198"/>
      <c r="E61" s="198"/>
      <c r="F61" s="198"/>
      <c r="G61" s="198"/>
      <c r="H61" s="198"/>
      <c r="I61" s="198"/>
      <c r="J61" s="198"/>
      <c r="K61" s="198"/>
      <c r="L61" s="198"/>
      <c r="M61" s="198"/>
      <c r="N61" s="198"/>
      <c r="O61" s="198"/>
    </row>
    <row r="62" ht="15.75" customHeight="1">
      <c r="A62" s="198"/>
      <c r="B62" s="198"/>
      <c r="C62" s="198"/>
      <c r="D62" s="198"/>
      <c r="E62" s="198"/>
      <c r="F62" s="198"/>
      <c r="G62" s="198"/>
      <c r="H62" s="198"/>
      <c r="I62" s="198"/>
      <c r="J62" s="198"/>
      <c r="K62" s="198"/>
      <c r="L62" s="198"/>
      <c r="M62" s="198"/>
      <c r="N62" s="198"/>
      <c r="O62" s="198"/>
    </row>
    <row r="63" ht="15.75" customHeight="1">
      <c r="A63" s="198"/>
      <c r="B63" s="198"/>
      <c r="C63" s="198"/>
      <c r="D63" s="198"/>
      <c r="E63" s="198"/>
      <c r="F63" s="198"/>
      <c r="G63" s="198"/>
      <c r="H63" s="198"/>
      <c r="I63" s="198"/>
      <c r="J63" s="198"/>
      <c r="K63" s="198"/>
      <c r="L63" s="198"/>
      <c r="M63" s="198"/>
      <c r="N63" s="198"/>
      <c r="O63" s="198"/>
    </row>
    <row r="64" ht="15.75" customHeight="1">
      <c r="A64" s="198"/>
      <c r="B64" s="198"/>
      <c r="C64" s="198"/>
      <c r="D64" s="198"/>
      <c r="E64" s="198"/>
      <c r="F64" s="198"/>
      <c r="G64" s="198"/>
      <c r="H64" s="198"/>
      <c r="I64" s="198"/>
      <c r="J64" s="198"/>
      <c r="K64" s="198"/>
      <c r="L64" s="198"/>
      <c r="M64" s="198"/>
      <c r="N64" s="198"/>
      <c r="O64" s="198"/>
    </row>
    <row r="65" ht="15.75" customHeight="1">
      <c r="A65" s="198"/>
      <c r="B65" s="198"/>
      <c r="C65" s="198"/>
      <c r="D65" s="198"/>
      <c r="E65" s="198"/>
      <c r="F65" s="198"/>
      <c r="G65" s="198"/>
      <c r="H65" s="198"/>
      <c r="I65" s="198"/>
      <c r="J65" s="198"/>
      <c r="K65" s="198"/>
      <c r="L65" s="198"/>
      <c r="M65" s="198"/>
      <c r="N65" s="198"/>
      <c r="O65" s="198"/>
    </row>
    <row r="66" ht="15.75" customHeight="1">
      <c r="A66" s="198"/>
      <c r="B66" s="198"/>
      <c r="C66" s="198"/>
      <c r="D66" s="198"/>
      <c r="E66" s="198"/>
      <c r="F66" s="198"/>
      <c r="G66" s="198"/>
      <c r="H66" s="198"/>
      <c r="I66" s="198"/>
      <c r="J66" s="198"/>
      <c r="K66" s="198"/>
      <c r="L66" s="198"/>
      <c r="M66" s="198"/>
      <c r="N66" s="198"/>
      <c r="O66" s="198"/>
    </row>
    <row r="67" ht="15.75" customHeight="1">
      <c r="A67" s="198"/>
      <c r="B67" s="198"/>
      <c r="C67" s="198"/>
      <c r="D67" s="198"/>
      <c r="E67" s="198"/>
      <c r="F67" s="198"/>
      <c r="G67" s="198"/>
      <c r="H67" s="198"/>
      <c r="I67" s="198"/>
      <c r="J67" s="198"/>
      <c r="K67" s="198"/>
      <c r="L67" s="198"/>
      <c r="M67" s="198"/>
      <c r="N67" s="198"/>
      <c r="O67" s="198"/>
    </row>
    <row r="68" ht="15.75" customHeight="1">
      <c r="A68" s="198"/>
      <c r="B68" s="198"/>
      <c r="C68" s="198"/>
      <c r="D68" s="198"/>
      <c r="E68" s="198"/>
      <c r="F68" s="198"/>
      <c r="G68" s="198"/>
      <c r="H68" s="198"/>
      <c r="I68" s="198"/>
      <c r="J68" s="198"/>
      <c r="K68" s="198"/>
      <c r="L68" s="198"/>
      <c r="M68" s="198"/>
      <c r="N68" s="198"/>
      <c r="O68" s="198"/>
    </row>
    <row r="69" ht="15.75" customHeight="1">
      <c r="A69" s="198"/>
      <c r="B69" s="198"/>
      <c r="C69" s="198"/>
      <c r="D69" s="198"/>
      <c r="E69" s="198"/>
      <c r="F69" s="198"/>
      <c r="G69" s="198"/>
      <c r="H69" s="198"/>
      <c r="I69" s="198"/>
      <c r="J69" s="198"/>
      <c r="K69" s="198"/>
      <c r="L69" s="198"/>
      <c r="M69" s="198"/>
      <c r="N69" s="198"/>
      <c r="O69" s="198"/>
    </row>
    <row r="70" ht="15.75" customHeight="1">
      <c r="A70" s="198"/>
      <c r="B70" s="198"/>
      <c r="C70" s="198"/>
      <c r="D70" s="198"/>
      <c r="E70" s="198"/>
      <c r="F70" s="198"/>
      <c r="G70" s="198"/>
      <c r="H70" s="198"/>
      <c r="I70" s="198"/>
      <c r="J70" s="198"/>
      <c r="K70" s="198"/>
      <c r="L70" s="198"/>
      <c r="M70" s="198"/>
      <c r="N70" s="198"/>
      <c r="O70" s="198"/>
    </row>
    <row r="71" ht="15.75" customHeight="1">
      <c r="A71" s="198"/>
      <c r="B71" s="198"/>
      <c r="C71" s="198"/>
      <c r="D71" s="198"/>
      <c r="E71" s="198"/>
      <c r="F71" s="198"/>
      <c r="G71" s="198"/>
      <c r="H71" s="198"/>
      <c r="I71" s="198"/>
      <c r="J71" s="198"/>
      <c r="K71" s="198"/>
      <c r="L71" s="198"/>
      <c r="M71" s="198"/>
      <c r="N71" s="198"/>
      <c r="O71" s="198"/>
    </row>
    <row r="72" ht="15.75" customHeight="1">
      <c r="A72" s="198"/>
      <c r="B72" s="198"/>
      <c r="C72" s="198"/>
      <c r="D72" s="198"/>
      <c r="E72" s="198"/>
      <c r="F72" s="198"/>
      <c r="G72" s="198"/>
      <c r="H72" s="198"/>
      <c r="I72" s="198"/>
      <c r="J72" s="198"/>
      <c r="K72" s="198"/>
      <c r="L72" s="198"/>
      <c r="M72" s="198"/>
      <c r="N72" s="198"/>
      <c r="O72" s="198"/>
    </row>
    <row r="73" ht="15.75" customHeight="1">
      <c r="A73" s="198"/>
      <c r="B73" s="198"/>
      <c r="C73" s="198"/>
      <c r="D73" s="198"/>
      <c r="E73" s="198"/>
      <c r="F73" s="198"/>
      <c r="G73" s="198"/>
      <c r="H73" s="198"/>
      <c r="I73" s="198"/>
      <c r="J73" s="198"/>
      <c r="K73" s="198"/>
      <c r="L73" s="198"/>
      <c r="M73" s="198"/>
      <c r="N73" s="198"/>
      <c r="O73" s="198"/>
    </row>
    <row r="74" ht="15.75" customHeight="1">
      <c r="A74" s="198"/>
      <c r="B74" s="198"/>
      <c r="C74" s="198"/>
      <c r="D74" s="198"/>
      <c r="E74" s="198"/>
      <c r="F74" s="198"/>
      <c r="G74" s="198"/>
      <c r="H74" s="198"/>
      <c r="I74" s="198"/>
      <c r="J74" s="198"/>
      <c r="K74" s="198"/>
      <c r="L74" s="198"/>
      <c r="M74" s="198"/>
      <c r="N74" s="198"/>
      <c r="O74" s="198"/>
    </row>
    <row r="75" ht="15.75" customHeight="1">
      <c r="A75" s="198"/>
      <c r="B75" s="198"/>
      <c r="C75" s="198"/>
      <c r="D75" s="198"/>
      <c r="E75" s="198"/>
      <c r="F75" s="198"/>
      <c r="G75" s="198"/>
      <c r="H75" s="198"/>
      <c r="I75" s="198"/>
      <c r="J75" s="198"/>
      <c r="K75" s="198"/>
      <c r="L75" s="198"/>
      <c r="M75" s="198"/>
      <c r="N75" s="198"/>
      <c r="O75" s="198"/>
    </row>
    <row r="76" ht="15.75" customHeight="1">
      <c r="A76" s="198"/>
      <c r="B76" s="198"/>
      <c r="C76" s="198"/>
      <c r="D76" s="198"/>
      <c r="E76" s="198"/>
      <c r="F76" s="198"/>
      <c r="G76" s="198"/>
      <c r="H76" s="198"/>
      <c r="I76" s="198"/>
      <c r="J76" s="198"/>
      <c r="K76" s="198"/>
      <c r="L76" s="198"/>
      <c r="M76" s="198"/>
      <c r="N76" s="198"/>
      <c r="O76" s="198"/>
    </row>
    <row r="77" ht="15.75" customHeight="1">
      <c r="A77" s="198"/>
      <c r="B77" s="198"/>
      <c r="C77" s="198"/>
      <c r="D77" s="198"/>
      <c r="E77" s="198"/>
      <c r="F77" s="198"/>
      <c r="G77" s="198"/>
      <c r="H77" s="198"/>
      <c r="I77" s="198"/>
      <c r="J77" s="198"/>
      <c r="K77" s="198"/>
      <c r="L77" s="198"/>
      <c r="M77" s="198"/>
      <c r="N77" s="198"/>
      <c r="O77" s="198"/>
    </row>
    <row r="78" ht="15.75" customHeight="1">
      <c r="A78" s="198"/>
      <c r="B78" s="198"/>
      <c r="C78" s="198"/>
      <c r="D78" s="198"/>
      <c r="E78" s="198"/>
      <c r="F78" s="198"/>
      <c r="G78" s="198"/>
      <c r="H78" s="198"/>
      <c r="I78" s="198"/>
      <c r="J78" s="198"/>
      <c r="K78" s="198"/>
      <c r="L78" s="198"/>
      <c r="M78" s="198"/>
      <c r="N78" s="198"/>
      <c r="O78" s="198"/>
    </row>
    <row r="79" ht="15.75" customHeight="1">
      <c r="A79" s="198"/>
      <c r="B79" s="198"/>
      <c r="C79" s="198"/>
      <c r="D79" s="198"/>
      <c r="E79" s="198"/>
      <c r="F79" s="198"/>
      <c r="G79" s="198"/>
      <c r="H79" s="198"/>
      <c r="I79" s="198"/>
      <c r="J79" s="198"/>
      <c r="K79" s="198"/>
      <c r="L79" s="198"/>
      <c r="M79" s="198"/>
      <c r="N79" s="198"/>
      <c r="O79" s="198"/>
    </row>
    <row r="80" ht="15.75" customHeight="1">
      <c r="A80" s="198"/>
      <c r="B80" s="198"/>
      <c r="C80" s="198"/>
      <c r="D80" s="198"/>
      <c r="E80" s="198"/>
      <c r="F80" s="198"/>
      <c r="G80" s="198"/>
      <c r="H80" s="198"/>
      <c r="I80" s="198"/>
      <c r="J80" s="198"/>
      <c r="K80" s="198"/>
      <c r="L80" s="198"/>
      <c r="M80" s="198"/>
      <c r="N80" s="198"/>
      <c r="O80" s="198"/>
    </row>
    <row r="81" ht="15.75" customHeight="1">
      <c r="A81" s="198"/>
      <c r="B81" s="198"/>
      <c r="C81" s="198"/>
      <c r="D81" s="198"/>
      <c r="E81" s="198"/>
      <c r="F81" s="198"/>
      <c r="G81" s="198"/>
      <c r="H81" s="198"/>
      <c r="I81" s="198"/>
      <c r="J81" s="198"/>
      <c r="K81" s="198"/>
      <c r="L81" s="198"/>
      <c r="M81" s="198"/>
      <c r="N81" s="198"/>
      <c r="O81" s="198"/>
    </row>
    <row r="82" ht="15.75" customHeight="1">
      <c r="A82" s="198"/>
      <c r="B82" s="198"/>
      <c r="C82" s="198"/>
      <c r="D82" s="198"/>
      <c r="E82" s="198"/>
      <c r="F82" s="198"/>
      <c r="G82" s="198"/>
      <c r="H82" s="198"/>
      <c r="I82" s="198"/>
      <c r="J82" s="198"/>
      <c r="K82" s="198"/>
      <c r="L82" s="198"/>
      <c r="M82" s="198"/>
      <c r="N82" s="198"/>
      <c r="O82" s="198"/>
    </row>
    <row r="83" ht="15.75" customHeight="1">
      <c r="A83" s="198"/>
      <c r="B83" s="198"/>
      <c r="C83" s="198"/>
      <c r="D83" s="198"/>
      <c r="E83" s="198"/>
      <c r="F83" s="198"/>
      <c r="G83" s="198"/>
      <c r="H83" s="198"/>
      <c r="I83" s="198"/>
      <c r="J83" s="198"/>
      <c r="K83" s="198"/>
      <c r="L83" s="198"/>
      <c r="M83" s="198"/>
      <c r="N83" s="198"/>
      <c r="O83" s="198"/>
    </row>
    <row r="84" ht="15.75" customHeight="1">
      <c r="A84" s="198"/>
      <c r="B84" s="198"/>
      <c r="C84" s="198"/>
      <c r="D84" s="198"/>
      <c r="E84" s="198"/>
      <c r="F84" s="198"/>
      <c r="G84" s="198"/>
      <c r="H84" s="198"/>
      <c r="I84" s="198"/>
      <c r="J84" s="198"/>
      <c r="K84" s="198"/>
      <c r="L84" s="198"/>
      <c r="M84" s="198"/>
      <c r="N84" s="198"/>
      <c r="O84" s="198"/>
    </row>
    <row r="85" ht="15.75" customHeight="1">
      <c r="A85" s="198"/>
      <c r="B85" s="198"/>
      <c r="C85" s="198"/>
      <c r="D85" s="198"/>
      <c r="E85" s="198"/>
      <c r="F85" s="198"/>
      <c r="G85" s="198"/>
      <c r="H85" s="198"/>
      <c r="I85" s="198"/>
      <c r="J85" s="198"/>
      <c r="K85" s="198"/>
      <c r="L85" s="198"/>
      <c r="M85" s="198"/>
      <c r="N85" s="198"/>
      <c r="O85" s="198"/>
    </row>
    <row r="86" ht="15.75" customHeight="1">
      <c r="A86" s="198"/>
      <c r="B86" s="198"/>
      <c r="C86" s="198"/>
      <c r="D86" s="198"/>
      <c r="E86" s="198"/>
      <c r="F86" s="198"/>
      <c r="G86" s="198"/>
      <c r="H86" s="198"/>
      <c r="I86" s="198"/>
      <c r="J86" s="198"/>
      <c r="K86" s="198"/>
      <c r="L86" s="198"/>
      <c r="M86" s="198"/>
      <c r="N86" s="198"/>
      <c r="O86" s="198"/>
    </row>
    <row r="87" ht="15.75" customHeight="1">
      <c r="A87" s="198"/>
      <c r="B87" s="198"/>
      <c r="C87" s="198"/>
      <c r="D87" s="198"/>
      <c r="E87" s="198"/>
      <c r="F87" s="198"/>
      <c r="G87" s="198"/>
      <c r="H87" s="198"/>
      <c r="I87" s="198"/>
      <c r="J87" s="198"/>
      <c r="K87" s="198"/>
      <c r="L87" s="198"/>
      <c r="M87" s="198"/>
      <c r="N87" s="198"/>
      <c r="O87" s="198"/>
    </row>
    <row r="88" ht="15.75" customHeight="1">
      <c r="A88" s="198"/>
      <c r="B88" s="198"/>
      <c r="C88" s="198"/>
      <c r="D88" s="198"/>
      <c r="E88" s="198"/>
      <c r="F88" s="198"/>
      <c r="G88" s="198"/>
      <c r="H88" s="198"/>
      <c r="I88" s="198"/>
      <c r="J88" s="198"/>
      <c r="K88" s="198"/>
      <c r="L88" s="198"/>
      <c r="M88" s="198"/>
      <c r="N88" s="198"/>
      <c r="O88" s="198"/>
    </row>
    <row r="89" ht="15.75" customHeight="1">
      <c r="A89" s="198"/>
      <c r="B89" s="198"/>
      <c r="C89" s="198"/>
      <c r="D89" s="198"/>
      <c r="E89" s="198"/>
      <c r="F89" s="198"/>
      <c r="G89" s="198"/>
      <c r="H89" s="198"/>
      <c r="I89" s="198"/>
      <c r="J89" s="198"/>
      <c r="K89" s="198"/>
      <c r="L89" s="198"/>
      <c r="M89" s="198"/>
      <c r="N89" s="198"/>
      <c r="O89" s="198"/>
    </row>
    <row r="90" ht="15.75" customHeight="1">
      <c r="A90" s="198"/>
      <c r="B90" s="198"/>
      <c r="C90" s="198"/>
      <c r="D90" s="198"/>
      <c r="E90" s="198"/>
      <c r="F90" s="198"/>
      <c r="G90" s="198"/>
      <c r="H90" s="198"/>
      <c r="I90" s="198"/>
      <c r="J90" s="198"/>
      <c r="K90" s="198"/>
      <c r="L90" s="198"/>
      <c r="M90" s="198"/>
      <c r="N90" s="198"/>
      <c r="O90" s="198"/>
    </row>
    <row r="91" ht="15.75" customHeight="1">
      <c r="A91" s="198"/>
      <c r="B91" s="198"/>
      <c r="C91" s="198"/>
      <c r="D91" s="198"/>
      <c r="E91" s="198"/>
      <c r="F91" s="198"/>
      <c r="G91" s="198"/>
      <c r="H91" s="198"/>
      <c r="I91" s="198"/>
      <c r="J91" s="198"/>
      <c r="K91" s="198"/>
      <c r="L91" s="198"/>
      <c r="M91" s="198"/>
      <c r="N91" s="198"/>
      <c r="O91" s="198"/>
    </row>
    <row r="92" ht="15.75" customHeight="1">
      <c r="A92" s="198"/>
      <c r="B92" s="198"/>
      <c r="C92" s="198"/>
      <c r="D92" s="198"/>
      <c r="E92" s="198"/>
      <c r="F92" s="198"/>
      <c r="G92" s="198"/>
      <c r="H92" s="198"/>
      <c r="I92" s="198"/>
      <c r="J92" s="198"/>
      <c r="K92" s="198"/>
      <c r="L92" s="198"/>
      <c r="M92" s="198"/>
      <c r="N92" s="198"/>
      <c r="O92" s="198"/>
    </row>
    <row r="93" ht="15.75" customHeight="1">
      <c r="A93" s="198"/>
      <c r="B93" s="198"/>
      <c r="C93" s="198"/>
      <c r="D93" s="198"/>
      <c r="E93" s="198"/>
      <c r="F93" s="198"/>
      <c r="G93" s="198"/>
      <c r="H93" s="198"/>
      <c r="I93" s="198"/>
      <c r="J93" s="198"/>
      <c r="K93" s="198"/>
      <c r="L93" s="198"/>
      <c r="M93" s="198"/>
      <c r="N93" s="198"/>
      <c r="O93" s="198"/>
    </row>
    <row r="94" ht="15.75" customHeight="1">
      <c r="A94" s="198"/>
      <c r="B94" s="198"/>
      <c r="C94" s="198"/>
      <c r="D94" s="198"/>
      <c r="E94" s="198"/>
      <c r="F94" s="198"/>
      <c r="G94" s="198"/>
      <c r="H94" s="198"/>
      <c r="I94" s="198"/>
      <c r="J94" s="198"/>
      <c r="K94" s="198"/>
      <c r="L94" s="198"/>
      <c r="M94" s="198"/>
      <c r="N94" s="198"/>
      <c r="O94" s="198"/>
    </row>
    <row r="95" ht="15.75" customHeight="1">
      <c r="A95" s="198"/>
      <c r="B95" s="198"/>
      <c r="C95" s="198"/>
      <c r="D95" s="198"/>
      <c r="E95" s="198"/>
      <c r="F95" s="198"/>
      <c r="G95" s="198"/>
      <c r="H95" s="198"/>
      <c r="I95" s="198"/>
      <c r="J95" s="198"/>
      <c r="K95" s="198"/>
      <c r="L95" s="198"/>
      <c r="M95" s="198"/>
      <c r="N95" s="198"/>
      <c r="O95" s="198"/>
    </row>
    <row r="96" ht="15.75" customHeight="1">
      <c r="A96" s="198"/>
      <c r="B96" s="198"/>
      <c r="C96" s="198"/>
      <c r="D96" s="198"/>
      <c r="E96" s="198"/>
      <c r="F96" s="198"/>
      <c r="G96" s="198"/>
      <c r="H96" s="198"/>
      <c r="I96" s="198"/>
      <c r="J96" s="198"/>
      <c r="K96" s="198"/>
      <c r="L96" s="198"/>
      <c r="M96" s="198"/>
      <c r="N96" s="198"/>
      <c r="O96" s="198"/>
    </row>
    <row r="97" ht="15.75" customHeight="1">
      <c r="A97" s="198"/>
      <c r="B97" s="198"/>
      <c r="C97" s="198"/>
      <c r="D97" s="198"/>
      <c r="E97" s="198"/>
      <c r="F97" s="198"/>
      <c r="G97" s="198"/>
      <c r="H97" s="198"/>
      <c r="I97" s="198"/>
      <c r="J97" s="198"/>
      <c r="K97" s="198"/>
      <c r="L97" s="198"/>
      <c r="M97" s="198"/>
      <c r="N97" s="198"/>
      <c r="O97" s="198"/>
    </row>
    <row r="98" ht="15.75" customHeight="1">
      <c r="A98" s="198"/>
      <c r="B98" s="198"/>
      <c r="C98" s="198"/>
      <c r="D98" s="198"/>
      <c r="E98" s="198"/>
      <c r="F98" s="198"/>
      <c r="G98" s="198"/>
      <c r="H98" s="198"/>
      <c r="I98" s="198"/>
      <c r="J98" s="198"/>
      <c r="K98" s="198"/>
      <c r="L98" s="198"/>
      <c r="M98" s="198"/>
      <c r="N98" s="198"/>
      <c r="O98" s="198"/>
    </row>
    <row r="99" ht="15.75" customHeight="1">
      <c r="A99" s="198"/>
      <c r="B99" s="198"/>
      <c r="C99" s="198"/>
      <c r="D99" s="198"/>
      <c r="E99" s="198"/>
      <c r="F99" s="198"/>
      <c r="G99" s="198"/>
      <c r="H99" s="198"/>
      <c r="I99" s="198"/>
      <c r="J99" s="198"/>
      <c r="K99" s="198"/>
      <c r="L99" s="198"/>
      <c r="M99" s="198"/>
      <c r="N99" s="198"/>
      <c r="O99" s="198"/>
    </row>
    <row r="100" ht="15.75" customHeight="1">
      <c r="A100" s="198"/>
      <c r="B100" s="198"/>
      <c r="C100" s="198"/>
      <c r="D100" s="198"/>
      <c r="E100" s="198"/>
      <c r="F100" s="198"/>
      <c r="G100" s="198"/>
      <c r="H100" s="198"/>
      <c r="I100" s="198"/>
      <c r="J100" s="198"/>
      <c r="K100" s="198"/>
      <c r="L100" s="198"/>
      <c r="M100" s="198"/>
      <c r="N100" s="198"/>
      <c r="O100" s="198"/>
    </row>
    <row r="101" ht="15.75" customHeight="1">
      <c r="A101" s="198"/>
      <c r="B101" s="198"/>
      <c r="C101" s="198"/>
      <c r="D101" s="198"/>
      <c r="E101" s="198"/>
      <c r="F101" s="198"/>
      <c r="G101" s="198"/>
      <c r="H101" s="198"/>
      <c r="I101" s="198"/>
      <c r="J101" s="198"/>
      <c r="K101" s="198"/>
      <c r="L101" s="198"/>
      <c r="M101" s="198"/>
      <c r="N101" s="198"/>
      <c r="O101" s="198"/>
    </row>
    <row r="102" ht="15.75" customHeight="1">
      <c r="A102" s="198"/>
      <c r="B102" s="198"/>
      <c r="C102" s="198"/>
      <c r="D102" s="198"/>
      <c r="E102" s="198"/>
      <c r="F102" s="198"/>
      <c r="G102" s="198"/>
      <c r="H102" s="198"/>
      <c r="I102" s="198"/>
      <c r="J102" s="198"/>
      <c r="K102" s="198"/>
      <c r="L102" s="198"/>
      <c r="M102" s="198"/>
      <c r="N102" s="198"/>
      <c r="O102" s="198"/>
    </row>
    <row r="103" ht="15.75" customHeight="1">
      <c r="A103" s="198"/>
      <c r="B103" s="198"/>
      <c r="C103" s="198"/>
      <c r="D103" s="198"/>
      <c r="E103" s="198"/>
      <c r="F103" s="198"/>
      <c r="G103" s="198"/>
      <c r="H103" s="198"/>
      <c r="I103" s="198"/>
      <c r="J103" s="198"/>
      <c r="K103" s="198"/>
      <c r="L103" s="198"/>
      <c r="M103" s="198"/>
      <c r="N103" s="198"/>
      <c r="O103" s="198"/>
    </row>
    <row r="104" ht="15.75" customHeight="1">
      <c r="A104" s="198"/>
      <c r="B104" s="198"/>
      <c r="C104" s="198"/>
      <c r="D104" s="198"/>
      <c r="E104" s="198"/>
      <c r="F104" s="198"/>
      <c r="G104" s="198"/>
      <c r="H104" s="198"/>
      <c r="I104" s="198"/>
      <c r="J104" s="198"/>
      <c r="K104" s="198"/>
      <c r="L104" s="198"/>
      <c r="M104" s="198"/>
      <c r="N104" s="198"/>
      <c r="O104" s="198"/>
    </row>
    <row r="105" ht="15.75" customHeight="1">
      <c r="A105" s="198"/>
      <c r="B105" s="198"/>
      <c r="C105" s="198"/>
      <c r="D105" s="198"/>
      <c r="E105" s="198"/>
      <c r="F105" s="198"/>
      <c r="G105" s="198"/>
      <c r="H105" s="198"/>
      <c r="I105" s="198"/>
      <c r="J105" s="198"/>
      <c r="K105" s="198"/>
      <c r="L105" s="198"/>
      <c r="M105" s="198"/>
      <c r="N105" s="198"/>
      <c r="O105" s="198"/>
    </row>
    <row r="106" ht="15.75" customHeight="1">
      <c r="A106" s="198"/>
      <c r="B106" s="198"/>
      <c r="C106" s="198"/>
      <c r="D106" s="198"/>
      <c r="E106" s="198"/>
      <c r="F106" s="198"/>
      <c r="G106" s="198"/>
      <c r="H106" s="198"/>
      <c r="I106" s="198"/>
      <c r="J106" s="198"/>
      <c r="K106" s="198"/>
      <c r="L106" s="198"/>
      <c r="M106" s="198"/>
      <c r="N106" s="198"/>
      <c r="O106" s="198"/>
    </row>
    <row r="107" ht="15.75" customHeight="1">
      <c r="A107" s="198"/>
      <c r="B107" s="198"/>
      <c r="C107" s="198"/>
      <c r="D107" s="198"/>
      <c r="E107" s="198"/>
      <c r="F107" s="198"/>
      <c r="G107" s="198"/>
      <c r="H107" s="198"/>
      <c r="I107" s="198"/>
      <c r="J107" s="198"/>
      <c r="K107" s="198"/>
      <c r="L107" s="198"/>
      <c r="M107" s="198"/>
      <c r="N107" s="198"/>
      <c r="O107" s="198"/>
    </row>
    <row r="108" ht="15.75" customHeight="1">
      <c r="A108" s="198"/>
      <c r="B108" s="198"/>
      <c r="C108" s="198"/>
      <c r="D108" s="198"/>
      <c r="E108" s="198"/>
      <c r="F108" s="198"/>
      <c r="G108" s="198"/>
      <c r="H108" s="198"/>
      <c r="I108" s="198"/>
      <c r="J108" s="198"/>
      <c r="K108" s="198"/>
      <c r="L108" s="198"/>
      <c r="M108" s="198"/>
      <c r="N108" s="198"/>
      <c r="O108" s="198"/>
    </row>
    <row r="109" ht="15.75" customHeight="1">
      <c r="A109" s="198"/>
      <c r="B109" s="198"/>
      <c r="C109" s="198"/>
      <c r="D109" s="198"/>
      <c r="E109" s="198"/>
      <c r="F109" s="198"/>
      <c r="G109" s="198"/>
      <c r="H109" s="198"/>
      <c r="I109" s="198"/>
      <c r="J109" s="198"/>
      <c r="K109" s="198"/>
      <c r="L109" s="198"/>
      <c r="M109" s="198"/>
      <c r="N109" s="198"/>
      <c r="O109" s="198"/>
    </row>
    <row r="110" ht="15.75" customHeight="1">
      <c r="A110" s="198"/>
      <c r="B110" s="198"/>
      <c r="C110" s="198"/>
      <c r="D110" s="198"/>
      <c r="E110" s="198"/>
      <c r="F110" s="198"/>
      <c r="G110" s="198"/>
      <c r="H110" s="198"/>
      <c r="I110" s="198"/>
      <c r="J110" s="198"/>
      <c r="K110" s="198"/>
      <c r="L110" s="198"/>
      <c r="M110" s="198"/>
      <c r="N110" s="198"/>
      <c r="O110" s="198"/>
    </row>
    <row r="111" ht="15.75" customHeight="1">
      <c r="A111" s="198"/>
      <c r="B111" s="198"/>
      <c r="C111" s="198"/>
      <c r="D111" s="198"/>
      <c r="E111" s="198"/>
      <c r="F111" s="198"/>
      <c r="G111" s="198"/>
      <c r="H111" s="198"/>
      <c r="I111" s="198"/>
      <c r="J111" s="198"/>
      <c r="K111" s="198"/>
      <c r="L111" s="198"/>
      <c r="M111" s="198"/>
      <c r="N111" s="198"/>
      <c r="O111" s="198"/>
    </row>
    <row r="112" ht="15.75" customHeight="1">
      <c r="A112" s="198"/>
      <c r="B112" s="198"/>
      <c r="C112" s="198"/>
      <c r="D112" s="198"/>
      <c r="E112" s="198"/>
      <c r="F112" s="198"/>
      <c r="G112" s="198"/>
      <c r="H112" s="198"/>
      <c r="I112" s="198"/>
      <c r="J112" s="198"/>
      <c r="K112" s="198"/>
      <c r="L112" s="198"/>
      <c r="M112" s="198"/>
      <c r="N112" s="198"/>
      <c r="O112" s="198"/>
    </row>
    <row r="113" ht="15.75" customHeight="1">
      <c r="A113" s="198"/>
      <c r="B113" s="198"/>
      <c r="C113" s="198"/>
      <c r="D113" s="198"/>
      <c r="E113" s="198"/>
      <c r="F113" s="198"/>
      <c r="G113" s="198"/>
      <c r="H113" s="198"/>
      <c r="I113" s="198"/>
      <c r="J113" s="198"/>
      <c r="K113" s="198"/>
      <c r="L113" s="198"/>
      <c r="M113" s="198"/>
      <c r="N113" s="198"/>
      <c r="O113" s="198"/>
    </row>
    <row r="114" ht="15.75" customHeight="1">
      <c r="A114" s="198"/>
      <c r="B114" s="198"/>
      <c r="C114" s="198"/>
      <c r="D114" s="198"/>
      <c r="E114" s="198"/>
      <c r="F114" s="198"/>
      <c r="G114" s="198"/>
      <c r="H114" s="198"/>
      <c r="I114" s="198"/>
      <c r="J114" s="198"/>
      <c r="K114" s="198"/>
      <c r="L114" s="198"/>
      <c r="M114" s="198"/>
      <c r="N114" s="198"/>
      <c r="O114" s="198"/>
    </row>
    <row r="115" ht="15.75" customHeight="1">
      <c r="A115" s="198"/>
      <c r="B115" s="198"/>
      <c r="C115" s="198"/>
      <c r="D115" s="198"/>
      <c r="E115" s="198"/>
      <c r="F115" s="198"/>
      <c r="G115" s="198"/>
      <c r="H115" s="198"/>
      <c r="I115" s="198"/>
      <c r="J115" s="198"/>
      <c r="K115" s="198"/>
      <c r="L115" s="198"/>
      <c r="M115" s="198"/>
      <c r="N115" s="198"/>
      <c r="O115" s="198"/>
    </row>
    <row r="116" ht="15.75" customHeight="1">
      <c r="A116" s="198"/>
      <c r="B116" s="198"/>
      <c r="C116" s="198"/>
      <c r="D116" s="198"/>
      <c r="E116" s="198"/>
      <c r="F116" s="198"/>
      <c r="G116" s="198"/>
      <c r="H116" s="198"/>
      <c r="I116" s="198"/>
      <c r="J116" s="198"/>
      <c r="K116" s="198"/>
      <c r="L116" s="198"/>
      <c r="M116" s="198"/>
      <c r="N116" s="198"/>
      <c r="O116" s="198"/>
    </row>
    <row r="117" ht="15.75" customHeight="1">
      <c r="A117" s="198"/>
      <c r="B117" s="198"/>
      <c r="C117" s="198"/>
      <c r="D117" s="198"/>
      <c r="E117" s="198"/>
      <c r="F117" s="198"/>
      <c r="G117" s="198"/>
      <c r="H117" s="198"/>
      <c r="I117" s="198"/>
      <c r="J117" s="198"/>
      <c r="K117" s="198"/>
      <c r="L117" s="198"/>
      <c r="M117" s="198"/>
      <c r="N117" s="198"/>
      <c r="O117" s="198"/>
    </row>
    <row r="118" ht="15.75" customHeight="1">
      <c r="A118" s="198"/>
      <c r="B118" s="198"/>
      <c r="C118" s="198"/>
      <c r="D118" s="198"/>
      <c r="E118" s="198"/>
      <c r="F118" s="198"/>
      <c r="G118" s="198"/>
      <c r="H118" s="198"/>
      <c r="I118" s="198"/>
      <c r="J118" s="198"/>
      <c r="K118" s="198"/>
      <c r="L118" s="198"/>
      <c r="M118" s="198"/>
      <c r="N118" s="198"/>
      <c r="O118" s="198"/>
    </row>
    <row r="119" ht="15.75" customHeight="1">
      <c r="A119" s="198"/>
      <c r="B119" s="198"/>
      <c r="C119" s="198"/>
      <c r="D119" s="198"/>
      <c r="E119" s="198"/>
      <c r="F119" s="198"/>
      <c r="G119" s="198"/>
      <c r="H119" s="198"/>
      <c r="I119" s="198"/>
      <c r="J119" s="198"/>
      <c r="K119" s="198"/>
      <c r="L119" s="198"/>
      <c r="M119" s="198"/>
      <c r="N119" s="198"/>
      <c r="O119" s="198"/>
    </row>
    <row r="120" ht="15.75" customHeight="1">
      <c r="A120" s="198"/>
      <c r="B120" s="198"/>
      <c r="C120" s="198"/>
      <c r="D120" s="198"/>
      <c r="E120" s="198"/>
      <c r="F120" s="198"/>
      <c r="G120" s="198"/>
      <c r="H120" s="198"/>
      <c r="I120" s="198"/>
      <c r="J120" s="198"/>
      <c r="K120" s="198"/>
      <c r="L120" s="198"/>
      <c r="M120" s="198"/>
      <c r="N120" s="198"/>
      <c r="O120" s="198"/>
    </row>
    <row r="121" ht="15.75" customHeight="1">
      <c r="A121" s="198"/>
      <c r="B121" s="198"/>
      <c r="C121" s="198"/>
      <c r="D121" s="198"/>
      <c r="E121" s="198"/>
      <c r="F121" s="198"/>
      <c r="G121" s="198"/>
      <c r="H121" s="198"/>
      <c r="I121" s="198"/>
      <c r="J121" s="198"/>
      <c r="K121" s="198"/>
      <c r="L121" s="198"/>
      <c r="M121" s="198"/>
      <c r="N121" s="198"/>
      <c r="O121" s="198"/>
    </row>
    <row r="122" ht="15.75" customHeight="1">
      <c r="A122" s="198"/>
      <c r="B122" s="198"/>
      <c r="C122" s="198"/>
      <c r="D122" s="198"/>
      <c r="E122" s="198"/>
      <c r="F122" s="198"/>
      <c r="G122" s="198"/>
      <c r="H122" s="198"/>
      <c r="I122" s="198"/>
      <c r="J122" s="198"/>
      <c r="K122" s="198"/>
      <c r="L122" s="198"/>
      <c r="M122" s="198"/>
      <c r="N122" s="198"/>
      <c r="O122" s="198"/>
    </row>
    <row r="123" ht="15.75" customHeight="1">
      <c r="A123" s="198"/>
      <c r="B123" s="198"/>
      <c r="C123" s="198"/>
      <c r="D123" s="198"/>
      <c r="E123" s="198"/>
      <c r="F123" s="198"/>
      <c r="G123" s="198"/>
      <c r="H123" s="198"/>
      <c r="I123" s="198"/>
      <c r="J123" s="198"/>
      <c r="K123" s="198"/>
      <c r="L123" s="198"/>
      <c r="M123" s="198"/>
      <c r="N123" s="198"/>
      <c r="O123" s="198"/>
    </row>
    <row r="124" ht="15.75" customHeight="1">
      <c r="A124" s="198"/>
      <c r="B124" s="198"/>
      <c r="C124" s="198"/>
      <c r="D124" s="198"/>
      <c r="E124" s="198"/>
      <c r="F124" s="198"/>
      <c r="G124" s="198"/>
      <c r="H124" s="198"/>
      <c r="I124" s="198"/>
      <c r="J124" s="198"/>
      <c r="K124" s="198"/>
      <c r="L124" s="198"/>
      <c r="M124" s="198"/>
      <c r="N124" s="198"/>
      <c r="O124" s="198"/>
    </row>
    <row r="125" ht="15.75" customHeight="1">
      <c r="A125" s="198"/>
      <c r="B125" s="198"/>
      <c r="C125" s="198"/>
      <c r="D125" s="198"/>
      <c r="E125" s="198"/>
      <c r="F125" s="198"/>
      <c r="G125" s="198"/>
      <c r="H125" s="198"/>
      <c r="I125" s="198"/>
      <c r="J125" s="198"/>
      <c r="K125" s="198"/>
      <c r="L125" s="198"/>
      <c r="M125" s="198"/>
      <c r="N125" s="198"/>
      <c r="O125" s="198"/>
    </row>
    <row r="126" ht="15.75" customHeight="1">
      <c r="A126" s="198"/>
      <c r="B126" s="198"/>
      <c r="C126" s="198"/>
      <c r="D126" s="198"/>
      <c r="E126" s="198"/>
      <c r="F126" s="198"/>
      <c r="G126" s="198"/>
      <c r="H126" s="198"/>
      <c r="I126" s="198"/>
      <c r="J126" s="198"/>
      <c r="K126" s="198"/>
      <c r="L126" s="198"/>
      <c r="M126" s="198"/>
      <c r="N126" s="198"/>
      <c r="O126" s="198"/>
    </row>
    <row r="127" ht="15.75" customHeight="1">
      <c r="A127" s="198"/>
      <c r="B127" s="198"/>
      <c r="C127" s="198"/>
      <c r="D127" s="198"/>
      <c r="E127" s="198"/>
      <c r="F127" s="198"/>
      <c r="G127" s="198"/>
      <c r="H127" s="198"/>
      <c r="I127" s="198"/>
      <c r="J127" s="198"/>
      <c r="K127" s="198"/>
      <c r="L127" s="198"/>
      <c r="M127" s="198"/>
      <c r="N127" s="198"/>
      <c r="O127" s="198"/>
    </row>
    <row r="128" ht="15.75" customHeight="1">
      <c r="A128" s="198"/>
      <c r="B128" s="198"/>
      <c r="C128" s="198"/>
      <c r="D128" s="198"/>
      <c r="E128" s="198"/>
      <c r="F128" s="198"/>
      <c r="G128" s="198"/>
      <c r="H128" s="198"/>
      <c r="I128" s="198"/>
      <c r="J128" s="198"/>
      <c r="K128" s="198"/>
      <c r="L128" s="198"/>
      <c r="M128" s="198"/>
      <c r="N128" s="198"/>
      <c r="O128" s="198"/>
    </row>
    <row r="129" ht="15.75" customHeight="1">
      <c r="A129" s="198"/>
      <c r="B129" s="198"/>
      <c r="C129" s="198"/>
      <c r="D129" s="198"/>
      <c r="E129" s="198"/>
      <c r="F129" s="198"/>
      <c r="G129" s="198"/>
      <c r="H129" s="198"/>
      <c r="I129" s="198"/>
      <c r="J129" s="198"/>
      <c r="K129" s="198"/>
      <c r="L129" s="198"/>
      <c r="M129" s="198"/>
      <c r="N129" s="198"/>
      <c r="O129" s="198"/>
    </row>
    <row r="130" ht="15.75" customHeight="1">
      <c r="A130" s="198"/>
      <c r="B130" s="198"/>
      <c r="C130" s="198"/>
      <c r="D130" s="198"/>
      <c r="E130" s="198"/>
      <c r="F130" s="198"/>
      <c r="G130" s="198"/>
      <c r="H130" s="198"/>
      <c r="I130" s="198"/>
      <c r="J130" s="198"/>
      <c r="K130" s="198"/>
      <c r="L130" s="198"/>
      <c r="M130" s="198"/>
      <c r="N130" s="198"/>
      <c r="O130" s="198"/>
    </row>
    <row r="131" ht="15.75" customHeight="1">
      <c r="A131" s="198"/>
      <c r="B131" s="198"/>
      <c r="C131" s="198"/>
      <c r="D131" s="198"/>
      <c r="E131" s="198"/>
      <c r="F131" s="198"/>
      <c r="G131" s="198"/>
      <c r="H131" s="198"/>
      <c r="I131" s="198"/>
      <c r="J131" s="198"/>
      <c r="K131" s="198"/>
      <c r="L131" s="198"/>
      <c r="M131" s="198"/>
      <c r="N131" s="198"/>
      <c r="O131" s="198"/>
    </row>
    <row r="132" ht="15.75" customHeight="1">
      <c r="A132" s="198"/>
      <c r="B132" s="198"/>
      <c r="C132" s="198"/>
      <c r="D132" s="198"/>
      <c r="E132" s="198"/>
      <c r="F132" s="198"/>
      <c r="G132" s="198"/>
      <c r="H132" s="198"/>
      <c r="I132" s="198"/>
      <c r="J132" s="198"/>
      <c r="K132" s="198"/>
      <c r="L132" s="198"/>
      <c r="M132" s="198"/>
      <c r="N132" s="198"/>
      <c r="O132" s="198"/>
    </row>
    <row r="133" ht="15.75" customHeight="1">
      <c r="A133" s="198"/>
      <c r="B133" s="198"/>
      <c r="C133" s="198"/>
      <c r="D133" s="198"/>
      <c r="E133" s="198"/>
      <c r="F133" s="198"/>
      <c r="G133" s="198"/>
      <c r="H133" s="198"/>
      <c r="I133" s="198"/>
      <c r="J133" s="198"/>
      <c r="K133" s="198"/>
      <c r="L133" s="198"/>
      <c r="M133" s="198"/>
      <c r="N133" s="198"/>
      <c r="O133" s="198"/>
    </row>
    <row r="134" ht="15.75" customHeight="1">
      <c r="A134" s="198"/>
      <c r="B134" s="198"/>
      <c r="C134" s="198"/>
      <c r="D134" s="198"/>
      <c r="E134" s="198"/>
      <c r="F134" s="198"/>
      <c r="G134" s="198"/>
      <c r="H134" s="198"/>
      <c r="I134" s="198"/>
      <c r="J134" s="198"/>
      <c r="K134" s="198"/>
      <c r="L134" s="198"/>
      <c r="M134" s="198"/>
      <c r="N134" s="198"/>
      <c r="O134" s="198"/>
    </row>
    <row r="135" ht="15.75" customHeight="1">
      <c r="A135" s="198"/>
      <c r="B135" s="198"/>
      <c r="C135" s="198"/>
      <c r="D135" s="198"/>
      <c r="E135" s="198"/>
      <c r="F135" s="198"/>
      <c r="G135" s="198"/>
      <c r="H135" s="198"/>
      <c r="I135" s="198"/>
      <c r="J135" s="198"/>
      <c r="K135" s="198"/>
      <c r="L135" s="198"/>
      <c r="M135" s="198"/>
      <c r="N135" s="198"/>
      <c r="O135" s="198"/>
    </row>
    <row r="136" ht="15.75" customHeight="1">
      <c r="A136" s="198"/>
      <c r="B136" s="198"/>
      <c r="C136" s="198"/>
      <c r="D136" s="198"/>
      <c r="E136" s="198"/>
      <c r="F136" s="198"/>
      <c r="G136" s="198"/>
      <c r="H136" s="198"/>
      <c r="I136" s="198"/>
      <c r="J136" s="198"/>
      <c r="K136" s="198"/>
      <c r="L136" s="198"/>
      <c r="M136" s="198"/>
      <c r="N136" s="198"/>
      <c r="O136" s="198"/>
    </row>
    <row r="137" ht="15.75" customHeight="1">
      <c r="A137" s="198"/>
      <c r="B137" s="198"/>
      <c r="C137" s="198"/>
      <c r="D137" s="198"/>
      <c r="E137" s="198"/>
      <c r="F137" s="198"/>
      <c r="G137" s="198"/>
      <c r="H137" s="198"/>
      <c r="I137" s="198"/>
      <c r="J137" s="198"/>
      <c r="K137" s="198"/>
      <c r="L137" s="198"/>
      <c r="M137" s="198"/>
      <c r="N137" s="198"/>
      <c r="O137" s="198"/>
    </row>
    <row r="138" ht="15.75" customHeight="1">
      <c r="A138" s="198"/>
      <c r="B138" s="198"/>
      <c r="C138" s="198"/>
      <c r="D138" s="198"/>
      <c r="E138" s="198"/>
      <c r="F138" s="198"/>
      <c r="G138" s="198"/>
      <c r="H138" s="198"/>
      <c r="I138" s="198"/>
      <c r="J138" s="198"/>
      <c r="K138" s="198"/>
      <c r="L138" s="198"/>
      <c r="M138" s="198"/>
      <c r="N138" s="198"/>
      <c r="O138" s="198"/>
    </row>
    <row r="139" ht="15.75" customHeight="1">
      <c r="A139" s="198"/>
      <c r="B139" s="198"/>
      <c r="C139" s="198"/>
      <c r="D139" s="198"/>
      <c r="E139" s="198"/>
      <c r="F139" s="198"/>
      <c r="G139" s="198"/>
      <c r="H139" s="198"/>
      <c r="I139" s="198"/>
      <c r="J139" s="198"/>
      <c r="K139" s="198"/>
      <c r="L139" s="198"/>
      <c r="M139" s="198"/>
      <c r="N139" s="198"/>
      <c r="O139" s="198"/>
    </row>
    <row r="140" ht="15.75" customHeight="1">
      <c r="A140" s="198"/>
      <c r="B140" s="198"/>
      <c r="C140" s="198"/>
      <c r="D140" s="198"/>
      <c r="E140" s="198"/>
      <c r="F140" s="198"/>
      <c r="G140" s="198"/>
      <c r="H140" s="198"/>
      <c r="I140" s="198"/>
      <c r="J140" s="198"/>
      <c r="K140" s="198"/>
      <c r="L140" s="198"/>
      <c r="M140" s="198"/>
      <c r="N140" s="198"/>
      <c r="O140" s="198"/>
    </row>
    <row r="141" ht="15.75" customHeight="1">
      <c r="A141" s="198"/>
      <c r="B141" s="198"/>
      <c r="C141" s="198"/>
      <c r="D141" s="198"/>
      <c r="E141" s="198"/>
      <c r="F141" s="198"/>
      <c r="G141" s="198"/>
      <c r="H141" s="198"/>
      <c r="I141" s="198"/>
      <c r="J141" s="198"/>
      <c r="K141" s="198"/>
      <c r="L141" s="198"/>
      <c r="M141" s="198"/>
      <c r="N141" s="198"/>
      <c r="O141" s="198"/>
    </row>
    <row r="142" ht="15.75" customHeight="1">
      <c r="A142" s="198"/>
      <c r="B142" s="198"/>
      <c r="C142" s="198"/>
      <c r="D142" s="198"/>
      <c r="E142" s="198"/>
      <c r="F142" s="198"/>
      <c r="G142" s="198"/>
      <c r="H142" s="198"/>
      <c r="I142" s="198"/>
      <c r="J142" s="198"/>
      <c r="K142" s="198"/>
      <c r="L142" s="198"/>
      <c r="M142" s="198"/>
      <c r="N142" s="198"/>
      <c r="O142" s="198"/>
    </row>
    <row r="143" ht="15.75" customHeight="1">
      <c r="A143" s="198"/>
      <c r="B143" s="198"/>
      <c r="C143" s="198"/>
      <c r="D143" s="198"/>
      <c r="E143" s="198"/>
      <c r="F143" s="198"/>
      <c r="G143" s="198"/>
      <c r="H143" s="198"/>
      <c r="I143" s="198"/>
      <c r="J143" s="198"/>
      <c r="K143" s="198"/>
      <c r="L143" s="198"/>
      <c r="M143" s="198"/>
      <c r="N143" s="198"/>
      <c r="O143" s="198"/>
    </row>
    <row r="144" ht="15.75" customHeight="1">
      <c r="A144" s="198"/>
      <c r="B144" s="198"/>
      <c r="C144" s="198"/>
      <c r="D144" s="198"/>
      <c r="E144" s="198"/>
      <c r="F144" s="198"/>
      <c r="G144" s="198"/>
      <c r="H144" s="198"/>
      <c r="I144" s="198"/>
      <c r="J144" s="198"/>
      <c r="K144" s="198"/>
      <c r="L144" s="198"/>
      <c r="M144" s="198"/>
      <c r="N144" s="198"/>
      <c r="O144" s="198"/>
    </row>
    <row r="145" ht="15.75" customHeight="1">
      <c r="A145" s="198"/>
      <c r="B145" s="198"/>
      <c r="C145" s="198"/>
      <c r="D145" s="198"/>
      <c r="E145" s="198"/>
      <c r="F145" s="198"/>
      <c r="G145" s="198"/>
      <c r="H145" s="198"/>
      <c r="I145" s="198"/>
      <c r="J145" s="198"/>
      <c r="K145" s="198"/>
      <c r="L145" s="198"/>
      <c r="M145" s="198"/>
      <c r="N145" s="198"/>
      <c r="O145" s="198"/>
    </row>
    <row r="146" ht="15.75" customHeight="1">
      <c r="A146" s="198"/>
      <c r="B146" s="198"/>
      <c r="C146" s="198"/>
      <c r="D146" s="198"/>
      <c r="E146" s="198"/>
      <c r="F146" s="198"/>
      <c r="G146" s="198"/>
      <c r="H146" s="198"/>
      <c r="I146" s="198"/>
      <c r="J146" s="198"/>
      <c r="K146" s="198"/>
      <c r="L146" s="198"/>
      <c r="M146" s="198"/>
      <c r="N146" s="198"/>
      <c r="O146" s="198"/>
    </row>
    <row r="147" ht="15.75" customHeight="1">
      <c r="A147" s="198"/>
      <c r="B147" s="198"/>
      <c r="C147" s="198"/>
      <c r="D147" s="198"/>
      <c r="E147" s="198"/>
      <c r="F147" s="198"/>
      <c r="G147" s="198"/>
      <c r="H147" s="198"/>
      <c r="I147" s="198"/>
      <c r="J147" s="198"/>
      <c r="K147" s="198"/>
      <c r="L147" s="198"/>
      <c r="M147" s="198"/>
      <c r="N147" s="198"/>
      <c r="O147" s="198"/>
    </row>
    <row r="148" ht="15.75" customHeight="1">
      <c r="A148" s="198"/>
      <c r="B148" s="198"/>
      <c r="C148" s="198"/>
      <c r="D148" s="198"/>
      <c r="E148" s="198"/>
      <c r="F148" s="198"/>
      <c r="G148" s="198"/>
      <c r="H148" s="198"/>
      <c r="I148" s="198"/>
      <c r="J148" s="198"/>
      <c r="K148" s="198"/>
      <c r="L148" s="198"/>
      <c r="M148" s="198"/>
      <c r="N148" s="198"/>
      <c r="O148" s="198"/>
    </row>
    <row r="149" ht="15.75" customHeight="1">
      <c r="A149" s="198"/>
      <c r="B149" s="198"/>
      <c r="C149" s="198"/>
      <c r="D149" s="198"/>
      <c r="E149" s="198"/>
      <c r="F149" s="198"/>
      <c r="G149" s="198"/>
      <c r="H149" s="198"/>
      <c r="I149" s="198"/>
      <c r="J149" s="198"/>
      <c r="K149" s="198"/>
      <c r="L149" s="198"/>
      <c r="M149" s="198"/>
      <c r="N149" s="198"/>
      <c r="O149" s="198"/>
    </row>
    <row r="150" ht="15.75" customHeight="1">
      <c r="A150" s="198"/>
      <c r="B150" s="198"/>
      <c r="C150" s="198"/>
      <c r="D150" s="198"/>
      <c r="E150" s="198"/>
      <c r="F150" s="198"/>
      <c r="G150" s="198"/>
      <c r="H150" s="198"/>
      <c r="I150" s="198"/>
      <c r="J150" s="198"/>
      <c r="K150" s="198"/>
      <c r="L150" s="198"/>
      <c r="M150" s="198"/>
      <c r="N150" s="198"/>
      <c r="O150" s="198"/>
    </row>
    <row r="151" ht="15.75" customHeight="1">
      <c r="A151" s="198"/>
      <c r="B151" s="198"/>
      <c r="C151" s="198"/>
      <c r="D151" s="198"/>
      <c r="E151" s="198"/>
      <c r="F151" s="198"/>
      <c r="G151" s="198"/>
      <c r="H151" s="198"/>
      <c r="I151" s="198"/>
      <c r="J151" s="198"/>
      <c r="K151" s="198"/>
      <c r="L151" s="198"/>
      <c r="M151" s="198"/>
      <c r="N151" s="198"/>
      <c r="O151" s="198"/>
    </row>
    <row r="152" ht="15.75" customHeight="1">
      <c r="A152" s="198"/>
      <c r="B152" s="198"/>
      <c r="C152" s="198"/>
      <c r="D152" s="198"/>
      <c r="E152" s="198"/>
      <c r="F152" s="198"/>
      <c r="G152" s="198"/>
      <c r="H152" s="198"/>
      <c r="I152" s="198"/>
      <c r="J152" s="198"/>
      <c r="K152" s="198"/>
      <c r="L152" s="198"/>
      <c r="M152" s="198"/>
      <c r="N152" s="198"/>
      <c r="O152" s="198"/>
    </row>
    <row r="153" ht="15.75" customHeight="1">
      <c r="A153" s="198"/>
      <c r="B153" s="198"/>
      <c r="C153" s="198"/>
      <c r="D153" s="198"/>
      <c r="E153" s="198"/>
      <c r="F153" s="198"/>
      <c r="G153" s="198"/>
      <c r="H153" s="198"/>
      <c r="I153" s="198"/>
      <c r="J153" s="198"/>
      <c r="K153" s="198"/>
      <c r="L153" s="198"/>
      <c r="M153" s="198"/>
      <c r="N153" s="198"/>
      <c r="O153" s="198"/>
    </row>
    <row r="154" ht="15.75" customHeight="1">
      <c r="A154" s="198"/>
      <c r="B154" s="198"/>
      <c r="C154" s="198"/>
      <c r="D154" s="198"/>
      <c r="E154" s="198"/>
      <c r="F154" s="198"/>
      <c r="G154" s="198"/>
      <c r="H154" s="198"/>
      <c r="I154" s="198"/>
      <c r="J154" s="198"/>
      <c r="K154" s="198"/>
      <c r="L154" s="198"/>
      <c r="M154" s="198"/>
      <c r="N154" s="198"/>
      <c r="O154" s="198"/>
    </row>
    <row r="155" ht="15.75" customHeight="1">
      <c r="A155" s="198"/>
      <c r="B155" s="198"/>
      <c r="C155" s="198"/>
      <c r="D155" s="198"/>
      <c r="E155" s="198"/>
      <c r="F155" s="198"/>
      <c r="G155" s="198"/>
      <c r="H155" s="198"/>
      <c r="I155" s="198"/>
      <c r="J155" s="198"/>
      <c r="K155" s="198"/>
      <c r="L155" s="198"/>
      <c r="M155" s="198"/>
      <c r="N155" s="198"/>
      <c r="O155" s="198"/>
    </row>
    <row r="156" ht="15.75" customHeight="1">
      <c r="A156" s="198"/>
      <c r="B156" s="198"/>
      <c r="C156" s="198"/>
      <c r="D156" s="198"/>
      <c r="E156" s="198"/>
      <c r="F156" s="198"/>
      <c r="G156" s="198"/>
      <c r="H156" s="198"/>
      <c r="I156" s="198"/>
      <c r="J156" s="198"/>
      <c r="K156" s="198"/>
      <c r="L156" s="198"/>
      <c r="M156" s="198"/>
      <c r="N156" s="198"/>
      <c r="O156" s="198"/>
    </row>
    <row r="157" ht="15.75" customHeight="1">
      <c r="A157" s="198"/>
      <c r="B157" s="198"/>
      <c r="C157" s="198"/>
      <c r="D157" s="198"/>
      <c r="E157" s="198"/>
      <c r="F157" s="198"/>
      <c r="G157" s="198"/>
      <c r="H157" s="198"/>
      <c r="I157" s="198"/>
      <c r="J157" s="198"/>
      <c r="K157" s="198"/>
      <c r="L157" s="198"/>
      <c r="M157" s="198"/>
      <c r="N157" s="198"/>
      <c r="O157" s="198"/>
    </row>
    <row r="158" ht="15.75" customHeight="1">
      <c r="A158" s="198"/>
      <c r="B158" s="198"/>
      <c r="C158" s="198"/>
      <c r="D158" s="198"/>
      <c r="E158" s="198"/>
      <c r="F158" s="198"/>
      <c r="G158" s="198"/>
      <c r="H158" s="198"/>
      <c r="I158" s="198"/>
      <c r="J158" s="198"/>
      <c r="K158" s="198"/>
      <c r="L158" s="198"/>
      <c r="M158" s="198"/>
      <c r="N158" s="198"/>
      <c r="O158" s="198"/>
    </row>
    <row r="159" ht="15.75" customHeight="1">
      <c r="A159" s="198"/>
      <c r="B159" s="198"/>
      <c r="C159" s="198"/>
      <c r="D159" s="198"/>
      <c r="E159" s="198"/>
      <c r="F159" s="198"/>
      <c r="G159" s="198"/>
      <c r="H159" s="198"/>
      <c r="I159" s="198"/>
      <c r="J159" s="198"/>
      <c r="K159" s="198"/>
      <c r="L159" s="198"/>
      <c r="M159" s="198"/>
      <c r="N159" s="198"/>
      <c r="O159" s="198"/>
    </row>
    <row r="160" ht="15.75" customHeight="1">
      <c r="A160" s="198"/>
      <c r="B160" s="198"/>
      <c r="C160" s="198"/>
      <c r="D160" s="198"/>
      <c r="E160" s="198"/>
      <c r="F160" s="198"/>
      <c r="G160" s="198"/>
      <c r="H160" s="198"/>
      <c r="I160" s="198"/>
      <c r="J160" s="198"/>
      <c r="K160" s="198"/>
      <c r="L160" s="198"/>
      <c r="M160" s="198"/>
      <c r="N160" s="198"/>
      <c r="O160" s="198"/>
    </row>
    <row r="161" ht="15.75" customHeight="1">
      <c r="A161" s="198"/>
      <c r="B161" s="198"/>
      <c r="C161" s="198"/>
      <c r="D161" s="198"/>
      <c r="E161" s="198"/>
      <c r="F161" s="198"/>
      <c r="G161" s="198"/>
      <c r="H161" s="198"/>
      <c r="I161" s="198"/>
      <c r="J161" s="198"/>
      <c r="K161" s="198"/>
      <c r="L161" s="198"/>
      <c r="M161" s="198"/>
      <c r="N161" s="198"/>
      <c r="O161" s="198"/>
    </row>
    <row r="162" ht="15.75" customHeight="1">
      <c r="A162" s="198"/>
      <c r="B162" s="198"/>
      <c r="C162" s="198"/>
      <c r="D162" s="198"/>
      <c r="E162" s="198"/>
      <c r="F162" s="198"/>
      <c r="G162" s="198"/>
      <c r="H162" s="198"/>
      <c r="I162" s="198"/>
      <c r="J162" s="198"/>
      <c r="K162" s="198"/>
      <c r="L162" s="198"/>
      <c r="M162" s="198"/>
      <c r="N162" s="198"/>
      <c r="O162" s="198"/>
    </row>
    <row r="163" ht="15.75" customHeight="1">
      <c r="A163" s="198"/>
      <c r="B163" s="198"/>
      <c r="C163" s="198"/>
      <c r="D163" s="198"/>
      <c r="E163" s="198"/>
      <c r="F163" s="198"/>
      <c r="G163" s="198"/>
      <c r="H163" s="198"/>
      <c r="I163" s="198"/>
      <c r="J163" s="198"/>
      <c r="K163" s="198"/>
      <c r="L163" s="198"/>
      <c r="M163" s="198"/>
      <c r="N163" s="198"/>
      <c r="O163" s="198"/>
    </row>
    <row r="164" ht="15.75" customHeight="1">
      <c r="A164" s="198"/>
      <c r="B164" s="198"/>
      <c r="C164" s="198"/>
      <c r="D164" s="198"/>
      <c r="E164" s="198"/>
      <c r="F164" s="198"/>
      <c r="G164" s="198"/>
      <c r="H164" s="198"/>
      <c r="I164" s="198"/>
      <c r="J164" s="198"/>
      <c r="K164" s="198"/>
      <c r="L164" s="198"/>
      <c r="M164" s="198"/>
      <c r="N164" s="198"/>
      <c r="O164" s="198"/>
    </row>
    <row r="165" ht="15.75" customHeight="1">
      <c r="A165" s="198"/>
      <c r="B165" s="198"/>
      <c r="C165" s="198"/>
      <c r="D165" s="198"/>
      <c r="E165" s="198"/>
      <c r="F165" s="198"/>
      <c r="G165" s="198"/>
      <c r="H165" s="198"/>
      <c r="I165" s="198"/>
      <c r="J165" s="198"/>
      <c r="K165" s="198"/>
      <c r="L165" s="198"/>
      <c r="M165" s="198"/>
      <c r="N165" s="198"/>
      <c r="O165" s="198"/>
    </row>
    <row r="166" ht="15.75" customHeight="1">
      <c r="A166" s="198"/>
      <c r="B166" s="198"/>
      <c r="C166" s="198"/>
      <c r="D166" s="198"/>
      <c r="E166" s="198"/>
      <c r="F166" s="198"/>
      <c r="G166" s="198"/>
      <c r="H166" s="198"/>
      <c r="I166" s="198"/>
      <c r="J166" s="198"/>
      <c r="K166" s="198"/>
      <c r="L166" s="198"/>
      <c r="M166" s="198"/>
      <c r="N166" s="198"/>
      <c r="O166" s="198"/>
    </row>
    <row r="167" ht="15.75" customHeight="1">
      <c r="A167" s="198"/>
      <c r="B167" s="198"/>
      <c r="C167" s="198"/>
      <c r="D167" s="198"/>
      <c r="E167" s="198"/>
      <c r="F167" s="198"/>
      <c r="G167" s="198"/>
      <c r="H167" s="198"/>
      <c r="I167" s="198"/>
      <c r="J167" s="198"/>
      <c r="K167" s="198"/>
      <c r="L167" s="198"/>
      <c r="M167" s="198"/>
      <c r="N167" s="198"/>
      <c r="O167" s="198"/>
    </row>
    <row r="168" ht="15.75" customHeight="1">
      <c r="A168" s="198"/>
      <c r="B168" s="198"/>
      <c r="C168" s="198"/>
      <c r="D168" s="198"/>
      <c r="E168" s="198"/>
      <c r="F168" s="198"/>
      <c r="G168" s="198"/>
      <c r="H168" s="198"/>
      <c r="I168" s="198"/>
      <c r="J168" s="198"/>
      <c r="K168" s="198"/>
      <c r="L168" s="198"/>
      <c r="M168" s="198"/>
      <c r="N168" s="198"/>
      <c r="O168" s="198"/>
    </row>
    <row r="169" ht="15.75" customHeight="1">
      <c r="A169" s="198"/>
      <c r="B169" s="198"/>
      <c r="C169" s="198"/>
      <c r="D169" s="198"/>
      <c r="E169" s="198"/>
      <c r="F169" s="198"/>
      <c r="G169" s="198"/>
      <c r="H169" s="198"/>
      <c r="I169" s="198"/>
      <c r="J169" s="198"/>
      <c r="K169" s="198"/>
      <c r="L169" s="198"/>
      <c r="M169" s="198"/>
      <c r="N169" s="198"/>
      <c r="O169" s="198"/>
    </row>
    <row r="170" ht="15.75" customHeight="1">
      <c r="A170" s="198"/>
      <c r="B170" s="198"/>
      <c r="C170" s="198"/>
      <c r="D170" s="198"/>
      <c r="E170" s="198"/>
      <c r="F170" s="198"/>
      <c r="G170" s="198"/>
      <c r="H170" s="198"/>
      <c r="I170" s="198"/>
      <c r="J170" s="198"/>
      <c r="K170" s="198"/>
      <c r="L170" s="198"/>
      <c r="M170" s="198"/>
      <c r="N170" s="198"/>
      <c r="O170" s="198"/>
    </row>
    <row r="171" ht="15.75" customHeight="1">
      <c r="A171" s="198"/>
      <c r="B171" s="198"/>
      <c r="C171" s="198"/>
      <c r="D171" s="198"/>
      <c r="E171" s="198"/>
      <c r="F171" s="198"/>
      <c r="G171" s="198"/>
      <c r="H171" s="198"/>
      <c r="I171" s="198"/>
      <c r="J171" s="198"/>
      <c r="K171" s="198"/>
      <c r="L171" s="198"/>
      <c r="M171" s="198"/>
      <c r="N171" s="198"/>
      <c r="O171" s="198"/>
    </row>
    <row r="172" ht="15.75" customHeight="1">
      <c r="A172" s="198"/>
      <c r="B172" s="198"/>
      <c r="C172" s="198"/>
      <c r="D172" s="198"/>
      <c r="E172" s="198"/>
      <c r="F172" s="198"/>
      <c r="G172" s="198"/>
      <c r="H172" s="198"/>
      <c r="I172" s="198"/>
      <c r="J172" s="198"/>
      <c r="K172" s="198"/>
      <c r="L172" s="198"/>
      <c r="M172" s="198"/>
      <c r="N172" s="198"/>
      <c r="O172" s="198"/>
    </row>
    <row r="173" ht="15.75" customHeight="1">
      <c r="A173" s="198"/>
      <c r="B173" s="198"/>
      <c r="C173" s="198"/>
      <c r="D173" s="198"/>
      <c r="E173" s="198"/>
      <c r="F173" s="198"/>
      <c r="G173" s="198"/>
      <c r="H173" s="198"/>
      <c r="I173" s="198"/>
      <c r="J173" s="198"/>
      <c r="K173" s="198"/>
      <c r="L173" s="198"/>
      <c r="M173" s="198"/>
      <c r="N173" s="198"/>
      <c r="O173" s="198"/>
    </row>
    <row r="174" ht="15.75" customHeight="1">
      <c r="A174" s="198"/>
      <c r="B174" s="198"/>
      <c r="C174" s="198"/>
      <c r="D174" s="198"/>
      <c r="E174" s="198"/>
      <c r="F174" s="198"/>
      <c r="G174" s="198"/>
      <c r="H174" s="198"/>
      <c r="I174" s="198"/>
      <c r="J174" s="198"/>
      <c r="K174" s="198"/>
      <c r="L174" s="198"/>
      <c r="M174" s="198"/>
      <c r="N174" s="198"/>
      <c r="O174" s="198"/>
    </row>
    <row r="175" ht="15.75" customHeight="1">
      <c r="A175" s="198"/>
      <c r="B175" s="198"/>
      <c r="C175" s="198"/>
      <c r="D175" s="198"/>
      <c r="E175" s="198"/>
      <c r="F175" s="198"/>
      <c r="G175" s="198"/>
      <c r="H175" s="198"/>
      <c r="I175" s="198"/>
      <c r="J175" s="198"/>
      <c r="K175" s="198"/>
      <c r="L175" s="198"/>
      <c r="M175" s="198"/>
      <c r="N175" s="198"/>
      <c r="O175" s="198"/>
    </row>
    <row r="176" ht="15.75" customHeight="1">
      <c r="A176" s="198"/>
      <c r="B176" s="198"/>
      <c r="C176" s="198"/>
      <c r="D176" s="198"/>
      <c r="E176" s="198"/>
      <c r="F176" s="198"/>
      <c r="G176" s="198"/>
      <c r="H176" s="198"/>
      <c r="I176" s="198"/>
      <c r="J176" s="198"/>
      <c r="K176" s="198"/>
      <c r="L176" s="198"/>
      <c r="M176" s="198"/>
      <c r="N176" s="198"/>
      <c r="O176" s="198"/>
    </row>
    <row r="177" ht="15.75" customHeight="1">
      <c r="A177" s="198"/>
      <c r="B177" s="198"/>
      <c r="C177" s="198"/>
      <c r="D177" s="198"/>
      <c r="E177" s="198"/>
      <c r="F177" s="198"/>
      <c r="G177" s="198"/>
      <c r="H177" s="198"/>
      <c r="I177" s="198"/>
      <c r="J177" s="198"/>
      <c r="K177" s="198"/>
      <c r="L177" s="198"/>
      <c r="M177" s="198"/>
      <c r="N177" s="198"/>
      <c r="O177" s="198"/>
    </row>
    <row r="178" ht="15.75" customHeight="1">
      <c r="A178" s="198"/>
      <c r="B178" s="198"/>
      <c r="C178" s="198"/>
      <c r="D178" s="198"/>
      <c r="E178" s="198"/>
      <c r="F178" s="198"/>
      <c r="G178" s="198"/>
      <c r="H178" s="198"/>
      <c r="I178" s="198"/>
      <c r="J178" s="198"/>
      <c r="K178" s="198"/>
      <c r="L178" s="198"/>
      <c r="M178" s="198"/>
      <c r="N178" s="198"/>
      <c r="O178" s="198"/>
    </row>
    <row r="179" ht="15.75" customHeight="1">
      <c r="A179" s="198"/>
      <c r="B179" s="198"/>
      <c r="C179" s="198"/>
      <c r="D179" s="198"/>
      <c r="E179" s="198"/>
      <c r="F179" s="198"/>
      <c r="G179" s="198"/>
      <c r="H179" s="198"/>
      <c r="I179" s="198"/>
      <c r="J179" s="198"/>
      <c r="K179" s="198"/>
      <c r="L179" s="198"/>
      <c r="M179" s="198"/>
      <c r="N179" s="198"/>
      <c r="O179" s="198"/>
    </row>
    <row r="180" ht="15.75" customHeight="1">
      <c r="A180" s="198"/>
      <c r="B180" s="198"/>
      <c r="C180" s="198"/>
      <c r="D180" s="198"/>
      <c r="E180" s="198"/>
      <c r="F180" s="198"/>
      <c r="G180" s="198"/>
      <c r="H180" s="198"/>
      <c r="I180" s="198"/>
      <c r="J180" s="198"/>
      <c r="K180" s="198"/>
      <c r="L180" s="198"/>
      <c r="M180" s="198"/>
      <c r="N180" s="198"/>
      <c r="O180" s="198"/>
    </row>
    <row r="181" ht="15.75" customHeight="1">
      <c r="A181" s="198"/>
      <c r="B181" s="198"/>
      <c r="C181" s="198"/>
      <c r="D181" s="198"/>
      <c r="E181" s="198"/>
      <c r="F181" s="198"/>
      <c r="G181" s="198"/>
      <c r="H181" s="198"/>
      <c r="I181" s="198"/>
      <c r="J181" s="198"/>
      <c r="K181" s="198"/>
      <c r="L181" s="198"/>
      <c r="M181" s="198"/>
      <c r="N181" s="198"/>
      <c r="O181" s="198"/>
    </row>
    <row r="182" ht="15.75" customHeight="1">
      <c r="A182" s="198"/>
      <c r="B182" s="198"/>
      <c r="C182" s="198"/>
      <c r="D182" s="198"/>
      <c r="E182" s="198"/>
      <c r="F182" s="198"/>
      <c r="G182" s="198"/>
      <c r="H182" s="198"/>
      <c r="I182" s="198"/>
      <c r="J182" s="198"/>
      <c r="K182" s="198"/>
      <c r="L182" s="198"/>
      <c r="M182" s="198"/>
      <c r="N182" s="198"/>
      <c r="O182" s="198"/>
    </row>
    <row r="183" ht="15.75" customHeight="1">
      <c r="A183" s="198"/>
      <c r="B183" s="198"/>
      <c r="C183" s="198"/>
      <c r="D183" s="198"/>
      <c r="E183" s="198"/>
      <c r="F183" s="198"/>
      <c r="G183" s="198"/>
      <c r="H183" s="198"/>
      <c r="I183" s="198"/>
      <c r="J183" s="198"/>
      <c r="K183" s="198"/>
      <c r="L183" s="198"/>
      <c r="M183" s="198"/>
      <c r="N183" s="198"/>
      <c r="O183" s="198"/>
    </row>
    <row r="184" ht="15.75" customHeight="1">
      <c r="A184" s="198"/>
      <c r="B184" s="198"/>
      <c r="C184" s="198"/>
      <c r="D184" s="198"/>
      <c r="E184" s="198"/>
      <c r="F184" s="198"/>
      <c r="G184" s="198"/>
      <c r="H184" s="198"/>
      <c r="I184" s="198"/>
      <c r="J184" s="198"/>
      <c r="K184" s="198"/>
      <c r="L184" s="198"/>
      <c r="M184" s="198"/>
      <c r="N184" s="198"/>
      <c r="O184" s="198"/>
    </row>
    <row r="185" ht="15.75" customHeight="1">
      <c r="A185" s="198"/>
      <c r="B185" s="198"/>
      <c r="C185" s="198"/>
      <c r="D185" s="198"/>
      <c r="E185" s="198"/>
      <c r="F185" s="198"/>
      <c r="G185" s="198"/>
      <c r="H185" s="198"/>
      <c r="I185" s="198"/>
      <c r="J185" s="198"/>
      <c r="K185" s="198"/>
      <c r="L185" s="198"/>
      <c r="M185" s="198"/>
      <c r="N185" s="198"/>
      <c r="O185" s="198"/>
    </row>
    <row r="186" ht="15.75" customHeight="1">
      <c r="A186" s="198"/>
      <c r="B186" s="198"/>
      <c r="C186" s="198"/>
      <c r="D186" s="198"/>
      <c r="E186" s="198"/>
      <c r="F186" s="198"/>
      <c r="G186" s="198"/>
      <c r="H186" s="198"/>
      <c r="I186" s="198"/>
      <c r="J186" s="198"/>
      <c r="K186" s="198"/>
      <c r="L186" s="198"/>
      <c r="M186" s="198"/>
      <c r="N186" s="198"/>
      <c r="O186" s="198"/>
    </row>
    <row r="187" ht="15.75" customHeight="1">
      <c r="A187" s="198"/>
      <c r="B187" s="198"/>
      <c r="C187" s="198"/>
      <c r="D187" s="198"/>
      <c r="E187" s="198"/>
      <c r="F187" s="198"/>
      <c r="G187" s="198"/>
      <c r="H187" s="198"/>
      <c r="I187" s="198"/>
      <c r="J187" s="198"/>
      <c r="K187" s="198"/>
      <c r="L187" s="198"/>
      <c r="M187" s="198"/>
      <c r="N187" s="198"/>
      <c r="O187" s="198"/>
    </row>
    <row r="188" ht="15.75" customHeight="1">
      <c r="A188" s="198"/>
      <c r="B188" s="198"/>
      <c r="C188" s="198"/>
      <c r="D188" s="198"/>
      <c r="E188" s="198"/>
      <c r="F188" s="198"/>
      <c r="G188" s="198"/>
      <c r="H188" s="198"/>
      <c r="I188" s="198"/>
      <c r="J188" s="198"/>
      <c r="K188" s="198"/>
      <c r="L188" s="198"/>
      <c r="M188" s="198"/>
      <c r="N188" s="198"/>
      <c r="O188" s="198"/>
    </row>
    <row r="189" ht="15.75" customHeight="1">
      <c r="A189" s="198"/>
      <c r="B189" s="198"/>
      <c r="C189" s="198"/>
      <c r="D189" s="198"/>
      <c r="E189" s="198"/>
      <c r="F189" s="198"/>
      <c r="G189" s="198"/>
      <c r="H189" s="198"/>
      <c r="I189" s="198"/>
      <c r="J189" s="198"/>
      <c r="K189" s="198"/>
      <c r="L189" s="198"/>
      <c r="M189" s="198"/>
      <c r="N189" s="198"/>
      <c r="O189" s="198"/>
    </row>
    <row r="190" ht="15.75" customHeight="1">
      <c r="A190" s="198"/>
      <c r="B190" s="198"/>
      <c r="C190" s="198"/>
      <c r="D190" s="198"/>
      <c r="E190" s="198"/>
      <c r="F190" s="198"/>
      <c r="G190" s="198"/>
      <c r="H190" s="198"/>
      <c r="I190" s="198"/>
      <c r="J190" s="198"/>
      <c r="K190" s="198"/>
      <c r="L190" s="198"/>
      <c r="M190" s="198"/>
      <c r="N190" s="198"/>
      <c r="O190" s="198"/>
    </row>
    <row r="191" ht="15.75" customHeight="1">
      <c r="A191" s="198"/>
      <c r="B191" s="198"/>
      <c r="C191" s="198"/>
      <c r="D191" s="198"/>
      <c r="E191" s="198"/>
      <c r="F191" s="198"/>
      <c r="G191" s="198"/>
      <c r="H191" s="198"/>
      <c r="I191" s="198"/>
      <c r="J191" s="198"/>
      <c r="K191" s="198"/>
      <c r="L191" s="198"/>
      <c r="M191" s="198"/>
      <c r="N191" s="198"/>
      <c r="O191" s="198"/>
    </row>
    <row r="192" ht="15.75" customHeight="1">
      <c r="A192" s="198"/>
      <c r="B192" s="198"/>
      <c r="C192" s="198"/>
      <c r="D192" s="198"/>
      <c r="E192" s="198"/>
      <c r="F192" s="198"/>
      <c r="G192" s="198"/>
      <c r="H192" s="198"/>
      <c r="I192" s="198"/>
      <c r="J192" s="198"/>
      <c r="K192" s="198"/>
      <c r="L192" s="198"/>
      <c r="M192" s="198"/>
      <c r="N192" s="198"/>
      <c r="O192" s="198"/>
    </row>
    <row r="193" ht="15.75" customHeight="1">
      <c r="A193" s="198"/>
      <c r="B193" s="198"/>
      <c r="C193" s="198"/>
      <c r="D193" s="198"/>
      <c r="E193" s="198"/>
      <c r="F193" s="198"/>
      <c r="G193" s="198"/>
      <c r="H193" s="198"/>
      <c r="I193" s="198"/>
      <c r="J193" s="198"/>
      <c r="K193" s="198"/>
      <c r="L193" s="198"/>
      <c r="M193" s="198"/>
      <c r="N193" s="198"/>
      <c r="O193" s="198"/>
    </row>
    <row r="194" ht="15.75" customHeight="1">
      <c r="A194" s="198"/>
      <c r="B194" s="198"/>
      <c r="C194" s="198"/>
      <c r="D194" s="198"/>
      <c r="E194" s="198"/>
      <c r="F194" s="198"/>
      <c r="G194" s="198"/>
      <c r="H194" s="198"/>
      <c r="I194" s="198"/>
      <c r="J194" s="198"/>
      <c r="K194" s="198"/>
      <c r="L194" s="198"/>
      <c r="M194" s="198"/>
      <c r="N194" s="198"/>
      <c r="O194" s="198"/>
    </row>
    <row r="195" ht="15.75" customHeight="1">
      <c r="A195" s="198"/>
      <c r="B195" s="198"/>
      <c r="C195" s="198"/>
      <c r="D195" s="198"/>
      <c r="E195" s="198"/>
      <c r="F195" s="198"/>
      <c r="G195" s="198"/>
      <c r="H195" s="198"/>
      <c r="I195" s="198"/>
      <c r="J195" s="198"/>
      <c r="K195" s="198"/>
      <c r="L195" s="198"/>
      <c r="M195" s="198"/>
      <c r="N195" s="198"/>
      <c r="O195" s="198"/>
    </row>
    <row r="196" ht="15.75" customHeight="1">
      <c r="A196" s="198"/>
      <c r="B196" s="198"/>
      <c r="C196" s="198"/>
      <c r="D196" s="198"/>
      <c r="E196" s="198"/>
      <c r="F196" s="198"/>
      <c r="G196" s="198"/>
      <c r="H196" s="198"/>
      <c r="I196" s="198"/>
      <c r="J196" s="198"/>
      <c r="K196" s="198"/>
      <c r="L196" s="198"/>
      <c r="M196" s="198"/>
      <c r="N196" s="198"/>
      <c r="O196" s="198"/>
    </row>
    <row r="197" ht="15.75" customHeight="1">
      <c r="A197" s="198"/>
      <c r="B197" s="198"/>
      <c r="C197" s="198"/>
      <c r="D197" s="198"/>
      <c r="E197" s="198"/>
      <c r="F197" s="198"/>
      <c r="G197" s="198"/>
      <c r="H197" s="198"/>
      <c r="I197" s="198"/>
      <c r="J197" s="198"/>
      <c r="K197" s="198"/>
      <c r="L197" s="198"/>
      <c r="M197" s="198"/>
      <c r="N197" s="198"/>
      <c r="O197" s="198"/>
    </row>
    <row r="198" ht="15.75" customHeight="1">
      <c r="A198" s="198"/>
      <c r="B198" s="198"/>
      <c r="C198" s="198"/>
      <c r="D198" s="198"/>
      <c r="E198" s="198"/>
      <c r="F198" s="198"/>
      <c r="G198" s="198"/>
      <c r="H198" s="198"/>
      <c r="I198" s="198"/>
      <c r="J198" s="198"/>
      <c r="K198" s="198"/>
      <c r="L198" s="198"/>
      <c r="M198" s="198"/>
      <c r="N198" s="198"/>
      <c r="O198" s="198"/>
    </row>
    <row r="199" ht="15.75" customHeight="1">
      <c r="A199" s="198"/>
      <c r="B199" s="198"/>
      <c r="C199" s="198"/>
      <c r="D199" s="198"/>
      <c r="E199" s="198"/>
      <c r="F199" s="198"/>
      <c r="G199" s="198"/>
      <c r="H199" s="198"/>
      <c r="I199" s="198"/>
      <c r="J199" s="198"/>
      <c r="K199" s="198"/>
      <c r="L199" s="198"/>
      <c r="M199" s="198"/>
      <c r="N199" s="198"/>
      <c r="O199" s="198"/>
    </row>
    <row r="200" ht="15.75" customHeight="1">
      <c r="A200" s="198"/>
      <c r="B200" s="198"/>
      <c r="C200" s="198"/>
      <c r="D200" s="198"/>
      <c r="E200" s="198"/>
      <c r="F200" s="198"/>
      <c r="G200" s="198"/>
      <c r="H200" s="198"/>
      <c r="I200" s="198"/>
      <c r="J200" s="198"/>
      <c r="K200" s="198"/>
      <c r="L200" s="198"/>
      <c r="M200" s="198"/>
      <c r="N200" s="198"/>
      <c r="O200" s="198"/>
    </row>
    <row r="201" ht="15.75" customHeight="1">
      <c r="A201" s="198"/>
      <c r="B201" s="198"/>
      <c r="C201" s="198"/>
      <c r="D201" s="198"/>
      <c r="E201" s="198"/>
      <c r="F201" s="198"/>
      <c r="G201" s="198"/>
      <c r="H201" s="198"/>
      <c r="I201" s="198"/>
      <c r="J201" s="198"/>
      <c r="K201" s="198"/>
      <c r="L201" s="198"/>
      <c r="M201" s="198"/>
      <c r="N201" s="198"/>
      <c r="O201" s="198"/>
    </row>
    <row r="202" ht="15.75" customHeight="1">
      <c r="A202" s="198"/>
      <c r="B202" s="198"/>
      <c r="C202" s="198"/>
      <c r="D202" s="198"/>
      <c r="E202" s="198"/>
      <c r="F202" s="198"/>
      <c r="G202" s="198"/>
      <c r="H202" s="198"/>
      <c r="I202" s="198"/>
      <c r="J202" s="198"/>
      <c r="K202" s="198"/>
      <c r="L202" s="198"/>
      <c r="M202" s="198"/>
      <c r="N202" s="198"/>
      <c r="O202" s="198"/>
    </row>
    <row r="203" ht="15.75" customHeight="1">
      <c r="A203" s="198"/>
      <c r="B203" s="198"/>
      <c r="C203" s="198"/>
      <c r="D203" s="198"/>
      <c r="E203" s="198"/>
      <c r="F203" s="198"/>
      <c r="G203" s="198"/>
      <c r="H203" s="198"/>
      <c r="I203" s="198"/>
      <c r="J203" s="198"/>
      <c r="K203" s="198"/>
      <c r="L203" s="198"/>
      <c r="M203" s="198"/>
      <c r="N203" s="198"/>
      <c r="O203" s="198"/>
    </row>
    <row r="204" ht="15.75" customHeight="1">
      <c r="A204" s="198"/>
      <c r="B204" s="198"/>
      <c r="C204" s="198"/>
      <c r="D204" s="198"/>
      <c r="E204" s="198"/>
      <c r="F204" s="198"/>
      <c r="G204" s="198"/>
      <c r="H204" s="198"/>
      <c r="I204" s="198"/>
      <c r="J204" s="198"/>
      <c r="K204" s="198"/>
      <c r="L204" s="198"/>
      <c r="M204" s="198"/>
      <c r="N204" s="198"/>
      <c r="O204" s="198"/>
    </row>
    <row r="205" ht="15.75" customHeight="1">
      <c r="A205" s="198"/>
      <c r="B205" s="198"/>
      <c r="C205" s="198"/>
      <c r="D205" s="198"/>
      <c r="E205" s="198"/>
      <c r="F205" s="198"/>
      <c r="G205" s="198"/>
      <c r="H205" s="198"/>
      <c r="I205" s="198"/>
      <c r="J205" s="198"/>
      <c r="K205" s="198"/>
      <c r="L205" s="198"/>
      <c r="M205" s="198"/>
      <c r="N205" s="198"/>
      <c r="O205" s="198"/>
    </row>
    <row r="206" ht="15.75" customHeight="1">
      <c r="A206" s="198"/>
      <c r="B206" s="198"/>
      <c r="C206" s="198"/>
      <c r="D206" s="198"/>
      <c r="E206" s="198"/>
      <c r="F206" s="198"/>
      <c r="G206" s="198"/>
      <c r="H206" s="198"/>
      <c r="I206" s="198"/>
      <c r="J206" s="198"/>
      <c r="K206" s="198"/>
      <c r="L206" s="198"/>
      <c r="M206" s="198"/>
      <c r="N206" s="198"/>
      <c r="O206" s="198"/>
    </row>
    <row r="207" ht="15.75" customHeight="1">
      <c r="A207" s="198"/>
      <c r="B207" s="198"/>
      <c r="C207" s="198"/>
      <c r="D207" s="198"/>
      <c r="E207" s="198"/>
      <c r="F207" s="198"/>
      <c r="G207" s="198"/>
      <c r="H207" s="198"/>
      <c r="I207" s="198"/>
      <c r="J207" s="198"/>
      <c r="K207" s="198"/>
      <c r="L207" s="198"/>
      <c r="M207" s="198"/>
      <c r="N207" s="198"/>
      <c r="O207" s="198"/>
    </row>
    <row r="208" ht="15.75" customHeight="1">
      <c r="A208" s="198"/>
      <c r="B208" s="198"/>
      <c r="C208" s="198"/>
      <c r="D208" s="198"/>
      <c r="E208" s="198"/>
      <c r="F208" s="198"/>
      <c r="G208" s="198"/>
      <c r="H208" s="198"/>
      <c r="I208" s="198"/>
      <c r="J208" s="198"/>
      <c r="K208" s="198"/>
      <c r="L208" s="198"/>
      <c r="M208" s="198"/>
      <c r="N208" s="198"/>
      <c r="O208" s="198"/>
    </row>
    <row r="209" ht="15.75" customHeight="1">
      <c r="A209" s="198"/>
      <c r="B209" s="198"/>
      <c r="C209" s="198"/>
      <c r="D209" s="198"/>
      <c r="E209" s="198"/>
      <c r="F209" s="198"/>
      <c r="G209" s="198"/>
      <c r="H209" s="198"/>
      <c r="I209" s="198"/>
      <c r="J209" s="198"/>
      <c r="K209" s="198"/>
      <c r="L209" s="198"/>
      <c r="M209" s="198"/>
      <c r="N209" s="198"/>
      <c r="O209" s="198"/>
    </row>
    <row r="210" ht="15.75" customHeight="1">
      <c r="A210" s="198"/>
      <c r="B210" s="198"/>
      <c r="C210" s="198"/>
      <c r="D210" s="198"/>
      <c r="E210" s="198"/>
      <c r="F210" s="198"/>
      <c r="G210" s="198"/>
      <c r="H210" s="198"/>
      <c r="I210" s="198"/>
      <c r="J210" s="198"/>
      <c r="K210" s="198"/>
      <c r="L210" s="198"/>
      <c r="M210" s="198"/>
      <c r="N210" s="198"/>
      <c r="O210" s="198"/>
    </row>
    <row r="211" ht="15.75" customHeight="1">
      <c r="A211" s="198"/>
      <c r="B211" s="198"/>
      <c r="C211" s="198"/>
      <c r="D211" s="198"/>
      <c r="E211" s="198"/>
      <c r="F211" s="198"/>
      <c r="G211" s="198"/>
      <c r="H211" s="198"/>
      <c r="I211" s="198"/>
      <c r="J211" s="198"/>
      <c r="K211" s="198"/>
      <c r="L211" s="198"/>
      <c r="M211" s="198"/>
      <c r="N211" s="198"/>
      <c r="O211" s="198"/>
    </row>
    <row r="212" ht="15.75" customHeight="1">
      <c r="A212" s="198"/>
      <c r="B212" s="198"/>
      <c r="C212" s="198"/>
      <c r="D212" s="198"/>
      <c r="E212" s="198"/>
      <c r="F212" s="198"/>
      <c r="G212" s="198"/>
      <c r="H212" s="198"/>
      <c r="I212" s="198"/>
      <c r="J212" s="198"/>
      <c r="K212" s="198"/>
      <c r="L212" s="198"/>
      <c r="M212" s="198"/>
      <c r="N212" s="198"/>
      <c r="O212" s="198"/>
    </row>
    <row r="213" ht="15.75" customHeight="1">
      <c r="A213" s="198"/>
      <c r="B213" s="198"/>
      <c r="C213" s="198"/>
      <c r="D213" s="198"/>
      <c r="E213" s="198"/>
      <c r="F213" s="198"/>
      <c r="G213" s="198"/>
      <c r="H213" s="198"/>
      <c r="I213" s="198"/>
      <c r="J213" s="198"/>
      <c r="K213" s="198"/>
      <c r="L213" s="198"/>
      <c r="M213" s="198"/>
      <c r="N213" s="198"/>
      <c r="O213" s="198"/>
    </row>
    <row r="214" ht="15.75" customHeight="1">
      <c r="A214" s="198"/>
      <c r="B214" s="198"/>
      <c r="C214" s="198"/>
      <c r="D214" s="198"/>
      <c r="E214" s="198"/>
      <c r="F214" s="198"/>
      <c r="G214" s="198"/>
      <c r="H214" s="198"/>
      <c r="I214" s="198"/>
      <c r="J214" s="198"/>
      <c r="K214" s="198"/>
      <c r="L214" s="198"/>
      <c r="M214" s="198"/>
      <c r="N214" s="198"/>
      <c r="O214" s="198"/>
    </row>
    <row r="215" ht="15.75" customHeight="1">
      <c r="A215" s="198"/>
      <c r="B215" s="198"/>
      <c r="C215" s="198"/>
      <c r="D215" s="198"/>
      <c r="E215" s="198"/>
      <c r="F215" s="198"/>
      <c r="G215" s="198"/>
      <c r="H215" s="198"/>
      <c r="I215" s="198"/>
      <c r="J215" s="198"/>
      <c r="K215" s="198"/>
      <c r="L215" s="198"/>
      <c r="M215" s="198"/>
      <c r="N215" s="198"/>
      <c r="O215" s="198"/>
    </row>
    <row r="216" ht="15.75" customHeight="1">
      <c r="A216" s="198"/>
      <c r="B216" s="198"/>
      <c r="C216" s="198"/>
      <c r="D216" s="198"/>
      <c r="E216" s="198"/>
      <c r="F216" s="198"/>
      <c r="G216" s="198"/>
      <c r="H216" s="198"/>
      <c r="I216" s="198"/>
      <c r="J216" s="198"/>
      <c r="K216" s="198"/>
      <c r="L216" s="198"/>
      <c r="M216" s="198"/>
      <c r="N216" s="198"/>
      <c r="O216" s="198"/>
    </row>
    <row r="217" ht="15.75" customHeight="1">
      <c r="A217" s="198"/>
      <c r="B217" s="198"/>
      <c r="C217" s="198"/>
      <c r="D217" s="198"/>
      <c r="E217" s="198"/>
      <c r="F217" s="198"/>
      <c r="G217" s="198"/>
      <c r="H217" s="198"/>
      <c r="I217" s="198"/>
      <c r="J217" s="198"/>
      <c r="K217" s="198"/>
      <c r="L217" s="198"/>
      <c r="M217" s="198"/>
      <c r="N217" s="198"/>
      <c r="O217" s="198"/>
    </row>
    <row r="218" ht="15.75" customHeight="1">
      <c r="A218" s="198"/>
      <c r="B218" s="198"/>
      <c r="C218" s="198"/>
      <c r="D218" s="198"/>
      <c r="E218" s="198"/>
      <c r="F218" s="198"/>
      <c r="G218" s="198"/>
      <c r="H218" s="198"/>
      <c r="I218" s="198"/>
      <c r="J218" s="198"/>
      <c r="K218" s="198"/>
      <c r="L218" s="198"/>
      <c r="M218" s="198"/>
      <c r="N218" s="198"/>
      <c r="O218" s="198"/>
    </row>
    <row r="219" ht="15.75" customHeight="1">
      <c r="A219" s="198"/>
      <c r="B219" s="198"/>
      <c r="C219" s="198"/>
      <c r="D219" s="198"/>
      <c r="E219" s="198"/>
      <c r="F219" s="198"/>
      <c r="G219" s="198"/>
      <c r="H219" s="198"/>
      <c r="I219" s="198"/>
      <c r="J219" s="198"/>
      <c r="K219" s="198"/>
      <c r="L219" s="198"/>
      <c r="M219" s="198"/>
      <c r="N219" s="198"/>
      <c r="O219" s="198"/>
    </row>
    <row r="220" ht="15.75" customHeight="1">
      <c r="A220" s="198"/>
      <c r="B220" s="198"/>
      <c r="C220" s="198"/>
      <c r="D220" s="198"/>
      <c r="E220" s="198"/>
      <c r="F220" s="198"/>
      <c r="G220" s="198"/>
      <c r="H220" s="198"/>
      <c r="I220" s="198"/>
      <c r="J220" s="198"/>
      <c r="K220" s="198"/>
      <c r="L220" s="198"/>
      <c r="M220" s="198"/>
      <c r="N220" s="198"/>
      <c r="O220" s="19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33.43"/>
  </cols>
  <sheetData>
    <row r="2">
      <c r="M2" s="56" t="s">
        <v>423</v>
      </c>
    </row>
    <row r="3">
      <c r="B3" s="390" t="s">
        <v>424</v>
      </c>
      <c r="N3" s="391" t="s">
        <v>297</v>
      </c>
      <c r="V3" s="391" t="s">
        <v>425</v>
      </c>
    </row>
    <row r="4">
      <c r="N4" s="391" t="s">
        <v>426</v>
      </c>
      <c r="O4" s="391" t="s">
        <v>109</v>
      </c>
      <c r="P4" s="391" t="s">
        <v>110</v>
      </c>
      <c r="Q4" s="391" t="s">
        <v>427</v>
      </c>
      <c r="R4" s="391" t="s">
        <v>428</v>
      </c>
      <c r="S4" s="391" t="s">
        <v>429</v>
      </c>
      <c r="T4" s="391" t="s">
        <v>29</v>
      </c>
      <c r="U4" s="391" t="s">
        <v>407</v>
      </c>
    </row>
    <row r="5">
      <c r="N5" s="392">
        <v>1.0</v>
      </c>
      <c r="O5" s="392" t="s">
        <v>430</v>
      </c>
      <c r="P5" s="393">
        <v>0.0</v>
      </c>
      <c r="Q5" s="394" t="s">
        <v>431</v>
      </c>
      <c r="R5" s="393" t="str">
        <f t="shared" ref="R5:R34" si="1">P5/Q5</f>
        <v>#DIV/0!</v>
      </c>
      <c r="S5" s="393">
        <f>Q5*E16</f>
        <v>0</v>
      </c>
      <c r="T5" s="393">
        <f t="shared" ref="T5:T34" si="2">S5-P5</f>
        <v>0</v>
      </c>
      <c r="U5" s="130" t="str">
        <f t="shared" ref="U5:U34" si="3">T5/S5</f>
        <v>#DIV/0!</v>
      </c>
      <c r="V5" s="130"/>
    </row>
    <row r="6">
      <c r="B6" s="395" t="s">
        <v>124</v>
      </c>
      <c r="G6" s="396"/>
      <c r="H6" s="397" t="s">
        <v>125</v>
      </c>
      <c r="N6" s="392">
        <v>2.0</v>
      </c>
      <c r="O6" s="392" t="s">
        <v>432</v>
      </c>
      <c r="P6" s="393">
        <v>182.02</v>
      </c>
      <c r="Q6" s="394" t="s">
        <v>431</v>
      </c>
      <c r="R6" s="393" t="str">
        <f t="shared" si="1"/>
        <v>#DIV/0!</v>
      </c>
      <c r="S6" s="393">
        <f>Q6*E16</f>
        <v>0</v>
      </c>
      <c r="T6" s="393">
        <f t="shared" si="2"/>
        <v>-182.02</v>
      </c>
      <c r="U6" s="130" t="str">
        <f t="shared" si="3"/>
        <v>#DIV/0!</v>
      </c>
      <c r="V6" s="130"/>
    </row>
    <row r="7">
      <c r="G7" s="396"/>
      <c r="N7" s="392">
        <v>3.0</v>
      </c>
      <c r="O7" s="392" t="s">
        <v>433</v>
      </c>
      <c r="P7" s="393">
        <v>288.27</v>
      </c>
      <c r="Q7" s="394" t="s">
        <v>431</v>
      </c>
      <c r="R7" s="393" t="str">
        <f t="shared" si="1"/>
        <v>#DIV/0!</v>
      </c>
      <c r="S7" s="393">
        <f>Q7*E16</f>
        <v>0</v>
      </c>
      <c r="T7" s="393">
        <f t="shared" si="2"/>
        <v>-288.27</v>
      </c>
      <c r="U7" s="130" t="str">
        <f t="shared" si="3"/>
        <v>#DIV/0!</v>
      </c>
      <c r="V7" s="130"/>
    </row>
    <row r="8">
      <c r="B8" s="398" t="s">
        <v>128</v>
      </c>
      <c r="E8" s="399">
        <v>32951.0</v>
      </c>
      <c r="G8" s="167"/>
      <c r="H8" s="42" t="s">
        <v>129</v>
      </c>
      <c r="K8" s="399">
        <v>0.0</v>
      </c>
      <c r="N8" s="392">
        <v>4.0</v>
      </c>
      <c r="O8" s="392" t="s">
        <v>434</v>
      </c>
      <c r="P8" s="393">
        <v>321.65</v>
      </c>
      <c r="Q8" s="394" t="s">
        <v>431</v>
      </c>
      <c r="R8" s="393" t="str">
        <f t="shared" si="1"/>
        <v>#DIV/0!</v>
      </c>
      <c r="S8" s="393">
        <f>Q8*E16</f>
        <v>0</v>
      </c>
      <c r="T8" s="393">
        <f t="shared" si="2"/>
        <v>-321.65</v>
      </c>
      <c r="U8" s="130" t="str">
        <f t="shared" si="3"/>
        <v>#DIV/0!</v>
      </c>
      <c r="V8" s="130"/>
    </row>
    <row r="9">
      <c r="G9" s="167"/>
      <c r="N9" s="392">
        <v>5.0</v>
      </c>
      <c r="O9" s="392" t="s">
        <v>435</v>
      </c>
      <c r="P9" s="393">
        <v>316.53</v>
      </c>
      <c r="Q9" s="394" t="s">
        <v>431</v>
      </c>
      <c r="R9" s="393" t="str">
        <f t="shared" si="1"/>
        <v>#DIV/0!</v>
      </c>
      <c r="S9" s="393">
        <f>Q9*E16</f>
        <v>0</v>
      </c>
      <c r="T9" s="393">
        <f t="shared" si="2"/>
        <v>-316.53</v>
      </c>
      <c r="U9" s="130" t="str">
        <f t="shared" si="3"/>
        <v>#DIV/0!</v>
      </c>
      <c r="V9" s="130"/>
    </row>
    <row r="10">
      <c r="B10" s="42" t="s">
        <v>132</v>
      </c>
      <c r="E10" s="399">
        <v>397.0</v>
      </c>
      <c r="G10" s="167"/>
      <c r="H10" s="398" t="s">
        <v>133</v>
      </c>
      <c r="K10" s="400">
        <v>0.0</v>
      </c>
      <c r="N10" s="392">
        <v>6.0</v>
      </c>
      <c r="O10" s="392" t="s">
        <v>436</v>
      </c>
      <c r="P10" s="393">
        <v>307.26</v>
      </c>
      <c r="Q10" s="394" t="s">
        <v>431</v>
      </c>
      <c r="R10" s="393" t="str">
        <f t="shared" si="1"/>
        <v>#DIV/0!</v>
      </c>
      <c r="S10" s="393">
        <f>Q10*E16</f>
        <v>0</v>
      </c>
      <c r="T10" s="393">
        <f t="shared" si="2"/>
        <v>-307.26</v>
      </c>
      <c r="U10" s="130" t="str">
        <f t="shared" si="3"/>
        <v>#DIV/0!</v>
      </c>
      <c r="V10" s="130"/>
    </row>
    <row r="11">
      <c r="G11" s="167"/>
      <c r="N11" s="392">
        <v>7.0</v>
      </c>
      <c r="O11" s="392" t="s">
        <v>437</v>
      </c>
      <c r="P11" s="393">
        <v>293.63</v>
      </c>
      <c r="Q11" s="394" t="s">
        <v>431</v>
      </c>
      <c r="R11" s="393" t="str">
        <f t="shared" si="1"/>
        <v>#DIV/0!</v>
      </c>
      <c r="S11" s="393">
        <f>Q11*E16</f>
        <v>0</v>
      </c>
      <c r="T11" s="393">
        <f t="shared" si="2"/>
        <v>-293.63</v>
      </c>
      <c r="U11" s="130" t="str">
        <f t="shared" si="3"/>
        <v>#DIV/0!</v>
      </c>
      <c r="V11" s="130"/>
    </row>
    <row r="12">
      <c r="B12" s="398" t="s">
        <v>136</v>
      </c>
      <c r="E12" s="399">
        <f>27.39+1+2.49</f>
        <v>30.88</v>
      </c>
      <c r="G12" s="167"/>
      <c r="H12" s="42" t="s">
        <v>137</v>
      </c>
      <c r="K12" s="401" t="str">
        <f>SUM(K8/K10)</f>
        <v>#DIV/0!</v>
      </c>
      <c r="N12" s="392">
        <v>8.0</v>
      </c>
      <c r="O12" s="392" t="s">
        <v>430</v>
      </c>
      <c r="P12" s="393">
        <v>290.12</v>
      </c>
      <c r="Q12" s="394" t="s">
        <v>431</v>
      </c>
      <c r="R12" s="393" t="str">
        <f t="shared" si="1"/>
        <v>#DIV/0!</v>
      </c>
      <c r="S12" s="393">
        <f>Q12*E16</f>
        <v>0</v>
      </c>
      <c r="T12" s="393">
        <f t="shared" si="2"/>
        <v>-290.12</v>
      </c>
      <c r="U12" s="130" t="str">
        <f t="shared" si="3"/>
        <v>#DIV/0!</v>
      </c>
      <c r="V12" s="130"/>
    </row>
    <row r="13">
      <c r="G13" s="167"/>
      <c r="N13" s="392">
        <v>9.0</v>
      </c>
      <c r="O13" s="392" t="s">
        <v>432</v>
      </c>
      <c r="P13" s="393">
        <v>296.68</v>
      </c>
      <c r="Q13" s="394" t="s">
        <v>431</v>
      </c>
      <c r="R13" s="393" t="str">
        <f t="shared" si="1"/>
        <v>#DIV/0!</v>
      </c>
      <c r="S13" s="393">
        <f>Q13*E16</f>
        <v>0</v>
      </c>
      <c r="T13" s="393">
        <f t="shared" si="2"/>
        <v>-296.68</v>
      </c>
      <c r="U13" s="130" t="str">
        <f t="shared" si="3"/>
        <v>#DIV/0!</v>
      </c>
      <c r="V13" s="130"/>
    </row>
    <row r="14">
      <c r="B14" s="42" t="s">
        <v>138</v>
      </c>
      <c r="E14" s="399">
        <v>36.61</v>
      </c>
      <c r="G14" s="167"/>
      <c r="H14" s="398" t="s">
        <v>139</v>
      </c>
      <c r="K14" s="401">
        <f>SUM(K10*E16)</f>
        <v>0</v>
      </c>
      <c r="N14" s="392">
        <v>10.0</v>
      </c>
      <c r="O14" s="392" t="s">
        <v>433</v>
      </c>
      <c r="P14" s="393">
        <v>127.65</v>
      </c>
      <c r="Q14" s="394" t="s">
        <v>431</v>
      </c>
      <c r="R14" s="393" t="str">
        <f t="shared" si="1"/>
        <v>#DIV/0!</v>
      </c>
      <c r="S14" s="393">
        <f>Q14*E16</f>
        <v>0</v>
      </c>
      <c r="T14" s="393">
        <f t="shared" si="2"/>
        <v>-127.65</v>
      </c>
      <c r="U14" s="130" t="str">
        <f t="shared" si="3"/>
        <v>#DIV/0!</v>
      </c>
      <c r="V14" s="402" t="s">
        <v>438</v>
      </c>
    </row>
    <row r="15">
      <c r="G15" s="167"/>
      <c r="N15" s="392">
        <v>11.0</v>
      </c>
      <c r="O15" s="392" t="s">
        <v>434</v>
      </c>
      <c r="P15" s="393">
        <v>0.0</v>
      </c>
      <c r="Q15" s="394" t="s">
        <v>431</v>
      </c>
      <c r="R15" s="393" t="str">
        <f t="shared" si="1"/>
        <v>#DIV/0!</v>
      </c>
      <c r="S15" s="393">
        <f>Q15*E16</f>
        <v>0</v>
      </c>
      <c r="T15" s="393">
        <f t="shared" si="2"/>
        <v>0</v>
      </c>
      <c r="U15" s="130" t="str">
        <f t="shared" si="3"/>
        <v>#DIV/0!</v>
      </c>
      <c r="V15" s="130"/>
    </row>
    <row r="16">
      <c r="B16" s="398" t="s">
        <v>140</v>
      </c>
      <c r="E16" s="403">
        <f>SUM(E10-E12-E14)</f>
        <v>329.51</v>
      </c>
      <c r="G16" s="167"/>
      <c r="H16" s="42" t="s">
        <v>141</v>
      </c>
      <c r="K16" s="404">
        <f>SUM(K14-K8)</f>
        <v>0</v>
      </c>
      <c r="N16" s="392">
        <v>12.0</v>
      </c>
      <c r="O16" s="392" t="s">
        <v>435</v>
      </c>
      <c r="P16" s="393">
        <v>0.0</v>
      </c>
      <c r="Q16" s="394" t="s">
        <v>431</v>
      </c>
      <c r="R16" s="393" t="str">
        <f t="shared" si="1"/>
        <v>#DIV/0!</v>
      </c>
      <c r="S16" s="393">
        <f>Q16*E16</f>
        <v>0</v>
      </c>
      <c r="T16" s="393">
        <f t="shared" si="2"/>
        <v>0</v>
      </c>
      <c r="U16" s="130" t="str">
        <f t="shared" si="3"/>
        <v>#DIV/0!</v>
      </c>
      <c r="V16" s="130"/>
    </row>
    <row r="17">
      <c r="G17" s="167"/>
      <c r="N17" s="392">
        <v>13.0</v>
      </c>
      <c r="O17" s="392" t="s">
        <v>436</v>
      </c>
      <c r="P17" s="393">
        <v>0.0</v>
      </c>
      <c r="Q17" s="394" t="s">
        <v>431</v>
      </c>
      <c r="R17" s="393" t="str">
        <f t="shared" si="1"/>
        <v>#DIV/0!</v>
      </c>
      <c r="S17" s="393">
        <f>Q17*E16</f>
        <v>0</v>
      </c>
      <c r="T17" s="393">
        <f t="shared" si="2"/>
        <v>0</v>
      </c>
      <c r="U17" s="130" t="str">
        <f t="shared" si="3"/>
        <v>#DIV/0!</v>
      </c>
      <c r="V17" s="130"/>
    </row>
    <row r="18">
      <c r="B18" s="42" t="s">
        <v>142</v>
      </c>
      <c r="E18" s="399">
        <v>138.95</v>
      </c>
      <c r="G18" s="167"/>
      <c r="H18" s="167"/>
      <c r="I18" s="167"/>
      <c r="J18" s="167"/>
      <c r="K18" s="167"/>
      <c r="L18" s="167"/>
      <c r="N18" s="392">
        <v>14.0</v>
      </c>
      <c r="O18" s="392" t="s">
        <v>437</v>
      </c>
      <c r="P18" s="393">
        <v>0.0</v>
      </c>
      <c r="Q18" s="394" t="s">
        <v>431</v>
      </c>
      <c r="R18" s="393" t="str">
        <f t="shared" si="1"/>
        <v>#DIV/0!</v>
      </c>
      <c r="S18" s="393">
        <f>Q18*E16</f>
        <v>0</v>
      </c>
      <c r="T18" s="393">
        <f t="shared" si="2"/>
        <v>0</v>
      </c>
      <c r="U18" s="130" t="str">
        <f t="shared" si="3"/>
        <v>#DIV/0!</v>
      </c>
      <c r="V18" s="130"/>
    </row>
    <row r="19">
      <c r="G19" s="167"/>
      <c r="H19" s="167"/>
      <c r="I19" s="167"/>
      <c r="J19" s="167"/>
      <c r="K19" s="167"/>
      <c r="L19" s="167"/>
      <c r="N19" s="392">
        <v>15.0</v>
      </c>
      <c r="O19" s="133" t="s">
        <v>430</v>
      </c>
      <c r="P19" s="393">
        <v>0.0</v>
      </c>
      <c r="Q19" s="394" t="s">
        <v>431</v>
      </c>
      <c r="R19" s="393" t="str">
        <f t="shared" si="1"/>
        <v>#DIV/0!</v>
      </c>
      <c r="S19" s="393">
        <f>Q19*E16</f>
        <v>0</v>
      </c>
      <c r="T19" s="393">
        <f t="shared" si="2"/>
        <v>0</v>
      </c>
      <c r="U19" s="130" t="str">
        <f t="shared" si="3"/>
        <v>#DIV/0!</v>
      </c>
      <c r="V19" s="130"/>
    </row>
    <row r="20">
      <c r="B20" s="398" t="s">
        <v>143</v>
      </c>
      <c r="E20" s="405">
        <f>SUM(E8/E16)</f>
        <v>100</v>
      </c>
      <c r="G20" s="167"/>
      <c r="H20" s="167"/>
      <c r="I20" s="167"/>
      <c r="J20" s="167"/>
      <c r="K20" s="167"/>
      <c r="L20" s="167"/>
      <c r="N20" s="392">
        <v>16.0</v>
      </c>
      <c r="O20" s="133" t="s">
        <v>432</v>
      </c>
      <c r="P20" s="393">
        <v>0.0</v>
      </c>
      <c r="Q20" s="394" t="s">
        <v>431</v>
      </c>
      <c r="R20" s="393" t="str">
        <f t="shared" si="1"/>
        <v>#DIV/0!</v>
      </c>
      <c r="S20" s="393">
        <f>Q20*E16</f>
        <v>0</v>
      </c>
      <c r="T20" s="393">
        <f t="shared" si="2"/>
        <v>0</v>
      </c>
      <c r="U20" s="130" t="str">
        <f t="shared" si="3"/>
        <v>#DIV/0!</v>
      </c>
      <c r="V20" s="130"/>
    </row>
    <row r="21" ht="15.75" customHeight="1">
      <c r="G21" s="167"/>
      <c r="H21" s="167"/>
      <c r="I21" s="167"/>
      <c r="J21" s="167"/>
      <c r="K21" s="167"/>
      <c r="L21" s="167"/>
      <c r="N21" s="392">
        <v>17.0</v>
      </c>
      <c r="O21" s="133" t="s">
        <v>433</v>
      </c>
      <c r="P21" s="393">
        <v>0.0</v>
      </c>
      <c r="Q21" s="394" t="s">
        <v>431</v>
      </c>
      <c r="R21" s="393" t="str">
        <f t="shared" si="1"/>
        <v>#DIV/0!</v>
      </c>
      <c r="S21" s="393">
        <f>Q21*E16</f>
        <v>0</v>
      </c>
      <c r="T21" s="393">
        <f t="shared" si="2"/>
        <v>0</v>
      </c>
      <c r="U21" s="130" t="str">
        <f t="shared" si="3"/>
        <v>#DIV/0!</v>
      </c>
      <c r="V21" s="130"/>
    </row>
    <row r="22" ht="15.75" customHeight="1">
      <c r="B22" s="42" t="s">
        <v>144</v>
      </c>
      <c r="E22" s="403">
        <f>SUM(E18*E20)</f>
        <v>13895</v>
      </c>
      <c r="G22" s="167"/>
      <c r="H22" s="167"/>
      <c r="I22" s="167"/>
      <c r="J22" s="167"/>
      <c r="K22" s="167"/>
      <c r="L22" s="167"/>
      <c r="N22" s="392">
        <v>18.0</v>
      </c>
      <c r="O22" s="133" t="s">
        <v>434</v>
      </c>
      <c r="P22" s="393">
        <v>0.0</v>
      </c>
      <c r="Q22" s="394" t="s">
        <v>431</v>
      </c>
      <c r="R22" s="393" t="str">
        <f t="shared" si="1"/>
        <v>#DIV/0!</v>
      </c>
      <c r="S22" s="393">
        <f>Q22*E16</f>
        <v>0</v>
      </c>
      <c r="T22" s="393">
        <f t="shared" si="2"/>
        <v>0</v>
      </c>
      <c r="U22" s="130" t="str">
        <f t="shared" si="3"/>
        <v>#DIV/0!</v>
      </c>
      <c r="V22" s="130"/>
    </row>
    <row r="23" ht="15.75" customHeight="1">
      <c r="G23" s="167"/>
      <c r="H23" s="167"/>
      <c r="I23" s="167"/>
      <c r="J23" s="167"/>
      <c r="K23" s="167"/>
      <c r="L23" s="167"/>
      <c r="N23" s="392">
        <v>19.0</v>
      </c>
      <c r="O23" s="133" t="s">
        <v>435</v>
      </c>
      <c r="P23" s="393">
        <v>0.0</v>
      </c>
      <c r="Q23" s="394" t="s">
        <v>431</v>
      </c>
      <c r="R23" s="393" t="str">
        <f t="shared" si="1"/>
        <v>#DIV/0!</v>
      </c>
      <c r="S23" s="393">
        <f>Q23*E16</f>
        <v>0</v>
      </c>
      <c r="T23" s="393">
        <f t="shared" si="2"/>
        <v>0</v>
      </c>
      <c r="U23" s="130" t="str">
        <f t="shared" si="3"/>
        <v>#DIV/0!</v>
      </c>
      <c r="V23" s="130"/>
    </row>
    <row r="24" ht="15.75" customHeight="1">
      <c r="B24" s="398" t="s">
        <v>145</v>
      </c>
      <c r="E24" s="403">
        <f>SUM(E8-E22)</f>
        <v>19056</v>
      </c>
      <c r="G24" s="167"/>
      <c r="H24" s="167"/>
      <c r="I24" s="167"/>
      <c r="J24" s="167"/>
      <c r="K24" s="167"/>
      <c r="L24" s="167"/>
      <c r="N24" s="392">
        <v>20.0</v>
      </c>
      <c r="O24" s="133" t="s">
        <v>436</v>
      </c>
      <c r="P24" s="393">
        <v>0.0</v>
      </c>
      <c r="Q24" s="394" t="s">
        <v>431</v>
      </c>
      <c r="R24" s="393" t="str">
        <f t="shared" si="1"/>
        <v>#DIV/0!</v>
      </c>
      <c r="S24" s="393">
        <f>Q24*E16</f>
        <v>0</v>
      </c>
      <c r="T24" s="393">
        <f t="shared" si="2"/>
        <v>0</v>
      </c>
      <c r="U24" s="130" t="str">
        <f t="shared" si="3"/>
        <v>#DIV/0!</v>
      </c>
      <c r="V24" s="130"/>
    </row>
    <row r="25" ht="15.75" customHeight="1">
      <c r="G25" s="167"/>
      <c r="H25" s="167"/>
      <c r="I25" s="167"/>
      <c r="J25" s="167"/>
      <c r="K25" s="167"/>
      <c r="L25" s="167"/>
      <c r="N25" s="392">
        <v>21.0</v>
      </c>
      <c r="O25" s="133" t="s">
        <v>437</v>
      </c>
      <c r="P25" s="393">
        <v>0.0</v>
      </c>
      <c r="Q25" s="394" t="s">
        <v>431</v>
      </c>
      <c r="R25" s="393" t="str">
        <f t="shared" si="1"/>
        <v>#DIV/0!</v>
      </c>
      <c r="S25" s="393">
        <f>Q25*E16</f>
        <v>0</v>
      </c>
      <c r="T25" s="393">
        <f t="shared" si="2"/>
        <v>0</v>
      </c>
      <c r="U25" s="130" t="str">
        <f t="shared" si="3"/>
        <v>#DIV/0!</v>
      </c>
      <c r="V25" s="130"/>
    </row>
    <row r="26" ht="15.75" customHeight="1">
      <c r="B26" s="42" t="s">
        <v>146</v>
      </c>
      <c r="E26" s="400">
        <v>30.0</v>
      </c>
      <c r="G26" s="167"/>
      <c r="H26" s="167"/>
      <c r="I26" s="167"/>
      <c r="J26" s="167"/>
      <c r="K26" s="167"/>
      <c r="L26" s="167"/>
      <c r="N26" s="392">
        <v>22.0</v>
      </c>
      <c r="O26" s="133" t="s">
        <v>430</v>
      </c>
      <c r="P26" s="393">
        <v>0.0</v>
      </c>
      <c r="Q26" s="394" t="s">
        <v>431</v>
      </c>
      <c r="R26" s="393" t="str">
        <f t="shared" si="1"/>
        <v>#DIV/0!</v>
      </c>
      <c r="S26" s="393">
        <f>Q26*E16</f>
        <v>0</v>
      </c>
      <c r="T26" s="393">
        <f t="shared" si="2"/>
        <v>0</v>
      </c>
      <c r="U26" s="130" t="str">
        <f t="shared" si="3"/>
        <v>#DIV/0!</v>
      </c>
      <c r="V26" s="130"/>
    </row>
    <row r="27" ht="15.75" customHeight="1">
      <c r="G27" s="167"/>
      <c r="H27" s="167"/>
      <c r="I27" s="167"/>
      <c r="J27" s="167"/>
      <c r="K27" s="167"/>
      <c r="L27" s="167"/>
      <c r="N27" s="392">
        <v>23.0</v>
      </c>
      <c r="O27" s="133" t="s">
        <v>432</v>
      </c>
      <c r="P27" s="393">
        <v>0.0</v>
      </c>
      <c r="Q27" s="394" t="s">
        <v>431</v>
      </c>
      <c r="R27" s="393" t="str">
        <f t="shared" si="1"/>
        <v>#DIV/0!</v>
      </c>
      <c r="S27" s="393">
        <f>Q27*E16</f>
        <v>0</v>
      </c>
      <c r="T27" s="393">
        <f t="shared" si="2"/>
        <v>0</v>
      </c>
      <c r="U27" s="130" t="str">
        <f t="shared" si="3"/>
        <v>#DIV/0!</v>
      </c>
      <c r="V27" s="130"/>
    </row>
    <row r="28" ht="15.75" customHeight="1">
      <c r="B28" s="398" t="s">
        <v>147</v>
      </c>
      <c r="E28" s="403">
        <f>SUM(E22/E26)-E32</f>
        <v>416.85</v>
      </c>
      <c r="G28" s="167"/>
      <c r="H28" s="167"/>
      <c r="I28" s="167"/>
      <c r="J28" s="167"/>
      <c r="K28" s="167"/>
      <c r="L28" s="167"/>
      <c r="N28" s="392">
        <v>24.0</v>
      </c>
      <c r="O28" s="133" t="s">
        <v>433</v>
      </c>
      <c r="P28" s="393">
        <v>0.0</v>
      </c>
      <c r="Q28" s="394" t="s">
        <v>431</v>
      </c>
      <c r="R28" s="393" t="str">
        <f t="shared" si="1"/>
        <v>#DIV/0!</v>
      </c>
      <c r="S28" s="393">
        <f>Q28*E16</f>
        <v>0</v>
      </c>
      <c r="T28" s="393">
        <f t="shared" si="2"/>
        <v>0</v>
      </c>
      <c r="U28" s="130" t="str">
        <f t="shared" si="3"/>
        <v>#DIV/0!</v>
      </c>
      <c r="V28" s="130"/>
    </row>
    <row r="29" ht="15.75" customHeight="1">
      <c r="G29" s="167"/>
      <c r="H29" s="167"/>
      <c r="I29" s="167"/>
      <c r="J29" s="167"/>
      <c r="K29" s="167"/>
      <c r="L29" s="167"/>
      <c r="N29" s="392">
        <v>25.0</v>
      </c>
      <c r="O29" s="133" t="s">
        <v>434</v>
      </c>
      <c r="P29" s="393">
        <v>0.0</v>
      </c>
      <c r="Q29" s="394" t="s">
        <v>431</v>
      </c>
      <c r="R29" s="393" t="str">
        <f t="shared" si="1"/>
        <v>#DIV/0!</v>
      </c>
      <c r="S29" s="393">
        <f>Q29*E16</f>
        <v>0</v>
      </c>
      <c r="T29" s="393">
        <f t="shared" si="2"/>
        <v>0</v>
      </c>
      <c r="U29" s="130" t="str">
        <f t="shared" si="3"/>
        <v>#DIV/0!</v>
      </c>
      <c r="V29" s="130"/>
    </row>
    <row r="30" ht="15.75" customHeight="1">
      <c r="B30" s="42" t="s">
        <v>148</v>
      </c>
      <c r="E30" s="406">
        <f>SUM(E20/E26)</f>
        <v>3.333333333</v>
      </c>
      <c r="G30" s="167"/>
      <c r="H30" s="167"/>
      <c r="I30" s="167"/>
      <c r="J30" s="167"/>
      <c r="K30" s="167"/>
      <c r="L30" s="167"/>
      <c r="N30" s="392">
        <v>26.0</v>
      </c>
      <c r="O30" s="133" t="s">
        <v>435</v>
      </c>
      <c r="P30" s="393">
        <v>0.0</v>
      </c>
      <c r="Q30" s="394" t="s">
        <v>431</v>
      </c>
      <c r="R30" s="393" t="str">
        <f t="shared" si="1"/>
        <v>#DIV/0!</v>
      </c>
      <c r="S30" s="393">
        <f>Q30*E16</f>
        <v>0</v>
      </c>
      <c r="T30" s="393">
        <f t="shared" si="2"/>
        <v>0</v>
      </c>
      <c r="U30" s="130" t="str">
        <f t="shared" si="3"/>
        <v>#DIV/0!</v>
      </c>
      <c r="V30" s="130"/>
    </row>
    <row r="31" ht="15.75" customHeight="1">
      <c r="G31" s="167"/>
      <c r="H31" s="167"/>
      <c r="I31" s="167"/>
      <c r="J31" s="167"/>
      <c r="K31" s="167"/>
      <c r="L31" s="167"/>
      <c r="N31" s="392">
        <v>27.0</v>
      </c>
      <c r="O31" s="133" t="s">
        <v>436</v>
      </c>
      <c r="P31" s="393">
        <v>0.0</v>
      </c>
      <c r="Q31" s="394" t="s">
        <v>431</v>
      </c>
      <c r="R31" s="393" t="str">
        <f t="shared" si="1"/>
        <v>#DIV/0!</v>
      </c>
      <c r="S31" s="393">
        <f>Q31*E16</f>
        <v>0</v>
      </c>
      <c r="T31" s="393">
        <f t="shared" si="2"/>
        <v>0</v>
      </c>
      <c r="U31" s="130" t="str">
        <f t="shared" si="3"/>
        <v>#DIV/0!</v>
      </c>
      <c r="V31" s="130"/>
    </row>
    <row r="32" ht="15.75" customHeight="1">
      <c r="B32" s="42" t="s">
        <v>149</v>
      </c>
      <c r="E32" s="373">
        <f>(E22*10%)/30</f>
        <v>46.31666667</v>
      </c>
      <c r="N32" s="392">
        <v>28.0</v>
      </c>
      <c r="O32" s="133" t="s">
        <v>437</v>
      </c>
      <c r="P32" s="393">
        <v>0.0</v>
      </c>
      <c r="Q32" s="394" t="s">
        <v>431</v>
      </c>
      <c r="R32" s="393" t="str">
        <f t="shared" si="1"/>
        <v>#DIV/0!</v>
      </c>
      <c r="S32" s="393">
        <f>Q32*E16</f>
        <v>0</v>
      </c>
      <c r="T32" s="393">
        <f t="shared" si="2"/>
        <v>0</v>
      </c>
      <c r="U32" s="130" t="str">
        <f t="shared" si="3"/>
        <v>#DIV/0!</v>
      </c>
      <c r="V32" s="130"/>
    </row>
    <row r="33" ht="15.75" customHeight="1">
      <c r="N33" s="392">
        <v>29.0</v>
      </c>
      <c r="O33" s="133" t="s">
        <v>430</v>
      </c>
      <c r="P33" s="393">
        <v>0.0</v>
      </c>
      <c r="Q33" s="394" t="s">
        <v>431</v>
      </c>
      <c r="R33" s="393" t="str">
        <f t="shared" si="1"/>
        <v>#DIV/0!</v>
      </c>
      <c r="S33" s="393">
        <f>Q33*E16</f>
        <v>0</v>
      </c>
      <c r="T33" s="393">
        <f t="shared" si="2"/>
        <v>0</v>
      </c>
      <c r="U33" s="130" t="str">
        <f t="shared" si="3"/>
        <v>#DIV/0!</v>
      </c>
      <c r="V33" s="130"/>
    </row>
    <row r="34" ht="15.75" customHeight="1">
      <c r="N34" s="392">
        <v>30.0</v>
      </c>
      <c r="O34" s="133" t="s">
        <v>432</v>
      </c>
      <c r="P34" s="393">
        <v>0.0</v>
      </c>
      <c r="Q34" s="394" t="s">
        <v>431</v>
      </c>
      <c r="R34" s="393" t="str">
        <f t="shared" si="1"/>
        <v>#DIV/0!</v>
      </c>
      <c r="S34" s="393">
        <f>Q34*E16</f>
        <v>0</v>
      </c>
      <c r="T34" s="393">
        <f t="shared" si="2"/>
        <v>0</v>
      </c>
      <c r="U34" s="130" t="str">
        <f t="shared" si="3"/>
        <v>#DIV/0!</v>
      </c>
      <c r="V34" s="130"/>
    </row>
    <row r="35" ht="15.75" customHeight="1"/>
    <row r="36" ht="15.75" customHeight="1">
      <c r="B36" s="390" t="s">
        <v>439</v>
      </c>
      <c r="N36" s="391" t="s">
        <v>298</v>
      </c>
      <c r="V36" s="391" t="s">
        <v>425</v>
      </c>
    </row>
    <row r="37" ht="15.75" customHeight="1">
      <c r="N37" s="391" t="s">
        <v>426</v>
      </c>
      <c r="O37" s="391" t="s">
        <v>109</v>
      </c>
      <c r="P37" s="391" t="s">
        <v>110</v>
      </c>
      <c r="Q37" s="391" t="s">
        <v>427</v>
      </c>
      <c r="R37" s="391" t="s">
        <v>428</v>
      </c>
      <c r="S37" s="391" t="s">
        <v>429</v>
      </c>
      <c r="T37" s="391" t="s">
        <v>29</v>
      </c>
      <c r="U37" s="391" t="s">
        <v>407</v>
      </c>
    </row>
    <row r="38" ht="15.75" customHeight="1">
      <c r="N38" s="392">
        <v>1.0</v>
      </c>
      <c r="O38" s="392" t="s">
        <v>433</v>
      </c>
      <c r="P38" s="394" t="s">
        <v>431</v>
      </c>
      <c r="Q38" s="394" t="s">
        <v>431</v>
      </c>
      <c r="R38" s="393" t="str">
        <f t="shared" ref="R38:R67" si="4">P38/Q38</f>
        <v>#DIV/0!</v>
      </c>
      <c r="S38" s="393">
        <f>Q38*E49</f>
        <v>0</v>
      </c>
      <c r="T38" s="393">
        <f t="shared" ref="T38:T68" si="5">S38-P38</f>
        <v>0</v>
      </c>
      <c r="U38" s="130" t="str">
        <f t="shared" ref="U38:U68" si="6">T38/S38</f>
        <v>#DIV/0!</v>
      </c>
      <c r="V38" s="130"/>
    </row>
    <row r="39" ht="15.75" customHeight="1">
      <c r="B39" s="395" t="s">
        <v>124</v>
      </c>
      <c r="G39" s="396"/>
      <c r="H39" s="397" t="s">
        <v>125</v>
      </c>
      <c r="N39" s="392">
        <v>2.0</v>
      </c>
      <c r="O39" s="392" t="s">
        <v>434</v>
      </c>
      <c r="P39" s="394" t="s">
        <v>431</v>
      </c>
      <c r="Q39" s="394" t="s">
        <v>431</v>
      </c>
      <c r="R39" s="393" t="str">
        <f t="shared" si="4"/>
        <v>#DIV/0!</v>
      </c>
      <c r="S39" s="393">
        <f>Q39*E49</f>
        <v>0</v>
      </c>
      <c r="T39" s="393">
        <f t="shared" si="5"/>
        <v>0</v>
      </c>
      <c r="U39" s="130" t="str">
        <f t="shared" si="6"/>
        <v>#DIV/0!</v>
      </c>
      <c r="V39" s="130"/>
    </row>
    <row r="40" ht="15.75" customHeight="1">
      <c r="G40" s="396"/>
      <c r="N40" s="392">
        <v>3.0</v>
      </c>
      <c r="O40" s="392" t="s">
        <v>435</v>
      </c>
      <c r="P40" s="394" t="s">
        <v>431</v>
      </c>
      <c r="Q40" s="394" t="s">
        <v>431</v>
      </c>
      <c r="R40" s="393" t="str">
        <f t="shared" si="4"/>
        <v>#DIV/0!</v>
      </c>
      <c r="S40" s="393">
        <f>Q40*E49</f>
        <v>0</v>
      </c>
      <c r="T40" s="393">
        <f t="shared" si="5"/>
        <v>0</v>
      </c>
      <c r="U40" s="130" t="str">
        <f t="shared" si="6"/>
        <v>#DIV/0!</v>
      </c>
      <c r="V40" s="130"/>
    </row>
    <row r="41" ht="15.75" customHeight="1">
      <c r="B41" s="398" t="s">
        <v>128</v>
      </c>
      <c r="E41" s="399">
        <v>32951.0</v>
      </c>
      <c r="G41" s="167"/>
      <c r="H41" s="42" t="s">
        <v>129</v>
      </c>
      <c r="K41" s="399">
        <v>0.0</v>
      </c>
      <c r="N41" s="392">
        <v>4.0</v>
      </c>
      <c r="O41" s="392" t="s">
        <v>436</v>
      </c>
      <c r="P41" s="394" t="s">
        <v>431</v>
      </c>
      <c r="Q41" s="394" t="s">
        <v>431</v>
      </c>
      <c r="R41" s="393" t="str">
        <f t="shared" si="4"/>
        <v>#DIV/0!</v>
      </c>
      <c r="S41" s="393">
        <f>Q41*E49</f>
        <v>0</v>
      </c>
      <c r="T41" s="393">
        <f t="shared" si="5"/>
        <v>0</v>
      </c>
      <c r="U41" s="130" t="str">
        <f t="shared" si="6"/>
        <v>#DIV/0!</v>
      </c>
      <c r="V41" s="130"/>
    </row>
    <row r="42" ht="15.75" customHeight="1">
      <c r="G42" s="167"/>
      <c r="N42" s="392">
        <v>5.0</v>
      </c>
      <c r="O42" s="392" t="s">
        <v>437</v>
      </c>
      <c r="P42" s="394" t="s">
        <v>431</v>
      </c>
      <c r="Q42" s="394" t="s">
        <v>431</v>
      </c>
      <c r="R42" s="393" t="str">
        <f t="shared" si="4"/>
        <v>#DIV/0!</v>
      </c>
      <c r="S42" s="393">
        <f>Q42*E49</f>
        <v>0</v>
      </c>
      <c r="T42" s="393">
        <f t="shared" si="5"/>
        <v>0</v>
      </c>
      <c r="U42" s="130" t="str">
        <f t="shared" si="6"/>
        <v>#DIV/0!</v>
      </c>
      <c r="V42" s="130"/>
    </row>
    <row r="43" ht="15.75" customHeight="1">
      <c r="B43" s="42" t="s">
        <v>132</v>
      </c>
      <c r="E43" s="399">
        <v>397.0</v>
      </c>
      <c r="G43" s="167"/>
      <c r="H43" s="398" t="s">
        <v>133</v>
      </c>
      <c r="K43" s="400">
        <v>0.0</v>
      </c>
      <c r="N43" s="392">
        <v>6.0</v>
      </c>
      <c r="O43" s="392" t="s">
        <v>430</v>
      </c>
      <c r="P43" s="394" t="s">
        <v>431</v>
      </c>
      <c r="Q43" s="394" t="s">
        <v>431</v>
      </c>
      <c r="R43" s="393" t="str">
        <f t="shared" si="4"/>
        <v>#DIV/0!</v>
      </c>
      <c r="S43" s="393">
        <f>Q43*E49</f>
        <v>0</v>
      </c>
      <c r="T43" s="393">
        <f t="shared" si="5"/>
        <v>0</v>
      </c>
      <c r="U43" s="130" t="str">
        <f t="shared" si="6"/>
        <v>#DIV/0!</v>
      </c>
      <c r="V43" s="130"/>
    </row>
    <row r="44" ht="15.75" customHeight="1">
      <c r="G44" s="167"/>
      <c r="N44" s="392">
        <v>7.0</v>
      </c>
      <c r="O44" s="392" t="s">
        <v>432</v>
      </c>
      <c r="P44" s="394" t="s">
        <v>431</v>
      </c>
      <c r="Q44" s="394" t="s">
        <v>431</v>
      </c>
      <c r="R44" s="393" t="str">
        <f t="shared" si="4"/>
        <v>#DIV/0!</v>
      </c>
      <c r="S44" s="393">
        <f>Q44*E49</f>
        <v>0</v>
      </c>
      <c r="T44" s="393">
        <f t="shared" si="5"/>
        <v>0</v>
      </c>
      <c r="U44" s="130" t="str">
        <f t="shared" si="6"/>
        <v>#DIV/0!</v>
      </c>
      <c r="V44" s="130"/>
    </row>
    <row r="45" ht="15.75" customHeight="1">
      <c r="B45" s="398" t="s">
        <v>136</v>
      </c>
      <c r="E45" s="399">
        <f>27.39+1+2.49</f>
        <v>30.88</v>
      </c>
      <c r="G45" s="167"/>
      <c r="H45" s="42" t="s">
        <v>137</v>
      </c>
      <c r="K45" s="401" t="str">
        <f>SUM(K41/K43)</f>
        <v>#DIV/0!</v>
      </c>
      <c r="N45" s="392">
        <v>8.0</v>
      </c>
      <c r="O45" s="133" t="s">
        <v>433</v>
      </c>
      <c r="P45" s="394" t="s">
        <v>431</v>
      </c>
      <c r="Q45" s="394" t="s">
        <v>431</v>
      </c>
      <c r="R45" s="393" t="str">
        <f t="shared" si="4"/>
        <v>#DIV/0!</v>
      </c>
      <c r="S45" s="393">
        <f>Q45*E49</f>
        <v>0</v>
      </c>
      <c r="T45" s="393">
        <f t="shared" si="5"/>
        <v>0</v>
      </c>
      <c r="U45" s="130" t="str">
        <f t="shared" si="6"/>
        <v>#DIV/0!</v>
      </c>
      <c r="V45" s="130"/>
    </row>
    <row r="46" ht="15.75" customHeight="1">
      <c r="G46" s="167"/>
      <c r="N46" s="392">
        <v>9.0</v>
      </c>
      <c r="O46" s="133" t="s">
        <v>434</v>
      </c>
      <c r="P46" s="394" t="s">
        <v>431</v>
      </c>
      <c r="Q46" s="394" t="s">
        <v>431</v>
      </c>
      <c r="R46" s="393" t="str">
        <f t="shared" si="4"/>
        <v>#DIV/0!</v>
      </c>
      <c r="S46" s="393">
        <f>Q46*E49</f>
        <v>0</v>
      </c>
      <c r="T46" s="393">
        <f t="shared" si="5"/>
        <v>0</v>
      </c>
      <c r="U46" s="130" t="str">
        <f t="shared" si="6"/>
        <v>#DIV/0!</v>
      </c>
      <c r="V46" s="130"/>
    </row>
    <row r="47" ht="15.75" customHeight="1">
      <c r="B47" s="42" t="s">
        <v>138</v>
      </c>
      <c r="E47" s="399">
        <v>36.61</v>
      </c>
      <c r="G47" s="167"/>
      <c r="H47" s="398" t="s">
        <v>139</v>
      </c>
      <c r="K47" s="401">
        <f>SUM(K43*E49)</f>
        <v>0</v>
      </c>
      <c r="N47" s="392">
        <v>10.0</v>
      </c>
      <c r="O47" s="133" t="s">
        <v>435</v>
      </c>
      <c r="P47" s="394" t="s">
        <v>431</v>
      </c>
      <c r="Q47" s="394" t="s">
        <v>431</v>
      </c>
      <c r="R47" s="393" t="str">
        <f t="shared" si="4"/>
        <v>#DIV/0!</v>
      </c>
      <c r="S47" s="393">
        <f>Q47*E49</f>
        <v>0</v>
      </c>
      <c r="T47" s="393">
        <f t="shared" si="5"/>
        <v>0</v>
      </c>
      <c r="U47" s="130" t="str">
        <f t="shared" si="6"/>
        <v>#DIV/0!</v>
      </c>
      <c r="V47" s="130"/>
    </row>
    <row r="48" ht="15.75" customHeight="1">
      <c r="G48" s="167"/>
      <c r="N48" s="392">
        <v>11.0</v>
      </c>
      <c r="O48" s="133" t="s">
        <v>436</v>
      </c>
      <c r="P48" s="394" t="s">
        <v>431</v>
      </c>
      <c r="Q48" s="394" t="s">
        <v>431</v>
      </c>
      <c r="R48" s="393" t="str">
        <f t="shared" si="4"/>
        <v>#DIV/0!</v>
      </c>
      <c r="S48" s="393">
        <f>Q48*E49</f>
        <v>0</v>
      </c>
      <c r="T48" s="393">
        <f t="shared" si="5"/>
        <v>0</v>
      </c>
      <c r="U48" s="130" t="str">
        <f t="shared" si="6"/>
        <v>#DIV/0!</v>
      </c>
      <c r="V48" s="130"/>
    </row>
    <row r="49" ht="15.75" customHeight="1">
      <c r="B49" s="398" t="s">
        <v>140</v>
      </c>
      <c r="E49" s="403">
        <f>SUM(E43-E45-E47)</f>
        <v>329.51</v>
      </c>
      <c r="G49" s="167"/>
      <c r="H49" s="42" t="s">
        <v>141</v>
      </c>
      <c r="K49" s="404">
        <f>SUM(K47-K41)</f>
        <v>0</v>
      </c>
      <c r="N49" s="392">
        <v>12.0</v>
      </c>
      <c r="O49" s="133" t="s">
        <v>437</v>
      </c>
      <c r="P49" s="394" t="s">
        <v>431</v>
      </c>
      <c r="Q49" s="394" t="s">
        <v>431</v>
      </c>
      <c r="R49" s="393" t="str">
        <f t="shared" si="4"/>
        <v>#DIV/0!</v>
      </c>
      <c r="S49" s="393">
        <f>Q49*E49</f>
        <v>0</v>
      </c>
      <c r="T49" s="393">
        <f t="shared" si="5"/>
        <v>0</v>
      </c>
      <c r="U49" s="130" t="str">
        <f t="shared" si="6"/>
        <v>#DIV/0!</v>
      </c>
      <c r="V49" s="130"/>
    </row>
    <row r="50" ht="15.75" customHeight="1">
      <c r="G50" s="167"/>
      <c r="N50" s="392">
        <v>13.0</v>
      </c>
      <c r="O50" s="133" t="s">
        <v>430</v>
      </c>
      <c r="P50" s="394" t="s">
        <v>431</v>
      </c>
      <c r="Q50" s="394" t="s">
        <v>431</v>
      </c>
      <c r="R50" s="393" t="str">
        <f t="shared" si="4"/>
        <v>#DIV/0!</v>
      </c>
      <c r="S50" s="393">
        <f>Q50*E49</f>
        <v>0</v>
      </c>
      <c r="T50" s="393">
        <f t="shared" si="5"/>
        <v>0</v>
      </c>
      <c r="U50" s="130" t="str">
        <f t="shared" si="6"/>
        <v>#DIV/0!</v>
      </c>
      <c r="V50" s="130"/>
    </row>
    <row r="51" ht="15.75" customHeight="1">
      <c r="B51" s="42" t="s">
        <v>142</v>
      </c>
      <c r="E51" s="399">
        <v>138.95</v>
      </c>
      <c r="G51" s="167"/>
      <c r="H51" s="167"/>
      <c r="I51" s="167"/>
      <c r="J51" s="167"/>
      <c r="K51" s="167"/>
      <c r="L51" s="167"/>
      <c r="N51" s="392">
        <v>14.0</v>
      </c>
      <c r="O51" s="133" t="s">
        <v>432</v>
      </c>
      <c r="P51" s="394" t="s">
        <v>431</v>
      </c>
      <c r="Q51" s="394" t="s">
        <v>431</v>
      </c>
      <c r="R51" s="393" t="str">
        <f t="shared" si="4"/>
        <v>#DIV/0!</v>
      </c>
      <c r="S51" s="393">
        <f>Q51*E49</f>
        <v>0</v>
      </c>
      <c r="T51" s="393">
        <f t="shared" si="5"/>
        <v>0</v>
      </c>
      <c r="U51" s="130" t="str">
        <f t="shared" si="6"/>
        <v>#DIV/0!</v>
      </c>
      <c r="V51" s="130"/>
    </row>
    <row r="52" ht="15.75" customHeight="1">
      <c r="G52" s="167"/>
      <c r="H52" s="167"/>
      <c r="I52" s="167"/>
      <c r="J52" s="167"/>
      <c r="K52" s="167"/>
      <c r="L52" s="167"/>
      <c r="N52" s="392">
        <v>15.0</v>
      </c>
      <c r="O52" s="133" t="s">
        <v>433</v>
      </c>
      <c r="P52" s="394" t="s">
        <v>431</v>
      </c>
      <c r="Q52" s="394" t="s">
        <v>431</v>
      </c>
      <c r="R52" s="393" t="str">
        <f t="shared" si="4"/>
        <v>#DIV/0!</v>
      </c>
      <c r="S52" s="393">
        <f>Q52*E49</f>
        <v>0</v>
      </c>
      <c r="T52" s="393">
        <f t="shared" si="5"/>
        <v>0</v>
      </c>
      <c r="U52" s="130" t="str">
        <f t="shared" si="6"/>
        <v>#DIV/0!</v>
      </c>
      <c r="V52" s="130"/>
    </row>
    <row r="53" ht="15.75" customHeight="1">
      <c r="B53" s="398" t="s">
        <v>143</v>
      </c>
      <c r="E53" s="405">
        <f>SUM(E41/E49)</f>
        <v>100</v>
      </c>
      <c r="G53" s="167"/>
      <c r="H53" s="167"/>
      <c r="I53" s="167"/>
      <c r="J53" s="167"/>
      <c r="K53" s="167"/>
      <c r="L53" s="167"/>
      <c r="N53" s="392">
        <v>16.0</v>
      </c>
      <c r="O53" s="133" t="s">
        <v>434</v>
      </c>
      <c r="P53" s="394" t="s">
        <v>431</v>
      </c>
      <c r="Q53" s="394" t="s">
        <v>431</v>
      </c>
      <c r="R53" s="393" t="str">
        <f t="shared" si="4"/>
        <v>#DIV/0!</v>
      </c>
      <c r="S53" s="393">
        <f>Q53*E49</f>
        <v>0</v>
      </c>
      <c r="T53" s="393">
        <f t="shared" si="5"/>
        <v>0</v>
      </c>
      <c r="U53" s="130" t="str">
        <f t="shared" si="6"/>
        <v>#DIV/0!</v>
      </c>
      <c r="V53" s="130"/>
    </row>
    <row r="54" ht="15.75" customHeight="1">
      <c r="G54" s="167"/>
      <c r="H54" s="167"/>
      <c r="I54" s="167"/>
      <c r="J54" s="167"/>
      <c r="K54" s="167"/>
      <c r="L54" s="167"/>
      <c r="N54" s="392">
        <v>17.0</v>
      </c>
      <c r="O54" s="133" t="s">
        <v>435</v>
      </c>
      <c r="P54" s="394" t="s">
        <v>431</v>
      </c>
      <c r="Q54" s="394" t="s">
        <v>431</v>
      </c>
      <c r="R54" s="393" t="str">
        <f t="shared" si="4"/>
        <v>#DIV/0!</v>
      </c>
      <c r="S54" s="393">
        <f>Q54*E49</f>
        <v>0</v>
      </c>
      <c r="T54" s="393">
        <f t="shared" si="5"/>
        <v>0</v>
      </c>
      <c r="U54" s="130" t="str">
        <f t="shared" si="6"/>
        <v>#DIV/0!</v>
      </c>
      <c r="V54" s="130"/>
    </row>
    <row r="55" ht="15.75" customHeight="1">
      <c r="B55" s="42" t="s">
        <v>144</v>
      </c>
      <c r="E55" s="403">
        <f>SUM(E51*E53)</f>
        <v>13895</v>
      </c>
      <c r="G55" s="167"/>
      <c r="H55" s="167"/>
      <c r="I55" s="167"/>
      <c r="J55" s="167"/>
      <c r="K55" s="167"/>
      <c r="L55" s="167"/>
      <c r="N55" s="392">
        <v>18.0</v>
      </c>
      <c r="O55" s="133" t="s">
        <v>436</v>
      </c>
      <c r="P55" s="394" t="s">
        <v>431</v>
      </c>
      <c r="Q55" s="394" t="s">
        <v>431</v>
      </c>
      <c r="R55" s="393" t="str">
        <f t="shared" si="4"/>
        <v>#DIV/0!</v>
      </c>
      <c r="S55" s="393">
        <f>Q55*E49</f>
        <v>0</v>
      </c>
      <c r="T55" s="393">
        <f t="shared" si="5"/>
        <v>0</v>
      </c>
      <c r="U55" s="130" t="str">
        <f t="shared" si="6"/>
        <v>#DIV/0!</v>
      </c>
      <c r="V55" s="130"/>
    </row>
    <row r="56" ht="15.75" customHeight="1">
      <c r="G56" s="167"/>
      <c r="H56" s="167"/>
      <c r="I56" s="167"/>
      <c r="J56" s="167"/>
      <c r="K56" s="167"/>
      <c r="L56" s="167"/>
      <c r="N56" s="392">
        <v>19.0</v>
      </c>
      <c r="O56" s="133" t="s">
        <v>437</v>
      </c>
      <c r="P56" s="394" t="s">
        <v>431</v>
      </c>
      <c r="Q56" s="394" t="s">
        <v>431</v>
      </c>
      <c r="R56" s="393" t="str">
        <f t="shared" si="4"/>
        <v>#DIV/0!</v>
      </c>
      <c r="S56" s="393">
        <f>Q56*E49</f>
        <v>0</v>
      </c>
      <c r="T56" s="393">
        <f t="shared" si="5"/>
        <v>0</v>
      </c>
      <c r="U56" s="130" t="str">
        <f t="shared" si="6"/>
        <v>#DIV/0!</v>
      </c>
      <c r="V56" s="130"/>
    </row>
    <row r="57" ht="15.75" customHeight="1">
      <c r="B57" s="398" t="s">
        <v>145</v>
      </c>
      <c r="E57" s="403">
        <f>SUM(E41-E55)</f>
        <v>19056</v>
      </c>
      <c r="G57" s="167"/>
      <c r="H57" s="167"/>
      <c r="I57" s="167"/>
      <c r="J57" s="167"/>
      <c r="K57" s="167"/>
      <c r="L57" s="167"/>
      <c r="N57" s="392">
        <v>20.0</v>
      </c>
      <c r="O57" s="133" t="s">
        <v>430</v>
      </c>
      <c r="P57" s="394" t="s">
        <v>431</v>
      </c>
      <c r="Q57" s="394" t="s">
        <v>431</v>
      </c>
      <c r="R57" s="393" t="str">
        <f t="shared" si="4"/>
        <v>#DIV/0!</v>
      </c>
      <c r="S57" s="393">
        <f>Q57*E49</f>
        <v>0</v>
      </c>
      <c r="T57" s="393">
        <f t="shared" si="5"/>
        <v>0</v>
      </c>
      <c r="U57" s="130" t="str">
        <f t="shared" si="6"/>
        <v>#DIV/0!</v>
      </c>
      <c r="V57" s="130"/>
    </row>
    <row r="58" ht="15.75" customHeight="1">
      <c r="G58" s="167"/>
      <c r="H58" s="167"/>
      <c r="I58" s="167"/>
      <c r="J58" s="167"/>
      <c r="K58" s="167"/>
      <c r="L58" s="167"/>
      <c r="N58" s="392">
        <v>21.0</v>
      </c>
      <c r="O58" s="133" t="s">
        <v>432</v>
      </c>
      <c r="P58" s="394" t="s">
        <v>431</v>
      </c>
      <c r="Q58" s="394" t="s">
        <v>431</v>
      </c>
      <c r="R58" s="393" t="str">
        <f t="shared" si="4"/>
        <v>#DIV/0!</v>
      </c>
      <c r="S58" s="393">
        <f>Q58*E49</f>
        <v>0</v>
      </c>
      <c r="T58" s="393">
        <f t="shared" si="5"/>
        <v>0</v>
      </c>
      <c r="U58" s="130" t="str">
        <f t="shared" si="6"/>
        <v>#DIV/0!</v>
      </c>
      <c r="V58" s="130"/>
    </row>
    <row r="59" ht="15.75" customHeight="1">
      <c r="B59" s="42" t="s">
        <v>146</v>
      </c>
      <c r="E59" s="400">
        <v>30.0</v>
      </c>
      <c r="G59" s="167"/>
      <c r="H59" s="167"/>
      <c r="I59" s="167"/>
      <c r="J59" s="167"/>
      <c r="K59" s="167"/>
      <c r="L59" s="167"/>
      <c r="N59" s="392">
        <v>22.0</v>
      </c>
      <c r="O59" s="133" t="s">
        <v>433</v>
      </c>
      <c r="P59" s="394" t="s">
        <v>431</v>
      </c>
      <c r="Q59" s="394" t="s">
        <v>431</v>
      </c>
      <c r="R59" s="393" t="str">
        <f t="shared" si="4"/>
        <v>#DIV/0!</v>
      </c>
      <c r="S59" s="393">
        <f>Q59*E49</f>
        <v>0</v>
      </c>
      <c r="T59" s="393">
        <f t="shared" si="5"/>
        <v>0</v>
      </c>
      <c r="U59" s="130" t="str">
        <f t="shared" si="6"/>
        <v>#DIV/0!</v>
      </c>
      <c r="V59" s="130"/>
    </row>
    <row r="60" ht="15.75" customHeight="1">
      <c r="G60" s="167"/>
      <c r="H60" s="167"/>
      <c r="I60" s="167"/>
      <c r="J60" s="167"/>
      <c r="K60" s="167"/>
      <c r="L60" s="167"/>
      <c r="N60" s="392">
        <v>23.0</v>
      </c>
      <c r="O60" s="133" t="s">
        <v>434</v>
      </c>
      <c r="P60" s="394" t="s">
        <v>431</v>
      </c>
      <c r="Q60" s="394" t="s">
        <v>431</v>
      </c>
      <c r="R60" s="393" t="str">
        <f t="shared" si="4"/>
        <v>#DIV/0!</v>
      </c>
      <c r="S60" s="393">
        <f>Q60*E49</f>
        <v>0</v>
      </c>
      <c r="T60" s="393">
        <f t="shared" si="5"/>
        <v>0</v>
      </c>
      <c r="U60" s="130" t="str">
        <f t="shared" si="6"/>
        <v>#DIV/0!</v>
      </c>
      <c r="V60" s="130"/>
    </row>
    <row r="61" ht="15.75" customHeight="1">
      <c r="B61" s="398" t="s">
        <v>147</v>
      </c>
      <c r="E61" s="403">
        <f>SUM(E55/E59)-E65</f>
        <v>416.85</v>
      </c>
      <c r="G61" s="167"/>
      <c r="H61" s="167"/>
      <c r="I61" s="167"/>
      <c r="J61" s="167"/>
      <c r="K61" s="167"/>
      <c r="L61" s="167"/>
      <c r="N61" s="392">
        <v>24.0</v>
      </c>
      <c r="O61" s="133" t="s">
        <v>435</v>
      </c>
      <c r="P61" s="394" t="s">
        <v>431</v>
      </c>
      <c r="Q61" s="394" t="s">
        <v>431</v>
      </c>
      <c r="R61" s="393" t="str">
        <f t="shared" si="4"/>
        <v>#DIV/0!</v>
      </c>
      <c r="S61" s="393">
        <f>Q61*E49</f>
        <v>0</v>
      </c>
      <c r="T61" s="393">
        <f t="shared" si="5"/>
        <v>0</v>
      </c>
      <c r="U61" s="130" t="str">
        <f t="shared" si="6"/>
        <v>#DIV/0!</v>
      </c>
      <c r="V61" s="130"/>
    </row>
    <row r="62" ht="15.75" customHeight="1">
      <c r="G62" s="167"/>
      <c r="H62" s="167"/>
      <c r="I62" s="167"/>
      <c r="J62" s="167"/>
      <c r="K62" s="167"/>
      <c r="L62" s="167"/>
      <c r="N62" s="392">
        <v>25.0</v>
      </c>
      <c r="O62" s="133" t="s">
        <v>436</v>
      </c>
      <c r="P62" s="394" t="s">
        <v>431</v>
      </c>
      <c r="Q62" s="394" t="s">
        <v>431</v>
      </c>
      <c r="R62" s="393" t="str">
        <f t="shared" si="4"/>
        <v>#DIV/0!</v>
      </c>
      <c r="S62" s="393">
        <f>Q62*E49</f>
        <v>0</v>
      </c>
      <c r="T62" s="393">
        <f t="shared" si="5"/>
        <v>0</v>
      </c>
      <c r="U62" s="130" t="str">
        <f t="shared" si="6"/>
        <v>#DIV/0!</v>
      </c>
      <c r="V62" s="130"/>
    </row>
    <row r="63" ht="15.75" customHeight="1">
      <c r="B63" s="42" t="s">
        <v>148</v>
      </c>
      <c r="E63" s="406">
        <f>SUM(E53/E59)</f>
        <v>3.333333333</v>
      </c>
      <c r="G63" s="167"/>
      <c r="H63" s="167"/>
      <c r="I63" s="167"/>
      <c r="J63" s="167"/>
      <c r="K63" s="167"/>
      <c r="L63" s="167"/>
      <c r="N63" s="392">
        <v>26.0</v>
      </c>
      <c r="O63" s="133" t="s">
        <v>437</v>
      </c>
      <c r="P63" s="394" t="s">
        <v>431</v>
      </c>
      <c r="Q63" s="394" t="s">
        <v>431</v>
      </c>
      <c r="R63" s="393" t="str">
        <f t="shared" si="4"/>
        <v>#DIV/0!</v>
      </c>
      <c r="S63" s="393">
        <f>Q63*E49</f>
        <v>0</v>
      </c>
      <c r="T63" s="393">
        <f t="shared" si="5"/>
        <v>0</v>
      </c>
      <c r="U63" s="130" t="str">
        <f t="shared" si="6"/>
        <v>#DIV/0!</v>
      </c>
      <c r="V63" s="130"/>
    </row>
    <row r="64" ht="15.75" customHeight="1">
      <c r="G64" s="167"/>
      <c r="H64" s="167"/>
      <c r="I64" s="167"/>
      <c r="J64" s="167"/>
      <c r="K64" s="167"/>
      <c r="L64" s="167"/>
      <c r="N64" s="392">
        <v>27.0</v>
      </c>
      <c r="O64" s="133" t="s">
        <v>430</v>
      </c>
      <c r="P64" s="394" t="s">
        <v>431</v>
      </c>
      <c r="Q64" s="394" t="s">
        <v>431</v>
      </c>
      <c r="R64" s="393" t="str">
        <f t="shared" si="4"/>
        <v>#DIV/0!</v>
      </c>
      <c r="S64" s="393">
        <f>Q64*E49</f>
        <v>0</v>
      </c>
      <c r="T64" s="393">
        <f t="shared" si="5"/>
        <v>0</v>
      </c>
      <c r="U64" s="130" t="str">
        <f t="shared" si="6"/>
        <v>#DIV/0!</v>
      </c>
      <c r="V64" s="130"/>
    </row>
    <row r="65" ht="15.75" customHeight="1">
      <c r="B65" s="42" t="s">
        <v>149</v>
      </c>
      <c r="E65" s="373">
        <f>(E55*10%)/30</f>
        <v>46.31666667</v>
      </c>
      <c r="N65" s="392">
        <v>28.0</v>
      </c>
      <c r="O65" s="133" t="s">
        <v>432</v>
      </c>
      <c r="P65" s="394" t="s">
        <v>431</v>
      </c>
      <c r="Q65" s="394" t="s">
        <v>431</v>
      </c>
      <c r="R65" s="393" t="str">
        <f t="shared" si="4"/>
        <v>#DIV/0!</v>
      </c>
      <c r="S65" s="393">
        <f>Q65*E49</f>
        <v>0</v>
      </c>
      <c r="T65" s="393">
        <f t="shared" si="5"/>
        <v>0</v>
      </c>
      <c r="U65" s="130" t="str">
        <f t="shared" si="6"/>
        <v>#DIV/0!</v>
      </c>
      <c r="V65" s="130"/>
    </row>
    <row r="66" ht="15.75" customHeight="1">
      <c r="N66" s="392">
        <v>29.0</v>
      </c>
      <c r="O66" s="133" t="s">
        <v>433</v>
      </c>
      <c r="P66" s="394" t="s">
        <v>431</v>
      </c>
      <c r="Q66" s="394" t="s">
        <v>431</v>
      </c>
      <c r="R66" s="393" t="str">
        <f t="shared" si="4"/>
        <v>#DIV/0!</v>
      </c>
      <c r="S66" s="393">
        <f>Q66*E49</f>
        <v>0</v>
      </c>
      <c r="T66" s="393">
        <f t="shared" si="5"/>
        <v>0</v>
      </c>
      <c r="U66" s="130" t="str">
        <f t="shared" si="6"/>
        <v>#DIV/0!</v>
      </c>
      <c r="V66" s="130"/>
    </row>
    <row r="67" ht="15.75" customHeight="1">
      <c r="N67" s="392">
        <v>30.0</v>
      </c>
      <c r="O67" s="133" t="s">
        <v>434</v>
      </c>
      <c r="P67" s="394" t="s">
        <v>431</v>
      </c>
      <c r="Q67" s="394" t="s">
        <v>431</v>
      </c>
      <c r="R67" s="393" t="str">
        <f t="shared" si="4"/>
        <v>#DIV/0!</v>
      </c>
      <c r="S67" s="393">
        <f>Q67*E49</f>
        <v>0</v>
      </c>
      <c r="T67" s="393">
        <f t="shared" si="5"/>
        <v>0</v>
      </c>
      <c r="U67" s="130" t="str">
        <f t="shared" si="6"/>
        <v>#DIV/0!</v>
      </c>
      <c r="V67" s="130"/>
    </row>
    <row r="68" ht="15.75" customHeight="1">
      <c r="N68" s="392">
        <v>31.0</v>
      </c>
      <c r="O68" s="133" t="s">
        <v>435</v>
      </c>
      <c r="P68" s="394" t="s">
        <v>431</v>
      </c>
      <c r="Q68" s="394" t="s">
        <v>431</v>
      </c>
      <c r="R68" s="393" t="str">
        <f>P68/Q16</f>
        <v>#DIV/0!</v>
      </c>
      <c r="S68" s="393">
        <f>Q68*E49</f>
        <v>0</v>
      </c>
      <c r="T68" s="393">
        <f t="shared" si="5"/>
        <v>0</v>
      </c>
      <c r="U68" s="130" t="str">
        <f t="shared" si="6"/>
        <v>#DIV/0!</v>
      </c>
      <c r="V68" s="130"/>
    </row>
    <row r="69" ht="15.75" customHeight="1">
      <c r="N69" s="392"/>
      <c r="O69" s="133"/>
      <c r="P69" s="393"/>
      <c r="Q69" s="393"/>
      <c r="R69" s="393"/>
      <c r="S69" s="393"/>
      <c r="T69" s="393"/>
      <c r="U69" s="130"/>
      <c r="V69" s="130"/>
    </row>
    <row r="70" ht="15.75" customHeight="1">
      <c r="N70" s="392"/>
      <c r="O70" s="133"/>
      <c r="P70" s="393"/>
      <c r="Q70" s="393"/>
      <c r="R70" s="393"/>
      <c r="S70" s="393"/>
      <c r="T70" s="393"/>
      <c r="U70" s="130"/>
      <c r="V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4" max="24" width="49.86"/>
  </cols>
  <sheetData>
    <row r="4">
      <c r="A4" s="407"/>
      <c r="B4" s="408" t="s">
        <v>424</v>
      </c>
      <c r="N4" s="391" t="s">
        <v>440</v>
      </c>
      <c r="X4" s="391" t="s">
        <v>425</v>
      </c>
    </row>
    <row r="5">
      <c r="A5" s="407"/>
      <c r="N5" s="391" t="s">
        <v>426</v>
      </c>
      <c r="O5" s="391" t="s">
        <v>109</v>
      </c>
      <c r="P5" s="391" t="s">
        <v>110</v>
      </c>
      <c r="Q5" s="391" t="s">
        <v>6</v>
      </c>
      <c r="R5" s="391" t="s">
        <v>441</v>
      </c>
      <c r="S5" s="391" t="s">
        <v>427</v>
      </c>
      <c r="T5" s="391" t="s">
        <v>428</v>
      </c>
      <c r="U5" s="391" t="s">
        <v>429</v>
      </c>
      <c r="V5" s="391" t="s">
        <v>29</v>
      </c>
      <c r="W5" s="391" t="s">
        <v>407</v>
      </c>
    </row>
    <row r="6">
      <c r="A6" s="407"/>
      <c r="N6" s="392">
        <v>1.0</v>
      </c>
      <c r="O6" s="392" t="s">
        <v>430</v>
      </c>
      <c r="P6" s="394" t="s">
        <v>431</v>
      </c>
      <c r="Q6" s="409">
        <v>0.0</v>
      </c>
      <c r="R6" s="393" t="str">
        <f t="shared" ref="R6:R35" si="1">P6/Q6</f>
        <v>#DIV/0!</v>
      </c>
      <c r="S6" s="409">
        <v>0.0</v>
      </c>
      <c r="T6" s="393" t="str">
        <f t="shared" ref="T6:T35" si="2">P6/S6</f>
        <v>#DIV/0!</v>
      </c>
      <c r="U6" s="393">
        <f>S6*E25</f>
        <v>0</v>
      </c>
      <c r="V6" s="393">
        <f t="shared" ref="V6:V35" si="3">U6-P6</f>
        <v>0</v>
      </c>
      <c r="W6" s="130" t="str">
        <f t="shared" ref="W6:W35" si="4">V6/U6</f>
        <v>#DIV/0!</v>
      </c>
      <c r="X6" s="130"/>
    </row>
    <row r="7">
      <c r="A7" s="407"/>
      <c r="B7" s="410" t="s">
        <v>124</v>
      </c>
      <c r="G7" s="396"/>
      <c r="H7" s="411" t="s">
        <v>125</v>
      </c>
      <c r="N7" s="392">
        <v>2.0</v>
      </c>
      <c r="O7" s="392" t="s">
        <v>432</v>
      </c>
      <c r="P7" s="394" t="s">
        <v>431</v>
      </c>
      <c r="Q7" s="409">
        <v>0.0</v>
      </c>
      <c r="R7" s="393" t="str">
        <f t="shared" si="1"/>
        <v>#DIV/0!</v>
      </c>
      <c r="S7" s="409">
        <v>0.0</v>
      </c>
      <c r="T7" s="393" t="str">
        <f t="shared" si="2"/>
        <v>#DIV/0!</v>
      </c>
      <c r="U7" s="393">
        <f>S7*E25</f>
        <v>0</v>
      </c>
      <c r="V7" s="393">
        <f t="shared" si="3"/>
        <v>0</v>
      </c>
      <c r="W7" s="130" t="str">
        <f t="shared" si="4"/>
        <v>#DIV/0!</v>
      </c>
      <c r="X7" s="130"/>
    </row>
    <row r="8">
      <c r="A8" s="407"/>
      <c r="G8" s="396"/>
      <c r="N8" s="392">
        <v>3.0</v>
      </c>
      <c r="O8" s="392" t="s">
        <v>433</v>
      </c>
      <c r="P8" s="394" t="s">
        <v>431</v>
      </c>
      <c r="Q8" s="409">
        <v>0.0</v>
      </c>
      <c r="R8" s="393" t="str">
        <f t="shared" si="1"/>
        <v>#DIV/0!</v>
      </c>
      <c r="S8" s="409">
        <v>0.0</v>
      </c>
      <c r="T8" s="393" t="str">
        <f t="shared" si="2"/>
        <v>#DIV/0!</v>
      </c>
      <c r="U8" s="393">
        <f>S8*E25</f>
        <v>0</v>
      </c>
      <c r="V8" s="393">
        <f t="shared" si="3"/>
        <v>0</v>
      </c>
      <c r="W8" s="130" t="str">
        <f t="shared" si="4"/>
        <v>#DIV/0!</v>
      </c>
      <c r="X8" s="130"/>
    </row>
    <row r="9">
      <c r="A9" s="407"/>
      <c r="B9" s="398" t="s">
        <v>442</v>
      </c>
      <c r="E9" s="400">
        <v>10000.0</v>
      </c>
      <c r="G9" s="42"/>
      <c r="H9" s="42" t="s">
        <v>129</v>
      </c>
      <c r="K9" s="399">
        <v>0.0</v>
      </c>
      <c r="N9" s="392">
        <v>4.0</v>
      </c>
      <c r="O9" s="392" t="s">
        <v>434</v>
      </c>
      <c r="P9" s="394" t="s">
        <v>443</v>
      </c>
      <c r="Q9" s="409">
        <v>0.0</v>
      </c>
      <c r="R9" s="393" t="str">
        <f t="shared" si="1"/>
        <v>#DIV/0!</v>
      </c>
      <c r="S9" s="409">
        <v>0.0</v>
      </c>
      <c r="T9" s="393" t="str">
        <f t="shared" si="2"/>
        <v>#DIV/0!</v>
      </c>
      <c r="U9" s="393">
        <f>S9*E25</f>
        <v>0</v>
      </c>
      <c r="V9" s="393">
        <f t="shared" si="3"/>
        <v>-0.1</v>
      </c>
      <c r="W9" s="130" t="str">
        <f t="shared" si="4"/>
        <v>#DIV/0!</v>
      </c>
      <c r="X9" s="130"/>
    </row>
    <row r="10">
      <c r="A10" s="407"/>
      <c r="G10" s="42"/>
      <c r="N10" s="392">
        <v>5.0</v>
      </c>
      <c r="O10" s="392" t="s">
        <v>435</v>
      </c>
      <c r="P10" s="394" t="s">
        <v>444</v>
      </c>
      <c r="Q10" s="409">
        <v>69.0</v>
      </c>
      <c r="R10" s="393">
        <f t="shared" si="1"/>
        <v>1.463623188</v>
      </c>
      <c r="S10" s="409">
        <v>0.0</v>
      </c>
      <c r="T10" s="393" t="str">
        <f t="shared" si="2"/>
        <v>#DIV/0!</v>
      </c>
      <c r="U10" s="393">
        <f>S10*E25</f>
        <v>0</v>
      </c>
      <c r="V10" s="393">
        <f t="shared" si="3"/>
        <v>-100.99</v>
      </c>
      <c r="W10" s="130" t="str">
        <f t="shared" si="4"/>
        <v>#DIV/0!</v>
      </c>
      <c r="X10" s="371" t="s">
        <v>445</v>
      </c>
    </row>
    <row r="11">
      <c r="A11" s="407"/>
      <c r="B11" s="42" t="s">
        <v>446</v>
      </c>
      <c r="E11" s="399">
        <v>0.5</v>
      </c>
      <c r="G11" s="167"/>
      <c r="H11" s="398" t="s">
        <v>447</v>
      </c>
      <c r="K11" s="412">
        <v>0.0</v>
      </c>
      <c r="N11" s="392">
        <v>6.0</v>
      </c>
      <c r="O11" s="392" t="s">
        <v>436</v>
      </c>
      <c r="P11" s="394" t="s">
        <v>448</v>
      </c>
      <c r="Q11" s="409">
        <v>17.0</v>
      </c>
      <c r="R11" s="393">
        <f t="shared" si="1"/>
        <v>1.417058824</v>
      </c>
      <c r="S11" s="409">
        <v>0.0</v>
      </c>
      <c r="T11" s="393" t="str">
        <f t="shared" si="2"/>
        <v>#DIV/0!</v>
      </c>
      <c r="U11" s="393">
        <f>S11*E25</f>
        <v>0</v>
      </c>
      <c r="V11" s="393">
        <f t="shared" si="3"/>
        <v>-24.09</v>
      </c>
      <c r="W11" s="130" t="str">
        <f t="shared" si="4"/>
        <v>#DIV/0!</v>
      </c>
      <c r="X11" s="130"/>
    </row>
    <row r="12">
      <c r="A12" s="407"/>
      <c r="G12" s="167"/>
      <c r="N12" s="392">
        <v>7.0</v>
      </c>
      <c r="O12" s="392" t="s">
        <v>437</v>
      </c>
      <c r="P12" s="394" t="s">
        <v>449</v>
      </c>
      <c r="Q12" s="409">
        <v>17.0</v>
      </c>
      <c r="R12" s="393">
        <f t="shared" si="1"/>
        <v>1.705294118</v>
      </c>
      <c r="S12" s="409">
        <v>0.0</v>
      </c>
      <c r="T12" s="393" t="str">
        <f t="shared" si="2"/>
        <v>#DIV/0!</v>
      </c>
      <c r="U12" s="393">
        <f>S12*E25</f>
        <v>0</v>
      </c>
      <c r="V12" s="393">
        <f t="shared" si="3"/>
        <v>-28.99</v>
      </c>
      <c r="W12" s="130" t="str">
        <f t="shared" si="4"/>
        <v>#DIV/0!</v>
      </c>
      <c r="X12" s="130"/>
    </row>
    <row r="13">
      <c r="A13" s="407"/>
      <c r="B13" s="398" t="s">
        <v>144</v>
      </c>
      <c r="E13" s="403">
        <f>SUM(E9*E11)</f>
        <v>5000</v>
      </c>
      <c r="G13" s="167"/>
      <c r="H13" s="42" t="s">
        <v>450</v>
      </c>
      <c r="K13" s="401" t="str">
        <f>SUM(K9/K11)</f>
        <v>#DIV/0!</v>
      </c>
      <c r="N13" s="392">
        <v>8.0</v>
      </c>
      <c r="O13" s="392" t="s">
        <v>430</v>
      </c>
      <c r="P13" s="394" t="s">
        <v>451</v>
      </c>
      <c r="Q13" s="409">
        <v>16.0</v>
      </c>
      <c r="R13" s="393">
        <f t="shared" si="1"/>
        <v>1.08375</v>
      </c>
      <c r="S13" s="409">
        <v>0.0</v>
      </c>
      <c r="T13" s="393" t="str">
        <f t="shared" si="2"/>
        <v>#DIV/0!</v>
      </c>
      <c r="U13" s="393">
        <f>S13*E25</f>
        <v>0</v>
      </c>
      <c r="V13" s="393">
        <f t="shared" si="3"/>
        <v>-17.34</v>
      </c>
      <c r="W13" s="130" t="str">
        <f t="shared" si="4"/>
        <v>#DIV/0!</v>
      </c>
      <c r="X13" s="130"/>
    </row>
    <row r="14">
      <c r="A14" s="407"/>
      <c r="G14" s="167"/>
      <c r="N14" s="392">
        <v>9.0</v>
      </c>
      <c r="O14" s="392" t="s">
        <v>432</v>
      </c>
      <c r="P14" s="394" t="s">
        <v>452</v>
      </c>
      <c r="Q14" s="409">
        <v>15.0</v>
      </c>
      <c r="R14" s="393">
        <f t="shared" si="1"/>
        <v>1.238666667</v>
      </c>
      <c r="S14" s="409">
        <v>0.0</v>
      </c>
      <c r="T14" s="393" t="str">
        <f t="shared" si="2"/>
        <v>#DIV/0!</v>
      </c>
      <c r="U14" s="393">
        <f>S14*E25</f>
        <v>0</v>
      </c>
      <c r="V14" s="393">
        <f t="shared" si="3"/>
        <v>-18.58</v>
      </c>
      <c r="W14" s="130" t="str">
        <f t="shared" si="4"/>
        <v>#DIV/0!</v>
      </c>
      <c r="X14" s="130"/>
    </row>
    <row r="15">
      <c r="A15" s="407"/>
      <c r="B15" s="42" t="s">
        <v>453</v>
      </c>
      <c r="E15" s="400">
        <v>30.0</v>
      </c>
      <c r="G15" s="167"/>
      <c r="H15" s="398" t="s">
        <v>454</v>
      </c>
      <c r="K15" s="412">
        <v>0.0</v>
      </c>
      <c r="N15" s="392">
        <v>10.0</v>
      </c>
      <c r="O15" s="392" t="s">
        <v>433</v>
      </c>
      <c r="P15" s="394" t="s">
        <v>455</v>
      </c>
      <c r="Q15" s="409">
        <v>47.0</v>
      </c>
      <c r="R15" s="393">
        <f t="shared" si="1"/>
        <v>1.192765957</v>
      </c>
      <c r="S15" s="409">
        <v>0.0</v>
      </c>
      <c r="T15" s="393" t="str">
        <f t="shared" si="2"/>
        <v>#DIV/0!</v>
      </c>
      <c r="U15" s="393">
        <f>S15*E25</f>
        <v>0</v>
      </c>
      <c r="V15" s="393">
        <f t="shared" si="3"/>
        <v>-56.06</v>
      </c>
      <c r="W15" s="130" t="str">
        <f t="shared" si="4"/>
        <v>#DIV/0!</v>
      </c>
      <c r="X15" s="371" t="s">
        <v>456</v>
      </c>
    </row>
    <row r="16">
      <c r="A16" s="407"/>
      <c r="G16" s="167"/>
      <c r="N16" s="392">
        <v>11.0</v>
      </c>
      <c r="O16" s="392" t="s">
        <v>434</v>
      </c>
      <c r="P16" s="394" t="s">
        <v>457</v>
      </c>
      <c r="Q16" s="409">
        <v>36.0</v>
      </c>
      <c r="R16" s="393">
        <f t="shared" si="1"/>
        <v>1.453888889</v>
      </c>
      <c r="S16" s="409">
        <v>0.0</v>
      </c>
      <c r="T16" s="393" t="str">
        <f t="shared" si="2"/>
        <v>#DIV/0!</v>
      </c>
      <c r="U16" s="393">
        <f>S16*E25</f>
        <v>0</v>
      </c>
      <c r="V16" s="393">
        <f t="shared" si="3"/>
        <v>-52.34</v>
      </c>
      <c r="W16" s="130" t="str">
        <f t="shared" si="4"/>
        <v>#DIV/0!</v>
      </c>
      <c r="X16" s="130"/>
    </row>
    <row r="17">
      <c r="A17" s="407"/>
      <c r="B17" s="398" t="s">
        <v>147</v>
      </c>
      <c r="E17" s="403">
        <f>SUM(E13/E15)</f>
        <v>166.6666667</v>
      </c>
      <c r="G17" s="167"/>
      <c r="H17" s="42" t="s">
        <v>458</v>
      </c>
      <c r="K17" s="401">
        <f>SUM(K15*E25)</f>
        <v>0</v>
      </c>
      <c r="N17" s="392">
        <v>12.0</v>
      </c>
      <c r="O17" s="392" t="s">
        <v>435</v>
      </c>
      <c r="P17" s="394" t="s">
        <v>459</v>
      </c>
      <c r="Q17" s="409">
        <v>56.0</v>
      </c>
      <c r="R17" s="393">
        <f t="shared" si="1"/>
        <v>1.429821429</v>
      </c>
      <c r="S17" s="409">
        <v>0.0</v>
      </c>
      <c r="T17" s="393" t="str">
        <f t="shared" si="2"/>
        <v>#DIV/0!</v>
      </c>
      <c r="U17" s="393">
        <f>S17*E25</f>
        <v>0</v>
      </c>
      <c r="V17" s="393">
        <f t="shared" si="3"/>
        <v>-80.07</v>
      </c>
      <c r="W17" s="130" t="str">
        <f t="shared" si="4"/>
        <v>#DIV/0!</v>
      </c>
      <c r="X17" s="130"/>
    </row>
    <row r="18">
      <c r="A18" s="407"/>
      <c r="G18" s="167"/>
      <c r="N18" s="392">
        <v>13.0</v>
      </c>
      <c r="O18" s="392" t="s">
        <v>436</v>
      </c>
      <c r="P18" s="394">
        <v>39.16</v>
      </c>
      <c r="Q18" s="409">
        <v>33.0</v>
      </c>
      <c r="R18" s="393">
        <f t="shared" si="1"/>
        <v>1.186666667</v>
      </c>
      <c r="S18" s="409">
        <v>0.0</v>
      </c>
      <c r="T18" s="393" t="str">
        <f t="shared" si="2"/>
        <v>#DIV/0!</v>
      </c>
      <c r="U18" s="393">
        <f>S18*E25</f>
        <v>0</v>
      </c>
      <c r="V18" s="393">
        <f t="shared" si="3"/>
        <v>-39.16</v>
      </c>
      <c r="W18" s="130" t="str">
        <f t="shared" si="4"/>
        <v>#DIV/0!</v>
      </c>
      <c r="X18" s="130"/>
    </row>
    <row r="19">
      <c r="A19" s="407"/>
      <c r="B19" s="42" t="s">
        <v>460</v>
      </c>
      <c r="E19" s="406">
        <f>SUM(E9/E15)</f>
        <v>333.3333333</v>
      </c>
      <c r="G19" s="167"/>
      <c r="H19" s="398" t="s">
        <v>461</v>
      </c>
      <c r="K19" s="403" t="str">
        <f>SUM((K9-K17)/K11)</f>
        <v>#DIV/0!</v>
      </c>
      <c r="N19" s="392">
        <v>14.0</v>
      </c>
      <c r="O19" s="392" t="s">
        <v>437</v>
      </c>
      <c r="P19" s="394">
        <v>47.96</v>
      </c>
      <c r="Q19" s="409">
        <v>38.0</v>
      </c>
      <c r="R19" s="393">
        <f t="shared" si="1"/>
        <v>1.262105263</v>
      </c>
      <c r="S19" s="409">
        <v>0.0</v>
      </c>
      <c r="T19" s="393" t="str">
        <f t="shared" si="2"/>
        <v>#DIV/0!</v>
      </c>
      <c r="U19" s="393">
        <f>S19*E25</f>
        <v>0</v>
      </c>
      <c r="V19" s="393">
        <f t="shared" si="3"/>
        <v>-47.96</v>
      </c>
      <c r="W19" s="130" t="str">
        <f t="shared" si="4"/>
        <v>#DIV/0!</v>
      </c>
      <c r="X19" s="130"/>
    </row>
    <row r="20">
      <c r="A20" s="407"/>
      <c r="G20" s="167"/>
      <c r="N20" s="392">
        <v>15.0</v>
      </c>
      <c r="O20" s="133" t="s">
        <v>430</v>
      </c>
      <c r="P20" s="394">
        <v>87.54</v>
      </c>
      <c r="Q20" s="409">
        <v>87.0</v>
      </c>
      <c r="R20" s="393">
        <f t="shared" si="1"/>
        <v>1.006206897</v>
      </c>
      <c r="S20" s="409">
        <v>0.0</v>
      </c>
      <c r="T20" s="393" t="str">
        <f t="shared" si="2"/>
        <v>#DIV/0!</v>
      </c>
      <c r="U20" s="393">
        <f>S20*E25</f>
        <v>0</v>
      </c>
      <c r="V20" s="393">
        <f t="shared" si="3"/>
        <v>-87.54</v>
      </c>
      <c r="W20" s="130" t="str">
        <f t="shared" si="4"/>
        <v>#DIV/0!</v>
      </c>
      <c r="X20" s="130"/>
    </row>
    <row r="21" ht="15.75" customHeight="1">
      <c r="A21" s="407"/>
      <c r="B21" s="398" t="s">
        <v>462</v>
      </c>
      <c r="E21" s="399">
        <v>397.0</v>
      </c>
      <c r="G21" s="167"/>
      <c r="H21" s="42" t="s">
        <v>463</v>
      </c>
      <c r="K21" s="413">
        <f>SUM((K15*E25)-(K9))</f>
        <v>0</v>
      </c>
      <c r="N21" s="392">
        <v>16.0</v>
      </c>
      <c r="O21" s="133" t="s">
        <v>432</v>
      </c>
      <c r="P21" s="394" t="s">
        <v>464</v>
      </c>
      <c r="Q21" s="409">
        <v>65.0</v>
      </c>
      <c r="R21" s="393">
        <f t="shared" si="1"/>
        <v>1.150769231</v>
      </c>
      <c r="S21" s="409">
        <v>0.0</v>
      </c>
      <c r="T21" s="393" t="str">
        <f t="shared" si="2"/>
        <v>#DIV/0!</v>
      </c>
      <c r="U21" s="393">
        <f>S21*E25</f>
        <v>0</v>
      </c>
      <c r="V21" s="393">
        <f t="shared" si="3"/>
        <v>-74.8</v>
      </c>
      <c r="W21" s="130" t="str">
        <f t="shared" si="4"/>
        <v>#DIV/0!</v>
      </c>
      <c r="X21" s="130"/>
    </row>
    <row r="22" ht="15.75" customHeight="1">
      <c r="A22" s="407"/>
      <c r="G22" s="167"/>
      <c r="N22" s="392">
        <v>17.0</v>
      </c>
      <c r="O22" s="133" t="s">
        <v>433</v>
      </c>
      <c r="P22" s="394" t="s">
        <v>431</v>
      </c>
      <c r="Q22" s="409">
        <v>0.0</v>
      </c>
      <c r="R22" s="393" t="str">
        <f t="shared" si="1"/>
        <v>#DIV/0!</v>
      </c>
      <c r="S22" s="409">
        <v>0.0</v>
      </c>
      <c r="T22" s="393" t="str">
        <f t="shared" si="2"/>
        <v>#DIV/0!</v>
      </c>
      <c r="U22" s="393">
        <f>S22*E25</f>
        <v>0</v>
      </c>
      <c r="V22" s="393">
        <f t="shared" si="3"/>
        <v>0</v>
      </c>
      <c r="W22" s="130" t="str">
        <f t="shared" si="4"/>
        <v>#DIV/0!</v>
      </c>
      <c r="X22" s="130"/>
    </row>
    <row r="23" ht="15.75" customHeight="1">
      <c r="A23" s="407"/>
      <c r="B23" s="42" t="s">
        <v>465</v>
      </c>
      <c r="E23" s="399">
        <f>27.39+1+2.49+36.61</f>
        <v>67.49</v>
      </c>
      <c r="G23" s="167"/>
      <c r="H23" s="167"/>
      <c r="I23" s="167"/>
      <c r="J23" s="167"/>
      <c r="K23" s="167"/>
      <c r="L23" s="167"/>
      <c r="N23" s="392">
        <v>18.0</v>
      </c>
      <c r="O23" s="133" t="s">
        <v>434</v>
      </c>
      <c r="P23" s="394" t="s">
        <v>431</v>
      </c>
      <c r="Q23" s="409">
        <v>0.0</v>
      </c>
      <c r="R23" s="393" t="str">
        <f t="shared" si="1"/>
        <v>#DIV/0!</v>
      </c>
      <c r="S23" s="409">
        <v>0.0</v>
      </c>
      <c r="T23" s="393" t="str">
        <f t="shared" si="2"/>
        <v>#DIV/0!</v>
      </c>
      <c r="U23" s="393">
        <f>S23*E25</f>
        <v>0</v>
      </c>
      <c r="V23" s="393">
        <f t="shared" si="3"/>
        <v>0</v>
      </c>
      <c r="W23" s="130" t="str">
        <f t="shared" si="4"/>
        <v>#DIV/0!</v>
      </c>
      <c r="X23" s="130"/>
    </row>
    <row r="24" ht="15.75" customHeight="1">
      <c r="A24" s="407"/>
      <c r="G24" s="167"/>
      <c r="H24" s="167"/>
      <c r="I24" s="167"/>
      <c r="J24" s="167"/>
      <c r="K24" s="167"/>
      <c r="L24" s="167"/>
      <c r="N24" s="392">
        <v>19.0</v>
      </c>
      <c r="O24" s="133" t="s">
        <v>435</v>
      </c>
      <c r="P24" s="394" t="s">
        <v>431</v>
      </c>
      <c r="Q24" s="409">
        <v>0.0</v>
      </c>
      <c r="R24" s="393" t="str">
        <f t="shared" si="1"/>
        <v>#DIV/0!</v>
      </c>
      <c r="S24" s="409">
        <v>0.0</v>
      </c>
      <c r="T24" s="393" t="str">
        <f t="shared" si="2"/>
        <v>#DIV/0!</v>
      </c>
      <c r="U24" s="393">
        <f>S24*E25</f>
        <v>0</v>
      </c>
      <c r="V24" s="393">
        <f t="shared" si="3"/>
        <v>0</v>
      </c>
      <c r="W24" s="130" t="str">
        <f t="shared" si="4"/>
        <v>#DIV/0!</v>
      </c>
      <c r="X24" s="130"/>
    </row>
    <row r="25" ht="15.75" customHeight="1">
      <c r="A25" s="407"/>
      <c r="B25" s="398" t="s">
        <v>466</v>
      </c>
      <c r="E25" s="403">
        <f>SUM(E21-E23)</f>
        <v>329.51</v>
      </c>
      <c r="G25" s="167"/>
      <c r="H25" s="167"/>
      <c r="I25" s="167"/>
      <c r="J25" s="167"/>
      <c r="K25" s="167"/>
      <c r="L25" s="167"/>
      <c r="N25" s="392">
        <v>20.0</v>
      </c>
      <c r="O25" s="133" t="s">
        <v>436</v>
      </c>
      <c r="P25" s="394" t="s">
        <v>431</v>
      </c>
      <c r="Q25" s="409">
        <v>0.0</v>
      </c>
      <c r="R25" s="393" t="str">
        <f t="shared" si="1"/>
        <v>#DIV/0!</v>
      </c>
      <c r="S25" s="409">
        <v>0.0</v>
      </c>
      <c r="T25" s="393" t="str">
        <f t="shared" si="2"/>
        <v>#DIV/0!</v>
      </c>
      <c r="U25" s="393">
        <f>S25*E25</f>
        <v>0</v>
      </c>
      <c r="V25" s="393">
        <f t="shared" si="3"/>
        <v>0</v>
      </c>
      <c r="W25" s="130" t="str">
        <f t="shared" si="4"/>
        <v>#DIV/0!</v>
      </c>
      <c r="X25" s="130"/>
    </row>
    <row r="26" ht="15.75" customHeight="1">
      <c r="A26" s="407"/>
      <c r="G26" s="167"/>
      <c r="H26" s="167"/>
      <c r="I26" s="167"/>
      <c r="J26" s="167"/>
      <c r="K26" s="167"/>
      <c r="L26" s="167"/>
      <c r="N26" s="392">
        <v>21.0</v>
      </c>
      <c r="O26" s="133" t="s">
        <v>437</v>
      </c>
      <c r="P26" s="394" t="s">
        <v>431</v>
      </c>
      <c r="Q26" s="409">
        <v>0.0</v>
      </c>
      <c r="R26" s="393" t="str">
        <f t="shared" si="1"/>
        <v>#DIV/0!</v>
      </c>
      <c r="S26" s="409">
        <v>0.0</v>
      </c>
      <c r="T26" s="393" t="str">
        <f t="shared" si="2"/>
        <v>#DIV/0!</v>
      </c>
      <c r="U26" s="393">
        <f>S26*E25</f>
        <v>0</v>
      </c>
      <c r="V26" s="393">
        <f t="shared" si="3"/>
        <v>0</v>
      </c>
      <c r="W26" s="130" t="str">
        <f t="shared" si="4"/>
        <v>#DIV/0!</v>
      </c>
      <c r="X26" s="130"/>
    </row>
    <row r="27" ht="15.75" customHeight="1">
      <c r="A27" s="407"/>
      <c r="B27" s="42" t="s">
        <v>143</v>
      </c>
      <c r="E27" s="406">
        <f>SUM(E13/E25)</f>
        <v>15.17404631</v>
      </c>
      <c r="G27" s="167"/>
      <c r="H27" s="167"/>
      <c r="I27" s="167"/>
      <c r="J27" s="167"/>
      <c r="K27" s="167"/>
      <c r="L27" s="167"/>
      <c r="N27" s="392">
        <v>22.0</v>
      </c>
      <c r="O27" s="133" t="s">
        <v>430</v>
      </c>
      <c r="P27" s="394" t="s">
        <v>431</v>
      </c>
      <c r="Q27" s="409">
        <v>0.0</v>
      </c>
      <c r="R27" s="393" t="str">
        <f t="shared" si="1"/>
        <v>#DIV/0!</v>
      </c>
      <c r="S27" s="409">
        <v>0.0</v>
      </c>
      <c r="T27" s="393" t="str">
        <f t="shared" si="2"/>
        <v>#DIV/0!</v>
      </c>
      <c r="U27" s="393">
        <f>S27*E25</f>
        <v>0</v>
      </c>
      <c r="V27" s="393">
        <f t="shared" si="3"/>
        <v>0</v>
      </c>
      <c r="W27" s="130" t="str">
        <f t="shared" si="4"/>
        <v>#DIV/0!</v>
      </c>
      <c r="X27" s="130"/>
    </row>
    <row r="28" ht="15.75" customHeight="1">
      <c r="A28" s="407"/>
      <c r="G28" s="167"/>
      <c r="H28" s="167"/>
      <c r="I28" s="167"/>
      <c r="J28" s="167"/>
      <c r="K28" s="167"/>
      <c r="L28" s="167"/>
      <c r="N28" s="392">
        <v>23.0</v>
      </c>
      <c r="O28" s="133" t="s">
        <v>432</v>
      </c>
      <c r="P28" s="394" t="s">
        <v>431</v>
      </c>
      <c r="Q28" s="409">
        <v>0.0</v>
      </c>
      <c r="R28" s="393" t="str">
        <f t="shared" si="1"/>
        <v>#DIV/0!</v>
      </c>
      <c r="S28" s="409">
        <v>0.0</v>
      </c>
      <c r="T28" s="393" t="str">
        <f t="shared" si="2"/>
        <v>#DIV/0!</v>
      </c>
      <c r="U28" s="393">
        <f>S28*E25</f>
        <v>0</v>
      </c>
      <c r="V28" s="393">
        <f t="shared" si="3"/>
        <v>0</v>
      </c>
      <c r="W28" s="130" t="str">
        <f t="shared" si="4"/>
        <v>#DIV/0!</v>
      </c>
      <c r="X28" s="130"/>
    </row>
    <row r="29" ht="15.75" customHeight="1">
      <c r="A29" s="407"/>
      <c r="N29" s="392">
        <v>24.0</v>
      </c>
      <c r="O29" s="133" t="s">
        <v>433</v>
      </c>
      <c r="P29" s="394" t="s">
        <v>431</v>
      </c>
      <c r="Q29" s="409">
        <v>0.0</v>
      </c>
      <c r="R29" s="393" t="str">
        <f t="shared" si="1"/>
        <v>#DIV/0!</v>
      </c>
      <c r="S29" s="409">
        <v>0.0</v>
      </c>
      <c r="T29" s="393" t="str">
        <f t="shared" si="2"/>
        <v>#DIV/0!</v>
      </c>
      <c r="U29" s="393">
        <f>S29*E25</f>
        <v>0</v>
      </c>
      <c r="V29" s="393">
        <f t="shared" si="3"/>
        <v>0</v>
      </c>
      <c r="W29" s="130" t="str">
        <f t="shared" si="4"/>
        <v>#DIV/0!</v>
      </c>
      <c r="X29" s="130"/>
    </row>
    <row r="30" ht="15.75" customHeight="1">
      <c r="A30" s="407"/>
      <c r="N30" s="392">
        <v>25.0</v>
      </c>
      <c r="O30" s="133" t="s">
        <v>434</v>
      </c>
      <c r="P30" s="394" t="s">
        <v>431</v>
      </c>
      <c r="Q30" s="409">
        <v>0.0</v>
      </c>
      <c r="R30" s="393" t="str">
        <f t="shared" si="1"/>
        <v>#DIV/0!</v>
      </c>
      <c r="S30" s="409">
        <v>0.0</v>
      </c>
      <c r="T30" s="393" t="str">
        <f t="shared" si="2"/>
        <v>#DIV/0!</v>
      </c>
      <c r="U30" s="393">
        <f>S30*E25</f>
        <v>0</v>
      </c>
      <c r="V30" s="393">
        <f t="shared" si="3"/>
        <v>0</v>
      </c>
      <c r="W30" s="130" t="str">
        <f t="shared" si="4"/>
        <v>#DIV/0!</v>
      </c>
      <c r="X30" s="130"/>
    </row>
    <row r="31" ht="15.75" customHeight="1">
      <c r="A31" s="407"/>
      <c r="N31" s="392">
        <v>26.0</v>
      </c>
      <c r="O31" s="133" t="s">
        <v>435</v>
      </c>
      <c r="P31" s="394" t="s">
        <v>431</v>
      </c>
      <c r="Q31" s="409">
        <v>0.0</v>
      </c>
      <c r="R31" s="393" t="str">
        <f t="shared" si="1"/>
        <v>#DIV/0!</v>
      </c>
      <c r="S31" s="409">
        <v>0.0</v>
      </c>
      <c r="T31" s="393" t="str">
        <f t="shared" si="2"/>
        <v>#DIV/0!</v>
      </c>
      <c r="U31" s="393">
        <f>S31*E25</f>
        <v>0</v>
      </c>
      <c r="V31" s="393">
        <f t="shared" si="3"/>
        <v>0</v>
      </c>
      <c r="W31" s="130" t="str">
        <f t="shared" si="4"/>
        <v>#DIV/0!</v>
      </c>
      <c r="X31" s="130"/>
    </row>
    <row r="32" ht="15.75" customHeight="1">
      <c r="A32" s="407"/>
      <c r="N32" s="392">
        <v>27.0</v>
      </c>
      <c r="O32" s="133" t="s">
        <v>436</v>
      </c>
      <c r="P32" s="394" t="s">
        <v>431</v>
      </c>
      <c r="Q32" s="409">
        <v>0.0</v>
      </c>
      <c r="R32" s="393" t="str">
        <f t="shared" si="1"/>
        <v>#DIV/0!</v>
      </c>
      <c r="S32" s="409">
        <v>0.0</v>
      </c>
      <c r="T32" s="393" t="str">
        <f t="shared" si="2"/>
        <v>#DIV/0!</v>
      </c>
      <c r="U32" s="393">
        <f>S32*E25</f>
        <v>0</v>
      </c>
      <c r="V32" s="393">
        <f t="shared" si="3"/>
        <v>0</v>
      </c>
      <c r="W32" s="130" t="str">
        <f t="shared" si="4"/>
        <v>#DIV/0!</v>
      </c>
      <c r="X32" s="130"/>
    </row>
    <row r="33" ht="15.75" customHeight="1">
      <c r="A33" s="407"/>
      <c r="N33" s="392">
        <v>28.0</v>
      </c>
      <c r="O33" s="133" t="s">
        <v>437</v>
      </c>
      <c r="P33" s="394" t="s">
        <v>431</v>
      </c>
      <c r="Q33" s="409">
        <v>0.0</v>
      </c>
      <c r="R33" s="393" t="str">
        <f t="shared" si="1"/>
        <v>#DIV/0!</v>
      </c>
      <c r="S33" s="409">
        <v>0.0</v>
      </c>
      <c r="T33" s="393" t="str">
        <f t="shared" si="2"/>
        <v>#DIV/0!</v>
      </c>
      <c r="U33" s="393">
        <f>S33*E25</f>
        <v>0</v>
      </c>
      <c r="V33" s="393">
        <f t="shared" si="3"/>
        <v>0</v>
      </c>
      <c r="W33" s="130" t="str">
        <f t="shared" si="4"/>
        <v>#DIV/0!</v>
      </c>
      <c r="X33" s="130"/>
    </row>
    <row r="34" ht="15.75" customHeight="1">
      <c r="A34" s="407"/>
      <c r="N34" s="392">
        <v>29.0</v>
      </c>
      <c r="O34" s="133" t="s">
        <v>430</v>
      </c>
      <c r="P34" s="394" t="s">
        <v>431</v>
      </c>
      <c r="Q34" s="409">
        <v>0.0</v>
      </c>
      <c r="R34" s="393" t="str">
        <f t="shared" si="1"/>
        <v>#DIV/0!</v>
      </c>
      <c r="S34" s="409">
        <v>0.0</v>
      </c>
      <c r="T34" s="393" t="str">
        <f t="shared" si="2"/>
        <v>#DIV/0!</v>
      </c>
      <c r="U34" s="393">
        <f>S34*E25</f>
        <v>0</v>
      </c>
      <c r="V34" s="393">
        <f t="shared" si="3"/>
        <v>0</v>
      </c>
      <c r="W34" s="130" t="str">
        <f t="shared" si="4"/>
        <v>#DIV/0!</v>
      </c>
      <c r="X34" s="130"/>
    </row>
    <row r="35" ht="15.75" customHeight="1">
      <c r="A35" s="407"/>
      <c r="N35" s="392">
        <v>30.0</v>
      </c>
      <c r="O35" s="133" t="s">
        <v>432</v>
      </c>
      <c r="P35" s="394" t="s">
        <v>431</v>
      </c>
      <c r="Q35" s="409">
        <v>0.0</v>
      </c>
      <c r="R35" s="393" t="str">
        <f t="shared" si="1"/>
        <v>#DIV/0!</v>
      </c>
      <c r="S35" s="409">
        <v>0.0</v>
      </c>
      <c r="T35" s="393" t="str">
        <f t="shared" si="2"/>
        <v>#DIV/0!</v>
      </c>
      <c r="U35" s="393">
        <f>S35*E25</f>
        <v>0</v>
      </c>
      <c r="V35" s="393">
        <f t="shared" si="3"/>
        <v>0</v>
      </c>
      <c r="W35" s="130" t="str">
        <f t="shared" si="4"/>
        <v>#DIV/0!</v>
      </c>
      <c r="X35" s="130"/>
    </row>
    <row r="36" ht="15.75" customHeight="1">
      <c r="A36" s="407"/>
      <c r="N36" s="392"/>
      <c r="O36" s="392"/>
      <c r="P36" s="393"/>
      <c r="Q36" s="409"/>
      <c r="R36" s="393"/>
      <c r="S36" s="393"/>
      <c r="T36" s="393"/>
      <c r="U36" s="393"/>
      <c r="V36" s="393"/>
      <c r="W36" s="130"/>
      <c r="X36" s="130"/>
    </row>
    <row r="37" ht="15.75" customHeight="1">
      <c r="A37" s="407"/>
      <c r="N37" s="392"/>
      <c r="O37" s="392"/>
      <c r="P37" s="393"/>
      <c r="Q37" s="409"/>
      <c r="R37" s="393"/>
      <c r="S37" s="393"/>
      <c r="T37" s="393"/>
      <c r="U37" s="393"/>
      <c r="V37" s="393"/>
      <c r="W37" s="130"/>
      <c r="X37" s="130"/>
    </row>
    <row r="38" ht="15.75" customHeight="1">
      <c r="A38" s="407"/>
      <c r="B38" s="408" t="s">
        <v>439</v>
      </c>
      <c r="N38" s="391" t="s">
        <v>467</v>
      </c>
      <c r="X38" s="391" t="s">
        <v>425</v>
      </c>
    </row>
    <row r="39" ht="15.75" customHeight="1">
      <c r="A39" s="407"/>
      <c r="N39" s="391" t="s">
        <v>426</v>
      </c>
      <c r="O39" s="391" t="s">
        <v>109</v>
      </c>
      <c r="P39" s="391" t="s">
        <v>110</v>
      </c>
      <c r="Q39" s="391" t="s">
        <v>6</v>
      </c>
      <c r="R39" s="391" t="s">
        <v>441</v>
      </c>
      <c r="S39" s="391" t="s">
        <v>427</v>
      </c>
      <c r="T39" s="391" t="s">
        <v>428</v>
      </c>
      <c r="U39" s="391" t="s">
        <v>429</v>
      </c>
      <c r="V39" s="391" t="s">
        <v>29</v>
      </c>
      <c r="W39" s="391" t="s">
        <v>407</v>
      </c>
    </row>
    <row r="40" ht="15.75" customHeight="1">
      <c r="N40" s="392">
        <v>1.0</v>
      </c>
      <c r="O40" s="392" t="s">
        <v>430</v>
      </c>
      <c r="P40" s="394" t="s">
        <v>431</v>
      </c>
      <c r="Q40" s="409">
        <v>0.0</v>
      </c>
      <c r="R40" s="393" t="str">
        <f t="shared" ref="R40:R70" si="5">P40/Q40</f>
        <v>#DIV/0!</v>
      </c>
      <c r="S40" s="409">
        <v>0.0</v>
      </c>
      <c r="T40" s="393" t="str">
        <f t="shared" ref="T40:T70" si="6">P40/S40</f>
        <v>#DIV/0!</v>
      </c>
      <c r="U40" s="393">
        <f>S40*E59</f>
        <v>0</v>
      </c>
      <c r="V40" s="393">
        <f t="shared" ref="V40:V70" si="7">U40-P40</f>
        <v>0</v>
      </c>
      <c r="W40" s="130" t="str">
        <f t="shared" ref="W40:W70" si="8">V40/U40</f>
        <v>#DIV/0!</v>
      </c>
      <c r="X40" s="130"/>
    </row>
    <row r="41" ht="15.75" customHeight="1">
      <c r="B41" s="410" t="s">
        <v>124</v>
      </c>
      <c r="G41" s="396"/>
      <c r="H41" s="411" t="s">
        <v>125</v>
      </c>
      <c r="N41" s="392">
        <v>2.0</v>
      </c>
      <c r="O41" s="392" t="s">
        <v>432</v>
      </c>
      <c r="P41" s="394" t="s">
        <v>431</v>
      </c>
      <c r="Q41" s="409">
        <v>0.0</v>
      </c>
      <c r="R41" s="393" t="str">
        <f t="shared" si="5"/>
        <v>#DIV/0!</v>
      </c>
      <c r="S41" s="409">
        <v>0.0</v>
      </c>
      <c r="T41" s="393" t="str">
        <f t="shared" si="6"/>
        <v>#DIV/0!</v>
      </c>
      <c r="U41" s="393">
        <f>S41*E59</f>
        <v>0</v>
      </c>
      <c r="V41" s="393">
        <f t="shared" si="7"/>
        <v>0</v>
      </c>
      <c r="W41" s="130" t="str">
        <f t="shared" si="8"/>
        <v>#DIV/0!</v>
      </c>
      <c r="X41" s="130"/>
    </row>
    <row r="42" ht="15.75" customHeight="1">
      <c r="G42" s="396"/>
      <c r="N42" s="392">
        <v>3.0</v>
      </c>
      <c r="O42" s="392" t="s">
        <v>433</v>
      </c>
      <c r="P42" s="394" t="s">
        <v>431</v>
      </c>
      <c r="Q42" s="409">
        <v>0.0</v>
      </c>
      <c r="R42" s="393" t="str">
        <f t="shared" si="5"/>
        <v>#DIV/0!</v>
      </c>
      <c r="S42" s="409">
        <v>0.0</v>
      </c>
      <c r="T42" s="393" t="str">
        <f t="shared" si="6"/>
        <v>#DIV/0!</v>
      </c>
      <c r="U42" s="393">
        <f>S42*E59</f>
        <v>0</v>
      </c>
      <c r="V42" s="393">
        <f t="shared" si="7"/>
        <v>0</v>
      </c>
      <c r="W42" s="130" t="str">
        <f t="shared" si="8"/>
        <v>#DIV/0!</v>
      </c>
      <c r="X42" s="130"/>
    </row>
    <row r="43" ht="15.75" customHeight="1">
      <c r="B43" s="398" t="s">
        <v>442</v>
      </c>
      <c r="E43" s="400">
        <v>10000.0</v>
      </c>
      <c r="G43" s="42"/>
      <c r="H43" s="42" t="s">
        <v>129</v>
      </c>
      <c r="K43" s="399">
        <v>0.0</v>
      </c>
      <c r="N43" s="392">
        <v>4.0</v>
      </c>
      <c r="O43" s="392" t="s">
        <v>434</v>
      </c>
      <c r="P43" s="394" t="s">
        <v>431</v>
      </c>
      <c r="Q43" s="409">
        <v>0.0</v>
      </c>
      <c r="R43" s="393" t="str">
        <f t="shared" si="5"/>
        <v>#DIV/0!</v>
      </c>
      <c r="S43" s="409">
        <v>0.0</v>
      </c>
      <c r="T43" s="393" t="str">
        <f t="shared" si="6"/>
        <v>#DIV/0!</v>
      </c>
      <c r="U43" s="393">
        <f>S43*E59</f>
        <v>0</v>
      </c>
      <c r="V43" s="393">
        <f t="shared" si="7"/>
        <v>0</v>
      </c>
      <c r="W43" s="130" t="str">
        <f t="shared" si="8"/>
        <v>#DIV/0!</v>
      </c>
      <c r="X43" s="130"/>
    </row>
    <row r="44" ht="15.75" customHeight="1">
      <c r="G44" s="42"/>
      <c r="N44" s="392">
        <v>5.0</v>
      </c>
      <c r="O44" s="392" t="s">
        <v>435</v>
      </c>
      <c r="P44" s="394" t="s">
        <v>431</v>
      </c>
      <c r="Q44" s="409">
        <v>0.0</v>
      </c>
      <c r="R44" s="393" t="str">
        <f t="shared" si="5"/>
        <v>#DIV/0!</v>
      </c>
      <c r="S44" s="409">
        <v>0.0</v>
      </c>
      <c r="T44" s="393" t="str">
        <f t="shared" si="6"/>
        <v>#DIV/0!</v>
      </c>
      <c r="U44" s="393">
        <f>S44*E59</f>
        <v>0</v>
      </c>
      <c r="V44" s="393">
        <f t="shared" si="7"/>
        <v>0</v>
      </c>
      <c r="W44" s="130" t="str">
        <f t="shared" si="8"/>
        <v>#DIV/0!</v>
      </c>
      <c r="X44" s="130"/>
    </row>
    <row r="45" ht="15.75" customHeight="1">
      <c r="B45" s="42" t="s">
        <v>446</v>
      </c>
      <c r="E45" s="399">
        <v>0.5</v>
      </c>
      <c r="G45" s="167"/>
      <c r="H45" s="398" t="s">
        <v>447</v>
      </c>
      <c r="K45" s="412">
        <v>0.0</v>
      </c>
      <c r="N45" s="392">
        <v>6.0</v>
      </c>
      <c r="O45" s="392" t="s">
        <v>436</v>
      </c>
      <c r="P45" s="394" t="s">
        <v>431</v>
      </c>
      <c r="Q45" s="409">
        <v>0.0</v>
      </c>
      <c r="R45" s="393" t="str">
        <f t="shared" si="5"/>
        <v>#DIV/0!</v>
      </c>
      <c r="S45" s="409">
        <v>0.0</v>
      </c>
      <c r="T45" s="393" t="str">
        <f t="shared" si="6"/>
        <v>#DIV/0!</v>
      </c>
      <c r="U45" s="393">
        <f>S45*E59</f>
        <v>0</v>
      </c>
      <c r="V45" s="393">
        <f t="shared" si="7"/>
        <v>0</v>
      </c>
      <c r="W45" s="130" t="str">
        <f t="shared" si="8"/>
        <v>#DIV/0!</v>
      </c>
      <c r="X45" s="130"/>
    </row>
    <row r="46" ht="15.75" customHeight="1">
      <c r="G46" s="167"/>
      <c r="N46" s="392">
        <v>7.0</v>
      </c>
      <c r="O46" s="392" t="s">
        <v>437</v>
      </c>
      <c r="P46" s="394" t="s">
        <v>431</v>
      </c>
      <c r="Q46" s="409">
        <v>0.0</v>
      </c>
      <c r="R46" s="393" t="str">
        <f t="shared" si="5"/>
        <v>#DIV/0!</v>
      </c>
      <c r="S46" s="409">
        <v>0.0</v>
      </c>
      <c r="T46" s="393" t="str">
        <f t="shared" si="6"/>
        <v>#DIV/0!</v>
      </c>
      <c r="U46" s="393">
        <f>S46*E59</f>
        <v>0</v>
      </c>
      <c r="V46" s="393">
        <f t="shared" si="7"/>
        <v>0</v>
      </c>
      <c r="W46" s="130" t="str">
        <f t="shared" si="8"/>
        <v>#DIV/0!</v>
      </c>
      <c r="X46" s="130"/>
    </row>
    <row r="47" ht="15.75" customHeight="1">
      <c r="B47" s="398" t="s">
        <v>144</v>
      </c>
      <c r="E47" s="403">
        <f>SUM(E43*E45)</f>
        <v>5000</v>
      </c>
      <c r="G47" s="167"/>
      <c r="H47" s="42" t="s">
        <v>450</v>
      </c>
      <c r="K47" s="401" t="str">
        <f>SUM(K43/K45)</f>
        <v>#DIV/0!</v>
      </c>
      <c r="N47" s="392">
        <v>8.0</v>
      </c>
      <c r="O47" s="392" t="s">
        <v>430</v>
      </c>
      <c r="P47" s="394" t="s">
        <v>431</v>
      </c>
      <c r="Q47" s="409">
        <v>0.0</v>
      </c>
      <c r="R47" s="393" t="str">
        <f t="shared" si="5"/>
        <v>#DIV/0!</v>
      </c>
      <c r="S47" s="409">
        <v>0.0</v>
      </c>
      <c r="T47" s="393" t="str">
        <f t="shared" si="6"/>
        <v>#DIV/0!</v>
      </c>
      <c r="U47" s="393">
        <f>S47*E59</f>
        <v>0</v>
      </c>
      <c r="V47" s="393">
        <f t="shared" si="7"/>
        <v>0</v>
      </c>
      <c r="W47" s="130" t="str">
        <f t="shared" si="8"/>
        <v>#DIV/0!</v>
      </c>
      <c r="X47" s="130"/>
    </row>
    <row r="48" ht="15.75" customHeight="1">
      <c r="G48" s="167"/>
      <c r="N48" s="392">
        <v>9.0</v>
      </c>
      <c r="O48" s="392" t="s">
        <v>432</v>
      </c>
      <c r="P48" s="394" t="s">
        <v>431</v>
      </c>
      <c r="Q48" s="409">
        <v>0.0</v>
      </c>
      <c r="R48" s="393" t="str">
        <f t="shared" si="5"/>
        <v>#DIV/0!</v>
      </c>
      <c r="S48" s="409">
        <v>0.0</v>
      </c>
      <c r="T48" s="393" t="str">
        <f t="shared" si="6"/>
        <v>#DIV/0!</v>
      </c>
      <c r="U48" s="393">
        <f>S48*E59</f>
        <v>0</v>
      </c>
      <c r="V48" s="393">
        <f t="shared" si="7"/>
        <v>0</v>
      </c>
      <c r="W48" s="130" t="str">
        <f t="shared" si="8"/>
        <v>#DIV/0!</v>
      </c>
      <c r="X48" s="130"/>
    </row>
    <row r="49" ht="15.75" customHeight="1">
      <c r="B49" s="42" t="s">
        <v>453</v>
      </c>
      <c r="E49" s="400">
        <v>30.0</v>
      </c>
      <c r="G49" s="167"/>
      <c r="H49" s="398" t="s">
        <v>454</v>
      </c>
      <c r="K49" s="412">
        <v>0.0</v>
      </c>
      <c r="N49" s="392">
        <v>10.0</v>
      </c>
      <c r="O49" s="392" t="s">
        <v>433</v>
      </c>
      <c r="P49" s="394" t="s">
        <v>431</v>
      </c>
      <c r="Q49" s="409">
        <v>0.0</v>
      </c>
      <c r="R49" s="393" t="str">
        <f t="shared" si="5"/>
        <v>#DIV/0!</v>
      </c>
      <c r="S49" s="409">
        <v>0.0</v>
      </c>
      <c r="T49" s="393" t="str">
        <f t="shared" si="6"/>
        <v>#DIV/0!</v>
      </c>
      <c r="U49" s="393">
        <f>S49*E59</f>
        <v>0</v>
      </c>
      <c r="V49" s="393">
        <f t="shared" si="7"/>
        <v>0</v>
      </c>
      <c r="W49" s="130" t="str">
        <f t="shared" si="8"/>
        <v>#DIV/0!</v>
      </c>
      <c r="X49" s="130"/>
    </row>
    <row r="50" ht="15.75" customHeight="1">
      <c r="G50" s="167"/>
      <c r="N50" s="392">
        <v>11.0</v>
      </c>
      <c r="O50" s="392" t="s">
        <v>434</v>
      </c>
      <c r="P50" s="394" t="s">
        <v>431</v>
      </c>
      <c r="Q50" s="409">
        <v>0.0</v>
      </c>
      <c r="R50" s="393" t="str">
        <f t="shared" si="5"/>
        <v>#DIV/0!</v>
      </c>
      <c r="S50" s="409">
        <v>0.0</v>
      </c>
      <c r="T50" s="393" t="str">
        <f t="shared" si="6"/>
        <v>#DIV/0!</v>
      </c>
      <c r="U50" s="393">
        <f>S50*E59</f>
        <v>0</v>
      </c>
      <c r="V50" s="393">
        <f t="shared" si="7"/>
        <v>0</v>
      </c>
      <c r="W50" s="130" t="str">
        <f t="shared" si="8"/>
        <v>#DIV/0!</v>
      </c>
      <c r="X50" s="130"/>
    </row>
    <row r="51" ht="15.75" customHeight="1">
      <c r="B51" s="398" t="s">
        <v>147</v>
      </c>
      <c r="E51" s="403">
        <f>SUM(E47/E49)</f>
        <v>166.6666667</v>
      </c>
      <c r="G51" s="167"/>
      <c r="H51" s="42" t="s">
        <v>458</v>
      </c>
      <c r="K51" s="401">
        <f>SUM(K49*E59)</f>
        <v>0</v>
      </c>
      <c r="N51" s="392">
        <v>12.0</v>
      </c>
      <c r="O51" s="392" t="s">
        <v>435</v>
      </c>
      <c r="P51" s="394" t="s">
        <v>431</v>
      </c>
      <c r="Q51" s="409">
        <v>0.0</v>
      </c>
      <c r="R51" s="393" t="str">
        <f t="shared" si="5"/>
        <v>#DIV/0!</v>
      </c>
      <c r="S51" s="409">
        <v>0.0</v>
      </c>
      <c r="T51" s="393" t="str">
        <f t="shared" si="6"/>
        <v>#DIV/0!</v>
      </c>
      <c r="U51" s="393">
        <f>S51*E59</f>
        <v>0</v>
      </c>
      <c r="V51" s="393">
        <f t="shared" si="7"/>
        <v>0</v>
      </c>
      <c r="W51" s="130" t="str">
        <f t="shared" si="8"/>
        <v>#DIV/0!</v>
      </c>
      <c r="X51" s="130"/>
    </row>
    <row r="52" ht="15.75" customHeight="1">
      <c r="G52" s="167"/>
      <c r="N52" s="392">
        <v>13.0</v>
      </c>
      <c r="O52" s="392" t="s">
        <v>436</v>
      </c>
      <c r="P52" s="394" t="s">
        <v>431</v>
      </c>
      <c r="Q52" s="409">
        <v>0.0</v>
      </c>
      <c r="R52" s="393" t="str">
        <f t="shared" si="5"/>
        <v>#DIV/0!</v>
      </c>
      <c r="S52" s="409">
        <v>0.0</v>
      </c>
      <c r="T52" s="393" t="str">
        <f t="shared" si="6"/>
        <v>#DIV/0!</v>
      </c>
      <c r="U52" s="393">
        <f>S52*E59</f>
        <v>0</v>
      </c>
      <c r="V52" s="393">
        <f t="shared" si="7"/>
        <v>0</v>
      </c>
      <c r="W52" s="130" t="str">
        <f t="shared" si="8"/>
        <v>#DIV/0!</v>
      </c>
      <c r="X52" s="130"/>
    </row>
    <row r="53" ht="15.75" customHeight="1">
      <c r="B53" s="42" t="s">
        <v>460</v>
      </c>
      <c r="E53" s="406">
        <f>SUM(E43/E49)</f>
        <v>333.3333333</v>
      </c>
      <c r="G53" s="167"/>
      <c r="H53" s="398" t="s">
        <v>461</v>
      </c>
      <c r="K53" s="403" t="str">
        <f>SUM((K43-K51)/K45)</f>
        <v>#DIV/0!</v>
      </c>
      <c r="N53" s="392">
        <v>14.0</v>
      </c>
      <c r="O53" s="392" t="s">
        <v>437</v>
      </c>
      <c r="P53" s="394" t="s">
        <v>431</v>
      </c>
      <c r="Q53" s="409">
        <v>0.0</v>
      </c>
      <c r="R53" s="393" t="str">
        <f t="shared" si="5"/>
        <v>#DIV/0!</v>
      </c>
      <c r="S53" s="409">
        <v>0.0</v>
      </c>
      <c r="T53" s="393" t="str">
        <f t="shared" si="6"/>
        <v>#DIV/0!</v>
      </c>
      <c r="U53" s="393">
        <f>S53*E59</f>
        <v>0</v>
      </c>
      <c r="V53" s="393">
        <f t="shared" si="7"/>
        <v>0</v>
      </c>
      <c r="W53" s="130" t="str">
        <f t="shared" si="8"/>
        <v>#DIV/0!</v>
      </c>
      <c r="X53" s="130"/>
    </row>
    <row r="54" ht="15.75" customHeight="1">
      <c r="G54" s="167"/>
      <c r="N54" s="392">
        <v>15.0</v>
      </c>
      <c r="O54" s="133" t="s">
        <v>430</v>
      </c>
      <c r="P54" s="394" t="s">
        <v>431</v>
      </c>
      <c r="Q54" s="409">
        <v>0.0</v>
      </c>
      <c r="R54" s="393" t="str">
        <f t="shared" si="5"/>
        <v>#DIV/0!</v>
      </c>
      <c r="S54" s="409">
        <v>0.0</v>
      </c>
      <c r="T54" s="393" t="str">
        <f t="shared" si="6"/>
        <v>#DIV/0!</v>
      </c>
      <c r="U54" s="393">
        <f>S54*E59</f>
        <v>0</v>
      </c>
      <c r="V54" s="393">
        <f t="shared" si="7"/>
        <v>0</v>
      </c>
      <c r="W54" s="130" t="str">
        <f t="shared" si="8"/>
        <v>#DIV/0!</v>
      </c>
      <c r="X54" s="130"/>
    </row>
    <row r="55" ht="15.75" customHeight="1">
      <c r="B55" s="398" t="s">
        <v>462</v>
      </c>
      <c r="E55" s="399">
        <v>397.0</v>
      </c>
      <c r="G55" s="167"/>
      <c r="H55" s="42" t="s">
        <v>463</v>
      </c>
      <c r="K55" s="413">
        <f>SUM((K49*E59)-(K43))</f>
        <v>0</v>
      </c>
      <c r="N55" s="392">
        <v>16.0</v>
      </c>
      <c r="O55" s="133" t="s">
        <v>432</v>
      </c>
      <c r="P55" s="394" t="s">
        <v>431</v>
      </c>
      <c r="Q55" s="409">
        <v>0.0</v>
      </c>
      <c r="R55" s="393" t="str">
        <f t="shared" si="5"/>
        <v>#DIV/0!</v>
      </c>
      <c r="S55" s="409">
        <v>0.0</v>
      </c>
      <c r="T55" s="393" t="str">
        <f t="shared" si="6"/>
        <v>#DIV/0!</v>
      </c>
      <c r="U55" s="393">
        <f>S55*E59</f>
        <v>0</v>
      </c>
      <c r="V55" s="393">
        <f t="shared" si="7"/>
        <v>0</v>
      </c>
      <c r="W55" s="130" t="str">
        <f t="shared" si="8"/>
        <v>#DIV/0!</v>
      </c>
      <c r="X55" s="130"/>
    </row>
    <row r="56" ht="15.75" customHeight="1">
      <c r="G56" s="167"/>
      <c r="N56" s="392">
        <v>17.0</v>
      </c>
      <c r="O56" s="133" t="s">
        <v>433</v>
      </c>
      <c r="P56" s="394" t="s">
        <v>431</v>
      </c>
      <c r="Q56" s="409">
        <v>0.0</v>
      </c>
      <c r="R56" s="393" t="str">
        <f t="shared" si="5"/>
        <v>#DIV/0!</v>
      </c>
      <c r="S56" s="409">
        <v>0.0</v>
      </c>
      <c r="T56" s="393" t="str">
        <f t="shared" si="6"/>
        <v>#DIV/0!</v>
      </c>
      <c r="U56" s="393">
        <f>S56*E59</f>
        <v>0</v>
      </c>
      <c r="V56" s="393">
        <f t="shared" si="7"/>
        <v>0</v>
      </c>
      <c r="W56" s="130" t="str">
        <f t="shared" si="8"/>
        <v>#DIV/0!</v>
      </c>
      <c r="X56" s="130"/>
    </row>
    <row r="57" ht="15.75" customHeight="1">
      <c r="B57" s="42" t="s">
        <v>465</v>
      </c>
      <c r="E57" s="399">
        <f>27.39+1+2.49+36.61</f>
        <v>67.49</v>
      </c>
      <c r="G57" s="167"/>
      <c r="H57" s="167"/>
      <c r="I57" s="167"/>
      <c r="J57" s="167"/>
      <c r="K57" s="167"/>
      <c r="L57" s="167"/>
      <c r="N57" s="392">
        <v>18.0</v>
      </c>
      <c r="O57" s="133" t="s">
        <v>434</v>
      </c>
      <c r="P57" s="394" t="s">
        <v>431</v>
      </c>
      <c r="Q57" s="409">
        <v>0.0</v>
      </c>
      <c r="R57" s="393" t="str">
        <f t="shared" si="5"/>
        <v>#DIV/0!</v>
      </c>
      <c r="S57" s="409">
        <v>0.0</v>
      </c>
      <c r="T57" s="393" t="str">
        <f t="shared" si="6"/>
        <v>#DIV/0!</v>
      </c>
      <c r="U57" s="393">
        <f>S57*E59</f>
        <v>0</v>
      </c>
      <c r="V57" s="393">
        <f t="shared" si="7"/>
        <v>0</v>
      </c>
      <c r="W57" s="130" t="str">
        <f t="shared" si="8"/>
        <v>#DIV/0!</v>
      </c>
      <c r="X57" s="130"/>
    </row>
    <row r="58" ht="15.75" customHeight="1">
      <c r="G58" s="167"/>
      <c r="H58" s="167"/>
      <c r="I58" s="167"/>
      <c r="J58" s="167"/>
      <c r="K58" s="167"/>
      <c r="L58" s="167"/>
      <c r="N58" s="392">
        <v>19.0</v>
      </c>
      <c r="O58" s="133" t="s">
        <v>435</v>
      </c>
      <c r="P58" s="394" t="s">
        <v>431</v>
      </c>
      <c r="Q58" s="409">
        <v>0.0</v>
      </c>
      <c r="R58" s="393" t="str">
        <f t="shared" si="5"/>
        <v>#DIV/0!</v>
      </c>
      <c r="S58" s="409">
        <v>0.0</v>
      </c>
      <c r="T58" s="393" t="str">
        <f t="shared" si="6"/>
        <v>#DIV/0!</v>
      </c>
      <c r="U58" s="393">
        <f>S58*E59</f>
        <v>0</v>
      </c>
      <c r="V58" s="393">
        <f t="shared" si="7"/>
        <v>0</v>
      </c>
      <c r="W58" s="130" t="str">
        <f t="shared" si="8"/>
        <v>#DIV/0!</v>
      </c>
      <c r="X58" s="130"/>
    </row>
    <row r="59" ht="15.75" customHeight="1">
      <c r="B59" s="398" t="s">
        <v>466</v>
      </c>
      <c r="E59" s="403">
        <f>SUM(E55-E57)</f>
        <v>329.51</v>
      </c>
      <c r="G59" s="167"/>
      <c r="H59" s="167"/>
      <c r="I59" s="167"/>
      <c r="J59" s="167"/>
      <c r="K59" s="167"/>
      <c r="L59" s="167"/>
      <c r="N59" s="392">
        <v>20.0</v>
      </c>
      <c r="O59" s="133" t="s">
        <v>436</v>
      </c>
      <c r="P59" s="394" t="s">
        <v>431</v>
      </c>
      <c r="Q59" s="409">
        <v>0.0</v>
      </c>
      <c r="R59" s="393" t="str">
        <f t="shared" si="5"/>
        <v>#DIV/0!</v>
      </c>
      <c r="S59" s="409">
        <v>0.0</v>
      </c>
      <c r="T59" s="393" t="str">
        <f t="shared" si="6"/>
        <v>#DIV/0!</v>
      </c>
      <c r="U59" s="393">
        <f>S59*E59</f>
        <v>0</v>
      </c>
      <c r="V59" s="393">
        <f t="shared" si="7"/>
        <v>0</v>
      </c>
      <c r="W59" s="130" t="str">
        <f t="shared" si="8"/>
        <v>#DIV/0!</v>
      </c>
      <c r="X59" s="130"/>
    </row>
    <row r="60" ht="15.75" customHeight="1">
      <c r="G60" s="167"/>
      <c r="H60" s="167"/>
      <c r="I60" s="167"/>
      <c r="J60" s="167"/>
      <c r="K60" s="167"/>
      <c r="L60" s="167"/>
      <c r="N60" s="392">
        <v>21.0</v>
      </c>
      <c r="O60" s="133" t="s">
        <v>437</v>
      </c>
      <c r="P60" s="394" t="s">
        <v>431</v>
      </c>
      <c r="Q60" s="409">
        <v>0.0</v>
      </c>
      <c r="R60" s="393" t="str">
        <f t="shared" si="5"/>
        <v>#DIV/0!</v>
      </c>
      <c r="S60" s="409">
        <v>0.0</v>
      </c>
      <c r="T60" s="393" t="str">
        <f t="shared" si="6"/>
        <v>#DIV/0!</v>
      </c>
      <c r="U60" s="393">
        <f>S60*E59</f>
        <v>0</v>
      </c>
      <c r="V60" s="393">
        <f t="shared" si="7"/>
        <v>0</v>
      </c>
      <c r="W60" s="130" t="str">
        <f t="shared" si="8"/>
        <v>#DIV/0!</v>
      </c>
      <c r="X60" s="130"/>
    </row>
    <row r="61" ht="15.75" customHeight="1">
      <c r="B61" s="42" t="s">
        <v>143</v>
      </c>
      <c r="E61" s="406">
        <f>SUM(E47/E59)</f>
        <v>15.17404631</v>
      </c>
      <c r="G61" s="167"/>
      <c r="H61" s="167"/>
      <c r="I61" s="167"/>
      <c r="J61" s="167"/>
      <c r="K61" s="167"/>
      <c r="L61" s="167"/>
      <c r="N61" s="392">
        <v>22.0</v>
      </c>
      <c r="O61" s="133" t="s">
        <v>430</v>
      </c>
      <c r="P61" s="394" t="s">
        <v>431</v>
      </c>
      <c r="Q61" s="409">
        <v>0.0</v>
      </c>
      <c r="R61" s="393" t="str">
        <f t="shared" si="5"/>
        <v>#DIV/0!</v>
      </c>
      <c r="S61" s="409">
        <v>0.0</v>
      </c>
      <c r="T61" s="393" t="str">
        <f t="shared" si="6"/>
        <v>#DIV/0!</v>
      </c>
      <c r="U61" s="393">
        <f>S61*E59</f>
        <v>0</v>
      </c>
      <c r="V61" s="393">
        <f t="shared" si="7"/>
        <v>0</v>
      </c>
      <c r="W61" s="130" t="str">
        <f t="shared" si="8"/>
        <v>#DIV/0!</v>
      </c>
      <c r="X61" s="130"/>
    </row>
    <row r="62" ht="15.75" customHeight="1">
      <c r="G62" s="167"/>
      <c r="H62" s="167"/>
      <c r="I62" s="167"/>
      <c r="J62" s="167"/>
      <c r="K62" s="167"/>
      <c r="L62" s="167"/>
      <c r="N62" s="392">
        <v>23.0</v>
      </c>
      <c r="O62" s="133" t="s">
        <v>432</v>
      </c>
      <c r="P62" s="394" t="s">
        <v>431</v>
      </c>
      <c r="Q62" s="409">
        <v>0.0</v>
      </c>
      <c r="R62" s="393" t="str">
        <f t="shared" si="5"/>
        <v>#DIV/0!</v>
      </c>
      <c r="S62" s="409">
        <v>0.0</v>
      </c>
      <c r="T62" s="393" t="str">
        <f t="shared" si="6"/>
        <v>#DIV/0!</v>
      </c>
      <c r="U62" s="393">
        <f>S62*E59</f>
        <v>0</v>
      </c>
      <c r="V62" s="393">
        <f t="shared" si="7"/>
        <v>0</v>
      </c>
      <c r="W62" s="130" t="str">
        <f t="shared" si="8"/>
        <v>#DIV/0!</v>
      </c>
      <c r="X62" s="130"/>
    </row>
    <row r="63" ht="15.75" customHeight="1">
      <c r="N63" s="392">
        <v>24.0</v>
      </c>
      <c r="O63" s="133" t="s">
        <v>433</v>
      </c>
      <c r="P63" s="394" t="s">
        <v>431</v>
      </c>
      <c r="Q63" s="409">
        <v>0.0</v>
      </c>
      <c r="R63" s="393" t="str">
        <f t="shared" si="5"/>
        <v>#DIV/0!</v>
      </c>
      <c r="S63" s="409">
        <v>0.0</v>
      </c>
      <c r="T63" s="393" t="str">
        <f t="shared" si="6"/>
        <v>#DIV/0!</v>
      </c>
      <c r="U63" s="393">
        <f>S63*E59</f>
        <v>0</v>
      </c>
      <c r="V63" s="393">
        <f t="shared" si="7"/>
        <v>0</v>
      </c>
      <c r="W63" s="130" t="str">
        <f t="shared" si="8"/>
        <v>#DIV/0!</v>
      </c>
      <c r="X63" s="130"/>
    </row>
    <row r="64" ht="15.75" customHeight="1">
      <c r="N64" s="392">
        <v>25.0</v>
      </c>
      <c r="O64" s="133" t="s">
        <v>434</v>
      </c>
      <c r="P64" s="394" t="s">
        <v>431</v>
      </c>
      <c r="Q64" s="409">
        <v>0.0</v>
      </c>
      <c r="R64" s="393" t="str">
        <f t="shared" si="5"/>
        <v>#DIV/0!</v>
      </c>
      <c r="S64" s="409">
        <v>0.0</v>
      </c>
      <c r="T64" s="393" t="str">
        <f t="shared" si="6"/>
        <v>#DIV/0!</v>
      </c>
      <c r="U64" s="393">
        <f>S64*E59</f>
        <v>0</v>
      </c>
      <c r="V64" s="393">
        <f t="shared" si="7"/>
        <v>0</v>
      </c>
      <c r="W64" s="130" t="str">
        <f t="shared" si="8"/>
        <v>#DIV/0!</v>
      </c>
      <c r="X64" s="130"/>
    </row>
    <row r="65" ht="15.75" customHeight="1">
      <c r="N65" s="392">
        <v>26.0</v>
      </c>
      <c r="O65" s="133" t="s">
        <v>435</v>
      </c>
      <c r="P65" s="394" t="s">
        <v>431</v>
      </c>
      <c r="Q65" s="409">
        <v>0.0</v>
      </c>
      <c r="R65" s="393" t="str">
        <f t="shared" si="5"/>
        <v>#DIV/0!</v>
      </c>
      <c r="S65" s="409">
        <v>0.0</v>
      </c>
      <c r="T65" s="393" t="str">
        <f t="shared" si="6"/>
        <v>#DIV/0!</v>
      </c>
      <c r="U65" s="393">
        <f>S65*E59</f>
        <v>0</v>
      </c>
      <c r="V65" s="393">
        <f t="shared" si="7"/>
        <v>0</v>
      </c>
      <c r="W65" s="130" t="str">
        <f t="shared" si="8"/>
        <v>#DIV/0!</v>
      </c>
      <c r="X65" s="130"/>
    </row>
    <row r="66" ht="15.75" customHeight="1">
      <c r="N66" s="392">
        <v>27.0</v>
      </c>
      <c r="O66" s="133" t="s">
        <v>436</v>
      </c>
      <c r="P66" s="394" t="s">
        <v>431</v>
      </c>
      <c r="Q66" s="409">
        <v>0.0</v>
      </c>
      <c r="R66" s="393" t="str">
        <f t="shared" si="5"/>
        <v>#DIV/0!</v>
      </c>
      <c r="S66" s="409">
        <v>0.0</v>
      </c>
      <c r="T66" s="393" t="str">
        <f t="shared" si="6"/>
        <v>#DIV/0!</v>
      </c>
      <c r="U66" s="393">
        <f>S66*E59</f>
        <v>0</v>
      </c>
      <c r="V66" s="393">
        <f t="shared" si="7"/>
        <v>0</v>
      </c>
      <c r="W66" s="130" t="str">
        <f t="shared" si="8"/>
        <v>#DIV/0!</v>
      </c>
      <c r="X66" s="130"/>
    </row>
    <row r="67" ht="15.75" customHeight="1">
      <c r="N67" s="392">
        <v>28.0</v>
      </c>
      <c r="O67" s="133" t="s">
        <v>437</v>
      </c>
      <c r="P67" s="394" t="s">
        <v>431</v>
      </c>
      <c r="Q67" s="409">
        <v>0.0</v>
      </c>
      <c r="R67" s="393" t="str">
        <f t="shared" si="5"/>
        <v>#DIV/0!</v>
      </c>
      <c r="S67" s="409">
        <v>0.0</v>
      </c>
      <c r="T67" s="393" t="str">
        <f t="shared" si="6"/>
        <v>#DIV/0!</v>
      </c>
      <c r="U67" s="393">
        <f>S67*E59</f>
        <v>0</v>
      </c>
      <c r="V67" s="393">
        <f t="shared" si="7"/>
        <v>0</v>
      </c>
      <c r="W67" s="130" t="str">
        <f t="shared" si="8"/>
        <v>#DIV/0!</v>
      </c>
      <c r="X67" s="130"/>
    </row>
    <row r="68" ht="15.75" customHeight="1">
      <c r="N68" s="392">
        <v>29.0</v>
      </c>
      <c r="O68" s="133" t="s">
        <v>430</v>
      </c>
      <c r="P68" s="394" t="s">
        <v>431</v>
      </c>
      <c r="Q68" s="409">
        <v>0.0</v>
      </c>
      <c r="R68" s="393" t="str">
        <f t="shared" si="5"/>
        <v>#DIV/0!</v>
      </c>
      <c r="S68" s="409">
        <v>0.0</v>
      </c>
      <c r="T68" s="393" t="str">
        <f t="shared" si="6"/>
        <v>#DIV/0!</v>
      </c>
      <c r="U68" s="393">
        <f>S68*E59</f>
        <v>0</v>
      </c>
      <c r="V68" s="393">
        <f t="shared" si="7"/>
        <v>0</v>
      </c>
      <c r="W68" s="130" t="str">
        <f t="shared" si="8"/>
        <v>#DIV/0!</v>
      </c>
      <c r="X68" s="130"/>
    </row>
    <row r="69" ht="15.75" customHeight="1">
      <c r="N69" s="392">
        <v>30.0</v>
      </c>
      <c r="O69" s="133" t="s">
        <v>432</v>
      </c>
      <c r="P69" s="394" t="s">
        <v>431</v>
      </c>
      <c r="Q69" s="409">
        <v>0.0</v>
      </c>
      <c r="R69" s="393" t="str">
        <f t="shared" si="5"/>
        <v>#DIV/0!</v>
      </c>
      <c r="S69" s="409">
        <v>0.0</v>
      </c>
      <c r="T69" s="393" t="str">
        <f t="shared" si="6"/>
        <v>#DIV/0!</v>
      </c>
      <c r="U69" s="393">
        <f>S69*E59</f>
        <v>0</v>
      </c>
      <c r="V69" s="393">
        <f t="shared" si="7"/>
        <v>0</v>
      </c>
      <c r="W69" s="130" t="str">
        <f t="shared" si="8"/>
        <v>#DIV/0!</v>
      </c>
      <c r="X69" s="130"/>
    </row>
    <row r="70" ht="15.75" customHeight="1">
      <c r="N70" s="392">
        <v>31.0</v>
      </c>
      <c r="O70" s="133" t="s">
        <v>433</v>
      </c>
      <c r="P70" s="394" t="s">
        <v>431</v>
      </c>
      <c r="Q70" s="409">
        <v>0.0</v>
      </c>
      <c r="R70" s="393" t="str">
        <f t="shared" si="5"/>
        <v>#DIV/0!</v>
      </c>
      <c r="S70" s="409">
        <v>0.0</v>
      </c>
      <c r="T70" s="393" t="str">
        <f t="shared" si="6"/>
        <v>#DIV/0!</v>
      </c>
      <c r="U70" s="393">
        <f>S70*E59</f>
        <v>0</v>
      </c>
      <c r="V70" s="393">
        <f t="shared" si="7"/>
        <v>0</v>
      </c>
      <c r="W70" s="130" t="str">
        <f t="shared" si="8"/>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W4"/>
    <mergeCell ref="X4:X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W38"/>
    <mergeCell ref="X38:X39"/>
    <mergeCell ref="B23:D24"/>
    <mergeCell ref="E23:F24"/>
    <mergeCell ref="B25:D26"/>
    <mergeCell ref="E25:F26"/>
    <mergeCell ref="B27:D28"/>
    <mergeCell ref="E27:F28"/>
    <mergeCell ref="B38:L4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49.86"/>
  </cols>
  <sheetData>
    <row r="4">
      <c r="A4" s="407"/>
      <c r="B4" s="408" t="s">
        <v>424</v>
      </c>
      <c r="N4" s="391"/>
      <c r="W4" s="391" t="s">
        <v>425</v>
      </c>
    </row>
    <row r="5">
      <c r="A5" s="407"/>
      <c r="N5" s="391" t="s">
        <v>109</v>
      </c>
      <c r="O5" s="391" t="s">
        <v>110</v>
      </c>
      <c r="P5" s="391" t="s">
        <v>6</v>
      </c>
      <c r="Q5" s="391" t="s">
        <v>441</v>
      </c>
      <c r="R5" s="391" t="s">
        <v>427</v>
      </c>
      <c r="S5" s="391" t="s">
        <v>428</v>
      </c>
      <c r="T5" s="391" t="s">
        <v>429</v>
      </c>
      <c r="U5" s="391" t="s">
        <v>29</v>
      </c>
      <c r="V5" s="391" t="s">
        <v>407</v>
      </c>
    </row>
    <row r="6">
      <c r="A6" s="407"/>
      <c r="N6" s="392" t="s">
        <v>430</v>
      </c>
      <c r="O6" s="393">
        <v>0.0</v>
      </c>
      <c r="P6" s="402"/>
      <c r="Q6" s="402"/>
      <c r="R6" s="402"/>
      <c r="S6" s="393" t="str">
        <f t="shared" ref="S6:S35" si="1">O6/R6</f>
        <v>#DIV/0!</v>
      </c>
      <c r="T6" s="393">
        <f>R6*E25</f>
        <v>0</v>
      </c>
      <c r="U6" s="393">
        <f t="shared" ref="U6:U35" si="2">T6-O6</f>
        <v>0</v>
      </c>
      <c r="V6" s="130" t="str">
        <f t="shared" ref="V6:V35" si="3">U6/T6</f>
        <v>#DIV/0!</v>
      </c>
      <c r="W6" s="130"/>
    </row>
    <row r="7">
      <c r="A7" s="407"/>
      <c r="B7" s="410" t="s">
        <v>124</v>
      </c>
      <c r="G7" s="396"/>
      <c r="H7" s="411" t="s">
        <v>125</v>
      </c>
      <c r="N7" s="414"/>
      <c r="O7" s="393"/>
      <c r="P7" s="402"/>
      <c r="Q7" s="402"/>
      <c r="R7" s="402"/>
      <c r="S7" s="393" t="str">
        <f t="shared" si="1"/>
        <v>#DIV/0!</v>
      </c>
      <c r="T7" s="393">
        <f>R7*E25</f>
        <v>0</v>
      </c>
      <c r="U7" s="393">
        <f t="shared" si="2"/>
        <v>0</v>
      </c>
      <c r="V7" s="130" t="str">
        <f t="shared" si="3"/>
        <v>#DIV/0!</v>
      </c>
      <c r="W7" s="130"/>
    </row>
    <row r="8">
      <c r="A8" s="407"/>
      <c r="G8" s="396"/>
      <c r="N8" s="414"/>
      <c r="O8" s="393"/>
      <c r="P8" s="402"/>
      <c r="Q8" s="402"/>
      <c r="R8" s="402"/>
      <c r="S8" s="393" t="str">
        <f t="shared" si="1"/>
        <v>#DIV/0!</v>
      </c>
      <c r="T8" s="393">
        <f>R8*E25</f>
        <v>0</v>
      </c>
      <c r="U8" s="393">
        <f t="shared" si="2"/>
        <v>0</v>
      </c>
      <c r="V8" s="130" t="str">
        <f t="shared" si="3"/>
        <v>#DIV/0!</v>
      </c>
      <c r="W8" s="130"/>
    </row>
    <row r="9">
      <c r="A9" s="407"/>
      <c r="B9" s="398" t="s">
        <v>442</v>
      </c>
      <c r="E9" s="400">
        <v>10000.0</v>
      </c>
      <c r="G9" s="42"/>
      <c r="H9" s="42" t="s">
        <v>129</v>
      </c>
      <c r="K9" s="399">
        <f>SUM(O6:O35)</f>
        <v>0</v>
      </c>
      <c r="N9" s="414"/>
      <c r="O9" s="393"/>
      <c r="P9" s="402"/>
      <c r="Q9" s="402"/>
      <c r="R9" s="402"/>
      <c r="S9" s="393" t="str">
        <f t="shared" si="1"/>
        <v>#DIV/0!</v>
      </c>
      <c r="T9" s="393">
        <f>R9*E25</f>
        <v>0</v>
      </c>
      <c r="U9" s="393">
        <f t="shared" si="2"/>
        <v>0</v>
      </c>
      <c r="V9" s="130" t="str">
        <f t="shared" si="3"/>
        <v>#DIV/0!</v>
      </c>
      <c r="W9" s="130"/>
    </row>
    <row r="10">
      <c r="A10" s="407"/>
      <c r="G10" s="42"/>
      <c r="N10" s="414"/>
      <c r="O10" s="393"/>
      <c r="P10" s="402"/>
      <c r="Q10" s="393"/>
      <c r="R10" s="409"/>
      <c r="S10" s="393" t="str">
        <f t="shared" si="1"/>
        <v>#DIV/0!</v>
      </c>
      <c r="T10" s="393">
        <f>R10*E25</f>
        <v>0</v>
      </c>
      <c r="U10" s="393">
        <f t="shared" si="2"/>
        <v>0</v>
      </c>
      <c r="V10" s="130" t="str">
        <f t="shared" si="3"/>
        <v>#DIV/0!</v>
      </c>
      <c r="W10" s="130"/>
    </row>
    <row r="11">
      <c r="A11" s="407"/>
      <c r="B11" s="42" t="s">
        <v>446</v>
      </c>
      <c r="E11" s="399">
        <v>0.5</v>
      </c>
      <c r="G11" s="167"/>
      <c r="H11" s="398" t="s">
        <v>447</v>
      </c>
      <c r="K11" s="412">
        <f>SUM(P6:P35)</f>
        <v>0</v>
      </c>
      <c r="N11" s="414"/>
      <c r="O11" s="393"/>
      <c r="P11" s="402"/>
      <c r="Q11" s="393"/>
      <c r="R11" s="409"/>
      <c r="S11" s="393" t="str">
        <f t="shared" si="1"/>
        <v>#DIV/0!</v>
      </c>
      <c r="T11" s="393">
        <f>R11*E25</f>
        <v>0</v>
      </c>
      <c r="U11" s="393">
        <f t="shared" si="2"/>
        <v>0</v>
      </c>
      <c r="V11" s="130" t="str">
        <f t="shared" si="3"/>
        <v>#DIV/0!</v>
      </c>
      <c r="W11" s="130"/>
    </row>
    <row r="12">
      <c r="A12" s="407"/>
      <c r="G12" s="167"/>
      <c r="N12" s="414"/>
      <c r="O12" s="393"/>
      <c r="P12" s="402"/>
      <c r="Q12" s="393"/>
      <c r="R12" s="409"/>
      <c r="S12" s="393" t="str">
        <f t="shared" si="1"/>
        <v>#DIV/0!</v>
      </c>
      <c r="T12" s="393">
        <f>R12*E25</f>
        <v>0</v>
      </c>
      <c r="U12" s="393">
        <f t="shared" si="2"/>
        <v>0</v>
      </c>
      <c r="V12" s="130" t="str">
        <f t="shared" si="3"/>
        <v>#DIV/0!</v>
      </c>
      <c r="W12" s="130"/>
    </row>
    <row r="13">
      <c r="A13" s="407"/>
      <c r="B13" s="398" t="s">
        <v>144</v>
      </c>
      <c r="E13" s="403">
        <f>SUM(E9*E11)</f>
        <v>5000</v>
      </c>
      <c r="G13" s="167"/>
      <c r="H13" s="42" t="s">
        <v>450</v>
      </c>
      <c r="K13" s="401" t="str">
        <f>SUM(K9/K11)</f>
        <v>#DIV/0!</v>
      </c>
      <c r="N13" s="414"/>
      <c r="O13" s="393"/>
      <c r="P13" s="402"/>
      <c r="Q13" s="393"/>
      <c r="R13" s="409"/>
      <c r="S13" s="393" t="str">
        <f t="shared" si="1"/>
        <v>#DIV/0!</v>
      </c>
      <c r="T13" s="393">
        <f>R13*E25</f>
        <v>0</v>
      </c>
      <c r="U13" s="393">
        <f t="shared" si="2"/>
        <v>0</v>
      </c>
      <c r="V13" s="130" t="str">
        <f t="shared" si="3"/>
        <v>#DIV/0!</v>
      </c>
      <c r="W13" s="130"/>
    </row>
    <row r="14">
      <c r="A14" s="407"/>
      <c r="G14" s="167"/>
      <c r="N14" s="414"/>
      <c r="O14" s="393"/>
      <c r="P14" s="402"/>
      <c r="Q14" s="393"/>
      <c r="R14" s="409"/>
      <c r="S14" s="393" t="str">
        <f t="shared" si="1"/>
        <v>#DIV/0!</v>
      </c>
      <c r="T14" s="393">
        <f>R14*E25</f>
        <v>0</v>
      </c>
      <c r="U14" s="393">
        <f t="shared" si="2"/>
        <v>0</v>
      </c>
      <c r="V14" s="130" t="str">
        <f t="shared" si="3"/>
        <v>#DIV/0!</v>
      </c>
      <c r="W14" s="130"/>
    </row>
    <row r="15">
      <c r="A15" s="407"/>
      <c r="B15" s="42" t="s">
        <v>453</v>
      </c>
      <c r="E15" s="400">
        <v>30.0</v>
      </c>
      <c r="G15" s="167"/>
      <c r="H15" s="398" t="s">
        <v>454</v>
      </c>
      <c r="K15" s="412">
        <f>SUM(R6:R35)</f>
        <v>0</v>
      </c>
      <c r="N15" s="414"/>
      <c r="O15" s="393"/>
      <c r="P15" s="402"/>
      <c r="Q15" s="393"/>
      <c r="R15" s="409"/>
      <c r="S15" s="393" t="str">
        <f t="shared" si="1"/>
        <v>#DIV/0!</v>
      </c>
      <c r="T15" s="393">
        <f>R15*E25</f>
        <v>0</v>
      </c>
      <c r="U15" s="393">
        <f t="shared" si="2"/>
        <v>0</v>
      </c>
      <c r="V15" s="130" t="str">
        <f t="shared" si="3"/>
        <v>#DIV/0!</v>
      </c>
      <c r="W15" s="371" t="s">
        <v>456</v>
      </c>
    </row>
    <row r="16">
      <c r="A16" s="407"/>
      <c r="G16" s="167"/>
      <c r="N16" s="414"/>
      <c r="O16" s="393"/>
      <c r="P16" s="402"/>
      <c r="Q16" s="393"/>
      <c r="R16" s="409"/>
      <c r="S16" s="393" t="str">
        <f t="shared" si="1"/>
        <v>#DIV/0!</v>
      </c>
      <c r="T16" s="393">
        <f>R16*E25</f>
        <v>0</v>
      </c>
      <c r="U16" s="393">
        <f t="shared" si="2"/>
        <v>0</v>
      </c>
      <c r="V16" s="130" t="str">
        <f t="shared" si="3"/>
        <v>#DIV/0!</v>
      </c>
      <c r="W16" s="130"/>
    </row>
    <row r="17">
      <c r="A17" s="407"/>
      <c r="B17" s="398" t="s">
        <v>147</v>
      </c>
      <c r="E17" s="403">
        <f>SUM(E13/E15)</f>
        <v>166.6666667</v>
      </c>
      <c r="G17" s="167"/>
      <c r="H17" s="42" t="s">
        <v>458</v>
      </c>
      <c r="K17" s="401">
        <f>SUM(K15*E25)</f>
        <v>0</v>
      </c>
      <c r="N17" s="414"/>
      <c r="O17" s="393"/>
      <c r="P17" s="402"/>
      <c r="Q17" s="393"/>
      <c r="R17" s="409"/>
      <c r="S17" s="393" t="str">
        <f t="shared" si="1"/>
        <v>#DIV/0!</v>
      </c>
      <c r="T17" s="393">
        <f>R17*E25</f>
        <v>0</v>
      </c>
      <c r="U17" s="393">
        <f t="shared" si="2"/>
        <v>0</v>
      </c>
      <c r="V17" s="130" t="str">
        <f t="shared" si="3"/>
        <v>#DIV/0!</v>
      </c>
      <c r="W17" s="130"/>
    </row>
    <row r="18">
      <c r="A18" s="407"/>
      <c r="G18" s="167"/>
      <c r="N18" s="414"/>
      <c r="O18" s="393"/>
      <c r="P18" s="402"/>
      <c r="Q18" s="393"/>
      <c r="R18" s="409"/>
      <c r="S18" s="393" t="str">
        <f t="shared" si="1"/>
        <v>#DIV/0!</v>
      </c>
      <c r="T18" s="393">
        <f>R18*E25</f>
        <v>0</v>
      </c>
      <c r="U18" s="393">
        <f t="shared" si="2"/>
        <v>0</v>
      </c>
      <c r="V18" s="130" t="str">
        <f t="shared" si="3"/>
        <v>#DIV/0!</v>
      </c>
      <c r="W18" s="130"/>
    </row>
    <row r="19">
      <c r="A19" s="407"/>
      <c r="B19" s="42" t="s">
        <v>460</v>
      </c>
      <c r="E19" s="406">
        <f>SUM(E9/E15)</f>
        <v>333.3333333</v>
      </c>
      <c r="G19" s="167"/>
      <c r="H19" s="398" t="s">
        <v>461</v>
      </c>
      <c r="K19" s="403" t="str">
        <f>SUM((K9-K17)/K11)</f>
        <v>#DIV/0!</v>
      </c>
      <c r="N19" s="414"/>
      <c r="O19" s="393"/>
      <c r="P19" s="402"/>
      <c r="Q19" s="393"/>
      <c r="R19" s="409"/>
      <c r="S19" s="393" t="str">
        <f t="shared" si="1"/>
        <v>#DIV/0!</v>
      </c>
      <c r="T19" s="393">
        <f>R19*E25</f>
        <v>0</v>
      </c>
      <c r="U19" s="393">
        <f t="shared" si="2"/>
        <v>0</v>
      </c>
      <c r="V19" s="130" t="str">
        <f t="shared" si="3"/>
        <v>#DIV/0!</v>
      </c>
      <c r="W19" s="130"/>
    </row>
    <row r="20">
      <c r="A20" s="407"/>
      <c r="G20" s="167"/>
      <c r="N20" s="415"/>
      <c r="O20" s="393"/>
      <c r="P20" s="402"/>
      <c r="Q20" s="393"/>
      <c r="R20" s="409"/>
      <c r="S20" s="393" t="str">
        <f t="shared" si="1"/>
        <v>#DIV/0!</v>
      </c>
      <c r="T20" s="393">
        <f>R20*E25</f>
        <v>0</v>
      </c>
      <c r="U20" s="393">
        <f t="shared" si="2"/>
        <v>0</v>
      </c>
      <c r="V20" s="130" t="str">
        <f t="shared" si="3"/>
        <v>#DIV/0!</v>
      </c>
      <c r="W20" s="130"/>
    </row>
    <row r="21" ht="15.75" customHeight="1">
      <c r="A21" s="407"/>
      <c r="B21" s="398" t="s">
        <v>462</v>
      </c>
      <c r="E21" s="399">
        <v>397.0</v>
      </c>
      <c r="G21" s="167"/>
      <c r="H21" s="42" t="s">
        <v>463</v>
      </c>
      <c r="K21" s="413">
        <f>SUM((K15*E25)-(K9))</f>
        <v>0</v>
      </c>
      <c r="N21" s="415"/>
      <c r="O21" s="393"/>
      <c r="P21" s="402"/>
      <c r="Q21" s="393"/>
      <c r="R21" s="409"/>
      <c r="S21" s="393" t="str">
        <f t="shared" si="1"/>
        <v>#DIV/0!</v>
      </c>
      <c r="T21" s="393">
        <f>R21*E25</f>
        <v>0</v>
      </c>
      <c r="U21" s="393">
        <f t="shared" si="2"/>
        <v>0</v>
      </c>
      <c r="V21" s="130" t="str">
        <f t="shared" si="3"/>
        <v>#DIV/0!</v>
      </c>
      <c r="W21" s="130"/>
    </row>
    <row r="22" ht="15.75" customHeight="1">
      <c r="A22" s="407"/>
      <c r="G22" s="167"/>
      <c r="N22" s="415"/>
      <c r="O22" s="393"/>
      <c r="P22" s="402"/>
      <c r="Q22" s="393"/>
      <c r="R22" s="409"/>
      <c r="S22" s="393" t="str">
        <f t="shared" si="1"/>
        <v>#DIV/0!</v>
      </c>
      <c r="T22" s="393">
        <f>R22*E25</f>
        <v>0</v>
      </c>
      <c r="U22" s="393">
        <f t="shared" si="2"/>
        <v>0</v>
      </c>
      <c r="V22" s="130" t="str">
        <f t="shared" si="3"/>
        <v>#DIV/0!</v>
      </c>
      <c r="W22" s="130"/>
    </row>
    <row r="23" ht="15.75" customHeight="1">
      <c r="A23" s="407"/>
      <c r="B23" s="42" t="s">
        <v>465</v>
      </c>
      <c r="E23" s="399">
        <f>27.39+1+2.49+36.61</f>
        <v>67.49</v>
      </c>
      <c r="G23" s="167"/>
      <c r="H23" s="167"/>
      <c r="I23" s="167"/>
      <c r="J23" s="167"/>
      <c r="K23" s="167"/>
      <c r="L23" s="167"/>
      <c r="N23" s="415"/>
      <c r="O23" s="393"/>
      <c r="P23" s="402"/>
      <c r="Q23" s="393"/>
      <c r="R23" s="409"/>
      <c r="S23" s="393" t="str">
        <f t="shared" si="1"/>
        <v>#DIV/0!</v>
      </c>
      <c r="T23" s="393">
        <f>R23*E25</f>
        <v>0</v>
      </c>
      <c r="U23" s="393">
        <f t="shared" si="2"/>
        <v>0</v>
      </c>
      <c r="V23" s="130" t="str">
        <f t="shared" si="3"/>
        <v>#DIV/0!</v>
      </c>
      <c r="W23" s="130"/>
    </row>
    <row r="24" ht="15.75" customHeight="1">
      <c r="A24" s="407"/>
      <c r="G24" s="167"/>
      <c r="H24" s="167"/>
      <c r="I24" s="167"/>
      <c r="J24" s="167"/>
      <c r="K24" s="167"/>
      <c r="L24" s="167"/>
      <c r="N24" s="415"/>
      <c r="O24" s="393"/>
      <c r="P24" s="402"/>
      <c r="Q24" s="393"/>
      <c r="R24" s="409"/>
      <c r="S24" s="393" t="str">
        <f t="shared" si="1"/>
        <v>#DIV/0!</v>
      </c>
      <c r="T24" s="393">
        <f>R24*E25</f>
        <v>0</v>
      </c>
      <c r="U24" s="393">
        <f t="shared" si="2"/>
        <v>0</v>
      </c>
      <c r="V24" s="130" t="str">
        <f t="shared" si="3"/>
        <v>#DIV/0!</v>
      </c>
      <c r="W24" s="130"/>
    </row>
    <row r="25" ht="15.75" customHeight="1">
      <c r="A25" s="407"/>
      <c r="B25" s="398" t="s">
        <v>466</v>
      </c>
      <c r="E25" s="403">
        <f>SUM(E21-E23)</f>
        <v>329.51</v>
      </c>
      <c r="G25" s="167"/>
      <c r="H25" s="167"/>
      <c r="I25" s="167"/>
      <c r="J25" s="167"/>
      <c r="K25" s="167"/>
      <c r="L25" s="167"/>
      <c r="N25" s="415"/>
      <c r="O25" s="393"/>
      <c r="P25" s="402"/>
      <c r="Q25" s="393"/>
      <c r="R25" s="409">
        <v>0.0</v>
      </c>
      <c r="S25" s="393" t="str">
        <f t="shared" si="1"/>
        <v>#DIV/0!</v>
      </c>
      <c r="T25" s="393">
        <f>R25*E25</f>
        <v>0</v>
      </c>
      <c r="U25" s="393">
        <f t="shared" si="2"/>
        <v>0</v>
      </c>
      <c r="V25" s="130" t="str">
        <f t="shared" si="3"/>
        <v>#DIV/0!</v>
      </c>
      <c r="W25" s="130"/>
    </row>
    <row r="26" ht="15.75" customHeight="1">
      <c r="A26" s="407"/>
      <c r="G26" s="167"/>
      <c r="H26" s="167"/>
      <c r="I26" s="167"/>
      <c r="J26" s="167"/>
      <c r="K26" s="167"/>
      <c r="L26" s="167"/>
      <c r="N26" s="415"/>
      <c r="O26" s="393"/>
      <c r="P26" s="402"/>
      <c r="Q26" s="393"/>
      <c r="R26" s="409">
        <v>0.0</v>
      </c>
      <c r="S26" s="393" t="str">
        <f t="shared" si="1"/>
        <v>#DIV/0!</v>
      </c>
      <c r="T26" s="393">
        <f>R26*E25</f>
        <v>0</v>
      </c>
      <c r="U26" s="393">
        <f t="shared" si="2"/>
        <v>0</v>
      </c>
      <c r="V26" s="130" t="str">
        <f t="shared" si="3"/>
        <v>#DIV/0!</v>
      </c>
      <c r="W26" s="130"/>
    </row>
    <row r="27" ht="15.75" customHeight="1">
      <c r="A27" s="407"/>
      <c r="B27" s="42" t="s">
        <v>143</v>
      </c>
      <c r="E27" s="406">
        <f>SUM(E13/E25)</f>
        <v>15.17404631</v>
      </c>
      <c r="G27" s="167"/>
      <c r="H27" s="167"/>
      <c r="I27" s="167"/>
      <c r="J27" s="167"/>
      <c r="K27" s="167"/>
      <c r="L27" s="167"/>
      <c r="N27" s="415"/>
      <c r="O27" s="393"/>
      <c r="P27" s="402"/>
      <c r="Q27" s="393"/>
      <c r="R27" s="409">
        <v>0.0</v>
      </c>
      <c r="S27" s="393" t="str">
        <f t="shared" si="1"/>
        <v>#DIV/0!</v>
      </c>
      <c r="T27" s="393">
        <f>R27*E25</f>
        <v>0</v>
      </c>
      <c r="U27" s="393">
        <f t="shared" si="2"/>
        <v>0</v>
      </c>
      <c r="V27" s="130" t="str">
        <f t="shared" si="3"/>
        <v>#DIV/0!</v>
      </c>
      <c r="W27" s="130"/>
    </row>
    <row r="28" ht="15.75" customHeight="1">
      <c r="A28" s="407"/>
      <c r="G28" s="167"/>
      <c r="H28" s="167"/>
      <c r="I28" s="167"/>
      <c r="J28" s="167"/>
      <c r="K28" s="167"/>
      <c r="L28" s="167"/>
      <c r="N28" s="415"/>
      <c r="O28" s="393"/>
      <c r="P28" s="402"/>
      <c r="Q28" s="393"/>
      <c r="R28" s="409">
        <v>0.0</v>
      </c>
      <c r="S28" s="393" t="str">
        <f t="shared" si="1"/>
        <v>#DIV/0!</v>
      </c>
      <c r="T28" s="393">
        <f>R28*E25</f>
        <v>0</v>
      </c>
      <c r="U28" s="393">
        <f t="shared" si="2"/>
        <v>0</v>
      </c>
      <c r="V28" s="130" t="str">
        <f t="shared" si="3"/>
        <v>#DIV/0!</v>
      </c>
      <c r="W28" s="130"/>
    </row>
    <row r="29" ht="15.75" customHeight="1">
      <c r="A29" s="407"/>
      <c r="N29" s="415"/>
      <c r="O29" s="393"/>
      <c r="P29" s="402"/>
      <c r="Q29" s="393"/>
      <c r="R29" s="409">
        <v>0.0</v>
      </c>
      <c r="S29" s="393" t="str">
        <f t="shared" si="1"/>
        <v>#DIV/0!</v>
      </c>
      <c r="T29" s="393">
        <f>R29*E25</f>
        <v>0</v>
      </c>
      <c r="U29" s="393">
        <f t="shared" si="2"/>
        <v>0</v>
      </c>
      <c r="V29" s="130" t="str">
        <f t="shared" si="3"/>
        <v>#DIV/0!</v>
      </c>
      <c r="W29" s="130"/>
    </row>
    <row r="30" ht="15.75" customHeight="1">
      <c r="A30" s="407"/>
      <c r="N30" s="415"/>
      <c r="O30" s="393"/>
      <c r="P30" s="402"/>
      <c r="Q30" s="393"/>
      <c r="R30" s="409">
        <v>0.0</v>
      </c>
      <c r="S30" s="393" t="str">
        <f t="shared" si="1"/>
        <v>#DIV/0!</v>
      </c>
      <c r="T30" s="393">
        <f>R30*E25</f>
        <v>0</v>
      </c>
      <c r="U30" s="393">
        <f t="shared" si="2"/>
        <v>0</v>
      </c>
      <c r="V30" s="130" t="str">
        <f t="shared" si="3"/>
        <v>#DIV/0!</v>
      </c>
      <c r="W30" s="130"/>
    </row>
    <row r="31" ht="15.75" customHeight="1">
      <c r="A31" s="407"/>
      <c r="N31" s="415"/>
      <c r="O31" s="393"/>
      <c r="P31" s="402"/>
      <c r="Q31" s="393"/>
      <c r="R31" s="409">
        <v>0.0</v>
      </c>
      <c r="S31" s="393" t="str">
        <f t="shared" si="1"/>
        <v>#DIV/0!</v>
      </c>
      <c r="T31" s="393">
        <f>R31*E25</f>
        <v>0</v>
      </c>
      <c r="U31" s="393">
        <f t="shared" si="2"/>
        <v>0</v>
      </c>
      <c r="V31" s="130" t="str">
        <f t="shared" si="3"/>
        <v>#DIV/0!</v>
      </c>
      <c r="W31" s="130"/>
    </row>
    <row r="32" ht="15.75" customHeight="1">
      <c r="A32" s="407"/>
      <c r="N32" s="415"/>
      <c r="O32" s="393"/>
      <c r="P32" s="402"/>
      <c r="Q32" s="393"/>
      <c r="R32" s="409">
        <v>0.0</v>
      </c>
      <c r="S32" s="393" t="str">
        <f t="shared" si="1"/>
        <v>#DIV/0!</v>
      </c>
      <c r="T32" s="393">
        <f>R32*E25</f>
        <v>0</v>
      </c>
      <c r="U32" s="393">
        <f t="shared" si="2"/>
        <v>0</v>
      </c>
      <c r="V32" s="130" t="str">
        <f t="shared" si="3"/>
        <v>#DIV/0!</v>
      </c>
      <c r="W32" s="130"/>
    </row>
    <row r="33" ht="15.75" customHeight="1">
      <c r="A33" s="407"/>
      <c r="N33" s="415"/>
      <c r="O33" s="393"/>
      <c r="P33" s="402"/>
      <c r="Q33" s="393"/>
      <c r="R33" s="409">
        <v>0.0</v>
      </c>
      <c r="S33" s="393" t="str">
        <f t="shared" si="1"/>
        <v>#DIV/0!</v>
      </c>
      <c r="T33" s="393">
        <f>R33*E25</f>
        <v>0</v>
      </c>
      <c r="U33" s="393">
        <f t="shared" si="2"/>
        <v>0</v>
      </c>
      <c r="V33" s="130" t="str">
        <f t="shared" si="3"/>
        <v>#DIV/0!</v>
      </c>
      <c r="W33" s="130"/>
    </row>
    <row r="34" ht="15.75" customHeight="1">
      <c r="A34" s="407"/>
      <c r="N34" s="415"/>
      <c r="O34" s="393"/>
      <c r="P34" s="402"/>
      <c r="Q34" s="393"/>
      <c r="R34" s="409">
        <v>0.0</v>
      </c>
      <c r="S34" s="393" t="str">
        <f t="shared" si="1"/>
        <v>#DIV/0!</v>
      </c>
      <c r="T34" s="393">
        <f>R34*E25</f>
        <v>0</v>
      </c>
      <c r="U34" s="393">
        <f t="shared" si="2"/>
        <v>0</v>
      </c>
      <c r="V34" s="130" t="str">
        <f t="shared" si="3"/>
        <v>#DIV/0!</v>
      </c>
      <c r="W34" s="130"/>
    </row>
    <row r="35" ht="15.75" customHeight="1">
      <c r="A35" s="407"/>
      <c r="N35" s="415"/>
      <c r="O35" s="393"/>
      <c r="P35" s="402"/>
      <c r="Q35" s="393"/>
      <c r="R35" s="409">
        <v>0.0</v>
      </c>
      <c r="S35" s="393" t="str">
        <f t="shared" si="1"/>
        <v>#DIV/0!</v>
      </c>
      <c r="T35" s="393">
        <f>R35*E25</f>
        <v>0</v>
      </c>
      <c r="U35" s="393">
        <f t="shared" si="2"/>
        <v>0</v>
      </c>
      <c r="V35" s="130" t="str">
        <f t="shared" si="3"/>
        <v>#DIV/0!</v>
      </c>
      <c r="W35" s="130"/>
    </row>
    <row r="36" ht="15.75" customHeight="1">
      <c r="A36" s="407"/>
      <c r="N36" s="415"/>
      <c r="O36" s="393"/>
      <c r="P36" s="409"/>
      <c r="Q36" s="393"/>
      <c r="R36" s="393"/>
      <c r="S36" s="393"/>
      <c r="T36" s="393"/>
      <c r="U36" s="393"/>
      <c r="V36" s="130"/>
      <c r="W36" s="130"/>
    </row>
    <row r="37" ht="15.75" customHeight="1">
      <c r="A37" s="407"/>
      <c r="N37" s="392"/>
      <c r="O37" s="393"/>
      <c r="P37" s="409"/>
      <c r="Q37" s="393"/>
      <c r="R37" s="393"/>
      <c r="S37" s="393"/>
      <c r="T37" s="393"/>
      <c r="U37" s="393"/>
      <c r="V37" s="130"/>
      <c r="W37" s="130"/>
    </row>
    <row r="38" ht="15.75" customHeight="1">
      <c r="A38" s="407"/>
      <c r="B38" s="408" t="s">
        <v>439</v>
      </c>
      <c r="N38" s="391"/>
      <c r="W38" s="391" t="s">
        <v>425</v>
      </c>
    </row>
    <row r="39" ht="15.75" customHeight="1">
      <c r="A39" s="407"/>
      <c r="N39" s="391" t="s">
        <v>109</v>
      </c>
      <c r="O39" s="391" t="s">
        <v>110</v>
      </c>
      <c r="P39" s="391" t="s">
        <v>6</v>
      </c>
      <c r="Q39" s="391" t="s">
        <v>441</v>
      </c>
      <c r="R39" s="391" t="s">
        <v>427</v>
      </c>
      <c r="S39" s="391" t="s">
        <v>428</v>
      </c>
      <c r="T39" s="391" t="s">
        <v>429</v>
      </c>
      <c r="U39" s="391" t="s">
        <v>29</v>
      </c>
      <c r="V39" s="391" t="s">
        <v>407</v>
      </c>
    </row>
    <row r="40" ht="15.75" customHeight="1">
      <c r="N40" s="392" t="s">
        <v>430</v>
      </c>
      <c r="O40" s="416" t="s">
        <v>431</v>
      </c>
      <c r="P40" s="417">
        <v>0.0</v>
      </c>
      <c r="Q40" s="393" t="str">
        <f t="shared" ref="Q40:Q70" si="4">O40/P40</f>
        <v>#DIV/0!</v>
      </c>
      <c r="R40" s="409">
        <v>0.0</v>
      </c>
      <c r="S40" s="393" t="str">
        <f t="shared" ref="S40:S70" si="5">O40/R40</f>
        <v>#DIV/0!</v>
      </c>
      <c r="T40" s="393">
        <f>R40*E59</f>
        <v>0</v>
      </c>
      <c r="U40" s="393">
        <f t="shared" ref="U40:U70" si="6">T40-O40</f>
        <v>0</v>
      </c>
      <c r="V40" s="130" t="str">
        <f t="shared" ref="V40:V70" si="7">U40/T40</f>
        <v>#DIV/0!</v>
      </c>
      <c r="W40" s="130"/>
    </row>
    <row r="41" ht="15.75" customHeight="1">
      <c r="B41" s="410" t="s">
        <v>124</v>
      </c>
      <c r="G41" s="396"/>
      <c r="H41" s="411" t="s">
        <v>125</v>
      </c>
      <c r="N41" s="392" t="s">
        <v>432</v>
      </c>
      <c r="O41" s="416" t="s">
        <v>431</v>
      </c>
      <c r="P41" s="417">
        <v>0.0</v>
      </c>
      <c r="Q41" s="393" t="str">
        <f t="shared" si="4"/>
        <v>#DIV/0!</v>
      </c>
      <c r="R41" s="409">
        <v>0.0</v>
      </c>
      <c r="S41" s="393" t="str">
        <f t="shared" si="5"/>
        <v>#DIV/0!</v>
      </c>
      <c r="T41" s="393">
        <f>R41*E59</f>
        <v>0</v>
      </c>
      <c r="U41" s="393">
        <f t="shared" si="6"/>
        <v>0</v>
      </c>
      <c r="V41" s="130" t="str">
        <f t="shared" si="7"/>
        <v>#DIV/0!</v>
      </c>
      <c r="W41" s="130"/>
    </row>
    <row r="42" ht="15.75" customHeight="1">
      <c r="G42" s="396"/>
      <c r="N42" s="392" t="s">
        <v>433</v>
      </c>
      <c r="O42" s="416" t="s">
        <v>431</v>
      </c>
      <c r="P42" s="417">
        <v>0.0</v>
      </c>
      <c r="Q42" s="393" t="str">
        <f t="shared" si="4"/>
        <v>#DIV/0!</v>
      </c>
      <c r="R42" s="409">
        <v>0.0</v>
      </c>
      <c r="S42" s="393" t="str">
        <f t="shared" si="5"/>
        <v>#DIV/0!</v>
      </c>
      <c r="T42" s="393">
        <f>R42*E59</f>
        <v>0</v>
      </c>
      <c r="U42" s="393">
        <f t="shared" si="6"/>
        <v>0</v>
      </c>
      <c r="V42" s="130" t="str">
        <f t="shared" si="7"/>
        <v>#DIV/0!</v>
      </c>
      <c r="W42" s="130"/>
    </row>
    <row r="43" ht="15.75" customHeight="1">
      <c r="B43" s="398" t="s">
        <v>442</v>
      </c>
      <c r="E43" s="400">
        <v>10000.0</v>
      </c>
      <c r="G43" s="42"/>
      <c r="H43" s="42" t="s">
        <v>129</v>
      </c>
      <c r="K43" s="399">
        <v>0.0</v>
      </c>
      <c r="N43" s="392" t="s">
        <v>434</v>
      </c>
      <c r="O43" s="416" t="s">
        <v>431</v>
      </c>
      <c r="P43" s="417">
        <v>0.0</v>
      </c>
      <c r="Q43" s="393" t="str">
        <f t="shared" si="4"/>
        <v>#DIV/0!</v>
      </c>
      <c r="R43" s="409">
        <v>0.0</v>
      </c>
      <c r="S43" s="393" t="str">
        <f t="shared" si="5"/>
        <v>#DIV/0!</v>
      </c>
      <c r="T43" s="393">
        <f>R43*E59</f>
        <v>0</v>
      </c>
      <c r="U43" s="393">
        <f t="shared" si="6"/>
        <v>0</v>
      </c>
      <c r="V43" s="130" t="str">
        <f t="shared" si="7"/>
        <v>#DIV/0!</v>
      </c>
      <c r="W43" s="130"/>
    </row>
    <row r="44" ht="15.75" customHeight="1">
      <c r="G44" s="42"/>
      <c r="N44" s="392" t="s">
        <v>435</v>
      </c>
      <c r="O44" s="416" t="s">
        <v>431</v>
      </c>
      <c r="P44" s="417">
        <v>0.0</v>
      </c>
      <c r="Q44" s="393" t="str">
        <f t="shared" si="4"/>
        <v>#DIV/0!</v>
      </c>
      <c r="R44" s="409">
        <v>0.0</v>
      </c>
      <c r="S44" s="393" t="str">
        <f t="shared" si="5"/>
        <v>#DIV/0!</v>
      </c>
      <c r="T44" s="393">
        <f>R44*E59</f>
        <v>0</v>
      </c>
      <c r="U44" s="393">
        <f t="shared" si="6"/>
        <v>0</v>
      </c>
      <c r="V44" s="130" t="str">
        <f t="shared" si="7"/>
        <v>#DIV/0!</v>
      </c>
      <c r="W44" s="130"/>
    </row>
    <row r="45" ht="15.75" customHeight="1">
      <c r="B45" s="42" t="s">
        <v>446</v>
      </c>
      <c r="E45" s="399">
        <v>0.5</v>
      </c>
      <c r="G45" s="167"/>
      <c r="H45" s="398" t="s">
        <v>447</v>
      </c>
      <c r="K45" s="412">
        <v>0.0</v>
      </c>
      <c r="N45" s="392" t="s">
        <v>436</v>
      </c>
      <c r="O45" s="416" t="s">
        <v>431</v>
      </c>
      <c r="P45" s="417">
        <v>0.0</v>
      </c>
      <c r="Q45" s="393" t="str">
        <f t="shared" si="4"/>
        <v>#DIV/0!</v>
      </c>
      <c r="R45" s="409">
        <v>0.0</v>
      </c>
      <c r="S45" s="393" t="str">
        <f t="shared" si="5"/>
        <v>#DIV/0!</v>
      </c>
      <c r="T45" s="393">
        <f>R45*E59</f>
        <v>0</v>
      </c>
      <c r="U45" s="393">
        <f t="shared" si="6"/>
        <v>0</v>
      </c>
      <c r="V45" s="130" t="str">
        <f t="shared" si="7"/>
        <v>#DIV/0!</v>
      </c>
      <c r="W45" s="130"/>
    </row>
    <row r="46" ht="15.75" customHeight="1">
      <c r="G46" s="167"/>
      <c r="N46" s="392" t="s">
        <v>437</v>
      </c>
      <c r="O46" s="416" t="s">
        <v>431</v>
      </c>
      <c r="P46" s="417">
        <v>0.0</v>
      </c>
      <c r="Q46" s="393" t="str">
        <f t="shared" si="4"/>
        <v>#DIV/0!</v>
      </c>
      <c r="R46" s="409">
        <v>0.0</v>
      </c>
      <c r="S46" s="393" t="str">
        <f t="shared" si="5"/>
        <v>#DIV/0!</v>
      </c>
      <c r="T46" s="393">
        <f>R46*E59</f>
        <v>0</v>
      </c>
      <c r="U46" s="393">
        <f t="shared" si="6"/>
        <v>0</v>
      </c>
      <c r="V46" s="130" t="str">
        <f t="shared" si="7"/>
        <v>#DIV/0!</v>
      </c>
      <c r="W46" s="130"/>
    </row>
    <row r="47" ht="15.75" customHeight="1">
      <c r="B47" s="398" t="s">
        <v>144</v>
      </c>
      <c r="E47" s="403">
        <f>SUM(E43*E45)</f>
        <v>5000</v>
      </c>
      <c r="G47" s="167"/>
      <c r="H47" s="42" t="s">
        <v>450</v>
      </c>
      <c r="K47" s="401" t="str">
        <f>SUM(K43/K45)</f>
        <v>#DIV/0!</v>
      </c>
      <c r="N47" s="392" t="s">
        <v>430</v>
      </c>
      <c r="O47" s="416" t="s">
        <v>431</v>
      </c>
      <c r="P47" s="417">
        <v>0.0</v>
      </c>
      <c r="Q47" s="393" t="str">
        <f t="shared" si="4"/>
        <v>#DIV/0!</v>
      </c>
      <c r="R47" s="409">
        <v>0.0</v>
      </c>
      <c r="S47" s="393" t="str">
        <f t="shared" si="5"/>
        <v>#DIV/0!</v>
      </c>
      <c r="T47" s="393">
        <f>R47*E59</f>
        <v>0</v>
      </c>
      <c r="U47" s="393">
        <f t="shared" si="6"/>
        <v>0</v>
      </c>
      <c r="V47" s="130" t="str">
        <f t="shared" si="7"/>
        <v>#DIV/0!</v>
      </c>
      <c r="W47" s="130"/>
    </row>
    <row r="48" ht="15.75" customHeight="1">
      <c r="G48" s="167"/>
      <c r="N48" s="392" t="s">
        <v>432</v>
      </c>
      <c r="O48" s="416" t="s">
        <v>431</v>
      </c>
      <c r="P48" s="417">
        <v>0.0</v>
      </c>
      <c r="Q48" s="393" t="str">
        <f t="shared" si="4"/>
        <v>#DIV/0!</v>
      </c>
      <c r="R48" s="409">
        <v>0.0</v>
      </c>
      <c r="S48" s="393" t="str">
        <f t="shared" si="5"/>
        <v>#DIV/0!</v>
      </c>
      <c r="T48" s="393">
        <f>R48*E59</f>
        <v>0</v>
      </c>
      <c r="U48" s="393">
        <f t="shared" si="6"/>
        <v>0</v>
      </c>
      <c r="V48" s="130" t="str">
        <f t="shared" si="7"/>
        <v>#DIV/0!</v>
      </c>
      <c r="W48" s="130"/>
    </row>
    <row r="49" ht="15.75" customHeight="1">
      <c r="B49" s="42" t="s">
        <v>453</v>
      </c>
      <c r="E49" s="400">
        <v>30.0</v>
      </c>
      <c r="G49" s="167"/>
      <c r="H49" s="398" t="s">
        <v>454</v>
      </c>
      <c r="K49" s="412">
        <v>0.0</v>
      </c>
      <c r="N49" s="392" t="s">
        <v>433</v>
      </c>
      <c r="O49" s="416" t="s">
        <v>431</v>
      </c>
      <c r="P49" s="417">
        <v>0.0</v>
      </c>
      <c r="Q49" s="393" t="str">
        <f t="shared" si="4"/>
        <v>#DIV/0!</v>
      </c>
      <c r="R49" s="409">
        <v>0.0</v>
      </c>
      <c r="S49" s="393" t="str">
        <f t="shared" si="5"/>
        <v>#DIV/0!</v>
      </c>
      <c r="T49" s="393">
        <f>R49*E59</f>
        <v>0</v>
      </c>
      <c r="U49" s="393">
        <f t="shared" si="6"/>
        <v>0</v>
      </c>
      <c r="V49" s="130" t="str">
        <f t="shared" si="7"/>
        <v>#DIV/0!</v>
      </c>
      <c r="W49" s="130"/>
    </row>
    <row r="50" ht="15.75" customHeight="1">
      <c r="G50" s="167"/>
      <c r="N50" s="392" t="s">
        <v>434</v>
      </c>
      <c r="O50" s="416" t="s">
        <v>431</v>
      </c>
      <c r="P50" s="417">
        <v>0.0</v>
      </c>
      <c r="Q50" s="393" t="str">
        <f t="shared" si="4"/>
        <v>#DIV/0!</v>
      </c>
      <c r="R50" s="409">
        <v>0.0</v>
      </c>
      <c r="S50" s="393" t="str">
        <f t="shared" si="5"/>
        <v>#DIV/0!</v>
      </c>
      <c r="T50" s="393">
        <f>R50*E59</f>
        <v>0</v>
      </c>
      <c r="U50" s="393">
        <f t="shared" si="6"/>
        <v>0</v>
      </c>
      <c r="V50" s="130" t="str">
        <f t="shared" si="7"/>
        <v>#DIV/0!</v>
      </c>
      <c r="W50" s="130"/>
    </row>
    <row r="51" ht="15.75" customHeight="1">
      <c r="B51" s="398" t="s">
        <v>147</v>
      </c>
      <c r="E51" s="403">
        <f>SUM(E47/E49)</f>
        <v>166.6666667</v>
      </c>
      <c r="G51" s="167"/>
      <c r="H51" s="42" t="s">
        <v>458</v>
      </c>
      <c r="K51" s="401">
        <f>SUM(K49*E59)</f>
        <v>0</v>
      </c>
      <c r="N51" s="392" t="s">
        <v>435</v>
      </c>
      <c r="O51" s="416" t="s">
        <v>431</v>
      </c>
      <c r="P51" s="417">
        <v>0.0</v>
      </c>
      <c r="Q51" s="393" t="str">
        <f t="shared" si="4"/>
        <v>#DIV/0!</v>
      </c>
      <c r="R51" s="409">
        <v>0.0</v>
      </c>
      <c r="S51" s="393" t="str">
        <f t="shared" si="5"/>
        <v>#DIV/0!</v>
      </c>
      <c r="T51" s="393">
        <f>R51*E59</f>
        <v>0</v>
      </c>
      <c r="U51" s="393">
        <f t="shared" si="6"/>
        <v>0</v>
      </c>
      <c r="V51" s="130" t="str">
        <f t="shared" si="7"/>
        <v>#DIV/0!</v>
      </c>
      <c r="W51" s="130"/>
    </row>
    <row r="52" ht="15.75" customHeight="1">
      <c r="G52" s="167"/>
      <c r="N52" s="392" t="s">
        <v>436</v>
      </c>
      <c r="O52" s="416" t="s">
        <v>431</v>
      </c>
      <c r="P52" s="417">
        <v>0.0</v>
      </c>
      <c r="Q52" s="393" t="str">
        <f t="shared" si="4"/>
        <v>#DIV/0!</v>
      </c>
      <c r="R52" s="409">
        <v>0.0</v>
      </c>
      <c r="S52" s="393" t="str">
        <f t="shared" si="5"/>
        <v>#DIV/0!</v>
      </c>
      <c r="T52" s="393">
        <f>R52*E59</f>
        <v>0</v>
      </c>
      <c r="U52" s="393">
        <f t="shared" si="6"/>
        <v>0</v>
      </c>
      <c r="V52" s="130" t="str">
        <f t="shared" si="7"/>
        <v>#DIV/0!</v>
      </c>
      <c r="W52" s="130"/>
    </row>
    <row r="53" ht="15.75" customHeight="1">
      <c r="B53" s="42" t="s">
        <v>460</v>
      </c>
      <c r="E53" s="406">
        <f>SUM(E43/E49)</f>
        <v>333.3333333</v>
      </c>
      <c r="G53" s="167"/>
      <c r="H53" s="398" t="s">
        <v>461</v>
      </c>
      <c r="K53" s="403" t="str">
        <f>SUM((K43-K51)/K45)</f>
        <v>#DIV/0!</v>
      </c>
      <c r="N53" s="392" t="s">
        <v>437</v>
      </c>
      <c r="O53" s="416" t="s">
        <v>431</v>
      </c>
      <c r="P53" s="417">
        <v>0.0</v>
      </c>
      <c r="Q53" s="393" t="str">
        <f t="shared" si="4"/>
        <v>#DIV/0!</v>
      </c>
      <c r="R53" s="409">
        <v>0.0</v>
      </c>
      <c r="S53" s="393" t="str">
        <f t="shared" si="5"/>
        <v>#DIV/0!</v>
      </c>
      <c r="T53" s="393">
        <f>R53*E59</f>
        <v>0</v>
      </c>
      <c r="U53" s="393">
        <f t="shared" si="6"/>
        <v>0</v>
      </c>
      <c r="V53" s="130" t="str">
        <f t="shared" si="7"/>
        <v>#DIV/0!</v>
      </c>
      <c r="W53" s="130"/>
    </row>
    <row r="54" ht="15.75" customHeight="1">
      <c r="G54" s="167"/>
      <c r="N54" s="133" t="s">
        <v>430</v>
      </c>
      <c r="O54" s="416" t="s">
        <v>431</v>
      </c>
      <c r="P54" s="417">
        <v>0.0</v>
      </c>
      <c r="Q54" s="393" t="str">
        <f t="shared" si="4"/>
        <v>#DIV/0!</v>
      </c>
      <c r="R54" s="409">
        <v>0.0</v>
      </c>
      <c r="S54" s="393" t="str">
        <f t="shared" si="5"/>
        <v>#DIV/0!</v>
      </c>
      <c r="T54" s="393">
        <f>R54*E59</f>
        <v>0</v>
      </c>
      <c r="U54" s="393">
        <f t="shared" si="6"/>
        <v>0</v>
      </c>
      <c r="V54" s="130" t="str">
        <f t="shared" si="7"/>
        <v>#DIV/0!</v>
      </c>
      <c r="W54" s="130"/>
    </row>
    <row r="55" ht="15.75" customHeight="1">
      <c r="B55" s="398" t="s">
        <v>462</v>
      </c>
      <c r="E55" s="399">
        <v>397.0</v>
      </c>
      <c r="G55" s="167"/>
      <c r="H55" s="42" t="s">
        <v>463</v>
      </c>
      <c r="K55" s="413">
        <f>SUM((K49*E59)-(K43))</f>
        <v>0</v>
      </c>
      <c r="N55" s="133" t="s">
        <v>432</v>
      </c>
      <c r="O55" s="416" t="s">
        <v>431</v>
      </c>
      <c r="P55" s="417">
        <v>0.0</v>
      </c>
      <c r="Q55" s="393" t="str">
        <f t="shared" si="4"/>
        <v>#DIV/0!</v>
      </c>
      <c r="R55" s="409">
        <v>0.0</v>
      </c>
      <c r="S55" s="393" t="str">
        <f t="shared" si="5"/>
        <v>#DIV/0!</v>
      </c>
      <c r="T55" s="393">
        <f>R55*E59</f>
        <v>0</v>
      </c>
      <c r="U55" s="393">
        <f t="shared" si="6"/>
        <v>0</v>
      </c>
      <c r="V55" s="130" t="str">
        <f t="shared" si="7"/>
        <v>#DIV/0!</v>
      </c>
      <c r="W55" s="130"/>
    </row>
    <row r="56" ht="15.75" customHeight="1">
      <c r="G56" s="167"/>
      <c r="N56" s="133" t="s">
        <v>433</v>
      </c>
      <c r="O56" s="416" t="s">
        <v>431</v>
      </c>
      <c r="P56" s="417">
        <v>0.0</v>
      </c>
      <c r="Q56" s="393" t="str">
        <f t="shared" si="4"/>
        <v>#DIV/0!</v>
      </c>
      <c r="R56" s="409">
        <v>0.0</v>
      </c>
      <c r="S56" s="393" t="str">
        <f t="shared" si="5"/>
        <v>#DIV/0!</v>
      </c>
      <c r="T56" s="393">
        <f>R56*E59</f>
        <v>0</v>
      </c>
      <c r="U56" s="393">
        <f t="shared" si="6"/>
        <v>0</v>
      </c>
      <c r="V56" s="130" t="str">
        <f t="shared" si="7"/>
        <v>#DIV/0!</v>
      </c>
      <c r="W56" s="130"/>
    </row>
    <row r="57" ht="15.75" customHeight="1">
      <c r="B57" s="42" t="s">
        <v>465</v>
      </c>
      <c r="E57" s="399">
        <f>27.39+1+2.49+36.61</f>
        <v>67.49</v>
      </c>
      <c r="G57" s="167"/>
      <c r="H57" s="167"/>
      <c r="I57" s="167"/>
      <c r="J57" s="167"/>
      <c r="K57" s="167"/>
      <c r="L57" s="167"/>
      <c r="N57" s="133" t="s">
        <v>434</v>
      </c>
      <c r="O57" s="416" t="s">
        <v>431</v>
      </c>
      <c r="P57" s="417">
        <v>0.0</v>
      </c>
      <c r="Q57" s="393" t="str">
        <f t="shared" si="4"/>
        <v>#DIV/0!</v>
      </c>
      <c r="R57" s="409">
        <v>0.0</v>
      </c>
      <c r="S57" s="393" t="str">
        <f t="shared" si="5"/>
        <v>#DIV/0!</v>
      </c>
      <c r="T57" s="393">
        <f>R57*E59</f>
        <v>0</v>
      </c>
      <c r="U57" s="393">
        <f t="shared" si="6"/>
        <v>0</v>
      </c>
      <c r="V57" s="130" t="str">
        <f t="shared" si="7"/>
        <v>#DIV/0!</v>
      </c>
      <c r="W57" s="130"/>
    </row>
    <row r="58" ht="15.75" customHeight="1">
      <c r="G58" s="167"/>
      <c r="H58" s="167"/>
      <c r="I58" s="167"/>
      <c r="J58" s="167"/>
      <c r="K58" s="167"/>
      <c r="L58" s="167"/>
      <c r="N58" s="133" t="s">
        <v>435</v>
      </c>
      <c r="O58" s="416" t="s">
        <v>431</v>
      </c>
      <c r="P58" s="417">
        <v>0.0</v>
      </c>
      <c r="Q58" s="393" t="str">
        <f t="shared" si="4"/>
        <v>#DIV/0!</v>
      </c>
      <c r="R58" s="409">
        <v>0.0</v>
      </c>
      <c r="S58" s="393" t="str">
        <f t="shared" si="5"/>
        <v>#DIV/0!</v>
      </c>
      <c r="T58" s="393">
        <f>R58*E59</f>
        <v>0</v>
      </c>
      <c r="U58" s="393">
        <f t="shared" si="6"/>
        <v>0</v>
      </c>
      <c r="V58" s="130" t="str">
        <f t="shared" si="7"/>
        <v>#DIV/0!</v>
      </c>
      <c r="W58" s="130"/>
    </row>
    <row r="59" ht="15.75" customHeight="1">
      <c r="B59" s="398" t="s">
        <v>466</v>
      </c>
      <c r="E59" s="403">
        <f>SUM(E55-E57)</f>
        <v>329.51</v>
      </c>
      <c r="G59" s="167"/>
      <c r="H59" s="167"/>
      <c r="I59" s="167"/>
      <c r="J59" s="167"/>
      <c r="K59" s="167"/>
      <c r="L59" s="167"/>
      <c r="N59" s="133" t="s">
        <v>436</v>
      </c>
      <c r="O59" s="416" t="s">
        <v>431</v>
      </c>
      <c r="P59" s="417">
        <v>0.0</v>
      </c>
      <c r="Q59" s="393" t="str">
        <f t="shared" si="4"/>
        <v>#DIV/0!</v>
      </c>
      <c r="R59" s="409">
        <v>0.0</v>
      </c>
      <c r="S59" s="393" t="str">
        <f t="shared" si="5"/>
        <v>#DIV/0!</v>
      </c>
      <c r="T59" s="393">
        <f>R59*E59</f>
        <v>0</v>
      </c>
      <c r="U59" s="393">
        <f t="shared" si="6"/>
        <v>0</v>
      </c>
      <c r="V59" s="130" t="str">
        <f t="shared" si="7"/>
        <v>#DIV/0!</v>
      </c>
      <c r="W59" s="130"/>
    </row>
    <row r="60" ht="15.75" customHeight="1">
      <c r="G60" s="167"/>
      <c r="H60" s="167"/>
      <c r="I60" s="167"/>
      <c r="J60" s="167"/>
      <c r="K60" s="167"/>
      <c r="L60" s="167"/>
      <c r="N60" s="133" t="s">
        <v>437</v>
      </c>
      <c r="O60" s="416" t="s">
        <v>431</v>
      </c>
      <c r="P60" s="417">
        <v>0.0</v>
      </c>
      <c r="Q60" s="393" t="str">
        <f t="shared" si="4"/>
        <v>#DIV/0!</v>
      </c>
      <c r="R60" s="409">
        <v>0.0</v>
      </c>
      <c r="S60" s="393" t="str">
        <f t="shared" si="5"/>
        <v>#DIV/0!</v>
      </c>
      <c r="T60" s="393">
        <f>R60*E59</f>
        <v>0</v>
      </c>
      <c r="U60" s="393">
        <f t="shared" si="6"/>
        <v>0</v>
      </c>
      <c r="V60" s="130" t="str">
        <f t="shared" si="7"/>
        <v>#DIV/0!</v>
      </c>
      <c r="W60" s="130"/>
    </row>
    <row r="61" ht="15.75" customHeight="1">
      <c r="B61" s="42" t="s">
        <v>143</v>
      </c>
      <c r="E61" s="406">
        <f>SUM(E47/E59)</f>
        <v>15.17404631</v>
      </c>
      <c r="G61" s="167"/>
      <c r="H61" s="167"/>
      <c r="I61" s="167"/>
      <c r="J61" s="167"/>
      <c r="K61" s="167"/>
      <c r="L61" s="167"/>
      <c r="N61" s="133" t="s">
        <v>430</v>
      </c>
      <c r="O61" s="416" t="s">
        <v>431</v>
      </c>
      <c r="P61" s="417">
        <v>0.0</v>
      </c>
      <c r="Q61" s="393" t="str">
        <f t="shared" si="4"/>
        <v>#DIV/0!</v>
      </c>
      <c r="R61" s="409">
        <v>0.0</v>
      </c>
      <c r="S61" s="393" t="str">
        <f t="shared" si="5"/>
        <v>#DIV/0!</v>
      </c>
      <c r="T61" s="393">
        <f>R61*E59</f>
        <v>0</v>
      </c>
      <c r="U61" s="393">
        <f t="shared" si="6"/>
        <v>0</v>
      </c>
      <c r="V61" s="130" t="str">
        <f t="shared" si="7"/>
        <v>#DIV/0!</v>
      </c>
      <c r="W61" s="130"/>
    </row>
    <row r="62" ht="15.75" customHeight="1">
      <c r="G62" s="167"/>
      <c r="H62" s="167"/>
      <c r="I62" s="167"/>
      <c r="J62" s="167"/>
      <c r="K62" s="167"/>
      <c r="L62" s="167"/>
      <c r="N62" s="133" t="s">
        <v>432</v>
      </c>
      <c r="O62" s="416" t="s">
        <v>431</v>
      </c>
      <c r="P62" s="417">
        <v>0.0</v>
      </c>
      <c r="Q62" s="393" t="str">
        <f t="shared" si="4"/>
        <v>#DIV/0!</v>
      </c>
      <c r="R62" s="409">
        <v>0.0</v>
      </c>
      <c r="S62" s="393" t="str">
        <f t="shared" si="5"/>
        <v>#DIV/0!</v>
      </c>
      <c r="T62" s="393">
        <f>R62*E59</f>
        <v>0</v>
      </c>
      <c r="U62" s="393">
        <f t="shared" si="6"/>
        <v>0</v>
      </c>
      <c r="V62" s="130" t="str">
        <f t="shared" si="7"/>
        <v>#DIV/0!</v>
      </c>
      <c r="W62" s="130"/>
    </row>
    <row r="63" ht="15.75" customHeight="1">
      <c r="N63" s="133" t="s">
        <v>433</v>
      </c>
      <c r="O63" s="416" t="s">
        <v>431</v>
      </c>
      <c r="P63" s="417">
        <v>0.0</v>
      </c>
      <c r="Q63" s="393" t="str">
        <f t="shared" si="4"/>
        <v>#DIV/0!</v>
      </c>
      <c r="R63" s="409">
        <v>0.0</v>
      </c>
      <c r="S63" s="393" t="str">
        <f t="shared" si="5"/>
        <v>#DIV/0!</v>
      </c>
      <c r="T63" s="393">
        <f>R63*E59</f>
        <v>0</v>
      </c>
      <c r="U63" s="393">
        <f t="shared" si="6"/>
        <v>0</v>
      </c>
      <c r="V63" s="130" t="str">
        <f t="shared" si="7"/>
        <v>#DIV/0!</v>
      </c>
      <c r="W63" s="130"/>
    </row>
    <row r="64" ht="15.75" customHeight="1">
      <c r="N64" s="133" t="s">
        <v>434</v>
      </c>
      <c r="O64" s="416" t="s">
        <v>431</v>
      </c>
      <c r="P64" s="417">
        <v>0.0</v>
      </c>
      <c r="Q64" s="393" t="str">
        <f t="shared" si="4"/>
        <v>#DIV/0!</v>
      </c>
      <c r="R64" s="409">
        <v>0.0</v>
      </c>
      <c r="S64" s="393" t="str">
        <f t="shared" si="5"/>
        <v>#DIV/0!</v>
      </c>
      <c r="T64" s="393">
        <f>R64*E59</f>
        <v>0</v>
      </c>
      <c r="U64" s="393">
        <f t="shared" si="6"/>
        <v>0</v>
      </c>
      <c r="V64" s="130" t="str">
        <f t="shared" si="7"/>
        <v>#DIV/0!</v>
      </c>
      <c r="W64" s="130"/>
    </row>
    <row r="65" ht="15.75" customHeight="1">
      <c r="N65" s="133" t="s">
        <v>435</v>
      </c>
      <c r="O65" s="416" t="s">
        <v>431</v>
      </c>
      <c r="P65" s="417">
        <v>0.0</v>
      </c>
      <c r="Q65" s="393" t="str">
        <f t="shared" si="4"/>
        <v>#DIV/0!</v>
      </c>
      <c r="R65" s="409">
        <v>0.0</v>
      </c>
      <c r="S65" s="393" t="str">
        <f t="shared" si="5"/>
        <v>#DIV/0!</v>
      </c>
      <c r="T65" s="393">
        <f>R65*E59</f>
        <v>0</v>
      </c>
      <c r="U65" s="393">
        <f t="shared" si="6"/>
        <v>0</v>
      </c>
      <c r="V65" s="130" t="str">
        <f t="shared" si="7"/>
        <v>#DIV/0!</v>
      </c>
      <c r="W65" s="130"/>
    </row>
    <row r="66" ht="15.75" customHeight="1">
      <c r="N66" s="133" t="s">
        <v>436</v>
      </c>
      <c r="O66" s="416" t="s">
        <v>431</v>
      </c>
      <c r="P66" s="417">
        <v>0.0</v>
      </c>
      <c r="Q66" s="393" t="str">
        <f t="shared" si="4"/>
        <v>#DIV/0!</v>
      </c>
      <c r="R66" s="409">
        <v>0.0</v>
      </c>
      <c r="S66" s="393" t="str">
        <f t="shared" si="5"/>
        <v>#DIV/0!</v>
      </c>
      <c r="T66" s="393">
        <f>R66*E59</f>
        <v>0</v>
      </c>
      <c r="U66" s="393">
        <f t="shared" si="6"/>
        <v>0</v>
      </c>
      <c r="V66" s="130" t="str">
        <f t="shared" si="7"/>
        <v>#DIV/0!</v>
      </c>
      <c r="W66" s="130"/>
    </row>
    <row r="67" ht="15.75" customHeight="1">
      <c r="N67" s="133" t="s">
        <v>437</v>
      </c>
      <c r="O67" s="416" t="s">
        <v>431</v>
      </c>
      <c r="P67" s="417">
        <v>0.0</v>
      </c>
      <c r="Q67" s="393" t="str">
        <f t="shared" si="4"/>
        <v>#DIV/0!</v>
      </c>
      <c r="R67" s="409">
        <v>0.0</v>
      </c>
      <c r="S67" s="393" t="str">
        <f t="shared" si="5"/>
        <v>#DIV/0!</v>
      </c>
      <c r="T67" s="393">
        <f>R67*E59</f>
        <v>0</v>
      </c>
      <c r="U67" s="393">
        <f t="shared" si="6"/>
        <v>0</v>
      </c>
      <c r="V67" s="130" t="str">
        <f t="shared" si="7"/>
        <v>#DIV/0!</v>
      </c>
      <c r="W67" s="130"/>
    </row>
    <row r="68" ht="15.75" customHeight="1">
      <c r="N68" s="133" t="s">
        <v>430</v>
      </c>
      <c r="O68" s="416" t="s">
        <v>431</v>
      </c>
      <c r="P68" s="417">
        <v>0.0</v>
      </c>
      <c r="Q68" s="393" t="str">
        <f t="shared" si="4"/>
        <v>#DIV/0!</v>
      </c>
      <c r="R68" s="409">
        <v>0.0</v>
      </c>
      <c r="S68" s="393" t="str">
        <f t="shared" si="5"/>
        <v>#DIV/0!</v>
      </c>
      <c r="T68" s="393">
        <f>R68*E59</f>
        <v>0</v>
      </c>
      <c r="U68" s="393">
        <f t="shared" si="6"/>
        <v>0</v>
      </c>
      <c r="V68" s="130" t="str">
        <f t="shared" si="7"/>
        <v>#DIV/0!</v>
      </c>
      <c r="W68" s="130"/>
    </row>
    <row r="69" ht="15.75" customHeight="1">
      <c r="N69" s="133" t="s">
        <v>432</v>
      </c>
      <c r="O69" s="416" t="s">
        <v>431</v>
      </c>
      <c r="P69" s="417">
        <v>0.0</v>
      </c>
      <c r="Q69" s="393" t="str">
        <f t="shared" si="4"/>
        <v>#DIV/0!</v>
      </c>
      <c r="R69" s="409">
        <v>0.0</v>
      </c>
      <c r="S69" s="393" t="str">
        <f t="shared" si="5"/>
        <v>#DIV/0!</v>
      </c>
      <c r="T69" s="393">
        <f>R69*E59</f>
        <v>0</v>
      </c>
      <c r="U69" s="393">
        <f t="shared" si="6"/>
        <v>0</v>
      </c>
      <c r="V69" s="130" t="str">
        <f t="shared" si="7"/>
        <v>#DIV/0!</v>
      </c>
      <c r="W69" s="130"/>
    </row>
    <row r="70" ht="15.75" customHeight="1">
      <c r="N70" s="133" t="s">
        <v>433</v>
      </c>
      <c r="O70" s="416" t="s">
        <v>431</v>
      </c>
      <c r="P70" s="417">
        <v>0.0</v>
      </c>
      <c r="Q70" s="393" t="str">
        <f t="shared" si="4"/>
        <v>#DIV/0!</v>
      </c>
      <c r="R70" s="409">
        <v>0.0</v>
      </c>
      <c r="S70" s="393" t="str">
        <f t="shared" si="5"/>
        <v>#DIV/0!</v>
      </c>
      <c r="T70" s="393">
        <f>R70*E59</f>
        <v>0</v>
      </c>
      <c r="U70" s="393">
        <f t="shared" si="6"/>
        <v>0</v>
      </c>
      <c r="V70" s="130"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1.29"/>
  </cols>
  <sheetData>
    <row r="3">
      <c r="B3" s="390" t="s">
        <v>424</v>
      </c>
      <c r="N3" s="391"/>
      <c r="U3" s="391" t="s">
        <v>425</v>
      </c>
    </row>
    <row r="4">
      <c r="N4" s="391" t="s">
        <v>109</v>
      </c>
      <c r="O4" s="391" t="s">
        <v>110</v>
      </c>
      <c r="P4" s="391" t="s">
        <v>427</v>
      </c>
      <c r="Q4" s="391" t="s">
        <v>428</v>
      </c>
      <c r="R4" s="391" t="s">
        <v>429</v>
      </c>
      <c r="S4" s="391" t="s">
        <v>29</v>
      </c>
      <c r="T4" s="391" t="s">
        <v>407</v>
      </c>
    </row>
    <row r="5">
      <c r="N5" s="392" t="s">
        <v>430</v>
      </c>
      <c r="O5" s="394" t="s">
        <v>468</v>
      </c>
      <c r="P5" s="394" t="s">
        <v>469</v>
      </c>
      <c r="Q5" s="393">
        <f t="shared" ref="Q5:Q34" si="1">O5/P5</f>
        <v>135.405</v>
      </c>
      <c r="R5" s="393">
        <f>P5*E16</f>
        <v>659.02</v>
      </c>
      <c r="S5" s="393">
        <f t="shared" ref="S5:S34" si="2">R5-O5</f>
        <v>388.21</v>
      </c>
      <c r="T5" s="130">
        <f t="shared" ref="T5:T34" si="3">S5/R5</f>
        <v>0.5890716518</v>
      </c>
      <c r="U5" s="371" t="s">
        <v>470</v>
      </c>
    </row>
    <row r="6">
      <c r="B6" s="395" t="s">
        <v>124</v>
      </c>
      <c r="G6" s="396"/>
      <c r="H6" s="397" t="s">
        <v>125</v>
      </c>
      <c r="N6" s="392" t="s">
        <v>432</v>
      </c>
      <c r="O6" s="394" t="s">
        <v>471</v>
      </c>
      <c r="P6" s="394" t="s">
        <v>472</v>
      </c>
      <c r="Q6" s="393">
        <f t="shared" si="1"/>
        <v>337.46</v>
      </c>
      <c r="R6" s="393">
        <f>P6*E16</f>
        <v>329.51</v>
      </c>
      <c r="S6" s="393">
        <f t="shared" si="2"/>
        <v>-7.95</v>
      </c>
      <c r="T6" s="130">
        <f t="shared" si="3"/>
        <v>-0.02412673363</v>
      </c>
      <c r="U6" s="371" t="s">
        <v>470</v>
      </c>
    </row>
    <row r="7">
      <c r="G7" s="396"/>
      <c r="N7" s="392" t="s">
        <v>433</v>
      </c>
      <c r="O7" s="394" t="s">
        <v>473</v>
      </c>
      <c r="P7" s="394" t="s">
        <v>431</v>
      </c>
      <c r="Q7" s="393" t="str">
        <f t="shared" si="1"/>
        <v>#DIV/0!</v>
      </c>
      <c r="R7" s="393">
        <f>P7*E16</f>
        <v>0</v>
      </c>
      <c r="S7" s="393">
        <f t="shared" si="2"/>
        <v>-290.54</v>
      </c>
      <c r="T7" s="130" t="str">
        <f t="shared" si="3"/>
        <v>#DIV/0!</v>
      </c>
      <c r="U7" s="402" t="s">
        <v>474</v>
      </c>
    </row>
    <row r="8">
      <c r="B8" s="398" t="s">
        <v>128</v>
      </c>
      <c r="E8" s="399">
        <v>49426.5</v>
      </c>
      <c r="G8" s="167"/>
      <c r="H8" s="42" t="s">
        <v>129</v>
      </c>
      <c r="K8" s="399">
        <v>0.0</v>
      </c>
      <c r="N8" s="392" t="s">
        <v>434</v>
      </c>
      <c r="O8" s="394" t="s">
        <v>475</v>
      </c>
      <c r="P8" s="394" t="s">
        <v>431</v>
      </c>
      <c r="Q8" s="393" t="str">
        <f t="shared" si="1"/>
        <v>#DIV/0!</v>
      </c>
      <c r="R8" s="393">
        <f>P8*E16</f>
        <v>0</v>
      </c>
      <c r="S8" s="393">
        <f t="shared" si="2"/>
        <v>-285.07</v>
      </c>
      <c r="T8" s="130" t="str">
        <f t="shared" si="3"/>
        <v>#DIV/0!</v>
      </c>
      <c r="U8" s="130"/>
    </row>
    <row r="9">
      <c r="G9" s="167"/>
      <c r="N9" s="392" t="s">
        <v>435</v>
      </c>
      <c r="O9" s="394" t="s">
        <v>476</v>
      </c>
      <c r="P9" s="394" t="s">
        <v>431</v>
      </c>
      <c r="Q9" s="393" t="str">
        <f t="shared" si="1"/>
        <v>#DIV/0!</v>
      </c>
      <c r="R9" s="393">
        <f>P9*E16</f>
        <v>0</v>
      </c>
      <c r="S9" s="393">
        <f t="shared" si="2"/>
        <v>-285.47</v>
      </c>
      <c r="T9" s="130" t="str">
        <f t="shared" si="3"/>
        <v>#DIV/0!</v>
      </c>
      <c r="U9" s="130"/>
    </row>
    <row r="10">
      <c r="B10" s="42" t="s">
        <v>132</v>
      </c>
      <c r="E10" s="399">
        <v>397.0</v>
      </c>
      <c r="G10" s="167"/>
      <c r="H10" s="398" t="s">
        <v>133</v>
      </c>
      <c r="K10" s="400">
        <v>0.0</v>
      </c>
      <c r="N10" s="392" t="s">
        <v>436</v>
      </c>
      <c r="O10" s="394" t="s">
        <v>477</v>
      </c>
      <c r="P10" s="394" t="s">
        <v>431</v>
      </c>
      <c r="Q10" s="393" t="str">
        <f t="shared" si="1"/>
        <v>#DIV/0!</v>
      </c>
      <c r="R10" s="393">
        <f>P10*E16</f>
        <v>0</v>
      </c>
      <c r="S10" s="393">
        <f t="shared" si="2"/>
        <v>-285.9</v>
      </c>
      <c r="T10" s="130" t="str">
        <f t="shared" si="3"/>
        <v>#DIV/0!</v>
      </c>
      <c r="U10" s="130"/>
    </row>
    <row r="11">
      <c r="G11" s="167"/>
      <c r="N11" s="392" t="s">
        <v>437</v>
      </c>
      <c r="O11" s="394" t="s">
        <v>478</v>
      </c>
      <c r="P11" s="394" t="s">
        <v>431</v>
      </c>
      <c r="Q11" s="393" t="str">
        <f t="shared" si="1"/>
        <v>#DIV/0!</v>
      </c>
      <c r="R11" s="393">
        <f>P11*E16</f>
        <v>0</v>
      </c>
      <c r="S11" s="393">
        <f t="shared" si="2"/>
        <v>-270.26</v>
      </c>
      <c r="T11" s="130" t="str">
        <f t="shared" si="3"/>
        <v>#DIV/0!</v>
      </c>
      <c r="U11" s="130"/>
    </row>
    <row r="12">
      <c r="B12" s="398" t="s">
        <v>136</v>
      </c>
      <c r="E12" s="399">
        <f>27.39+1+2.49</f>
        <v>30.88</v>
      </c>
      <c r="G12" s="167"/>
      <c r="H12" s="42" t="s">
        <v>137</v>
      </c>
      <c r="K12" s="401" t="str">
        <f>SUM(K8/K10)</f>
        <v>#DIV/0!</v>
      </c>
      <c r="N12" s="392" t="s">
        <v>430</v>
      </c>
      <c r="O12" s="394" t="s">
        <v>479</v>
      </c>
      <c r="P12" s="394" t="s">
        <v>431</v>
      </c>
      <c r="Q12" s="393" t="str">
        <f t="shared" si="1"/>
        <v>#DIV/0!</v>
      </c>
      <c r="R12" s="393">
        <f>P12*E16</f>
        <v>0</v>
      </c>
      <c r="S12" s="393">
        <f t="shared" si="2"/>
        <v>-280.5</v>
      </c>
      <c r="T12" s="130" t="str">
        <f t="shared" si="3"/>
        <v>#DIV/0!</v>
      </c>
      <c r="U12" s="130"/>
    </row>
    <row r="13">
      <c r="G13" s="167"/>
      <c r="N13" s="392" t="s">
        <v>432</v>
      </c>
      <c r="O13" s="394" t="s">
        <v>480</v>
      </c>
      <c r="P13" s="394" t="s">
        <v>431</v>
      </c>
      <c r="Q13" s="393" t="str">
        <f t="shared" si="1"/>
        <v>#DIV/0!</v>
      </c>
      <c r="R13" s="393">
        <f>P13*E16</f>
        <v>0</v>
      </c>
      <c r="S13" s="393">
        <f t="shared" si="2"/>
        <v>-295.39</v>
      </c>
      <c r="T13" s="130" t="str">
        <f t="shared" si="3"/>
        <v>#DIV/0!</v>
      </c>
      <c r="U13" s="130"/>
    </row>
    <row r="14">
      <c r="B14" s="42" t="s">
        <v>138</v>
      </c>
      <c r="E14" s="399">
        <v>36.61</v>
      </c>
      <c r="G14" s="167"/>
      <c r="H14" s="398" t="s">
        <v>139</v>
      </c>
      <c r="K14" s="401">
        <f>SUM(K10*E16)</f>
        <v>0</v>
      </c>
      <c r="N14" s="392" t="s">
        <v>433</v>
      </c>
      <c r="O14" s="394" t="s">
        <v>481</v>
      </c>
      <c r="P14" s="394" t="s">
        <v>431</v>
      </c>
      <c r="Q14" s="393" t="str">
        <f t="shared" si="1"/>
        <v>#DIV/0!</v>
      </c>
      <c r="R14" s="393">
        <f>P14*E16</f>
        <v>0</v>
      </c>
      <c r="S14" s="393">
        <f t="shared" si="2"/>
        <v>-160.22</v>
      </c>
      <c r="T14" s="130" t="str">
        <f t="shared" si="3"/>
        <v>#DIV/0!</v>
      </c>
      <c r="U14" s="402" t="s">
        <v>482</v>
      </c>
    </row>
    <row r="15">
      <c r="G15" s="167"/>
      <c r="N15" s="392" t="s">
        <v>434</v>
      </c>
      <c r="O15" s="394" t="s">
        <v>483</v>
      </c>
      <c r="P15" s="394" t="s">
        <v>472</v>
      </c>
      <c r="Q15" s="393">
        <f t="shared" si="1"/>
        <v>94.38</v>
      </c>
      <c r="R15" s="393">
        <f>P15*E16</f>
        <v>329.51</v>
      </c>
      <c r="S15" s="393">
        <f t="shared" si="2"/>
        <v>235.13</v>
      </c>
      <c r="T15" s="130">
        <f t="shared" si="3"/>
        <v>0.7135747018</v>
      </c>
      <c r="U15" s="130"/>
    </row>
    <row r="16">
      <c r="B16" s="398" t="s">
        <v>140</v>
      </c>
      <c r="E16" s="403">
        <f>SUM(E10-E12-E14)</f>
        <v>329.51</v>
      </c>
      <c r="G16" s="167"/>
      <c r="H16" s="42" t="s">
        <v>141</v>
      </c>
      <c r="K16" s="404">
        <f>SUM(K14-K8)</f>
        <v>0</v>
      </c>
      <c r="N16" s="392" t="s">
        <v>435</v>
      </c>
      <c r="O16" s="394" t="s">
        <v>484</v>
      </c>
      <c r="P16" s="394" t="s">
        <v>431</v>
      </c>
      <c r="Q16" s="393" t="str">
        <f t="shared" si="1"/>
        <v>#DIV/0!</v>
      </c>
      <c r="R16" s="393">
        <f>P16*E16</f>
        <v>0</v>
      </c>
      <c r="S16" s="393">
        <f t="shared" si="2"/>
        <v>-94.65</v>
      </c>
      <c r="T16" s="130" t="str">
        <f t="shared" si="3"/>
        <v>#DIV/0!</v>
      </c>
      <c r="U16" s="130"/>
    </row>
    <row r="17">
      <c r="G17" s="167"/>
      <c r="N17" s="392" t="s">
        <v>436</v>
      </c>
      <c r="O17" s="394">
        <v>89.39</v>
      </c>
      <c r="P17" s="394" t="s">
        <v>472</v>
      </c>
      <c r="Q17" s="393">
        <f t="shared" si="1"/>
        <v>89.39</v>
      </c>
      <c r="R17" s="393">
        <f>P17*E16</f>
        <v>329.51</v>
      </c>
      <c r="S17" s="393">
        <f t="shared" si="2"/>
        <v>240.12</v>
      </c>
      <c r="T17" s="130">
        <f t="shared" si="3"/>
        <v>0.7287184</v>
      </c>
      <c r="U17" s="130"/>
    </row>
    <row r="18">
      <c r="B18" s="42" t="s">
        <v>142</v>
      </c>
      <c r="E18" s="399">
        <v>138.95</v>
      </c>
      <c r="G18" s="167"/>
      <c r="H18" s="167"/>
      <c r="I18" s="167"/>
      <c r="J18" s="167"/>
      <c r="K18" s="167"/>
      <c r="L18" s="167"/>
      <c r="N18" s="392" t="s">
        <v>437</v>
      </c>
      <c r="O18" s="394">
        <v>96.57</v>
      </c>
      <c r="P18" s="394" t="s">
        <v>469</v>
      </c>
      <c r="Q18" s="393">
        <f t="shared" si="1"/>
        <v>48.285</v>
      </c>
      <c r="R18" s="393">
        <f>P18*E16</f>
        <v>659.02</v>
      </c>
      <c r="S18" s="393">
        <f t="shared" si="2"/>
        <v>562.45</v>
      </c>
      <c r="T18" s="130">
        <f t="shared" si="3"/>
        <v>0.8534642348</v>
      </c>
      <c r="U18" s="130"/>
    </row>
    <row r="19">
      <c r="G19" s="167"/>
      <c r="H19" s="167"/>
      <c r="I19" s="167"/>
      <c r="J19" s="167"/>
      <c r="K19" s="167"/>
      <c r="L19" s="167"/>
      <c r="N19" s="133" t="s">
        <v>430</v>
      </c>
      <c r="O19" s="394">
        <v>89.64</v>
      </c>
      <c r="P19" s="394" t="s">
        <v>431</v>
      </c>
      <c r="Q19" s="393" t="str">
        <f t="shared" si="1"/>
        <v>#DIV/0!</v>
      </c>
      <c r="R19" s="393">
        <f>P19*E16</f>
        <v>0</v>
      </c>
      <c r="S19" s="393">
        <f t="shared" si="2"/>
        <v>-89.64</v>
      </c>
      <c r="T19" s="130" t="str">
        <f t="shared" si="3"/>
        <v>#DIV/0!</v>
      </c>
      <c r="U19" s="130"/>
    </row>
    <row r="20">
      <c r="B20" s="398" t="s">
        <v>143</v>
      </c>
      <c r="E20" s="405">
        <f>SUM(E8/E16)</f>
        <v>150</v>
      </c>
      <c r="G20" s="167"/>
      <c r="H20" s="167"/>
      <c r="I20" s="167"/>
      <c r="J20" s="167"/>
      <c r="K20" s="167"/>
      <c r="L20" s="167"/>
      <c r="N20" s="133" t="s">
        <v>432</v>
      </c>
      <c r="O20" s="394" t="s">
        <v>485</v>
      </c>
      <c r="P20" s="394" t="s">
        <v>469</v>
      </c>
      <c r="Q20" s="393">
        <f t="shared" si="1"/>
        <v>44.835</v>
      </c>
      <c r="R20" s="393">
        <f>P20*E16</f>
        <v>659.02</v>
      </c>
      <c r="S20" s="393">
        <f t="shared" si="2"/>
        <v>569.35</v>
      </c>
      <c r="T20" s="130">
        <f t="shared" si="3"/>
        <v>0.8639343267</v>
      </c>
      <c r="U20" s="130"/>
    </row>
    <row r="21" ht="15.75" customHeight="1">
      <c r="G21" s="167"/>
      <c r="H21" s="167"/>
      <c r="I21" s="167"/>
      <c r="J21" s="167"/>
      <c r="K21" s="167"/>
      <c r="L21" s="167"/>
      <c r="N21" s="133" t="s">
        <v>433</v>
      </c>
      <c r="O21" s="394" t="s">
        <v>431</v>
      </c>
      <c r="P21" s="394" t="s">
        <v>431</v>
      </c>
      <c r="Q21" s="393" t="str">
        <f t="shared" si="1"/>
        <v>#DIV/0!</v>
      </c>
      <c r="R21" s="393">
        <f>P21*E16</f>
        <v>0</v>
      </c>
      <c r="S21" s="393">
        <f t="shared" si="2"/>
        <v>0</v>
      </c>
      <c r="T21" s="130" t="str">
        <f t="shared" si="3"/>
        <v>#DIV/0!</v>
      </c>
      <c r="U21" s="130"/>
    </row>
    <row r="22" ht="15.75" customHeight="1">
      <c r="B22" s="42" t="s">
        <v>144</v>
      </c>
      <c r="E22" s="403">
        <f>SUM(E18*E20)</f>
        <v>20842.5</v>
      </c>
      <c r="G22" s="167"/>
      <c r="H22" s="167"/>
      <c r="I22" s="167"/>
      <c r="J22" s="167"/>
      <c r="K22" s="167"/>
      <c r="L22" s="167"/>
      <c r="N22" s="133" t="s">
        <v>434</v>
      </c>
      <c r="O22" s="394" t="s">
        <v>431</v>
      </c>
      <c r="P22" s="394" t="s">
        <v>431</v>
      </c>
      <c r="Q22" s="393" t="str">
        <f t="shared" si="1"/>
        <v>#DIV/0!</v>
      </c>
      <c r="R22" s="393">
        <f>P22*E16</f>
        <v>0</v>
      </c>
      <c r="S22" s="393">
        <f t="shared" si="2"/>
        <v>0</v>
      </c>
      <c r="T22" s="130" t="str">
        <f t="shared" si="3"/>
        <v>#DIV/0!</v>
      </c>
      <c r="U22" s="130"/>
    </row>
    <row r="23" ht="15.75" customHeight="1">
      <c r="G23" s="167"/>
      <c r="H23" s="167"/>
      <c r="I23" s="167"/>
      <c r="J23" s="167"/>
      <c r="K23" s="167"/>
      <c r="L23" s="167"/>
      <c r="N23" s="133" t="s">
        <v>435</v>
      </c>
      <c r="O23" s="394" t="s">
        <v>431</v>
      </c>
      <c r="P23" s="394" t="s">
        <v>431</v>
      </c>
      <c r="Q23" s="393" t="str">
        <f t="shared" si="1"/>
        <v>#DIV/0!</v>
      </c>
      <c r="R23" s="393">
        <f>P23*E16</f>
        <v>0</v>
      </c>
      <c r="S23" s="393">
        <f t="shared" si="2"/>
        <v>0</v>
      </c>
      <c r="T23" s="130" t="str">
        <f t="shared" si="3"/>
        <v>#DIV/0!</v>
      </c>
      <c r="U23" s="130"/>
    </row>
    <row r="24" ht="15.75" customHeight="1">
      <c r="B24" s="398" t="s">
        <v>145</v>
      </c>
      <c r="E24" s="403">
        <f>SUM(E8-E22)</f>
        <v>28584</v>
      </c>
      <c r="G24" s="167"/>
      <c r="H24" s="167"/>
      <c r="I24" s="167"/>
      <c r="J24" s="167"/>
      <c r="K24" s="167"/>
      <c r="L24" s="167"/>
      <c r="N24" s="133" t="s">
        <v>436</v>
      </c>
      <c r="O24" s="394" t="s">
        <v>431</v>
      </c>
      <c r="P24" s="394" t="s">
        <v>431</v>
      </c>
      <c r="Q24" s="393" t="str">
        <f t="shared" si="1"/>
        <v>#DIV/0!</v>
      </c>
      <c r="R24" s="393">
        <f>P24*E16</f>
        <v>0</v>
      </c>
      <c r="S24" s="393">
        <f t="shared" si="2"/>
        <v>0</v>
      </c>
      <c r="T24" s="130" t="str">
        <f t="shared" si="3"/>
        <v>#DIV/0!</v>
      </c>
      <c r="U24" s="130"/>
    </row>
    <row r="25" ht="15.75" customHeight="1">
      <c r="G25" s="167"/>
      <c r="H25" s="167"/>
      <c r="I25" s="167"/>
      <c r="J25" s="167"/>
      <c r="K25" s="167"/>
      <c r="L25" s="167"/>
      <c r="N25" s="133" t="s">
        <v>437</v>
      </c>
      <c r="O25" s="394" t="s">
        <v>431</v>
      </c>
      <c r="P25" s="394" t="s">
        <v>431</v>
      </c>
      <c r="Q25" s="393" t="str">
        <f t="shared" si="1"/>
        <v>#DIV/0!</v>
      </c>
      <c r="R25" s="393">
        <f>P25*E16</f>
        <v>0</v>
      </c>
      <c r="S25" s="393">
        <f t="shared" si="2"/>
        <v>0</v>
      </c>
      <c r="T25" s="130" t="str">
        <f t="shared" si="3"/>
        <v>#DIV/0!</v>
      </c>
      <c r="U25" s="130"/>
    </row>
    <row r="26" ht="15.75" customHeight="1">
      <c r="B26" s="42" t="s">
        <v>146</v>
      </c>
      <c r="E26" s="400">
        <v>30.0</v>
      </c>
      <c r="G26" s="167"/>
      <c r="H26" s="167"/>
      <c r="I26" s="167"/>
      <c r="J26" s="167"/>
      <c r="K26" s="167"/>
      <c r="L26" s="167"/>
      <c r="N26" s="133" t="s">
        <v>430</v>
      </c>
      <c r="O26" s="394" t="s">
        <v>431</v>
      </c>
      <c r="P26" s="394" t="s">
        <v>431</v>
      </c>
      <c r="Q26" s="393" t="str">
        <f t="shared" si="1"/>
        <v>#DIV/0!</v>
      </c>
      <c r="R26" s="393">
        <f>P26*E16</f>
        <v>0</v>
      </c>
      <c r="S26" s="393">
        <f t="shared" si="2"/>
        <v>0</v>
      </c>
      <c r="T26" s="130" t="str">
        <f t="shared" si="3"/>
        <v>#DIV/0!</v>
      </c>
      <c r="U26" s="130"/>
    </row>
    <row r="27" ht="15.75" customHeight="1">
      <c r="G27" s="167"/>
      <c r="H27" s="167"/>
      <c r="I27" s="167"/>
      <c r="J27" s="167"/>
      <c r="K27" s="167"/>
      <c r="L27" s="167"/>
      <c r="N27" s="133" t="s">
        <v>432</v>
      </c>
      <c r="O27" s="394" t="s">
        <v>431</v>
      </c>
      <c r="P27" s="394" t="s">
        <v>431</v>
      </c>
      <c r="Q27" s="393" t="str">
        <f t="shared" si="1"/>
        <v>#DIV/0!</v>
      </c>
      <c r="R27" s="393">
        <f>P27*E16</f>
        <v>0</v>
      </c>
      <c r="S27" s="393">
        <f t="shared" si="2"/>
        <v>0</v>
      </c>
      <c r="T27" s="130" t="str">
        <f t="shared" si="3"/>
        <v>#DIV/0!</v>
      </c>
      <c r="U27" s="130"/>
    </row>
    <row r="28" ht="15.75" customHeight="1">
      <c r="B28" s="398" t="s">
        <v>147</v>
      </c>
      <c r="E28" s="403">
        <f>SUM(E22/E26)-E32</f>
        <v>625.275</v>
      </c>
      <c r="G28" s="167"/>
      <c r="H28" s="167"/>
      <c r="I28" s="167"/>
      <c r="J28" s="167"/>
      <c r="K28" s="167"/>
      <c r="L28" s="167"/>
      <c r="N28" s="133" t="s">
        <v>433</v>
      </c>
      <c r="O28" s="394" t="s">
        <v>431</v>
      </c>
      <c r="P28" s="394" t="s">
        <v>431</v>
      </c>
      <c r="Q28" s="393" t="str">
        <f t="shared" si="1"/>
        <v>#DIV/0!</v>
      </c>
      <c r="R28" s="393">
        <f>P28*E16</f>
        <v>0</v>
      </c>
      <c r="S28" s="393">
        <f t="shared" si="2"/>
        <v>0</v>
      </c>
      <c r="T28" s="130" t="str">
        <f t="shared" si="3"/>
        <v>#DIV/0!</v>
      </c>
      <c r="U28" s="130"/>
    </row>
    <row r="29" ht="15.75" customHeight="1">
      <c r="G29" s="167"/>
      <c r="H29" s="167"/>
      <c r="I29" s="167"/>
      <c r="J29" s="167"/>
      <c r="K29" s="167"/>
      <c r="L29" s="167"/>
      <c r="N29" s="133" t="s">
        <v>434</v>
      </c>
      <c r="O29" s="394" t="s">
        <v>431</v>
      </c>
      <c r="P29" s="394" t="s">
        <v>431</v>
      </c>
      <c r="Q29" s="393" t="str">
        <f t="shared" si="1"/>
        <v>#DIV/0!</v>
      </c>
      <c r="R29" s="393">
        <f>P29*E16</f>
        <v>0</v>
      </c>
      <c r="S29" s="393">
        <f t="shared" si="2"/>
        <v>0</v>
      </c>
      <c r="T29" s="130" t="str">
        <f t="shared" si="3"/>
        <v>#DIV/0!</v>
      </c>
      <c r="U29" s="130"/>
    </row>
    <row r="30" ht="15.75" customHeight="1">
      <c r="B30" s="42" t="s">
        <v>148</v>
      </c>
      <c r="E30" s="406">
        <f>SUM(E20/E26)</f>
        <v>5</v>
      </c>
      <c r="G30" s="167"/>
      <c r="H30" s="167"/>
      <c r="I30" s="167"/>
      <c r="J30" s="167"/>
      <c r="K30" s="167"/>
      <c r="L30" s="167"/>
      <c r="N30" s="133" t="s">
        <v>435</v>
      </c>
      <c r="O30" s="394" t="s">
        <v>431</v>
      </c>
      <c r="P30" s="394" t="s">
        <v>431</v>
      </c>
      <c r="Q30" s="393" t="str">
        <f t="shared" si="1"/>
        <v>#DIV/0!</v>
      </c>
      <c r="R30" s="393">
        <f>P30*E16</f>
        <v>0</v>
      </c>
      <c r="S30" s="393">
        <f t="shared" si="2"/>
        <v>0</v>
      </c>
      <c r="T30" s="130" t="str">
        <f t="shared" si="3"/>
        <v>#DIV/0!</v>
      </c>
      <c r="U30" s="130"/>
    </row>
    <row r="31" ht="15.75" customHeight="1">
      <c r="G31" s="167"/>
      <c r="H31" s="167"/>
      <c r="I31" s="167"/>
      <c r="J31" s="167"/>
      <c r="K31" s="167"/>
      <c r="L31" s="167"/>
      <c r="N31" s="133" t="s">
        <v>436</v>
      </c>
      <c r="O31" s="394" t="s">
        <v>431</v>
      </c>
      <c r="P31" s="394" t="s">
        <v>431</v>
      </c>
      <c r="Q31" s="393" t="str">
        <f t="shared" si="1"/>
        <v>#DIV/0!</v>
      </c>
      <c r="R31" s="393">
        <f>P31*E16</f>
        <v>0</v>
      </c>
      <c r="S31" s="393">
        <f t="shared" si="2"/>
        <v>0</v>
      </c>
      <c r="T31" s="130" t="str">
        <f t="shared" si="3"/>
        <v>#DIV/0!</v>
      </c>
      <c r="U31" s="130"/>
    </row>
    <row r="32" ht="15.75" customHeight="1">
      <c r="B32" s="42" t="s">
        <v>486</v>
      </c>
      <c r="E32" s="373">
        <f>(E22*10%)/30</f>
        <v>69.475</v>
      </c>
      <c r="N32" s="133" t="s">
        <v>437</v>
      </c>
      <c r="O32" s="394" t="s">
        <v>431</v>
      </c>
      <c r="P32" s="394" t="s">
        <v>431</v>
      </c>
      <c r="Q32" s="393" t="str">
        <f t="shared" si="1"/>
        <v>#DIV/0!</v>
      </c>
      <c r="R32" s="393">
        <f>P32*E16</f>
        <v>0</v>
      </c>
      <c r="S32" s="393">
        <f t="shared" si="2"/>
        <v>0</v>
      </c>
      <c r="T32" s="130" t="str">
        <f t="shared" si="3"/>
        <v>#DIV/0!</v>
      </c>
      <c r="U32" s="130"/>
    </row>
    <row r="33" ht="15.75" customHeight="1">
      <c r="N33" s="133" t="s">
        <v>430</v>
      </c>
      <c r="O33" s="394" t="s">
        <v>431</v>
      </c>
      <c r="P33" s="394" t="s">
        <v>431</v>
      </c>
      <c r="Q33" s="393" t="str">
        <f t="shared" si="1"/>
        <v>#DIV/0!</v>
      </c>
      <c r="R33" s="393">
        <f>P33*E16</f>
        <v>0</v>
      </c>
      <c r="S33" s="393">
        <f t="shared" si="2"/>
        <v>0</v>
      </c>
      <c r="T33" s="130" t="str">
        <f t="shared" si="3"/>
        <v>#DIV/0!</v>
      </c>
      <c r="U33" s="130"/>
    </row>
    <row r="34" ht="15.75" customHeight="1">
      <c r="N34" s="133" t="s">
        <v>432</v>
      </c>
      <c r="O34" s="394" t="s">
        <v>431</v>
      </c>
      <c r="P34" s="394" t="s">
        <v>431</v>
      </c>
      <c r="Q34" s="393" t="str">
        <f t="shared" si="1"/>
        <v>#DIV/0!</v>
      </c>
      <c r="R34" s="393">
        <f>P34*E16</f>
        <v>0</v>
      </c>
      <c r="S34" s="393">
        <f t="shared" si="2"/>
        <v>0</v>
      </c>
      <c r="T34" s="130" t="str">
        <f t="shared" si="3"/>
        <v>#DIV/0!</v>
      </c>
      <c r="U34" s="130"/>
    </row>
    <row r="35" ht="15.75" customHeight="1"/>
    <row r="36" ht="15.75" customHeight="1">
      <c r="B36" s="390" t="s">
        <v>439</v>
      </c>
      <c r="N36" s="391"/>
      <c r="U36" s="391" t="s">
        <v>425</v>
      </c>
    </row>
    <row r="37" ht="15.75" customHeight="1">
      <c r="N37" s="391" t="s">
        <v>109</v>
      </c>
      <c r="O37" s="391" t="s">
        <v>110</v>
      </c>
      <c r="P37" s="391" t="s">
        <v>427</v>
      </c>
      <c r="Q37" s="391" t="s">
        <v>428</v>
      </c>
      <c r="R37" s="391" t="s">
        <v>429</v>
      </c>
      <c r="S37" s="391" t="s">
        <v>29</v>
      </c>
      <c r="T37" s="391" t="s">
        <v>407</v>
      </c>
    </row>
    <row r="38" ht="15.75" customHeight="1">
      <c r="N38" s="392" t="s">
        <v>433</v>
      </c>
      <c r="O38" s="394" t="s">
        <v>487</v>
      </c>
      <c r="P38" s="394" t="s">
        <v>469</v>
      </c>
      <c r="Q38" s="393">
        <f t="shared" ref="Q38:Q67" si="4">O38/P38</f>
        <v>164.755</v>
      </c>
      <c r="R38" s="393">
        <f>P38*E49</f>
        <v>659.02</v>
      </c>
      <c r="S38" s="393">
        <f t="shared" ref="S38:S68" si="5">R38-O38</f>
        <v>329.51</v>
      </c>
      <c r="T38" s="130">
        <f t="shared" ref="T38:T68" si="6">S38/R38</f>
        <v>0.5</v>
      </c>
      <c r="U38" s="130"/>
    </row>
    <row r="39" ht="15.75" customHeight="1">
      <c r="B39" s="395" t="s">
        <v>124</v>
      </c>
      <c r="G39" s="396"/>
      <c r="H39" s="397" t="s">
        <v>125</v>
      </c>
      <c r="N39" s="392" t="s">
        <v>434</v>
      </c>
      <c r="O39" s="394" t="s">
        <v>487</v>
      </c>
      <c r="P39" s="394" t="s">
        <v>469</v>
      </c>
      <c r="Q39" s="393">
        <f t="shared" si="4"/>
        <v>164.755</v>
      </c>
      <c r="R39" s="393">
        <f>P39*E49</f>
        <v>659.02</v>
      </c>
      <c r="S39" s="393">
        <f t="shared" si="5"/>
        <v>329.51</v>
      </c>
      <c r="T39" s="130">
        <f t="shared" si="6"/>
        <v>0.5</v>
      </c>
      <c r="U39" s="130"/>
    </row>
    <row r="40" ht="15.75" customHeight="1">
      <c r="G40" s="396"/>
      <c r="N40" s="392" t="s">
        <v>435</v>
      </c>
      <c r="O40" s="394" t="s">
        <v>487</v>
      </c>
      <c r="P40" s="394" t="s">
        <v>469</v>
      </c>
      <c r="Q40" s="393">
        <f t="shared" si="4"/>
        <v>164.755</v>
      </c>
      <c r="R40" s="393">
        <f>P40*E49</f>
        <v>659.02</v>
      </c>
      <c r="S40" s="393">
        <f t="shared" si="5"/>
        <v>329.51</v>
      </c>
      <c r="T40" s="130">
        <f t="shared" si="6"/>
        <v>0.5</v>
      </c>
      <c r="U40" s="130"/>
    </row>
    <row r="41" ht="15.75" customHeight="1">
      <c r="B41" s="398" t="s">
        <v>128</v>
      </c>
      <c r="E41" s="399">
        <v>49426.5</v>
      </c>
      <c r="G41" s="167"/>
      <c r="H41" s="42" t="s">
        <v>129</v>
      </c>
      <c r="K41" s="399">
        <v>0.0</v>
      </c>
      <c r="N41" s="392" t="s">
        <v>436</v>
      </c>
      <c r="O41" s="394" t="s">
        <v>487</v>
      </c>
      <c r="P41" s="394" t="s">
        <v>469</v>
      </c>
      <c r="Q41" s="393">
        <f t="shared" si="4"/>
        <v>164.755</v>
      </c>
      <c r="R41" s="393">
        <f>P41*E49</f>
        <v>659.02</v>
      </c>
      <c r="S41" s="393">
        <f t="shared" si="5"/>
        <v>329.51</v>
      </c>
      <c r="T41" s="130">
        <f t="shared" si="6"/>
        <v>0.5</v>
      </c>
      <c r="U41" s="130"/>
    </row>
    <row r="42" ht="15.75" customHeight="1">
      <c r="G42" s="167"/>
      <c r="N42" s="392" t="s">
        <v>437</v>
      </c>
      <c r="O42" s="394" t="s">
        <v>487</v>
      </c>
      <c r="P42" s="394" t="s">
        <v>469</v>
      </c>
      <c r="Q42" s="393">
        <f t="shared" si="4"/>
        <v>164.755</v>
      </c>
      <c r="R42" s="393">
        <f>P42*E49</f>
        <v>659.02</v>
      </c>
      <c r="S42" s="393">
        <f t="shared" si="5"/>
        <v>329.51</v>
      </c>
      <c r="T42" s="130">
        <f t="shared" si="6"/>
        <v>0.5</v>
      </c>
      <c r="U42" s="130"/>
    </row>
    <row r="43" ht="15.75" customHeight="1">
      <c r="B43" s="42" t="s">
        <v>132</v>
      </c>
      <c r="E43" s="399">
        <v>397.0</v>
      </c>
      <c r="G43" s="167"/>
      <c r="H43" s="398" t="s">
        <v>133</v>
      </c>
      <c r="K43" s="400">
        <v>0.0</v>
      </c>
      <c r="N43" s="392" t="s">
        <v>430</v>
      </c>
      <c r="O43" s="394" t="s">
        <v>487</v>
      </c>
      <c r="P43" s="394" t="s">
        <v>469</v>
      </c>
      <c r="Q43" s="393">
        <f t="shared" si="4"/>
        <v>164.755</v>
      </c>
      <c r="R43" s="393">
        <f>P43*E49</f>
        <v>659.02</v>
      </c>
      <c r="S43" s="393">
        <f t="shared" si="5"/>
        <v>329.51</v>
      </c>
      <c r="T43" s="130">
        <f t="shared" si="6"/>
        <v>0.5</v>
      </c>
      <c r="U43" s="130"/>
    </row>
    <row r="44" ht="15.75" customHeight="1">
      <c r="G44" s="167"/>
      <c r="N44" s="392" t="s">
        <v>432</v>
      </c>
      <c r="O44" s="394" t="s">
        <v>487</v>
      </c>
      <c r="P44" s="394" t="s">
        <v>469</v>
      </c>
      <c r="Q44" s="393">
        <f t="shared" si="4"/>
        <v>164.755</v>
      </c>
      <c r="R44" s="393">
        <f>P44*E49</f>
        <v>659.02</v>
      </c>
      <c r="S44" s="393">
        <f t="shared" si="5"/>
        <v>329.51</v>
      </c>
      <c r="T44" s="130">
        <f t="shared" si="6"/>
        <v>0.5</v>
      </c>
      <c r="U44" s="130"/>
    </row>
    <row r="45" ht="15.75" customHeight="1">
      <c r="B45" s="398" t="s">
        <v>136</v>
      </c>
      <c r="E45" s="399">
        <f>27.39+1+2.49</f>
        <v>30.88</v>
      </c>
      <c r="G45" s="167"/>
      <c r="H45" s="42" t="s">
        <v>137</v>
      </c>
      <c r="K45" s="401" t="str">
        <f>SUM(K41/K43)</f>
        <v>#DIV/0!</v>
      </c>
      <c r="N45" s="133" t="s">
        <v>433</v>
      </c>
      <c r="O45" s="394" t="s">
        <v>487</v>
      </c>
      <c r="P45" s="394" t="s">
        <v>469</v>
      </c>
      <c r="Q45" s="393">
        <f t="shared" si="4"/>
        <v>164.755</v>
      </c>
      <c r="R45" s="393">
        <f>P45*E49</f>
        <v>659.02</v>
      </c>
      <c r="S45" s="393">
        <f t="shared" si="5"/>
        <v>329.51</v>
      </c>
      <c r="T45" s="130">
        <f t="shared" si="6"/>
        <v>0.5</v>
      </c>
      <c r="U45" s="130"/>
    </row>
    <row r="46" ht="15.75" customHeight="1">
      <c r="G46" s="167"/>
      <c r="N46" s="133" t="s">
        <v>434</v>
      </c>
      <c r="O46" s="394" t="s">
        <v>487</v>
      </c>
      <c r="P46" s="394" t="s">
        <v>469</v>
      </c>
      <c r="Q46" s="393">
        <f t="shared" si="4"/>
        <v>164.755</v>
      </c>
      <c r="R46" s="393">
        <f>P46*E49</f>
        <v>659.02</v>
      </c>
      <c r="S46" s="393">
        <f t="shared" si="5"/>
        <v>329.51</v>
      </c>
      <c r="T46" s="130">
        <f t="shared" si="6"/>
        <v>0.5</v>
      </c>
      <c r="U46" s="130"/>
    </row>
    <row r="47" ht="15.75" customHeight="1">
      <c r="B47" s="42" t="s">
        <v>138</v>
      </c>
      <c r="E47" s="399">
        <v>36.61</v>
      </c>
      <c r="G47" s="167"/>
      <c r="H47" s="398" t="s">
        <v>139</v>
      </c>
      <c r="K47" s="401">
        <f>SUM(K43*E49)</f>
        <v>0</v>
      </c>
      <c r="N47" s="133" t="s">
        <v>435</v>
      </c>
      <c r="O47" s="394" t="s">
        <v>487</v>
      </c>
      <c r="P47" s="394" t="s">
        <v>469</v>
      </c>
      <c r="Q47" s="393">
        <f t="shared" si="4"/>
        <v>164.755</v>
      </c>
      <c r="R47" s="393">
        <f>P47*E49</f>
        <v>659.02</v>
      </c>
      <c r="S47" s="393">
        <f t="shared" si="5"/>
        <v>329.51</v>
      </c>
      <c r="T47" s="130">
        <f t="shared" si="6"/>
        <v>0.5</v>
      </c>
      <c r="U47" s="130"/>
    </row>
    <row r="48" ht="15.75" customHeight="1">
      <c r="G48" s="167"/>
      <c r="N48" s="133" t="s">
        <v>436</v>
      </c>
      <c r="O48" s="394" t="s">
        <v>487</v>
      </c>
      <c r="P48" s="394" t="s">
        <v>469</v>
      </c>
      <c r="Q48" s="393">
        <f t="shared" si="4"/>
        <v>164.755</v>
      </c>
      <c r="R48" s="393">
        <f>P48*E49</f>
        <v>659.02</v>
      </c>
      <c r="S48" s="393">
        <f t="shared" si="5"/>
        <v>329.51</v>
      </c>
      <c r="T48" s="130">
        <f t="shared" si="6"/>
        <v>0.5</v>
      </c>
      <c r="U48" s="130"/>
    </row>
    <row r="49" ht="15.75" customHeight="1">
      <c r="B49" s="398" t="s">
        <v>140</v>
      </c>
      <c r="E49" s="403">
        <f>SUM(E43-E45-E47)</f>
        <v>329.51</v>
      </c>
      <c r="G49" s="167"/>
      <c r="H49" s="42" t="s">
        <v>141</v>
      </c>
      <c r="K49" s="404">
        <f>SUM(K47-K41)</f>
        <v>0</v>
      </c>
      <c r="N49" s="133" t="s">
        <v>437</v>
      </c>
      <c r="O49" s="394" t="s">
        <v>487</v>
      </c>
      <c r="P49" s="394" t="s">
        <v>469</v>
      </c>
      <c r="Q49" s="393">
        <f t="shared" si="4"/>
        <v>164.755</v>
      </c>
      <c r="R49" s="393">
        <f>P49*E49</f>
        <v>659.02</v>
      </c>
      <c r="S49" s="393">
        <f t="shared" si="5"/>
        <v>329.51</v>
      </c>
      <c r="T49" s="130">
        <f t="shared" si="6"/>
        <v>0.5</v>
      </c>
      <c r="U49" s="130"/>
    </row>
    <row r="50" ht="15.75" customHeight="1">
      <c r="G50" s="167"/>
      <c r="N50" s="133" t="s">
        <v>430</v>
      </c>
      <c r="O50" s="394" t="s">
        <v>487</v>
      </c>
      <c r="P50" s="394" t="s">
        <v>469</v>
      </c>
      <c r="Q50" s="393">
        <f t="shared" si="4"/>
        <v>164.755</v>
      </c>
      <c r="R50" s="393">
        <f>P50*E49</f>
        <v>659.02</v>
      </c>
      <c r="S50" s="393">
        <f t="shared" si="5"/>
        <v>329.51</v>
      </c>
      <c r="T50" s="130">
        <f t="shared" si="6"/>
        <v>0.5</v>
      </c>
      <c r="U50" s="130"/>
    </row>
    <row r="51" ht="15.75" customHeight="1">
      <c r="B51" s="42" t="s">
        <v>142</v>
      </c>
      <c r="E51" s="399">
        <v>138.95</v>
      </c>
      <c r="G51" s="167"/>
      <c r="H51" s="167"/>
      <c r="I51" s="167"/>
      <c r="J51" s="167"/>
      <c r="K51" s="167"/>
      <c r="L51" s="167"/>
      <c r="N51" s="133" t="s">
        <v>432</v>
      </c>
      <c r="O51" s="394" t="s">
        <v>487</v>
      </c>
      <c r="P51" s="394" t="s">
        <v>469</v>
      </c>
      <c r="Q51" s="393">
        <f t="shared" si="4"/>
        <v>164.755</v>
      </c>
      <c r="R51" s="393">
        <f>P51*E49</f>
        <v>659.02</v>
      </c>
      <c r="S51" s="393">
        <f t="shared" si="5"/>
        <v>329.51</v>
      </c>
      <c r="T51" s="130">
        <f t="shared" si="6"/>
        <v>0.5</v>
      </c>
      <c r="U51" s="130"/>
    </row>
    <row r="52" ht="15.75" customHeight="1">
      <c r="G52" s="167"/>
      <c r="H52" s="167"/>
      <c r="I52" s="167"/>
      <c r="J52" s="167"/>
      <c r="K52" s="167"/>
      <c r="L52" s="167"/>
      <c r="N52" s="133" t="s">
        <v>433</v>
      </c>
      <c r="O52" s="394" t="s">
        <v>487</v>
      </c>
      <c r="P52" s="394" t="s">
        <v>469</v>
      </c>
      <c r="Q52" s="393">
        <f t="shared" si="4"/>
        <v>164.755</v>
      </c>
      <c r="R52" s="393">
        <f>P52*E49</f>
        <v>659.02</v>
      </c>
      <c r="S52" s="393">
        <f t="shared" si="5"/>
        <v>329.51</v>
      </c>
      <c r="T52" s="130">
        <f t="shared" si="6"/>
        <v>0.5</v>
      </c>
      <c r="U52" s="130"/>
    </row>
    <row r="53" ht="15.75" customHeight="1">
      <c r="B53" s="398" t="s">
        <v>143</v>
      </c>
      <c r="E53" s="405">
        <f>SUM(E41/E49)</f>
        <v>150</v>
      </c>
      <c r="G53" s="167"/>
      <c r="H53" s="167"/>
      <c r="I53" s="167"/>
      <c r="J53" s="167"/>
      <c r="K53" s="167"/>
      <c r="L53" s="167"/>
      <c r="N53" s="133" t="s">
        <v>434</v>
      </c>
      <c r="O53" s="394" t="s">
        <v>487</v>
      </c>
      <c r="P53" s="394" t="s">
        <v>469</v>
      </c>
      <c r="Q53" s="393">
        <f t="shared" si="4"/>
        <v>164.755</v>
      </c>
      <c r="R53" s="393">
        <f>P53*E49</f>
        <v>659.02</v>
      </c>
      <c r="S53" s="393">
        <f t="shared" si="5"/>
        <v>329.51</v>
      </c>
      <c r="T53" s="130">
        <f t="shared" si="6"/>
        <v>0.5</v>
      </c>
      <c r="U53" s="130"/>
    </row>
    <row r="54" ht="15.75" customHeight="1">
      <c r="G54" s="167"/>
      <c r="H54" s="167"/>
      <c r="I54" s="167"/>
      <c r="J54" s="167"/>
      <c r="K54" s="167"/>
      <c r="L54" s="167"/>
      <c r="N54" s="133" t="s">
        <v>435</v>
      </c>
      <c r="O54" s="394" t="s">
        <v>487</v>
      </c>
      <c r="P54" s="394" t="s">
        <v>469</v>
      </c>
      <c r="Q54" s="393">
        <f t="shared" si="4"/>
        <v>164.755</v>
      </c>
      <c r="R54" s="393">
        <f>P54*E49</f>
        <v>659.02</v>
      </c>
      <c r="S54" s="393">
        <f t="shared" si="5"/>
        <v>329.51</v>
      </c>
      <c r="T54" s="130">
        <f t="shared" si="6"/>
        <v>0.5</v>
      </c>
      <c r="U54" s="130"/>
    </row>
    <row r="55" ht="15.75" customHeight="1">
      <c r="B55" s="42" t="s">
        <v>144</v>
      </c>
      <c r="E55" s="403">
        <f>SUM(E51*E53)</f>
        <v>20842.5</v>
      </c>
      <c r="G55" s="167"/>
      <c r="H55" s="167"/>
      <c r="I55" s="167"/>
      <c r="J55" s="167"/>
      <c r="K55" s="167"/>
      <c r="L55" s="167"/>
      <c r="N55" s="133" t="s">
        <v>436</v>
      </c>
      <c r="O55" s="394" t="s">
        <v>487</v>
      </c>
      <c r="P55" s="394" t="s">
        <v>469</v>
      </c>
      <c r="Q55" s="393">
        <f t="shared" si="4"/>
        <v>164.755</v>
      </c>
      <c r="R55" s="393">
        <f>P55*E49</f>
        <v>659.02</v>
      </c>
      <c r="S55" s="393">
        <f t="shared" si="5"/>
        <v>329.51</v>
      </c>
      <c r="T55" s="130">
        <f t="shared" si="6"/>
        <v>0.5</v>
      </c>
      <c r="U55" s="130"/>
    </row>
    <row r="56" ht="15.75" customHeight="1">
      <c r="G56" s="167"/>
      <c r="H56" s="167"/>
      <c r="I56" s="167"/>
      <c r="J56" s="167"/>
      <c r="K56" s="167"/>
      <c r="L56" s="167"/>
      <c r="N56" s="133" t="s">
        <v>437</v>
      </c>
      <c r="O56" s="394" t="s">
        <v>487</v>
      </c>
      <c r="P56" s="394" t="s">
        <v>469</v>
      </c>
      <c r="Q56" s="393">
        <f t="shared" si="4"/>
        <v>164.755</v>
      </c>
      <c r="R56" s="393">
        <f>P56*E49</f>
        <v>659.02</v>
      </c>
      <c r="S56" s="393">
        <f t="shared" si="5"/>
        <v>329.51</v>
      </c>
      <c r="T56" s="130">
        <f t="shared" si="6"/>
        <v>0.5</v>
      </c>
      <c r="U56" s="130"/>
    </row>
    <row r="57" ht="15.75" customHeight="1">
      <c r="B57" s="398" t="s">
        <v>145</v>
      </c>
      <c r="E57" s="403">
        <f>SUM(E41-E55)</f>
        <v>28584</v>
      </c>
      <c r="G57" s="167"/>
      <c r="H57" s="167"/>
      <c r="I57" s="167"/>
      <c r="J57" s="167"/>
      <c r="K57" s="167"/>
      <c r="L57" s="167"/>
      <c r="N57" s="133" t="s">
        <v>430</v>
      </c>
      <c r="O57" s="394" t="s">
        <v>487</v>
      </c>
      <c r="P57" s="394" t="s">
        <v>469</v>
      </c>
      <c r="Q57" s="393">
        <f t="shared" si="4"/>
        <v>164.755</v>
      </c>
      <c r="R57" s="393">
        <f>P57*E49</f>
        <v>659.02</v>
      </c>
      <c r="S57" s="393">
        <f t="shared" si="5"/>
        <v>329.51</v>
      </c>
      <c r="T57" s="130">
        <f t="shared" si="6"/>
        <v>0.5</v>
      </c>
      <c r="U57" s="130"/>
    </row>
    <row r="58" ht="15.75" customHeight="1">
      <c r="G58" s="167"/>
      <c r="H58" s="167"/>
      <c r="I58" s="167"/>
      <c r="J58" s="167"/>
      <c r="K58" s="167"/>
      <c r="L58" s="167"/>
      <c r="N58" s="133" t="s">
        <v>432</v>
      </c>
      <c r="O58" s="394" t="s">
        <v>487</v>
      </c>
      <c r="P58" s="394" t="s">
        <v>469</v>
      </c>
      <c r="Q58" s="393">
        <f t="shared" si="4"/>
        <v>164.755</v>
      </c>
      <c r="R58" s="393">
        <f>P58*E49</f>
        <v>659.02</v>
      </c>
      <c r="S58" s="393">
        <f t="shared" si="5"/>
        <v>329.51</v>
      </c>
      <c r="T58" s="130">
        <f t="shared" si="6"/>
        <v>0.5</v>
      </c>
      <c r="U58" s="130"/>
    </row>
    <row r="59" ht="15.75" customHeight="1">
      <c r="B59" s="42" t="s">
        <v>146</v>
      </c>
      <c r="E59" s="400">
        <v>30.0</v>
      </c>
      <c r="G59" s="167"/>
      <c r="H59" s="167"/>
      <c r="I59" s="167"/>
      <c r="J59" s="167"/>
      <c r="K59" s="167"/>
      <c r="L59" s="167"/>
      <c r="N59" s="133" t="s">
        <v>433</v>
      </c>
      <c r="O59" s="394" t="s">
        <v>487</v>
      </c>
      <c r="P59" s="394" t="s">
        <v>469</v>
      </c>
      <c r="Q59" s="393">
        <f t="shared" si="4"/>
        <v>164.755</v>
      </c>
      <c r="R59" s="393">
        <f>P59*E49</f>
        <v>659.02</v>
      </c>
      <c r="S59" s="393">
        <f t="shared" si="5"/>
        <v>329.51</v>
      </c>
      <c r="T59" s="130">
        <f t="shared" si="6"/>
        <v>0.5</v>
      </c>
      <c r="U59" s="130"/>
    </row>
    <row r="60" ht="15.75" customHeight="1">
      <c r="G60" s="167"/>
      <c r="H60" s="167"/>
      <c r="I60" s="167"/>
      <c r="J60" s="167"/>
      <c r="K60" s="167"/>
      <c r="L60" s="167"/>
      <c r="N60" s="133" t="s">
        <v>434</v>
      </c>
      <c r="O60" s="394" t="s">
        <v>487</v>
      </c>
      <c r="P60" s="394" t="s">
        <v>469</v>
      </c>
      <c r="Q60" s="393">
        <f t="shared" si="4"/>
        <v>164.755</v>
      </c>
      <c r="R60" s="393">
        <f>P60*E49</f>
        <v>659.02</v>
      </c>
      <c r="S60" s="393">
        <f t="shared" si="5"/>
        <v>329.51</v>
      </c>
      <c r="T60" s="130">
        <f t="shared" si="6"/>
        <v>0.5</v>
      </c>
      <c r="U60" s="130"/>
    </row>
    <row r="61" ht="15.75" customHeight="1">
      <c r="B61" s="398" t="s">
        <v>147</v>
      </c>
      <c r="E61" s="403">
        <f>SUM(E55/E59)-E65</f>
        <v>625.275</v>
      </c>
      <c r="G61" s="167"/>
      <c r="H61" s="167"/>
      <c r="I61" s="167"/>
      <c r="J61" s="167"/>
      <c r="K61" s="167"/>
      <c r="L61" s="167"/>
      <c r="N61" s="133" t="s">
        <v>435</v>
      </c>
      <c r="O61" s="394" t="s">
        <v>487</v>
      </c>
      <c r="P61" s="394" t="s">
        <v>469</v>
      </c>
      <c r="Q61" s="393">
        <f t="shared" si="4"/>
        <v>164.755</v>
      </c>
      <c r="R61" s="393">
        <f>P61*E49</f>
        <v>659.02</v>
      </c>
      <c r="S61" s="393">
        <f t="shared" si="5"/>
        <v>329.51</v>
      </c>
      <c r="T61" s="130">
        <f t="shared" si="6"/>
        <v>0.5</v>
      </c>
      <c r="U61" s="130"/>
    </row>
    <row r="62" ht="15.75" customHeight="1">
      <c r="G62" s="167"/>
      <c r="H62" s="167"/>
      <c r="I62" s="167"/>
      <c r="J62" s="167"/>
      <c r="K62" s="167"/>
      <c r="L62" s="167"/>
      <c r="N62" s="133" t="s">
        <v>436</v>
      </c>
      <c r="O62" s="394" t="s">
        <v>487</v>
      </c>
      <c r="P62" s="394" t="s">
        <v>469</v>
      </c>
      <c r="Q62" s="393">
        <f t="shared" si="4"/>
        <v>164.755</v>
      </c>
      <c r="R62" s="393">
        <f>P62*E49</f>
        <v>659.02</v>
      </c>
      <c r="S62" s="393">
        <f t="shared" si="5"/>
        <v>329.51</v>
      </c>
      <c r="T62" s="130">
        <f t="shared" si="6"/>
        <v>0.5</v>
      </c>
      <c r="U62" s="130"/>
    </row>
    <row r="63" ht="15.75" customHeight="1">
      <c r="B63" s="42" t="s">
        <v>148</v>
      </c>
      <c r="E63" s="406">
        <f>SUM(E53/E59)</f>
        <v>5</v>
      </c>
      <c r="G63" s="167"/>
      <c r="H63" s="167"/>
      <c r="I63" s="167"/>
      <c r="J63" s="167"/>
      <c r="K63" s="167"/>
      <c r="L63" s="167"/>
      <c r="N63" s="133" t="s">
        <v>437</v>
      </c>
      <c r="O63" s="394" t="s">
        <v>487</v>
      </c>
      <c r="P63" s="394" t="s">
        <v>469</v>
      </c>
      <c r="Q63" s="393">
        <f t="shared" si="4"/>
        <v>164.755</v>
      </c>
      <c r="R63" s="393">
        <f>P63*E49</f>
        <v>659.02</v>
      </c>
      <c r="S63" s="393">
        <f t="shared" si="5"/>
        <v>329.51</v>
      </c>
      <c r="T63" s="130">
        <f t="shared" si="6"/>
        <v>0.5</v>
      </c>
      <c r="U63" s="130"/>
    </row>
    <row r="64" ht="15.75" customHeight="1">
      <c r="G64" s="167"/>
      <c r="H64" s="167"/>
      <c r="I64" s="167"/>
      <c r="J64" s="167"/>
      <c r="K64" s="167"/>
      <c r="L64" s="167"/>
      <c r="N64" s="133" t="s">
        <v>430</v>
      </c>
      <c r="O64" s="394" t="s">
        <v>487</v>
      </c>
      <c r="P64" s="394" t="s">
        <v>469</v>
      </c>
      <c r="Q64" s="393">
        <f t="shared" si="4"/>
        <v>164.755</v>
      </c>
      <c r="R64" s="393">
        <f>P64*E49</f>
        <v>659.02</v>
      </c>
      <c r="S64" s="393">
        <f t="shared" si="5"/>
        <v>329.51</v>
      </c>
      <c r="T64" s="130">
        <f t="shared" si="6"/>
        <v>0.5</v>
      </c>
      <c r="U64" s="130"/>
    </row>
    <row r="65" ht="15.75" customHeight="1">
      <c r="B65" s="42" t="s">
        <v>486</v>
      </c>
      <c r="E65" s="373">
        <f>(E55*10%)/30</f>
        <v>69.475</v>
      </c>
      <c r="N65" s="133" t="s">
        <v>432</v>
      </c>
      <c r="O65" s="394" t="s">
        <v>487</v>
      </c>
      <c r="P65" s="394" t="s">
        <v>469</v>
      </c>
      <c r="Q65" s="393">
        <f t="shared" si="4"/>
        <v>164.755</v>
      </c>
      <c r="R65" s="393">
        <f>P65*E49</f>
        <v>659.02</v>
      </c>
      <c r="S65" s="393">
        <f t="shared" si="5"/>
        <v>329.51</v>
      </c>
      <c r="T65" s="130">
        <f t="shared" si="6"/>
        <v>0.5</v>
      </c>
      <c r="U65" s="130"/>
    </row>
    <row r="66" ht="15.75" customHeight="1">
      <c r="N66" s="133" t="s">
        <v>433</v>
      </c>
      <c r="O66" s="394" t="s">
        <v>487</v>
      </c>
      <c r="P66" s="394" t="s">
        <v>469</v>
      </c>
      <c r="Q66" s="393">
        <f t="shared" si="4"/>
        <v>164.755</v>
      </c>
      <c r="R66" s="393">
        <f>P66*E49</f>
        <v>659.02</v>
      </c>
      <c r="S66" s="393">
        <f t="shared" si="5"/>
        <v>329.51</v>
      </c>
      <c r="T66" s="130">
        <f t="shared" si="6"/>
        <v>0.5</v>
      </c>
      <c r="U66" s="130"/>
    </row>
    <row r="67" ht="15.75" customHeight="1">
      <c r="N67" s="133" t="s">
        <v>434</v>
      </c>
      <c r="O67" s="394" t="s">
        <v>487</v>
      </c>
      <c r="P67" s="394" t="s">
        <v>469</v>
      </c>
      <c r="Q67" s="393">
        <f t="shared" si="4"/>
        <v>164.755</v>
      </c>
      <c r="R67" s="393">
        <f>P67*E49</f>
        <v>659.02</v>
      </c>
      <c r="S67" s="393">
        <f t="shared" si="5"/>
        <v>329.51</v>
      </c>
      <c r="T67" s="130">
        <f t="shared" si="6"/>
        <v>0.5</v>
      </c>
      <c r="U67" s="130"/>
    </row>
    <row r="68" ht="15.75" customHeight="1">
      <c r="N68" s="133" t="s">
        <v>435</v>
      </c>
      <c r="O68" s="394" t="s">
        <v>488</v>
      </c>
      <c r="P68" s="394" t="s">
        <v>469</v>
      </c>
      <c r="Q68" s="393" t="str">
        <f>O68/P16</f>
        <v>#DIV/0!</v>
      </c>
      <c r="R68" s="393">
        <f>P68*E49</f>
        <v>659.02</v>
      </c>
      <c r="S68" s="393">
        <f t="shared" si="5"/>
        <v>329.5</v>
      </c>
      <c r="T68" s="130">
        <f t="shared" si="6"/>
        <v>0.499984826</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52.71"/>
  </cols>
  <sheetData>
    <row r="4">
      <c r="A4" s="407"/>
      <c r="B4" s="408" t="s">
        <v>424</v>
      </c>
      <c r="N4" s="391"/>
      <c r="W4" s="391" t="s">
        <v>425</v>
      </c>
    </row>
    <row r="5">
      <c r="A5" s="407"/>
      <c r="N5" s="391" t="s">
        <v>109</v>
      </c>
      <c r="O5" s="391" t="s">
        <v>110</v>
      </c>
      <c r="P5" s="391" t="s">
        <v>6</v>
      </c>
      <c r="Q5" s="391" t="s">
        <v>441</v>
      </c>
      <c r="R5" s="391" t="s">
        <v>427</v>
      </c>
      <c r="S5" s="391" t="s">
        <v>428</v>
      </c>
      <c r="T5" s="391" t="s">
        <v>429</v>
      </c>
      <c r="U5" s="391" t="s">
        <v>29</v>
      </c>
      <c r="V5" s="391" t="s">
        <v>407</v>
      </c>
    </row>
    <row r="6">
      <c r="A6" s="407"/>
      <c r="N6" s="414">
        <v>44136.0</v>
      </c>
      <c r="O6" s="393"/>
      <c r="P6" s="409"/>
      <c r="Q6" s="393"/>
      <c r="R6" s="409"/>
      <c r="S6" s="393" t="str">
        <f t="shared" ref="S6:S35" si="1">O6/R6</f>
        <v>#DIV/0!</v>
      </c>
      <c r="T6" s="393">
        <f>R6*E25</f>
        <v>0</v>
      </c>
      <c r="U6" s="393">
        <f t="shared" ref="U6:U35" si="2">T6-O6</f>
        <v>0</v>
      </c>
      <c r="V6" s="130" t="str">
        <f t="shared" ref="V6:V35" si="3">U6/T6</f>
        <v>#DIV/0!</v>
      </c>
      <c r="W6" s="130"/>
    </row>
    <row r="7">
      <c r="A7" s="407"/>
      <c r="B7" s="410" t="s">
        <v>124</v>
      </c>
      <c r="G7" s="396"/>
      <c r="H7" s="411" t="s">
        <v>125</v>
      </c>
      <c r="N7" s="414">
        <v>44137.0</v>
      </c>
      <c r="O7" s="393">
        <v>11.79</v>
      </c>
      <c r="P7" s="409">
        <v>18.0</v>
      </c>
      <c r="Q7" s="418">
        <v>0.66</v>
      </c>
      <c r="R7" s="409"/>
      <c r="S7" s="393" t="str">
        <f t="shared" si="1"/>
        <v>#DIV/0!</v>
      </c>
      <c r="T7" s="393">
        <f>R7*E25</f>
        <v>0</v>
      </c>
      <c r="U7" s="393">
        <f t="shared" si="2"/>
        <v>-11.79</v>
      </c>
      <c r="V7" s="130" t="str">
        <f t="shared" si="3"/>
        <v>#DIV/0!</v>
      </c>
      <c r="W7" s="130"/>
    </row>
    <row r="8">
      <c r="A8" s="407"/>
      <c r="G8" s="396"/>
      <c r="N8" s="414">
        <v>44138.0</v>
      </c>
      <c r="O8" s="393">
        <v>60.57</v>
      </c>
      <c r="P8" s="409">
        <v>73.0</v>
      </c>
      <c r="Q8" s="418">
        <v>0.83</v>
      </c>
      <c r="R8" s="409"/>
      <c r="S8" s="393" t="str">
        <f t="shared" si="1"/>
        <v>#DIV/0!</v>
      </c>
      <c r="T8" s="393">
        <f>R8*E25</f>
        <v>0</v>
      </c>
      <c r="U8" s="393">
        <f t="shared" si="2"/>
        <v>-60.57</v>
      </c>
      <c r="V8" s="130" t="str">
        <f t="shared" si="3"/>
        <v>#DIV/0!</v>
      </c>
      <c r="W8" s="130"/>
    </row>
    <row r="9">
      <c r="A9" s="407"/>
      <c r="B9" s="398" t="s">
        <v>442</v>
      </c>
      <c r="E9" s="400">
        <v>10000.0</v>
      </c>
      <c r="G9" s="42"/>
      <c r="H9" s="42" t="s">
        <v>129</v>
      </c>
      <c r="K9" s="399">
        <f>SUM(O6:O35)</f>
        <v>475.85</v>
      </c>
      <c r="N9" s="414">
        <v>44139.0</v>
      </c>
      <c r="O9" s="393">
        <v>9.16</v>
      </c>
      <c r="P9" s="409">
        <v>8.0</v>
      </c>
      <c r="Q9" s="418">
        <v>1.15</v>
      </c>
      <c r="R9" s="409"/>
      <c r="S9" s="393" t="str">
        <f t="shared" si="1"/>
        <v>#DIV/0!</v>
      </c>
      <c r="T9" s="393">
        <f>R9*E25</f>
        <v>0</v>
      </c>
      <c r="U9" s="393">
        <f t="shared" si="2"/>
        <v>-9.16</v>
      </c>
      <c r="V9" s="130" t="str">
        <f t="shared" si="3"/>
        <v>#DIV/0!</v>
      </c>
      <c r="W9" s="130"/>
    </row>
    <row r="10">
      <c r="A10" s="407"/>
      <c r="G10" s="42"/>
      <c r="N10" s="414">
        <v>44140.0</v>
      </c>
      <c r="O10" s="393">
        <v>12.54</v>
      </c>
      <c r="P10" s="409">
        <v>23.0</v>
      </c>
      <c r="Q10" s="418">
        <v>0.55</v>
      </c>
      <c r="R10" s="409"/>
      <c r="S10" s="393" t="str">
        <f t="shared" si="1"/>
        <v>#DIV/0!</v>
      </c>
      <c r="T10" s="393">
        <f>R10*E25</f>
        <v>0</v>
      </c>
      <c r="U10" s="393">
        <f t="shared" si="2"/>
        <v>-12.54</v>
      </c>
      <c r="V10" s="130" t="str">
        <f t="shared" si="3"/>
        <v>#DIV/0!</v>
      </c>
      <c r="W10" s="371" t="s">
        <v>489</v>
      </c>
    </row>
    <row r="11">
      <c r="A11" s="407"/>
      <c r="B11" s="42" t="s">
        <v>446</v>
      </c>
      <c r="E11" s="399">
        <v>0.5</v>
      </c>
      <c r="G11" s="167"/>
      <c r="H11" s="398" t="s">
        <v>447</v>
      </c>
      <c r="K11" s="419">
        <f>SUM(P6:P35)</f>
        <v>1140</v>
      </c>
      <c r="N11" s="414">
        <v>44141.0</v>
      </c>
      <c r="O11" s="393">
        <v>0.75</v>
      </c>
      <c r="P11" s="409"/>
      <c r="Q11" s="418"/>
      <c r="R11" s="409"/>
      <c r="S11" s="393" t="str">
        <f t="shared" si="1"/>
        <v>#DIV/0!</v>
      </c>
      <c r="T11" s="393">
        <f>R11*E25</f>
        <v>0</v>
      </c>
      <c r="U11" s="393">
        <f t="shared" si="2"/>
        <v>-0.75</v>
      </c>
      <c r="V11" s="130" t="str">
        <f t="shared" si="3"/>
        <v>#DIV/0!</v>
      </c>
      <c r="W11" s="130"/>
    </row>
    <row r="12">
      <c r="A12" s="407"/>
      <c r="G12" s="167"/>
      <c r="N12" s="414">
        <v>44142.0</v>
      </c>
      <c r="O12" s="393">
        <v>5.23</v>
      </c>
      <c r="P12" s="409">
        <v>16.0</v>
      </c>
      <c r="Q12" s="418">
        <v>0.33</v>
      </c>
      <c r="R12" s="409"/>
      <c r="S12" s="393" t="str">
        <f t="shared" si="1"/>
        <v>#DIV/0!</v>
      </c>
      <c r="T12" s="393">
        <f>R12*E25</f>
        <v>0</v>
      </c>
      <c r="U12" s="393">
        <f t="shared" si="2"/>
        <v>-5.23</v>
      </c>
      <c r="V12" s="130" t="str">
        <f t="shared" si="3"/>
        <v>#DIV/0!</v>
      </c>
      <c r="W12" s="130"/>
    </row>
    <row r="13">
      <c r="A13" s="407"/>
      <c r="B13" s="398" t="s">
        <v>144</v>
      </c>
      <c r="E13" s="403">
        <f>SUM(E9*E11)</f>
        <v>5000</v>
      </c>
      <c r="G13" s="167"/>
      <c r="H13" s="42" t="s">
        <v>450</v>
      </c>
      <c r="K13" s="401">
        <f>SUM(K9/K11)</f>
        <v>0.4174122807</v>
      </c>
      <c r="N13" s="414">
        <v>44143.0</v>
      </c>
      <c r="O13" s="393">
        <v>6.05</v>
      </c>
      <c r="P13" s="409">
        <v>14.0</v>
      </c>
      <c r="Q13" s="418">
        <v>0.43</v>
      </c>
      <c r="R13" s="409"/>
      <c r="S13" s="393" t="str">
        <f t="shared" si="1"/>
        <v>#DIV/0!</v>
      </c>
      <c r="T13" s="393">
        <f>R13*E25</f>
        <v>0</v>
      </c>
      <c r="U13" s="393">
        <f t="shared" si="2"/>
        <v>-6.05</v>
      </c>
      <c r="V13" s="130" t="str">
        <f t="shared" si="3"/>
        <v>#DIV/0!</v>
      </c>
      <c r="W13" s="130"/>
    </row>
    <row r="14">
      <c r="A14" s="407"/>
      <c r="G14" s="167"/>
      <c r="N14" s="414">
        <v>44144.0</v>
      </c>
      <c r="O14" s="393">
        <v>2.79</v>
      </c>
      <c r="P14" s="409">
        <v>10.0</v>
      </c>
      <c r="Q14" s="418">
        <v>0.28</v>
      </c>
      <c r="R14" s="409"/>
      <c r="S14" s="393" t="str">
        <f t="shared" si="1"/>
        <v>#DIV/0!</v>
      </c>
      <c r="T14" s="393">
        <f>R14*E25</f>
        <v>0</v>
      </c>
      <c r="U14" s="393">
        <f t="shared" si="2"/>
        <v>-2.79</v>
      </c>
      <c r="V14" s="130" t="str">
        <f t="shared" si="3"/>
        <v>#DIV/0!</v>
      </c>
      <c r="W14" s="130"/>
    </row>
    <row r="15">
      <c r="A15" s="407"/>
      <c r="B15" s="42" t="s">
        <v>453</v>
      </c>
      <c r="E15" s="400">
        <v>30.0</v>
      </c>
      <c r="G15" s="167"/>
      <c r="H15" s="398" t="s">
        <v>454</v>
      </c>
      <c r="K15" s="419">
        <f>SUM(R6:R35)</f>
        <v>0</v>
      </c>
      <c r="N15" s="414">
        <v>44145.0</v>
      </c>
      <c r="O15" s="393">
        <v>53.52</v>
      </c>
      <c r="P15" s="409">
        <v>144.0</v>
      </c>
      <c r="Q15" s="418">
        <v>0.37</v>
      </c>
      <c r="R15" s="409"/>
      <c r="S15" s="393" t="str">
        <f t="shared" si="1"/>
        <v>#DIV/0!</v>
      </c>
      <c r="T15" s="393">
        <f>R15*E25</f>
        <v>0</v>
      </c>
      <c r="U15" s="393">
        <f t="shared" si="2"/>
        <v>-53.52</v>
      </c>
      <c r="V15" s="130" t="str">
        <f t="shared" si="3"/>
        <v>#DIV/0!</v>
      </c>
      <c r="W15" s="371" t="s">
        <v>490</v>
      </c>
    </row>
    <row r="16">
      <c r="A16" s="407"/>
      <c r="G16" s="167"/>
      <c r="N16" s="414">
        <v>44146.0</v>
      </c>
      <c r="O16" s="393">
        <v>91.28</v>
      </c>
      <c r="P16" s="409">
        <v>246.0</v>
      </c>
      <c r="Q16" s="418">
        <v>0.37</v>
      </c>
      <c r="R16" s="409"/>
      <c r="S16" s="393" t="str">
        <f t="shared" si="1"/>
        <v>#DIV/0!</v>
      </c>
      <c r="T16" s="393">
        <f>R16*E25</f>
        <v>0</v>
      </c>
      <c r="U16" s="393">
        <f t="shared" si="2"/>
        <v>-91.28</v>
      </c>
      <c r="V16" s="130" t="str">
        <f t="shared" si="3"/>
        <v>#DIV/0!</v>
      </c>
      <c r="W16" s="130"/>
    </row>
    <row r="17">
      <c r="A17" s="407"/>
      <c r="B17" s="398" t="s">
        <v>147</v>
      </c>
      <c r="E17" s="403">
        <f>SUM(E13/E15)</f>
        <v>166.6666667</v>
      </c>
      <c r="G17" s="167"/>
      <c r="H17" s="42" t="s">
        <v>458</v>
      </c>
      <c r="K17" s="401">
        <f>SUM(K15*E25)</f>
        <v>0</v>
      </c>
      <c r="N17" s="414">
        <v>44147.0</v>
      </c>
      <c r="O17" s="393">
        <v>47.56</v>
      </c>
      <c r="P17" s="409">
        <v>125.0</v>
      </c>
      <c r="Q17" s="418">
        <v>0.38</v>
      </c>
      <c r="R17" s="409"/>
      <c r="S17" s="393" t="str">
        <f t="shared" si="1"/>
        <v>#DIV/0!</v>
      </c>
      <c r="T17" s="393">
        <f>R17*E25</f>
        <v>0</v>
      </c>
      <c r="U17" s="393">
        <f t="shared" si="2"/>
        <v>-47.56</v>
      </c>
      <c r="V17" s="130" t="str">
        <f t="shared" si="3"/>
        <v>#DIV/0!</v>
      </c>
      <c r="W17" s="130"/>
    </row>
    <row r="18">
      <c r="A18" s="407"/>
      <c r="G18" s="167"/>
      <c r="N18" s="414">
        <v>44148.0</v>
      </c>
      <c r="O18" s="393">
        <v>15.29</v>
      </c>
      <c r="P18" s="409">
        <v>42.0</v>
      </c>
      <c r="Q18" s="418">
        <v>0.36</v>
      </c>
      <c r="R18" s="409"/>
      <c r="S18" s="393" t="str">
        <f t="shared" si="1"/>
        <v>#DIV/0!</v>
      </c>
      <c r="T18" s="393">
        <f>R18*E25</f>
        <v>0</v>
      </c>
      <c r="U18" s="393">
        <f t="shared" si="2"/>
        <v>-15.29</v>
      </c>
      <c r="V18" s="130" t="str">
        <f t="shared" si="3"/>
        <v>#DIV/0!</v>
      </c>
      <c r="W18" s="130"/>
    </row>
    <row r="19">
      <c r="A19" s="407"/>
      <c r="B19" s="42" t="s">
        <v>460</v>
      </c>
      <c r="E19" s="406">
        <f>SUM(E9/E15)</f>
        <v>333.3333333</v>
      </c>
      <c r="G19" s="167"/>
      <c r="H19" s="398" t="s">
        <v>461</v>
      </c>
      <c r="K19" s="403">
        <f>SUM((K9-K17)/K11)</f>
        <v>0.4174122807</v>
      </c>
      <c r="N19" s="414">
        <v>44149.0</v>
      </c>
      <c r="O19" s="393">
        <v>6.34</v>
      </c>
      <c r="P19" s="409">
        <v>22.0</v>
      </c>
      <c r="Q19" s="418">
        <v>0.29</v>
      </c>
      <c r="R19" s="409"/>
      <c r="S19" s="393" t="str">
        <f t="shared" si="1"/>
        <v>#DIV/0!</v>
      </c>
      <c r="T19" s="393">
        <f>R19*E25</f>
        <v>0</v>
      </c>
      <c r="U19" s="393">
        <f t="shared" si="2"/>
        <v>-6.34</v>
      </c>
      <c r="V19" s="130" t="str">
        <f t="shared" si="3"/>
        <v>#DIV/0!</v>
      </c>
      <c r="W19" s="130"/>
    </row>
    <row r="20">
      <c r="A20" s="407"/>
      <c r="G20" s="167"/>
      <c r="N20" s="415">
        <v>44150.0</v>
      </c>
      <c r="O20" s="393">
        <v>25.72</v>
      </c>
      <c r="P20" s="409">
        <v>63.0</v>
      </c>
      <c r="Q20" s="418">
        <v>0.41</v>
      </c>
      <c r="R20" s="409"/>
      <c r="S20" s="393" t="str">
        <f t="shared" si="1"/>
        <v>#DIV/0!</v>
      </c>
      <c r="T20" s="393">
        <f>R20*E25</f>
        <v>0</v>
      </c>
      <c r="U20" s="393">
        <f t="shared" si="2"/>
        <v>-25.72</v>
      </c>
      <c r="V20" s="130" t="str">
        <f t="shared" si="3"/>
        <v>#DIV/0!</v>
      </c>
      <c r="W20" s="130"/>
    </row>
    <row r="21" ht="15.75" customHeight="1">
      <c r="A21" s="407"/>
      <c r="B21" s="398" t="s">
        <v>462</v>
      </c>
      <c r="E21" s="399">
        <v>37.0</v>
      </c>
      <c r="G21" s="167"/>
      <c r="H21" s="42" t="s">
        <v>463</v>
      </c>
      <c r="K21" s="413">
        <f>SUM((K15*E25)-(K9))</f>
        <v>-475.85</v>
      </c>
      <c r="N21" s="415">
        <v>44151.0</v>
      </c>
      <c r="O21" s="393">
        <v>81.79</v>
      </c>
      <c r="P21" s="409">
        <v>221.0</v>
      </c>
      <c r="Q21" s="418">
        <v>0.37</v>
      </c>
      <c r="R21" s="409"/>
      <c r="S21" s="393" t="str">
        <f t="shared" si="1"/>
        <v>#DIV/0!</v>
      </c>
      <c r="T21" s="393">
        <f>R21*E25</f>
        <v>0</v>
      </c>
      <c r="U21" s="393">
        <f t="shared" si="2"/>
        <v>-81.79</v>
      </c>
      <c r="V21" s="130" t="str">
        <f t="shared" si="3"/>
        <v>#DIV/0!</v>
      </c>
      <c r="W21" s="130"/>
    </row>
    <row r="22" ht="15.75" customHeight="1">
      <c r="A22" s="407"/>
      <c r="G22" s="167"/>
      <c r="N22" s="415">
        <v>44152.0</v>
      </c>
      <c r="O22" s="393">
        <v>43.5</v>
      </c>
      <c r="P22" s="409">
        <v>112.0</v>
      </c>
      <c r="Q22" s="418">
        <v>0.39</v>
      </c>
      <c r="R22" s="409"/>
      <c r="S22" s="393" t="str">
        <f t="shared" si="1"/>
        <v>#DIV/0!</v>
      </c>
      <c r="T22" s="393">
        <f>R22*E25</f>
        <v>0</v>
      </c>
      <c r="U22" s="393">
        <f t="shared" si="2"/>
        <v>-43.5</v>
      </c>
      <c r="V22" s="130" t="str">
        <f t="shared" si="3"/>
        <v>#DIV/0!</v>
      </c>
      <c r="W22" s="130"/>
    </row>
    <row r="23" ht="15.75" customHeight="1">
      <c r="A23" s="407"/>
      <c r="B23" s="42" t="s">
        <v>465</v>
      </c>
      <c r="E23" s="399">
        <f>3.55+2.49+3.1</f>
        <v>9.14</v>
      </c>
      <c r="G23" s="167"/>
      <c r="H23" s="167"/>
      <c r="I23" s="167"/>
      <c r="J23" s="167"/>
      <c r="K23" s="167"/>
      <c r="L23" s="167"/>
      <c r="N23" s="415">
        <v>44153.0</v>
      </c>
      <c r="O23" s="393">
        <v>1.97</v>
      </c>
      <c r="P23" s="409">
        <v>3.0</v>
      </c>
      <c r="Q23" s="418">
        <v>0.66</v>
      </c>
      <c r="R23" s="409"/>
      <c r="S23" s="393" t="str">
        <f t="shared" si="1"/>
        <v>#DIV/0!</v>
      </c>
      <c r="T23" s="393">
        <f>R23*E25</f>
        <v>0</v>
      </c>
      <c r="U23" s="393">
        <f t="shared" si="2"/>
        <v>-1.97</v>
      </c>
      <c r="V23" s="130" t="str">
        <f t="shared" si="3"/>
        <v>#DIV/0!</v>
      </c>
      <c r="W23" s="130"/>
    </row>
    <row r="24" ht="15.75" customHeight="1">
      <c r="A24" s="407"/>
      <c r="G24" s="167"/>
      <c r="H24" s="167"/>
      <c r="I24" s="167"/>
      <c r="J24" s="167"/>
      <c r="K24" s="167"/>
      <c r="L24" s="167"/>
      <c r="N24" s="415">
        <v>44154.0</v>
      </c>
      <c r="O24" s="393"/>
      <c r="P24" s="409"/>
      <c r="Q24" s="393"/>
      <c r="R24" s="409"/>
      <c r="S24" s="393" t="str">
        <f t="shared" si="1"/>
        <v>#DIV/0!</v>
      </c>
      <c r="T24" s="393">
        <f>R24*E25</f>
        <v>0</v>
      </c>
      <c r="U24" s="393">
        <f t="shared" si="2"/>
        <v>0</v>
      </c>
      <c r="V24" s="130" t="str">
        <f t="shared" si="3"/>
        <v>#DIV/0!</v>
      </c>
      <c r="W24" s="130"/>
    </row>
    <row r="25" ht="15.75" customHeight="1">
      <c r="A25" s="407"/>
      <c r="B25" s="398" t="s">
        <v>466</v>
      </c>
      <c r="E25" s="403">
        <f>SUM(E21-E23)</f>
        <v>27.86</v>
      </c>
      <c r="G25" s="167"/>
      <c r="H25" s="167"/>
      <c r="I25" s="167"/>
      <c r="J25" s="167"/>
      <c r="K25" s="167"/>
      <c r="L25" s="167"/>
      <c r="N25" s="415">
        <v>44155.0</v>
      </c>
      <c r="O25" s="393"/>
      <c r="P25" s="409"/>
      <c r="Q25" s="393"/>
      <c r="R25" s="409"/>
      <c r="S25" s="393" t="str">
        <f t="shared" si="1"/>
        <v>#DIV/0!</v>
      </c>
      <c r="T25" s="393">
        <f>R25*E25</f>
        <v>0</v>
      </c>
      <c r="U25" s="393">
        <f t="shared" si="2"/>
        <v>0</v>
      </c>
      <c r="V25" s="130" t="str">
        <f t="shared" si="3"/>
        <v>#DIV/0!</v>
      </c>
      <c r="W25" s="130"/>
    </row>
    <row r="26" ht="15.75" customHeight="1">
      <c r="A26" s="407"/>
      <c r="G26" s="167"/>
      <c r="H26" s="167"/>
      <c r="I26" s="167"/>
      <c r="J26" s="167"/>
      <c r="K26" s="167"/>
      <c r="L26" s="167"/>
      <c r="N26" s="415">
        <v>44156.0</v>
      </c>
      <c r="O26" s="393"/>
      <c r="P26" s="409"/>
      <c r="Q26" s="393"/>
      <c r="R26" s="409"/>
      <c r="S26" s="393" t="str">
        <f t="shared" si="1"/>
        <v>#DIV/0!</v>
      </c>
      <c r="T26" s="393">
        <f>R26*E25</f>
        <v>0</v>
      </c>
      <c r="U26" s="393">
        <f t="shared" si="2"/>
        <v>0</v>
      </c>
      <c r="V26" s="130" t="str">
        <f t="shared" si="3"/>
        <v>#DIV/0!</v>
      </c>
      <c r="W26" s="130"/>
    </row>
    <row r="27" ht="15.75" customHeight="1">
      <c r="A27" s="407"/>
      <c r="B27" s="42" t="s">
        <v>143</v>
      </c>
      <c r="E27" s="406">
        <f>SUM(E13/E25)</f>
        <v>179.4687724</v>
      </c>
      <c r="G27" s="167"/>
      <c r="H27" s="167"/>
      <c r="I27" s="167"/>
      <c r="J27" s="167"/>
      <c r="K27" s="167"/>
      <c r="L27" s="167"/>
      <c r="N27" s="415">
        <v>44157.0</v>
      </c>
      <c r="O27" s="393"/>
      <c r="P27" s="409"/>
      <c r="Q27" s="393"/>
      <c r="R27" s="409"/>
      <c r="S27" s="393" t="str">
        <f t="shared" si="1"/>
        <v>#DIV/0!</v>
      </c>
      <c r="T27" s="393">
        <f>R27*E25</f>
        <v>0</v>
      </c>
      <c r="U27" s="393">
        <f t="shared" si="2"/>
        <v>0</v>
      </c>
      <c r="V27" s="130" t="str">
        <f t="shared" si="3"/>
        <v>#DIV/0!</v>
      </c>
      <c r="W27" s="130"/>
    </row>
    <row r="28" ht="15.75" customHeight="1">
      <c r="A28" s="407"/>
      <c r="G28" s="167"/>
      <c r="H28" s="167"/>
      <c r="I28" s="167"/>
      <c r="J28" s="167"/>
      <c r="K28" s="167"/>
      <c r="L28" s="167"/>
      <c r="N28" s="415">
        <v>44158.0</v>
      </c>
      <c r="O28" s="393"/>
      <c r="P28" s="409"/>
      <c r="Q28" s="393"/>
      <c r="R28" s="409"/>
      <c r="S28" s="393" t="str">
        <f t="shared" si="1"/>
        <v>#DIV/0!</v>
      </c>
      <c r="T28" s="393">
        <f>R28*E25</f>
        <v>0</v>
      </c>
      <c r="U28" s="393">
        <f t="shared" si="2"/>
        <v>0</v>
      </c>
      <c r="V28" s="130" t="str">
        <f t="shared" si="3"/>
        <v>#DIV/0!</v>
      </c>
      <c r="W28" s="130"/>
    </row>
    <row r="29" ht="15.75" customHeight="1">
      <c r="A29" s="407"/>
      <c r="N29" s="415">
        <v>44159.0</v>
      </c>
      <c r="O29" s="393"/>
      <c r="P29" s="409"/>
      <c r="Q29" s="393"/>
      <c r="R29" s="409"/>
      <c r="S29" s="393" t="str">
        <f t="shared" si="1"/>
        <v>#DIV/0!</v>
      </c>
      <c r="T29" s="393">
        <f>R29*E25</f>
        <v>0</v>
      </c>
      <c r="U29" s="393">
        <f t="shared" si="2"/>
        <v>0</v>
      </c>
      <c r="V29" s="130" t="str">
        <f t="shared" si="3"/>
        <v>#DIV/0!</v>
      </c>
      <c r="W29" s="130"/>
    </row>
    <row r="30" ht="15.75" customHeight="1">
      <c r="A30" s="407"/>
      <c r="N30" s="415">
        <v>44160.0</v>
      </c>
      <c r="O30" s="393"/>
      <c r="P30" s="409"/>
      <c r="Q30" s="393"/>
      <c r="R30" s="409"/>
      <c r="S30" s="393" t="str">
        <f t="shared" si="1"/>
        <v>#DIV/0!</v>
      </c>
      <c r="T30" s="393">
        <f>R30*E25</f>
        <v>0</v>
      </c>
      <c r="U30" s="393">
        <f t="shared" si="2"/>
        <v>0</v>
      </c>
      <c r="V30" s="130" t="str">
        <f t="shared" si="3"/>
        <v>#DIV/0!</v>
      </c>
      <c r="W30" s="130"/>
    </row>
    <row r="31" ht="15.75" customHeight="1">
      <c r="A31" s="407"/>
      <c r="N31" s="415">
        <v>44161.0</v>
      </c>
      <c r="O31" s="393"/>
      <c r="P31" s="409"/>
      <c r="Q31" s="393"/>
      <c r="R31" s="409"/>
      <c r="S31" s="393" t="str">
        <f t="shared" si="1"/>
        <v>#DIV/0!</v>
      </c>
      <c r="T31" s="393">
        <f>R31*E25</f>
        <v>0</v>
      </c>
      <c r="U31" s="393">
        <f t="shared" si="2"/>
        <v>0</v>
      </c>
      <c r="V31" s="130" t="str">
        <f t="shared" si="3"/>
        <v>#DIV/0!</v>
      </c>
      <c r="W31" s="130"/>
    </row>
    <row r="32" ht="15.75" customHeight="1">
      <c r="A32" s="407"/>
      <c r="N32" s="415">
        <v>44162.0</v>
      </c>
      <c r="O32" s="393"/>
      <c r="P32" s="409"/>
      <c r="Q32" s="393"/>
      <c r="R32" s="409"/>
      <c r="S32" s="393" t="str">
        <f t="shared" si="1"/>
        <v>#DIV/0!</v>
      </c>
      <c r="T32" s="393">
        <f>R32*E25</f>
        <v>0</v>
      </c>
      <c r="U32" s="393">
        <f t="shared" si="2"/>
        <v>0</v>
      </c>
      <c r="V32" s="130" t="str">
        <f t="shared" si="3"/>
        <v>#DIV/0!</v>
      </c>
      <c r="W32" s="130"/>
    </row>
    <row r="33" ht="15.75" customHeight="1">
      <c r="A33" s="407"/>
      <c r="N33" s="415">
        <v>44163.0</v>
      </c>
      <c r="O33" s="393"/>
      <c r="P33" s="409"/>
      <c r="Q33" s="393"/>
      <c r="R33" s="409"/>
      <c r="S33" s="393" t="str">
        <f t="shared" si="1"/>
        <v>#DIV/0!</v>
      </c>
      <c r="T33" s="393">
        <f>R33*E25</f>
        <v>0</v>
      </c>
      <c r="U33" s="393">
        <f t="shared" si="2"/>
        <v>0</v>
      </c>
      <c r="V33" s="130" t="str">
        <f t="shared" si="3"/>
        <v>#DIV/0!</v>
      </c>
      <c r="W33" s="130"/>
    </row>
    <row r="34" ht="15.75" customHeight="1">
      <c r="A34" s="407"/>
      <c r="N34" s="415">
        <v>44164.0</v>
      </c>
      <c r="O34" s="393"/>
      <c r="P34" s="409"/>
      <c r="Q34" s="393"/>
      <c r="R34" s="409"/>
      <c r="S34" s="393" t="str">
        <f t="shared" si="1"/>
        <v>#DIV/0!</v>
      </c>
      <c r="T34" s="393">
        <f>R34*E25</f>
        <v>0</v>
      </c>
      <c r="U34" s="393">
        <f t="shared" si="2"/>
        <v>0</v>
      </c>
      <c r="V34" s="130" t="str">
        <f t="shared" si="3"/>
        <v>#DIV/0!</v>
      </c>
      <c r="W34" s="130"/>
    </row>
    <row r="35" ht="15.75" customHeight="1">
      <c r="A35" s="407"/>
      <c r="N35" s="415">
        <v>44165.0</v>
      </c>
      <c r="O35" s="393"/>
      <c r="P35" s="409"/>
      <c r="Q35" s="393"/>
      <c r="R35" s="409"/>
      <c r="S35" s="393" t="str">
        <f t="shared" si="1"/>
        <v>#DIV/0!</v>
      </c>
      <c r="T35" s="393">
        <f>R35*E25</f>
        <v>0</v>
      </c>
      <c r="U35" s="393">
        <f t="shared" si="2"/>
        <v>0</v>
      </c>
      <c r="V35" s="130" t="str">
        <f t="shared" si="3"/>
        <v>#DIV/0!</v>
      </c>
      <c r="W35" s="130"/>
    </row>
    <row r="36" ht="15.75" customHeight="1">
      <c r="A36" s="407"/>
      <c r="N36" s="392"/>
      <c r="O36" s="393"/>
      <c r="P36" s="409"/>
      <c r="Q36" s="393"/>
      <c r="R36" s="393"/>
      <c r="S36" s="393"/>
      <c r="T36" s="393"/>
      <c r="U36" s="393"/>
      <c r="V36" s="130"/>
      <c r="W36" s="130"/>
    </row>
    <row r="37" ht="15.75" customHeight="1">
      <c r="A37" s="407"/>
      <c r="N37" s="392"/>
      <c r="O37" s="393"/>
      <c r="P37" s="409"/>
      <c r="Q37" s="393"/>
      <c r="R37" s="393"/>
      <c r="S37" s="393"/>
      <c r="T37" s="393"/>
      <c r="U37" s="393"/>
      <c r="V37" s="130"/>
      <c r="W37" s="130"/>
    </row>
    <row r="38" ht="15.75" customHeight="1">
      <c r="A38" s="407"/>
      <c r="B38" s="408" t="s">
        <v>439</v>
      </c>
      <c r="N38" s="391"/>
      <c r="W38" s="391" t="s">
        <v>425</v>
      </c>
    </row>
    <row r="39" ht="15.75" customHeight="1">
      <c r="A39" s="407"/>
      <c r="N39" s="391" t="s">
        <v>109</v>
      </c>
      <c r="O39" s="391" t="s">
        <v>110</v>
      </c>
      <c r="P39" s="391" t="s">
        <v>6</v>
      </c>
      <c r="Q39" s="391" t="s">
        <v>441</v>
      </c>
      <c r="R39" s="391" t="s">
        <v>427</v>
      </c>
      <c r="S39" s="391" t="s">
        <v>428</v>
      </c>
      <c r="T39" s="391" t="s">
        <v>429</v>
      </c>
      <c r="U39" s="391" t="s">
        <v>29</v>
      </c>
      <c r="V39" s="391" t="s">
        <v>407</v>
      </c>
    </row>
    <row r="40" ht="15.75" customHeight="1">
      <c r="N40" s="392" t="s">
        <v>430</v>
      </c>
      <c r="O40" s="393">
        <v>0.0</v>
      </c>
      <c r="P40" s="409">
        <v>0.0</v>
      </c>
      <c r="Q40" s="393" t="str">
        <f t="shared" ref="Q40:Q70" si="4">O40/P40</f>
        <v>#DIV/0!</v>
      </c>
      <c r="R40" s="409">
        <v>0.0</v>
      </c>
      <c r="S40" s="393" t="str">
        <f t="shared" ref="S40:S70" si="5">O40/R40</f>
        <v>#DIV/0!</v>
      </c>
      <c r="T40" s="393">
        <f>R40*E59</f>
        <v>0</v>
      </c>
      <c r="U40" s="393">
        <f t="shared" ref="U40:U70" si="6">T40-O40</f>
        <v>0</v>
      </c>
      <c r="V40" s="130" t="str">
        <f t="shared" ref="V40:V70" si="7">U40/T40</f>
        <v>#DIV/0!</v>
      </c>
      <c r="W40" s="130"/>
    </row>
    <row r="41" ht="15.75" customHeight="1">
      <c r="B41" s="410" t="s">
        <v>124</v>
      </c>
      <c r="G41" s="396"/>
      <c r="H41" s="411" t="s">
        <v>125</v>
      </c>
      <c r="N41" s="392" t="s">
        <v>432</v>
      </c>
      <c r="O41" s="393">
        <v>0.0</v>
      </c>
      <c r="P41" s="409">
        <v>0.0</v>
      </c>
      <c r="Q41" s="393" t="str">
        <f t="shared" si="4"/>
        <v>#DIV/0!</v>
      </c>
      <c r="R41" s="409">
        <v>0.0</v>
      </c>
      <c r="S41" s="393" t="str">
        <f t="shared" si="5"/>
        <v>#DIV/0!</v>
      </c>
      <c r="T41" s="393">
        <f>R41*E59</f>
        <v>0</v>
      </c>
      <c r="U41" s="393">
        <f t="shared" si="6"/>
        <v>0</v>
      </c>
      <c r="V41" s="130" t="str">
        <f t="shared" si="7"/>
        <v>#DIV/0!</v>
      </c>
      <c r="W41" s="130"/>
    </row>
    <row r="42" ht="15.75" customHeight="1">
      <c r="G42" s="396"/>
      <c r="N42" s="392" t="s">
        <v>433</v>
      </c>
      <c r="O42" s="393">
        <v>0.0</v>
      </c>
      <c r="P42" s="409">
        <v>0.0</v>
      </c>
      <c r="Q42" s="393" t="str">
        <f t="shared" si="4"/>
        <v>#DIV/0!</v>
      </c>
      <c r="R42" s="409">
        <v>0.0</v>
      </c>
      <c r="S42" s="393" t="str">
        <f t="shared" si="5"/>
        <v>#DIV/0!</v>
      </c>
      <c r="T42" s="393">
        <f>R42*E59</f>
        <v>0</v>
      </c>
      <c r="U42" s="393">
        <f t="shared" si="6"/>
        <v>0</v>
      </c>
      <c r="V42" s="130" t="str">
        <f t="shared" si="7"/>
        <v>#DIV/0!</v>
      </c>
      <c r="W42" s="130"/>
    </row>
    <row r="43" ht="15.75" customHeight="1">
      <c r="B43" s="398" t="s">
        <v>442</v>
      </c>
      <c r="E43" s="400">
        <v>10000.0</v>
      </c>
      <c r="G43" s="42"/>
      <c r="H43" s="42" t="s">
        <v>129</v>
      </c>
      <c r="K43" s="399">
        <v>0.0</v>
      </c>
      <c r="N43" s="392" t="s">
        <v>434</v>
      </c>
      <c r="O43" s="393">
        <v>0.0</v>
      </c>
      <c r="P43" s="409">
        <v>0.0</v>
      </c>
      <c r="Q43" s="393" t="str">
        <f t="shared" si="4"/>
        <v>#DIV/0!</v>
      </c>
      <c r="R43" s="409">
        <v>0.0</v>
      </c>
      <c r="S43" s="393" t="str">
        <f t="shared" si="5"/>
        <v>#DIV/0!</v>
      </c>
      <c r="T43" s="393">
        <f>R43*E59</f>
        <v>0</v>
      </c>
      <c r="U43" s="393">
        <f t="shared" si="6"/>
        <v>0</v>
      </c>
      <c r="V43" s="130" t="str">
        <f t="shared" si="7"/>
        <v>#DIV/0!</v>
      </c>
      <c r="W43" s="130"/>
    </row>
    <row r="44" ht="15.75" customHeight="1">
      <c r="G44" s="42"/>
      <c r="N44" s="392" t="s">
        <v>435</v>
      </c>
      <c r="O44" s="393">
        <v>0.0</v>
      </c>
      <c r="P44" s="409">
        <v>0.0</v>
      </c>
      <c r="Q44" s="393" t="str">
        <f t="shared" si="4"/>
        <v>#DIV/0!</v>
      </c>
      <c r="R44" s="409">
        <v>0.0</v>
      </c>
      <c r="S44" s="393" t="str">
        <f t="shared" si="5"/>
        <v>#DIV/0!</v>
      </c>
      <c r="T44" s="393">
        <f>R44*E59</f>
        <v>0</v>
      </c>
      <c r="U44" s="393">
        <f t="shared" si="6"/>
        <v>0</v>
      </c>
      <c r="V44" s="130" t="str">
        <f t="shared" si="7"/>
        <v>#DIV/0!</v>
      </c>
      <c r="W44" s="130"/>
    </row>
    <row r="45" ht="15.75" customHeight="1">
      <c r="B45" s="42" t="s">
        <v>446</v>
      </c>
      <c r="E45" s="399">
        <v>0.5</v>
      </c>
      <c r="G45" s="167"/>
      <c r="H45" s="398" t="s">
        <v>447</v>
      </c>
      <c r="K45" s="412">
        <v>0.0</v>
      </c>
      <c r="N45" s="392" t="s">
        <v>436</v>
      </c>
      <c r="O45" s="393">
        <v>0.0</v>
      </c>
      <c r="P45" s="409">
        <v>0.0</v>
      </c>
      <c r="Q45" s="393" t="str">
        <f t="shared" si="4"/>
        <v>#DIV/0!</v>
      </c>
      <c r="R45" s="409">
        <v>0.0</v>
      </c>
      <c r="S45" s="393" t="str">
        <f t="shared" si="5"/>
        <v>#DIV/0!</v>
      </c>
      <c r="T45" s="393">
        <f>R45*E59</f>
        <v>0</v>
      </c>
      <c r="U45" s="393">
        <f t="shared" si="6"/>
        <v>0</v>
      </c>
      <c r="V45" s="130" t="str">
        <f t="shared" si="7"/>
        <v>#DIV/0!</v>
      </c>
      <c r="W45" s="130"/>
    </row>
    <row r="46" ht="15.75" customHeight="1">
      <c r="G46" s="167"/>
      <c r="N46" s="392" t="s">
        <v>437</v>
      </c>
      <c r="O46" s="393">
        <v>0.0</v>
      </c>
      <c r="P46" s="409">
        <v>0.0</v>
      </c>
      <c r="Q46" s="393" t="str">
        <f t="shared" si="4"/>
        <v>#DIV/0!</v>
      </c>
      <c r="R46" s="409">
        <v>0.0</v>
      </c>
      <c r="S46" s="393" t="str">
        <f t="shared" si="5"/>
        <v>#DIV/0!</v>
      </c>
      <c r="T46" s="393">
        <f>R46*E59</f>
        <v>0</v>
      </c>
      <c r="U46" s="393">
        <f t="shared" si="6"/>
        <v>0</v>
      </c>
      <c r="V46" s="130" t="str">
        <f t="shared" si="7"/>
        <v>#DIV/0!</v>
      </c>
      <c r="W46" s="130"/>
    </row>
    <row r="47" ht="15.75" customHeight="1">
      <c r="B47" s="398" t="s">
        <v>144</v>
      </c>
      <c r="E47" s="403">
        <f>SUM(E43*E45)</f>
        <v>5000</v>
      </c>
      <c r="G47" s="167"/>
      <c r="H47" s="42" t="s">
        <v>450</v>
      </c>
      <c r="K47" s="401" t="str">
        <f>SUM(K43/K45)</f>
        <v>#DIV/0!</v>
      </c>
      <c r="N47" s="392" t="s">
        <v>430</v>
      </c>
      <c r="O47" s="393">
        <v>0.0</v>
      </c>
      <c r="P47" s="409">
        <v>0.0</v>
      </c>
      <c r="Q47" s="393" t="str">
        <f t="shared" si="4"/>
        <v>#DIV/0!</v>
      </c>
      <c r="R47" s="409">
        <v>0.0</v>
      </c>
      <c r="S47" s="393" t="str">
        <f t="shared" si="5"/>
        <v>#DIV/0!</v>
      </c>
      <c r="T47" s="393">
        <f>R47*E59</f>
        <v>0</v>
      </c>
      <c r="U47" s="393">
        <f t="shared" si="6"/>
        <v>0</v>
      </c>
      <c r="V47" s="130" t="str">
        <f t="shared" si="7"/>
        <v>#DIV/0!</v>
      </c>
      <c r="W47" s="130"/>
    </row>
    <row r="48" ht="15.75" customHeight="1">
      <c r="G48" s="167"/>
      <c r="N48" s="392" t="s">
        <v>432</v>
      </c>
      <c r="O48" s="393">
        <v>0.0</v>
      </c>
      <c r="P48" s="409">
        <v>0.0</v>
      </c>
      <c r="Q48" s="393" t="str">
        <f t="shared" si="4"/>
        <v>#DIV/0!</v>
      </c>
      <c r="R48" s="409">
        <v>0.0</v>
      </c>
      <c r="S48" s="393" t="str">
        <f t="shared" si="5"/>
        <v>#DIV/0!</v>
      </c>
      <c r="T48" s="393">
        <f>R48*E59</f>
        <v>0</v>
      </c>
      <c r="U48" s="393">
        <f t="shared" si="6"/>
        <v>0</v>
      </c>
      <c r="V48" s="130" t="str">
        <f t="shared" si="7"/>
        <v>#DIV/0!</v>
      </c>
      <c r="W48" s="130"/>
    </row>
    <row r="49" ht="15.75" customHeight="1">
      <c r="B49" s="42" t="s">
        <v>453</v>
      </c>
      <c r="E49" s="400">
        <v>30.0</v>
      </c>
      <c r="G49" s="167"/>
      <c r="H49" s="398" t="s">
        <v>454</v>
      </c>
      <c r="K49" s="412">
        <v>0.0</v>
      </c>
      <c r="N49" s="392" t="s">
        <v>433</v>
      </c>
      <c r="O49" s="393">
        <v>0.0</v>
      </c>
      <c r="P49" s="409">
        <v>0.0</v>
      </c>
      <c r="Q49" s="393" t="str">
        <f t="shared" si="4"/>
        <v>#DIV/0!</v>
      </c>
      <c r="R49" s="409">
        <v>0.0</v>
      </c>
      <c r="S49" s="393" t="str">
        <f t="shared" si="5"/>
        <v>#DIV/0!</v>
      </c>
      <c r="T49" s="393">
        <f>R49*E59</f>
        <v>0</v>
      </c>
      <c r="U49" s="393">
        <f t="shared" si="6"/>
        <v>0</v>
      </c>
      <c r="V49" s="130" t="str">
        <f t="shared" si="7"/>
        <v>#DIV/0!</v>
      </c>
      <c r="W49" s="130"/>
    </row>
    <row r="50" ht="15.75" customHeight="1">
      <c r="G50" s="167"/>
      <c r="N50" s="392" t="s">
        <v>434</v>
      </c>
      <c r="O50" s="393">
        <v>0.0</v>
      </c>
      <c r="P50" s="409">
        <v>0.0</v>
      </c>
      <c r="Q50" s="393" t="str">
        <f t="shared" si="4"/>
        <v>#DIV/0!</v>
      </c>
      <c r="R50" s="409">
        <v>0.0</v>
      </c>
      <c r="S50" s="393" t="str">
        <f t="shared" si="5"/>
        <v>#DIV/0!</v>
      </c>
      <c r="T50" s="393">
        <f>R50*E59</f>
        <v>0</v>
      </c>
      <c r="U50" s="393">
        <f t="shared" si="6"/>
        <v>0</v>
      </c>
      <c r="V50" s="130" t="str">
        <f t="shared" si="7"/>
        <v>#DIV/0!</v>
      </c>
      <c r="W50" s="130"/>
    </row>
    <row r="51" ht="15.75" customHeight="1">
      <c r="B51" s="398" t="s">
        <v>147</v>
      </c>
      <c r="E51" s="403">
        <f>SUM(E47/E49)</f>
        <v>166.6666667</v>
      </c>
      <c r="G51" s="167"/>
      <c r="H51" s="42" t="s">
        <v>458</v>
      </c>
      <c r="K51" s="401">
        <f>SUM(K49*E59)</f>
        <v>0</v>
      </c>
      <c r="N51" s="392" t="s">
        <v>435</v>
      </c>
      <c r="O51" s="393">
        <v>0.0</v>
      </c>
      <c r="P51" s="409">
        <v>0.0</v>
      </c>
      <c r="Q51" s="393" t="str">
        <f t="shared" si="4"/>
        <v>#DIV/0!</v>
      </c>
      <c r="R51" s="409">
        <v>0.0</v>
      </c>
      <c r="S51" s="393" t="str">
        <f t="shared" si="5"/>
        <v>#DIV/0!</v>
      </c>
      <c r="T51" s="393">
        <f>R51*E59</f>
        <v>0</v>
      </c>
      <c r="U51" s="393">
        <f t="shared" si="6"/>
        <v>0</v>
      </c>
      <c r="V51" s="130" t="str">
        <f t="shared" si="7"/>
        <v>#DIV/0!</v>
      </c>
      <c r="W51" s="130"/>
    </row>
    <row r="52" ht="15.75" customHeight="1">
      <c r="G52" s="167"/>
      <c r="N52" s="392" t="s">
        <v>436</v>
      </c>
      <c r="O52" s="393">
        <v>0.0</v>
      </c>
      <c r="P52" s="409">
        <v>0.0</v>
      </c>
      <c r="Q52" s="393" t="str">
        <f t="shared" si="4"/>
        <v>#DIV/0!</v>
      </c>
      <c r="R52" s="409">
        <v>0.0</v>
      </c>
      <c r="S52" s="393" t="str">
        <f t="shared" si="5"/>
        <v>#DIV/0!</v>
      </c>
      <c r="T52" s="393">
        <f>R52*E59</f>
        <v>0</v>
      </c>
      <c r="U52" s="393">
        <f t="shared" si="6"/>
        <v>0</v>
      </c>
      <c r="V52" s="130" t="str">
        <f t="shared" si="7"/>
        <v>#DIV/0!</v>
      </c>
      <c r="W52" s="130"/>
    </row>
    <row r="53" ht="15.75" customHeight="1">
      <c r="B53" s="42" t="s">
        <v>460</v>
      </c>
      <c r="E53" s="406">
        <f>SUM(E43/E49)</f>
        <v>333.3333333</v>
      </c>
      <c r="G53" s="167"/>
      <c r="H53" s="398" t="s">
        <v>461</v>
      </c>
      <c r="K53" s="403" t="str">
        <f>SUM((K43-K51)/K45)</f>
        <v>#DIV/0!</v>
      </c>
      <c r="N53" s="392" t="s">
        <v>437</v>
      </c>
      <c r="O53" s="393">
        <v>0.0</v>
      </c>
      <c r="P53" s="409">
        <v>0.0</v>
      </c>
      <c r="Q53" s="393" t="str">
        <f t="shared" si="4"/>
        <v>#DIV/0!</v>
      </c>
      <c r="R53" s="409">
        <v>0.0</v>
      </c>
      <c r="S53" s="393" t="str">
        <f t="shared" si="5"/>
        <v>#DIV/0!</v>
      </c>
      <c r="T53" s="393">
        <f>R53*E59</f>
        <v>0</v>
      </c>
      <c r="U53" s="393">
        <f t="shared" si="6"/>
        <v>0</v>
      </c>
      <c r="V53" s="130" t="str">
        <f t="shared" si="7"/>
        <v>#DIV/0!</v>
      </c>
      <c r="W53" s="130"/>
    </row>
    <row r="54" ht="15.75" customHeight="1">
      <c r="G54" s="167"/>
      <c r="N54" s="133" t="s">
        <v>430</v>
      </c>
      <c r="O54" s="393">
        <v>0.0</v>
      </c>
      <c r="P54" s="409">
        <v>0.0</v>
      </c>
      <c r="Q54" s="393" t="str">
        <f t="shared" si="4"/>
        <v>#DIV/0!</v>
      </c>
      <c r="R54" s="409">
        <v>0.0</v>
      </c>
      <c r="S54" s="393" t="str">
        <f t="shared" si="5"/>
        <v>#DIV/0!</v>
      </c>
      <c r="T54" s="393">
        <f>R54*E59</f>
        <v>0</v>
      </c>
      <c r="U54" s="393">
        <f t="shared" si="6"/>
        <v>0</v>
      </c>
      <c r="V54" s="130" t="str">
        <f t="shared" si="7"/>
        <v>#DIV/0!</v>
      </c>
      <c r="W54" s="130"/>
    </row>
    <row r="55" ht="15.75" customHeight="1">
      <c r="B55" s="398" t="s">
        <v>462</v>
      </c>
      <c r="E55" s="399">
        <v>37.0</v>
      </c>
      <c r="G55" s="167"/>
      <c r="H55" s="42" t="s">
        <v>463</v>
      </c>
      <c r="K55" s="413">
        <f>SUM((K49*E59)-(K43))</f>
        <v>0</v>
      </c>
      <c r="N55" s="133" t="s">
        <v>432</v>
      </c>
      <c r="O55" s="393">
        <v>0.0</v>
      </c>
      <c r="P55" s="409">
        <v>0.0</v>
      </c>
      <c r="Q55" s="393" t="str">
        <f t="shared" si="4"/>
        <v>#DIV/0!</v>
      </c>
      <c r="R55" s="409">
        <v>0.0</v>
      </c>
      <c r="S55" s="393" t="str">
        <f t="shared" si="5"/>
        <v>#DIV/0!</v>
      </c>
      <c r="T55" s="393">
        <f>R55*E59</f>
        <v>0</v>
      </c>
      <c r="U55" s="393">
        <f t="shared" si="6"/>
        <v>0</v>
      </c>
      <c r="V55" s="130" t="str">
        <f t="shared" si="7"/>
        <v>#DIV/0!</v>
      </c>
      <c r="W55" s="130"/>
    </row>
    <row r="56" ht="15.75" customHeight="1">
      <c r="G56" s="167"/>
      <c r="N56" s="133" t="s">
        <v>433</v>
      </c>
      <c r="O56" s="393">
        <v>0.0</v>
      </c>
      <c r="P56" s="409">
        <v>0.0</v>
      </c>
      <c r="Q56" s="393" t="str">
        <f t="shared" si="4"/>
        <v>#DIV/0!</v>
      </c>
      <c r="R56" s="409">
        <v>0.0</v>
      </c>
      <c r="S56" s="393" t="str">
        <f t="shared" si="5"/>
        <v>#DIV/0!</v>
      </c>
      <c r="T56" s="393">
        <f>R56*E59</f>
        <v>0</v>
      </c>
      <c r="U56" s="393">
        <f t="shared" si="6"/>
        <v>0</v>
      </c>
      <c r="V56" s="130" t="str">
        <f t="shared" si="7"/>
        <v>#DIV/0!</v>
      </c>
      <c r="W56" s="130"/>
    </row>
    <row r="57" ht="15.75" customHeight="1">
      <c r="B57" s="42" t="s">
        <v>465</v>
      </c>
      <c r="E57" s="399">
        <f>3.55+2.49+3.1</f>
        <v>9.14</v>
      </c>
      <c r="G57" s="167"/>
      <c r="H57" s="167"/>
      <c r="I57" s="167"/>
      <c r="J57" s="167"/>
      <c r="K57" s="167"/>
      <c r="L57" s="167"/>
      <c r="N57" s="133" t="s">
        <v>434</v>
      </c>
      <c r="O57" s="393">
        <v>0.0</v>
      </c>
      <c r="P57" s="409">
        <v>0.0</v>
      </c>
      <c r="Q57" s="393" t="str">
        <f t="shared" si="4"/>
        <v>#DIV/0!</v>
      </c>
      <c r="R57" s="409">
        <v>0.0</v>
      </c>
      <c r="S57" s="393" t="str">
        <f t="shared" si="5"/>
        <v>#DIV/0!</v>
      </c>
      <c r="T57" s="393">
        <f>R57*E59</f>
        <v>0</v>
      </c>
      <c r="U57" s="393">
        <f t="shared" si="6"/>
        <v>0</v>
      </c>
      <c r="V57" s="130" t="str">
        <f t="shared" si="7"/>
        <v>#DIV/0!</v>
      </c>
      <c r="W57" s="130"/>
    </row>
    <row r="58" ht="15.75" customHeight="1">
      <c r="G58" s="167"/>
      <c r="H58" s="167"/>
      <c r="I58" s="167"/>
      <c r="J58" s="167"/>
      <c r="K58" s="167"/>
      <c r="L58" s="167"/>
      <c r="N58" s="133" t="s">
        <v>435</v>
      </c>
      <c r="O58" s="393">
        <v>0.0</v>
      </c>
      <c r="P58" s="409">
        <v>0.0</v>
      </c>
      <c r="Q58" s="393" t="str">
        <f t="shared" si="4"/>
        <v>#DIV/0!</v>
      </c>
      <c r="R58" s="409">
        <v>0.0</v>
      </c>
      <c r="S58" s="393" t="str">
        <f t="shared" si="5"/>
        <v>#DIV/0!</v>
      </c>
      <c r="T58" s="393">
        <f>R58*E59</f>
        <v>0</v>
      </c>
      <c r="U58" s="393">
        <f t="shared" si="6"/>
        <v>0</v>
      </c>
      <c r="V58" s="130" t="str">
        <f t="shared" si="7"/>
        <v>#DIV/0!</v>
      </c>
      <c r="W58" s="130"/>
    </row>
    <row r="59" ht="15.75" customHeight="1">
      <c r="B59" s="398" t="s">
        <v>466</v>
      </c>
      <c r="E59" s="403">
        <f>SUM(E55-E57)</f>
        <v>27.86</v>
      </c>
      <c r="G59" s="167"/>
      <c r="H59" s="167"/>
      <c r="I59" s="167"/>
      <c r="J59" s="167"/>
      <c r="K59" s="167"/>
      <c r="L59" s="167"/>
      <c r="N59" s="133" t="s">
        <v>436</v>
      </c>
      <c r="O59" s="393">
        <v>0.0</v>
      </c>
      <c r="P59" s="409">
        <v>0.0</v>
      </c>
      <c r="Q59" s="393" t="str">
        <f t="shared" si="4"/>
        <v>#DIV/0!</v>
      </c>
      <c r="R59" s="409">
        <v>0.0</v>
      </c>
      <c r="S59" s="393" t="str">
        <f t="shared" si="5"/>
        <v>#DIV/0!</v>
      </c>
      <c r="T59" s="393">
        <f>R59*E59</f>
        <v>0</v>
      </c>
      <c r="U59" s="393">
        <f t="shared" si="6"/>
        <v>0</v>
      </c>
      <c r="V59" s="130" t="str">
        <f t="shared" si="7"/>
        <v>#DIV/0!</v>
      </c>
      <c r="W59" s="130"/>
    </row>
    <row r="60" ht="15.75" customHeight="1">
      <c r="G60" s="167"/>
      <c r="H60" s="167"/>
      <c r="I60" s="167"/>
      <c r="J60" s="167"/>
      <c r="K60" s="167"/>
      <c r="L60" s="167"/>
      <c r="N60" s="133" t="s">
        <v>437</v>
      </c>
      <c r="O60" s="393">
        <v>0.0</v>
      </c>
      <c r="P60" s="409">
        <v>0.0</v>
      </c>
      <c r="Q60" s="393" t="str">
        <f t="shared" si="4"/>
        <v>#DIV/0!</v>
      </c>
      <c r="R60" s="409">
        <v>0.0</v>
      </c>
      <c r="S60" s="393" t="str">
        <f t="shared" si="5"/>
        <v>#DIV/0!</v>
      </c>
      <c r="T60" s="393">
        <f>R60*E59</f>
        <v>0</v>
      </c>
      <c r="U60" s="393">
        <f t="shared" si="6"/>
        <v>0</v>
      </c>
      <c r="V60" s="130" t="str">
        <f t="shared" si="7"/>
        <v>#DIV/0!</v>
      </c>
      <c r="W60" s="130"/>
    </row>
    <row r="61" ht="15.75" customHeight="1">
      <c r="B61" s="42" t="s">
        <v>143</v>
      </c>
      <c r="E61" s="406">
        <f>SUM(E47/E59)</f>
        <v>179.4687724</v>
      </c>
      <c r="G61" s="167"/>
      <c r="H61" s="167"/>
      <c r="I61" s="167"/>
      <c r="J61" s="167"/>
      <c r="K61" s="167"/>
      <c r="L61" s="167"/>
      <c r="N61" s="133" t="s">
        <v>430</v>
      </c>
      <c r="O61" s="393">
        <v>0.0</v>
      </c>
      <c r="P61" s="409">
        <v>0.0</v>
      </c>
      <c r="Q61" s="393" t="str">
        <f t="shared" si="4"/>
        <v>#DIV/0!</v>
      </c>
      <c r="R61" s="409">
        <v>0.0</v>
      </c>
      <c r="S61" s="393" t="str">
        <f t="shared" si="5"/>
        <v>#DIV/0!</v>
      </c>
      <c r="T61" s="393">
        <f>R61*E59</f>
        <v>0</v>
      </c>
      <c r="U61" s="393">
        <f t="shared" si="6"/>
        <v>0</v>
      </c>
      <c r="V61" s="130" t="str">
        <f t="shared" si="7"/>
        <v>#DIV/0!</v>
      </c>
      <c r="W61" s="130"/>
    </row>
    <row r="62" ht="15.75" customHeight="1">
      <c r="G62" s="167"/>
      <c r="H62" s="167"/>
      <c r="I62" s="167"/>
      <c r="J62" s="167"/>
      <c r="K62" s="167"/>
      <c r="L62" s="167"/>
      <c r="N62" s="133" t="s">
        <v>432</v>
      </c>
      <c r="O62" s="393">
        <v>0.0</v>
      </c>
      <c r="P62" s="409">
        <v>0.0</v>
      </c>
      <c r="Q62" s="393" t="str">
        <f t="shared" si="4"/>
        <v>#DIV/0!</v>
      </c>
      <c r="R62" s="409">
        <v>0.0</v>
      </c>
      <c r="S62" s="393" t="str">
        <f t="shared" si="5"/>
        <v>#DIV/0!</v>
      </c>
      <c r="T62" s="393">
        <f>R62*E59</f>
        <v>0</v>
      </c>
      <c r="U62" s="393">
        <f t="shared" si="6"/>
        <v>0</v>
      </c>
      <c r="V62" s="130" t="str">
        <f t="shared" si="7"/>
        <v>#DIV/0!</v>
      </c>
      <c r="W62" s="130"/>
    </row>
    <row r="63" ht="15.75" customHeight="1">
      <c r="N63" s="133" t="s">
        <v>433</v>
      </c>
      <c r="O63" s="393">
        <v>0.0</v>
      </c>
      <c r="P63" s="409">
        <v>0.0</v>
      </c>
      <c r="Q63" s="393" t="str">
        <f t="shared" si="4"/>
        <v>#DIV/0!</v>
      </c>
      <c r="R63" s="409">
        <v>0.0</v>
      </c>
      <c r="S63" s="393" t="str">
        <f t="shared" si="5"/>
        <v>#DIV/0!</v>
      </c>
      <c r="T63" s="393">
        <f>R63*E59</f>
        <v>0</v>
      </c>
      <c r="U63" s="393">
        <f t="shared" si="6"/>
        <v>0</v>
      </c>
      <c r="V63" s="130" t="str">
        <f t="shared" si="7"/>
        <v>#DIV/0!</v>
      </c>
      <c r="W63" s="130"/>
    </row>
    <row r="64" ht="15.75" customHeight="1">
      <c r="N64" s="133" t="s">
        <v>434</v>
      </c>
      <c r="O64" s="393">
        <v>0.0</v>
      </c>
      <c r="P64" s="409">
        <v>0.0</v>
      </c>
      <c r="Q64" s="393" t="str">
        <f t="shared" si="4"/>
        <v>#DIV/0!</v>
      </c>
      <c r="R64" s="409">
        <v>0.0</v>
      </c>
      <c r="S64" s="393" t="str">
        <f t="shared" si="5"/>
        <v>#DIV/0!</v>
      </c>
      <c r="T64" s="393">
        <f>R64*E59</f>
        <v>0</v>
      </c>
      <c r="U64" s="393">
        <f t="shared" si="6"/>
        <v>0</v>
      </c>
      <c r="V64" s="130" t="str">
        <f t="shared" si="7"/>
        <v>#DIV/0!</v>
      </c>
      <c r="W64" s="130"/>
    </row>
    <row r="65" ht="15.75" customHeight="1">
      <c r="N65" s="133" t="s">
        <v>435</v>
      </c>
      <c r="O65" s="393">
        <v>0.0</v>
      </c>
      <c r="P65" s="409">
        <v>0.0</v>
      </c>
      <c r="Q65" s="393" t="str">
        <f t="shared" si="4"/>
        <v>#DIV/0!</v>
      </c>
      <c r="R65" s="409">
        <v>0.0</v>
      </c>
      <c r="S65" s="393" t="str">
        <f t="shared" si="5"/>
        <v>#DIV/0!</v>
      </c>
      <c r="T65" s="393">
        <f>R65*E59</f>
        <v>0</v>
      </c>
      <c r="U65" s="393">
        <f t="shared" si="6"/>
        <v>0</v>
      </c>
      <c r="V65" s="130" t="str">
        <f t="shared" si="7"/>
        <v>#DIV/0!</v>
      </c>
      <c r="W65" s="130"/>
    </row>
    <row r="66" ht="15.75" customHeight="1">
      <c r="N66" s="133" t="s">
        <v>436</v>
      </c>
      <c r="O66" s="393">
        <v>0.0</v>
      </c>
      <c r="P66" s="409">
        <v>0.0</v>
      </c>
      <c r="Q66" s="393" t="str">
        <f t="shared" si="4"/>
        <v>#DIV/0!</v>
      </c>
      <c r="R66" s="409">
        <v>0.0</v>
      </c>
      <c r="S66" s="393" t="str">
        <f t="shared" si="5"/>
        <v>#DIV/0!</v>
      </c>
      <c r="T66" s="393">
        <f>R66*E59</f>
        <v>0</v>
      </c>
      <c r="U66" s="393">
        <f t="shared" si="6"/>
        <v>0</v>
      </c>
      <c r="V66" s="130" t="str">
        <f t="shared" si="7"/>
        <v>#DIV/0!</v>
      </c>
      <c r="W66" s="130"/>
    </row>
    <row r="67" ht="15.75" customHeight="1">
      <c r="N67" s="133" t="s">
        <v>437</v>
      </c>
      <c r="O67" s="393">
        <v>0.0</v>
      </c>
      <c r="P67" s="409">
        <v>0.0</v>
      </c>
      <c r="Q67" s="393" t="str">
        <f t="shared" si="4"/>
        <v>#DIV/0!</v>
      </c>
      <c r="R67" s="409">
        <v>0.0</v>
      </c>
      <c r="S67" s="393" t="str">
        <f t="shared" si="5"/>
        <v>#DIV/0!</v>
      </c>
      <c r="T67" s="393">
        <f>R67*E59</f>
        <v>0</v>
      </c>
      <c r="U67" s="393">
        <f t="shared" si="6"/>
        <v>0</v>
      </c>
      <c r="V67" s="130" t="str">
        <f t="shared" si="7"/>
        <v>#DIV/0!</v>
      </c>
      <c r="W67" s="130"/>
    </row>
    <row r="68" ht="15.75" customHeight="1">
      <c r="N68" s="133" t="s">
        <v>430</v>
      </c>
      <c r="O68" s="393">
        <v>0.0</v>
      </c>
      <c r="P68" s="409">
        <v>0.0</v>
      </c>
      <c r="Q68" s="393" t="str">
        <f t="shared" si="4"/>
        <v>#DIV/0!</v>
      </c>
      <c r="R68" s="409">
        <v>0.0</v>
      </c>
      <c r="S68" s="393" t="str">
        <f t="shared" si="5"/>
        <v>#DIV/0!</v>
      </c>
      <c r="T68" s="393">
        <f>R68*E59</f>
        <v>0</v>
      </c>
      <c r="U68" s="393">
        <f t="shared" si="6"/>
        <v>0</v>
      </c>
      <c r="V68" s="130" t="str">
        <f t="shared" si="7"/>
        <v>#DIV/0!</v>
      </c>
      <c r="W68" s="130"/>
    </row>
    <row r="69" ht="15.75" customHeight="1">
      <c r="N69" s="133" t="s">
        <v>432</v>
      </c>
      <c r="O69" s="393">
        <v>0.0</v>
      </c>
      <c r="P69" s="409">
        <v>0.0</v>
      </c>
      <c r="Q69" s="393" t="str">
        <f t="shared" si="4"/>
        <v>#DIV/0!</v>
      </c>
      <c r="R69" s="409">
        <v>0.0</v>
      </c>
      <c r="S69" s="393" t="str">
        <f t="shared" si="5"/>
        <v>#DIV/0!</v>
      </c>
      <c r="T69" s="393">
        <f>R69*E59</f>
        <v>0</v>
      </c>
      <c r="U69" s="393">
        <f t="shared" si="6"/>
        <v>0</v>
      </c>
      <c r="V69" s="130" t="str">
        <f t="shared" si="7"/>
        <v>#DIV/0!</v>
      </c>
      <c r="W69" s="130"/>
    </row>
    <row r="70" ht="15.75" customHeight="1">
      <c r="N70" s="133" t="s">
        <v>433</v>
      </c>
      <c r="O70" s="393">
        <v>0.0</v>
      </c>
      <c r="P70" s="409">
        <v>0.0</v>
      </c>
      <c r="Q70" s="393" t="str">
        <f t="shared" si="4"/>
        <v>#DIV/0!</v>
      </c>
      <c r="R70" s="409">
        <v>0.0</v>
      </c>
      <c r="S70" s="393" t="str">
        <f t="shared" si="5"/>
        <v>#DIV/0!</v>
      </c>
      <c r="T70" s="393">
        <f>R70*E59</f>
        <v>0</v>
      </c>
      <c r="U70" s="393">
        <f t="shared" si="6"/>
        <v>0</v>
      </c>
      <c r="V70" s="130"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90" t="s">
        <v>424</v>
      </c>
      <c r="N3" s="391"/>
      <c r="U3" s="391" t="s">
        <v>425</v>
      </c>
    </row>
    <row r="4">
      <c r="N4" s="391" t="s">
        <v>109</v>
      </c>
      <c r="O4" s="391" t="s">
        <v>110</v>
      </c>
      <c r="P4" s="391" t="s">
        <v>427</v>
      </c>
      <c r="Q4" s="391" t="s">
        <v>428</v>
      </c>
      <c r="R4" s="391" t="s">
        <v>429</v>
      </c>
      <c r="S4" s="391" t="s">
        <v>29</v>
      </c>
      <c r="T4" s="391" t="s">
        <v>407</v>
      </c>
    </row>
    <row r="5">
      <c r="N5" s="392" t="s">
        <v>430</v>
      </c>
      <c r="O5" s="394" t="s">
        <v>491</v>
      </c>
      <c r="P5" s="394" t="s">
        <v>492</v>
      </c>
      <c r="Q5" s="393">
        <f t="shared" ref="Q5:Q34" si="1">O5/P5</f>
        <v>34.69</v>
      </c>
      <c r="R5" s="393">
        <f>P5*E16</f>
        <v>111.44</v>
      </c>
      <c r="S5" s="393">
        <f t="shared" ref="S5:S34" si="2">R5-O5</f>
        <v>-27.32</v>
      </c>
      <c r="T5" s="130">
        <f t="shared" ref="T5:T34" si="3">S5/R5</f>
        <v>-0.2451543431</v>
      </c>
      <c r="U5" s="371" t="s">
        <v>470</v>
      </c>
    </row>
    <row r="6">
      <c r="B6" s="395" t="s">
        <v>124</v>
      </c>
      <c r="G6" s="396"/>
      <c r="H6" s="397" t="s">
        <v>125</v>
      </c>
      <c r="N6" s="392" t="s">
        <v>432</v>
      </c>
      <c r="O6" s="394" t="s">
        <v>493</v>
      </c>
      <c r="P6" s="394" t="s">
        <v>469</v>
      </c>
      <c r="Q6" s="393">
        <f t="shared" si="1"/>
        <v>71.06</v>
      </c>
      <c r="R6" s="393">
        <f>P6*E16</f>
        <v>55.72</v>
      </c>
      <c r="S6" s="393">
        <f t="shared" si="2"/>
        <v>-86.4</v>
      </c>
      <c r="T6" s="130">
        <f t="shared" si="3"/>
        <v>-1.550610194</v>
      </c>
      <c r="U6" s="371" t="s">
        <v>470</v>
      </c>
    </row>
    <row r="7">
      <c r="G7" s="396"/>
      <c r="N7" s="392" t="s">
        <v>433</v>
      </c>
      <c r="O7" s="394" t="s">
        <v>494</v>
      </c>
      <c r="P7" s="394" t="s">
        <v>492</v>
      </c>
      <c r="Q7" s="393">
        <f t="shared" si="1"/>
        <v>34.615</v>
      </c>
      <c r="R7" s="393">
        <f>P7*E16</f>
        <v>111.44</v>
      </c>
      <c r="S7" s="393">
        <f t="shared" si="2"/>
        <v>-27.02</v>
      </c>
      <c r="T7" s="130">
        <f t="shared" si="3"/>
        <v>-0.2424623116</v>
      </c>
      <c r="U7" s="371" t="s">
        <v>470</v>
      </c>
    </row>
    <row r="8">
      <c r="B8" s="398" t="s">
        <v>128</v>
      </c>
      <c r="E8" s="399">
        <v>8358.0</v>
      </c>
      <c r="G8" s="167"/>
      <c r="H8" s="42" t="s">
        <v>129</v>
      </c>
      <c r="K8" s="399">
        <v>0.0</v>
      </c>
      <c r="N8" s="392" t="s">
        <v>434</v>
      </c>
      <c r="O8" s="394" t="s">
        <v>495</v>
      </c>
      <c r="P8" s="394" t="s">
        <v>431</v>
      </c>
      <c r="Q8" s="393" t="str">
        <f t="shared" si="1"/>
        <v>#DIV/0!</v>
      </c>
      <c r="R8" s="393">
        <f>P8*E16</f>
        <v>0</v>
      </c>
      <c r="S8" s="393">
        <f t="shared" si="2"/>
        <v>-46.22</v>
      </c>
      <c r="T8" s="130" t="str">
        <f t="shared" si="3"/>
        <v>#DIV/0!</v>
      </c>
      <c r="U8" s="402" t="s">
        <v>474</v>
      </c>
    </row>
    <row r="9">
      <c r="G9" s="167"/>
      <c r="N9" s="392" t="s">
        <v>435</v>
      </c>
      <c r="O9" s="394" t="s">
        <v>496</v>
      </c>
      <c r="P9" s="394" t="s">
        <v>431</v>
      </c>
      <c r="Q9" s="393" t="str">
        <f t="shared" si="1"/>
        <v>#DIV/0!</v>
      </c>
      <c r="R9" s="393">
        <f>P9*E16</f>
        <v>0</v>
      </c>
      <c r="S9" s="393">
        <f t="shared" si="2"/>
        <v>-38.67</v>
      </c>
      <c r="T9" s="130" t="str">
        <f t="shared" si="3"/>
        <v>#DIV/0!</v>
      </c>
      <c r="U9" s="130"/>
    </row>
    <row r="10">
      <c r="B10" s="42" t="s">
        <v>132</v>
      </c>
      <c r="E10" s="399">
        <v>37.0</v>
      </c>
      <c r="G10" s="167"/>
      <c r="H10" s="398" t="s">
        <v>133</v>
      </c>
      <c r="K10" s="400">
        <v>0.0</v>
      </c>
      <c r="N10" s="392" t="s">
        <v>436</v>
      </c>
      <c r="O10" s="394" t="s">
        <v>497</v>
      </c>
      <c r="P10" s="394" t="s">
        <v>431</v>
      </c>
      <c r="Q10" s="393" t="str">
        <f t="shared" si="1"/>
        <v>#DIV/0!</v>
      </c>
      <c r="R10" s="393">
        <f>P10*E16</f>
        <v>0</v>
      </c>
      <c r="S10" s="393">
        <f t="shared" si="2"/>
        <v>-38.37</v>
      </c>
      <c r="T10" s="130" t="str">
        <f t="shared" si="3"/>
        <v>#DIV/0!</v>
      </c>
      <c r="U10" s="130"/>
    </row>
    <row r="11">
      <c r="G11" s="167"/>
      <c r="N11" s="392" t="s">
        <v>437</v>
      </c>
      <c r="O11" s="394" t="s">
        <v>498</v>
      </c>
      <c r="P11" s="394" t="s">
        <v>472</v>
      </c>
      <c r="Q11" s="393">
        <f t="shared" si="1"/>
        <v>36.63</v>
      </c>
      <c r="R11" s="393">
        <f>P11*E16</f>
        <v>27.86</v>
      </c>
      <c r="S11" s="393">
        <f t="shared" si="2"/>
        <v>-8.77</v>
      </c>
      <c r="T11" s="130">
        <f t="shared" si="3"/>
        <v>-0.3147882268</v>
      </c>
      <c r="U11" s="402" t="s">
        <v>499</v>
      </c>
    </row>
    <row r="12">
      <c r="B12" s="398" t="s">
        <v>136</v>
      </c>
      <c r="E12" s="399">
        <f>3.55+2.49</f>
        <v>6.04</v>
      </c>
      <c r="G12" s="167"/>
      <c r="H12" s="42" t="s">
        <v>137</v>
      </c>
      <c r="K12" s="401" t="str">
        <f>SUM(K8/K10)</f>
        <v>#DIV/0!</v>
      </c>
      <c r="N12" s="392" t="s">
        <v>430</v>
      </c>
      <c r="O12" s="394" t="s">
        <v>500</v>
      </c>
      <c r="P12" s="394" t="s">
        <v>472</v>
      </c>
      <c r="Q12" s="393">
        <f t="shared" si="1"/>
        <v>38.18</v>
      </c>
      <c r="R12" s="393">
        <f>P12*E16</f>
        <v>27.86</v>
      </c>
      <c r="S12" s="393">
        <f t="shared" si="2"/>
        <v>-10.32</v>
      </c>
      <c r="T12" s="130">
        <f t="shared" si="3"/>
        <v>-0.3704235463</v>
      </c>
      <c r="U12" s="402" t="s">
        <v>499</v>
      </c>
    </row>
    <row r="13">
      <c r="G13" s="167"/>
      <c r="N13" s="392" t="s">
        <v>432</v>
      </c>
      <c r="O13" s="394" t="s">
        <v>501</v>
      </c>
      <c r="P13" s="394" t="s">
        <v>472</v>
      </c>
      <c r="Q13" s="393">
        <f t="shared" si="1"/>
        <v>38.55</v>
      </c>
      <c r="R13" s="393">
        <f>P13*E16</f>
        <v>27.86</v>
      </c>
      <c r="S13" s="393">
        <f t="shared" si="2"/>
        <v>-10.69</v>
      </c>
      <c r="T13" s="130">
        <f t="shared" si="3"/>
        <v>-0.3837042355</v>
      </c>
      <c r="U13" s="130"/>
    </row>
    <row r="14">
      <c r="B14" s="42" t="s">
        <v>138</v>
      </c>
      <c r="E14" s="399">
        <f>3.1</f>
        <v>3.1</v>
      </c>
      <c r="G14" s="167"/>
      <c r="H14" s="398" t="s">
        <v>139</v>
      </c>
      <c r="K14" s="401">
        <f>SUM(K10*E16)</f>
        <v>0</v>
      </c>
      <c r="N14" s="392" t="s">
        <v>433</v>
      </c>
      <c r="O14" s="394" t="s">
        <v>502</v>
      </c>
      <c r="P14" s="394" t="s">
        <v>431</v>
      </c>
      <c r="Q14" s="393" t="str">
        <f t="shared" si="1"/>
        <v>#DIV/0!</v>
      </c>
      <c r="R14" s="393">
        <f>P14*E16</f>
        <v>0</v>
      </c>
      <c r="S14" s="393">
        <f t="shared" si="2"/>
        <v>-38.74</v>
      </c>
      <c r="T14" s="130" t="str">
        <f t="shared" si="3"/>
        <v>#DIV/0!</v>
      </c>
      <c r="U14" s="130"/>
    </row>
    <row r="15">
      <c r="G15" s="167"/>
      <c r="N15" s="392" t="s">
        <v>434</v>
      </c>
      <c r="O15" s="394" t="s">
        <v>503</v>
      </c>
      <c r="P15" s="394" t="s">
        <v>469</v>
      </c>
      <c r="Q15" s="393">
        <f t="shared" si="1"/>
        <v>19.39</v>
      </c>
      <c r="R15" s="393">
        <f>P15*E16</f>
        <v>55.72</v>
      </c>
      <c r="S15" s="393">
        <f t="shared" si="2"/>
        <v>16.94</v>
      </c>
      <c r="T15" s="130">
        <f t="shared" si="3"/>
        <v>0.3040201005</v>
      </c>
      <c r="U15" s="130"/>
    </row>
    <row r="16">
      <c r="B16" s="398" t="s">
        <v>140</v>
      </c>
      <c r="E16" s="403">
        <f>SUM(E10-E12-E14)</f>
        <v>27.86</v>
      </c>
      <c r="G16" s="167"/>
      <c r="H16" s="42" t="s">
        <v>141</v>
      </c>
      <c r="K16" s="404">
        <f>SUM(K14-K8)</f>
        <v>0</v>
      </c>
      <c r="N16" s="392" t="s">
        <v>435</v>
      </c>
      <c r="O16" s="394" t="s">
        <v>504</v>
      </c>
      <c r="P16" s="394" t="s">
        <v>505</v>
      </c>
      <c r="Q16" s="393">
        <f t="shared" si="1"/>
        <v>6.15</v>
      </c>
      <c r="R16" s="393">
        <f>P16*E16</f>
        <v>278.6</v>
      </c>
      <c r="S16" s="393">
        <f t="shared" si="2"/>
        <v>217.1</v>
      </c>
      <c r="T16" s="130">
        <f t="shared" si="3"/>
        <v>0.7792534099</v>
      </c>
      <c r="U16" s="402" t="s">
        <v>506</v>
      </c>
    </row>
    <row r="17">
      <c r="G17" s="167"/>
      <c r="N17" s="392" t="s">
        <v>436</v>
      </c>
      <c r="O17" s="394">
        <v>61.14</v>
      </c>
      <c r="P17" s="394" t="s">
        <v>472</v>
      </c>
      <c r="Q17" s="393">
        <f t="shared" si="1"/>
        <v>61.14</v>
      </c>
      <c r="R17" s="393">
        <f>P17*E16</f>
        <v>27.86</v>
      </c>
      <c r="S17" s="393">
        <f t="shared" si="2"/>
        <v>-33.28</v>
      </c>
      <c r="T17" s="130">
        <f t="shared" si="3"/>
        <v>-1.194544149</v>
      </c>
      <c r="U17" s="130"/>
    </row>
    <row r="18">
      <c r="B18" s="42" t="s">
        <v>142</v>
      </c>
      <c r="E18" s="399">
        <v>12.95</v>
      </c>
      <c r="G18" s="167"/>
      <c r="H18" s="167"/>
      <c r="I18" s="167"/>
      <c r="J18" s="167"/>
      <c r="K18" s="167"/>
      <c r="L18" s="167"/>
      <c r="N18" s="392" t="s">
        <v>437</v>
      </c>
      <c r="O18" s="394" t="s">
        <v>507</v>
      </c>
      <c r="P18" s="394" t="s">
        <v>431</v>
      </c>
      <c r="Q18" s="393" t="str">
        <f t="shared" si="1"/>
        <v>#DIV/0!</v>
      </c>
      <c r="R18" s="393">
        <f>P18*E16</f>
        <v>0</v>
      </c>
      <c r="S18" s="393">
        <f t="shared" si="2"/>
        <v>-61.58</v>
      </c>
      <c r="T18" s="130" t="str">
        <f t="shared" si="3"/>
        <v>#DIV/0!</v>
      </c>
      <c r="U18" s="130"/>
    </row>
    <row r="19">
      <c r="G19" s="167"/>
      <c r="H19" s="167"/>
      <c r="I19" s="167"/>
      <c r="J19" s="167"/>
      <c r="K19" s="167"/>
      <c r="L19" s="167"/>
      <c r="N19" s="133" t="s">
        <v>430</v>
      </c>
      <c r="O19" s="394" t="s">
        <v>508</v>
      </c>
      <c r="P19" s="394" t="s">
        <v>472</v>
      </c>
      <c r="Q19" s="393">
        <f t="shared" si="1"/>
        <v>57.2</v>
      </c>
      <c r="R19" s="393">
        <f>P19*E16</f>
        <v>27.86</v>
      </c>
      <c r="S19" s="393">
        <f t="shared" si="2"/>
        <v>-29.34</v>
      </c>
      <c r="T19" s="130">
        <f t="shared" si="3"/>
        <v>-1.053122757</v>
      </c>
      <c r="U19" s="130"/>
    </row>
    <row r="20">
      <c r="B20" s="398" t="s">
        <v>143</v>
      </c>
      <c r="E20" s="405">
        <f>SUM(E8/E16)</f>
        <v>300</v>
      </c>
      <c r="G20" s="167"/>
      <c r="H20" s="167"/>
      <c r="I20" s="167"/>
      <c r="J20" s="167"/>
      <c r="K20" s="167"/>
      <c r="L20" s="167"/>
      <c r="N20" s="133" t="s">
        <v>432</v>
      </c>
      <c r="O20" s="394" t="s">
        <v>509</v>
      </c>
      <c r="P20" s="394" t="s">
        <v>469</v>
      </c>
      <c r="Q20" s="393">
        <f t="shared" si="1"/>
        <v>28.975</v>
      </c>
      <c r="R20" s="393">
        <f>P20*E16</f>
        <v>55.72</v>
      </c>
      <c r="S20" s="393">
        <f t="shared" si="2"/>
        <v>-2.23</v>
      </c>
      <c r="T20" s="130">
        <f t="shared" si="3"/>
        <v>-0.04002153625</v>
      </c>
      <c r="U20" s="130"/>
    </row>
    <row r="21" ht="15.75" customHeight="1">
      <c r="G21" s="167"/>
      <c r="H21" s="167"/>
      <c r="I21" s="167"/>
      <c r="J21" s="167"/>
      <c r="K21" s="167"/>
      <c r="L21" s="167"/>
      <c r="N21" s="133" t="s">
        <v>433</v>
      </c>
      <c r="O21" s="394" t="s">
        <v>431</v>
      </c>
      <c r="P21" s="394" t="s">
        <v>431</v>
      </c>
      <c r="Q21" s="393" t="str">
        <f t="shared" si="1"/>
        <v>#DIV/0!</v>
      </c>
      <c r="R21" s="393">
        <f>P21*E16</f>
        <v>0</v>
      </c>
      <c r="S21" s="393">
        <f t="shared" si="2"/>
        <v>0</v>
      </c>
      <c r="T21" s="130" t="str">
        <f t="shared" si="3"/>
        <v>#DIV/0!</v>
      </c>
      <c r="U21" s="130"/>
    </row>
    <row r="22" ht="15.75" customHeight="1">
      <c r="B22" s="42" t="s">
        <v>144</v>
      </c>
      <c r="E22" s="403">
        <f>SUM(E18*E20)</f>
        <v>3885</v>
      </c>
      <c r="G22" s="167"/>
      <c r="H22" s="167"/>
      <c r="I22" s="167"/>
      <c r="J22" s="167"/>
      <c r="K22" s="167"/>
      <c r="L22" s="167"/>
      <c r="N22" s="133" t="s">
        <v>434</v>
      </c>
      <c r="O22" s="394" t="s">
        <v>431</v>
      </c>
      <c r="P22" s="394" t="s">
        <v>431</v>
      </c>
      <c r="Q22" s="393" t="str">
        <f t="shared" si="1"/>
        <v>#DIV/0!</v>
      </c>
      <c r="R22" s="393">
        <f>P22*E16</f>
        <v>0</v>
      </c>
      <c r="S22" s="393">
        <f t="shared" si="2"/>
        <v>0</v>
      </c>
      <c r="T22" s="130" t="str">
        <f t="shared" si="3"/>
        <v>#DIV/0!</v>
      </c>
      <c r="U22" s="130"/>
    </row>
    <row r="23" ht="15.75" customHeight="1">
      <c r="G23" s="167"/>
      <c r="H23" s="167"/>
      <c r="I23" s="167"/>
      <c r="J23" s="167"/>
      <c r="K23" s="167"/>
      <c r="L23" s="167"/>
      <c r="N23" s="133" t="s">
        <v>435</v>
      </c>
      <c r="O23" s="394" t="s">
        <v>431</v>
      </c>
      <c r="P23" s="394" t="s">
        <v>431</v>
      </c>
      <c r="Q23" s="393" t="str">
        <f t="shared" si="1"/>
        <v>#DIV/0!</v>
      </c>
      <c r="R23" s="393">
        <f>P23*E16</f>
        <v>0</v>
      </c>
      <c r="S23" s="393">
        <f t="shared" si="2"/>
        <v>0</v>
      </c>
      <c r="T23" s="130" t="str">
        <f t="shared" si="3"/>
        <v>#DIV/0!</v>
      </c>
      <c r="U23" s="130"/>
    </row>
    <row r="24" ht="15.75" customHeight="1">
      <c r="B24" s="398" t="s">
        <v>145</v>
      </c>
      <c r="E24" s="403">
        <f>SUM(E8-E22)</f>
        <v>4473</v>
      </c>
      <c r="G24" s="167"/>
      <c r="H24" s="167"/>
      <c r="I24" s="167"/>
      <c r="J24" s="167"/>
      <c r="K24" s="167"/>
      <c r="L24" s="167"/>
      <c r="N24" s="133" t="s">
        <v>436</v>
      </c>
      <c r="O24" s="394" t="s">
        <v>431</v>
      </c>
      <c r="P24" s="394" t="s">
        <v>431</v>
      </c>
      <c r="Q24" s="393" t="str">
        <f t="shared" si="1"/>
        <v>#DIV/0!</v>
      </c>
      <c r="R24" s="393">
        <f>P24*E16</f>
        <v>0</v>
      </c>
      <c r="S24" s="393">
        <f t="shared" si="2"/>
        <v>0</v>
      </c>
      <c r="T24" s="130" t="str">
        <f t="shared" si="3"/>
        <v>#DIV/0!</v>
      </c>
      <c r="U24" s="130"/>
    </row>
    <row r="25" ht="15.75" customHeight="1">
      <c r="G25" s="167"/>
      <c r="H25" s="167"/>
      <c r="I25" s="167"/>
      <c r="J25" s="167"/>
      <c r="K25" s="167"/>
      <c r="L25" s="167"/>
      <c r="N25" s="133" t="s">
        <v>437</v>
      </c>
      <c r="O25" s="394" t="s">
        <v>431</v>
      </c>
      <c r="P25" s="394" t="s">
        <v>431</v>
      </c>
      <c r="Q25" s="393" t="str">
        <f t="shared" si="1"/>
        <v>#DIV/0!</v>
      </c>
      <c r="R25" s="393">
        <f>P25*E16</f>
        <v>0</v>
      </c>
      <c r="S25" s="393">
        <f t="shared" si="2"/>
        <v>0</v>
      </c>
      <c r="T25" s="130" t="str">
        <f t="shared" si="3"/>
        <v>#DIV/0!</v>
      </c>
      <c r="U25" s="130"/>
    </row>
    <row r="26" ht="15.75" customHeight="1">
      <c r="B26" s="42" t="s">
        <v>146</v>
      </c>
      <c r="E26" s="400">
        <v>30.0</v>
      </c>
      <c r="G26" s="167"/>
      <c r="H26" s="167"/>
      <c r="I26" s="167"/>
      <c r="J26" s="167"/>
      <c r="K26" s="167"/>
      <c r="L26" s="167"/>
      <c r="N26" s="133" t="s">
        <v>430</v>
      </c>
      <c r="O26" s="394" t="s">
        <v>431</v>
      </c>
      <c r="P26" s="394" t="s">
        <v>431</v>
      </c>
      <c r="Q26" s="393" t="str">
        <f t="shared" si="1"/>
        <v>#DIV/0!</v>
      </c>
      <c r="R26" s="393">
        <f>P26*E16</f>
        <v>0</v>
      </c>
      <c r="S26" s="393">
        <f t="shared" si="2"/>
        <v>0</v>
      </c>
      <c r="T26" s="130" t="str">
        <f t="shared" si="3"/>
        <v>#DIV/0!</v>
      </c>
      <c r="U26" s="130"/>
    </row>
    <row r="27" ht="15.75" customHeight="1">
      <c r="G27" s="167"/>
      <c r="H27" s="167"/>
      <c r="I27" s="167"/>
      <c r="J27" s="167"/>
      <c r="K27" s="167"/>
      <c r="L27" s="167"/>
      <c r="N27" s="133" t="s">
        <v>432</v>
      </c>
      <c r="O27" s="394" t="s">
        <v>431</v>
      </c>
      <c r="P27" s="394" t="s">
        <v>431</v>
      </c>
      <c r="Q27" s="393" t="str">
        <f t="shared" si="1"/>
        <v>#DIV/0!</v>
      </c>
      <c r="R27" s="393">
        <f>P27*E16</f>
        <v>0</v>
      </c>
      <c r="S27" s="393">
        <f t="shared" si="2"/>
        <v>0</v>
      </c>
      <c r="T27" s="130" t="str">
        <f t="shared" si="3"/>
        <v>#DIV/0!</v>
      </c>
      <c r="U27" s="130"/>
    </row>
    <row r="28" ht="15.75" customHeight="1">
      <c r="B28" s="398" t="s">
        <v>147</v>
      </c>
      <c r="E28" s="403">
        <f>SUM(E22/E26)-E32</f>
        <v>110.075</v>
      </c>
      <c r="G28" s="167"/>
      <c r="H28" s="167"/>
      <c r="I28" s="167"/>
      <c r="J28" s="167"/>
      <c r="K28" s="167"/>
      <c r="L28" s="167"/>
      <c r="N28" s="133" t="s">
        <v>433</v>
      </c>
      <c r="O28" s="394" t="s">
        <v>431</v>
      </c>
      <c r="P28" s="394" t="s">
        <v>431</v>
      </c>
      <c r="Q28" s="393" t="str">
        <f t="shared" si="1"/>
        <v>#DIV/0!</v>
      </c>
      <c r="R28" s="393">
        <f>P28*E16</f>
        <v>0</v>
      </c>
      <c r="S28" s="393">
        <f t="shared" si="2"/>
        <v>0</v>
      </c>
      <c r="T28" s="130" t="str">
        <f t="shared" si="3"/>
        <v>#DIV/0!</v>
      </c>
      <c r="U28" s="130"/>
    </row>
    <row r="29" ht="15.75" customHeight="1">
      <c r="G29" s="167"/>
      <c r="H29" s="167"/>
      <c r="I29" s="167"/>
      <c r="J29" s="167"/>
      <c r="K29" s="167"/>
      <c r="L29" s="167"/>
      <c r="N29" s="133" t="s">
        <v>434</v>
      </c>
      <c r="O29" s="394" t="s">
        <v>431</v>
      </c>
      <c r="P29" s="394" t="s">
        <v>431</v>
      </c>
      <c r="Q29" s="393" t="str">
        <f t="shared" si="1"/>
        <v>#DIV/0!</v>
      </c>
      <c r="R29" s="393">
        <f>P29*E16</f>
        <v>0</v>
      </c>
      <c r="S29" s="393">
        <f t="shared" si="2"/>
        <v>0</v>
      </c>
      <c r="T29" s="130" t="str">
        <f t="shared" si="3"/>
        <v>#DIV/0!</v>
      </c>
      <c r="U29" s="130"/>
    </row>
    <row r="30" ht="15.75" customHeight="1">
      <c r="B30" s="42" t="s">
        <v>148</v>
      </c>
      <c r="E30" s="406">
        <f>SUM(E20/E26)</f>
        <v>10</v>
      </c>
      <c r="G30" s="167"/>
      <c r="H30" s="167"/>
      <c r="I30" s="167"/>
      <c r="J30" s="167"/>
      <c r="K30" s="167"/>
      <c r="L30" s="167"/>
      <c r="N30" s="133" t="s">
        <v>435</v>
      </c>
      <c r="O30" s="394" t="s">
        <v>431</v>
      </c>
      <c r="P30" s="394" t="s">
        <v>431</v>
      </c>
      <c r="Q30" s="393" t="str">
        <f t="shared" si="1"/>
        <v>#DIV/0!</v>
      </c>
      <c r="R30" s="393">
        <f>P30*E16</f>
        <v>0</v>
      </c>
      <c r="S30" s="393">
        <f t="shared" si="2"/>
        <v>0</v>
      </c>
      <c r="T30" s="130" t="str">
        <f t="shared" si="3"/>
        <v>#DIV/0!</v>
      </c>
      <c r="U30" s="130"/>
    </row>
    <row r="31" ht="15.75" customHeight="1">
      <c r="G31" s="167"/>
      <c r="H31" s="167"/>
      <c r="I31" s="167"/>
      <c r="J31" s="167"/>
      <c r="K31" s="167"/>
      <c r="L31" s="167"/>
      <c r="N31" s="133" t="s">
        <v>436</v>
      </c>
      <c r="O31" s="394" t="s">
        <v>431</v>
      </c>
      <c r="P31" s="394" t="s">
        <v>431</v>
      </c>
      <c r="Q31" s="393" t="str">
        <f t="shared" si="1"/>
        <v>#DIV/0!</v>
      </c>
      <c r="R31" s="393">
        <f>P31*E16</f>
        <v>0</v>
      </c>
      <c r="S31" s="393">
        <f t="shared" si="2"/>
        <v>0</v>
      </c>
      <c r="T31" s="130" t="str">
        <f t="shared" si="3"/>
        <v>#DIV/0!</v>
      </c>
      <c r="U31" s="130"/>
    </row>
    <row r="32" ht="15.75" customHeight="1">
      <c r="B32" s="42" t="s">
        <v>486</v>
      </c>
      <c r="E32" s="373">
        <f>(E22*15%)/30</f>
        <v>19.425</v>
      </c>
      <c r="N32" s="133" t="s">
        <v>437</v>
      </c>
      <c r="O32" s="394" t="s">
        <v>431</v>
      </c>
      <c r="P32" s="394" t="s">
        <v>431</v>
      </c>
      <c r="Q32" s="393" t="str">
        <f t="shared" si="1"/>
        <v>#DIV/0!</v>
      </c>
      <c r="R32" s="393">
        <f>P32*E16</f>
        <v>0</v>
      </c>
      <c r="S32" s="393">
        <f t="shared" si="2"/>
        <v>0</v>
      </c>
      <c r="T32" s="130" t="str">
        <f t="shared" si="3"/>
        <v>#DIV/0!</v>
      </c>
      <c r="U32" s="130"/>
    </row>
    <row r="33" ht="15.75" customHeight="1">
      <c r="N33" s="133" t="s">
        <v>430</v>
      </c>
      <c r="O33" s="394" t="s">
        <v>431</v>
      </c>
      <c r="P33" s="394" t="s">
        <v>431</v>
      </c>
      <c r="Q33" s="393" t="str">
        <f t="shared" si="1"/>
        <v>#DIV/0!</v>
      </c>
      <c r="R33" s="393">
        <f>P33*E16</f>
        <v>0</v>
      </c>
      <c r="S33" s="393">
        <f t="shared" si="2"/>
        <v>0</v>
      </c>
      <c r="T33" s="130" t="str">
        <f t="shared" si="3"/>
        <v>#DIV/0!</v>
      </c>
      <c r="U33" s="130"/>
    </row>
    <row r="34" ht="15.75" customHeight="1">
      <c r="N34" s="133" t="s">
        <v>432</v>
      </c>
      <c r="O34" s="394" t="s">
        <v>431</v>
      </c>
      <c r="P34" s="394" t="s">
        <v>431</v>
      </c>
      <c r="Q34" s="393" t="str">
        <f t="shared" si="1"/>
        <v>#DIV/0!</v>
      </c>
      <c r="R34" s="393">
        <f>P34*E16</f>
        <v>0</v>
      </c>
      <c r="S34" s="393">
        <f t="shared" si="2"/>
        <v>0</v>
      </c>
      <c r="T34" s="130" t="str">
        <f t="shared" si="3"/>
        <v>#DIV/0!</v>
      </c>
      <c r="U34" s="130"/>
    </row>
    <row r="35" ht="15.75" customHeight="1"/>
    <row r="36" ht="15.75" customHeight="1">
      <c r="B36" s="390" t="s">
        <v>439</v>
      </c>
      <c r="N36" s="391"/>
      <c r="U36" s="391" t="s">
        <v>425</v>
      </c>
    </row>
    <row r="37" ht="15.75" customHeight="1">
      <c r="N37" s="391" t="s">
        <v>109</v>
      </c>
      <c r="O37" s="391" t="s">
        <v>110</v>
      </c>
      <c r="P37" s="391" t="s">
        <v>427</v>
      </c>
      <c r="Q37" s="391" t="s">
        <v>428</v>
      </c>
      <c r="R37" s="391" t="s">
        <v>429</v>
      </c>
      <c r="S37" s="391" t="s">
        <v>29</v>
      </c>
      <c r="T37" s="391" t="s">
        <v>407</v>
      </c>
    </row>
    <row r="38" ht="15.75" customHeight="1">
      <c r="N38" s="392" t="s">
        <v>433</v>
      </c>
      <c r="O38" s="394" t="s">
        <v>487</v>
      </c>
      <c r="P38" s="394" t="s">
        <v>469</v>
      </c>
      <c r="Q38" s="393">
        <f t="shared" ref="Q38:Q67" si="4">O38/P38</f>
        <v>164.755</v>
      </c>
      <c r="R38" s="393">
        <f>P38*E49</f>
        <v>55.72</v>
      </c>
      <c r="S38" s="393">
        <f t="shared" ref="S38:S68" si="5">R38-O38</f>
        <v>-273.79</v>
      </c>
      <c r="T38" s="130">
        <f t="shared" ref="T38:T68" si="6">S38/R38</f>
        <v>-4.91367552</v>
      </c>
      <c r="U38" s="130"/>
    </row>
    <row r="39" ht="15.75" customHeight="1">
      <c r="B39" s="395" t="s">
        <v>124</v>
      </c>
      <c r="G39" s="396"/>
      <c r="H39" s="397" t="s">
        <v>125</v>
      </c>
      <c r="N39" s="392" t="s">
        <v>434</v>
      </c>
      <c r="O39" s="394" t="s">
        <v>487</v>
      </c>
      <c r="P39" s="394" t="s">
        <v>469</v>
      </c>
      <c r="Q39" s="393">
        <f t="shared" si="4"/>
        <v>164.755</v>
      </c>
      <c r="R39" s="393">
        <f>P39*E49</f>
        <v>55.72</v>
      </c>
      <c r="S39" s="393">
        <f t="shared" si="5"/>
        <v>-273.79</v>
      </c>
      <c r="T39" s="130">
        <f t="shared" si="6"/>
        <v>-4.91367552</v>
      </c>
      <c r="U39" s="130"/>
    </row>
    <row r="40" ht="15.75" customHeight="1">
      <c r="G40" s="396"/>
      <c r="N40" s="392" t="s">
        <v>435</v>
      </c>
      <c r="O40" s="394" t="s">
        <v>487</v>
      </c>
      <c r="P40" s="394" t="s">
        <v>469</v>
      </c>
      <c r="Q40" s="393">
        <f t="shared" si="4"/>
        <v>164.755</v>
      </c>
      <c r="R40" s="393">
        <f>P40*E49</f>
        <v>55.72</v>
      </c>
      <c r="S40" s="393">
        <f t="shared" si="5"/>
        <v>-273.79</v>
      </c>
      <c r="T40" s="130">
        <f t="shared" si="6"/>
        <v>-4.91367552</v>
      </c>
      <c r="U40" s="130"/>
    </row>
    <row r="41" ht="15.75" customHeight="1">
      <c r="B41" s="398" t="s">
        <v>128</v>
      </c>
      <c r="E41" s="399">
        <v>8358.0</v>
      </c>
      <c r="G41" s="167"/>
      <c r="H41" s="42" t="s">
        <v>129</v>
      </c>
      <c r="K41" s="399">
        <v>0.0</v>
      </c>
      <c r="N41" s="392" t="s">
        <v>436</v>
      </c>
      <c r="O41" s="394" t="s">
        <v>487</v>
      </c>
      <c r="P41" s="394" t="s">
        <v>469</v>
      </c>
      <c r="Q41" s="393">
        <f t="shared" si="4"/>
        <v>164.755</v>
      </c>
      <c r="R41" s="393">
        <f>P41*E49</f>
        <v>55.72</v>
      </c>
      <c r="S41" s="393">
        <f t="shared" si="5"/>
        <v>-273.79</v>
      </c>
      <c r="T41" s="130">
        <f t="shared" si="6"/>
        <v>-4.91367552</v>
      </c>
      <c r="U41" s="130"/>
    </row>
    <row r="42" ht="15.75" customHeight="1">
      <c r="G42" s="167"/>
      <c r="N42" s="392" t="s">
        <v>437</v>
      </c>
      <c r="O42" s="394" t="s">
        <v>487</v>
      </c>
      <c r="P42" s="394" t="s">
        <v>469</v>
      </c>
      <c r="Q42" s="393">
        <f t="shared" si="4"/>
        <v>164.755</v>
      </c>
      <c r="R42" s="393">
        <f>P42*E49</f>
        <v>55.72</v>
      </c>
      <c r="S42" s="393">
        <f t="shared" si="5"/>
        <v>-273.79</v>
      </c>
      <c r="T42" s="130">
        <f t="shared" si="6"/>
        <v>-4.91367552</v>
      </c>
      <c r="U42" s="130"/>
    </row>
    <row r="43" ht="15.75" customHeight="1">
      <c r="B43" s="42" t="s">
        <v>132</v>
      </c>
      <c r="E43" s="399">
        <v>37.0</v>
      </c>
      <c r="G43" s="167"/>
      <c r="H43" s="398" t="s">
        <v>133</v>
      </c>
      <c r="K43" s="400">
        <v>0.0</v>
      </c>
      <c r="N43" s="392" t="s">
        <v>430</v>
      </c>
      <c r="O43" s="394" t="s">
        <v>487</v>
      </c>
      <c r="P43" s="394" t="s">
        <v>469</v>
      </c>
      <c r="Q43" s="393">
        <f t="shared" si="4"/>
        <v>164.755</v>
      </c>
      <c r="R43" s="393">
        <f>P43*E49</f>
        <v>55.72</v>
      </c>
      <c r="S43" s="393">
        <f t="shared" si="5"/>
        <v>-273.79</v>
      </c>
      <c r="T43" s="130">
        <f t="shared" si="6"/>
        <v>-4.91367552</v>
      </c>
      <c r="U43" s="130"/>
    </row>
    <row r="44" ht="15.75" customHeight="1">
      <c r="G44" s="167"/>
      <c r="N44" s="392" t="s">
        <v>432</v>
      </c>
      <c r="O44" s="394" t="s">
        <v>487</v>
      </c>
      <c r="P44" s="394" t="s">
        <v>469</v>
      </c>
      <c r="Q44" s="393">
        <f t="shared" si="4"/>
        <v>164.755</v>
      </c>
      <c r="R44" s="393">
        <f>P44*E49</f>
        <v>55.72</v>
      </c>
      <c r="S44" s="393">
        <f t="shared" si="5"/>
        <v>-273.79</v>
      </c>
      <c r="T44" s="130">
        <f t="shared" si="6"/>
        <v>-4.91367552</v>
      </c>
      <c r="U44" s="130"/>
    </row>
    <row r="45" ht="15.75" customHeight="1">
      <c r="B45" s="398" t="s">
        <v>136</v>
      </c>
      <c r="E45" s="399">
        <f>3.55+2.49</f>
        <v>6.04</v>
      </c>
      <c r="G45" s="167"/>
      <c r="H45" s="42" t="s">
        <v>137</v>
      </c>
      <c r="K45" s="401" t="str">
        <f>SUM(K41/K43)</f>
        <v>#DIV/0!</v>
      </c>
      <c r="N45" s="133" t="s">
        <v>433</v>
      </c>
      <c r="O45" s="394" t="s">
        <v>487</v>
      </c>
      <c r="P45" s="394" t="s">
        <v>469</v>
      </c>
      <c r="Q45" s="393">
        <f t="shared" si="4"/>
        <v>164.755</v>
      </c>
      <c r="R45" s="393">
        <f>P45*E49</f>
        <v>55.72</v>
      </c>
      <c r="S45" s="393">
        <f t="shared" si="5"/>
        <v>-273.79</v>
      </c>
      <c r="T45" s="130">
        <f t="shared" si="6"/>
        <v>-4.91367552</v>
      </c>
      <c r="U45" s="130"/>
    </row>
    <row r="46" ht="15.75" customHeight="1">
      <c r="G46" s="167"/>
      <c r="N46" s="133" t="s">
        <v>434</v>
      </c>
      <c r="O46" s="394" t="s">
        <v>487</v>
      </c>
      <c r="P46" s="394" t="s">
        <v>469</v>
      </c>
      <c r="Q46" s="393">
        <f t="shared" si="4"/>
        <v>164.755</v>
      </c>
      <c r="R46" s="393">
        <f>P46*E49</f>
        <v>55.72</v>
      </c>
      <c r="S46" s="393">
        <f t="shared" si="5"/>
        <v>-273.79</v>
      </c>
      <c r="T46" s="130">
        <f t="shared" si="6"/>
        <v>-4.91367552</v>
      </c>
      <c r="U46" s="130"/>
    </row>
    <row r="47" ht="15.75" customHeight="1">
      <c r="B47" s="42" t="s">
        <v>138</v>
      </c>
      <c r="E47" s="399">
        <f>3.1</f>
        <v>3.1</v>
      </c>
      <c r="G47" s="167"/>
      <c r="H47" s="398" t="s">
        <v>139</v>
      </c>
      <c r="K47" s="401">
        <f>SUM(K43*E49)</f>
        <v>0</v>
      </c>
      <c r="N47" s="133" t="s">
        <v>435</v>
      </c>
      <c r="O47" s="394" t="s">
        <v>487</v>
      </c>
      <c r="P47" s="394" t="s">
        <v>469</v>
      </c>
      <c r="Q47" s="393">
        <f t="shared" si="4"/>
        <v>164.755</v>
      </c>
      <c r="R47" s="393">
        <f>P47*E49</f>
        <v>55.72</v>
      </c>
      <c r="S47" s="393">
        <f t="shared" si="5"/>
        <v>-273.79</v>
      </c>
      <c r="T47" s="130">
        <f t="shared" si="6"/>
        <v>-4.91367552</v>
      </c>
      <c r="U47" s="130"/>
    </row>
    <row r="48" ht="15.75" customHeight="1">
      <c r="G48" s="167"/>
      <c r="N48" s="133" t="s">
        <v>436</v>
      </c>
      <c r="O48" s="394" t="s">
        <v>487</v>
      </c>
      <c r="P48" s="394" t="s">
        <v>469</v>
      </c>
      <c r="Q48" s="393">
        <f t="shared" si="4"/>
        <v>164.755</v>
      </c>
      <c r="R48" s="393">
        <f>P48*E49</f>
        <v>55.72</v>
      </c>
      <c r="S48" s="393">
        <f t="shared" si="5"/>
        <v>-273.79</v>
      </c>
      <c r="T48" s="130">
        <f t="shared" si="6"/>
        <v>-4.91367552</v>
      </c>
      <c r="U48" s="130"/>
    </row>
    <row r="49" ht="15.75" customHeight="1">
      <c r="B49" s="398" t="s">
        <v>140</v>
      </c>
      <c r="E49" s="403">
        <f>SUM(E43-E45-E47)</f>
        <v>27.86</v>
      </c>
      <c r="G49" s="167"/>
      <c r="H49" s="42" t="s">
        <v>141</v>
      </c>
      <c r="K49" s="404">
        <f>SUM(K47-K41)</f>
        <v>0</v>
      </c>
      <c r="N49" s="133" t="s">
        <v>437</v>
      </c>
      <c r="O49" s="394" t="s">
        <v>487</v>
      </c>
      <c r="P49" s="394" t="s">
        <v>469</v>
      </c>
      <c r="Q49" s="393">
        <f t="shared" si="4"/>
        <v>164.755</v>
      </c>
      <c r="R49" s="393">
        <f>P49*E49</f>
        <v>55.72</v>
      </c>
      <c r="S49" s="393">
        <f t="shared" si="5"/>
        <v>-273.79</v>
      </c>
      <c r="T49" s="130">
        <f t="shared" si="6"/>
        <v>-4.91367552</v>
      </c>
      <c r="U49" s="130"/>
    </row>
    <row r="50" ht="15.75" customHeight="1">
      <c r="G50" s="167"/>
      <c r="N50" s="133" t="s">
        <v>430</v>
      </c>
      <c r="O50" s="394" t="s">
        <v>487</v>
      </c>
      <c r="P50" s="394" t="s">
        <v>469</v>
      </c>
      <c r="Q50" s="393">
        <f t="shared" si="4"/>
        <v>164.755</v>
      </c>
      <c r="R50" s="393">
        <f>P50*E49</f>
        <v>55.72</v>
      </c>
      <c r="S50" s="393">
        <f t="shared" si="5"/>
        <v>-273.79</v>
      </c>
      <c r="T50" s="130">
        <f t="shared" si="6"/>
        <v>-4.91367552</v>
      </c>
      <c r="U50" s="130"/>
    </row>
    <row r="51" ht="15.75" customHeight="1">
      <c r="B51" s="42" t="s">
        <v>142</v>
      </c>
      <c r="E51" s="399">
        <v>12.95</v>
      </c>
      <c r="G51" s="167"/>
      <c r="H51" s="167"/>
      <c r="I51" s="167"/>
      <c r="J51" s="167"/>
      <c r="K51" s="167"/>
      <c r="L51" s="167"/>
      <c r="N51" s="133" t="s">
        <v>432</v>
      </c>
      <c r="O51" s="394" t="s">
        <v>487</v>
      </c>
      <c r="P51" s="394" t="s">
        <v>469</v>
      </c>
      <c r="Q51" s="393">
        <f t="shared" si="4"/>
        <v>164.755</v>
      </c>
      <c r="R51" s="393">
        <f>P51*E49</f>
        <v>55.72</v>
      </c>
      <c r="S51" s="393">
        <f t="shared" si="5"/>
        <v>-273.79</v>
      </c>
      <c r="T51" s="130">
        <f t="shared" si="6"/>
        <v>-4.91367552</v>
      </c>
      <c r="U51" s="130"/>
    </row>
    <row r="52" ht="15.75" customHeight="1">
      <c r="G52" s="167"/>
      <c r="H52" s="167"/>
      <c r="I52" s="167"/>
      <c r="J52" s="167"/>
      <c r="K52" s="167"/>
      <c r="L52" s="167"/>
      <c r="N52" s="133" t="s">
        <v>433</v>
      </c>
      <c r="O52" s="394" t="s">
        <v>487</v>
      </c>
      <c r="P52" s="394" t="s">
        <v>469</v>
      </c>
      <c r="Q52" s="393">
        <f t="shared" si="4"/>
        <v>164.755</v>
      </c>
      <c r="R52" s="393">
        <f>P52*E49</f>
        <v>55.72</v>
      </c>
      <c r="S52" s="393">
        <f t="shared" si="5"/>
        <v>-273.79</v>
      </c>
      <c r="T52" s="130">
        <f t="shared" si="6"/>
        <v>-4.91367552</v>
      </c>
      <c r="U52" s="130"/>
    </row>
    <row r="53" ht="15.75" customHeight="1">
      <c r="B53" s="398" t="s">
        <v>143</v>
      </c>
      <c r="E53" s="405">
        <f>SUM(E41/E49)</f>
        <v>300</v>
      </c>
      <c r="G53" s="167"/>
      <c r="H53" s="167"/>
      <c r="I53" s="167"/>
      <c r="J53" s="167"/>
      <c r="K53" s="167"/>
      <c r="L53" s="167"/>
      <c r="N53" s="133" t="s">
        <v>434</v>
      </c>
      <c r="O53" s="394" t="s">
        <v>487</v>
      </c>
      <c r="P53" s="394" t="s">
        <v>469</v>
      </c>
      <c r="Q53" s="393">
        <f t="shared" si="4"/>
        <v>164.755</v>
      </c>
      <c r="R53" s="393">
        <f>P53*E49</f>
        <v>55.72</v>
      </c>
      <c r="S53" s="393">
        <f t="shared" si="5"/>
        <v>-273.79</v>
      </c>
      <c r="T53" s="130">
        <f t="shared" si="6"/>
        <v>-4.91367552</v>
      </c>
      <c r="U53" s="130"/>
    </row>
    <row r="54" ht="15.75" customHeight="1">
      <c r="G54" s="167"/>
      <c r="H54" s="167"/>
      <c r="I54" s="167"/>
      <c r="J54" s="167"/>
      <c r="K54" s="167"/>
      <c r="L54" s="167"/>
      <c r="N54" s="133" t="s">
        <v>435</v>
      </c>
      <c r="O54" s="394" t="s">
        <v>487</v>
      </c>
      <c r="P54" s="394" t="s">
        <v>469</v>
      </c>
      <c r="Q54" s="393">
        <f t="shared" si="4"/>
        <v>164.755</v>
      </c>
      <c r="R54" s="393">
        <f>P54*E49</f>
        <v>55.72</v>
      </c>
      <c r="S54" s="393">
        <f t="shared" si="5"/>
        <v>-273.79</v>
      </c>
      <c r="T54" s="130">
        <f t="shared" si="6"/>
        <v>-4.91367552</v>
      </c>
      <c r="U54" s="130"/>
    </row>
    <row r="55" ht="15.75" customHeight="1">
      <c r="B55" s="42" t="s">
        <v>144</v>
      </c>
      <c r="E55" s="403">
        <f>SUM(E51*E53)</f>
        <v>3885</v>
      </c>
      <c r="G55" s="167"/>
      <c r="H55" s="167"/>
      <c r="I55" s="167"/>
      <c r="J55" s="167"/>
      <c r="K55" s="167"/>
      <c r="L55" s="167"/>
      <c r="N55" s="133" t="s">
        <v>436</v>
      </c>
      <c r="O55" s="394" t="s">
        <v>487</v>
      </c>
      <c r="P55" s="394" t="s">
        <v>469</v>
      </c>
      <c r="Q55" s="393">
        <f t="shared" si="4"/>
        <v>164.755</v>
      </c>
      <c r="R55" s="393">
        <f>P55*E49</f>
        <v>55.72</v>
      </c>
      <c r="S55" s="393">
        <f t="shared" si="5"/>
        <v>-273.79</v>
      </c>
      <c r="T55" s="130">
        <f t="shared" si="6"/>
        <v>-4.91367552</v>
      </c>
      <c r="U55" s="130"/>
    </row>
    <row r="56" ht="15.75" customHeight="1">
      <c r="G56" s="167"/>
      <c r="H56" s="167"/>
      <c r="I56" s="167"/>
      <c r="J56" s="167"/>
      <c r="K56" s="167"/>
      <c r="L56" s="167"/>
      <c r="N56" s="133" t="s">
        <v>437</v>
      </c>
      <c r="O56" s="394" t="s">
        <v>487</v>
      </c>
      <c r="P56" s="394" t="s">
        <v>469</v>
      </c>
      <c r="Q56" s="393">
        <f t="shared" si="4"/>
        <v>164.755</v>
      </c>
      <c r="R56" s="393">
        <f>P56*E49</f>
        <v>55.72</v>
      </c>
      <c r="S56" s="393">
        <f t="shared" si="5"/>
        <v>-273.79</v>
      </c>
      <c r="T56" s="130">
        <f t="shared" si="6"/>
        <v>-4.91367552</v>
      </c>
      <c r="U56" s="130"/>
    </row>
    <row r="57" ht="15.75" customHeight="1">
      <c r="B57" s="398" t="s">
        <v>145</v>
      </c>
      <c r="E57" s="403">
        <f>SUM(E41-E55)</f>
        <v>4473</v>
      </c>
      <c r="G57" s="167"/>
      <c r="H57" s="167"/>
      <c r="I57" s="167"/>
      <c r="J57" s="167"/>
      <c r="K57" s="167"/>
      <c r="L57" s="167"/>
      <c r="N57" s="133" t="s">
        <v>430</v>
      </c>
      <c r="O57" s="394" t="s">
        <v>487</v>
      </c>
      <c r="P57" s="394" t="s">
        <v>469</v>
      </c>
      <c r="Q57" s="393">
        <f t="shared" si="4"/>
        <v>164.755</v>
      </c>
      <c r="R57" s="393">
        <f>P57*E49</f>
        <v>55.72</v>
      </c>
      <c r="S57" s="393">
        <f t="shared" si="5"/>
        <v>-273.79</v>
      </c>
      <c r="T57" s="130">
        <f t="shared" si="6"/>
        <v>-4.91367552</v>
      </c>
      <c r="U57" s="130"/>
    </row>
    <row r="58" ht="15.75" customHeight="1">
      <c r="G58" s="167"/>
      <c r="H58" s="167"/>
      <c r="I58" s="167"/>
      <c r="J58" s="167"/>
      <c r="K58" s="167"/>
      <c r="L58" s="167"/>
      <c r="N58" s="133" t="s">
        <v>432</v>
      </c>
      <c r="O58" s="394" t="s">
        <v>487</v>
      </c>
      <c r="P58" s="394" t="s">
        <v>469</v>
      </c>
      <c r="Q58" s="393">
        <f t="shared" si="4"/>
        <v>164.755</v>
      </c>
      <c r="R58" s="393">
        <f>P58*E49</f>
        <v>55.72</v>
      </c>
      <c r="S58" s="393">
        <f t="shared" si="5"/>
        <v>-273.79</v>
      </c>
      <c r="T58" s="130">
        <f t="shared" si="6"/>
        <v>-4.91367552</v>
      </c>
      <c r="U58" s="130"/>
    </row>
    <row r="59" ht="15.75" customHeight="1">
      <c r="B59" s="42" t="s">
        <v>146</v>
      </c>
      <c r="E59" s="400">
        <v>30.0</v>
      </c>
      <c r="G59" s="167"/>
      <c r="H59" s="167"/>
      <c r="I59" s="167"/>
      <c r="J59" s="167"/>
      <c r="K59" s="167"/>
      <c r="L59" s="167"/>
      <c r="N59" s="133" t="s">
        <v>433</v>
      </c>
      <c r="O59" s="394" t="s">
        <v>487</v>
      </c>
      <c r="P59" s="394" t="s">
        <v>469</v>
      </c>
      <c r="Q59" s="393">
        <f t="shared" si="4"/>
        <v>164.755</v>
      </c>
      <c r="R59" s="393">
        <f>P59*E49</f>
        <v>55.72</v>
      </c>
      <c r="S59" s="393">
        <f t="shared" si="5"/>
        <v>-273.79</v>
      </c>
      <c r="T59" s="130">
        <f t="shared" si="6"/>
        <v>-4.91367552</v>
      </c>
      <c r="U59" s="130"/>
    </row>
    <row r="60" ht="15.75" customHeight="1">
      <c r="G60" s="167"/>
      <c r="H60" s="167"/>
      <c r="I60" s="167"/>
      <c r="J60" s="167"/>
      <c r="K60" s="167"/>
      <c r="L60" s="167"/>
      <c r="N60" s="133" t="s">
        <v>434</v>
      </c>
      <c r="O60" s="394" t="s">
        <v>487</v>
      </c>
      <c r="P60" s="394" t="s">
        <v>469</v>
      </c>
      <c r="Q60" s="393">
        <f t="shared" si="4"/>
        <v>164.755</v>
      </c>
      <c r="R60" s="393">
        <f>P60*E49</f>
        <v>55.72</v>
      </c>
      <c r="S60" s="393">
        <f t="shared" si="5"/>
        <v>-273.79</v>
      </c>
      <c r="T60" s="130">
        <f t="shared" si="6"/>
        <v>-4.91367552</v>
      </c>
      <c r="U60" s="130"/>
    </row>
    <row r="61" ht="15.75" customHeight="1">
      <c r="B61" s="398" t="s">
        <v>147</v>
      </c>
      <c r="E61" s="403">
        <f>SUM(E55/E59)-E65</f>
        <v>110.075</v>
      </c>
      <c r="G61" s="167"/>
      <c r="H61" s="167"/>
      <c r="I61" s="167"/>
      <c r="J61" s="167"/>
      <c r="K61" s="167"/>
      <c r="L61" s="167"/>
      <c r="N61" s="133" t="s">
        <v>435</v>
      </c>
      <c r="O61" s="394" t="s">
        <v>487</v>
      </c>
      <c r="P61" s="394" t="s">
        <v>469</v>
      </c>
      <c r="Q61" s="393">
        <f t="shared" si="4"/>
        <v>164.755</v>
      </c>
      <c r="R61" s="393">
        <f>P61*E49</f>
        <v>55.72</v>
      </c>
      <c r="S61" s="393">
        <f t="shared" si="5"/>
        <v>-273.79</v>
      </c>
      <c r="T61" s="130">
        <f t="shared" si="6"/>
        <v>-4.91367552</v>
      </c>
      <c r="U61" s="130"/>
    </row>
    <row r="62" ht="15.75" customHeight="1">
      <c r="G62" s="167"/>
      <c r="H62" s="167"/>
      <c r="I62" s="167"/>
      <c r="J62" s="167"/>
      <c r="K62" s="167"/>
      <c r="L62" s="167"/>
      <c r="N62" s="133" t="s">
        <v>436</v>
      </c>
      <c r="O62" s="394" t="s">
        <v>487</v>
      </c>
      <c r="P62" s="394" t="s">
        <v>469</v>
      </c>
      <c r="Q62" s="393">
        <f t="shared" si="4"/>
        <v>164.755</v>
      </c>
      <c r="R62" s="393">
        <f>P62*E49</f>
        <v>55.72</v>
      </c>
      <c r="S62" s="393">
        <f t="shared" si="5"/>
        <v>-273.79</v>
      </c>
      <c r="T62" s="130">
        <f t="shared" si="6"/>
        <v>-4.91367552</v>
      </c>
      <c r="U62" s="130"/>
    </row>
    <row r="63" ht="15.75" customHeight="1">
      <c r="B63" s="42" t="s">
        <v>148</v>
      </c>
      <c r="E63" s="406">
        <f>SUM(E53/E59)</f>
        <v>10</v>
      </c>
      <c r="G63" s="167"/>
      <c r="H63" s="167"/>
      <c r="I63" s="167"/>
      <c r="J63" s="167"/>
      <c r="K63" s="167"/>
      <c r="L63" s="167"/>
      <c r="N63" s="133" t="s">
        <v>437</v>
      </c>
      <c r="O63" s="394" t="s">
        <v>487</v>
      </c>
      <c r="P63" s="394" t="s">
        <v>469</v>
      </c>
      <c r="Q63" s="393">
        <f t="shared" si="4"/>
        <v>164.755</v>
      </c>
      <c r="R63" s="393">
        <f>P63*E49</f>
        <v>55.72</v>
      </c>
      <c r="S63" s="393">
        <f t="shared" si="5"/>
        <v>-273.79</v>
      </c>
      <c r="T63" s="130">
        <f t="shared" si="6"/>
        <v>-4.91367552</v>
      </c>
      <c r="U63" s="130"/>
    </row>
    <row r="64" ht="15.75" customHeight="1">
      <c r="G64" s="167"/>
      <c r="H64" s="167"/>
      <c r="I64" s="167"/>
      <c r="J64" s="167"/>
      <c r="K64" s="167"/>
      <c r="L64" s="167"/>
      <c r="N64" s="133" t="s">
        <v>430</v>
      </c>
      <c r="O64" s="394" t="s">
        <v>487</v>
      </c>
      <c r="P64" s="394" t="s">
        <v>469</v>
      </c>
      <c r="Q64" s="393">
        <f t="shared" si="4"/>
        <v>164.755</v>
      </c>
      <c r="R64" s="393">
        <f>P64*E49</f>
        <v>55.72</v>
      </c>
      <c r="S64" s="393">
        <f t="shared" si="5"/>
        <v>-273.79</v>
      </c>
      <c r="T64" s="130">
        <f t="shared" si="6"/>
        <v>-4.91367552</v>
      </c>
      <c r="U64" s="130"/>
    </row>
    <row r="65" ht="15.75" customHeight="1">
      <c r="B65" s="42" t="s">
        <v>486</v>
      </c>
      <c r="E65" s="373">
        <f>(E55*15%)/30</f>
        <v>19.425</v>
      </c>
      <c r="N65" s="133" t="s">
        <v>432</v>
      </c>
      <c r="O65" s="394" t="s">
        <v>487</v>
      </c>
      <c r="P65" s="394" t="s">
        <v>469</v>
      </c>
      <c r="Q65" s="393">
        <f t="shared" si="4"/>
        <v>164.755</v>
      </c>
      <c r="R65" s="393">
        <f>P65*E49</f>
        <v>55.72</v>
      </c>
      <c r="S65" s="393">
        <f t="shared" si="5"/>
        <v>-273.79</v>
      </c>
      <c r="T65" s="130">
        <f t="shared" si="6"/>
        <v>-4.91367552</v>
      </c>
      <c r="U65" s="130"/>
    </row>
    <row r="66" ht="15.75" customHeight="1">
      <c r="N66" s="133" t="s">
        <v>433</v>
      </c>
      <c r="O66" s="394" t="s">
        <v>487</v>
      </c>
      <c r="P66" s="394" t="s">
        <v>469</v>
      </c>
      <c r="Q66" s="393">
        <f t="shared" si="4"/>
        <v>164.755</v>
      </c>
      <c r="R66" s="393">
        <f>P66*E49</f>
        <v>55.72</v>
      </c>
      <c r="S66" s="393">
        <f t="shared" si="5"/>
        <v>-273.79</v>
      </c>
      <c r="T66" s="130">
        <f t="shared" si="6"/>
        <v>-4.91367552</v>
      </c>
      <c r="U66" s="130"/>
    </row>
    <row r="67" ht="15.75" customHeight="1">
      <c r="N67" s="133" t="s">
        <v>434</v>
      </c>
      <c r="O67" s="394" t="s">
        <v>487</v>
      </c>
      <c r="P67" s="394" t="s">
        <v>469</v>
      </c>
      <c r="Q67" s="393">
        <f t="shared" si="4"/>
        <v>164.755</v>
      </c>
      <c r="R67" s="393">
        <f>P67*E49</f>
        <v>55.72</v>
      </c>
      <c r="S67" s="393">
        <f t="shared" si="5"/>
        <v>-273.79</v>
      </c>
      <c r="T67" s="130">
        <f t="shared" si="6"/>
        <v>-4.91367552</v>
      </c>
      <c r="U67" s="130"/>
    </row>
    <row r="68" ht="15.75" customHeight="1">
      <c r="N68" s="133" t="s">
        <v>435</v>
      </c>
      <c r="O68" s="394" t="s">
        <v>488</v>
      </c>
      <c r="P68" s="394" t="s">
        <v>469</v>
      </c>
      <c r="Q68" s="393">
        <f>O68/P16</f>
        <v>32.952</v>
      </c>
      <c r="R68" s="393">
        <f>P68*E49</f>
        <v>55.72</v>
      </c>
      <c r="S68" s="393">
        <f t="shared" si="5"/>
        <v>-273.8</v>
      </c>
      <c r="T68" s="130">
        <f t="shared" si="6"/>
        <v>-4.913854989</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59.86"/>
  </cols>
  <sheetData>
    <row r="3">
      <c r="B3" s="390" t="s">
        <v>424</v>
      </c>
      <c r="N3" s="391" t="s">
        <v>297</v>
      </c>
      <c r="V3" s="391" t="s">
        <v>425</v>
      </c>
    </row>
    <row r="4">
      <c r="N4" s="391" t="s">
        <v>426</v>
      </c>
      <c r="O4" s="391" t="s">
        <v>109</v>
      </c>
      <c r="P4" s="391" t="s">
        <v>110</v>
      </c>
      <c r="Q4" s="391" t="s">
        <v>427</v>
      </c>
      <c r="R4" s="391" t="s">
        <v>428</v>
      </c>
      <c r="S4" s="391" t="s">
        <v>429</v>
      </c>
      <c r="T4" s="391" t="s">
        <v>29</v>
      </c>
      <c r="U4" s="391" t="s">
        <v>407</v>
      </c>
    </row>
    <row r="5">
      <c r="N5" s="392">
        <v>1.0</v>
      </c>
      <c r="O5" s="392" t="s">
        <v>430</v>
      </c>
      <c r="P5" s="394" t="s">
        <v>510</v>
      </c>
      <c r="Q5" s="394" t="s">
        <v>431</v>
      </c>
      <c r="R5" s="393" t="str">
        <f t="shared" ref="R5:R34" si="1">P5/Q5</f>
        <v>#DIV/0!</v>
      </c>
      <c r="S5" s="393">
        <f>Q5*E16</f>
        <v>0</v>
      </c>
      <c r="T5" s="393">
        <f t="shared" ref="T5:T34" si="2">S5-P5</f>
        <v>-99.64</v>
      </c>
      <c r="U5" s="130" t="str">
        <f t="shared" ref="U5:U34" si="3">T5/S5</f>
        <v>#DIV/0!</v>
      </c>
      <c r="V5" s="130"/>
    </row>
    <row r="6">
      <c r="B6" s="395" t="s">
        <v>124</v>
      </c>
      <c r="G6" s="396"/>
      <c r="H6" s="397" t="s">
        <v>125</v>
      </c>
      <c r="N6" s="392">
        <v>2.0</v>
      </c>
      <c r="O6" s="392" t="s">
        <v>432</v>
      </c>
      <c r="P6" s="394" t="s">
        <v>511</v>
      </c>
      <c r="Q6" s="394" t="s">
        <v>469</v>
      </c>
      <c r="R6" s="393">
        <f t="shared" si="1"/>
        <v>50.535</v>
      </c>
      <c r="S6" s="393">
        <f>Q6*E16</f>
        <v>157.18</v>
      </c>
      <c r="T6" s="393">
        <f t="shared" si="2"/>
        <v>56.11</v>
      </c>
      <c r="U6" s="130">
        <f t="shared" si="3"/>
        <v>0.3569792594</v>
      </c>
      <c r="V6" s="371" t="s">
        <v>470</v>
      </c>
    </row>
    <row r="7">
      <c r="G7" s="396"/>
      <c r="N7" s="392">
        <v>3.0</v>
      </c>
      <c r="O7" s="392" t="s">
        <v>433</v>
      </c>
      <c r="P7" s="394" t="s">
        <v>512</v>
      </c>
      <c r="Q7" s="394" t="s">
        <v>431</v>
      </c>
      <c r="R7" s="393" t="str">
        <f t="shared" si="1"/>
        <v>#DIV/0!</v>
      </c>
      <c r="S7" s="393">
        <f>Q7*E16</f>
        <v>0</v>
      </c>
      <c r="T7" s="393">
        <f t="shared" si="2"/>
        <v>-100.4</v>
      </c>
      <c r="U7" s="130" t="str">
        <f t="shared" si="3"/>
        <v>#DIV/0!</v>
      </c>
      <c r="V7" s="130"/>
    </row>
    <row r="8">
      <c r="B8" s="398" t="s">
        <v>128</v>
      </c>
      <c r="E8" s="399">
        <v>11721.0</v>
      </c>
      <c r="G8" s="167"/>
      <c r="H8" s="42" t="s">
        <v>129</v>
      </c>
      <c r="K8" s="399">
        <v>0.0</v>
      </c>
      <c r="N8" s="392">
        <v>4.0</v>
      </c>
      <c r="O8" s="392" t="s">
        <v>434</v>
      </c>
      <c r="P8" s="394" t="s">
        <v>513</v>
      </c>
      <c r="Q8" s="394" t="s">
        <v>431</v>
      </c>
      <c r="R8" s="393" t="str">
        <f t="shared" si="1"/>
        <v>#DIV/0!</v>
      </c>
      <c r="S8" s="393">
        <f>Q8*E16</f>
        <v>0</v>
      </c>
      <c r="T8" s="393">
        <f t="shared" si="2"/>
        <v>-55.01</v>
      </c>
      <c r="U8" s="130" t="str">
        <f t="shared" si="3"/>
        <v>#DIV/0!</v>
      </c>
      <c r="V8" s="402" t="s">
        <v>474</v>
      </c>
    </row>
    <row r="9">
      <c r="G9" s="167"/>
      <c r="N9" s="392">
        <v>5.0</v>
      </c>
      <c r="O9" s="392" t="s">
        <v>435</v>
      </c>
      <c r="P9" s="394" t="s">
        <v>514</v>
      </c>
      <c r="Q9" s="394" t="s">
        <v>469</v>
      </c>
      <c r="R9" s="393">
        <f t="shared" si="1"/>
        <v>81.49</v>
      </c>
      <c r="S9" s="393">
        <f>Q9*E16</f>
        <v>157.18</v>
      </c>
      <c r="T9" s="393">
        <f t="shared" si="2"/>
        <v>-5.8</v>
      </c>
      <c r="U9" s="130">
        <f t="shared" si="3"/>
        <v>-0.036900369</v>
      </c>
      <c r="V9" s="130"/>
    </row>
    <row r="10">
      <c r="B10" s="42" t="s">
        <v>132</v>
      </c>
      <c r="E10" s="399">
        <v>97.0</v>
      </c>
      <c r="G10" s="167"/>
      <c r="H10" s="398" t="s">
        <v>133</v>
      </c>
      <c r="K10" s="400">
        <v>0.0</v>
      </c>
      <c r="N10" s="392">
        <v>6.0</v>
      </c>
      <c r="O10" s="392" t="s">
        <v>436</v>
      </c>
      <c r="P10" s="394" t="s">
        <v>515</v>
      </c>
      <c r="Q10" s="394" t="s">
        <v>472</v>
      </c>
      <c r="R10" s="393">
        <f t="shared" si="1"/>
        <v>163.99</v>
      </c>
      <c r="S10" s="393">
        <f>Q10*E16</f>
        <v>78.59</v>
      </c>
      <c r="T10" s="393">
        <f t="shared" si="2"/>
        <v>-85.4</v>
      </c>
      <c r="U10" s="130">
        <f t="shared" si="3"/>
        <v>-1.086652246</v>
      </c>
      <c r="V10" s="130"/>
    </row>
    <row r="11">
      <c r="G11" s="167"/>
      <c r="N11" s="392">
        <v>7.0</v>
      </c>
      <c r="O11" s="392" t="s">
        <v>437</v>
      </c>
      <c r="P11" s="394" t="s">
        <v>516</v>
      </c>
      <c r="Q11" s="394" t="s">
        <v>472</v>
      </c>
      <c r="R11" s="393">
        <f t="shared" si="1"/>
        <v>160.04</v>
      </c>
      <c r="S11" s="393">
        <f>Q11*E16</f>
        <v>78.59</v>
      </c>
      <c r="T11" s="393">
        <f t="shared" si="2"/>
        <v>-81.45</v>
      </c>
      <c r="U11" s="130">
        <f t="shared" si="3"/>
        <v>-1.036391398</v>
      </c>
      <c r="V11" s="371" t="s">
        <v>517</v>
      </c>
    </row>
    <row r="12">
      <c r="B12" s="398" t="s">
        <v>136</v>
      </c>
      <c r="E12" s="399">
        <f>7.69+1.99</f>
        <v>9.68</v>
      </c>
      <c r="G12" s="167"/>
      <c r="H12" s="42" t="s">
        <v>137</v>
      </c>
      <c r="K12" s="401" t="str">
        <f>SUM(K8/K10)</f>
        <v>#DIV/0!</v>
      </c>
      <c r="N12" s="392">
        <v>8.0</v>
      </c>
      <c r="O12" s="392" t="s">
        <v>430</v>
      </c>
      <c r="P12" s="394" t="s">
        <v>518</v>
      </c>
      <c r="Q12" s="394" t="s">
        <v>431</v>
      </c>
      <c r="R12" s="393" t="str">
        <f t="shared" si="1"/>
        <v>#DIV/0!</v>
      </c>
      <c r="S12" s="393">
        <f>Q12*E16</f>
        <v>0</v>
      </c>
      <c r="T12" s="393">
        <f t="shared" si="2"/>
        <v>-165.6</v>
      </c>
      <c r="U12" s="130" t="str">
        <f t="shared" si="3"/>
        <v>#DIV/0!</v>
      </c>
      <c r="V12" s="130"/>
    </row>
    <row r="13">
      <c r="G13" s="167"/>
      <c r="N13" s="392">
        <v>9.0</v>
      </c>
      <c r="O13" s="392" t="s">
        <v>432</v>
      </c>
      <c r="P13" s="394" t="s">
        <v>519</v>
      </c>
      <c r="Q13" s="394" t="s">
        <v>431</v>
      </c>
      <c r="R13" s="393" t="str">
        <f t="shared" si="1"/>
        <v>#DIV/0!</v>
      </c>
      <c r="S13" s="393">
        <f>Q13*E16</f>
        <v>0</v>
      </c>
      <c r="T13" s="393">
        <f t="shared" si="2"/>
        <v>-170.35</v>
      </c>
      <c r="U13" s="130" t="str">
        <f t="shared" si="3"/>
        <v>#DIV/0!</v>
      </c>
      <c r="V13" s="130"/>
    </row>
    <row r="14">
      <c r="B14" s="42" t="s">
        <v>138</v>
      </c>
      <c r="E14" s="399">
        <f>8.73</f>
        <v>8.73</v>
      </c>
      <c r="G14" s="167"/>
      <c r="H14" s="398" t="s">
        <v>139</v>
      </c>
      <c r="K14" s="401">
        <f>SUM(K10*E16)</f>
        <v>0</v>
      </c>
      <c r="N14" s="392">
        <v>10.0</v>
      </c>
      <c r="O14" s="392" t="s">
        <v>433</v>
      </c>
      <c r="P14" s="394" t="s">
        <v>520</v>
      </c>
      <c r="Q14" s="394" t="s">
        <v>469</v>
      </c>
      <c r="R14" s="393">
        <f t="shared" si="1"/>
        <v>84.665</v>
      </c>
      <c r="S14" s="393">
        <f>Q14*E16</f>
        <v>157.18</v>
      </c>
      <c r="T14" s="393">
        <f t="shared" si="2"/>
        <v>-12.15</v>
      </c>
      <c r="U14" s="130">
        <f t="shared" si="3"/>
        <v>-0.07729991093</v>
      </c>
      <c r="V14" s="130"/>
    </row>
    <row r="15">
      <c r="G15" s="167"/>
      <c r="N15" s="392">
        <v>11.0</v>
      </c>
      <c r="O15" s="392" t="s">
        <v>434</v>
      </c>
      <c r="P15" s="394" t="s">
        <v>521</v>
      </c>
      <c r="Q15" s="394" t="s">
        <v>469</v>
      </c>
      <c r="R15" s="393">
        <f t="shared" si="1"/>
        <v>85.375</v>
      </c>
      <c r="S15" s="393">
        <f>Q15*E16</f>
        <v>157.18</v>
      </c>
      <c r="T15" s="393">
        <f t="shared" si="2"/>
        <v>-13.57</v>
      </c>
      <c r="U15" s="130">
        <f t="shared" si="3"/>
        <v>-0.0863341392</v>
      </c>
      <c r="V15" s="130"/>
    </row>
    <row r="16">
      <c r="B16" s="398" t="s">
        <v>140</v>
      </c>
      <c r="E16" s="403">
        <f>SUM(E10-E12-E14)</f>
        <v>78.59</v>
      </c>
      <c r="G16" s="167"/>
      <c r="H16" s="42" t="s">
        <v>141</v>
      </c>
      <c r="K16" s="404">
        <f>SUM(K14-K8)</f>
        <v>0</v>
      </c>
      <c r="N16" s="392">
        <v>12.0</v>
      </c>
      <c r="O16" s="392" t="s">
        <v>435</v>
      </c>
      <c r="P16" s="394" t="s">
        <v>522</v>
      </c>
      <c r="Q16" s="394" t="s">
        <v>431</v>
      </c>
      <c r="R16" s="393" t="str">
        <f t="shared" si="1"/>
        <v>#DIV/0!</v>
      </c>
      <c r="S16" s="393">
        <f>Q16*E16</f>
        <v>0</v>
      </c>
      <c r="T16" s="393">
        <f t="shared" si="2"/>
        <v>-169.3</v>
      </c>
      <c r="U16" s="130" t="str">
        <f t="shared" si="3"/>
        <v>#DIV/0!</v>
      </c>
      <c r="V16" s="130"/>
    </row>
    <row r="17">
      <c r="G17" s="167"/>
      <c r="N17" s="392">
        <v>13.0</v>
      </c>
      <c r="O17" s="392" t="s">
        <v>436</v>
      </c>
      <c r="P17" s="394" t="s">
        <v>523</v>
      </c>
      <c r="Q17" s="394" t="s">
        <v>469</v>
      </c>
      <c r="R17" s="393">
        <f t="shared" si="1"/>
        <v>83.63</v>
      </c>
      <c r="S17" s="393">
        <f>Q17*E16</f>
        <v>157.18</v>
      </c>
      <c r="T17" s="393">
        <f t="shared" si="2"/>
        <v>-10.08</v>
      </c>
      <c r="U17" s="130">
        <f t="shared" si="3"/>
        <v>-0.06413029648</v>
      </c>
      <c r="V17" s="130"/>
    </row>
    <row r="18">
      <c r="B18" s="42" t="s">
        <v>142</v>
      </c>
      <c r="E18" s="399">
        <v>33.95</v>
      </c>
      <c r="G18" s="167"/>
      <c r="H18" s="167"/>
      <c r="I18" s="167"/>
      <c r="J18" s="167"/>
      <c r="K18" s="167"/>
      <c r="L18" s="167"/>
      <c r="N18" s="392">
        <v>14.0</v>
      </c>
      <c r="O18" s="392" t="s">
        <v>437</v>
      </c>
      <c r="P18" s="394" t="s">
        <v>524</v>
      </c>
      <c r="Q18" s="394" t="s">
        <v>472</v>
      </c>
      <c r="R18" s="393">
        <f t="shared" si="1"/>
        <v>168.4</v>
      </c>
      <c r="S18" s="393">
        <f>Q18*E16</f>
        <v>78.59</v>
      </c>
      <c r="T18" s="393">
        <f t="shared" si="2"/>
        <v>-89.81</v>
      </c>
      <c r="U18" s="130">
        <f t="shared" si="3"/>
        <v>-1.142766255</v>
      </c>
      <c r="V18" s="130"/>
    </row>
    <row r="19">
      <c r="G19" s="167"/>
      <c r="H19" s="167"/>
      <c r="I19" s="167"/>
      <c r="J19" s="167"/>
      <c r="K19" s="167"/>
      <c r="L19" s="167"/>
      <c r="N19" s="392">
        <v>15.0</v>
      </c>
      <c r="O19" s="133" t="s">
        <v>430</v>
      </c>
      <c r="P19" s="394" t="s">
        <v>525</v>
      </c>
      <c r="Q19" s="394" t="s">
        <v>469</v>
      </c>
      <c r="R19" s="393">
        <f t="shared" si="1"/>
        <v>83.355</v>
      </c>
      <c r="S19" s="393">
        <f>Q19*E16</f>
        <v>157.18</v>
      </c>
      <c r="T19" s="393">
        <f t="shared" si="2"/>
        <v>-9.53</v>
      </c>
      <c r="U19" s="130">
        <f t="shared" si="3"/>
        <v>-0.06063112355</v>
      </c>
      <c r="V19" s="130"/>
    </row>
    <row r="20">
      <c r="B20" s="398" t="s">
        <v>143</v>
      </c>
      <c r="E20" s="405">
        <f>SUM(E8/E16)</f>
        <v>149.1411121</v>
      </c>
      <c r="G20" s="167"/>
      <c r="H20" s="167"/>
      <c r="I20" s="167"/>
      <c r="J20" s="167"/>
      <c r="K20" s="167"/>
      <c r="L20" s="167"/>
      <c r="N20" s="392">
        <v>16.0</v>
      </c>
      <c r="O20" s="133" t="s">
        <v>432</v>
      </c>
      <c r="P20" s="394" t="s">
        <v>526</v>
      </c>
      <c r="Q20" s="394" t="s">
        <v>527</v>
      </c>
      <c r="R20" s="393">
        <f t="shared" si="1"/>
        <v>55.12</v>
      </c>
      <c r="S20" s="393">
        <f>Q20*E16</f>
        <v>235.77</v>
      </c>
      <c r="T20" s="393">
        <f t="shared" si="2"/>
        <v>70.41</v>
      </c>
      <c r="U20" s="130">
        <f t="shared" si="3"/>
        <v>0.2986385036</v>
      </c>
      <c r="V20" s="130"/>
    </row>
    <row r="21" ht="15.75" customHeight="1">
      <c r="G21" s="167"/>
      <c r="H21" s="167"/>
      <c r="I21" s="167"/>
      <c r="J21" s="167"/>
      <c r="K21" s="167"/>
      <c r="L21" s="167"/>
      <c r="N21" s="392">
        <v>17.0</v>
      </c>
      <c r="O21" s="133" t="s">
        <v>433</v>
      </c>
      <c r="P21" s="394" t="s">
        <v>431</v>
      </c>
      <c r="Q21" s="394" t="s">
        <v>431</v>
      </c>
      <c r="R21" s="393" t="str">
        <f t="shared" si="1"/>
        <v>#DIV/0!</v>
      </c>
      <c r="S21" s="393">
        <f>Q21*E16</f>
        <v>0</v>
      </c>
      <c r="T21" s="393">
        <f t="shared" si="2"/>
        <v>0</v>
      </c>
      <c r="U21" s="130" t="str">
        <f t="shared" si="3"/>
        <v>#DIV/0!</v>
      </c>
      <c r="V21" s="130"/>
    </row>
    <row r="22" ht="15.75" customHeight="1">
      <c r="B22" s="42" t="s">
        <v>144</v>
      </c>
      <c r="E22" s="403">
        <f>SUM(E18*E20)</f>
        <v>5063.340756</v>
      </c>
      <c r="G22" s="167"/>
      <c r="H22" s="167"/>
      <c r="I22" s="167"/>
      <c r="J22" s="167"/>
      <c r="K22" s="167"/>
      <c r="L22" s="167"/>
      <c r="N22" s="392">
        <v>18.0</v>
      </c>
      <c r="O22" s="133" t="s">
        <v>434</v>
      </c>
      <c r="P22" s="394" t="s">
        <v>431</v>
      </c>
      <c r="Q22" s="394" t="s">
        <v>431</v>
      </c>
      <c r="R22" s="393" t="str">
        <f t="shared" si="1"/>
        <v>#DIV/0!</v>
      </c>
      <c r="S22" s="393">
        <f>Q22*E16</f>
        <v>0</v>
      </c>
      <c r="T22" s="393">
        <f t="shared" si="2"/>
        <v>0</v>
      </c>
      <c r="U22" s="130" t="str">
        <f t="shared" si="3"/>
        <v>#DIV/0!</v>
      </c>
      <c r="V22" s="130"/>
    </row>
    <row r="23" ht="15.75" customHeight="1">
      <c r="G23" s="167"/>
      <c r="H23" s="167"/>
      <c r="I23" s="167"/>
      <c r="J23" s="167"/>
      <c r="K23" s="167"/>
      <c r="L23" s="167"/>
      <c r="N23" s="392">
        <v>19.0</v>
      </c>
      <c r="O23" s="133" t="s">
        <v>435</v>
      </c>
      <c r="P23" s="394" t="s">
        <v>431</v>
      </c>
      <c r="Q23" s="394" t="s">
        <v>431</v>
      </c>
      <c r="R23" s="393" t="str">
        <f t="shared" si="1"/>
        <v>#DIV/0!</v>
      </c>
      <c r="S23" s="393">
        <f>Q23*E16</f>
        <v>0</v>
      </c>
      <c r="T23" s="393">
        <f t="shared" si="2"/>
        <v>0</v>
      </c>
      <c r="U23" s="130" t="str">
        <f t="shared" si="3"/>
        <v>#DIV/0!</v>
      </c>
      <c r="V23" s="130"/>
    </row>
    <row r="24" ht="15.75" customHeight="1">
      <c r="B24" s="398" t="s">
        <v>145</v>
      </c>
      <c r="E24" s="403">
        <f>SUM(E8-E22)</f>
        <v>6657.659244</v>
      </c>
      <c r="G24" s="167"/>
      <c r="H24" s="167"/>
      <c r="I24" s="167"/>
      <c r="J24" s="167"/>
      <c r="K24" s="167"/>
      <c r="L24" s="167"/>
      <c r="N24" s="392">
        <v>20.0</v>
      </c>
      <c r="O24" s="133" t="s">
        <v>436</v>
      </c>
      <c r="P24" s="394" t="s">
        <v>431</v>
      </c>
      <c r="Q24" s="394" t="s">
        <v>431</v>
      </c>
      <c r="R24" s="393" t="str">
        <f t="shared" si="1"/>
        <v>#DIV/0!</v>
      </c>
      <c r="S24" s="393">
        <f>Q24*E16</f>
        <v>0</v>
      </c>
      <c r="T24" s="393">
        <f t="shared" si="2"/>
        <v>0</v>
      </c>
      <c r="U24" s="130" t="str">
        <f t="shared" si="3"/>
        <v>#DIV/0!</v>
      </c>
      <c r="V24" s="130"/>
    </row>
    <row r="25" ht="15.75" customHeight="1">
      <c r="G25" s="167"/>
      <c r="H25" s="167"/>
      <c r="I25" s="167"/>
      <c r="J25" s="167"/>
      <c r="K25" s="167"/>
      <c r="L25" s="167"/>
      <c r="N25" s="392">
        <v>21.0</v>
      </c>
      <c r="O25" s="133" t="s">
        <v>437</v>
      </c>
      <c r="P25" s="394" t="s">
        <v>431</v>
      </c>
      <c r="Q25" s="394" t="s">
        <v>431</v>
      </c>
      <c r="R25" s="393" t="str">
        <f t="shared" si="1"/>
        <v>#DIV/0!</v>
      </c>
      <c r="S25" s="393">
        <f>Q25*E16</f>
        <v>0</v>
      </c>
      <c r="T25" s="393">
        <f t="shared" si="2"/>
        <v>0</v>
      </c>
      <c r="U25" s="130" t="str">
        <f t="shared" si="3"/>
        <v>#DIV/0!</v>
      </c>
      <c r="V25" s="130"/>
    </row>
    <row r="26" ht="15.75" customHeight="1">
      <c r="B26" s="42" t="s">
        <v>146</v>
      </c>
      <c r="E26" s="400">
        <v>30.0</v>
      </c>
      <c r="G26" s="167"/>
      <c r="H26" s="167"/>
      <c r="I26" s="167"/>
      <c r="J26" s="167"/>
      <c r="K26" s="167"/>
      <c r="L26" s="167"/>
      <c r="N26" s="392">
        <v>22.0</v>
      </c>
      <c r="O26" s="133" t="s">
        <v>430</v>
      </c>
      <c r="P26" s="394" t="s">
        <v>431</v>
      </c>
      <c r="Q26" s="394" t="s">
        <v>431</v>
      </c>
      <c r="R26" s="393" t="str">
        <f t="shared" si="1"/>
        <v>#DIV/0!</v>
      </c>
      <c r="S26" s="393">
        <f>Q26*E16</f>
        <v>0</v>
      </c>
      <c r="T26" s="393">
        <f t="shared" si="2"/>
        <v>0</v>
      </c>
      <c r="U26" s="130" t="str">
        <f t="shared" si="3"/>
        <v>#DIV/0!</v>
      </c>
      <c r="V26" s="130"/>
    </row>
    <row r="27" ht="15.75" customHeight="1">
      <c r="G27" s="167"/>
      <c r="H27" s="167"/>
      <c r="I27" s="167"/>
      <c r="J27" s="167"/>
      <c r="K27" s="167"/>
      <c r="L27" s="167"/>
      <c r="N27" s="392">
        <v>23.0</v>
      </c>
      <c r="O27" s="133" t="s">
        <v>432</v>
      </c>
      <c r="P27" s="394" t="s">
        <v>431</v>
      </c>
      <c r="Q27" s="394" t="s">
        <v>431</v>
      </c>
      <c r="R27" s="393" t="str">
        <f t="shared" si="1"/>
        <v>#DIV/0!</v>
      </c>
      <c r="S27" s="393">
        <f>Q27*E16</f>
        <v>0</v>
      </c>
      <c r="T27" s="393">
        <f t="shared" si="2"/>
        <v>0</v>
      </c>
      <c r="U27" s="130" t="str">
        <f t="shared" si="3"/>
        <v>#DIV/0!</v>
      </c>
      <c r="V27" s="130"/>
    </row>
    <row r="28" ht="15.75" customHeight="1">
      <c r="B28" s="398" t="s">
        <v>147</v>
      </c>
      <c r="E28" s="403">
        <f>SUM(E22/E26)-E32</f>
        <v>143.4613214</v>
      </c>
      <c r="G28" s="167"/>
      <c r="H28" s="167"/>
      <c r="I28" s="167"/>
      <c r="J28" s="167"/>
      <c r="K28" s="167"/>
      <c r="L28" s="167"/>
      <c r="N28" s="392">
        <v>24.0</v>
      </c>
      <c r="O28" s="133" t="s">
        <v>433</v>
      </c>
      <c r="P28" s="394" t="s">
        <v>431</v>
      </c>
      <c r="Q28" s="394" t="s">
        <v>431</v>
      </c>
      <c r="R28" s="393" t="str">
        <f t="shared" si="1"/>
        <v>#DIV/0!</v>
      </c>
      <c r="S28" s="393">
        <f>Q28*E16</f>
        <v>0</v>
      </c>
      <c r="T28" s="393">
        <f t="shared" si="2"/>
        <v>0</v>
      </c>
      <c r="U28" s="130" t="str">
        <f t="shared" si="3"/>
        <v>#DIV/0!</v>
      </c>
      <c r="V28" s="130"/>
    </row>
    <row r="29" ht="15.75" customHeight="1">
      <c r="G29" s="167"/>
      <c r="H29" s="167"/>
      <c r="I29" s="167"/>
      <c r="J29" s="167"/>
      <c r="K29" s="167"/>
      <c r="L29" s="167"/>
      <c r="N29" s="392">
        <v>25.0</v>
      </c>
      <c r="O29" s="133" t="s">
        <v>434</v>
      </c>
      <c r="P29" s="394" t="s">
        <v>431</v>
      </c>
      <c r="Q29" s="394" t="s">
        <v>431</v>
      </c>
      <c r="R29" s="393" t="str">
        <f t="shared" si="1"/>
        <v>#DIV/0!</v>
      </c>
      <c r="S29" s="393">
        <f>Q29*E16</f>
        <v>0</v>
      </c>
      <c r="T29" s="393">
        <f t="shared" si="2"/>
        <v>0</v>
      </c>
      <c r="U29" s="130" t="str">
        <f t="shared" si="3"/>
        <v>#DIV/0!</v>
      </c>
      <c r="V29" s="130"/>
    </row>
    <row r="30" ht="15.75" customHeight="1">
      <c r="B30" s="42" t="s">
        <v>148</v>
      </c>
      <c r="E30" s="406">
        <f>SUM(E20/E26)</f>
        <v>4.971370403</v>
      </c>
      <c r="G30" s="167"/>
      <c r="H30" s="167"/>
      <c r="I30" s="167"/>
      <c r="J30" s="167"/>
      <c r="K30" s="167"/>
      <c r="L30" s="167"/>
      <c r="N30" s="392">
        <v>26.0</v>
      </c>
      <c r="O30" s="133" t="s">
        <v>435</v>
      </c>
      <c r="P30" s="394" t="s">
        <v>431</v>
      </c>
      <c r="Q30" s="394" t="s">
        <v>431</v>
      </c>
      <c r="R30" s="393" t="str">
        <f t="shared" si="1"/>
        <v>#DIV/0!</v>
      </c>
      <c r="S30" s="393">
        <f>Q30*E16</f>
        <v>0</v>
      </c>
      <c r="T30" s="393">
        <f t="shared" si="2"/>
        <v>0</v>
      </c>
      <c r="U30" s="130" t="str">
        <f t="shared" si="3"/>
        <v>#DIV/0!</v>
      </c>
      <c r="V30" s="130"/>
    </row>
    <row r="31" ht="15.75" customHeight="1">
      <c r="G31" s="167"/>
      <c r="H31" s="167"/>
      <c r="I31" s="167"/>
      <c r="J31" s="167"/>
      <c r="K31" s="167"/>
      <c r="L31" s="167"/>
      <c r="N31" s="392">
        <v>27.0</v>
      </c>
      <c r="O31" s="133" t="s">
        <v>436</v>
      </c>
      <c r="P31" s="394" t="s">
        <v>431</v>
      </c>
      <c r="Q31" s="394" t="s">
        <v>431</v>
      </c>
      <c r="R31" s="393" t="str">
        <f t="shared" si="1"/>
        <v>#DIV/0!</v>
      </c>
      <c r="S31" s="393">
        <f>Q31*E16</f>
        <v>0</v>
      </c>
      <c r="T31" s="393">
        <f t="shared" si="2"/>
        <v>0</v>
      </c>
      <c r="U31" s="130" t="str">
        <f t="shared" si="3"/>
        <v>#DIV/0!</v>
      </c>
      <c r="V31" s="130"/>
    </row>
    <row r="32" ht="15.75" customHeight="1">
      <c r="B32" s="42" t="s">
        <v>486</v>
      </c>
      <c r="E32" s="373">
        <f>(E22*15%)/30</f>
        <v>25.31670378</v>
      </c>
      <c r="N32" s="392">
        <v>28.0</v>
      </c>
      <c r="O32" s="133" t="s">
        <v>437</v>
      </c>
      <c r="P32" s="394" t="s">
        <v>431</v>
      </c>
      <c r="Q32" s="394" t="s">
        <v>431</v>
      </c>
      <c r="R32" s="393" t="str">
        <f t="shared" si="1"/>
        <v>#DIV/0!</v>
      </c>
      <c r="S32" s="393">
        <f>Q32*E16</f>
        <v>0</v>
      </c>
      <c r="T32" s="393">
        <f t="shared" si="2"/>
        <v>0</v>
      </c>
      <c r="U32" s="130" t="str">
        <f t="shared" si="3"/>
        <v>#DIV/0!</v>
      </c>
      <c r="V32" s="130"/>
    </row>
    <row r="33" ht="15.75" customHeight="1">
      <c r="N33" s="392">
        <v>29.0</v>
      </c>
      <c r="O33" s="133" t="s">
        <v>430</v>
      </c>
      <c r="P33" s="394" t="s">
        <v>431</v>
      </c>
      <c r="Q33" s="394" t="s">
        <v>431</v>
      </c>
      <c r="R33" s="393" t="str">
        <f t="shared" si="1"/>
        <v>#DIV/0!</v>
      </c>
      <c r="S33" s="393">
        <f>Q33*E16</f>
        <v>0</v>
      </c>
      <c r="T33" s="393">
        <f t="shared" si="2"/>
        <v>0</v>
      </c>
      <c r="U33" s="130" t="str">
        <f t="shared" si="3"/>
        <v>#DIV/0!</v>
      </c>
      <c r="V33" s="130"/>
    </row>
    <row r="34" ht="15.75" customHeight="1">
      <c r="N34" s="392">
        <v>30.0</v>
      </c>
      <c r="O34" s="133" t="s">
        <v>432</v>
      </c>
      <c r="P34" s="394" t="s">
        <v>431</v>
      </c>
      <c r="Q34" s="394" t="s">
        <v>431</v>
      </c>
      <c r="R34" s="393" t="str">
        <f t="shared" si="1"/>
        <v>#DIV/0!</v>
      </c>
      <c r="S34" s="393">
        <f>Q34*E16</f>
        <v>0</v>
      </c>
      <c r="T34" s="393">
        <f t="shared" si="2"/>
        <v>0</v>
      </c>
      <c r="U34" s="130" t="str">
        <f t="shared" si="3"/>
        <v>#DIV/0!</v>
      </c>
      <c r="V34" s="130"/>
    </row>
    <row r="35" ht="15.75" customHeight="1"/>
    <row r="36" ht="15.75" customHeight="1">
      <c r="B36" s="390" t="s">
        <v>439</v>
      </c>
      <c r="N36" s="391" t="s">
        <v>298</v>
      </c>
      <c r="V36" s="391" t="s">
        <v>425</v>
      </c>
    </row>
    <row r="37" ht="15.75" customHeight="1">
      <c r="N37" s="391" t="s">
        <v>426</v>
      </c>
      <c r="O37" s="391" t="s">
        <v>109</v>
      </c>
      <c r="P37" s="391" t="s">
        <v>110</v>
      </c>
      <c r="Q37" s="391" t="s">
        <v>427</v>
      </c>
      <c r="R37" s="391" t="s">
        <v>428</v>
      </c>
      <c r="S37" s="391" t="s">
        <v>429</v>
      </c>
      <c r="T37" s="391" t="s">
        <v>29</v>
      </c>
      <c r="U37" s="391" t="s">
        <v>407</v>
      </c>
    </row>
    <row r="38" ht="15.75" customHeight="1">
      <c r="N38" s="392">
        <v>1.0</v>
      </c>
      <c r="O38" s="392" t="s">
        <v>433</v>
      </c>
      <c r="P38" s="394" t="s">
        <v>431</v>
      </c>
      <c r="Q38" s="394" t="s">
        <v>431</v>
      </c>
      <c r="R38" s="393" t="str">
        <f t="shared" ref="R38:R67" si="4">P38/Q38</f>
        <v>#DIV/0!</v>
      </c>
      <c r="S38" s="393">
        <f>Q38*E49</f>
        <v>0</v>
      </c>
      <c r="T38" s="393">
        <f t="shared" ref="T38:T68" si="5">S38-P38</f>
        <v>0</v>
      </c>
      <c r="U38" s="130" t="str">
        <f t="shared" ref="U38:U68" si="6">T38/S38</f>
        <v>#DIV/0!</v>
      </c>
      <c r="V38" s="130"/>
    </row>
    <row r="39" ht="15.75" customHeight="1">
      <c r="B39" s="395" t="s">
        <v>124</v>
      </c>
      <c r="G39" s="396"/>
      <c r="H39" s="397" t="s">
        <v>125</v>
      </c>
      <c r="N39" s="392">
        <v>2.0</v>
      </c>
      <c r="O39" s="392" t="s">
        <v>434</v>
      </c>
      <c r="P39" s="394" t="s">
        <v>431</v>
      </c>
      <c r="Q39" s="394" t="s">
        <v>431</v>
      </c>
      <c r="R39" s="393" t="str">
        <f t="shared" si="4"/>
        <v>#DIV/0!</v>
      </c>
      <c r="S39" s="393">
        <f>Q39*E49</f>
        <v>0</v>
      </c>
      <c r="T39" s="393">
        <f t="shared" si="5"/>
        <v>0</v>
      </c>
      <c r="U39" s="130" t="str">
        <f t="shared" si="6"/>
        <v>#DIV/0!</v>
      </c>
      <c r="V39" s="130"/>
    </row>
    <row r="40" ht="15.75" customHeight="1">
      <c r="G40" s="396"/>
      <c r="N40" s="392">
        <v>3.0</v>
      </c>
      <c r="O40" s="392" t="s">
        <v>435</v>
      </c>
      <c r="P40" s="394" t="s">
        <v>431</v>
      </c>
      <c r="Q40" s="394" t="s">
        <v>431</v>
      </c>
      <c r="R40" s="393" t="str">
        <f t="shared" si="4"/>
        <v>#DIV/0!</v>
      </c>
      <c r="S40" s="393">
        <f>Q40*E49</f>
        <v>0</v>
      </c>
      <c r="T40" s="393">
        <f t="shared" si="5"/>
        <v>0</v>
      </c>
      <c r="U40" s="130" t="str">
        <f t="shared" si="6"/>
        <v>#DIV/0!</v>
      </c>
      <c r="V40" s="130"/>
    </row>
    <row r="41" ht="15.75" customHeight="1">
      <c r="B41" s="398" t="s">
        <v>128</v>
      </c>
      <c r="E41" s="399">
        <v>11721.0</v>
      </c>
      <c r="G41" s="167"/>
      <c r="H41" s="42" t="s">
        <v>129</v>
      </c>
      <c r="K41" s="399">
        <v>0.0</v>
      </c>
      <c r="N41" s="392">
        <v>4.0</v>
      </c>
      <c r="O41" s="392" t="s">
        <v>436</v>
      </c>
      <c r="P41" s="394" t="s">
        <v>431</v>
      </c>
      <c r="Q41" s="394" t="s">
        <v>431</v>
      </c>
      <c r="R41" s="393" t="str">
        <f t="shared" si="4"/>
        <v>#DIV/0!</v>
      </c>
      <c r="S41" s="393">
        <f>Q41*E49</f>
        <v>0</v>
      </c>
      <c r="T41" s="393">
        <f t="shared" si="5"/>
        <v>0</v>
      </c>
      <c r="U41" s="130" t="str">
        <f t="shared" si="6"/>
        <v>#DIV/0!</v>
      </c>
      <c r="V41" s="130"/>
    </row>
    <row r="42" ht="15.75" customHeight="1">
      <c r="G42" s="167"/>
      <c r="N42" s="392">
        <v>5.0</v>
      </c>
      <c r="O42" s="392" t="s">
        <v>437</v>
      </c>
      <c r="P42" s="394" t="s">
        <v>431</v>
      </c>
      <c r="Q42" s="394" t="s">
        <v>431</v>
      </c>
      <c r="R42" s="393" t="str">
        <f t="shared" si="4"/>
        <v>#DIV/0!</v>
      </c>
      <c r="S42" s="393">
        <f>Q42*E49</f>
        <v>0</v>
      </c>
      <c r="T42" s="393">
        <f t="shared" si="5"/>
        <v>0</v>
      </c>
      <c r="U42" s="130" t="str">
        <f t="shared" si="6"/>
        <v>#DIV/0!</v>
      </c>
      <c r="V42" s="130"/>
    </row>
    <row r="43" ht="15.75" customHeight="1">
      <c r="B43" s="42" t="s">
        <v>132</v>
      </c>
      <c r="E43" s="399">
        <v>97.0</v>
      </c>
      <c r="G43" s="167"/>
      <c r="H43" s="398" t="s">
        <v>133</v>
      </c>
      <c r="K43" s="400">
        <v>0.0</v>
      </c>
      <c r="N43" s="392">
        <v>6.0</v>
      </c>
      <c r="O43" s="392" t="s">
        <v>430</v>
      </c>
      <c r="P43" s="394" t="s">
        <v>431</v>
      </c>
      <c r="Q43" s="394" t="s">
        <v>431</v>
      </c>
      <c r="R43" s="393" t="str">
        <f t="shared" si="4"/>
        <v>#DIV/0!</v>
      </c>
      <c r="S43" s="393">
        <f>Q43*E49</f>
        <v>0</v>
      </c>
      <c r="T43" s="393">
        <f t="shared" si="5"/>
        <v>0</v>
      </c>
      <c r="U43" s="130" t="str">
        <f t="shared" si="6"/>
        <v>#DIV/0!</v>
      </c>
      <c r="V43" s="130"/>
    </row>
    <row r="44" ht="15.75" customHeight="1">
      <c r="G44" s="167"/>
      <c r="N44" s="392">
        <v>7.0</v>
      </c>
      <c r="O44" s="392" t="s">
        <v>432</v>
      </c>
      <c r="P44" s="394" t="s">
        <v>431</v>
      </c>
      <c r="Q44" s="394" t="s">
        <v>431</v>
      </c>
      <c r="R44" s="393" t="str">
        <f t="shared" si="4"/>
        <v>#DIV/0!</v>
      </c>
      <c r="S44" s="393">
        <f>Q44*E49</f>
        <v>0</v>
      </c>
      <c r="T44" s="393">
        <f t="shared" si="5"/>
        <v>0</v>
      </c>
      <c r="U44" s="130" t="str">
        <f t="shared" si="6"/>
        <v>#DIV/0!</v>
      </c>
      <c r="V44" s="130"/>
    </row>
    <row r="45" ht="15.75" customHeight="1">
      <c r="B45" s="398" t="s">
        <v>136</v>
      </c>
      <c r="E45" s="399">
        <f>7.69+1.99</f>
        <v>9.68</v>
      </c>
      <c r="G45" s="167"/>
      <c r="H45" s="42" t="s">
        <v>137</v>
      </c>
      <c r="K45" s="401" t="str">
        <f>SUM(K41/K43)</f>
        <v>#DIV/0!</v>
      </c>
      <c r="N45" s="392">
        <v>8.0</v>
      </c>
      <c r="O45" s="133" t="s">
        <v>433</v>
      </c>
      <c r="P45" s="394" t="s">
        <v>431</v>
      </c>
      <c r="Q45" s="394" t="s">
        <v>431</v>
      </c>
      <c r="R45" s="393" t="str">
        <f t="shared" si="4"/>
        <v>#DIV/0!</v>
      </c>
      <c r="S45" s="393">
        <f>Q45*E49</f>
        <v>0</v>
      </c>
      <c r="T45" s="393">
        <f t="shared" si="5"/>
        <v>0</v>
      </c>
      <c r="U45" s="130" t="str">
        <f t="shared" si="6"/>
        <v>#DIV/0!</v>
      </c>
      <c r="V45" s="130"/>
    </row>
    <row r="46" ht="15.75" customHeight="1">
      <c r="G46" s="167"/>
      <c r="N46" s="392">
        <v>9.0</v>
      </c>
      <c r="O46" s="133" t="s">
        <v>434</v>
      </c>
      <c r="P46" s="394" t="s">
        <v>431</v>
      </c>
      <c r="Q46" s="394" t="s">
        <v>431</v>
      </c>
      <c r="R46" s="393" t="str">
        <f t="shared" si="4"/>
        <v>#DIV/0!</v>
      </c>
      <c r="S46" s="393">
        <f>Q46*E49</f>
        <v>0</v>
      </c>
      <c r="T46" s="393">
        <f t="shared" si="5"/>
        <v>0</v>
      </c>
      <c r="U46" s="130" t="str">
        <f t="shared" si="6"/>
        <v>#DIV/0!</v>
      </c>
      <c r="V46" s="130"/>
    </row>
    <row r="47" ht="15.75" customHeight="1">
      <c r="B47" s="42" t="s">
        <v>138</v>
      </c>
      <c r="E47" s="399">
        <f>8.73</f>
        <v>8.73</v>
      </c>
      <c r="G47" s="167"/>
      <c r="H47" s="398" t="s">
        <v>139</v>
      </c>
      <c r="K47" s="401">
        <f>SUM(K43*E49)</f>
        <v>0</v>
      </c>
      <c r="N47" s="392">
        <v>10.0</v>
      </c>
      <c r="O47" s="133" t="s">
        <v>435</v>
      </c>
      <c r="P47" s="394" t="s">
        <v>431</v>
      </c>
      <c r="Q47" s="394" t="s">
        <v>431</v>
      </c>
      <c r="R47" s="393" t="str">
        <f t="shared" si="4"/>
        <v>#DIV/0!</v>
      </c>
      <c r="S47" s="393">
        <f>Q47*E49</f>
        <v>0</v>
      </c>
      <c r="T47" s="393">
        <f t="shared" si="5"/>
        <v>0</v>
      </c>
      <c r="U47" s="130" t="str">
        <f t="shared" si="6"/>
        <v>#DIV/0!</v>
      </c>
      <c r="V47" s="130"/>
    </row>
    <row r="48" ht="15.75" customHeight="1">
      <c r="G48" s="167"/>
      <c r="N48" s="392">
        <v>11.0</v>
      </c>
      <c r="O48" s="133" t="s">
        <v>436</v>
      </c>
      <c r="P48" s="394" t="s">
        <v>431</v>
      </c>
      <c r="Q48" s="394" t="s">
        <v>431</v>
      </c>
      <c r="R48" s="393" t="str">
        <f t="shared" si="4"/>
        <v>#DIV/0!</v>
      </c>
      <c r="S48" s="393">
        <f>Q48*E49</f>
        <v>0</v>
      </c>
      <c r="T48" s="393">
        <f t="shared" si="5"/>
        <v>0</v>
      </c>
      <c r="U48" s="130" t="str">
        <f t="shared" si="6"/>
        <v>#DIV/0!</v>
      </c>
      <c r="V48" s="130"/>
    </row>
    <row r="49" ht="15.75" customHeight="1">
      <c r="B49" s="398" t="s">
        <v>140</v>
      </c>
      <c r="E49" s="403">
        <f>SUM(E43-E45-E47)</f>
        <v>78.59</v>
      </c>
      <c r="G49" s="167"/>
      <c r="H49" s="42" t="s">
        <v>141</v>
      </c>
      <c r="K49" s="404">
        <f>SUM(K47-K41)</f>
        <v>0</v>
      </c>
      <c r="N49" s="392">
        <v>12.0</v>
      </c>
      <c r="O49" s="133" t="s">
        <v>437</v>
      </c>
      <c r="P49" s="394" t="s">
        <v>431</v>
      </c>
      <c r="Q49" s="394" t="s">
        <v>431</v>
      </c>
      <c r="R49" s="393" t="str">
        <f t="shared" si="4"/>
        <v>#DIV/0!</v>
      </c>
      <c r="S49" s="393">
        <f>Q49*E49</f>
        <v>0</v>
      </c>
      <c r="T49" s="393">
        <f t="shared" si="5"/>
        <v>0</v>
      </c>
      <c r="U49" s="130" t="str">
        <f t="shared" si="6"/>
        <v>#DIV/0!</v>
      </c>
      <c r="V49" s="130"/>
    </row>
    <row r="50" ht="15.75" customHeight="1">
      <c r="G50" s="167"/>
      <c r="N50" s="392">
        <v>13.0</v>
      </c>
      <c r="O50" s="133" t="s">
        <v>430</v>
      </c>
      <c r="P50" s="394" t="s">
        <v>431</v>
      </c>
      <c r="Q50" s="394" t="s">
        <v>431</v>
      </c>
      <c r="R50" s="393" t="str">
        <f t="shared" si="4"/>
        <v>#DIV/0!</v>
      </c>
      <c r="S50" s="393">
        <f>Q50*E49</f>
        <v>0</v>
      </c>
      <c r="T50" s="393">
        <f t="shared" si="5"/>
        <v>0</v>
      </c>
      <c r="U50" s="130" t="str">
        <f t="shared" si="6"/>
        <v>#DIV/0!</v>
      </c>
      <c r="V50" s="130"/>
    </row>
    <row r="51" ht="15.75" customHeight="1">
      <c r="B51" s="42" t="s">
        <v>142</v>
      </c>
      <c r="E51" s="399">
        <v>33.95</v>
      </c>
      <c r="G51" s="167"/>
      <c r="H51" s="167"/>
      <c r="I51" s="167"/>
      <c r="J51" s="167"/>
      <c r="K51" s="167"/>
      <c r="L51" s="167"/>
      <c r="N51" s="392">
        <v>14.0</v>
      </c>
      <c r="O51" s="133" t="s">
        <v>432</v>
      </c>
      <c r="P51" s="394" t="s">
        <v>431</v>
      </c>
      <c r="Q51" s="394" t="s">
        <v>431</v>
      </c>
      <c r="R51" s="393" t="str">
        <f t="shared" si="4"/>
        <v>#DIV/0!</v>
      </c>
      <c r="S51" s="393">
        <f>Q51*E49</f>
        <v>0</v>
      </c>
      <c r="T51" s="393">
        <f t="shared" si="5"/>
        <v>0</v>
      </c>
      <c r="U51" s="130" t="str">
        <f t="shared" si="6"/>
        <v>#DIV/0!</v>
      </c>
      <c r="V51" s="130"/>
    </row>
    <row r="52" ht="15.75" customHeight="1">
      <c r="G52" s="167"/>
      <c r="H52" s="167"/>
      <c r="I52" s="167"/>
      <c r="J52" s="167"/>
      <c r="K52" s="167"/>
      <c r="L52" s="167"/>
      <c r="N52" s="392">
        <v>15.0</v>
      </c>
      <c r="O52" s="133" t="s">
        <v>433</v>
      </c>
      <c r="P52" s="394" t="s">
        <v>431</v>
      </c>
      <c r="Q52" s="394" t="s">
        <v>431</v>
      </c>
      <c r="R52" s="393" t="str">
        <f t="shared" si="4"/>
        <v>#DIV/0!</v>
      </c>
      <c r="S52" s="393">
        <f>Q52*E49</f>
        <v>0</v>
      </c>
      <c r="T52" s="393">
        <f t="shared" si="5"/>
        <v>0</v>
      </c>
      <c r="U52" s="130" t="str">
        <f t="shared" si="6"/>
        <v>#DIV/0!</v>
      </c>
      <c r="V52" s="130"/>
    </row>
    <row r="53" ht="15.75" customHeight="1">
      <c r="B53" s="398" t="s">
        <v>143</v>
      </c>
      <c r="E53" s="405">
        <f>SUM(E41/E49)</f>
        <v>149.1411121</v>
      </c>
      <c r="G53" s="167"/>
      <c r="H53" s="167"/>
      <c r="I53" s="167"/>
      <c r="J53" s="167"/>
      <c r="K53" s="167"/>
      <c r="L53" s="167"/>
      <c r="N53" s="392">
        <v>16.0</v>
      </c>
      <c r="O53" s="133" t="s">
        <v>434</v>
      </c>
      <c r="P53" s="394" t="s">
        <v>431</v>
      </c>
      <c r="Q53" s="394" t="s">
        <v>431</v>
      </c>
      <c r="R53" s="393" t="str">
        <f t="shared" si="4"/>
        <v>#DIV/0!</v>
      </c>
      <c r="S53" s="393">
        <f>Q53*E49</f>
        <v>0</v>
      </c>
      <c r="T53" s="393">
        <f t="shared" si="5"/>
        <v>0</v>
      </c>
      <c r="U53" s="130" t="str">
        <f t="shared" si="6"/>
        <v>#DIV/0!</v>
      </c>
      <c r="V53" s="130"/>
    </row>
    <row r="54" ht="15.75" customHeight="1">
      <c r="G54" s="167"/>
      <c r="H54" s="167"/>
      <c r="I54" s="167"/>
      <c r="J54" s="167"/>
      <c r="K54" s="167"/>
      <c r="L54" s="167"/>
      <c r="N54" s="392">
        <v>17.0</v>
      </c>
      <c r="O54" s="133" t="s">
        <v>435</v>
      </c>
      <c r="P54" s="394" t="s">
        <v>431</v>
      </c>
      <c r="Q54" s="394" t="s">
        <v>431</v>
      </c>
      <c r="R54" s="393" t="str">
        <f t="shared" si="4"/>
        <v>#DIV/0!</v>
      </c>
      <c r="S54" s="393">
        <f>Q54*E49</f>
        <v>0</v>
      </c>
      <c r="T54" s="393">
        <f t="shared" si="5"/>
        <v>0</v>
      </c>
      <c r="U54" s="130" t="str">
        <f t="shared" si="6"/>
        <v>#DIV/0!</v>
      </c>
      <c r="V54" s="130"/>
    </row>
    <row r="55" ht="15.75" customHeight="1">
      <c r="B55" s="42" t="s">
        <v>144</v>
      </c>
      <c r="E55" s="403">
        <f>SUM(E51*E53)</f>
        <v>5063.340756</v>
      </c>
      <c r="G55" s="167"/>
      <c r="H55" s="167"/>
      <c r="I55" s="167"/>
      <c r="J55" s="167"/>
      <c r="K55" s="167"/>
      <c r="L55" s="167"/>
      <c r="N55" s="392">
        <v>18.0</v>
      </c>
      <c r="O55" s="133" t="s">
        <v>436</v>
      </c>
      <c r="P55" s="394" t="s">
        <v>431</v>
      </c>
      <c r="Q55" s="394" t="s">
        <v>431</v>
      </c>
      <c r="R55" s="393" t="str">
        <f t="shared" si="4"/>
        <v>#DIV/0!</v>
      </c>
      <c r="S55" s="393">
        <f>Q55*E49</f>
        <v>0</v>
      </c>
      <c r="T55" s="393">
        <f t="shared" si="5"/>
        <v>0</v>
      </c>
      <c r="U55" s="130" t="str">
        <f t="shared" si="6"/>
        <v>#DIV/0!</v>
      </c>
      <c r="V55" s="130"/>
    </row>
    <row r="56" ht="15.75" customHeight="1">
      <c r="G56" s="167"/>
      <c r="H56" s="167"/>
      <c r="I56" s="167"/>
      <c r="J56" s="167"/>
      <c r="K56" s="167"/>
      <c r="L56" s="167"/>
      <c r="N56" s="392">
        <v>19.0</v>
      </c>
      <c r="O56" s="133" t="s">
        <v>437</v>
      </c>
      <c r="P56" s="394" t="s">
        <v>431</v>
      </c>
      <c r="Q56" s="394" t="s">
        <v>431</v>
      </c>
      <c r="R56" s="393" t="str">
        <f t="shared" si="4"/>
        <v>#DIV/0!</v>
      </c>
      <c r="S56" s="393">
        <f>Q56*E49</f>
        <v>0</v>
      </c>
      <c r="T56" s="393">
        <f t="shared" si="5"/>
        <v>0</v>
      </c>
      <c r="U56" s="130" t="str">
        <f t="shared" si="6"/>
        <v>#DIV/0!</v>
      </c>
      <c r="V56" s="130"/>
    </row>
    <row r="57" ht="15.75" customHeight="1">
      <c r="B57" s="398" t="s">
        <v>145</v>
      </c>
      <c r="E57" s="403">
        <f>SUM(E41-E55)</f>
        <v>6657.659244</v>
      </c>
      <c r="G57" s="167"/>
      <c r="H57" s="167"/>
      <c r="I57" s="167"/>
      <c r="J57" s="167"/>
      <c r="K57" s="167"/>
      <c r="L57" s="167"/>
      <c r="N57" s="392">
        <v>20.0</v>
      </c>
      <c r="O57" s="133" t="s">
        <v>430</v>
      </c>
      <c r="P57" s="394" t="s">
        <v>431</v>
      </c>
      <c r="Q57" s="394" t="s">
        <v>431</v>
      </c>
      <c r="R57" s="393" t="str">
        <f t="shared" si="4"/>
        <v>#DIV/0!</v>
      </c>
      <c r="S57" s="393">
        <f>Q57*E49</f>
        <v>0</v>
      </c>
      <c r="T57" s="393">
        <f t="shared" si="5"/>
        <v>0</v>
      </c>
      <c r="U57" s="130" t="str">
        <f t="shared" si="6"/>
        <v>#DIV/0!</v>
      </c>
      <c r="V57" s="130"/>
    </row>
    <row r="58" ht="15.75" customHeight="1">
      <c r="G58" s="167"/>
      <c r="H58" s="167"/>
      <c r="I58" s="167"/>
      <c r="J58" s="167"/>
      <c r="K58" s="167"/>
      <c r="L58" s="167"/>
      <c r="N58" s="392">
        <v>21.0</v>
      </c>
      <c r="O58" s="133" t="s">
        <v>432</v>
      </c>
      <c r="P58" s="394" t="s">
        <v>431</v>
      </c>
      <c r="Q58" s="394" t="s">
        <v>431</v>
      </c>
      <c r="R58" s="393" t="str">
        <f t="shared" si="4"/>
        <v>#DIV/0!</v>
      </c>
      <c r="S58" s="393">
        <f>Q58*E49</f>
        <v>0</v>
      </c>
      <c r="T58" s="393">
        <f t="shared" si="5"/>
        <v>0</v>
      </c>
      <c r="U58" s="130" t="str">
        <f t="shared" si="6"/>
        <v>#DIV/0!</v>
      </c>
      <c r="V58" s="130"/>
    </row>
    <row r="59" ht="15.75" customHeight="1">
      <c r="B59" s="42" t="s">
        <v>146</v>
      </c>
      <c r="E59" s="400">
        <v>30.0</v>
      </c>
      <c r="G59" s="167"/>
      <c r="H59" s="167"/>
      <c r="I59" s="167"/>
      <c r="J59" s="167"/>
      <c r="K59" s="167"/>
      <c r="L59" s="167"/>
      <c r="N59" s="392">
        <v>22.0</v>
      </c>
      <c r="O59" s="133" t="s">
        <v>433</v>
      </c>
      <c r="P59" s="394" t="s">
        <v>431</v>
      </c>
      <c r="Q59" s="394" t="s">
        <v>431</v>
      </c>
      <c r="R59" s="393" t="str">
        <f t="shared" si="4"/>
        <v>#DIV/0!</v>
      </c>
      <c r="S59" s="393">
        <f>Q59*E49</f>
        <v>0</v>
      </c>
      <c r="T59" s="393">
        <f t="shared" si="5"/>
        <v>0</v>
      </c>
      <c r="U59" s="130" t="str">
        <f t="shared" si="6"/>
        <v>#DIV/0!</v>
      </c>
      <c r="V59" s="130"/>
    </row>
    <row r="60" ht="15.75" customHeight="1">
      <c r="G60" s="167"/>
      <c r="H60" s="167"/>
      <c r="I60" s="167"/>
      <c r="J60" s="167"/>
      <c r="K60" s="167"/>
      <c r="L60" s="167"/>
      <c r="N60" s="392">
        <v>23.0</v>
      </c>
      <c r="O60" s="133" t="s">
        <v>434</v>
      </c>
      <c r="P60" s="394" t="s">
        <v>431</v>
      </c>
      <c r="Q60" s="394" t="s">
        <v>431</v>
      </c>
      <c r="R60" s="393" t="str">
        <f t="shared" si="4"/>
        <v>#DIV/0!</v>
      </c>
      <c r="S60" s="393">
        <f>Q60*E49</f>
        <v>0</v>
      </c>
      <c r="T60" s="393">
        <f t="shared" si="5"/>
        <v>0</v>
      </c>
      <c r="U60" s="130" t="str">
        <f t="shared" si="6"/>
        <v>#DIV/0!</v>
      </c>
      <c r="V60" s="130"/>
    </row>
    <row r="61" ht="15.75" customHeight="1">
      <c r="B61" s="398" t="s">
        <v>147</v>
      </c>
      <c r="E61" s="403">
        <f>SUM(E55/E59)-E65</f>
        <v>143.4613214</v>
      </c>
      <c r="G61" s="167"/>
      <c r="H61" s="167"/>
      <c r="I61" s="167"/>
      <c r="J61" s="167"/>
      <c r="K61" s="167"/>
      <c r="L61" s="167"/>
      <c r="N61" s="392">
        <v>24.0</v>
      </c>
      <c r="O61" s="133" t="s">
        <v>435</v>
      </c>
      <c r="P61" s="394" t="s">
        <v>431</v>
      </c>
      <c r="Q61" s="394" t="s">
        <v>431</v>
      </c>
      <c r="R61" s="393" t="str">
        <f t="shared" si="4"/>
        <v>#DIV/0!</v>
      </c>
      <c r="S61" s="393">
        <f>Q61*E49</f>
        <v>0</v>
      </c>
      <c r="T61" s="393">
        <f t="shared" si="5"/>
        <v>0</v>
      </c>
      <c r="U61" s="130" t="str">
        <f t="shared" si="6"/>
        <v>#DIV/0!</v>
      </c>
      <c r="V61" s="130"/>
    </row>
    <row r="62" ht="15.75" customHeight="1">
      <c r="G62" s="167"/>
      <c r="H62" s="167"/>
      <c r="I62" s="167"/>
      <c r="J62" s="167"/>
      <c r="K62" s="167"/>
      <c r="L62" s="167"/>
      <c r="N62" s="392">
        <v>25.0</v>
      </c>
      <c r="O62" s="133" t="s">
        <v>436</v>
      </c>
      <c r="P62" s="394" t="s">
        <v>431</v>
      </c>
      <c r="Q62" s="394" t="s">
        <v>431</v>
      </c>
      <c r="R62" s="393" t="str">
        <f t="shared" si="4"/>
        <v>#DIV/0!</v>
      </c>
      <c r="S62" s="393">
        <f>Q62*E49</f>
        <v>0</v>
      </c>
      <c r="T62" s="393">
        <f t="shared" si="5"/>
        <v>0</v>
      </c>
      <c r="U62" s="130" t="str">
        <f t="shared" si="6"/>
        <v>#DIV/0!</v>
      </c>
      <c r="V62" s="130"/>
    </row>
    <row r="63" ht="15.75" customHeight="1">
      <c r="B63" s="42" t="s">
        <v>148</v>
      </c>
      <c r="E63" s="406">
        <f>SUM(E53/E59)</f>
        <v>4.971370403</v>
      </c>
      <c r="G63" s="167"/>
      <c r="H63" s="167"/>
      <c r="I63" s="167"/>
      <c r="J63" s="167"/>
      <c r="K63" s="167"/>
      <c r="L63" s="167"/>
      <c r="N63" s="392">
        <v>26.0</v>
      </c>
      <c r="O63" s="133" t="s">
        <v>437</v>
      </c>
      <c r="P63" s="394" t="s">
        <v>431</v>
      </c>
      <c r="Q63" s="394" t="s">
        <v>431</v>
      </c>
      <c r="R63" s="393" t="str">
        <f t="shared" si="4"/>
        <v>#DIV/0!</v>
      </c>
      <c r="S63" s="393">
        <f>Q63*E49</f>
        <v>0</v>
      </c>
      <c r="T63" s="393">
        <f t="shared" si="5"/>
        <v>0</v>
      </c>
      <c r="U63" s="130" t="str">
        <f t="shared" si="6"/>
        <v>#DIV/0!</v>
      </c>
      <c r="V63" s="130"/>
    </row>
    <row r="64" ht="15.75" customHeight="1">
      <c r="G64" s="167"/>
      <c r="H64" s="167"/>
      <c r="I64" s="167"/>
      <c r="J64" s="167"/>
      <c r="K64" s="167"/>
      <c r="L64" s="167"/>
      <c r="N64" s="392">
        <v>27.0</v>
      </c>
      <c r="O64" s="133" t="s">
        <v>430</v>
      </c>
      <c r="P64" s="394" t="s">
        <v>431</v>
      </c>
      <c r="Q64" s="394" t="s">
        <v>431</v>
      </c>
      <c r="R64" s="393" t="str">
        <f t="shared" si="4"/>
        <v>#DIV/0!</v>
      </c>
      <c r="S64" s="393">
        <f>Q64*E49</f>
        <v>0</v>
      </c>
      <c r="T64" s="393">
        <f t="shared" si="5"/>
        <v>0</v>
      </c>
      <c r="U64" s="130" t="str">
        <f t="shared" si="6"/>
        <v>#DIV/0!</v>
      </c>
      <c r="V64" s="130"/>
    </row>
    <row r="65" ht="15.75" customHeight="1">
      <c r="B65" s="42" t="s">
        <v>486</v>
      </c>
      <c r="E65" s="373">
        <f>(E55*15%)/30</f>
        <v>25.31670378</v>
      </c>
      <c r="N65" s="392">
        <v>28.0</v>
      </c>
      <c r="O65" s="133" t="s">
        <v>432</v>
      </c>
      <c r="P65" s="394" t="s">
        <v>431</v>
      </c>
      <c r="Q65" s="394" t="s">
        <v>431</v>
      </c>
      <c r="R65" s="393" t="str">
        <f t="shared" si="4"/>
        <v>#DIV/0!</v>
      </c>
      <c r="S65" s="393">
        <f>Q65*E49</f>
        <v>0</v>
      </c>
      <c r="T65" s="393">
        <f t="shared" si="5"/>
        <v>0</v>
      </c>
      <c r="U65" s="130" t="str">
        <f t="shared" si="6"/>
        <v>#DIV/0!</v>
      </c>
      <c r="V65" s="130"/>
    </row>
    <row r="66" ht="15.75" customHeight="1">
      <c r="N66" s="392">
        <v>29.0</v>
      </c>
      <c r="O66" s="133" t="s">
        <v>433</v>
      </c>
      <c r="P66" s="394" t="s">
        <v>431</v>
      </c>
      <c r="Q66" s="394" t="s">
        <v>431</v>
      </c>
      <c r="R66" s="393" t="str">
        <f t="shared" si="4"/>
        <v>#DIV/0!</v>
      </c>
      <c r="S66" s="393">
        <f>Q66*E49</f>
        <v>0</v>
      </c>
      <c r="T66" s="393">
        <f t="shared" si="5"/>
        <v>0</v>
      </c>
      <c r="U66" s="130" t="str">
        <f t="shared" si="6"/>
        <v>#DIV/0!</v>
      </c>
      <c r="V66" s="130"/>
    </row>
    <row r="67" ht="15.75" customHeight="1">
      <c r="N67" s="392">
        <v>30.0</v>
      </c>
      <c r="O67" s="133" t="s">
        <v>434</v>
      </c>
      <c r="P67" s="394" t="s">
        <v>431</v>
      </c>
      <c r="Q67" s="394" t="s">
        <v>431</v>
      </c>
      <c r="R67" s="393" t="str">
        <f t="shared" si="4"/>
        <v>#DIV/0!</v>
      </c>
      <c r="S67" s="393">
        <f>Q67*E49</f>
        <v>0</v>
      </c>
      <c r="T67" s="393">
        <f t="shared" si="5"/>
        <v>0</v>
      </c>
      <c r="U67" s="130" t="str">
        <f t="shared" si="6"/>
        <v>#DIV/0!</v>
      </c>
      <c r="V67" s="130"/>
    </row>
    <row r="68" ht="15.75" customHeight="1">
      <c r="N68" s="392">
        <v>31.0</v>
      </c>
      <c r="O68" s="133" t="s">
        <v>435</v>
      </c>
      <c r="P68" s="394" t="s">
        <v>431</v>
      </c>
      <c r="Q68" s="394" t="s">
        <v>431</v>
      </c>
      <c r="R68" s="393" t="str">
        <f>P68/Q16</f>
        <v>#DIV/0!</v>
      </c>
      <c r="S68" s="393">
        <f>Q68*E49</f>
        <v>0</v>
      </c>
      <c r="T68" s="393">
        <f t="shared" si="5"/>
        <v>0</v>
      </c>
      <c r="U68" s="130" t="str">
        <f t="shared" si="6"/>
        <v>#DIV/0!</v>
      </c>
      <c r="V68" s="130"/>
    </row>
    <row r="69" ht="15.75" customHeight="1">
      <c r="N69" s="392"/>
      <c r="O69" s="133"/>
      <c r="P69" s="393"/>
      <c r="Q69" s="393"/>
      <c r="R69" s="393"/>
      <c r="S69" s="393"/>
      <c r="T69" s="393"/>
      <c r="U69" s="130"/>
      <c r="V69" s="130"/>
    </row>
    <row r="70" ht="15.75" customHeight="1">
      <c r="N70" s="392"/>
      <c r="O70" s="133"/>
      <c r="P70" s="393"/>
      <c r="Q70" s="393"/>
      <c r="R70" s="393"/>
      <c r="S70" s="393"/>
      <c r="T70" s="393"/>
      <c r="U70" s="130"/>
      <c r="V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90" t="s">
        <v>424</v>
      </c>
      <c r="N3" s="391"/>
      <c r="U3" s="391" t="s">
        <v>425</v>
      </c>
    </row>
    <row r="4">
      <c r="N4" s="391" t="s">
        <v>109</v>
      </c>
      <c r="O4" s="391" t="s">
        <v>110</v>
      </c>
      <c r="P4" s="391" t="s">
        <v>427</v>
      </c>
      <c r="Q4" s="391" t="s">
        <v>428</v>
      </c>
      <c r="R4" s="391" t="s">
        <v>429</v>
      </c>
      <c r="S4" s="391" t="s">
        <v>29</v>
      </c>
      <c r="T4" s="391" t="s">
        <v>407</v>
      </c>
    </row>
    <row r="5">
      <c r="N5" s="392" t="s">
        <v>430</v>
      </c>
      <c r="O5" s="394" t="s">
        <v>528</v>
      </c>
      <c r="P5" s="394" t="s">
        <v>469</v>
      </c>
      <c r="Q5" s="393">
        <f t="shared" ref="Q5:Q34" si="1">O5/P5</f>
        <v>20.265</v>
      </c>
      <c r="R5" s="393">
        <f>P5*E16</f>
        <v>157.18</v>
      </c>
      <c r="S5" s="393">
        <f t="shared" ref="S5:S34" si="2">R5-O5</f>
        <v>116.65</v>
      </c>
      <c r="T5" s="130">
        <f t="shared" ref="T5:T34" si="3">S5/R5</f>
        <v>0.7421427663</v>
      </c>
      <c r="U5" s="371" t="s">
        <v>470</v>
      </c>
    </row>
    <row r="6">
      <c r="B6" s="395" t="s">
        <v>124</v>
      </c>
      <c r="G6" s="396"/>
      <c r="H6" s="397" t="s">
        <v>125</v>
      </c>
      <c r="N6" s="392" t="s">
        <v>432</v>
      </c>
      <c r="O6" s="394" t="s">
        <v>529</v>
      </c>
      <c r="P6" s="394" t="s">
        <v>472</v>
      </c>
      <c r="Q6" s="393">
        <f t="shared" si="1"/>
        <v>41.86</v>
      </c>
      <c r="R6" s="393">
        <f>P6*E16</f>
        <v>78.59</v>
      </c>
      <c r="S6" s="393">
        <f t="shared" si="2"/>
        <v>36.73</v>
      </c>
      <c r="T6" s="130">
        <f t="shared" si="3"/>
        <v>0.4673622598</v>
      </c>
      <c r="U6" s="402" t="s">
        <v>474</v>
      </c>
    </row>
    <row r="7">
      <c r="G7" s="396"/>
      <c r="N7" s="392" t="s">
        <v>433</v>
      </c>
      <c r="O7" s="394" t="s">
        <v>530</v>
      </c>
      <c r="P7" s="394" t="s">
        <v>431</v>
      </c>
      <c r="Q7" s="393" t="str">
        <f t="shared" si="1"/>
        <v>#DIV/0!</v>
      </c>
      <c r="R7" s="393">
        <f>P7*E16</f>
        <v>0</v>
      </c>
      <c r="S7" s="393">
        <f t="shared" si="2"/>
        <v>-23.6</v>
      </c>
      <c r="T7" s="130" t="str">
        <f t="shared" si="3"/>
        <v>#DIV/0!</v>
      </c>
      <c r="U7" s="130"/>
    </row>
    <row r="8">
      <c r="B8" s="398" t="s">
        <v>128</v>
      </c>
      <c r="E8" s="399">
        <v>23442.0</v>
      </c>
      <c r="G8" s="167"/>
      <c r="H8" s="42" t="s">
        <v>129</v>
      </c>
      <c r="K8" s="399">
        <v>0.0</v>
      </c>
      <c r="N8" s="392" t="s">
        <v>434</v>
      </c>
      <c r="O8" s="394" t="s">
        <v>531</v>
      </c>
      <c r="P8" s="394" t="s">
        <v>431</v>
      </c>
      <c r="Q8" s="393" t="str">
        <f t="shared" si="1"/>
        <v>#DIV/0!</v>
      </c>
      <c r="R8" s="393">
        <f>P8*E16</f>
        <v>0</v>
      </c>
      <c r="S8" s="393">
        <f t="shared" si="2"/>
        <v>-41.33</v>
      </c>
      <c r="T8" s="130" t="str">
        <f t="shared" si="3"/>
        <v>#DIV/0!</v>
      </c>
    </row>
    <row r="9">
      <c r="G9" s="167"/>
      <c r="N9" s="392" t="s">
        <v>435</v>
      </c>
      <c r="O9" s="394" t="s">
        <v>532</v>
      </c>
      <c r="P9" s="394" t="s">
        <v>431</v>
      </c>
      <c r="Q9" s="393" t="str">
        <f t="shared" si="1"/>
        <v>#DIV/0!</v>
      </c>
      <c r="R9" s="393">
        <f>P9*E16</f>
        <v>0</v>
      </c>
      <c r="S9" s="393">
        <f t="shared" si="2"/>
        <v>-36.09</v>
      </c>
      <c r="T9" s="130" t="str">
        <f t="shared" si="3"/>
        <v>#DIV/0!</v>
      </c>
      <c r="U9" s="130"/>
    </row>
    <row r="10">
      <c r="B10" s="42" t="s">
        <v>132</v>
      </c>
      <c r="E10" s="399">
        <v>97.0</v>
      </c>
      <c r="G10" s="167"/>
      <c r="H10" s="398" t="s">
        <v>133</v>
      </c>
      <c r="K10" s="400">
        <v>0.0</v>
      </c>
      <c r="N10" s="392" t="s">
        <v>436</v>
      </c>
      <c r="O10" s="394" t="s">
        <v>533</v>
      </c>
      <c r="P10" s="394" t="s">
        <v>472</v>
      </c>
      <c r="Q10" s="393">
        <f t="shared" si="1"/>
        <v>35.97</v>
      </c>
      <c r="R10" s="393">
        <f>P10*E16</f>
        <v>78.59</v>
      </c>
      <c r="S10" s="393">
        <f t="shared" si="2"/>
        <v>42.62</v>
      </c>
      <c r="T10" s="130">
        <f t="shared" si="3"/>
        <v>0.5423081817</v>
      </c>
      <c r="U10" s="130"/>
    </row>
    <row r="11">
      <c r="G11" s="167"/>
      <c r="N11" s="392" t="s">
        <v>437</v>
      </c>
      <c r="O11" s="394" t="s">
        <v>534</v>
      </c>
      <c r="P11" s="394" t="s">
        <v>431</v>
      </c>
      <c r="Q11" s="393" t="str">
        <f t="shared" si="1"/>
        <v>#DIV/0!</v>
      </c>
      <c r="R11" s="393">
        <f>P11*E16</f>
        <v>0</v>
      </c>
      <c r="S11" s="393">
        <f t="shared" si="2"/>
        <v>-64.3</v>
      </c>
      <c r="T11" s="130" t="str">
        <f t="shared" si="3"/>
        <v>#DIV/0!</v>
      </c>
      <c r="U11" s="130"/>
    </row>
    <row r="12">
      <c r="B12" s="398" t="s">
        <v>136</v>
      </c>
      <c r="E12" s="399">
        <f>7.69+1.99</f>
        <v>9.68</v>
      </c>
      <c r="G12" s="167"/>
      <c r="H12" s="42" t="s">
        <v>137</v>
      </c>
      <c r="K12" s="401" t="str">
        <f>SUM(K8/K10)</f>
        <v>#DIV/0!</v>
      </c>
      <c r="N12" s="392" t="s">
        <v>430</v>
      </c>
      <c r="O12" s="394" t="s">
        <v>535</v>
      </c>
      <c r="P12" s="394" t="s">
        <v>472</v>
      </c>
      <c r="Q12" s="393">
        <f t="shared" si="1"/>
        <v>70.54</v>
      </c>
      <c r="R12" s="393">
        <f>P12*E16</f>
        <v>78.59</v>
      </c>
      <c r="S12" s="393">
        <f t="shared" si="2"/>
        <v>8.05</v>
      </c>
      <c r="T12" s="130">
        <f t="shared" si="3"/>
        <v>0.1024303346</v>
      </c>
      <c r="U12" s="130"/>
    </row>
    <row r="13">
      <c r="G13" s="167"/>
      <c r="N13" s="392" t="s">
        <v>432</v>
      </c>
      <c r="O13" s="394" t="s">
        <v>536</v>
      </c>
      <c r="P13" s="394" t="s">
        <v>469</v>
      </c>
      <c r="Q13" s="393">
        <f t="shared" si="1"/>
        <v>43.74</v>
      </c>
      <c r="R13" s="393">
        <f>P13*E16</f>
        <v>157.18</v>
      </c>
      <c r="S13" s="393">
        <f t="shared" si="2"/>
        <v>69.7</v>
      </c>
      <c r="T13" s="130">
        <f t="shared" si="3"/>
        <v>0.4434406413</v>
      </c>
      <c r="U13" s="130"/>
    </row>
    <row r="14">
      <c r="B14" s="42" t="s">
        <v>138</v>
      </c>
      <c r="E14" s="399">
        <f>8.73</f>
        <v>8.73</v>
      </c>
      <c r="G14" s="167"/>
      <c r="H14" s="398" t="s">
        <v>139</v>
      </c>
      <c r="K14" s="401">
        <f>SUM(K10*E16)</f>
        <v>0</v>
      </c>
      <c r="N14" s="392" t="s">
        <v>433</v>
      </c>
      <c r="O14" s="394" t="s">
        <v>537</v>
      </c>
      <c r="P14" s="394" t="s">
        <v>431</v>
      </c>
      <c r="Q14" s="393" t="str">
        <f t="shared" si="1"/>
        <v>#DIV/0!</v>
      </c>
      <c r="R14" s="393">
        <f>P14*E16</f>
        <v>0</v>
      </c>
      <c r="S14" s="393">
        <f t="shared" si="2"/>
        <v>-65</v>
      </c>
      <c r="T14" s="130" t="str">
        <f t="shared" si="3"/>
        <v>#DIV/0!</v>
      </c>
      <c r="U14" s="130"/>
    </row>
    <row r="15">
      <c r="G15" s="167"/>
      <c r="N15" s="392" t="s">
        <v>434</v>
      </c>
      <c r="O15" s="394" t="s">
        <v>538</v>
      </c>
      <c r="P15" s="394" t="s">
        <v>472</v>
      </c>
      <c r="Q15" s="393">
        <f t="shared" si="1"/>
        <v>66.19</v>
      </c>
      <c r="R15" s="393">
        <f>P15*E16</f>
        <v>78.59</v>
      </c>
      <c r="S15" s="393">
        <f t="shared" si="2"/>
        <v>12.4</v>
      </c>
      <c r="T15" s="130">
        <f t="shared" si="3"/>
        <v>0.1577808882</v>
      </c>
      <c r="U15" s="130"/>
    </row>
    <row r="16">
      <c r="B16" s="398" t="s">
        <v>140</v>
      </c>
      <c r="E16" s="403">
        <f>SUM(E10-E12-E14)</f>
        <v>78.59</v>
      </c>
      <c r="G16" s="167"/>
      <c r="H16" s="42" t="s">
        <v>141</v>
      </c>
      <c r="K16" s="404">
        <f>SUM(K14-K8)</f>
        <v>0</v>
      </c>
      <c r="N16" s="392" t="s">
        <v>435</v>
      </c>
      <c r="O16" s="394" t="s">
        <v>539</v>
      </c>
      <c r="P16" s="394" t="s">
        <v>431</v>
      </c>
      <c r="Q16" s="393" t="str">
        <f t="shared" si="1"/>
        <v>#DIV/0!</v>
      </c>
      <c r="R16" s="393">
        <f>P16*E16</f>
        <v>0</v>
      </c>
      <c r="S16" s="393">
        <f t="shared" si="2"/>
        <v>-49.37</v>
      </c>
      <c r="T16" s="130" t="str">
        <f t="shared" si="3"/>
        <v>#DIV/0!</v>
      </c>
      <c r="U16" s="130"/>
    </row>
    <row r="17">
      <c r="G17" s="167"/>
      <c r="N17" s="392" t="s">
        <v>436</v>
      </c>
      <c r="O17" s="394">
        <v>41.22</v>
      </c>
      <c r="P17" s="394" t="s">
        <v>472</v>
      </c>
      <c r="Q17" s="393">
        <f t="shared" si="1"/>
        <v>41.22</v>
      </c>
      <c r="R17" s="393">
        <f>P17*E16</f>
        <v>78.59</v>
      </c>
      <c r="S17" s="393">
        <f t="shared" si="2"/>
        <v>37.37</v>
      </c>
      <c r="T17" s="130">
        <f t="shared" si="3"/>
        <v>0.4755057895</v>
      </c>
      <c r="U17" s="130"/>
    </row>
    <row r="18">
      <c r="B18" s="42" t="s">
        <v>142</v>
      </c>
      <c r="E18" s="399">
        <v>33.95</v>
      </c>
      <c r="G18" s="167"/>
      <c r="H18" s="167"/>
      <c r="I18" s="167"/>
      <c r="J18" s="167"/>
      <c r="K18" s="167"/>
      <c r="L18" s="167"/>
      <c r="N18" s="392" t="s">
        <v>437</v>
      </c>
      <c r="O18" s="394">
        <v>38.85</v>
      </c>
      <c r="P18" s="394" t="s">
        <v>431</v>
      </c>
      <c r="Q18" s="393" t="str">
        <f t="shared" si="1"/>
        <v>#DIV/0!</v>
      </c>
      <c r="R18" s="393">
        <f>P18*E16</f>
        <v>0</v>
      </c>
      <c r="S18" s="393">
        <f t="shared" si="2"/>
        <v>-38.85</v>
      </c>
      <c r="T18" s="130" t="str">
        <f t="shared" si="3"/>
        <v>#DIV/0!</v>
      </c>
      <c r="U18" s="130"/>
    </row>
    <row r="19">
      <c r="G19" s="167"/>
      <c r="H19" s="167"/>
      <c r="I19" s="167"/>
      <c r="J19" s="167"/>
      <c r="K19" s="167"/>
      <c r="L19" s="167"/>
      <c r="N19" s="133" t="s">
        <v>430</v>
      </c>
      <c r="O19" s="394">
        <v>39.68</v>
      </c>
      <c r="P19" s="394" t="s">
        <v>472</v>
      </c>
      <c r="Q19" s="393">
        <f t="shared" si="1"/>
        <v>39.68</v>
      </c>
      <c r="R19" s="393">
        <f>P19*E16</f>
        <v>78.59</v>
      </c>
      <c r="S19" s="393">
        <f t="shared" si="2"/>
        <v>38.91</v>
      </c>
      <c r="T19" s="130">
        <f t="shared" si="3"/>
        <v>0.4951011579</v>
      </c>
      <c r="U19" s="130"/>
    </row>
    <row r="20">
      <c r="B20" s="398" t="s">
        <v>143</v>
      </c>
      <c r="E20" s="405">
        <f>SUM(E8/E16)</f>
        <v>298.2822242</v>
      </c>
      <c r="G20" s="167"/>
      <c r="H20" s="167"/>
      <c r="I20" s="167"/>
      <c r="J20" s="167"/>
      <c r="K20" s="167"/>
      <c r="L20" s="167"/>
      <c r="N20" s="133" t="s">
        <v>432</v>
      </c>
      <c r="O20" s="394" t="s">
        <v>540</v>
      </c>
      <c r="P20" s="394" t="s">
        <v>492</v>
      </c>
      <c r="Q20" s="393">
        <f t="shared" si="1"/>
        <v>10.7225</v>
      </c>
      <c r="R20" s="393">
        <f>P20*E16</f>
        <v>314.36</v>
      </c>
      <c r="S20" s="393">
        <f t="shared" si="2"/>
        <v>271.47</v>
      </c>
      <c r="T20" s="130">
        <f t="shared" si="3"/>
        <v>0.8635640667</v>
      </c>
      <c r="U20" s="130"/>
    </row>
    <row r="21" ht="15.75" customHeight="1">
      <c r="G21" s="167"/>
      <c r="H21" s="167"/>
      <c r="I21" s="167"/>
      <c r="J21" s="167"/>
      <c r="K21" s="167"/>
      <c r="L21" s="167"/>
      <c r="N21" s="133" t="s">
        <v>433</v>
      </c>
      <c r="O21" s="394" t="s">
        <v>431</v>
      </c>
      <c r="P21" s="394" t="s">
        <v>431</v>
      </c>
      <c r="Q21" s="393" t="str">
        <f t="shared" si="1"/>
        <v>#DIV/0!</v>
      </c>
      <c r="R21" s="393">
        <f>P21*E16</f>
        <v>0</v>
      </c>
      <c r="S21" s="393">
        <f t="shared" si="2"/>
        <v>0</v>
      </c>
      <c r="T21" s="130" t="str">
        <f t="shared" si="3"/>
        <v>#DIV/0!</v>
      </c>
      <c r="U21" s="130"/>
    </row>
    <row r="22" ht="15.75" customHeight="1">
      <c r="B22" s="42" t="s">
        <v>144</v>
      </c>
      <c r="E22" s="403">
        <f>SUM(E18*E20)</f>
        <v>10126.68151</v>
      </c>
      <c r="G22" s="167"/>
      <c r="H22" s="167"/>
      <c r="I22" s="167"/>
      <c r="J22" s="167"/>
      <c r="K22" s="167"/>
      <c r="L22" s="167"/>
      <c r="N22" s="133" t="s">
        <v>434</v>
      </c>
      <c r="O22" s="394" t="s">
        <v>431</v>
      </c>
      <c r="P22" s="394" t="s">
        <v>431</v>
      </c>
      <c r="Q22" s="393" t="str">
        <f t="shared" si="1"/>
        <v>#DIV/0!</v>
      </c>
      <c r="R22" s="393">
        <f>P22*E16</f>
        <v>0</v>
      </c>
      <c r="S22" s="393">
        <f t="shared" si="2"/>
        <v>0</v>
      </c>
      <c r="T22" s="130" t="str">
        <f t="shared" si="3"/>
        <v>#DIV/0!</v>
      </c>
      <c r="U22" s="130"/>
    </row>
    <row r="23" ht="15.75" customHeight="1">
      <c r="G23" s="167"/>
      <c r="H23" s="167"/>
      <c r="I23" s="167"/>
      <c r="J23" s="167"/>
      <c r="K23" s="167"/>
      <c r="L23" s="167"/>
      <c r="N23" s="133" t="s">
        <v>435</v>
      </c>
      <c r="O23" s="394" t="s">
        <v>431</v>
      </c>
      <c r="P23" s="394" t="s">
        <v>431</v>
      </c>
      <c r="Q23" s="393" t="str">
        <f t="shared" si="1"/>
        <v>#DIV/0!</v>
      </c>
      <c r="R23" s="393">
        <f>P23*E16</f>
        <v>0</v>
      </c>
      <c r="S23" s="393">
        <f t="shared" si="2"/>
        <v>0</v>
      </c>
      <c r="T23" s="130" t="str">
        <f t="shared" si="3"/>
        <v>#DIV/0!</v>
      </c>
      <c r="U23" s="130"/>
    </row>
    <row r="24" ht="15.75" customHeight="1">
      <c r="B24" s="398" t="s">
        <v>145</v>
      </c>
      <c r="E24" s="403">
        <f>SUM(E8-E22)</f>
        <v>13315.31849</v>
      </c>
      <c r="G24" s="167"/>
      <c r="H24" s="167"/>
      <c r="I24" s="167"/>
      <c r="J24" s="167"/>
      <c r="K24" s="167"/>
      <c r="L24" s="167"/>
      <c r="N24" s="133" t="s">
        <v>436</v>
      </c>
      <c r="O24" s="394" t="s">
        <v>431</v>
      </c>
      <c r="P24" s="394" t="s">
        <v>431</v>
      </c>
      <c r="Q24" s="393" t="str">
        <f t="shared" si="1"/>
        <v>#DIV/0!</v>
      </c>
      <c r="R24" s="393">
        <f>P24*E16</f>
        <v>0</v>
      </c>
      <c r="S24" s="393">
        <f t="shared" si="2"/>
        <v>0</v>
      </c>
      <c r="T24" s="130" t="str">
        <f t="shared" si="3"/>
        <v>#DIV/0!</v>
      </c>
      <c r="U24" s="130"/>
    </row>
    <row r="25" ht="15.75" customHeight="1">
      <c r="G25" s="167"/>
      <c r="H25" s="167"/>
      <c r="I25" s="167"/>
      <c r="J25" s="167"/>
      <c r="K25" s="167"/>
      <c r="L25" s="167"/>
      <c r="N25" s="133" t="s">
        <v>437</v>
      </c>
      <c r="O25" s="394" t="s">
        <v>431</v>
      </c>
      <c r="P25" s="394" t="s">
        <v>431</v>
      </c>
      <c r="Q25" s="393" t="str">
        <f t="shared" si="1"/>
        <v>#DIV/0!</v>
      </c>
      <c r="R25" s="393">
        <f>P25*E16</f>
        <v>0</v>
      </c>
      <c r="S25" s="393">
        <f t="shared" si="2"/>
        <v>0</v>
      </c>
      <c r="T25" s="130" t="str">
        <f t="shared" si="3"/>
        <v>#DIV/0!</v>
      </c>
      <c r="U25" s="130"/>
    </row>
    <row r="26" ht="15.75" customHeight="1">
      <c r="B26" s="42" t="s">
        <v>146</v>
      </c>
      <c r="E26" s="400">
        <v>30.0</v>
      </c>
      <c r="G26" s="167"/>
      <c r="H26" s="167"/>
      <c r="I26" s="167"/>
      <c r="J26" s="167"/>
      <c r="K26" s="167"/>
      <c r="L26" s="167"/>
      <c r="N26" s="133" t="s">
        <v>430</v>
      </c>
      <c r="O26" s="394" t="s">
        <v>431</v>
      </c>
      <c r="P26" s="394" t="s">
        <v>431</v>
      </c>
      <c r="Q26" s="393" t="str">
        <f t="shared" si="1"/>
        <v>#DIV/0!</v>
      </c>
      <c r="R26" s="393">
        <f>P26*E16</f>
        <v>0</v>
      </c>
      <c r="S26" s="393">
        <f t="shared" si="2"/>
        <v>0</v>
      </c>
      <c r="T26" s="130" t="str">
        <f t="shared" si="3"/>
        <v>#DIV/0!</v>
      </c>
      <c r="U26" s="130"/>
    </row>
    <row r="27" ht="15.75" customHeight="1">
      <c r="G27" s="167"/>
      <c r="H27" s="167"/>
      <c r="I27" s="167"/>
      <c r="J27" s="167"/>
      <c r="K27" s="167"/>
      <c r="L27" s="167"/>
      <c r="N27" s="133" t="s">
        <v>432</v>
      </c>
      <c r="O27" s="394" t="s">
        <v>431</v>
      </c>
      <c r="P27" s="394" t="s">
        <v>431</v>
      </c>
      <c r="Q27" s="393" t="str">
        <f t="shared" si="1"/>
        <v>#DIV/0!</v>
      </c>
      <c r="R27" s="393">
        <f>P27*E16</f>
        <v>0</v>
      </c>
      <c r="S27" s="393">
        <f t="shared" si="2"/>
        <v>0</v>
      </c>
      <c r="T27" s="130" t="str">
        <f t="shared" si="3"/>
        <v>#DIV/0!</v>
      </c>
      <c r="U27" s="130"/>
    </row>
    <row r="28" ht="15.75" customHeight="1">
      <c r="B28" s="398" t="s">
        <v>147</v>
      </c>
      <c r="E28" s="403">
        <f>SUM(E22/E26)-E32</f>
        <v>286.9226428</v>
      </c>
      <c r="G28" s="167"/>
      <c r="H28" s="167"/>
      <c r="I28" s="167"/>
      <c r="J28" s="167"/>
      <c r="K28" s="167"/>
      <c r="L28" s="167"/>
      <c r="N28" s="133" t="s">
        <v>433</v>
      </c>
      <c r="O28" s="394" t="s">
        <v>431</v>
      </c>
      <c r="P28" s="394" t="s">
        <v>431</v>
      </c>
      <c r="Q28" s="393" t="str">
        <f t="shared" si="1"/>
        <v>#DIV/0!</v>
      </c>
      <c r="R28" s="393">
        <f>P28*E16</f>
        <v>0</v>
      </c>
      <c r="S28" s="393">
        <f t="shared" si="2"/>
        <v>0</v>
      </c>
      <c r="T28" s="130" t="str">
        <f t="shared" si="3"/>
        <v>#DIV/0!</v>
      </c>
      <c r="U28" s="130"/>
    </row>
    <row r="29" ht="15.75" customHeight="1">
      <c r="G29" s="167"/>
      <c r="H29" s="167"/>
      <c r="I29" s="167"/>
      <c r="J29" s="167"/>
      <c r="K29" s="167"/>
      <c r="L29" s="167"/>
      <c r="N29" s="133" t="s">
        <v>434</v>
      </c>
      <c r="O29" s="394" t="s">
        <v>431</v>
      </c>
      <c r="P29" s="394" t="s">
        <v>431</v>
      </c>
      <c r="Q29" s="393" t="str">
        <f t="shared" si="1"/>
        <v>#DIV/0!</v>
      </c>
      <c r="R29" s="393">
        <f>P29*E16</f>
        <v>0</v>
      </c>
      <c r="S29" s="393">
        <f t="shared" si="2"/>
        <v>0</v>
      </c>
      <c r="T29" s="130" t="str">
        <f t="shared" si="3"/>
        <v>#DIV/0!</v>
      </c>
      <c r="U29" s="130"/>
    </row>
    <row r="30" ht="15.75" customHeight="1">
      <c r="B30" s="42" t="s">
        <v>148</v>
      </c>
      <c r="E30" s="406">
        <f>SUM(E20/E26)</f>
        <v>9.942740807</v>
      </c>
      <c r="G30" s="167"/>
      <c r="H30" s="167"/>
      <c r="I30" s="167"/>
      <c r="J30" s="167"/>
      <c r="K30" s="167"/>
      <c r="L30" s="167"/>
      <c r="N30" s="133" t="s">
        <v>435</v>
      </c>
      <c r="O30" s="394" t="s">
        <v>431</v>
      </c>
      <c r="P30" s="394" t="s">
        <v>431</v>
      </c>
      <c r="Q30" s="393" t="str">
        <f t="shared" si="1"/>
        <v>#DIV/0!</v>
      </c>
      <c r="R30" s="393">
        <f>P30*E16</f>
        <v>0</v>
      </c>
      <c r="S30" s="393">
        <f t="shared" si="2"/>
        <v>0</v>
      </c>
      <c r="T30" s="130" t="str">
        <f t="shared" si="3"/>
        <v>#DIV/0!</v>
      </c>
      <c r="U30" s="130"/>
    </row>
    <row r="31" ht="15.75" customHeight="1">
      <c r="G31" s="167"/>
      <c r="H31" s="167"/>
      <c r="I31" s="167"/>
      <c r="J31" s="167"/>
      <c r="K31" s="167"/>
      <c r="L31" s="167"/>
      <c r="N31" s="133" t="s">
        <v>436</v>
      </c>
      <c r="O31" s="394" t="s">
        <v>431</v>
      </c>
      <c r="P31" s="394" t="s">
        <v>431</v>
      </c>
      <c r="Q31" s="393" t="str">
        <f t="shared" si="1"/>
        <v>#DIV/0!</v>
      </c>
      <c r="R31" s="393">
        <f>P31*E16</f>
        <v>0</v>
      </c>
      <c r="S31" s="393">
        <f t="shared" si="2"/>
        <v>0</v>
      </c>
      <c r="T31" s="130" t="str">
        <f t="shared" si="3"/>
        <v>#DIV/0!</v>
      </c>
      <c r="U31" s="130"/>
    </row>
    <row r="32" ht="15.75" customHeight="1">
      <c r="B32" s="42" t="s">
        <v>486</v>
      </c>
      <c r="E32" s="373">
        <f>(E22*15%)/30</f>
        <v>50.63340756</v>
      </c>
      <c r="N32" s="133" t="s">
        <v>437</v>
      </c>
      <c r="O32" s="394" t="s">
        <v>431</v>
      </c>
      <c r="P32" s="394" t="s">
        <v>431</v>
      </c>
      <c r="Q32" s="393" t="str">
        <f t="shared" si="1"/>
        <v>#DIV/0!</v>
      </c>
      <c r="R32" s="393">
        <f>P32*E16</f>
        <v>0</v>
      </c>
      <c r="S32" s="393">
        <f t="shared" si="2"/>
        <v>0</v>
      </c>
      <c r="T32" s="130" t="str">
        <f t="shared" si="3"/>
        <v>#DIV/0!</v>
      </c>
      <c r="U32" s="130"/>
    </row>
    <row r="33" ht="15.75" customHeight="1">
      <c r="N33" s="133" t="s">
        <v>430</v>
      </c>
      <c r="O33" s="394" t="s">
        <v>431</v>
      </c>
      <c r="P33" s="394" t="s">
        <v>431</v>
      </c>
      <c r="Q33" s="393" t="str">
        <f t="shared" si="1"/>
        <v>#DIV/0!</v>
      </c>
      <c r="R33" s="393">
        <f>P33*E16</f>
        <v>0</v>
      </c>
      <c r="S33" s="393">
        <f t="shared" si="2"/>
        <v>0</v>
      </c>
      <c r="T33" s="130" t="str">
        <f t="shared" si="3"/>
        <v>#DIV/0!</v>
      </c>
      <c r="U33" s="130"/>
    </row>
    <row r="34" ht="15.75" customHeight="1">
      <c r="N34" s="133" t="s">
        <v>432</v>
      </c>
      <c r="O34" s="394" t="s">
        <v>431</v>
      </c>
      <c r="P34" s="394" t="s">
        <v>431</v>
      </c>
      <c r="Q34" s="393" t="str">
        <f t="shared" si="1"/>
        <v>#DIV/0!</v>
      </c>
      <c r="R34" s="393">
        <f>P34*E16</f>
        <v>0</v>
      </c>
      <c r="S34" s="393">
        <f t="shared" si="2"/>
        <v>0</v>
      </c>
      <c r="T34" s="130" t="str">
        <f t="shared" si="3"/>
        <v>#DIV/0!</v>
      </c>
      <c r="U34" s="130"/>
    </row>
    <row r="35" ht="15.75" customHeight="1"/>
    <row r="36" ht="15.75" customHeight="1">
      <c r="B36" s="390" t="s">
        <v>439</v>
      </c>
      <c r="N36" s="391"/>
      <c r="U36" s="391" t="s">
        <v>425</v>
      </c>
    </row>
    <row r="37" ht="15.75" customHeight="1">
      <c r="N37" s="391" t="s">
        <v>109</v>
      </c>
      <c r="O37" s="391" t="s">
        <v>110</v>
      </c>
      <c r="P37" s="391" t="s">
        <v>427</v>
      </c>
      <c r="Q37" s="391" t="s">
        <v>428</v>
      </c>
      <c r="R37" s="391" t="s">
        <v>429</v>
      </c>
      <c r="S37" s="391" t="s">
        <v>29</v>
      </c>
      <c r="T37" s="391" t="s">
        <v>407</v>
      </c>
    </row>
    <row r="38" ht="15.75" customHeight="1">
      <c r="N38" s="392" t="s">
        <v>433</v>
      </c>
      <c r="O38" s="394" t="s">
        <v>431</v>
      </c>
      <c r="P38" s="394" t="s">
        <v>431</v>
      </c>
      <c r="Q38" s="393" t="str">
        <f t="shared" ref="Q38:Q67" si="4">O38/P38</f>
        <v>#DIV/0!</v>
      </c>
      <c r="R38" s="393">
        <f>P38*E49</f>
        <v>0</v>
      </c>
      <c r="S38" s="393">
        <f t="shared" ref="S38:S68" si="5">R38-O38</f>
        <v>0</v>
      </c>
      <c r="T38" s="130" t="str">
        <f t="shared" ref="T38:T68" si="6">S38/R38</f>
        <v>#DIV/0!</v>
      </c>
      <c r="U38" s="130"/>
    </row>
    <row r="39" ht="15.75" customHeight="1">
      <c r="B39" s="395" t="s">
        <v>124</v>
      </c>
      <c r="G39" s="396"/>
      <c r="H39" s="397" t="s">
        <v>125</v>
      </c>
      <c r="N39" s="392" t="s">
        <v>434</v>
      </c>
      <c r="O39" s="394" t="s">
        <v>431</v>
      </c>
      <c r="P39" s="394" t="s">
        <v>431</v>
      </c>
      <c r="Q39" s="393" t="str">
        <f t="shared" si="4"/>
        <v>#DIV/0!</v>
      </c>
      <c r="R39" s="393">
        <f>P39*E49</f>
        <v>0</v>
      </c>
      <c r="S39" s="393">
        <f t="shared" si="5"/>
        <v>0</v>
      </c>
      <c r="T39" s="130" t="str">
        <f t="shared" si="6"/>
        <v>#DIV/0!</v>
      </c>
      <c r="U39" s="130"/>
    </row>
    <row r="40" ht="15.75" customHeight="1">
      <c r="G40" s="396"/>
      <c r="N40" s="392" t="s">
        <v>435</v>
      </c>
      <c r="O40" s="394" t="s">
        <v>431</v>
      </c>
      <c r="P40" s="394" t="s">
        <v>431</v>
      </c>
      <c r="Q40" s="393" t="str">
        <f t="shared" si="4"/>
        <v>#DIV/0!</v>
      </c>
      <c r="R40" s="393">
        <f>P40*E49</f>
        <v>0</v>
      </c>
      <c r="S40" s="393">
        <f t="shared" si="5"/>
        <v>0</v>
      </c>
      <c r="T40" s="130" t="str">
        <f t="shared" si="6"/>
        <v>#DIV/0!</v>
      </c>
      <c r="U40" s="130"/>
    </row>
    <row r="41" ht="15.75" customHeight="1">
      <c r="B41" s="398" t="s">
        <v>128</v>
      </c>
      <c r="E41" s="399">
        <v>11721.0</v>
      </c>
      <c r="G41" s="167"/>
      <c r="H41" s="42" t="s">
        <v>129</v>
      </c>
      <c r="K41" s="399">
        <v>0.0</v>
      </c>
      <c r="N41" s="392" t="s">
        <v>436</v>
      </c>
      <c r="O41" s="394" t="s">
        <v>431</v>
      </c>
      <c r="P41" s="394" t="s">
        <v>431</v>
      </c>
      <c r="Q41" s="393" t="str">
        <f t="shared" si="4"/>
        <v>#DIV/0!</v>
      </c>
      <c r="R41" s="393">
        <f>P41*E49</f>
        <v>0</v>
      </c>
      <c r="S41" s="393">
        <f t="shared" si="5"/>
        <v>0</v>
      </c>
      <c r="T41" s="130" t="str">
        <f t="shared" si="6"/>
        <v>#DIV/0!</v>
      </c>
      <c r="U41" s="130"/>
    </row>
    <row r="42" ht="15.75" customHeight="1">
      <c r="G42" s="167"/>
      <c r="N42" s="392" t="s">
        <v>437</v>
      </c>
      <c r="O42" s="394" t="s">
        <v>431</v>
      </c>
      <c r="P42" s="394" t="s">
        <v>431</v>
      </c>
      <c r="Q42" s="393" t="str">
        <f t="shared" si="4"/>
        <v>#DIV/0!</v>
      </c>
      <c r="R42" s="393">
        <f>P42*E49</f>
        <v>0</v>
      </c>
      <c r="S42" s="393">
        <f t="shared" si="5"/>
        <v>0</v>
      </c>
      <c r="T42" s="130" t="str">
        <f t="shared" si="6"/>
        <v>#DIV/0!</v>
      </c>
      <c r="U42" s="130"/>
    </row>
    <row r="43" ht="15.75" customHeight="1">
      <c r="B43" s="42" t="s">
        <v>132</v>
      </c>
      <c r="E43" s="399">
        <v>97.0</v>
      </c>
      <c r="G43" s="167"/>
      <c r="H43" s="398" t="s">
        <v>133</v>
      </c>
      <c r="K43" s="400">
        <v>0.0</v>
      </c>
      <c r="N43" s="392" t="s">
        <v>430</v>
      </c>
      <c r="O43" s="394" t="s">
        <v>431</v>
      </c>
      <c r="P43" s="394" t="s">
        <v>431</v>
      </c>
      <c r="Q43" s="393" t="str">
        <f t="shared" si="4"/>
        <v>#DIV/0!</v>
      </c>
      <c r="R43" s="393">
        <f>P43*E49</f>
        <v>0</v>
      </c>
      <c r="S43" s="393">
        <f t="shared" si="5"/>
        <v>0</v>
      </c>
      <c r="T43" s="130" t="str">
        <f t="shared" si="6"/>
        <v>#DIV/0!</v>
      </c>
      <c r="U43" s="130"/>
    </row>
    <row r="44" ht="15.75" customHeight="1">
      <c r="G44" s="167"/>
      <c r="N44" s="392" t="s">
        <v>432</v>
      </c>
      <c r="O44" s="394" t="s">
        <v>431</v>
      </c>
      <c r="P44" s="394" t="s">
        <v>431</v>
      </c>
      <c r="Q44" s="393" t="str">
        <f t="shared" si="4"/>
        <v>#DIV/0!</v>
      </c>
      <c r="R44" s="393">
        <f>P44*E49</f>
        <v>0</v>
      </c>
      <c r="S44" s="393">
        <f t="shared" si="5"/>
        <v>0</v>
      </c>
      <c r="T44" s="130" t="str">
        <f t="shared" si="6"/>
        <v>#DIV/0!</v>
      </c>
      <c r="U44" s="130"/>
    </row>
    <row r="45" ht="15.75" customHeight="1">
      <c r="B45" s="398" t="s">
        <v>136</v>
      </c>
      <c r="E45" s="399">
        <f>7.69+1.99</f>
        <v>9.68</v>
      </c>
      <c r="G45" s="167"/>
      <c r="H45" s="42" t="s">
        <v>137</v>
      </c>
      <c r="K45" s="401" t="str">
        <f>SUM(K41/K43)</f>
        <v>#DIV/0!</v>
      </c>
      <c r="N45" s="133" t="s">
        <v>433</v>
      </c>
      <c r="O45" s="394" t="s">
        <v>431</v>
      </c>
      <c r="P45" s="394" t="s">
        <v>431</v>
      </c>
      <c r="Q45" s="393" t="str">
        <f t="shared" si="4"/>
        <v>#DIV/0!</v>
      </c>
      <c r="R45" s="393">
        <f>P45*E49</f>
        <v>0</v>
      </c>
      <c r="S45" s="393">
        <f t="shared" si="5"/>
        <v>0</v>
      </c>
      <c r="T45" s="130" t="str">
        <f t="shared" si="6"/>
        <v>#DIV/0!</v>
      </c>
      <c r="U45" s="130"/>
    </row>
    <row r="46" ht="15.75" customHeight="1">
      <c r="G46" s="167"/>
      <c r="N46" s="133" t="s">
        <v>434</v>
      </c>
      <c r="O46" s="394" t="s">
        <v>431</v>
      </c>
      <c r="P46" s="394" t="s">
        <v>431</v>
      </c>
      <c r="Q46" s="393" t="str">
        <f t="shared" si="4"/>
        <v>#DIV/0!</v>
      </c>
      <c r="R46" s="393">
        <f>P46*E49</f>
        <v>0</v>
      </c>
      <c r="S46" s="393">
        <f t="shared" si="5"/>
        <v>0</v>
      </c>
      <c r="T46" s="130" t="str">
        <f t="shared" si="6"/>
        <v>#DIV/0!</v>
      </c>
      <c r="U46" s="130"/>
    </row>
    <row r="47" ht="15.75" customHeight="1">
      <c r="B47" s="42" t="s">
        <v>138</v>
      </c>
      <c r="E47" s="399">
        <f>8.73</f>
        <v>8.73</v>
      </c>
      <c r="G47" s="167"/>
      <c r="H47" s="398" t="s">
        <v>139</v>
      </c>
      <c r="K47" s="401">
        <f>SUM(K43*E49)</f>
        <v>0</v>
      </c>
      <c r="N47" s="133" t="s">
        <v>435</v>
      </c>
      <c r="O47" s="394" t="s">
        <v>431</v>
      </c>
      <c r="P47" s="394" t="s">
        <v>431</v>
      </c>
      <c r="Q47" s="393" t="str">
        <f t="shared" si="4"/>
        <v>#DIV/0!</v>
      </c>
      <c r="R47" s="393">
        <f>P47*E49</f>
        <v>0</v>
      </c>
      <c r="S47" s="393">
        <f t="shared" si="5"/>
        <v>0</v>
      </c>
      <c r="T47" s="130" t="str">
        <f t="shared" si="6"/>
        <v>#DIV/0!</v>
      </c>
      <c r="U47" s="130"/>
    </row>
    <row r="48" ht="15.75" customHeight="1">
      <c r="G48" s="167"/>
      <c r="N48" s="133" t="s">
        <v>436</v>
      </c>
      <c r="O48" s="394" t="s">
        <v>431</v>
      </c>
      <c r="P48" s="394" t="s">
        <v>431</v>
      </c>
      <c r="Q48" s="393" t="str">
        <f t="shared" si="4"/>
        <v>#DIV/0!</v>
      </c>
      <c r="R48" s="393">
        <f>P48*E49</f>
        <v>0</v>
      </c>
      <c r="S48" s="393">
        <f t="shared" si="5"/>
        <v>0</v>
      </c>
      <c r="T48" s="130" t="str">
        <f t="shared" si="6"/>
        <v>#DIV/0!</v>
      </c>
      <c r="U48" s="130"/>
    </row>
    <row r="49" ht="15.75" customHeight="1">
      <c r="B49" s="398" t="s">
        <v>140</v>
      </c>
      <c r="E49" s="403">
        <f>SUM(E43-E45-E47)</f>
        <v>78.59</v>
      </c>
      <c r="G49" s="167"/>
      <c r="H49" s="42" t="s">
        <v>141</v>
      </c>
      <c r="K49" s="404">
        <f>SUM(K47-K41)</f>
        <v>0</v>
      </c>
      <c r="N49" s="133" t="s">
        <v>437</v>
      </c>
      <c r="O49" s="394" t="s">
        <v>431</v>
      </c>
      <c r="P49" s="394" t="s">
        <v>431</v>
      </c>
      <c r="Q49" s="393" t="str">
        <f t="shared" si="4"/>
        <v>#DIV/0!</v>
      </c>
      <c r="R49" s="393">
        <f>P49*E49</f>
        <v>0</v>
      </c>
      <c r="S49" s="393">
        <f t="shared" si="5"/>
        <v>0</v>
      </c>
      <c r="T49" s="130" t="str">
        <f t="shared" si="6"/>
        <v>#DIV/0!</v>
      </c>
      <c r="U49" s="130"/>
    </row>
    <row r="50" ht="15.75" customHeight="1">
      <c r="G50" s="167"/>
      <c r="N50" s="133" t="s">
        <v>430</v>
      </c>
      <c r="O50" s="394" t="s">
        <v>431</v>
      </c>
      <c r="P50" s="394" t="s">
        <v>431</v>
      </c>
      <c r="Q50" s="393" t="str">
        <f t="shared" si="4"/>
        <v>#DIV/0!</v>
      </c>
      <c r="R50" s="393">
        <f>P50*E49</f>
        <v>0</v>
      </c>
      <c r="S50" s="393">
        <f t="shared" si="5"/>
        <v>0</v>
      </c>
      <c r="T50" s="130" t="str">
        <f t="shared" si="6"/>
        <v>#DIV/0!</v>
      </c>
      <c r="U50" s="130"/>
    </row>
    <row r="51" ht="15.75" customHeight="1">
      <c r="B51" s="42" t="s">
        <v>142</v>
      </c>
      <c r="E51" s="399">
        <v>33.95</v>
      </c>
      <c r="G51" s="167"/>
      <c r="H51" s="167"/>
      <c r="I51" s="167"/>
      <c r="J51" s="167"/>
      <c r="K51" s="167"/>
      <c r="L51" s="167"/>
      <c r="N51" s="133" t="s">
        <v>432</v>
      </c>
      <c r="O51" s="394" t="s">
        <v>431</v>
      </c>
      <c r="P51" s="394" t="s">
        <v>431</v>
      </c>
      <c r="Q51" s="393" t="str">
        <f t="shared" si="4"/>
        <v>#DIV/0!</v>
      </c>
      <c r="R51" s="393">
        <f>P51*E49</f>
        <v>0</v>
      </c>
      <c r="S51" s="393">
        <f t="shared" si="5"/>
        <v>0</v>
      </c>
      <c r="T51" s="130" t="str">
        <f t="shared" si="6"/>
        <v>#DIV/0!</v>
      </c>
      <c r="U51" s="130"/>
    </row>
    <row r="52" ht="15.75" customHeight="1">
      <c r="G52" s="167"/>
      <c r="H52" s="167"/>
      <c r="I52" s="167"/>
      <c r="J52" s="167"/>
      <c r="K52" s="167"/>
      <c r="L52" s="167"/>
      <c r="N52" s="133" t="s">
        <v>433</v>
      </c>
      <c r="O52" s="394" t="s">
        <v>431</v>
      </c>
      <c r="P52" s="394" t="s">
        <v>431</v>
      </c>
      <c r="Q52" s="393" t="str">
        <f t="shared" si="4"/>
        <v>#DIV/0!</v>
      </c>
      <c r="R52" s="393">
        <f>P52*E49</f>
        <v>0</v>
      </c>
      <c r="S52" s="393">
        <f t="shared" si="5"/>
        <v>0</v>
      </c>
      <c r="T52" s="130" t="str">
        <f t="shared" si="6"/>
        <v>#DIV/0!</v>
      </c>
      <c r="U52" s="130"/>
    </row>
    <row r="53" ht="15.75" customHeight="1">
      <c r="B53" s="398" t="s">
        <v>143</v>
      </c>
      <c r="E53" s="405">
        <f>SUM(E41/E49)</f>
        <v>149.1411121</v>
      </c>
      <c r="G53" s="167"/>
      <c r="H53" s="167"/>
      <c r="I53" s="167"/>
      <c r="J53" s="167"/>
      <c r="K53" s="167"/>
      <c r="L53" s="167"/>
      <c r="N53" s="133" t="s">
        <v>434</v>
      </c>
      <c r="O53" s="394" t="s">
        <v>431</v>
      </c>
      <c r="P53" s="394" t="s">
        <v>431</v>
      </c>
      <c r="Q53" s="393" t="str">
        <f t="shared" si="4"/>
        <v>#DIV/0!</v>
      </c>
      <c r="R53" s="393">
        <f>P53*E49</f>
        <v>0</v>
      </c>
      <c r="S53" s="393">
        <f t="shared" si="5"/>
        <v>0</v>
      </c>
      <c r="T53" s="130" t="str">
        <f t="shared" si="6"/>
        <v>#DIV/0!</v>
      </c>
      <c r="U53" s="130"/>
    </row>
    <row r="54" ht="15.75" customHeight="1">
      <c r="G54" s="167"/>
      <c r="H54" s="167"/>
      <c r="I54" s="167"/>
      <c r="J54" s="167"/>
      <c r="K54" s="167"/>
      <c r="L54" s="167"/>
      <c r="N54" s="133" t="s">
        <v>435</v>
      </c>
      <c r="O54" s="394" t="s">
        <v>431</v>
      </c>
      <c r="P54" s="394" t="s">
        <v>431</v>
      </c>
      <c r="Q54" s="393" t="str">
        <f t="shared" si="4"/>
        <v>#DIV/0!</v>
      </c>
      <c r="R54" s="393">
        <f>P54*E49</f>
        <v>0</v>
      </c>
      <c r="S54" s="393">
        <f t="shared" si="5"/>
        <v>0</v>
      </c>
      <c r="T54" s="130" t="str">
        <f t="shared" si="6"/>
        <v>#DIV/0!</v>
      </c>
      <c r="U54" s="130"/>
    </row>
    <row r="55" ht="15.75" customHeight="1">
      <c r="B55" s="42" t="s">
        <v>144</v>
      </c>
      <c r="E55" s="403">
        <f>SUM(E51*E53)</f>
        <v>5063.340756</v>
      </c>
      <c r="G55" s="167"/>
      <c r="H55" s="167"/>
      <c r="I55" s="167"/>
      <c r="J55" s="167"/>
      <c r="K55" s="167"/>
      <c r="L55" s="167"/>
      <c r="N55" s="133" t="s">
        <v>436</v>
      </c>
      <c r="O55" s="394" t="s">
        <v>431</v>
      </c>
      <c r="P55" s="394" t="s">
        <v>431</v>
      </c>
      <c r="Q55" s="393" t="str">
        <f t="shared" si="4"/>
        <v>#DIV/0!</v>
      </c>
      <c r="R55" s="393">
        <f>P55*E49</f>
        <v>0</v>
      </c>
      <c r="S55" s="393">
        <f t="shared" si="5"/>
        <v>0</v>
      </c>
      <c r="T55" s="130" t="str">
        <f t="shared" si="6"/>
        <v>#DIV/0!</v>
      </c>
      <c r="U55" s="130"/>
    </row>
    <row r="56" ht="15.75" customHeight="1">
      <c r="G56" s="167"/>
      <c r="H56" s="167"/>
      <c r="I56" s="167"/>
      <c r="J56" s="167"/>
      <c r="K56" s="167"/>
      <c r="L56" s="167"/>
      <c r="N56" s="133" t="s">
        <v>437</v>
      </c>
      <c r="O56" s="394" t="s">
        <v>431</v>
      </c>
      <c r="P56" s="394" t="s">
        <v>431</v>
      </c>
      <c r="Q56" s="393" t="str">
        <f t="shared" si="4"/>
        <v>#DIV/0!</v>
      </c>
      <c r="R56" s="393">
        <f>P56*E49</f>
        <v>0</v>
      </c>
      <c r="S56" s="393">
        <f t="shared" si="5"/>
        <v>0</v>
      </c>
      <c r="T56" s="130" t="str">
        <f t="shared" si="6"/>
        <v>#DIV/0!</v>
      </c>
      <c r="U56" s="130"/>
    </row>
    <row r="57" ht="15.75" customHeight="1">
      <c r="B57" s="398" t="s">
        <v>145</v>
      </c>
      <c r="E57" s="403">
        <f>SUM(E41-E55)</f>
        <v>6657.659244</v>
      </c>
      <c r="G57" s="167"/>
      <c r="H57" s="167"/>
      <c r="I57" s="167"/>
      <c r="J57" s="167"/>
      <c r="K57" s="167"/>
      <c r="L57" s="167"/>
      <c r="N57" s="133" t="s">
        <v>430</v>
      </c>
      <c r="O57" s="394" t="s">
        <v>431</v>
      </c>
      <c r="P57" s="394" t="s">
        <v>431</v>
      </c>
      <c r="Q57" s="393" t="str">
        <f t="shared" si="4"/>
        <v>#DIV/0!</v>
      </c>
      <c r="R57" s="393">
        <f>P57*E49</f>
        <v>0</v>
      </c>
      <c r="S57" s="393">
        <f t="shared" si="5"/>
        <v>0</v>
      </c>
      <c r="T57" s="130" t="str">
        <f t="shared" si="6"/>
        <v>#DIV/0!</v>
      </c>
      <c r="U57" s="130"/>
    </row>
    <row r="58" ht="15.75" customHeight="1">
      <c r="G58" s="167"/>
      <c r="H58" s="167"/>
      <c r="I58" s="167"/>
      <c r="J58" s="167"/>
      <c r="K58" s="167"/>
      <c r="L58" s="167"/>
      <c r="N58" s="133" t="s">
        <v>432</v>
      </c>
      <c r="O58" s="394" t="s">
        <v>431</v>
      </c>
      <c r="P58" s="394" t="s">
        <v>431</v>
      </c>
      <c r="Q58" s="393" t="str">
        <f t="shared" si="4"/>
        <v>#DIV/0!</v>
      </c>
      <c r="R58" s="393">
        <f>P58*E49</f>
        <v>0</v>
      </c>
      <c r="S58" s="393">
        <f t="shared" si="5"/>
        <v>0</v>
      </c>
      <c r="T58" s="130" t="str">
        <f t="shared" si="6"/>
        <v>#DIV/0!</v>
      </c>
      <c r="U58" s="130"/>
    </row>
    <row r="59" ht="15.75" customHeight="1">
      <c r="B59" s="42" t="s">
        <v>146</v>
      </c>
      <c r="E59" s="400">
        <v>30.0</v>
      </c>
      <c r="G59" s="167"/>
      <c r="H59" s="167"/>
      <c r="I59" s="167"/>
      <c r="J59" s="167"/>
      <c r="K59" s="167"/>
      <c r="L59" s="167"/>
      <c r="N59" s="133" t="s">
        <v>433</v>
      </c>
      <c r="O59" s="394" t="s">
        <v>431</v>
      </c>
      <c r="P59" s="394" t="s">
        <v>431</v>
      </c>
      <c r="Q59" s="393" t="str">
        <f t="shared" si="4"/>
        <v>#DIV/0!</v>
      </c>
      <c r="R59" s="393">
        <f>P59*E49</f>
        <v>0</v>
      </c>
      <c r="S59" s="393">
        <f t="shared" si="5"/>
        <v>0</v>
      </c>
      <c r="T59" s="130" t="str">
        <f t="shared" si="6"/>
        <v>#DIV/0!</v>
      </c>
      <c r="U59" s="130"/>
    </row>
    <row r="60" ht="15.75" customHeight="1">
      <c r="G60" s="167"/>
      <c r="H60" s="167"/>
      <c r="I60" s="167"/>
      <c r="J60" s="167"/>
      <c r="K60" s="167"/>
      <c r="L60" s="167"/>
      <c r="N60" s="133" t="s">
        <v>434</v>
      </c>
      <c r="O60" s="394" t="s">
        <v>431</v>
      </c>
      <c r="P60" s="394" t="s">
        <v>431</v>
      </c>
      <c r="Q60" s="393" t="str">
        <f t="shared" si="4"/>
        <v>#DIV/0!</v>
      </c>
      <c r="R60" s="393">
        <f>P60*E49</f>
        <v>0</v>
      </c>
      <c r="S60" s="393">
        <f t="shared" si="5"/>
        <v>0</v>
      </c>
      <c r="T60" s="130" t="str">
        <f t="shared" si="6"/>
        <v>#DIV/0!</v>
      </c>
      <c r="U60" s="130"/>
    </row>
    <row r="61" ht="15.75" customHeight="1">
      <c r="B61" s="398" t="s">
        <v>147</v>
      </c>
      <c r="E61" s="403">
        <f>SUM(E55/E59)-E65</f>
        <v>143.4613214</v>
      </c>
      <c r="G61" s="167"/>
      <c r="H61" s="167"/>
      <c r="I61" s="167"/>
      <c r="J61" s="167"/>
      <c r="K61" s="167"/>
      <c r="L61" s="167"/>
      <c r="N61" s="133" t="s">
        <v>435</v>
      </c>
      <c r="O61" s="394" t="s">
        <v>431</v>
      </c>
      <c r="P61" s="394" t="s">
        <v>431</v>
      </c>
      <c r="Q61" s="393" t="str">
        <f t="shared" si="4"/>
        <v>#DIV/0!</v>
      </c>
      <c r="R61" s="393">
        <f>P61*E49</f>
        <v>0</v>
      </c>
      <c r="S61" s="393">
        <f t="shared" si="5"/>
        <v>0</v>
      </c>
      <c r="T61" s="130" t="str">
        <f t="shared" si="6"/>
        <v>#DIV/0!</v>
      </c>
      <c r="U61" s="130"/>
    </row>
    <row r="62" ht="15.75" customHeight="1">
      <c r="G62" s="167"/>
      <c r="H62" s="167"/>
      <c r="I62" s="167"/>
      <c r="J62" s="167"/>
      <c r="K62" s="167"/>
      <c r="L62" s="167"/>
      <c r="N62" s="133" t="s">
        <v>436</v>
      </c>
      <c r="O62" s="394" t="s">
        <v>431</v>
      </c>
      <c r="P62" s="394" t="s">
        <v>431</v>
      </c>
      <c r="Q62" s="393" t="str">
        <f t="shared" si="4"/>
        <v>#DIV/0!</v>
      </c>
      <c r="R62" s="393">
        <f>P62*E49</f>
        <v>0</v>
      </c>
      <c r="S62" s="393">
        <f t="shared" si="5"/>
        <v>0</v>
      </c>
      <c r="T62" s="130" t="str">
        <f t="shared" si="6"/>
        <v>#DIV/0!</v>
      </c>
      <c r="U62" s="130"/>
    </row>
    <row r="63" ht="15.75" customHeight="1">
      <c r="B63" s="42" t="s">
        <v>148</v>
      </c>
      <c r="E63" s="406">
        <f>SUM(E53/E59)</f>
        <v>4.971370403</v>
      </c>
      <c r="G63" s="167"/>
      <c r="H63" s="167"/>
      <c r="I63" s="167"/>
      <c r="J63" s="167"/>
      <c r="K63" s="167"/>
      <c r="L63" s="167"/>
      <c r="N63" s="133" t="s">
        <v>437</v>
      </c>
      <c r="O63" s="394" t="s">
        <v>431</v>
      </c>
      <c r="P63" s="394" t="s">
        <v>431</v>
      </c>
      <c r="Q63" s="393" t="str">
        <f t="shared" si="4"/>
        <v>#DIV/0!</v>
      </c>
      <c r="R63" s="393">
        <f>P63*E49</f>
        <v>0</v>
      </c>
      <c r="S63" s="393">
        <f t="shared" si="5"/>
        <v>0</v>
      </c>
      <c r="T63" s="130" t="str">
        <f t="shared" si="6"/>
        <v>#DIV/0!</v>
      </c>
      <c r="U63" s="130"/>
    </row>
    <row r="64" ht="15.75" customHeight="1">
      <c r="G64" s="167"/>
      <c r="H64" s="167"/>
      <c r="I64" s="167"/>
      <c r="J64" s="167"/>
      <c r="K64" s="167"/>
      <c r="L64" s="167"/>
      <c r="N64" s="133" t="s">
        <v>430</v>
      </c>
      <c r="O64" s="394" t="s">
        <v>431</v>
      </c>
      <c r="P64" s="394" t="s">
        <v>431</v>
      </c>
      <c r="Q64" s="393" t="str">
        <f t="shared" si="4"/>
        <v>#DIV/0!</v>
      </c>
      <c r="R64" s="393">
        <f>P64*E49</f>
        <v>0</v>
      </c>
      <c r="S64" s="393">
        <f t="shared" si="5"/>
        <v>0</v>
      </c>
      <c r="T64" s="130" t="str">
        <f t="shared" si="6"/>
        <v>#DIV/0!</v>
      </c>
      <c r="U64" s="130"/>
    </row>
    <row r="65" ht="15.75" customHeight="1">
      <c r="B65" s="42" t="s">
        <v>486</v>
      </c>
      <c r="E65" s="373">
        <f>(E55*15%)/30</f>
        <v>25.31670378</v>
      </c>
      <c r="N65" s="133" t="s">
        <v>432</v>
      </c>
      <c r="O65" s="394" t="s">
        <v>431</v>
      </c>
      <c r="P65" s="394" t="s">
        <v>431</v>
      </c>
      <c r="Q65" s="393" t="str">
        <f t="shared" si="4"/>
        <v>#DIV/0!</v>
      </c>
      <c r="R65" s="393">
        <f>P65*E49</f>
        <v>0</v>
      </c>
      <c r="S65" s="393">
        <f t="shared" si="5"/>
        <v>0</v>
      </c>
      <c r="T65" s="130" t="str">
        <f t="shared" si="6"/>
        <v>#DIV/0!</v>
      </c>
      <c r="U65" s="130"/>
    </row>
    <row r="66" ht="15.75" customHeight="1">
      <c r="N66" s="133" t="s">
        <v>433</v>
      </c>
      <c r="O66" s="394" t="s">
        <v>431</v>
      </c>
      <c r="P66" s="394" t="s">
        <v>431</v>
      </c>
      <c r="Q66" s="393" t="str">
        <f t="shared" si="4"/>
        <v>#DIV/0!</v>
      </c>
      <c r="R66" s="393">
        <f>P66*E49</f>
        <v>0</v>
      </c>
      <c r="S66" s="393">
        <f t="shared" si="5"/>
        <v>0</v>
      </c>
      <c r="T66" s="130" t="str">
        <f t="shared" si="6"/>
        <v>#DIV/0!</v>
      </c>
      <c r="U66" s="130"/>
    </row>
    <row r="67" ht="15.75" customHeight="1">
      <c r="N67" s="133" t="s">
        <v>434</v>
      </c>
      <c r="O67" s="394" t="s">
        <v>431</v>
      </c>
      <c r="P67" s="394" t="s">
        <v>431</v>
      </c>
      <c r="Q67" s="393" t="str">
        <f t="shared" si="4"/>
        <v>#DIV/0!</v>
      </c>
      <c r="R67" s="393">
        <f>P67*E49</f>
        <v>0</v>
      </c>
      <c r="S67" s="393">
        <f t="shared" si="5"/>
        <v>0</v>
      </c>
      <c r="T67" s="130" t="str">
        <f t="shared" si="6"/>
        <v>#DIV/0!</v>
      </c>
      <c r="U67" s="130"/>
    </row>
    <row r="68" ht="15.75" customHeight="1">
      <c r="N68" s="133" t="s">
        <v>435</v>
      </c>
      <c r="O68" s="394" t="s">
        <v>431</v>
      </c>
      <c r="P68" s="394" t="s">
        <v>431</v>
      </c>
      <c r="Q68" s="393" t="str">
        <f>O68/P16</f>
        <v>#DIV/0!</v>
      </c>
      <c r="R68" s="393">
        <f>P68*E49</f>
        <v>0</v>
      </c>
      <c r="S68" s="393">
        <f t="shared" si="5"/>
        <v>0</v>
      </c>
      <c r="T68" s="130" t="str">
        <f t="shared" si="6"/>
        <v>#DIV/0!</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90" t="s">
        <v>424</v>
      </c>
      <c r="N3" s="391"/>
      <c r="U3" s="391" t="s">
        <v>425</v>
      </c>
    </row>
    <row r="4">
      <c r="N4" s="391" t="s">
        <v>109</v>
      </c>
      <c r="O4" s="391" t="s">
        <v>110</v>
      </c>
      <c r="P4" s="391" t="s">
        <v>427</v>
      </c>
      <c r="Q4" s="391" t="s">
        <v>428</v>
      </c>
      <c r="R4" s="391" t="s">
        <v>429</v>
      </c>
      <c r="S4" s="391" t="s">
        <v>29</v>
      </c>
      <c r="T4" s="391" t="s">
        <v>407</v>
      </c>
    </row>
    <row r="5">
      <c r="N5" s="392" t="s">
        <v>430</v>
      </c>
      <c r="O5" s="394" t="s">
        <v>541</v>
      </c>
      <c r="P5" s="394" t="s">
        <v>492</v>
      </c>
      <c r="Q5" s="393">
        <f t="shared" ref="Q5:Q34" si="1">O5/P5</f>
        <v>24.2725</v>
      </c>
      <c r="R5" s="393">
        <f>P5*E16</f>
        <v>144.96</v>
      </c>
      <c r="S5" s="393">
        <f t="shared" ref="S5:S34" si="2">R5-O5</f>
        <v>47.87</v>
      </c>
      <c r="T5" s="130">
        <f t="shared" ref="T5:T34" si="3">S5/R5</f>
        <v>0.3302290287</v>
      </c>
      <c r="U5" s="371" t="s">
        <v>470</v>
      </c>
    </row>
    <row r="6">
      <c r="B6" s="395" t="s">
        <v>124</v>
      </c>
      <c r="G6" s="396"/>
      <c r="H6" s="397" t="s">
        <v>125</v>
      </c>
      <c r="N6" s="392" t="s">
        <v>432</v>
      </c>
      <c r="O6" s="394" t="s">
        <v>542</v>
      </c>
      <c r="P6" s="394" t="s">
        <v>543</v>
      </c>
      <c r="Q6" s="393">
        <f t="shared" si="1"/>
        <v>20.268</v>
      </c>
      <c r="R6" s="393">
        <f>P6*E16</f>
        <v>181.2</v>
      </c>
      <c r="S6" s="393">
        <f t="shared" si="2"/>
        <v>79.86</v>
      </c>
      <c r="T6" s="130">
        <f t="shared" si="3"/>
        <v>0.4407284768</v>
      </c>
      <c r="U6" s="371" t="s">
        <v>470</v>
      </c>
    </row>
    <row r="7">
      <c r="G7" s="396"/>
      <c r="N7" s="392" t="s">
        <v>433</v>
      </c>
      <c r="O7" s="394" t="s">
        <v>544</v>
      </c>
      <c r="P7" s="394" t="s">
        <v>527</v>
      </c>
      <c r="Q7" s="393">
        <f t="shared" si="1"/>
        <v>32.91666667</v>
      </c>
      <c r="R7" s="393">
        <f>P7*E16</f>
        <v>108.72</v>
      </c>
      <c r="S7" s="393">
        <f t="shared" si="2"/>
        <v>9.97</v>
      </c>
      <c r="T7" s="130">
        <f t="shared" si="3"/>
        <v>0.09170345843</v>
      </c>
      <c r="U7" s="371" t="s">
        <v>470</v>
      </c>
    </row>
    <row r="8">
      <c r="B8" s="398" t="s">
        <v>128</v>
      </c>
      <c r="E8" s="399">
        <v>5436.0</v>
      </c>
      <c r="G8" s="167"/>
      <c r="H8" s="42" t="s">
        <v>129</v>
      </c>
      <c r="K8" s="399">
        <v>0.0</v>
      </c>
      <c r="N8" s="392" t="s">
        <v>434</v>
      </c>
      <c r="O8" s="394" t="s">
        <v>545</v>
      </c>
      <c r="P8" s="394" t="s">
        <v>431</v>
      </c>
      <c r="Q8" s="393" t="str">
        <f t="shared" si="1"/>
        <v>#DIV/0!</v>
      </c>
      <c r="R8" s="393">
        <f>P8*E16</f>
        <v>0</v>
      </c>
      <c r="S8" s="393">
        <f t="shared" si="2"/>
        <v>-99.72</v>
      </c>
      <c r="T8" s="130" t="str">
        <f t="shared" si="3"/>
        <v>#DIV/0!</v>
      </c>
      <c r="U8" s="402" t="s">
        <v>474</v>
      </c>
    </row>
    <row r="9">
      <c r="G9" s="167"/>
      <c r="N9" s="392" t="s">
        <v>435</v>
      </c>
      <c r="O9" s="394" t="s">
        <v>546</v>
      </c>
      <c r="P9" s="394" t="s">
        <v>431</v>
      </c>
      <c r="Q9" s="393" t="str">
        <f t="shared" si="1"/>
        <v>#DIV/0!</v>
      </c>
      <c r="R9" s="393">
        <f>P9*E16</f>
        <v>0</v>
      </c>
      <c r="S9" s="393">
        <f t="shared" si="2"/>
        <v>-97.06</v>
      </c>
      <c r="T9" s="130" t="str">
        <f t="shared" si="3"/>
        <v>#DIV/0!</v>
      </c>
      <c r="U9" s="130"/>
    </row>
    <row r="10">
      <c r="B10" s="42" t="s">
        <v>132</v>
      </c>
      <c r="E10" s="399">
        <v>47.0</v>
      </c>
      <c r="G10" s="167"/>
      <c r="H10" s="398" t="s">
        <v>133</v>
      </c>
      <c r="K10" s="400">
        <v>0.0</v>
      </c>
      <c r="N10" s="392" t="s">
        <v>436</v>
      </c>
      <c r="O10" s="394" t="s">
        <v>547</v>
      </c>
      <c r="P10" s="394" t="s">
        <v>431</v>
      </c>
      <c r="Q10" s="393" t="str">
        <f t="shared" si="1"/>
        <v>#DIV/0!</v>
      </c>
      <c r="R10" s="393">
        <f>P10*E16</f>
        <v>0</v>
      </c>
      <c r="S10" s="393">
        <f t="shared" si="2"/>
        <v>-51.08</v>
      </c>
      <c r="T10" s="130" t="str">
        <f t="shared" si="3"/>
        <v>#DIV/0!</v>
      </c>
      <c r="U10" s="130"/>
    </row>
    <row r="11">
      <c r="G11" s="167"/>
      <c r="N11" s="392" t="s">
        <v>437</v>
      </c>
      <c r="O11" s="394" t="s">
        <v>548</v>
      </c>
      <c r="P11" s="394" t="s">
        <v>431</v>
      </c>
      <c r="Q11" s="393" t="str">
        <f t="shared" si="1"/>
        <v>#DIV/0!</v>
      </c>
      <c r="R11" s="393">
        <f>P11*E16</f>
        <v>0</v>
      </c>
      <c r="S11" s="393">
        <f t="shared" si="2"/>
        <v>-50.96</v>
      </c>
      <c r="T11" s="130" t="str">
        <f t="shared" si="3"/>
        <v>#DIV/0!</v>
      </c>
      <c r="U11" s="130"/>
    </row>
    <row r="12">
      <c r="B12" s="398" t="s">
        <v>136</v>
      </c>
      <c r="E12" s="399">
        <f>4.24+2.49</f>
        <v>6.73</v>
      </c>
      <c r="G12" s="167"/>
      <c r="H12" s="42" t="s">
        <v>137</v>
      </c>
      <c r="K12" s="401" t="str">
        <f>SUM(K8/K10)</f>
        <v>#DIV/0!</v>
      </c>
      <c r="N12" s="392" t="s">
        <v>430</v>
      </c>
      <c r="O12" s="394" t="s">
        <v>549</v>
      </c>
      <c r="P12" s="394" t="s">
        <v>431</v>
      </c>
      <c r="Q12" s="393" t="str">
        <f t="shared" si="1"/>
        <v>#DIV/0!</v>
      </c>
      <c r="R12" s="393">
        <f>P12*E16</f>
        <v>0</v>
      </c>
      <c r="S12" s="393">
        <f t="shared" si="2"/>
        <v>-51.25</v>
      </c>
      <c r="T12" s="130" t="str">
        <f t="shared" si="3"/>
        <v>#DIV/0!</v>
      </c>
      <c r="U12" s="130"/>
    </row>
    <row r="13">
      <c r="G13" s="167"/>
      <c r="N13" s="392" t="s">
        <v>432</v>
      </c>
      <c r="O13" s="394" t="s">
        <v>550</v>
      </c>
      <c r="P13" s="394" t="s">
        <v>431</v>
      </c>
      <c r="Q13" s="393" t="str">
        <f t="shared" si="1"/>
        <v>#DIV/0!</v>
      </c>
      <c r="R13" s="393">
        <f>P13*E16</f>
        <v>0</v>
      </c>
      <c r="S13" s="393">
        <f t="shared" si="2"/>
        <v>-51.53</v>
      </c>
      <c r="T13" s="130" t="str">
        <f t="shared" si="3"/>
        <v>#DIV/0!</v>
      </c>
      <c r="U13" s="130"/>
    </row>
    <row r="14">
      <c r="B14" s="42" t="s">
        <v>138</v>
      </c>
      <c r="E14" s="399">
        <f>4.03</f>
        <v>4.03</v>
      </c>
      <c r="G14" s="167"/>
      <c r="H14" s="398" t="s">
        <v>139</v>
      </c>
      <c r="K14" s="401">
        <f>SUM(K10*E16)</f>
        <v>0</v>
      </c>
      <c r="N14" s="392" t="s">
        <v>433</v>
      </c>
      <c r="O14" s="394" t="s">
        <v>551</v>
      </c>
      <c r="P14" s="394" t="s">
        <v>431</v>
      </c>
      <c r="Q14" s="393" t="str">
        <f t="shared" si="1"/>
        <v>#DIV/0!</v>
      </c>
      <c r="R14" s="393">
        <f>P14*E16</f>
        <v>0</v>
      </c>
      <c r="S14" s="393">
        <f t="shared" si="2"/>
        <v>-62.63</v>
      </c>
      <c r="T14" s="130" t="str">
        <f t="shared" si="3"/>
        <v>#DIV/0!</v>
      </c>
      <c r="U14" s="130"/>
    </row>
    <row r="15">
      <c r="G15" s="167"/>
      <c r="N15" s="392" t="s">
        <v>434</v>
      </c>
      <c r="O15" s="394" t="s">
        <v>552</v>
      </c>
      <c r="P15" s="394" t="s">
        <v>431</v>
      </c>
      <c r="Q15" s="393" t="str">
        <f t="shared" si="1"/>
        <v>#DIV/0!</v>
      </c>
      <c r="R15" s="393">
        <f>P15*E16</f>
        <v>0</v>
      </c>
      <c r="S15" s="393">
        <f t="shared" si="2"/>
        <v>-38.71</v>
      </c>
      <c r="T15" s="130" t="str">
        <f t="shared" si="3"/>
        <v>#DIV/0!</v>
      </c>
      <c r="U15" s="130"/>
    </row>
    <row r="16">
      <c r="B16" s="398" t="s">
        <v>140</v>
      </c>
      <c r="E16" s="403">
        <f>SUM(E10-E12-E14)</f>
        <v>36.24</v>
      </c>
      <c r="G16" s="167"/>
      <c r="H16" s="42" t="s">
        <v>141</v>
      </c>
      <c r="K16" s="404">
        <f>SUM(K14-K8)</f>
        <v>0</v>
      </c>
      <c r="N16" s="392" t="s">
        <v>435</v>
      </c>
      <c r="O16" s="394" t="s">
        <v>553</v>
      </c>
      <c r="P16" s="394" t="s">
        <v>431</v>
      </c>
      <c r="Q16" s="393" t="str">
        <f t="shared" si="1"/>
        <v>#DIV/0!</v>
      </c>
      <c r="R16" s="393">
        <f>P16*E16</f>
        <v>0</v>
      </c>
      <c r="S16" s="393">
        <f t="shared" si="2"/>
        <v>-34.87</v>
      </c>
      <c r="T16" s="130" t="str">
        <f t="shared" si="3"/>
        <v>#DIV/0!</v>
      </c>
      <c r="U16" s="130"/>
    </row>
    <row r="17">
      <c r="G17" s="167"/>
      <c r="N17" s="392" t="s">
        <v>436</v>
      </c>
      <c r="O17" s="394" t="s">
        <v>554</v>
      </c>
      <c r="P17" s="394" t="s">
        <v>472</v>
      </c>
      <c r="Q17" s="393">
        <f t="shared" si="1"/>
        <v>34.68</v>
      </c>
      <c r="R17" s="393">
        <f>P17*E16</f>
        <v>36.24</v>
      </c>
      <c r="S17" s="393">
        <f t="shared" si="2"/>
        <v>1.56</v>
      </c>
      <c r="T17" s="130">
        <f t="shared" si="3"/>
        <v>0.04304635762</v>
      </c>
      <c r="U17" s="130"/>
    </row>
    <row r="18">
      <c r="B18" s="42" t="s">
        <v>142</v>
      </c>
      <c r="E18" s="399">
        <v>16.45</v>
      </c>
      <c r="G18" s="167"/>
      <c r="H18" s="167"/>
      <c r="I18" s="167"/>
      <c r="J18" s="167"/>
      <c r="K18" s="167"/>
      <c r="L18" s="167"/>
      <c r="N18" s="392" t="s">
        <v>437</v>
      </c>
      <c r="O18" s="394" t="s">
        <v>554</v>
      </c>
      <c r="P18" s="394" t="s">
        <v>431</v>
      </c>
      <c r="Q18" s="393" t="str">
        <f t="shared" si="1"/>
        <v>#DIV/0!</v>
      </c>
      <c r="R18" s="393">
        <f>P18*E16</f>
        <v>0</v>
      </c>
      <c r="S18" s="393">
        <f t="shared" si="2"/>
        <v>-34.68</v>
      </c>
      <c r="T18" s="130" t="str">
        <f t="shared" si="3"/>
        <v>#DIV/0!</v>
      </c>
      <c r="U18" s="130"/>
    </row>
    <row r="19">
      <c r="G19" s="167"/>
      <c r="H19" s="167"/>
      <c r="I19" s="167"/>
      <c r="J19" s="167"/>
      <c r="K19" s="167"/>
      <c r="L19" s="167"/>
      <c r="N19" s="133" t="s">
        <v>430</v>
      </c>
      <c r="O19" s="394" t="s">
        <v>555</v>
      </c>
      <c r="P19" s="394" t="s">
        <v>431</v>
      </c>
      <c r="Q19" s="393" t="str">
        <f t="shared" si="1"/>
        <v>#DIV/0!</v>
      </c>
      <c r="R19" s="393">
        <f>P19*E16</f>
        <v>0</v>
      </c>
      <c r="S19" s="393">
        <f t="shared" si="2"/>
        <v>-34.69</v>
      </c>
      <c r="T19" s="130" t="str">
        <f t="shared" si="3"/>
        <v>#DIV/0!</v>
      </c>
      <c r="U19" s="130"/>
    </row>
    <row r="20">
      <c r="B20" s="398" t="s">
        <v>143</v>
      </c>
      <c r="E20" s="405">
        <f>SUM(E8/E16)</f>
        <v>150</v>
      </c>
      <c r="G20" s="167"/>
      <c r="H20" s="167"/>
      <c r="I20" s="167"/>
      <c r="J20" s="167"/>
      <c r="K20" s="167"/>
      <c r="L20" s="167"/>
      <c r="N20" s="133" t="s">
        <v>432</v>
      </c>
      <c r="O20" s="394" t="s">
        <v>556</v>
      </c>
      <c r="P20" s="394" t="s">
        <v>469</v>
      </c>
      <c r="Q20" s="393">
        <f t="shared" si="1"/>
        <v>17.45</v>
      </c>
      <c r="R20" s="393">
        <f>P20*E16</f>
        <v>72.48</v>
      </c>
      <c r="S20" s="393">
        <f t="shared" si="2"/>
        <v>37.58</v>
      </c>
      <c r="T20" s="130">
        <f t="shared" si="3"/>
        <v>0.5184878587</v>
      </c>
      <c r="U20" s="130"/>
    </row>
    <row r="21" ht="15.75" customHeight="1">
      <c r="G21" s="167"/>
      <c r="H21" s="167"/>
      <c r="I21" s="167"/>
      <c r="J21" s="167"/>
      <c r="K21" s="167"/>
      <c r="L21" s="167"/>
      <c r="N21" s="133" t="s">
        <v>433</v>
      </c>
      <c r="O21" s="394" t="s">
        <v>431</v>
      </c>
      <c r="P21" s="394" t="s">
        <v>431</v>
      </c>
      <c r="Q21" s="393" t="str">
        <f t="shared" si="1"/>
        <v>#DIV/0!</v>
      </c>
      <c r="R21" s="393">
        <f>P21*E16</f>
        <v>0</v>
      </c>
      <c r="S21" s="393">
        <f t="shared" si="2"/>
        <v>0</v>
      </c>
      <c r="T21" s="130" t="str">
        <f t="shared" si="3"/>
        <v>#DIV/0!</v>
      </c>
      <c r="U21" s="130"/>
    </row>
    <row r="22" ht="15.75" customHeight="1">
      <c r="B22" s="42" t="s">
        <v>144</v>
      </c>
      <c r="E22" s="403">
        <f>SUM(E18*E20)</f>
        <v>2467.5</v>
      </c>
      <c r="G22" s="167"/>
      <c r="H22" s="167"/>
      <c r="I22" s="167"/>
      <c r="J22" s="167"/>
      <c r="K22" s="167"/>
      <c r="L22" s="167"/>
      <c r="N22" s="133" t="s">
        <v>434</v>
      </c>
      <c r="O22" s="394" t="s">
        <v>431</v>
      </c>
      <c r="P22" s="394" t="s">
        <v>431</v>
      </c>
      <c r="Q22" s="393" t="str">
        <f t="shared" si="1"/>
        <v>#DIV/0!</v>
      </c>
      <c r="R22" s="393">
        <f>P22*E16</f>
        <v>0</v>
      </c>
      <c r="S22" s="393">
        <f t="shared" si="2"/>
        <v>0</v>
      </c>
      <c r="T22" s="130" t="str">
        <f t="shared" si="3"/>
        <v>#DIV/0!</v>
      </c>
      <c r="U22" s="130"/>
    </row>
    <row r="23" ht="15.75" customHeight="1">
      <c r="G23" s="167"/>
      <c r="H23" s="167"/>
      <c r="I23" s="167"/>
      <c r="J23" s="167"/>
      <c r="K23" s="167"/>
      <c r="L23" s="167"/>
      <c r="N23" s="133" t="s">
        <v>435</v>
      </c>
      <c r="O23" s="394" t="s">
        <v>431</v>
      </c>
      <c r="P23" s="394" t="s">
        <v>431</v>
      </c>
      <c r="Q23" s="393" t="str">
        <f t="shared" si="1"/>
        <v>#DIV/0!</v>
      </c>
      <c r="R23" s="393">
        <f>P23*E16</f>
        <v>0</v>
      </c>
      <c r="S23" s="393">
        <f t="shared" si="2"/>
        <v>0</v>
      </c>
      <c r="T23" s="130" t="str">
        <f t="shared" si="3"/>
        <v>#DIV/0!</v>
      </c>
      <c r="U23" s="130"/>
    </row>
    <row r="24" ht="15.75" customHeight="1">
      <c r="B24" s="398" t="s">
        <v>145</v>
      </c>
      <c r="E24" s="403">
        <f>SUM(E8-E22)</f>
        <v>2968.5</v>
      </c>
      <c r="G24" s="167"/>
      <c r="H24" s="167"/>
      <c r="I24" s="167"/>
      <c r="J24" s="167"/>
      <c r="K24" s="167"/>
      <c r="L24" s="167"/>
      <c r="N24" s="133" t="s">
        <v>436</v>
      </c>
      <c r="O24" s="394" t="s">
        <v>431</v>
      </c>
      <c r="P24" s="394" t="s">
        <v>431</v>
      </c>
      <c r="Q24" s="393" t="str">
        <f t="shared" si="1"/>
        <v>#DIV/0!</v>
      </c>
      <c r="R24" s="393">
        <f>P24*E16</f>
        <v>0</v>
      </c>
      <c r="S24" s="393">
        <f t="shared" si="2"/>
        <v>0</v>
      </c>
      <c r="T24" s="130" t="str">
        <f t="shared" si="3"/>
        <v>#DIV/0!</v>
      </c>
      <c r="U24" s="130"/>
    </row>
    <row r="25" ht="15.75" customHeight="1">
      <c r="G25" s="167"/>
      <c r="H25" s="167"/>
      <c r="I25" s="167"/>
      <c r="J25" s="167"/>
      <c r="K25" s="167"/>
      <c r="L25" s="167"/>
      <c r="N25" s="133" t="s">
        <v>437</v>
      </c>
      <c r="O25" s="394" t="s">
        <v>431</v>
      </c>
      <c r="P25" s="394" t="s">
        <v>431</v>
      </c>
      <c r="Q25" s="393" t="str">
        <f t="shared" si="1"/>
        <v>#DIV/0!</v>
      </c>
      <c r="R25" s="393">
        <f>P25*E16</f>
        <v>0</v>
      </c>
      <c r="S25" s="393">
        <f t="shared" si="2"/>
        <v>0</v>
      </c>
      <c r="T25" s="130" t="str">
        <f t="shared" si="3"/>
        <v>#DIV/0!</v>
      </c>
      <c r="U25" s="130"/>
    </row>
    <row r="26" ht="15.75" customHeight="1">
      <c r="B26" s="42" t="s">
        <v>146</v>
      </c>
      <c r="E26" s="400">
        <v>30.0</v>
      </c>
      <c r="G26" s="167"/>
      <c r="H26" s="167"/>
      <c r="I26" s="167"/>
      <c r="J26" s="167"/>
      <c r="K26" s="167"/>
      <c r="L26" s="167"/>
      <c r="N26" s="133" t="s">
        <v>430</v>
      </c>
      <c r="O26" s="394" t="s">
        <v>431</v>
      </c>
      <c r="P26" s="394" t="s">
        <v>431</v>
      </c>
      <c r="Q26" s="393" t="str">
        <f t="shared" si="1"/>
        <v>#DIV/0!</v>
      </c>
      <c r="R26" s="393">
        <f>P26*E16</f>
        <v>0</v>
      </c>
      <c r="S26" s="393">
        <f t="shared" si="2"/>
        <v>0</v>
      </c>
      <c r="T26" s="130" t="str">
        <f t="shared" si="3"/>
        <v>#DIV/0!</v>
      </c>
      <c r="U26" s="130"/>
    </row>
    <row r="27" ht="15.75" customHeight="1">
      <c r="G27" s="167"/>
      <c r="H27" s="167"/>
      <c r="I27" s="167"/>
      <c r="J27" s="167"/>
      <c r="K27" s="167"/>
      <c r="L27" s="167"/>
      <c r="N27" s="133" t="s">
        <v>432</v>
      </c>
      <c r="O27" s="394" t="s">
        <v>431</v>
      </c>
      <c r="P27" s="394" t="s">
        <v>431</v>
      </c>
      <c r="Q27" s="393" t="str">
        <f t="shared" si="1"/>
        <v>#DIV/0!</v>
      </c>
      <c r="R27" s="393">
        <f>P27*E16</f>
        <v>0</v>
      </c>
      <c r="S27" s="393">
        <f t="shared" si="2"/>
        <v>0</v>
      </c>
      <c r="T27" s="130" t="str">
        <f t="shared" si="3"/>
        <v>#DIV/0!</v>
      </c>
      <c r="U27" s="130"/>
    </row>
    <row r="28" ht="15.75" customHeight="1">
      <c r="B28" s="398" t="s">
        <v>147</v>
      </c>
      <c r="E28" s="403">
        <f>SUM(E22/E26)-E32</f>
        <v>69.9125</v>
      </c>
      <c r="G28" s="167"/>
      <c r="H28" s="167"/>
      <c r="I28" s="167"/>
      <c r="J28" s="167"/>
      <c r="K28" s="167"/>
      <c r="L28" s="167"/>
      <c r="N28" s="133" t="s">
        <v>433</v>
      </c>
      <c r="O28" s="394" t="s">
        <v>431</v>
      </c>
      <c r="P28" s="394" t="s">
        <v>431</v>
      </c>
      <c r="Q28" s="393" t="str">
        <f t="shared" si="1"/>
        <v>#DIV/0!</v>
      </c>
      <c r="R28" s="393">
        <f>P28*E16</f>
        <v>0</v>
      </c>
      <c r="S28" s="393">
        <f t="shared" si="2"/>
        <v>0</v>
      </c>
      <c r="T28" s="130" t="str">
        <f t="shared" si="3"/>
        <v>#DIV/0!</v>
      </c>
      <c r="U28" s="130"/>
    </row>
    <row r="29" ht="15.75" customHeight="1">
      <c r="G29" s="167"/>
      <c r="H29" s="167"/>
      <c r="I29" s="167"/>
      <c r="J29" s="167"/>
      <c r="K29" s="167"/>
      <c r="L29" s="167"/>
      <c r="N29" s="133" t="s">
        <v>434</v>
      </c>
      <c r="O29" s="394" t="s">
        <v>431</v>
      </c>
      <c r="P29" s="394" t="s">
        <v>431</v>
      </c>
      <c r="Q29" s="393" t="str">
        <f t="shared" si="1"/>
        <v>#DIV/0!</v>
      </c>
      <c r="R29" s="393">
        <f>P29*E16</f>
        <v>0</v>
      </c>
      <c r="S29" s="393">
        <f t="shared" si="2"/>
        <v>0</v>
      </c>
      <c r="T29" s="130" t="str">
        <f t="shared" si="3"/>
        <v>#DIV/0!</v>
      </c>
      <c r="U29" s="130"/>
    </row>
    <row r="30" ht="15.75" customHeight="1">
      <c r="B30" s="42" t="s">
        <v>148</v>
      </c>
      <c r="E30" s="406">
        <f>SUM(E20/E26)</f>
        <v>5</v>
      </c>
      <c r="G30" s="167"/>
      <c r="H30" s="167"/>
      <c r="I30" s="167"/>
      <c r="J30" s="167"/>
      <c r="K30" s="167"/>
      <c r="L30" s="167"/>
      <c r="N30" s="133" t="s">
        <v>435</v>
      </c>
      <c r="O30" s="394" t="s">
        <v>431</v>
      </c>
      <c r="P30" s="394" t="s">
        <v>431</v>
      </c>
      <c r="Q30" s="393" t="str">
        <f t="shared" si="1"/>
        <v>#DIV/0!</v>
      </c>
      <c r="R30" s="393">
        <f>P30*E16</f>
        <v>0</v>
      </c>
      <c r="S30" s="393">
        <f t="shared" si="2"/>
        <v>0</v>
      </c>
      <c r="T30" s="130" t="str">
        <f t="shared" si="3"/>
        <v>#DIV/0!</v>
      </c>
      <c r="U30" s="130"/>
    </row>
    <row r="31" ht="15.75" customHeight="1">
      <c r="G31" s="167"/>
      <c r="H31" s="167"/>
      <c r="I31" s="167"/>
      <c r="J31" s="167"/>
      <c r="K31" s="167"/>
      <c r="L31" s="167"/>
      <c r="N31" s="133" t="s">
        <v>436</v>
      </c>
      <c r="O31" s="394" t="s">
        <v>431</v>
      </c>
      <c r="P31" s="394" t="s">
        <v>431</v>
      </c>
      <c r="Q31" s="393" t="str">
        <f t="shared" si="1"/>
        <v>#DIV/0!</v>
      </c>
      <c r="R31" s="393">
        <f>P31*E16</f>
        <v>0</v>
      </c>
      <c r="S31" s="393">
        <f t="shared" si="2"/>
        <v>0</v>
      </c>
      <c r="T31" s="130" t="str">
        <f t="shared" si="3"/>
        <v>#DIV/0!</v>
      </c>
      <c r="U31" s="130"/>
    </row>
    <row r="32" ht="15.75" customHeight="1">
      <c r="B32" s="42" t="s">
        <v>486</v>
      </c>
      <c r="E32" s="373">
        <f>(E22*15%)/30</f>
        <v>12.3375</v>
      </c>
      <c r="N32" s="133" t="s">
        <v>437</v>
      </c>
      <c r="O32" s="394" t="s">
        <v>431</v>
      </c>
      <c r="P32" s="394" t="s">
        <v>431</v>
      </c>
      <c r="Q32" s="393" t="str">
        <f t="shared" si="1"/>
        <v>#DIV/0!</v>
      </c>
      <c r="R32" s="393">
        <f>P32*E16</f>
        <v>0</v>
      </c>
      <c r="S32" s="393">
        <f t="shared" si="2"/>
        <v>0</v>
      </c>
      <c r="T32" s="130" t="str">
        <f t="shared" si="3"/>
        <v>#DIV/0!</v>
      </c>
      <c r="U32" s="130"/>
    </row>
    <row r="33" ht="15.75" customHeight="1">
      <c r="N33" s="133" t="s">
        <v>430</v>
      </c>
      <c r="O33" s="394" t="s">
        <v>431</v>
      </c>
      <c r="P33" s="394" t="s">
        <v>431</v>
      </c>
      <c r="Q33" s="393" t="str">
        <f t="shared" si="1"/>
        <v>#DIV/0!</v>
      </c>
      <c r="R33" s="393">
        <f>P33*E16</f>
        <v>0</v>
      </c>
      <c r="S33" s="393">
        <f t="shared" si="2"/>
        <v>0</v>
      </c>
      <c r="T33" s="130" t="str">
        <f t="shared" si="3"/>
        <v>#DIV/0!</v>
      </c>
      <c r="U33" s="130"/>
    </row>
    <row r="34" ht="15.75" customHeight="1">
      <c r="N34" s="133" t="s">
        <v>432</v>
      </c>
      <c r="O34" s="394" t="s">
        <v>431</v>
      </c>
      <c r="P34" s="394" t="s">
        <v>431</v>
      </c>
      <c r="Q34" s="393" t="str">
        <f t="shared" si="1"/>
        <v>#DIV/0!</v>
      </c>
      <c r="R34" s="393">
        <f>P34*E16</f>
        <v>0</v>
      </c>
      <c r="S34" s="393">
        <f t="shared" si="2"/>
        <v>0</v>
      </c>
      <c r="T34" s="130" t="str">
        <f t="shared" si="3"/>
        <v>#DIV/0!</v>
      </c>
      <c r="U34" s="130"/>
    </row>
    <row r="35" ht="15.75" customHeight="1"/>
    <row r="36" ht="15.75" customHeight="1">
      <c r="B36" s="390" t="s">
        <v>439</v>
      </c>
      <c r="N36" s="391"/>
      <c r="U36" s="391" t="s">
        <v>425</v>
      </c>
    </row>
    <row r="37" ht="15.75" customHeight="1">
      <c r="N37" s="391" t="s">
        <v>109</v>
      </c>
      <c r="O37" s="391" t="s">
        <v>110</v>
      </c>
      <c r="P37" s="391" t="s">
        <v>427</v>
      </c>
      <c r="Q37" s="391" t="s">
        <v>428</v>
      </c>
      <c r="R37" s="391" t="s">
        <v>429</v>
      </c>
      <c r="S37" s="391" t="s">
        <v>29</v>
      </c>
      <c r="T37" s="391" t="s">
        <v>407</v>
      </c>
    </row>
    <row r="38" ht="15.75" customHeight="1">
      <c r="N38" s="392" t="s">
        <v>433</v>
      </c>
      <c r="O38" s="394" t="s">
        <v>431</v>
      </c>
      <c r="P38" s="394" t="s">
        <v>431</v>
      </c>
      <c r="Q38" s="393" t="str">
        <f t="shared" ref="Q38:Q67" si="4">O38/P38</f>
        <v>#DIV/0!</v>
      </c>
      <c r="R38" s="393">
        <f>P38*E49</f>
        <v>0</v>
      </c>
      <c r="S38" s="393">
        <f t="shared" ref="S38:S68" si="5">R38-O38</f>
        <v>0</v>
      </c>
      <c r="T38" s="130" t="str">
        <f t="shared" ref="T38:T68" si="6">S38/R38</f>
        <v>#DIV/0!</v>
      </c>
      <c r="U38" s="130"/>
    </row>
    <row r="39" ht="15.75" customHeight="1">
      <c r="B39" s="395" t="s">
        <v>124</v>
      </c>
      <c r="G39" s="396"/>
      <c r="H39" s="397" t="s">
        <v>125</v>
      </c>
      <c r="N39" s="392" t="s">
        <v>434</v>
      </c>
      <c r="O39" s="394" t="s">
        <v>431</v>
      </c>
      <c r="P39" s="394" t="s">
        <v>431</v>
      </c>
      <c r="Q39" s="393" t="str">
        <f t="shared" si="4"/>
        <v>#DIV/0!</v>
      </c>
      <c r="R39" s="393">
        <f>P39*E49</f>
        <v>0</v>
      </c>
      <c r="S39" s="393">
        <f t="shared" si="5"/>
        <v>0</v>
      </c>
      <c r="T39" s="130" t="str">
        <f t="shared" si="6"/>
        <v>#DIV/0!</v>
      </c>
      <c r="U39" s="130"/>
    </row>
    <row r="40" ht="15.75" customHeight="1">
      <c r="G40" s="396"/>
      <c r="N40" s="392" t="s">
        <v>435</v>
      </c>
      <c r="O40" s="394" t="s">
        <v>431</v>
      </c>
      <c r="P40" s="394" t="s">
        <v>431</v>
      </c>
      <c r="Q40" s="393" t="str">
        <f t="shared" si="4"/>
        <v>#DIV/0!</v>
      </c>
      <c r="R40" s="393">
        <f>P40*E49</f>
        <v>0</v>
      </c>
      <c r="S40" s="393">
        <f t="shared" si="5"/>
        <v>0</v>
      </c>
      <c r="T40" s="130" t="str">
        <f t="shared" si="6"/>
        <v>#DIV/0!</v>
      </c>
      <c r="U40" s="130"/>
    </row>
    <row r="41" ht="15.75" customHeight="1">
      <c r="B41" s="398" t="s">
        <v>128</v>
      </c>
      <c r="E41" s="399">
        <v>5436.0</v>
      </c>
      <c r="G41" s="167"/>
      <c r="H41" s="42" t="s">
        <v>129</v>
      </c>
      <c r="K41" s="399">
        <v>0.0</v>
      </c>
      <c r="N41" s="392" t="s">
        <v>436</v>
      </c>
      <c r="O41" s="394" t="s">
        <v>431</v>
      </c>
      <c r="P41" s="394" t="s">
        <v>431</v>
      </c>
      <c r="Q41" s="393" t="str">
        <f t="shared" si="4"/>
        <v>#DIV/0!</v>
      </c>
      <c r="R41" s="393">
        <f>P41*E49</f>
        <v>0</v>
      </c>
      <c r="S41" s="393">
        <f t="shared" si="5"/>
        <v>0</v>
      </c>
      <c r="T41" s="130" t="str">
        <f t="shared" si="6"/>
        <v>#DIV/0!</v>
      </c>
      <c r="U41" s="130"/>
    </row>
    <row r="42" ht="15.75" customHeight="1">
      <c r="G42" s="167"/>
      <c r="N42" s="392" t="s">
        <v>437</v>
      </c>
      <c r="O42" s="394" t="s">
        <v>431</v>
      </c>
      <c r="P42" s="394" t="s">
        <v>431</v>
      </c>
      <c r="Q42" s="393" t="str">
        <f t="shared" si="4"/>
        <v>#DIV/0!</v>
      </c>
      <c r="R42" s="393">
        <f>P42*E49</f>
        <v>0</v>
      </c>
      <c r="S42" s="393">
        <f t="shared" si="5"/>
        <v>0</v>
      </c>
      <c r="T42" s="130" t="str">
        <f t="shared" si="6"/>
        <v>#DIV/0!</v>
      </c>
      <c r="U42" s="130"/>
    </row>
    <row r="43" ht="15.75" customHeight="1">
      <c r="B43" s="42" t="s">
        <v>132</v>
      </c>
      <c r="E43" s="399">
        <v>47.0</v>
      </c>
      <c r="G43" s="167"/>
      <c r="H43" s="398" t="s">
        <v>133</v>
      </c>
      <c r="K43" s="400">
        <v>0.0</v>
      </c>
      <c r="N43" s="392" t="s">
        <v>430</v>
      </c>
      <c r="O43" s="394" t="s">
        <v>431</v>
      </c>
      <c r="P43" s="394" t="s">
        <v>431</v>
      </c>
      <c r="Q43" s="393" t="str">
        <f t="shared" si="4"/>
        <v>#DIV/0!</v>
      </c>
      <c r="R43" s="393">
        <f>P43*E49</f>
        <v>0</v>
      </c>
      <c r="S43" s="393">
        <f t="shared" si="5"/>
        <v>0</v>
      </c>
      <c r="T43" s="130" t="str">
        <f t="shared" si="6"/>
        <v>#DIV/0!</v>
      </c>
      <c r="U43" s="130"/>
    </row>
    <row r="44" ht="15.75" customHeight="1">
      <c r="G44" s="167"/>
      <c r="N44" s="392" t="s">
        <v>432</v>
      </c>
      <c r="O44" s="394" t="s">
        <v>431</v>
      </c>
      <c r="P44" s="394" t="s">
        <v>431</v>
      </c>
      <c r="Q44" s="393" t="str">
        <f t="shared" si="4"/>
        <v>#DIV/0!</v>
      </c>
      <c r="R44" s="393">
        <f>P44*E49</f>
        <v>0</v>
      </c>
      <c r="S44" s="393">
        <f t="shared" si="5"/>
        <v>0</v>
      </c>
      <c r="T44" s="130" t="str">
        <f t="shared" si="6"/>
        <v>#DIV/0!</v>
      </c>
      <c r="U44" s="130"/>
    </row>
    <row r="45" ht="15.75" customHeight="1">
      <c r="B45" s="398" t="s">
        <v>136</v>
      </c>
      <c r="E45" s="399">
        <f>4.24+2.49</f>
        <v>6.73</v>
      </c>
      <c r="G45" s="167"/>
      <c r="H45" s="42" t="s">
        <v>137</v>
      </c>
      <c r="K45" s="401" t="str">
        <f>SUM(K41/K43)</f>
        <v>#DIV/0!</v>
      </c>
      <c r="N45" s="133" t="s">
        <v>433</v>
      </c>
      <c r="O45" s="394" t="s">
        <v>431</v>
      </c>
      <c r="P45" s="394" t="s">
        <v>431</v>
      </c>
      <c r="Q45" s="393" t="str">
        <f t="shared" si="4"/>
        <v>#DIV/0!</v>
      </c>
      <c r="R45" s="393">
        <f>P45*E49</f>
        <v>0</v>
      </c>
      <c r="S45" s="393">
        <f t="shared" si="5"/>
        <v>0</v>
      </c>
      <c r="T45" s="130" t="str">
        <f t="shared" si="6"/>
        <v>#DIV/0!</v>
      </c>
      <c r="U45" s="130"/>
    </row>
    <row r="46" ht="15.75" customHeight="1">
      <c r="G46" s="167"/>
      <c r="N46" s="133" t="s">
        <v>434</v>
      </c>
      <c r="O46" s="394" t="s">
        <v>431</v>
      </c>
      <c r="P46" s="394" t="s">
        <v>431</v>
      </c>
      <c r="Q46" s="393" t="str">
        <f t="shared" si="4"/>
        <v>#DIV/0!</v>
      </c>
      <c r="R46" s="393">
        <f>P46*E49</f>
        <v>0</v>
      </c>
      <c r="S46" s="393">
        <f t="shared" si="5"/>
        <v>0</v>
      </c>
      <c r="T46" s="130" t="str">
        <f t="shared" si="6"/>
        <v>#DIV/0!</v>
      </c>
      <c r="U46" s="130"/>
    </row>
    <row r="47" ht="15.75" customHeight="1">
      <c r="B47" s="42" t="s">
        <v>138</v>
      </c>
      <c r="E47" s="399">
        <f>4.03</f>
        <v>4.03</v>
      </c>
      <c r="G47" s="167"/>
      <c r="H47" s="398" t="s">
        <v>139</v>
      </c>
      <c r="K47" s="401">
        <f>SUM(K43*E49)</f>
        <v>0</v>
      </c>
      <c r="N47" s="133" t="s">
        <v>435</v>
      </c>
      <c r="O47" s="394" t="s">
        <v>431</v>
      </c>
      <c r="P47" s="394" t="s">
        <v>431</v>
      </c>
      <c r="Q47" s="393" t="str">
        <f t="shared" si="4"/>
        <v>#DIV/0!</v>
      </c>
      <c r="R47" s="393">
        <f>P47*E49</f>
        <v>0</v>
      </c>
      <c r="S47" s="393">
        <f t="shared" si="5"/>
        <v>0</v>
      </c>
      <c r="T47" s="130" t="str">
        <f t="shared" si="6"/>
        <v>#DIV/0!</v>
      </c>
      <c r="U47" s="130"/>
    </row>
    <row r="48" ht="15.75" customHeight="1">
      <c r="G48" s="167"/>
      <c r="N48" s="133" t="s">
        <v>436</v>
      </c>
      <c r="O48" s="394" t="s">
        <v>431</v>
      </c>
      <c r="P48" s="394" t="s">
        <v>431</v>
      </c>
      <c r="Q48" s="393" t="str">
        <f t="shared" si="4"/>
        <v>#DIV/0!</v>
      </c>
      <c r="R48" s="393">
        <f>P48*E49</f>
        <v>0</v>
      </c>
      <c r="S48" s="393">
        <f t="shared" si="5"/>
        <v>0</v>
      </c>
      <c r="T48" s="130" t="str">
        <f t="shared" si="6"/>
        <v>#DIV/0!</v>
      </c>
      <c r="U48" s="130"/>
    </row>
    <row r="49" ht="15.75" customHeight="1">
      <c r="B49" s="398" t="s">
        <v>140</v>
      </c>
      <c r="E49" s="403">
        <f>SUM(E43-E45-E47)</f>
        <v>36.24</v>
      </c>
      <c r="G49" s="167"/>
      <c r="H49" s="42" t="s">
        <v>141</v>
      </c>
      <c r="K49" s="404">
        <f>SUM(K47-K41)</f>
        <v>0</v>
      </c>
      <c r="N49" s="133" t="s">
        <v>437</v>
      </c>
      <c r="O49" s="394" t="s">
        <v>431</v>
      </c>
      <c r="P49" s="394" t="s">
        <v>431</v>
      </c>
      <c r="Q49" s="393" t="str">
        <f t="shared" si="4"/>
        <v>#DIV/0!</v>
      </c>
      <c r="R49" s="393">
        <f>P49*E49</f>
        <v>0</v>
      </c>
      <c r="S49" s="393">
        <f t="shared" si="5"/>
        <v>0</v>
      </c>
      <c r="T49" s="130" t="str">
        <f t="shared" si="6"/>
        <v>#DIV/0!</v>
      </c>
      <c r="U49" s="130"/>
    </row>
    <row r="50" ht="15.75" customHeight="1">
      <c r="G50" s="167"/>
      <c r="N50" s="133" t="s">
        <v>430</v>
      </c>
      <c r="O50" s="394" t="s">
        <v>431</v>
      </c>
      <c r="P50" s="394" t="s">
        <v>431</v>
      </c>
      <c r="Q50" s="393" t="str">
        <f t="shared" si="4"/>
        <v>#DIV/0!</v>
      </c>
      <c r="R50" s="393">
        <f>P50*E49</f>
        <v>0</v>
      </c>
      <c r="S50" s="393">
        <f t="shared" si="5"/>
        <v>0</v>
      </c>
      <c r="T50" s="130" t="str">
        <f t="shared" si="6"/>
        <v>#DIV/0!</v>
      </c>
      <c r="U50" s="130"/>
    </row>
    <row r="51" ht="15.75" customHeight="1">
      <c r="B51" s="42" t="s">
        <v>142</v>
      </c>
      <c r="E51" s="399">
        <v>16.45</v>
      </c>
      <c r="G51" s="167"/>
      <c r="H51" s="167"/>
      <c r="I51" s="167"/>
      <c r="J51" s="167"/>
      <c r="K51" s="167"/>
      <c r="L51" s="167"/>
      <c r="N51" s="133" t="s">
        <v>432</v>
      </c>
      <c r="O51" s="394" t="s">
        <v>431</v>
      </c>
      <c r="P51" s="394" t="s">
        <v>431</v>
      </c>
      <c r="Q51" s="393" t="str">
        <f t="shared" si="4"/>
        <v>#DIV/0!</v>
      </c>
      <c r="R51" s="393">
        <f>P51*E49</f>
        <v>0</v>
      </c>
      <c r="S51" s="393">
        <f t="shared" si="5"/>
        <v>0</v>
      </c>
      <c r="T51" s="130" t="str">
        <f t="shared" si="6"/>
        <v>#DIV/0!</v>
      </c>
      <c r="U51" s="130"/>
    </row>
    <row r="52" ht="15.75" customHeight="1">
      <c r="G52" s="167"/>
      <c r="H52" s="167"/>
      <c r="I52" s="167"/>
      <c r="J52" s="167"/>
      <c r="K52" s="167"/>
      <c r="L52" s="167"/>
      <c r="N52" s="133" t="s">
        <v>433</v>
      </c>
      <c r="O52" s="394" t="s">
        <v>431</v>
      </c>
      <c r="P52" s="394" t="s">
        <v>431</v>
      </c>
      <c r="Q52" s="393" t="str">
        <f t="shared" si="4"/>
        <v>#DIV/0!</v>
      </c>
      <c r="R52" s="393">
        <f>P52*E49</f>
        <v>0</v>
      </c>
      <c r="S52" s="393">
        <f t="shared" si="5"/>
        <v>0</v>
      </c>
      <c r="T52" s="130" t="str">
        <f t="shared" si="6"/>
        <v>#DIV/0!</v>
      </c>
      <c r="U52" s="130"/>
    </row>
    <row r="53" ht="15.75" customHeight="1">
      <c r="B53" s="398" t="s">
        <v>143</v>
      </c>
      <c r="E53" s="405">
        <f>SUM(E41/E49)</f>
        <v>150</v>
      </c>
      <c r="G53" s="167"/>
      <c r="H53" s="167"/>
      <c r="I53" s="167"/>
      <c r="J53" s="167"/>
      <c r="K53" s="167"/>
      <c r="L53" s="167"/>
      <c r="N53" s="133" t="s">
        <v>434</v>
      </c>
      <c r="O53" s="394" t="s">
        <v>431</v>
      </c>
      <c r="P53" s="394" t="s">
        <v>431</v>
      </c>
      <c r="Q53" s="393" t="str">
        <f t="shared" si="4"/>
        <v>#DIV/0!</v>
      </c>
      <c r="R53" s="393">
        <f>P53*E49</f>
        <v>0</v>
      </c>
      <c r="S53" s="393">
        <f t="shared" si="5"/>
        <v>0</v>
      </c>
      <c r="T53" s="130" t="str">
        <f t="shared" si="6"/>
        <v>#DIV/0!</v>
      </c>
      <c r="U53" s="130"/>
    </row>
    <row r="54" ht="15.75" customHeight="1">
      <c r="G54" s="167"/>
      <c r="H54" s="167"/>
      <c r="I54" s="167"/>
      <c r="J54" s="167"/>
      <c r="K54" s="167"/>
      <c r="L54" s="167"/>
      <c r="N54" s="133" t="s">
        <v>435</v>
      </c>
      <c r="O54" s="394" t="s">
        <v>431</v>
      </c>
      <c r="P54" s="394" t="s">
        <v>431</v>
      </c>
      <c r="Q54" s="393" t="str">
        <f t="shared" si="4"/>
        <v>#DIV/0!</v>
      </c>
      <c r="R54" s="393">
        <f>P54*E49</f>
        <v>0</v>
      </c>
      <c r="S54" s="393">
        <f t="shared" si="5"/>
        <v>0</v>
      </c>
      <c r="T54" s="130" t="str">
        <f t="shared" si="6"/>
        <v>#DIV/0!</v>
      </c>
      <c r="U54" s="130"/>
    </row>
    <row r="55" ht="15.75" customHeight="1">
      <c r="B55" s="42" t="s">
        <v>144</v>
      </c>
      <c r="E55" s="403">
        <f>SUM(E51*E53)</f>
        <v>2467.5</v>
      </c>
      <c r="G55" s="167"/>
      <c r="H55" s="167"/>
      <c r="I55" s="167"/>
      <c r="J55" s="167"/>
      <c r="K55" s="167"/>
      <c r="L55" s="167"/>
      <c r="N55" s="133" t="s">
        <v>436</v>
      </c>
      <c r="O55" s="394" t="s">
        <v>431</v>
      </c>
      <c r="P55" s="394" t="s">
        <v>431</v>
      </c>
      <c r="Q55" s="393" t="str">
        <f t="shared" si="4"/>
        <v>#DIV/0!</v>
      </c>
      <c r="R55" s="393">
        <f>P55*E49</f>
        <v>0</v>
      </c>
      <c r="S55" s="393">
        <f t="shared" si="5"/>
        <v>0</v>
      </c>
      <c r="T55" s="130" t="str">
        <f t="shared" si="6"/>
        <v>#DIV/0!</v>
      </c>
      <c r="U55" s="130"/>
    </row>
    <row r="56" ht="15.75" customHeight="1">
      <c r="G56" s="167"/>
      <c r="H56" s="167"/>
      <c r="I56" s="167"/>
      <c r="J56" s="167"/>
      <c r="K56" s="167"/>
      <c r="L56" s="167"/>
      <c r="N56" s="133" t="s">
        <v>437</v>
      </c>
      <c r="O56" s="394" t="s">
        <v>431</v>
      </c>
      <c r="P56" s="394" t="s">
        <v>431</v>
      </c>
      <c r="Q56" s="393" t="str">
        <f t="shared" si="4"/>
        <v>#DIV/0!</v>
      </c>
      <c r="R56" s="393">
        <f>P56*E49</f>
        <v>0</v>
      </c>
      <c r="S56" s="393">
        <f t="shared" si="5"/>
        <v>0</v>
      </c>
      <c r="T56" s="130" t="str">
        <f t="shared" si="6"/>
        <v>#DIV/0!</v>
      </c>
      <c r="U56" s="130"/>
    </row>
    <row r="57" ht="15.75" customHeight="1">
      <c r="B57" s="398" t="s">
        <v>145</v>
      </c>
      <c r="E57" s="403">
        <f>SUM(E41-E55)</f>
        <v>2968.5</v>
      </c>
      <c r="G57" s="167"/>
      <c r="H57" s="167"/>
      <c r="I57" s="167"/>
      <c r="J57" s="167"/>
      <c r="K57" s="167"/>
      <c r="L57" s="167"/>
      <c r="N57" s="133" t="s">
        <v>430</v>
      </c>
      <c r="O57" s="394" t="s">
        <v>431</v>
      </c>
      <c r="P57" s="394" t="s">
        <v>431</v>
      </c>
      <c r="Q57" s="393" t="str">
        <f t="shared" si="4"/>
        <v>#DIV/0!</v>
      </c>
      <c r="R57" s="393">
        <f>P57*E49</f>
        <v>0</v>
      </c>
      <c r="S57" s="393">
        <f t="shared" si="5"/>
        <v>0</v>
      </c>
      <c r="T57" s="130" t="str">
        <f t="shared" si="6"/>
        <v>#DIV/0!</v>
      </c>
      <c r="U57" s="130"/>
    </row>
    <row r="58" ht="15.75" customHeight="1">
      <c r="G58" s="167"/>
      <c r="H58" s="167"/>
      <c r="I58" s="167"/>
      <c r="J58" s="167"/>
      <c r="K58" s="167"/>
      <c r="L58" s="167"/>
      <c r="N58" s="133" t="s">
        <v>432</v>
      </c>
      <c r="O58" s="394" t="s">
        <v>431</v>
      </c>
      <c r="P58" s="394" t="s">
        <v>431</v>
      </c>
      <c r="Q58" s="393" t="str">
        <f t="shared" si="4"/>
        <v>#DIV/0!</v>
      </c>
      <c r="R58" s="393">
        <f>P58*E49</f>
        <v>0</v>
      </c>
      <c r="S58" s="393">
        <f t="shared" si="5"/>
        <v>0</v>
      </c>
      <c r="T58" s="130" t="str">
        <f t="shared" si="6"/>
        <v>#DIV/0!</v>
      </c>
      <c r="U58" s="130"/>
    </row>
    <row r="59" ht="15.75" customHeight="1">
      <c r="B59" s="42" t="s">
        <v>146</v>
      </c>
      <c r="E59" s="400">
        <v>30.0</v>
      </c>
      <c r="G59" s="167"/>
      <c r="H59" s="167"/>
      <c r="I59" s="167"/>
      <c r="J59" s="167"/>
      <c r="K59" s="167"/>
      <c r="L59" s="167"/>
      <c r="N59" s="133" t="s">
        <v>433</v>
      </c>
      <c r="O59" s="394" t="s">
        <v>431</v>
      </c>
      <c r="P59" s="394" t="s">
        <v>431</v>
      </c>
      <c r="Q59" s="393" t="str">
        <f t="shared" si="4"/>
        <v>#DIV/0!</v>
      </c>
      <c r="R59" s="393">
        <f>P59*E49</f>
        <v>0</v>
      </c>
      <c r="S59" s="393">
        <f t="shared" si="5"/>
        <v>0</v>
      </c>
      <c r="T59" s="130" t="str">
        <f t="shared" si="6"/>
        <v>#DIV/0!</v>
      </c>
      <c r="U59" s="130"/>
    </row>
    <row r="60" ht="15.75" customHeight="1">
      <c r="G60" s="167"/>
      <c r="H60" s="167"/>
      <c r="I60" s="167"/>
      <c r="J60" s="167"/>
      <c r="K60" s="167"/>
      <c r="L60" s="167"/>
      <c r="N60" s="133" t="s">
        <v>434</v>
      </c>
      <c r="O60" s="394" t="s">
        <v>431</v>
      </c>
      <c r="P60" s="394" t="s">
        <v>431</v>
      </c>
      <c r="Q60" s="393" t="str">
        <f t="shared" si="4"/>
        <v>#DIV/0!</v>
      </c>
      <c r="R60" s="393">
        <f>P60*E49</f>
        <v>0</v>
      </c>
      <c r="S60" s="393">
        <f t="shared" si="5"/>
        <v>0</v>
      </c>
      <c r="T60" s="130" t="str">
        <f t="shared" si="6"/>
        <v>#DIV/0!</v>
      </c>
      <c r="U60" s="130"/>
    </row>
    <row r="61" ht="15.75" customHeight="1">
      <c r="B61" s="398" t="s">
        <v>147</v>
      </c>
      <c r="E61" s="403">
        <f>SUM(E55/E59)-E65</f>
        <v>69.9125</v>
      </c>
      <c r="G61" s="167"/>
      <c r="H61" s="167"/>
      <c r="I61" s="167"/>
      <c r="J61" s="167"/>
      <c r="K61" s="167"/>
      <c r="L61" s="167"/>
      <c r="N61" s="133" t="s">
        <v>435</v>
      </c>
      <c r="O61" s="394" t="s">
        <v>431</v>
      </c>
      <c r="P61" s="394" t="s">
        <v>431</v>
      </c>
      <c r="Q61" s="393" t="str">
        <f t="shared" si="4"/>
        <v>#DIV/0!</v>
      </c>
      <c r="R61" s="393">
        <f>P61*E49</f>
        <v>0</v>
      </c>
      <c r="S61" s="393">
        <f t="shared" si="5"/>
        <v>0</v>
      </c>
      <c r="T61" s="130" t="str">
        <f t="shared" si="6"/>
        <v>#DIV/0!</v>
      </c>
      <c r="U61" s="130"/>
    </row>
    <row r="62" ht="15.75" customHeight="1">
      <c r="G62" s="167"/>
      <c r="H62" s="167"/>
      <c r="I62" s="167"/>
      <c r="J62" s="167"/>
      <c r="K62" s="167"/>
      <c r="L62" s="167"/>
      <c r="N62" s="133" t="s">
        <v>436</v>
      </c>
      <c r="O62" s="394" t="s">
        <v>431</v>
      </c>
      <c r="P62" s="394" t="s">
        <v>431</v>
      </c>
      <c r="Q62" s="393" t="str">
        <f t="shared" si="4"/>
        <v>#DIV/0!</v>
      </c>
      <c r="R62" s="393">
        <f>P62*E49</f>
        <v>0</v>
      </c>
      <c r="S62" s="393">
        <f t="shared" si="5"/>
        <v>0</v>
      </c>
      <c r="T62" s="130" t="str">
        <f t="shared" si="6"/>
        <v>#DIV/0!</v>
      </c>
      <c r="U62" s="130"/>
    </row>
    <row r="63" ht="15.75" customHeight="1">
      <c r="B63" s="42" t="s">
        <v>148</v>
      </c>
      <c r="E63" s="406">
        <f>SUM(E53/E59)</f>
        <v>5</v>
      </c>
      <c r="G63" s="167"/>
      <c r="H63" s="167"/>
      <c r="I63" s="167"/>
      <c r="J63" s="167"/>
      <c r="K63" s="167"/>
      <c r="L63" s="167"/>
      <c r="N63" s="133" t="s">
        <v>437</v>
      </c>
      <c r="O63" s="394" t="s">
        <v>431</v>
      </c>
      <c r="P63" s="394" t="s">
        <v>431</v>
      </c>
      <c r="Q63" s="393" t="str">
        <f t="shared" si="4"/>
        <v>#DIV/0!</v>
      </c>
      <c r="R63" s="393">
        <f>P63*E49</f>
        <v>0</v>
      </c>
      <c r="S63" s="393">
        <f t="shared" si="5"/>
        <v>0</v>
      </c>
      <c r="T63" s="130" t="str">
        <f t="shared" si="6"/>
        <v>#DIV/0!</v>
      </c>
      <c r="U63" s="130"/>
    </row>
    <row r="64" ht="15.75" customHeight="1">
      <c r="G64" s="167"/>
      <c r="H64" s="167"/>
      <c r="I64" s="167"/>
      <c r="J64" s="167"/>
      <c r="K64" s="167"/>
      <c r="L64" s="167"/>
      <c r="N64" s="133" t="s">
        <v>430</v>
      </c>
      <c r="O64" s="394" t="s">
        <v>431</v>
      </c>
      <c r="P64" s="394" t="s">
        <v>431</v>
      </c>
      <c r="Q64" s="393" t="str">
        <f t="shared" si="4"/>
        <v>#DIV/0!</v>
      </c>
      <c r="R64" s="393">
        <f>P64*E49</f>
        <v>0</v>
      </c>
      <c r="S64" s="393">
        <f t="shared" si="5"/>
        <v>0</v>
      </c>
      <c r="T64" s="130" t="str">
        <f t="shared" si="6"/>
        <v>#DIV/0!</v>
      </c>
      <c r="U64" s="130"/>
    </row>
    <row r="65" ht="15.75" customHeight="1">
      <c r="B65" s="42" t="s">
        <v>486</v>
      </c>
      <c r="E65" s="373">
        <f>(E55*15%)/30</f>
        <v>12.3375</v>
      </c>
      <c r="N65" s="133" t="s">
        <v>432</v>
      </c>
      <c r="O65" s="394" t="s">
        <v>431</v>
      </c>
      <c r="P65" s="394" t="s">
        <v>431</v>
      </c>
      <c r="Q65" s="393" t="str">
        <f t="shared" si="4"/>
        <v>#DIV/0!</v>
      </c>
      <c r="R65" s="393">
        <f>P65*E49</f>
        <v>0</v>
      </c>
      <c r="S65" s="393">
        <f t="shared" si="5"/>
        <v>0</v>
      </c>
      <c r="T65" s="130" t="str">
        <f t="shared" si="6"/>
        <v>#DIV/0!</v>
      </c>
      <c r="U65" s="130"/>
    </row>
    <row r="66" ht="15.75" customHeight="1">
      <c r="N66" s="133" t="s">
        <v>433</v>
      </c>
      <c r="O66" s="394" t="s">
        <v>431</v>
      </c>
      <c r="P66" s="394" t="s">
        <v>431</v>
      </c>
      <c r="Q66" s="393" t="str">
        <f t="shared" si="4"/>
        <v>#DIV/0!</v>
      </c>
      <c r="R66" s="393">
        <f>P66*E49</f>
        <v>0</v>
      </c>
      <c r="S66" s="393">
        <f t="shared" si="5"/>
        <v>0</v>
      </c>
      <c r="T66" s="130" t="str">
        <f t="shared" si="6"/>
        <v>#DIV/0!</v>
      </c>
      <c r="U66" s="130"/>
    </row>
    <row r="67" ht="15.75" customHeight="1">
      <c r="N67" s="133" t="s">
        <v>434</v>
      </c>
      <c r="O67" s="394" t="s">
        <v>431</v>
      </c>
      <c r="P67" s="394" t="s">
        <v>431</v>
      </c>
      <c r="Q67" s="393" t="str">
        <f t="shared" si="4"/>
        <v>#DIV/0!</v>
      </c>
      <c r="R67" s="393">
        <f>P67*E49</f>
        <v>0</v>
      </c>
      <c r="S67" s="393">
        <f t="shared" si="5"/>
        <v>0</v>
      </c>
      <c r="T67" s="130" t="str">
        <f t="shared" si="6"/>
        <v>#DIV/0!</v>
      </c>
      <c r="U67" s="130"/>
    </row>
    <row r="68" ht="15.75" customHeight="1">
      <c r="N68" s="133" t="s">
        <v>435</v>
      </c>
      <c r="O68" s="394" t="s">
        <v>431</v>
      </c>
      <c r="P68" s="394" t="s">
        <v>431</v>
      </c>
      <c r="Q68" s="393" t="str">
        <f>O68/P16</f>
        <v>#DIV/0!</v>
      </c>
      <c r="R68" s="393">
        <f>P68*E49</f>
        <v>0</v>
      </c>
      <c r="S68" s="393">
        <f t="shared" si="5"/>
        <v>0</v>
      </c>
      <c r="T68" s="130" t="str">
        <f t="shared" si="6"/>
        <v>#DIV/0!</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5.14"/>
    <col customWidth="1" min="3" max="3" width="38.57"/>
    <col customWidth="1" min="4" max="4" width="31.43"/>
    <col customWidth="1" min="5" max="13" width="18.71"/>
  </cols>
  <sheetData>
    <row r="1" ht="15.75" customHeight="1">
      <c r="A1" s="420" t="s">
        <v>557</v>
      </c>
      <c r="B1" s="421"/>
      <c r="C1" s="422"/>
      <c r="D1" s="422"/>
      <c r="E1" s="422"/>
      <c r="F1" s="422"/>
      <c r="G1" s="422"/>
      <c r="H1" s="422"/>
      <c r="I1" s="423" t="s">
        <v>558</v>
      </c>
      <c r="J1" s="423"/>
      <c r="K1" s="424">
        <v>0.069</v>
      </c>
      <c r="L1" s="423" t="s">
        <v>559</v>
      </c>
      <c r="M1" s="424">
        <v>0.0</v>
      </c>
      <c r="N1" s="425"/>
      <c r="O1" s="422"/>
      <c r="P1" s="422"/>
      <c r="Q1" s="422"/>
      <c r="R1" s="422"/>
      <c r="S1" s="426"/>
      <c r="T1" s="426"/>
      <c r="U1" s="426"/>
      <c r="V1" s="426"/>
      <c r="W1" s="426"/>
      <c r="X1" s="426"/>
      <c r="Y1" s="426"/>
      <c r="Z1" s="426"/>
      <c r="AA1" s="426"/>
    </row>
    <row r="2" ht="15.75" customHeight="1">
      <c r="A2" s="427" t="s">
        <v>560</v>
      </c>
      <c r="B2" s="427"/>
      <c r="C2" s="428" t="s">
        <v>402</v>
      </c>
      <c r="D2" s="428" t="s">
        <v>401</v>
      </c>
      <c r="E2" s="427" t="s">
        <v>561</v>
      </c>
      <c r="F2" s="427" t="s">
        <v>562</v>
      </c>
      <c r="G2" s="427" t="s">
        <v>563</v>
      </c>
      <c r="H2" s="428" t="s">
        <v>77</v>
      </c>
      <c r="I2" s="427" t="s">
        <v>380</v>
      </c>
      <c r="J2" s="429" t="s">
        <v>110</v>
      </c>
      <c r="K2" s="427" t="s">
        <v>564</v>
      </c>
      <c r="L2" s="429" t="s">
        <v>565</v>
      </c>
      <c r="M2" s="429" t="s">
        <v>566</v>
      </c>
      <c r="N2" s="430" t="s">
        <v>567</v>
      </c>
      <c r="O2" s="429"/>
      <c r="P2" s="429"/>
      <c r="Q2" s="429"/>
      <c r="R2" s="429"/>
      <c r="S2" s="426"/>
      <c r="T2" s="426"/>
      <c r="U2" s="426"/>
      <c r="V2" s="426"/>
      <c r="W2" s="426"/>
      <c r="X2" s="426"/>
      <c r="Y2" s="426"/>
      <c r="Z2" s="426"/>
      <c r="AA2" s="426"/>
    </row>
    <row r="3" ht="15.75" customHeight="1">
      <c r="A3" s="431" t="s">
        <v>568</v>
      </c>
      <c r="B3" s="432"/>
      <c r="C3" s="432"/>
      <c r="D3" s="432"/>
      <c r="E3" s="433"/>
      <c r="F3" s="432"/>
      <c r="G3" s="432"/>
      <c r="H3" s="434"/>
      <c r="I3" s="432"/>
      <c r="J3" s="432"/>
      <c r="K3" s="435">
        <f>SUM(K4:K7)</f>
        <v>0</v>
      </c>
      <c r="L3" s="432"/>
      <c r="M3" s="434"/>
      <c r="N3" s="434"/>
      <c r="O3" s="436" t="s">
        <v>66</v>
      </c>
      <c r="P3" s="432"/>
      <c r="Q3" s="432"/>
      <c r="R3" s="432"/>
      <c r="S3" s="426"/>
      <c r="T3" s="426"/>
      <c r="U3" s="426"/>
      <c r="V3" s="426"/>
      <c r="W3" s="426"/>
      <c r="X3" s="426"/>
      <c r="Y3" s="426"/>
      <c r="Z3" s="426"/>
      <c r="AA3" s="426"/>
    </row>
    <row r="4" ht="15.75" customHeight="1">
      <c r="A4" s="437">
        <v>1.0</v>
      </c>
      <c r="B4" s="438"/>
      <c r="D4" s="439"/>
      <c r="E4" s="440"/>
      <c r="F4" s="441"/>
      <c r="G4" s="441"/>
      <c r="H4" s="442"/>
      <c r="I4" s="443"/>
      <c r="J4" s="444"/>
      <c r="K4" s="444">
        <f t="shared" ref="K4:K7" si="1">I4*H4</f>
        <v>0</v>
      </c>
      <c r="L4" s="444" t="str">
        <f t="shared" ref="L4:L7" si="2">iferror(K4/E4,"")</f>
        <v/>
      </c>
      <c r="M4" s="444">
        <f t="shared" ref="M4:M7" si="3">K4-J4</f>
        <v>0</v>
      </c>
      <c r="N4" s="444" t="str">
        <f t="shared" ref="N4:N7" si="4">iferror(M4/E4,"")</f>
        <v/>
      </c>
      <c r="P4" s="432"/>
      <c r="Q4" s="432"/>
      <c r="R4" s="432"/>
      <c r="S4" s="426"/>
      <c r="T4" s="426"/>
      <c r="U4" s="426"/>
      <c r="V4" s="426"/>
      <c r="W4" s="426"/>
      <c r="X4" s="426"/>
      <c r="Y4" s="426"/>
      <c r="Z4" s="426"/>
      <c r="AA4" s="426"/>
    </row>
    <row r="5" ht="15.75" customHeight="1">
      <c r="A5" s="437">
        <v>2.0</v>
      </c>
      <c r="B5" s="438"/>
      <c r="D5" s="439"/>
      <c r="E5" s="440">
        <f t="shared" ref="E5:E7" si="5">G5-F5+1</f>
        <v>1</v>
      </c>
      <c r="F5" s="441"/>
      <c r="G5" s="441"/>
      <c r="H5" s="442"/>
      <c r="I5" s="443"/>
      <c r="J5" s="444"/>
      <c r="K5" s="444">
        <f t="shared" si="1"/>
        <v>0</v>
      </c>
      <c r="L5" s="444">
        <f t="shared" si="2"/>
        <v>0</v>
      </c>
      <c r="M5" s="444">
        <f t="shared" si="3"/>
        <v>0</v>
      </c>
      <c r="N5" s="444">
        <f t="shared" si="4"/>
        <v>0</v>
      </c>
      <c r="P5" s="432"/>
      <c r="Q5" s="432"/>
      <c r="R5" s="432"/>
      <c r="S5" s="426"/>
      <c r="T5" s="426"/>
      <c r="U5" s="426"/>
      <c r="V5" s="426"/>
      <c r="W5" s="426"/>
      <c r="X5" s="426"/>
      <c r="Y5" s="426"/>
      <c r="Z5" s="426"/>
      <c r="AA5" s="426"/>
    </row>
    <row r="6" ht="15.75" customHeight="1">
      <c r="A6" s="437">
        <v>3.0</v>
      </c>
      <c r="B6" s="438"/>
      <c r="D6" s="439"/>
      <c r="E6" s="440">
        <f t="shared" si="5"/>
        <v>1</v>
      </c>
      <c r="F6" s="441"/>
      <c r="G6" s="441"/>
      <c r="H6" s="442"/>
      <c r="I6" s="443"/>
      <c r="J6" s="444"/>
      <c r="K6" s="444">
        <f t="shared" si="1"/>
        <v>0</v>
      </c>
      <c r="L6" s="444">
        <f t="shared" si="2"/>
        <v>0</v>
      </c>
      <c r="M6" s="444">
        <f t="shared" si="3"/>
        <v>0</v>
      </c>
      <c r="N6" s="444">
        <f t="shared" si="4"/>
        <v>0</v>
      </c>
      <c r="P6" s="432"/>
      <c r="Q6" s="432"/>
      <c r="R6" s="432"/>
      <c r="S6" s="426"/>
      <c r="T6" s="426"/>
      <c r="U6" s="426"/>
      <c r="V6" s="426"/>
      <c r="W6" s="426"/>
      <c r="X6" s="426"/>
      <c r="Y6" s="426"/>
      <c r="Z6" s="426"/>
      <c r="AA6" s="426"/>
    </row>
    <row r="7" ht="15.75" customHeight="1">
      <c r="A7" s="437">
        <v>4.0</v>
      </c>
      <c r="B7" s="438"/>
      <c r="D7" s="439"/>
      <c r="E7" s="440">
        <f t="shared" si="5"/>
        <v>1</v>
      </c>
      <c r="F7" s="441"/>
      <c r="G7" s="441"/>
      <c r="H7" s="442"/>
      <c r="I7" s="443"/>
      <c r="J7" s="444"/>
      <c r="K7" s="444">
        <f t="shared" si="1"/>
        <v>0</v>
      </c>
      <c r="L7" s="444">
        <f t="shared" si="2"/>
        <v>0</v>
      </c>
      <c r="M7" s="444">
        <f t="shared" si="3"/>
        <v>0</v>
      </c>
      <c r="N7" s="444">
        <f t="shared" si="4"/>
        <v>0</v>
      </c>
      <c r="P7" s="432"/>
      <c r="Q7" s="432"/>
      <c r="R7" s="432"/>
      <c r="S7" s="426"/>
      <c r="T7" s="426"/>
      <c r="U7" s="426"/>
      <c r="V7" s="426"/>
      <c r="W7" s="426"/>
      <c r="X7" s="426"/>
      <c r="Y7" s="426"/>
      <c r="Z7" s="426"/>
      <c r="AA7" s="426"/>
    </row>
    <row r="8" ht="15.75" customHeight="1">
      <c r="A8" s="431" t="s">
        <v>569</v>
      </c>
      <c r="B8" s="438"/>
      <c r="D8" s="439"/>
      <c r="E8" s="445">
        <f>SUM(E9:E12)</f>
        <v>3</v>
      </c>
      <c r="F8" s="432"/>
      <c r="G8" s="432"/>
      <c r="H8" s="434"/>
      <c r="I8" s="432"/>
      <c r="J8" s="446"/>
      <c r="K8" s="435">
        <f>SUM(K9:K12)</f>
        <v>0</v>
      </c>
      <c r="L8" s="446">
        <f>K8/E8</f>
        <v>0</v>
      </c>
      <c r="M8" s="447">
        <f t="shared" ref="M8:N8" si="6">sum(M9:M12)</f>
        <v>0</v>
      </c>
      <c r="N8" s="447">
        <f t="shared" si="6"/>
        <v>0</v>
      </c>
      <c r="P8" s="432"/>
      <c r="Q8" s="432"/>
      <c r="R8" s="432"/>
      <c r="S8" s="426"/>
      <c r="T8" s="426"/>
      <c r="U8" s="426"/>
      <c r="V8" s="426"/>
      <c r="W8" s="426"/>
      <c r="X8" s="426"/>
      <c r="Y8" s="426"/>
      <c r="Z8" s="426"/>
      <c r="AA8" s="426"/>
    </row>
    <row r="9" ht="15.75" customHeight="1">
      <c r="A9" s="437">
        <v>1.0</v>
      </c>
      <c r="B9" s="438"/>
      <c r="D9" s="439"/>
      <c r="E9" s="440"/>
      <c r="F9" s="441"/>
      <c r="G9" s="441"/>
      <c r="H9" s="442"/>
      <c r="I9" s="443"/>
      <c r="J9" s="444"/>
      <c r="K9" s="444">
        <f t="shared" ref="K9:K12" si="7">I9*H9</f>
        <v>0</v>
      </c>
      <c r="L9" s="444" t="str">
        <f t="shared" ref="L9:L12" si="8">iferror(K9/E9,"")</f>
        <v/>
      </c>
      <c r="M9" s="444">
        <f t="shared" ref="M9:M12" si="9">K9-J9</f>
        <v>0</v>
      </c>
      <c r="N9" s="444" t="str">
        <f t="shared" ref="N9:N12" si="10">iferror(M9/E9,"")</f>
        <v/>
      </c>
      <c r="P9" s="432"/>
      <c r="Q9" s="432"/>
      <c r="R9" s="432"/>
      <c r="S9" s="426"/>
      <c r="T9" s="426"/>
      <c r="U9" s="426"/>
      <c r="V9" s="426"/>
      <c r="W9" s="426"/>
      <c r="X9" s="426"/>
      <c r="Y9" s="426"/>
      <c r="Z9" s="426"/>
      <c r="AA9" s="426"/>
    </row>
    <row r="10" ht="15.75" customHeight="1">
      <c r="A10" s="437">
        <v>2.0</v>
      </c>
      <c r="B10" s="438"/>
      <c r="D10" s="439"/>
      <c r="E10" s="440">
        <f t="shared" ref="E10:E12" si="11">G10-F10+1</f>
        <v>1</v>
      </c>
      <c r="F10" s="441"/>
      <c r="G10" s="441"/>
      <c r="H10" s="442"/>
      <c r="I10" s="443"/>
      <c r="J10" s="444"/>
      <c r="K10" s="444">
        <f t="shared" si="7"/>
        <v>0</v>
      </c>
      <c r="L10" s="444">
        <f t="shared" si="8"/>
        <v>0</v>
      </c>
      <c r="M10" s="444">
        <f t="shared" si="9"/>
        <v>0</v>
      </c>
      <c r="N10" s="444">
        <f t="shared" si="10"/>
        <v>0</v>
      </c>
      <c r="P10" s="432"/>
      <c r="Q10" s="432"/>
      <c r="R10" s="432"/>
      <c r="S10" s="426"/>
      <c r="T10" s="426"/>
      <c r="U10" s="426"/>
      <c r="V10" s="426"/>
      <c r="W10" s="426"/>
      <c r="X10" s="426"/>
      <c r="Y10" s="426"/>
      <c r="Z10" s="426"/>
      <c r="AA10" s="426"/>
    </row>
    <row r="11" ht="15.75" customHeight="1">
      <c r="A11" s="437">
        <v>3.0</v>
      </c>
      <c r="B11" s="438"/>
      <c r="D11" s="439"/>
      <c r="E11" s="440">
        <f t="shared" si="11"/>
        <v>1</v>
      </c>
      <c r="F11" s="441"/>
      <c r="G11" s="441"/>
      <c r="H11" s="442"/>
      <c r="I11" s="443"/>
      <c r="J11" s="444"/>
      <c r="K11" s="444">
        <f t="shared" si="7"/>
        <v>0</v>
      </c>
      <c r="L11" s="444">
        <f t="shared" si="8"/>
        <v>0</v>
      </c>
      <c r="M11" s="444">
        <f t="shared" si="9"/>
        <v>0</v>
      </c>
      <c r="N11" s="444">
        <f t="shared" si="10"/>
        <v>0</v>
      </c>
      <c r="P11" s="432"/>
      <c r="Q11" s="432"/>
      <c r="R11" s="432"/>
      <c r="S11" s="426"/>
      <c r="T11" s="426"/>
      <c r="U11" s="426"/>
      <c r="V11" s="426"/>
      <c r="W11" s="426"/>
      <c r="X11" s="426"/>
      <c r="Y11" s="426"/>
      <c r="Z11" s="426"/>
      <c r="AA11" s="426"/>
    </row>
    <row r="12" ht="15.75" customHeight="1">
      <c r="A12" s="437">
        <v>4.0</v>
      </c>
      <c r="B12" s="438"/>
      <c r="D12" s="439"/>
      <c r="E12" s="440">
        <f t="shared" si="11"/>
        <v>1</v>
      </c>
      <c r="F12" s="441"/>
      <c r="G12" s="441"/>
      <c r="H12" s="442"/>
      <c r="I12" s="443"/>
      <c r="J12" s="444"/>
      <c r="K12" s="444">
        <f t="shared" si="7"/>
        <v>0</v>
      </c>
      <c r="L12" s="444">
        <f t="shared" si="8"/>
        <v>0</v>
      </c>
      <c r="M12" s="444">
        <f t="shared" si="9"/>
        <v>0</v>
      </c>
      <c r="N12" s="444">
        <f t="shared" si="10"/>
        <v>0</v>
      </c>
      <c r="P12" s="432"/>
      <c r="Q12" s="432"/>
      <c r="R12" s="432"/>
      <c r="S12" s="426"/>
      <c r="T12" s="426"/>
      <c r="U12" s="426"/>
      <c r="V12" s="426"/>
      <c r="W12" s="426"/>
      <c r="X12" s="426"/>
      <c r="Y12" s="426"/>
      <c r="Z12" s="426"/>
      <c r="AA12" s="426"/>
    </row>
    <row r="13" ht="15.75" customHeight="1">
      <c r="A13" s="431" t="s">
        <v>570</v>
      </c>
      <c r="B13" s="438"/>
      <c r="D13" s="439"/>
      <c r="E13" s="445">
        <f>SUM(E14:E17)</f>
        <v>3</v>
      </c>
      <c r="F13" s="432"/>
      <c r="G13" s="432"/>
      <c r="H13" s="434"/>
      <c r="I13" s="432"/>
      <c r="J13" s="446"/>
      <c r="K13" s="435">
        <f>SUM(K14:K17)</f>
        <v>0</v>
      </c>
      <c r="L13" s="446">
        <f>K13/E13</f>
        <v>0</v>
      </c>
      <c r="M13" s="447">
        <f t="shared" ref="M13:N13" si="12">sum(M14:M17)</f>
        <v>0</v>
      </c>
      <c r="N13" s="447">
        <f t="shared" si="12"/>
        <v>0</v>
      </c>
      <c r="P13" s="432"/>
      <c r="Q13" s="432"/>
      <c r="R13" s="432"/>
      <c r="S13" s="426"/>
      <c r="T13" s="426"/>
      <c r="U13" s="426"/>
      <c r="V13" s="426"/>
      <c r="W13" s="426"/>
      <c r="X13" s="426"/>
      <c r="Y13" s="426"/>
      <c r="Z13" s="426"/>
      <c r="AA13" s="426"/>
    </row>
    <row r="14" ht="15.75" customHeight="1">
      <c r="A14" s="437">
        <v>1.0</v>
      </c>
      <c r="B14" s="438"/>
      <c r="D14" s="439"/>
      <c r="E14" s="440"/>
      <c r="F14" s="441"/>
      <c r="G14" s="441"/>
      <c r="H14" s="442"/>
      <c r="I14" s="443"/>
      <c r="J14" s="444"/>
      <c r="K14" s="444">
        <f t="shared" ref="K14:K17" si="13">I14*H14</f>
        <v>0</v>
      </c>
      <c r="L14" s="444" t="str">
        <f t="shared" ref="L14:L17" si="14">iferror(K14/E14,"")</f>
        <v/>
      </c>
      <c r="M14" s="444">
        <f t="shared" ref="M14:M17" si="15">K14-J14</f>
        <v>0</v>
      </c>
      <c r="N14" s="444" t="str">
        <f t="shared" ref="N14:N17" si="16">iferror(M14/E14,"")</f>
        <v/>
      </c>
      <c r="P14" s="432"/>
      <c r="Q14" s="432"/>
      <c r="R14" s="432"/>
      <c r="S14" s="426"/>
      <c r="T14" s="426"/>
      <c r="U14" s="426"/>
      <c r="V14" s="426"/>
      <c r="W14" s="426"/>
      <c r="X14" s="426"/>
      <c r="Y14" s="426"/>
      <c r="Z14" s="426"/>
      <c r="AA14" s="426"/>
    </row>
    <row r="15" ht="15.75" customHeight="1">
      <c r="A15" s="437">
        <v>2.0</v>
      </c>
      <c r="B15" s="438"/>
      <c r="D15" s="439"/>
      <c r="E15" s="440">
        <f t="shared" ref="E15:E17" si="17">G15-F15+1</f>
        <v>1</v>
      </c>
      <c r="F15" s="441"/>
      <c r="G15" s="441"/>
      <c r="H15" s="442"/>
      <c r="I15" s="443"/>
      <c r="J15" s="444"/>
      <c r="K15" s="444">
        <f t="shared" si="13"/>
        <v>0</v>
      </c>
      <c r="L15" s="444">
        <f t="shared" si="14"/>
        <v>0</v>
      </c>
      <c r="M15" s="444">
        <f t="shared" si="15"/>
        <v>0</v>
      </c>
      <c r="N15" s="444">
        <f t="shared" si="16"/>
        <v>0</v>
      </c>
      <c r="P15" s="432"/>
      <c r="Q15" s="432"/>
      <c r="R15" s="432"/>
      <c r="S15" s="426"/>
      <c r="T15" s="426"/>
      <c r="U15" s="426"/>
      <c r="V15" s="426"/>
      <c r="W15" s="426"/>
      <c r="X15" s="426"/>
      <c r="Y15" s="426"/>
      <c r="Z15" s="426"/>
      <c r="AA15" s="426"/>
    </row>
    <row r="16" ht="15.75" customHeight="1">
      <c r="A16" s="437">
        <v>3.0</v>
      </c>
      <c r="B16" s="438"/>
      <c r="D16" s="439"/>
      <c r="E16" s="440">
        <f t="shared" si="17"/>
        <v>1</v>
      </c>
      <c r="F16" s="441"/>
      <c r="G16" s="441"/>
      <c r="H16" s="442"/>
      <c r="I16" s="443"/>
      <c r="J16" s="444"/>
      <c r="K16" s="444">
        <f t="shared" si="13"/>
        <v>0</v>
      </c>
      <c r="L16" s="444">
        <f t="shared" si="14"/>
        <v>0</v>
      </c>
      <c r="M16" s="444">
        <f t="shared" si="15"/>
        <v>0</v>
      </c>
      <c r="N16" s="444">
        <f t="shared" si="16"/>
        <v>0</v>
      </c>
      <c r="P16" s="432"/>
      <c r="Q16" s="432"/>
      <c r="R16" s="432"/>
      <c r="S16" s="426"/>
      <c r="T16" s="426"/>
      <c r="U16" s="426"/>
      <c r="V16" s="426"/>
      <c r="W16" s="426"/>
      <c r="X16" s="426"/>
      <c r="Y16" s="426"/>
      <c r="Z16" s="426"/>
      <c r="AA16" s="426"/>
    </row>
    <row r="17" ht="15.75" customHeight="1">
      <c r="A17" s="437">
        <v>4.0</v>
      </c>
      <c r="B17" s="438"/>
      <c r="D17" s="439"/>
      <c r="E17" s="440">
        <f t="shared" si="17"/>
        <v>1</v>
      </c>
      <c r="F17" s="441"/>
      <c r="G17" s="441"/>
      <c r="H17" s="442"/>
      <c r="I17" s="443"/>
      <c r="J17" s="444"/>
      <c r="K17" s="444">
        <f t="shared" si="13"/>
        <v>0</v>
      </c>
      <c r="L17" s="444">
        <f t="shared" si="14"/>
        <v>0</v>
      </c>
      <c r="M17" s="444">
        <f t="shared" si="15"/>
        <v>0</v>
      </c>
      <c r="N17" s="444">
        <f t="shared" si="16"/>
        <v>0</v>
      </c>
      <c r="P17" s="432"/>
      <c r="Q17" s="432"/>
      <c r="R17" s="432"/>
      <c r="S17" s="426"/>
      <c r="T17" s="426"/>
      <c r="U17" s="426"/>
      <c r="V17" s="426"/>
      <c r="W17" s="426"/>
      <c r="X17" s="426"/>
      <c r="Y17" s="426"/>
      <c r="Z17" s="426"/>
      <c r="AA17" s="426"/>
    </row>
    <row r="18" ht="15.75" customHeight="1">
      <c r="A18" s="431" t="s">
        <v>571</v>
      </c>
      <c r="B18" s="438"/>
      <c r="D18" s="439"/>
      <c r="E18" s="445">
        <f>SUM(E19:E25)</f>
        <v>210</v>
      </c>
      <c r="F18" s="432"/>
      <c r="G18" s="432"/>
      <c r="H18" s="434"/>
      <c r="I18" s="432"/>
      <c r="J18" s="446"/>
      <c r="K18" s="435">
        <f>SUM(K19:K29)</f>
        <v>404793</v>
      </c>
      <c r="L18" s="446">
        <f>K18/E18</f>
        <v>1927.585714</v>
      </c>
      <c r="M18" s="447">
        <f t="shared" ref="M18:N18" si="18">sum(M19:M29)</f>
        <v>391109.8</v>
      </c>
      <c r="N18" s="447">
        <f t="shared" si="18"/>
        <v>13036.99333</v>
      </c>
      <c r="O18" s="448" t="s">
        <v>72</v>
      </c>
      <c r="P18" s="432"/>
      <c r="Q18" s="432"/>
      <c r="R18" s="432"/>
      <c r="S18" s="426"/>
      <c r="T18" s="426"/>
      <c r="U18" s="426"/>
      <c r="V18" s="426"/>
      <c r="W18" s="426"/>
      <c r="X18" s="426"/>
      <c r="Y18" s="426"/>
      <c r="Z18" s="426"/>
      <c r="AA18" s="426"/>
    </row>
    <row r="19" ht="15.75" customHeight="1">
      <c r="A19" s="437">
        <v>1.0</v>
      </c>
      <c r="B19" s="438" t="s">
        <v>572</v>
      </c>
      <c r="D19" s="439" t="s">
        <v>573</v>
      </c>
      <c r="E19" s="440">
        <f t="shared" ref="E19:E29" si="19">G19-F19+1</f>
        <v>30</v>
      </c>
      <c r="F19" s="441">
        <v>43922.0</v>
      </c>
      <c r="G19" s="441">
        <v>43951.0</v>
      </c>
      <c r="H19" s="442">
        <v>97.0</v>
      </c>
      <c r="I19" s="443">
        <v>285.0</v>
      </c>
      <c r="J19" s="444">
        <f>1579.4+12103.8</f>
        <v>13683.2</v>
      </c>
      <c r="K19" s="444">
        <f t="shared" ref="K19:K29" si="20">I19*H19</f>
        <v>27645</v>
      </c>
      <c r="L19" s="444">
        <f t="shared" ref="L19:L29" si="21">iferror(K19/E19,"")</f>
        <v>921.5</v>
      </c>
      <c r="M19" s="444">
        <f t="shared" ref="M19:M29" si="22">K19-J19</f>
        <v>13961.8</v>
      </c>
      <c r="N19" s="444">
        <f t="shared" ref="N19:N29" si="23">iferror(M19/E19,"")</f>
        <v>465.3933333</v>
      </c>
      <c r="O19" s="448"/>
      <c r="P19" s="432"/>
      <c r="Q19" s="432"/>
      <c r="R19" s="432"/>
      <c r="S19" s="426"/>
      <c r="T19" s="426"/>
      <c r="U19" s="426"/>
      <c r="V19" s="426"/>
      <c r="W19" s="426"/>
      <c r="X19" s="426"/>
      <c r="Y19" s="426"/>
      <c r="Z19" s="426"/>
      <c r="AA19" s="426"/>
    </row>
    <row r="20" ht="15.75" customHeight="1">
      <c r="A20" s="437">
        <v>2.0</v>
      </c>
      <c r="B20" s="438" t="s">
        <v>574</v>
      </c>
      <c r="D20" s="439" t="s">
        <v>573</v>
      </c>
      <c r="E20" s="440">
        <f t="shared" si="19"/>
        <v>30</v>
      </c>
      <c r="F20" s="441">
        <v>43922.0</v>
      </c>
      <c r="G20" s="441">
        <v>43951.0</v>
      </c>
      <c r="H20" s="442">
        <v>37.0</v>
      </c>
      <c r="I20" s="443">
        <v>399.0</v>
      </c>
      <c r="J20" s="444"/>
      <c r="K20" s="444">
        <f t="shared" si="20"/>
        <v>14763</v>
      </c>
      <c r="L20" s="444">
        <f t="shared" si="21"/>
        <v>492.1</v>
      </c>
      <c r="M20" s="444">
        <f t="shared" si="22"/>
        <v>14763</v>
      </c>
      <c r="N20" s="444">
        <f t="shared" si="23"/>
        <v>492.1</v>
      </c>
      <c r="O20" s="448"/>
      <c r="P20" s="432"/>
      <c r="Q20" s="432"/>
      <c r="R20" s="432"/>
      <c r="S20" s="426"/>
      <c r="T20" s="426"/>
      <c r="U20" s="426"/>
      <c r="V20" s="426"/>
      <c r="W20" s="426"/>
      <c r="X20" s="426"/>
      <c r="Y20" s="426"/>
      <c r="Z20" s="426"/>
      <c r="AA20" s="426"/>
    </row>
    <row r="21" ht="15.75" customHeight="1">
      <c r="A21" s="437">
        <v>3.0</v>
      </c>
      <c r="B21" s="438" t="s">
        <v>572</v>
      </c>
      <c r="D21" s="439" t="s">
        <v>573</v>
      </c>
      <c r="E21" s="440">
        <f t="shared" si="19"/>
        <v>30</v>
      </c>
      <c r="F21" s="441">
        <v>43922.0</v>
      </c>
      <c r="G21" s="441">
        <v>43951.0</v>
      </c>
      <c r="H21" s="442">
        <v>97.0</v>
      </c>
      <c r="I21" s="443">
        <v>285.0</v>
      </c>
      <c r="J21" s="444"/>
      <c r="K21" s="444">
        <f t="shared" si="20"/>
        <v>27645</v>
      </c>
      <c r="L21" s="444">
        <f t="shared" si="21"/>
        <v>921.5</v>
      </c>
      <c r="M21" s="444">
        <f t="shared" si="22"/>
        <v>27645</v>
      </c>
      <c r="N21" s="444">
        <f t="shared" si="23"/>
        <v>921.5</v>
      </c>
      <c r="O21" s="448"/>
      <c r="P21" s="432"/>
      <c r="Q21" s="432"/>
      <c r="R21" s="432"/>
      <c r="S21" s="426"/>
      <c r="T21" s="426"/>
      <c r="U21" s="426"/>
      <c r="V21" s="426"/>
      <c r="W21" s="426"/>
      <c r="X21" s="426"/>
      <c r="Y21" s="426"/>
      <c r="Z21" s="426"/>
      <c r="AA21" s="426"/>
    </row>
    <row r="22" ht="15.75" customHeight="1">
      <c r="A22" s="437">
        <v>4.0</v>
      </c>
      <c r="B22" s="438" t="s">
        <v>575</v>
      </c>
      <c r="D22" s="439" t="s">
        <v>573</v>
      </c>
      <c r="E22" s="440">
        <f t="shared" si="19"/>
        <v>30</v>
      </c>
      <c r="F22" s="441">
        <v>43922.0</v>
      </c>
      <c r="G22" s="441">
        <v>43951.0</v>
      </c>
      <c r="H22" s="442">
        <v>397.0</v>
      </c>
      <c r="I22" s="443">
        <v>103.0</v>
      </c>
      <c r="J22" s="444"/>
      <c r="K22" s="444">
        <f t="shared" si="20"/>
        <v>40891</v>
      </c>
      <c r="L22" s="444">
        <f t="shared" si="21"/>
        <v>1363.033333</v>
      </c>
      <c r="M22" s="444">
        <f t="shared" si="22"/>
        <v>40891</v>
      </c>
      <c r="N22" s="444">
        <f t="shared" si="23"/>
        <v>1363.033333</v>
      </c>
      <c r="O22" s="448"/>
      <c r="P22" s="432"/>
      <c r="Q22" s="432"/>
      <c r="R22" s="432"/>
      <c r="S22" s="426"/>
      <c r="T22" s="426"/>
      <c r="U22" s="426"/>
      <c r="V22" s="426"/>
      <c r="W22" s="426"/>
      <c r="X22" s="426"/>
      <c r="Y22" s="426"/>
      <c r="Z22" s="426"/>
      <c r="AA22" s="426"/>
    </row>
    <row r="23" ht="15.75" customHeight="1">
      <c r="A23" s="437">
        <v>5.0</v>
      </c>
      <c r="B23" s="438" t="s">
        <v>576</v>
      </c>
      <c r="D23" s="439" t="s">
        <v>577</v>
      </c>
      <c r="E23" s="440">
        <f t="shared" si="19"/>
        <v>30</v>
      </c>
      <c r="F23" s="441">
        <v>43922.0</v>
      </c>
      <c r="G23" s="441">
        <v>43951.0</v>
      </c>
      <c r="H23" s="442">
        <v>997.0</v>
      </c>
      <c r="I23" s="449">
        <v>228.0</v>
      </c>
      <c r="J23" s="444"/>
      <c r="K23" s="444">
        <f t="shared" si="20"/>
        <v>227316</v>
      </c>
      <c r="L23" s="444">
        <f t="shared" si="21"/>
        <v>7577.2</v>
      </c>
      <c r="M23" s="444">
        <f t="shared" si="22"/>
        <v>227316</v>
      </c>
      <c r="N23" s="444">
        <f t="shared" si="23"/>
        <v>7577.2</v>
      </c>
      <c r="O23" s="448"/>
      <c r="P23" s="432"/>
      <c r="Q23" s="432"/>
      <c r="R23" s="432"/>
      <c r="S23" s="426"/>
      <c r="T23" s="426"/>
      <c r="U23" s="426"/>
      <c r="V23" s="426"/>
      <c r="W23" s="426"/>
      <c r="X23" s="426"/>
      <c r="Y23" s="426"/>
      <c r="Z23" s="426"/>
      <c r="AA23" s="426"/>
    </row>
    <row r="24" ht="15.75" customHeight="1">
      <c r="A24" s="437">
        <v>6.0</v>
      </c>
      <c r="B24" s="438" t="s">
        <v>578</v>
      </c>
      <c r="D24" s="439" t="s">
        <v>573</v>
      </c>
      <c r="E24" s="440">
        <f t="shared" si="19"/>
        <v>30</v>
      </c>
      <c r="F24" s="441">
        <v>43922.0</v>
      </c>
      <c r="G24" s="441">
        <v>43951.0</v>
      </c>
      <c r="H24" s="442">
        <v>197.0</v>
      </c>
      <c r="I24" s="443">
        <v>1.0</v>
      </c>
      <c r="J24" s="444"/>
      <c r="K24" s="444">
        <f t="shared" si="20"/>
        <v>197</v>
      </c>
      <c r="L24" s="444">
        <f t="shared" si="21"/>
        <v>6.566666667</v>
      </c>
      <c r="M24" s="444">
        <f t="shared" si="22"/>
        <v>197</v>
      </c>
      <c r="N24" s="444">
        <f t="shared" si="23"/>
        <v>6.566666667</v>
      </c>
      <c r="O24" s="448"/>
      <c r="P24" s="432"/>
      <c r="Q24" s="432"/>
      <c r="R24" s="432"/>
      <c r="S24" s="426"/>
      <c r="T24" s="426"/>
      <c r="U24" s="426"/>
      <c r="V24" s="426"/>
      <c r="W24" s="426"/>
      <c r="X24" s="426"/>
      <c r="Y24" s="426"/>
      <c r="Z24" s="426"/>
      <c r="AA24" s="426"/>
    </row>
    <row r="25" ht="15.75" customHeight="1">
      <c r="A25" s="437">
        <v>7.0</v>
      </c>
      <c r="B25" s="438" t="s">
        <v>579</v>
      </c>
      <c r="D25" s="439" t="s">
        <v>573</v>
      </c>
      <c r="E25" s="440">
        <f t="shared" si="19"/>
        <v>30</v>
      </c>
      <c r="F25" s="441">
        <v>43922.0</v>
      </c>
      <c r="G25" s="441">
        <v>43951.0</v>
      </c>
      <c r="H25" s="442">
        <v>97.0</v>
      </c>
      <c r="I25" s="443">
        <v>142.0</v>
      </c>
      <c r="J25" s="444"/>
      <c r="K25" s="444">
        <f t="shared" si="20"/>
        <v>13774</v>
      </c>
      <c r="L25" s="444">
        <f t="shared" si="21"/>
        <v>459.1333333</v>
      </c>
      <c r="M25" s="444">
        <f t="shared" si="22"/>
        <v>13774</v>
      </c>
      <c r="N25" s="444">
        <f t="shared" si="23"/>
        <v>459.1333333</v>
      </c>
      <c r="O25" s="448"/>
      <c r="P25" s="432"/>
      <c r="Q25" s="432"/>
      <c r="R25" s="432"/>
      <c r="S25" s="426"/>
      <c r="T25" s="426"/>
      <c r="U25" s="426"/>
      <c r="V25" s="426"/>
      <c r="W25" s="426"/>
      <c r="X25" s="426"/>
      <c r="Y25" s="426"/>
      <c r="Z25" s="426"/>
      <c r="AA25" s="426"/>
    </row>
    <row r="26" ht="15.75" customHeight="1">
      <c r="A26" s="437">
        <v>8.0</v>
      </c>
      <c r="B26" s="438" t="s">
        <v>580</v>
      </c>
      <c r="D26" s="439" t="s">
        <v>573</v>
      </c>
      <c r="E26" s="440">
        <f t="shared" si="19"/>
        <v>30</v>
      </c>
      <c r="F26" s="441">
        <v>43922.0</v>
      </c>
      <c r="G26" s="441">
        <v>43951.0</v>
      </c>
      <c r="H26" s="442">
        <v>97.0</v>
      </c>
      <c r="I26" s="443">
        <v>18.0</v>
      </c>
      <c r="J26" s="444"/>
      <c r="K26" s="444">
        <f t="shared" si="20"/>
        <v>1746</v>
      </c>
      <c r="L26" s="444">
        <f t="shared" si="21"/>
        <v>58.2</v>
      </c>
      <c r="M26" s="444">
        <f t="shared" si="22"/>
        <v>1746</v>
      </c>
      <c r="N26" s="444">
        <f t="shared" si="23"/>
        <v>58.2</v>
      </c>
      <c r="O26" s="448"/>
      <c r="P26" s="432"/>
      <c r="Q26" s="432"/>
      <c r="R26" s="432"/>
      <c r="S26" s="426"/>
      <c r="T26" s="426"/>
      <c r="U26" s="426"/>
      <c r="V26" s="426"/>
      <c r="W26" s="426"/>
      <c r="X26" s="426"/>
      <c r="Y26" s="426"/>
      <c r="Z26" s="426"/>
      <c r="AA26" s="426"/>
    </row>
    <row r="27" ht="15.75" customHeight="1">
      <c r="A27" s="437">
        <v>9.0</v>
      </c>
      <c r="B27" s="438" t="s">
        <v>581</v>
      </c>
      <c r="D27" s="439" t="s">
        <v>573</v>
      </c>
      <c r="E27" s="440">
        <f t="shared" si="19"/>
        <v>30</v>
      </c>
      <c r="F27" s="441">
        <v>43922.0</v>
      </c>
      <c r="G27" s="441">
        <v>43951.0</v>
      </c>
      <c r="H27" s="442">
        <v>397.0</v>
      </c>
      <c r="I27" s="443">
        <v>69.0</v>
      </c>
      <c r="J27" s="444"/>
      <c r="K27" s="444">
        <f t="shared" si="20"/>
        <v>27393</v>
      </c>
      <c r="L27" s="444">
        <f t="shared" si="21"/>
        <v>913.1</v>
      </c>
      <c r="M27" s="444">
        <f t="shared" si="22"/>
        <v>27393</v>
      </c>
      <c r="N27" s="444">
        <f t="shared" si="23"/>
        <v>913.1</v>
      </c>
      <c r="O27" s="448"/>
      <c r="P27" s="432"/>
      <c r="Q27" s="432"/>
      <c r="R27" s="432"/>
      <c r="S27" s="426"/>
      <c r="T27" s="426"/>
      <c r="U27" s="426"/>
      <c r="V27" s="426"/>
      <c r="W27" s="426"/>
      <c r="X27" s="426"/>
      <c r="Y27" s="426"/>
      <c r="Z27" s="426"/>
      <c r="AA27" s="426"/>
    </row>
    <row r="28" ht="15.75" customHeight="1">
      <c r="A28" s="437">
        <v>10.0</v>
      </c>
      <c r="B28" s="438" t="s">
        <v>582</v>
      </c>
      <c r="D28" s="439" t="s">
        <v>573</v>
      </c>
      <c r="E28" s="440">
        <f t="shared" si="19"/>
        <v>30</v>
      </c>
      <c r="F28" s="441">
        <v>43922.0</v>
      </c>
      <c r="G28" s="441">
        <v>43951.0</v>
      </c>
      <c r="H28" s="442">
        <v>397.0</v>
      </c>
      <c r="I28" s="449">
        <v>59.0</v>
      </c>
      <c r="J28" s="444"/>
      <c r="K28" s="444">
        <f t="shared" si="20"/>
        <v>23423</v>
      </c>
      <c r="L28" s="444">
        <f t="shared" si="21"/>
        <v>780.7666667</v>
      </c>
      <c r="M28" s="444">
        <f t="shared" si="22"/>
        <v>23423</v>
      </c>
      <c r="N28" s="444">
        <f t="shared" si="23"/>
        <v>780.7666667</v>
      </c>
      <c r="O28" s="448"/>
      <c r="P28" s="432"/>
      <c r="Q28" s="432"/>
      <c r="R28" s="432"/>
      <c r="S28" s="426"/>
      <c r="T28" s="426"/>
      <c r="U28" s="426"/>
      <c r="V28" s="426"/>
      <c r="W28" s="426"/>
      <c r="X28" s="426"/>
      <c r="Y28" s="426"/>
      <c r="Z28" s="426"/>
      <c r="AA28" s="426"/>
    </row>
    <row r="29" ht="15.75" customHeight="1">
      <c r="A29" s="437">
        <v>11.0</v>
      </c>
      <c r="B29" s="438" t="s">
        <v>582</v>
      </c>
      <c r="D29" s="439" t="s">
        <v>583</v>
      </c>
      <c r="E29" s="440">
        <f t="shared" si="19"/>
        <v>30</v>
      </c>
      <c r="F29" s="441">
        <v>43922.0</v>
      </c>
      <c r="G29" s="441">
        <v>43951.0</v>
      </c>
      <c r="H29" s="442">
        <v>297.0</v>
      </c>
      <c r="I29" s="443"/>
      <c r="J29" s="444"/>
      <c r="K29" s="444">
        <f t="shared" si="20"/>
        <v>0</v>
      </c>
      <c r="L29" s="444">
        <f t="shared" si="21"/>
        <v>0</v>
      </c>
      <c r="M29" s="444">
        <f t="shared" si="22"/>
        <v>0</v>
      </c>
      <c r="N29" s="444">
        <f t="shared" si="23"/>
        <v>0</v>
      </c>
      <c r="O29" s="448"/>
      <c r="P29" s="432"/>
      <c r="Q29" s="432"/>
      <c r="R29" s="432"/>
      <c r="S29" s="426"/>
      <c r="T29" s="426"/>
      <c r="U29" s="426"/>
      <c r="V29" s="426"/>
      <c r="W29" s="426"/>
      <c r="X29" s="426"/>
      <c r="Y29" s="426"/>
      <c r="Z29" s="426"/>
      <c r="AA29" s="426"/>
    </row>
    <row r="30" ht="15.75" customHeight="1">
      <c r="A30" s="431" t="s">
        <v>584</v>
      </c>
      <c r="B30" s="438"/>
      <c r="D30" s="439"/>
      <c r="E30" s="445">
        <f>SUM(E31:E36)</f>
        <v>186</v>
      </c>
      <c r="F30" s="432"/>
      <c r="G30" s="432"/>
      <c r="H30" s="434"/>
      <c r="I30" s="432"/>
      <c r="J30" s="446"/>
      <c r="K30" s="435">
        <f>SUM(K31:K53)</f>
        <v>0</v>
      </c>
      <c r="L30" s="446">
        <f>K30/E30</f>
        <v>0</v>
      </c>
      <c r="M30" s="447">
        <f t="shared" ref="M30:N30" si="24">sum(M31:M53)</f>
        <v>-63500</v>
      </c>
      <c r="N30" s="447">
        <f t="shared" si="24"/>
        <v>-2048.387097</v>
      </c>
      <c r="O30" s="448"/>
      <c r="P30" s="432"/>
      <c r="Q30" s="432"/>
      <c r="R30" s="432"/>
      <c r="S30" s="426"/>
      <c r="T30" s="426"/>
      <c r="U30" s="426"/>
      <c r="V30" s="426"/>
      <c r="W30" s="426"/>
      <c r="X30" s="426"/>
      <c r="Y30" s="426"/>
      <c r="Z30" s="426"/>
      <c r="AA30" s="426"/>
    </row>
    <row r="31" ht="15.75" customHeight="1">
      <c r="A31" s="437">
        <v>1.0</v>
      </c>
      <c r="B31" s="438" t="s">
        <v>574</v>
      </c>
      <c r="D31" s="450" t="s">
        <v>573</v>
      </c>
      <c r="E31" s="451">
        <f t="shared" ref="E31:E54" si="25">G31-F31+1</f>
        <v>31</v>
      </c>
      <c r="F31" s="452">
        <v>43952.0</v>
      </c>
      <c r="G31" s="452">
        <v>43982.0</v>
      </c>
      <c r="H31" s="453">
        <v>37.0</v>
      </c>
      <c r="I31" s="454"/>
      <c r="J31" s="455">
        <v>5000.0</v>
      </c>
      <c r="K31" s="444">
        <f t="shared" ref="K31:K50" si="26">I31*H31</f>
        <v>0</v>
      </c>
      <c r="L31" s="444">
        <f t="shared" ref="L31:L50" si="27">iferror(K31/E31,"")</f>
        <v>0</v>
      </c>
      <c r="M31" s="444">
        <f t="shared" ref="M31:M50" si="28">K31-J31</f>
        <v>-5000</v>
      </c>
      <c r="N31" s="444">
        <f t="shared" ref="N31:N50" si="29">iferror(M31/E31,"")</f>
        <v>-161.2903226</v>
      </c>
      <c r="O31" s="448"/>
      <c r="P31" s="432"/>
      <c r="Q31" s="432"/>
      <c r="R31" s="432"/>
      <c r="S31" s="426"/>
      <c r="T31" s="426"/>
      <c r="U31" s="426"/>
      <c r="V31" s="426"/>
      <c r="W31" s="426"/>
      <c r="X31" s="426"/>
      <c r="Y31" s="426"/>
      <c r="Z31" s="426"/>
      <c r="AA31" s="426"/>
    </row>
    <row r="32" ht="15.75" customHeight="1">
      <c r="A32" s="437">
        <v>2.0</v>
      </c>
      <c r="B32" s="456" t="s">
        <v>572</v>
      </c>
      <c r="D32" s="450" t="s">
        <v>573</v>
      </c>
      <c r="E32" s="451">
        <f t="shared" si="25"/>
        <v>31</v>
      </c>
      <c r="F32" s="452">
        <v>43952.0</v>
      </c>
      <c r="G32" s="452">
        <v>43982.0</v>
      </c>
      <c r="H32" s="453">
        <v>97.0</v>
      </c>
      <c r="I32" s="454"/>
      <c r="J32" s="455">
        <v>5000.0</v>
      </c>
      <c r="K32" s="444">
        <f t="shared" si="26"/>
        <v>0</v>
      </c>
      <c r="L32" s="444">
        <f t="shared" si="27"/>
        <v>0</v>
      </c>
      <c r="M32" s="444">
        <f t="shared" si="28"/>
        <v>-5000</v>
      </c>
      <c r="N32" s="444">
        <f t="shared" si="29"/>
        <v>-161.2903226</v>
      </c>
      <c r="O32" s="448"/>
      <c r="P32" s="432"/>
      <c r="Q32" s="432"/>
      <c r="R32" s="432"/>
      <c r="S32" s="426"/>
      <c r="T32" s="426"/>
      <c r="U32" s="426"/>
      <c r="V32" s="426"/>
      <c r="W32" s="426"/>
      <c r="X32" s="426"/>
      <c r="Y32" s="426"/>
      <c r="Z32" s="426"/>
      <c r="AA32" s="426"/>
    </row>
    <row r="33" ht="15.75" customHeight="1">
      <c r="A33" s="437">
        <v>3.0</v>
      </c>
      <c r="B33" s="456" t="s">
        <v>582</v>
      </c>
      <c r="D33" s="450" t="s">
        <v>573</v>
      </c>
      <c r="E33" s="451">
        <f t="shared" si="25"/>
        <v>31</v>
      </c>
      <c r="F33" s="452">
        <v>43952.0</v>
      </c>
      <c r="G33" s="452">
        <v>43982.0</v>
      </c>
      <c r="H33" s="453">
        <v>397.0</v>
      </c>
      <c r="I33" s="457"/>
      <c r="J33" s="455">
        <v>1500.0</v>
      </c>
      <c r="K33" s="444">
        <f t="shared" si="26"/>
        <v>0</v>
      </c>
      <c r="L33" s="444">
        <f t="shared" si="27"/>
        <v>0</v>
      </c>
      <c r="M33" s="444">
        <f t="shared" si="28"/>
        <v>-1500</v>
      </c>
      <c r="N33" s="444">
        <f t="shared" si="29"/>
        <v>-48.38709677</v>
      </c>
      <c r="O33" s="448"/>
      <c r="P33" s="432"/>
      <c r="Q33" s="432"/>
      <c r="R33" s="432"/>
      <c r="S33" s="426"/>
      <c r="T33" s="426"/>
      <c r="U33" s="426"/>
      <c r="V33" s="426"/>
      <c r="W33" s="426"/>
      <c r="X33" s="426"/>
      <c r="Y33" s="426"/>
      <c r="Z33" s="426"/>
      <c r="AA33" s="426"/>
    </row>
    <row r="34" ht="15.75" customHeight="1">
      <c r="A34" s="437">
        <v>4.0</v>
      </c>
      <c r="B34" s="456" t="s">
        <v>575</v>
      </c>
      <c r="D34" s="450" t="s">
        <v>573</v>
      </c>
      <c r="E34" s="451">
        <f t="shared" si="25"/>
        <v>31</v>
      </c>
      <c r="F34" s="452">
        <v>43952.0</v>
      </c>
      <c r="G34" s="452">
        <v>43982.0</v>
      </c>
      <c r="H34" s="453">
        <v>397.0</v>
      </c>
      <c r="I34" s="454"/>
      <c r="J34" s="455">
        <v>15000.0</v>
      </c>
      <c r="K34" s="444">
        <f t="shared" si="26"/>
        <v>0</v>
      </c>
      <c r="L34" s="444">
        <f t="shared" si="27"/>
        <v>0</v>
      </c>
      <c r="M34" s="444">
        <f t="shared" si="28"/>
        <v>-15000</v>
      </c>
      <c r="N34" s="444">
        <f t="shared" si="29"/>
        <v>-483.8709677</v>
      </c>
      <c r="O34" s="448"/>
      <c r="P34" s="432"/>
      <c r="Q34" s="432"/>
      <c r="R34" s="432"/>
      <c r="S34" s="426"/>
      <c r="T34" s="426"/>
      <c r="U34" s="426"/>
      <c r="V34" s="426"/>
      <c r="W34" s="426"/>
      <c r="X34" s="426"/>
      <c r="Y34" s="426"/>
      <c r="Z34" s="426"/>
      <c r="AA34" s="426"/>
    </row>
    <row r="35" ht="15.75" customHeight="1">
      <c r="A35" s="437">
        <v>6.0</v>
      </c>
      <c r="B35" s="456" t="s">
        <v>578</v>
      </c>
      <c r="D35" s="450" t="s">
        <v>573</v>
      </c>
      <c r="E35" s="451">
        <f t="shared" si="25"/>
        <v>31</v>
      </c>
      <c r="F35" s="452">
        <v>43952.0</v>
      </c>
      <c r="G35" s="452">
        <v>43982.0</v>
      </c>
      <c r="H35" s="453">
        <v>197.0</v>
      </c>
      <c r="I35" s="454"/>
      <c r="J35" s="455">
        <v>0.0</v>
      </c>
      <c r="K35" s="444">
        <f t="shared" si="26"/>
        <v>0</v>
      </c>
      <c r="L35" s="444">
        <f t="shared" si="27"/>
        <v>0</v>
      </c>
      <c r="M35" s="444">
        <f t="shared" si="28"/>
        <v>0</v>
      </c>
      <c r="N35" s="444">
        <f t="shared" si="29"/>
        <v>0</v>
      </c>
      <c r="O35" s="448"/>
      <c r="P35" s="432"/>
      <c r="Q35" s="432"/>
      <c r="R35" s="432"/>
      <c r="S35" s="426"/>
      <c r="T35" s="426"/>
      <c r="U35" s="426"/>
      <c r="V35" s="426"/>
      <c r="W35" s="426"/>
      <c r="X35" s="426"/>
      <c r="Y35" s="426"/>
      <c r="Z35" s="426"/>
      <c r="AA35" s="426"/>
    </row>
    <row r="36" ht="15.75" customHeight="1">
      <c r="A36" s="437">
        <v>7.0</v>
      </c>
      <c r="B36" s="456" t="s">
        <v>579</v>
      </c>
      <c r="D36" s="450" t="s">
        <v>573</v>
      </c>
      <c r="E36" s="451">
        <f t="shared" si="25"/>
        <v>31</v>
      </c>
      <c r="F36" s="452">
        <v>43952.0</v>
      </c>
      <c r="G36" s="452">
        <v>43982.0</v>
      </c>
      <c r="H36" s="453">
        <v>97.0</v>
      </c>
      <c r="I36" s="454"/>
      <c r="J36" s="455">
        <v>5000.0</v>
      </c>
      <c r="K36" s="444">
        <f t="shared" si="26"/>
        <v>0</v>
      </c>
      <c r="L36" s="444">
        <f t="shared" si="27"/>
        <v>0</v>
      </c>
      <c r="M36" s="444">
        <f t="shared" si="28"/>
        <v>-5000</v>
      </c>
      <c r="N36" s="444">
        <f t="shared" si="29"/>
        <v>-161.2903226</v>
      </c>
      <c r="O36" s="448"/>
      <c r="P36" s="432"/>
      <c r="Q36" s="432"/>
      <c r="R36" s="432"/>
      <c r="S36" s="426"/>
      <c r="T36" s="426"/>
      <c r="U36" s="426"/>
      <c r="V36" s="426"/>
      <c r="W36" s="426"/>
      <c r="X36" s="426"/>
      <c r="Y36" s="426"/>
      <c r="Z36" s="426"/>
      <c r="AA36" s="426"/>
    </row>
    <row r="37" ht="15.75" customHeight="1">
      <c r="A37" s="437">
        <v>8.0</v>
      </c>
      <c r="B37" s="456" t="s">
        <v>580</v>
      </c>
      <c r="D37" s="450" t="s">
        <v>573</v>
      </c>
      <c r="E37" s="451">
        <f t="shared" si="25"/>
        <v>31</v>
      </c>
      <c r="F37" s="452">
        <v>43952.0</v>
      </c>
      <c r="G37" s="452">
        <v>43982.0</v>
      </c>
      <c r="H37" s="453">
        <v>97.0</v>
      </c>
      <c r="I37" s="454"/>
      <c r="J37" s="455">
        <v>5000.0</v>
      </c>
      <c r="K37" s="444">
        <f t="shared" si="26"/>
        <v>0</v>
      </c>
      <c r="L37" s="444">
        <f t="shared" si="27"/>
        <v>0</v>
      </c>
      <c r="M37" s="444">
        <f t="shared" si="28"/>
        <v>-5000</v>
      </c>
      <c r="N37" s="444">
        <f t="shared" si="29"/>
        <v>-161.2903226</v>
      </c>
      <c r="O37" s="448"/>
      <c r="P37" s="432"/>
      <c r="Q37" s="432"/>
      <c r="R37" s="432"/>
      <c r="S37" s="426"/>
      <c r="T37" s="426"/>
      <c r="U37" s="426"/>
      <c r="V37" s="426"/>
      <c r="W37" s="426"/>
      <c r="X37" s="426"/>
      <c r="Y37" s="426"/>
      <c r="Z37" s="426"/>
      <c r="AA37" s="426"/>
    </row>
    <row r="38" ht="15.75" customHeight="1">
      <c r="A38" s="437">
        <v>9.0</v>
      </c>
      <c r="B38" s="456" t="s">
        <v>581</v>
      </c>
      <c r="D38" s="450" t="s">
        <v>573</v>
      </c>
      <c r="E38" s="451">
        <f t="shared" si="25"/>
        <v>31</v>
      </c>
      <c r="F38" s="452">
        <v>43952.0</v>
      </c>
      <c r="G38" s="452">
        <v>43982.0</v>
      </c>
      <c r="H38" s="453">
        <v>397.0</v>
      </c>
      <c r="I38" s="454"/>
      <c r="J38" s="455">
        <v>10000.0</v>
      </c>
      <c r="K38" s="444">
        <f t="shared" si="26"/>
        <v>0</v>
      </c>
      <c r="L38" s="444">
        <f t="shared" si="27"/>
        <v>0</v>
      </c>
      <c r="M38" s="444">
        <f t="shared" si="28"/>
        <v>-10000</v>
      </c>
      <c r="N38" s="444">
        <f t="shared" si="29"/>
        <v>-322.5806452</v>
      </c>
      <c r="O38" s="448"/>
      <c r="P38" s="432"/>
      <c r="Q38" s="432"/>
      <c r="R38" s="432"/>
      <c r="S38" s="426"/>
      <c r="T38" s="426"/>
      <c r="U38" s="426"/>
      <c r="V38" s="426"/>
      <c r="W38" s="426"/>
      <c r="X38" s="426"/>
      <c r="Y38" s="426"/>
      <c r="Z38" s="426"/>
      <c r="AA38" s="426"/>
    </row>
    <row r="39" ht="15.75" customHeight="1">
      <c r="A39" s="437">
        <v>10.0</v>
      </c>
      <c r="B39" s="456" t="s">
        <v>585</v>
      </c>
      <c r="D39" s="450" t="s">
        <v>573</v>
      </c>
      <c r="E39" s="451">
        <f t="shared" si="25"/>
        <v>31</v>
      </c>
      <c r="F39" s="452">
        <v>43952.0</v>
      </c>
      <c r="G39" s="452">
        <v>43982.0</v>
      </c>
      <c r="H39" s="453">
        <v>97.0</v>
      </c>
      <c r="I39" s="454"/>
      <c r="J39" s="455">
        <v>5000.0</v>
      </c>
      <c r="K39" s="444">
        <f t="shared" si="26"/>
        <v>0</v>
      </c>
      <c r="L39" s="444">
        <f t="shared" si="27"/>
        <v>0</v>
      </c>
      <c r="M39" s="444">
        <f t="shared" si="28"/>
        <v>-5000</v>
      </c>
      <c r="N39" s="444">
        <f t="shared" si="29"/>
        <v>-161.2903226</v>
      </c>
      <c r="O39" s="448"/>
      <c r="P39" s="432"/>
      <c r="Q39" s="432"/>
      <c r="R39" s="432"/>
      <c r="S39" s="426"/>
      <c r="T39" s="426"/>
      <c r="U39" s="426"/>
      <c r="V39" s="426"/>
      <c r="W39" s="426"/>
      <c r="X39" s="426"/>
      <c r="Y39" s="426"/>
      <c r="Z39" s="426"/>
      <c r="AA39" s="426"/>
    </row>
    <row r="40" ht="15.75" customHeight="1">
      <c r="A40" s="437">
        <v>11.0</v>
      </c>
      <c r="B40" s="456" t="s">
        <v>575</v>
      </c>
      <c r="D40" s="450" t="s">
        <v>586</v>
      </c>
      <c r="E40" s="451">
        <f t="shared" si="25"/>
        <v>31</v>
      </c>
      <c r="F40" s="452">
        <v>43952.0</v>
      </c>
      <c r="G40" s="452">
        <v>43982.0</v>
      </c>
      <c r="H40" s="453">
        <v>397.0</v>
      </c>
      <c r="I40" s="457"/>
      <c r="J40" s="455">
        <v>0.0</v>
      </c>
      <c r="K40" s="444">
        <f t="shared" si="26"/>
        <v>0</v>
      </c>
      <c r="L40" s="444">
        <f t="shared" si="27"/>
        <v>0</v>
      </c>
      <c r="M40" s="444">
        <f t="shared" si="28"/>
        <v>0</v>
      </c>
      <c r="N40" s="444">
        <f t="shared" si="29"/>
        <v>0</v>
      </c>
      <c r="O40" s="448"/>
      <c r="P40" s="432"/>
      <c r="Q40" s="432"/>
      <c r="R40" s="432"/>
      <c r="S40" s="426"/>
      <c r="T40" s="426"/>
      <c r="U40" s="426"/>
      <c r="V40" s="426"/>
      <c r="W40" s="426"/>
      <c r="X40" s="426"/>
      <c r="Y40" s="426"/>
      <c r="Z40" s="426"/>
      <c r="AA40" s="426"/>
    </row>
    <row r="41" ht="15.75" customHeight="1">
      <c r="A41" s="437">
        <v>12.0</v>
      </c>
      <c r="B41" s="456" t="s">
        <v>581</v>
      </c>
      <c r="D41" s="450" t="s">
        <v>586</v>
      </c>
      <c r="E41" s="451">
        <f t="shared" si="25"/>
        <v>31</v>
      </c>
      <c r="F41" s="452">
        <v>43952.0</v>
      </c>
      <c r="G41" s="452">
        <v>43982.0</v>
      </c>
      <c r="H41" s="453">
        <v>397.0</v>
      </c>
      <c r="I41" s="457"/>
      <c r="J41" s="455">
        <v>0.0</v>
      </c>
      <c r="K41" s="444">
        <f t="shared" si="26"/>
        <v>0</v>
      </c>
      <c r="L41" s="444">
        <f t="shared" si="27"/>
        <v>0</v>
      </c>
      <c r="M41" s="444">
        <f t="shared" si="28"/>
        <v>0</v>
      </c>
      <c r="N41" s="444">
        <f t="shared" si="29"/>
        <v>0</v>
      </c>
      <c r="O41" s="448"/>
      <c r="P41" s="432"/>
      <c r="Q41" s="432"/>
      <c r="R41" s="432"/>
      <c r="S41" s="426"/>
      <c r="T41" s="426"/>
      <c r="U41" s="426"/>
      <c r="V41" s="426"/>
      <c r="W41" s="426"/>
      <c r="X41" s="426"/>
      <c r="Y41" s="426"/>
      <c r="Z41" s="426"/>
      <c r="AA41" s="426"/>
    </row>
    <row r="42" ht="15.75" customHeight="1">
      <c r="A42" s="437">
        <v>13.0</v>
      </c>
      <c r="B42" s="456" t="s">
        <v>572</v>
      </c>
      <c r="D42" s="450" t="s">
        <v>586</v>
      </c>
      <c r="E42" s="451">
        <f t="shared" si="25"/>
        <v>31</v>
      </c>
      <c r="F42" s="452">
        <v>43952.0</v>
      </c>
      <c r="G42" s="452">
        <v>43982.0</v>
      </c>
      <c r="H42" s="453">
        <v>97.0</v>
      </c>
      <c r="I42" s="454"/>
      <c r="J42" s="455">
        <v>0.0</v>
      </c>
      <c r="K42" s="444">
        <f t="shared" si="26"/>
        <v>0</v>
      </c>
      <c r="L42" s="444">
        <f t="shared" si="27"/>
        <v>0</v>
      </c>
      <c r="M42" s="444">
        <f t="shared" si="28"/>
        <v>0</v>
      </c>
      <c r="N42" s="444">
        <f t="shared" si="29"/>
        <v>0</v>
      </c>
      <c r="O42" s="448"/>
      <c r="P42" s="432"/>
      <c r="Q42" s="432"/>
      <c r="R42" s="432"/>
      <c r="S42" s="426"/>
      <c r="T42" s="426"/>
      <c r="U42" s="426"/>
      <c r="V42" s="426"/>
      <c r="W42" s="426"/>
      <c r="X42" s="426"/>
      <c r="Y42" s="426"/>
      <c r="Z42" s="426"/>
      <c r="AA42" s="426"/>
    </row>
    <row r="43" ht="15.75" customHeight="1">
      <c r="A43" s="437">
        <v>14.0</v>
      </c>
      <c r="B43" s="456" t="s">
        <v>582</v>
      </c>
      <c r="D43" s="450" t="s">
        <v>586</v>
      </c>
      <c r="E43" s="451">
        <f t="shared" si="25"/>
        <v>31</v>
      </c>
      <c r="F43" s="452">
        <v>43952.0</v>
      </c>
      <c r="G43" s="452">
        <v>43982.0</v>
      </c>
      <c r="H43" s="453">
        <v>397.0</v>
      </c>
      <c r="I43" s="454"/>
      <c r="J43" s="455">
        <v>0.0</v>
      </c>
      <c r="K43" s="444">
        <f t="shared" si="26"/>
        <v>0</v>
      </c>
      <c r="L43" s="444">
        <f t="shared" si="27"/>
        <v>0</v>
      </c>
      <c r="M43" s="444">
        <f t="shared" si="28"/>
        <v>0</v>
      </c>
      <c r="N43" s="444">
        <f t="shared" si="29"/>
        <v>0</v>
      </c>
      <c r="O43" s="448"/>
      <c r="P43" s="432"/>
      <c r="Q43" s="432"/>
      <c r="R43" s="432"/>
      <c r="S43" s="426"/>
      <c r="T43" s="426"/>
      <c r="U43" s="426"/>
      <c r="V43" s="426"/>
      <c r="W43" s="426"/>
      <c r="X43" s="426"/>
      <c r="Y43" s="426"/>
      <c r="Z43" s="426"/>
      <c r="AA43" s="426"/>
    </row>
    <row r="44" ht="15.75" customHeight="1">
      <c r="A44" s="437">
        <v>15.0</v>
      </c>
      <c r="B44" s="456" t="s">
        <v>575</v>
      </c>
      <c r="D44" s="450" t="s">
        <v>587</v>
      </c>
      <c r="E44" s="451">
        <f t="shared" si="25"/>
        <v>31</v>
      </c>
      <c r="F44" s="452">
        <v>43952.0</v>
      </c>
      <c r="G44" s="452">
        <v>43982.0</v>
      </c>
      <c r="H44" s="453">
        <v>397.0</v>
      </c>
      <c r="I44" s="457"/>
      <c r="J44" s="455">
        <v>0.0</v>
      </c>
      <c r="K44" s="444">
        <f t="shared" si="26"/>
        <v>0</v>
      </c>
      <c r="L44" s="444">
        <f t="shared" si="27"/>
        <v>0</v>
      </c>
      <c r="M44" s="444">
        <f t="shared" si="28"/>
        <v>0</v>
      </c>
      <c r="N44" s="444">
        <f t="shared" si="29"/>
        <v>0</v>
      </c>
      <c r="O44" s="448"/>
      <c r="P44" s="432"/>
      <c r="Q44" s="432"/>
      <c r="R44" s="432"/>
      <c r="S44" s="426"/>
      <c r="T44" s="426"/>
      <c r="U44" s="426"/>
      <c r="V44" s="426"/>
      <c r="W44" s="426"/>
      <c r="X44" s="426"/>
      <c r="Y44" s="426"/>
      <c r="Z44" s="426"/>
      <c r="AA44" s="426"/>
    </row>
    <row r="45" ht="15.75" customHeight="1">
      <c r="A45" s="437">
        <v>16.0</v>
      </c>
      <c r="B45" s="456" t="s">
        <v>582</v>
      </c>
      <c r="D45" s="450" t="s">
        <v>587</v>
      </c>
      <c r="E45" s="451">
        <f t="shared" si="25"/>
        <v>31</v>
      </c>
      <c r="F45" s="452">
        <v>43952.0</v>
      </c>
      <c r="G45" s="452">
        <v>43982.0</v>
      </c>
      <c r="H45" s="453">
        <v>397.0</v>
      </c>
      <c r="I45" s="454"/>
      <c r="J45" s="455">
        <v>0.0</v>
      </c>
      <c r="K45" s="444">
        <f t="shared" si="26"/>
        <v>0</v>
      </c>
      <c r="L45" s="444">
        <f t="shared" si="27"/>
        <v>0</v>
      </c>
      <c r="M45" s="444">
        <f t="shared" si="28"/>
        <v>0</v>
      </c>
      <c r="N45" s="444">
        <f t="shared" si="29"/>
        <v>0</v>
      </c>
      <c r="O45" s="448"/>
      <c r="P45" s="432"/>
      <c r="Q45" s="432"/>
      <c r="R45" s="432"/>
      <c r="S45" s="426"/>
      <c r="T45" s="426"/>
      <c r="U45" s="426"/>
      <c r="V45" s="426"/>
      <c r="W45" s="426"/>
      <c r="X45" s="426"/>
      <c r="Y45" s="426"/>
      <c r="Z45" s="426"/>
      <c r="AA45" s="426"/>
    </row>
    <row r="46" ht="15.75" customHeight="1">
      <c r="A46" s="437">
        <v>17.0</v>
      </c>
      <c r="B46" s="456" t="s">
        <v>572</v>
      </c>
      <c r="D46" s="450" t="s">
        <v>587</v>
      </c>
      <c r="E46" s="451">
        <f t="shared" si="25"/>
        <v>31</v>
      </c>
      <c r="F46" s="452">
        <v>43952.0</v>
      </c>
      <c r="G46" s="452">
        <v>43982.0</v>
      </c>
      <c r="H46" s="453">
        <v>97.0</v>
      </c>
      <c r="I46" s="454"/>
      <c r="J46" s="455">
        <v>0.0</v>
      </c>
      <c r="K46" s="444">
        <f t="shared" si="26"/>
        <v>0</v>
      </c>
      <c r="L46" s="444">
        <f t="shared" si="27"/>
        <v>0</v>
      </c>
      <c r="M46" s="444">
        <f t="shared" si="28"/>
        <v>0</v>
      </c>
      <c r="N46" s="444">
        <f t="shared" si="29"/>
        <v>0</v>
      </c>
      <c r="O46" s="448"/>
      <c r="P46" s="432"/>
      <c r="Q46" s="432"/>
      <c r="R46" s="432"/>
      <c r="S46" s="426"/>
      <c r="T46" s="426"/>
      <c r="U46" s="426"/>
      <c r="V46" s="426"/>
      <c r="W46" s="426"/>
      <c r="X46" s="426"/>
      <c r="Y46" s="426"/>
      <c r="Z46" s="426"/>
      <c r="AA46" s="426"/>
    </row>
    <row r="47" ht="15.75" customHeight="1">
      <c r="A47" s="437">
        <v>18.0</v>
      </c>
      <c r="B47" s="456" t="s">
        <v>572</v>
      </c>
      <c r="D47" s="450" t="s">
        <v>588</v>
      </c>
      <c r="E47" s="451">
        <f t="shared" si="25"/>
        <v>31</v>
      </c>
      <c r="F47" s="452">
        <v>43952.0</v>
      </c>
      <c r="G47" s="452">
        <v>43982.0</v>
      </c>
      <c r="H47" s="453">
        <v>97.0</v>
      </c>
      <c r="I47" s="454"/>
      <c r="J47" s="455">
        <v>0.0</v>
      </c>
      <c r="K47" s="444">
        <f t="shared" si="26"/>
        <v>0</v>
      </c>
      <c r="L47" s="444">
        <f t="shared" si="27"/>
        <v>0</v>
      </c>
      <c r="M47" s="444">
        <f t="shared" si="28"/>
        <v>0</v>
      </c>
      <c r="N47" s="444">
        <f t="shared" si="29"/>
        <v>0</v>
      </c>
      <c r="O47" s="448"/>
      <c r="P47" s="432"/>
      <c r="Q47" s="432"/>
      <c r="R47" s="432"/>
      <c r="S47" s="426"/>
      <c r="T47" s="426"/>
      <c r="U47" s="426"/>
      <c r="V47" s="426"/>
      <c r="W47" s="426"/>
      <c r="X47" s="426"/>
      <c r="Y47" s="426"/>
      <c r="Z47" s="426"/>
      <c r="AA47" s="426"/>
    </row>
    <row r="48" ht="15.75" customHeight="1">
      <c r="A48" s="437">
        <v>19.0</v>
      </c>
      <c r="B48" s="456" t="s">
        <v>572</v>
      </c>
      <c r="D48" s="450" t="s">
        <v>589</v>
      </c>
      <c r="E48" s="451">
        <f t="shared" si="25"/>
        <v>31</v>
      </c>
      <c r="F48" s="452">
        <v>43952.0</v>
      </c>
      <c r="G48" s="452">
        <v>43982.0</v>
      </c>
      <c r="H48" s="453">
        <v>97.0</v>
      </c>
      <c r="I48" s="454"/>
      <c r="J48" s="455">
        <v>0.0</v>
      </c>
      <c r="K48" s="444">
        <f t="shared" si="26"/>
        <v>0</v>
      </c>
      <c r="L48" s="444">
        <f t="shared" si="27"/>
        <v>0</v>
      </c>
      <c r="M48" s="444">
        <f t="shared" si="28"/>
        <v>0</v>
      </c>
      <c r="N48" s="444">
        <f t="shared" si="29"/>
        <v>0</v>
      </c>
      <c r="O48" s="448"/>
      <c r="P48" s="432"/>
      <c r="Q48" s="432"/>
      <c r="R48" s="432"/>
      <c r="S48" s="426"/>
      <c r="T48" s="426"/>
      <c r="U48" s="426"/>
      <c r="V48" s="426"/>
      <c r="W48" s="426"/>
      <c r="X48" s="426"/>
      <c r="Y48" s="426"/>
      <c r="Z48" s="426"/>
      <c r="AA48" s="426"/>
    </row>
    <row r="49" ht="15.75" customHeight="1">
      <c r="A49" s="437">
        <v>20.0</v>
      </c>
      <c r="B49" s="456" t="s">
        <v>572</v>
      </c>
      <c r="D49" s="450" t="s">
        <v>590</v>
      </c>
      <c r="E49" s="451">
        <f t="shared" si="25"/>
        <v>31</v>
      </c>
      <c r="F49" s="452">
        <v>43952.0</v>
      </c>
      <c r="G49" s="452">
        <v>43982.0</v>
      </c>
      <c r="H49" s="453">
        <v>97.0</v>
      </c>
      <c r="I49" s="454"/>
      <c r="J49" s="455">
        <v>0.0</v>
      </c>
      <c r="K49" s="444">
        <f t="shared" si="26"/>
        <v>0</v>
      </c>
      <c r="L49" s="444">
        <f t="shared" si="27"/>
        <v>0</v>
      </c>
      <c r="M49" s="444">
        <f t="shared" si="28"/>
        <v>0</v>
      </c>
      <c r="N49" s="444">
        <f t="shared" si="29"/>
        <v>0</v>
      </c>
      <c r="O49" s="448"/>
      <c r="P49" s="432"/>
      <c r="Q49" s="432"/>
      <c r="R49" s="432"/>
      <c r="S49" s="426"/>
      <c r="T49" s="426"/>
      <c r="U49" s="426"/>
      <c r="V49" s="426"/>
      <c r="W49" s="426"/>
      <c r="X49" s="426"/>
      <c r="Y49" s="426"/>
      <c r="Z49" s="426"/>
      <c r="AA49" s="426"/>
    </row>
    <row r="50" ht="15.75" customHeight="1">
      <c r="A50" s="437">
        <v>21.0</v>
      </c>
      <c r="B50" s="456" t="s">
        <v>591</v>
      </c>
      <c r="D50" s="450" t="s">
        <v>592</v>
      </c>
      <c r="E50" s="451">
        <f t="shared" si="25"/>
        <v>31</v>
      </c>
      <c r="F50" s="452">
        <v>43952.0</v>
      </c>
      <c r="G50" s="452">
        <v>43982.0</v>
      </c>
      <c r="H50" s="453">
        <v>997.0</v>
      </c>
      <c r="I50" s="454"/>
      <c r="J50" s="455">
        <v>5000.0</v>
      </c>
      <c r="K50" s="444">
        <f t="shared" si="26"/>
        <v>0</v>
      </c>
      <c r="L50" s="444">
        <f t="shared" si="27"/>
        <v>0</v>
      </c>
      <c r="M50" s="444">
        <f t="shared" si="28"/>
        <v>-5000</v>
      </c>
      <c r="N50" s="444">
        <f t="shared" si="29"/>
        <v>-161.2903226</v>
      </c>
      <c r="O50" s="448"/>
      <c r="P50" s="432"/>
      <c r="Q50" s="432"/>
      <c r="R50" s="432"/>
      <c r="S50" s="426"/>
      <c r="T50" s="426"/>
      <c r="U50" s="426"/>
      <c r="V50" s="426"/>
      <c r="W50" s="426"/>
      <c r="X50" s="426"/>
      <c r="Y50" s="426"/>
      <c r="Z50" s="426"/>
      <c r="AA50" s="426"/>
    </row>
    <row r="51" ht="15.75" customHeight="1">
      <c r="A51" s="437">
        <v>21.0</v>
      </c>
      <c r="B51" s="456" t="s">
        <v>591</v>
      </c>
      <c r="D51" s="450" t="s">
        <v>592</v>
      </c>
      <c r="E51" s="451">
        <f t="shared" si="25"/>
        <v>31</v>
      </c>
      <c r="F51" s="452">
        <v>43952.0</v>
      </c>
      <c r="G51" s="452">
        <v>43982.0</v>
      </c>
      <c r="H51" s="453">
        <v>1297.0</v>
      </c>
      <c r="I51" s="454"/>
      <c r="J51" s="455"/>
      <c r="K51" s="444"/>
      <c r="L51" s="444"/>
      <c r="M51" s="444"/>
      <c r="N51" s="444"/>
      <c r="O51" s="448"/>
      <c r="P51" s="432"/>
      <c r="Q51" s="432"/>
      <c r="R51" s="432"/>
      <c r="S51" s="426"/>
      <c r="T51" s="426"/>
      <c r="U51" s="426"/>
      <c r="V51" s="426"/>
      <c r="W51" s="426"/>
      <c r="X51" s="426"/>
      <c r="Y51" s="426"/>
      <c r="Z51" s="426"/>
      <c r="AA51" s="426"/>
    </row>
    <row r="52" ht="15.75" customHeight="1">
      <c r="A52" s="437">
        <v>23.0</v>
      </c>
      <c r="B52" s="456" t="s">
        <v>575</v>
      </c>
      <c r="D52" s="450" t="s">
        <v>583</v>
      </c>
      <c r="E52" s="451">
        <f t="shared" si="25"/>
        <v>31</v>
      </c>
      <c r="F52" s="452">
        <v>43952.0</v>
      </c>
      <c r="G52" s="452">
        <v>43982.0</v>
      </c>
      <c r="H52" s="453">
        <v>397.0</v>
      </c>
      <c r="I52" s="454"/>
      <c r="J52" s="455">
        <v>3500.0</v>
      </c>
      <c r="K52" s="444">
        <f t="shared" ref="K52:K54" si="30">I52*H52</f>
        <v>0</v>
      </c>
      <c r="L52" s="444">
        <f t="shared" ref="L52:L54" si="31">iferror(K52/E52,"")</f>
        <v>0</v>
      </c>
      <c r="M52" s="444">
        <f t="shared" ref="M52:M54" si="32">K52-J52</f>
        <v>-3500</v>
      </c>
      <c r="N52" s="444">
        <f t="shared" ref="N52:N54" si="33">iferror(M52/E52,"")</f>
        <v>-112.9032258</v>
      </c>
      <c r="O52" s="448"/>
      <c r="P52" s="432"/>
      <c r="Q52" s="432"/>
      <c r="R52" s="432"/>
      <c r="S52" s="426"/>
      <c r="T52" s="426"/>
      <c r="U52" s="426"/>
      <c r="V52" s="426"/>
      <c r="W52" s="426"/>
      <c r="X52" s="426"/>
      <c r="Y52" s="426"/>
      <c r="Z52" s="426"/>
      <c r="AA52" s="426"/>
    </row>
    <row r="53" ht="15.75" customHeight="1">
      <c r="A53" s="437">
        <v>24.0</v>
      </c>
      <c r="B53" s="456" t="s">
        <v>582</v>
      </c>
      <c r="D53" s="450" t="s">
        <v>583</v>
      </c>
      <c r="E53" s="451">
        <f t="shared" si="25"/>
        <v>31</v>
      </c>
      <c r="F53" s="452">
        <v>43952.0</v>
      </c>
      <c r="G53" s="452">
        <v>43982.0</v>
      </c>
      <c r="H53" s="453">
        <v>397.0</v>
      </c>
      <c r="I53" s="454"/>
      <c r="J53" s="455">
        <v>3500.0</v>
      </c>
      <c r="K53" s="444">
        <f t="shared" si="30"/>
        <v>0</v>
      </c>
      <c r="L53" s="444">
        <f t="shared" si="31"/>
        <v>0</v>
      </c>
      <c r="M53" s="444">
        <f t="shared" si="32"/>
        <v>-3500</v>
      </c>
      <c r="N53" s="444">
        <f t="shared" si="33"/>
        <v>-112.9032258</v>
      </c>
      <c r="O53" s="448"/>
    </row>
    <row r="54" ht="15.75" customHeight="1">
      <c r="A54" s="437">
        <v>25.0</v>
      </c>
      <c r="B54" s="456" t="s">
        <v>575</v>
      </c>
      <c r="D54" s="450" t="s">
        <v>593</v>
      </c>
      <c r="E54" s="451">
        <f t="shared" si="25"/>
        <v>31</v>
      </c>
      <c r="F54" s="452">
        <v>43952.0</v>
      </c>
      <c r="G54" s="452">
        <v>43982.0</v>
      </c>
      <c r="H54" s="453">
        <v>397.0</v>
      </c>
      <c r="I54" s="454"/>
      <c r="J54" s="455">
        <v>1500.0</v>
      </c>
      <c r="K54" s="444">
        <f t="shared" si="30"/>
        <v>0</v>
      </c>
      <c r="L54" s="444">
        <f t="shared" si="31"/>
        <v>0</v>
      </c>
      <c r="M54" s="444">
        <f t="shared" si="32"/>
        <v>-1500</v>
      </c>
      <c r="N54" s="444">
        <f t="shared" si="33"/>
        <v>-48.38709677</v>
      </c>
      <c r="O54" s="448"/>
      <c r="P54" s="432"/>
      <c r="Q54" s="432"/>
      <c r="R54" s="432"/>
      <c r="S54" s="426"/>
      <c r="T54" s="426"/>
      <c r="U54" s="426"/>
      <c r="V54" s="426"/>
      <c r="W54" s="426"/>
      <c r="X54" s="426"/>
      <c r="Y54" s="426"/>
      <c r="Z54" s="426"/>
      <c r="AA54" s="426"/>
    </row>
    <row r="55" ht="15.75" customHeight="1">
      <c r="O55" s="448"/>
      <c r="P55" s="432"/>
      <c r="Q55" s="432"/>
      <c r="R55" s="432"/>
      <c r="S55" s="426"/>
      <c r="T55" s="426"/>
      <c r="U55" s="426"/>
      <c r="V55" s="426"/>
      <c r="W55" s="426"/>
      <c r="X55" s="426"/>
      <c r="Y55" s="426"/>
      <c r="Z55" s="426"/>
      <c r="AA55" s="426"/>
    </row>
    <row r="56" ht="15.75" customHeight="1">
      <c r="O56" s="448"/>
      <c r="P56" s="432"/>
      <c r="Q56" s="432"/>
      <c r="R56" s="432"/>
      <c r="S56" s="426"/>
      <c r="T56" s="426"/>
      <c r="U56" s="426"/>
      <c r="V56" s="426"/>
      <c r="W56" s="426"/>
      <c r="X56" s="426"/>
      <c r="Y56" s="426"/>
      <c r="Z56" s="426"/>
      <c r="AA56" s="426"/>
    </row>
    <row r="57" ht="15.75" customHeight="1">
      <c r="A57" s="431" t="s">
        <v>594</v>
      </c>
      <c r="B57" s="438"/>
      <c r="D57" s="439"/>
      <c r="E57" s="445">
        <f>SUM(E58:E61)</f>
        <v>94</v>
      </c>
      <c r="F57" s="432"/>
      <c r="G57" s="432"/>
      <c r="H57" s="434"/>
      <c r="I57" s="432"/>
      <c r="J57" s="446"/>
      <c r="K57" s="435">
        <f>SUM(K58:K61)</f>
        <v>0</v>
      </c>
      <c r="L57" s="446">
        <f>K57/E57</f>
        <v>0</v>
      </c>
      <c r="M57" s="447">
        <f t="shared" ref="M57:N57" si="34">sum(M58:M61)</f>
        <v>-11000</v>
      </c>
      <c r="N57" s="447">
        <f t="shared" si="34"/>
        <v>-354.8387097</v>
      </c>
      <c r="O57" s="448"/>
      <c r="P57" s="432"/>
      <c r="Q57" s="432"/>
      <c r="R57" s="432"/>
      <c r="S57" s="426"/>
      <c r="T57" s="426"/>
      <c r="U57" s="426"/>
      <c r="V57" s="426"/>
      <c r="W57" s="426"/>
      <c r="X57" s="426"/>
      <c r="Y57" s="426"/>
      <c r="Z57" s="426"/>
      <c r="AA57" s="426"/>
    </row>
    <row r="58" ht="15.75" customHeight="1">
      <c r="A58" s="437">
        <v>1.0</v>
      </c>
      <c r="B58" s="438" t="s">
        <v>595</v>
      </c>
      <c r="D58" s="439" t="s">
        <v>577</v>
      </c>
      <c r="E58" s="440">
        <f t="shared" ref="E58:E61" si="35">G58-F58+1</f>
        <v>31</v>
      </c>
      <c r="F58" s="441">
        <v>43952.0</v>
      </c>
      <c r="G58" s="441">
        <v>43982.0</v>
      </c>
      <c r="H58" s="442">
        <v>997.0</v>
      </c>
      <c r="I58" s="443"/>
      <c r="J58" s="444">
        <v>5000.0</v>
      </c>
      <c r="K58" s="444">
        <f t="shared" ref="K58:K61" si="36">I58*H58</f>
        <v>0</v>
      </c>
      <c r="L58" s="444">
        <f t="shared" ref="L58:L61" si="37">iferror(K58/E58,"")</f>
        <v>0</v>
      </c>
      <c r="M58" s="444">
        <f t="shared" ref="M58:M61" si="38">K58-J58</f>
        <v>-5000</v>
      </c>
      <c r="N58" s="444">
        <f t="shared" ref="N58:N61" si="39">iferror(M58/E58,"")</f>
        <v>-161.2903226</v>
      </c>
      <c r="O58" s="448"/>
      <c r="P58" s="432"/>
      <c r="Q58" s="432"/>
      <c r="R58" s="432"/>
      <c r="S58" s="426"/>
      <c r="T58" s="426"/>
      <c r="U58" s="426"/>
      <c r="V58" s="426"/>
      <c r="W58" s="426"/>
      <c r="X58" s="426"/>
      <c r="Y58" s="426"/>
      <c r="Z58" s="426"/>
      <c r="AA58" s="426"/>
    </row>
    <row r="59" ht="15.75" customHeight="1">
      <c r="A59" s="437">
        <v>2.0</v>
      </c>
      <c r="B59" s="438" t="s">
        <v>596</v>
      </c>
      <c r="D59" s="439" t="s">
        <v>597</v>
      </c>
      <c r="E59" s="440">
        <f t="shared" si="35"/>
        <v>31</v>
      </c>
      <c r="F59" s="441">
        <v>43952.0</v>
      </c>
      <c r="G59" s="441">
        <v>43982.0</v>
      </c>
      <c r="H59" s="442">
        <v>0.0</v>
      </c>
      <c r="I59" s="443"/>
      <c r="J59" s="444">
        <v>1000.0</v>
      </c>
      <c r="K59" s="444">
        <f t="shared" si="36"/>
        <v>0</v>
      </c>
      <c r="L59" s="444">
        <f t="shared" si="37"/>
        <v>0</v>
      </c>
      <c r="M59" s="444">
        <f t="shared" si="38"/>
        <v>-1000</v>
      </c>
      <c r="N59" s="444">
        <f t="shared" si="39"/>
        <v>-32.25806452</v>
      </c>
      <c r="O59" s="448"/>
      <c r="P59" s="432"/>
      <c r="Q59" s="432"/>
      <c r="R59" s="432"/>
      <c r="S59" s="426"/>
      <c r="T59" s="426"/>
      <c r="U59" s="426"/>
      <c r="V59" s="426"/>
      <c r="W59" s="426"/>
      <c r="X59" s="426"/>
      <c r="Y59" s="426"/>
      <c r="Z59" s="426"/>
      <c r="AA59" s="426"/>
    </row>
    <row r="60" ht="15.75" customHeight="1">
      <c r="A60" s="437">
        <v>22.0</v>
      </c>
      <c r="B60" s="456" t="s">
        <v>595</v>
      </c>
      <c r="D60" s="458" t="s">
        <v>592</v>
      </c>
      <c r="E60" s="440">
        <f t="shared" si="35"/>
        <v>31</v>
      </c>
      <c r="F60" s="441">
        <v>43952.0</v>
      </c>
      <c r="G60" s="441">
        <v>43982.0</v>
      </c>
      <c r="H60" s="442">
        <v>997.0</v>
      </c>
      <c r="I60" s="443"/>
      <c r="J60" s="444">
        <v>5000.0</v>
      </c>
      <c r="K60" s="444">
        <f t="shared" si="36"/>
        <v>0</v>
      </c>
      <c r="L60" s="444">
        <f t="shared" si="37"/>
        <v>0</v>
      </c>
      <c r="M60" s="444">
        <f t="shared" si="38"/>
        <v>-5000</v>
      </c>
      <c r="N60" s="444">
        <f t="shared" si="39"/>
        <v>-161.2903226</v>
      </c>
      <c r="O60" s="448"/>
      <c r="P60" s="432"/>
      <c r="Q60" s="432"/>
      <c r="R60" s="432"/>
      <c r="S60" s="426"/>
      <c r="T60" s="426"/>
      <c r="U60" s="426"/>
      <c r="V60" s="426"/>
      <c r="W60" s="426"/>
      <c r="X60" s="426"/>
      <c r="Y60" s="426"/>
      <c r="Z60" s="426"/>
      <c r="AA60" s="426"/>
    </row>
    <row r="61" ht="15.75" customHeight="1">
      <c r="A61" s="437">
        <v>4.0</v>
      </c>
      <c r="B61" s="438"/>
      <c r="D61" s="439"/>
      <c r="E61" s="440">
        <f t="shared" si="35"/>
        <v>1</v>
      </c>
      <c r="F61" s="441"/>
      <c r="G61" s="441"/>
      <c r="H61" s="442"/>
      <c r="I61" s="443"/>
      <c r="J61" s="444"/>
      <c r="K61" s="444">
        <f t="shared" si="36"/>
        <v>0</v>
      </c>
      <c r="L61" s="444">
        <f t="shared" si="37"/>
        <v>0</v>
      </c>
      <c r="M61" s="444">
        <f t="shared" si="38"/>
        <v>0</v>
      </c>
      <c r="N61" s="444">
        <f t="shared" si="39"/>
        <v>0</v>
      </c>
      <c r="O61" s="448"/>
      <c r="P61" s="432"/>
      <c r="Q61" s="432"/>
      <c r="R61" s="432"/>
      <c r="S61" s="426"/>
      <c r="T61" s="426"/>
      <c r="U61" s="426"/>
      <c r="V61" s="426"/>
      <c r="W61" s="426"/>
      <c r="X61" s="426"/>
      <c r="Y61" s="426"/>
      <c r="Z61" s="426"/>
      <c r="AA61" s="426"/>
    </row>
    <row r="62" ht="15.75" customHeight="1">
      <c r="A62" s="431" t="s">
        <v>598</v>
      </c>
      <c r="B62" s="438"/>
      <c r="D62" s="439"/>
      <c r="E62" s="445">
        <f>SUM(E65:E66)</f>
        <v>2</v>
      </c>
      <c r="F62" s="432"/>
      <c r="G62" s="432"/>
      <c r="H62" s="434"/>
      <c r="I62" s="432"/>
      <c r="J62" s="446"/>
      <c r="K62" s="435">
        <f>SUM(K63:K66)</f>
        <v>0</v>
      </c>
      <c r="L62" s="446">
        <f>K62/E62</f>
        <v>0</v>
      </c>
      <c r="M62" s="447">
        <f t="shared" ref="M62:N62" si="40">sum(M65:M66)</f>
        <v>0</v>
      </c>
      <c r="N62" s="447">
        <f t="shared" si="40"/>
        <v>0</v>
      </c>
      <c r="O62" s="436" t="s">
        <v>291</v>
      </c>
      <c r="P62" s="432"/>
      <c r="Q62" s="432"/>
      <c r="R62" s="432"/>
      <c r="S62" s="426"/>
      <c r="T62" s="426"/>
      <c r="U62" s="426"/>
      <c r="V62" s="426"/>
      <c r="W62" s="426"/>
      <c r="X62" s="426"/>
      <c r="Y62" s="426"/>
      <c r="Z62" s="426"/>
      <c r="AA62" s="426"/>
    </row>
    <row r="63" ht="15.75" customHeight="1">
      <c r="A63" s="437">
        <v>1.0</v>
      </c>
      <c r="B63" s="438"/>
      <c r="D63" s="439"/>
      <c r="E63" s="440"/>
      <c r="F63" s="441"/>
      <c r="G63" s="441"/>
      <c r="H63" s="442"/>
      <c r="I63" s="443"/>
      <c r="J63" s="444"/>
      <c r="K63" s="444">
        <f t="shared" ref="K63:K66" si="41">I63*H63</f>
        <v>0</v>
      </c>
      <c r="L63" s="444" t="str">
        <f t="shared" ref="L63:L66" si="42">iferror(K63/E63,"")</f>
        <v/>
      </c>
      <c r="M63" s="444">
        <f t="shared" ref="M63:M66" si="43">K63-J63</f>
        <v>0</v>
      </c>
      <c r="N63" s="444" t="str">
        <f t="shared" ref="N63:N66" si="44">iferror(M63/E63,"")</f>
        <v/>
      </c>
      <c r="P63" s="432"/>
      <c r="Q63" s="432"/>
      <c r="R63" s="432"/>
      <c r="S63" s="426"/>
      <c r="T63" s="426"/>
      <c r="U63" s="426"/>
      <c r="V63" s="426"/>
      <c r="W63" s="426"/>
      <c r="X63" s="426"/>
      <c r="Y63" s="426"/>
      <c r="Z63" s="426"/>
      <c r="AA63" s="426"/>
    </row>
    <row r="64" ht="15.75" customHeight="1">
      <c r="A64" s="437">
        <v>2.0</v>
      </c>
      <c r="B64" s="438"/>
      <c r="D64" s="439"/>
      <c r="E64" s="440">
        <f t="shared" ref="E64:E66" si="45">G64-F64+1</f>
        <v>1</v>
      </c>
      <c r="F64" s="441"/>
      <c r="G64" s="441"/>
      <c r="H64" s="442"/>
      <c r="I64" s="443"/>
      <c r="J64" s="444"/>
      <c r="K64" s="444">
        <f t="shared" si="41"/>
        <v>0</v>
      </c>
      <c r="L64" s="444">
        <f t="shared" si="42"/>
        <v>0</v>
      </c>
      <c r="M64" s="444">
        <f t="shared" si="43"/>
        <v>0</v>
      </c>
      <c r="N64" s="444">
        <f t="shared" si="44"/>
        <v>0</v>
      </c>
      <c r="P64" s="432"/>
      <c r="Q64" s="432"/>
      <c r="R64" s="432"/>
      <c r="S64" s="426"/>
      <c r="T64" s="426"/>
      <c r="U64" s="426"/>
      <c r="V64" s="426"/>
      <c r="W64" s="426"/>
      <c r="X64" s="426"/>
      <c r="Y64" s="426"/>
      <c r="Z64" s="426"/>
      <c r="AA64" s="426"/>
    </row>
    <row r="65" ht="15.75" customHeight="1">
      <c r="A65" s="437">
        <v>3.0</v>
      </c>
      <c r="B65" s="438"/>
      <c r="D65" s="439"/>
      <c r="E65" s="440">
        <f t="shared" si="45"/>
        <v>1</v>
      </c>
      <c r="F65" s="441"/>
      <c r="G65" s="441"/>
      <c r="H65" s="442"/>
      <c r="I65" s="443"/>
      <c r="J65" s="444"/>
      <c r="K65" s="444">
        <f t="shared" si="41"/>
        <v>0</v>
      </c>
      <c r="L65" s="444">
        <f t="shared" si="42"/>
        <v>0</v>
      </c>
      <c r="M65" s="444">
        <f t="shared" si="43"/>
        <v>0</v>
      </c>
      <c r="N65" s="444">
        <f t="shared" si="44"/>
        <v>0</v>
      </c>
      <c r="P65" s="432"/>
      <c r="Q65" s="432"/>
      <c r="R65" s="432"/>
      <c r="S65" s="426"/>
      <c r="T65" s="426"/>
      <c r="U65" s="426"/>
      <c r="V65" s="426"/>
      <c r="W65" s="426"/>
      <c r="X65" s="426"/>
      <c r="Y65" s="426"/>
      <c r="Z65" s="426"/>
      <c r="AA65" s="426"/>
    </row>
    <row r="66" ht="15.75" customHeight="1">
      <c r="A66" s="437">
        <v>4.0</v>
      </c>
      <c r="B66" s="438"/>
      <c r="D66" s="439"/>
      <c r="E66" s="440">
        <f t="shared" si="45"/>
        <v>1</v>
      </c>
      <c r="F66" s="441"/>
      <c r="G66" s="441"/>
      <c r="H66" s="442"/>
      <c r="I66" s="443"/>
      <c r="J66" s="444"/>
      <c r="K66" s="444">
        <f t="shared" si="41"/>
        <v>0</v>
      </c>
      <c r="L66" s="444">
        <f t="shared" si="42"/>
        <v>0</v>
      </c>
      <c r="M66" s="444">
        <f t="shared" si="43"/>
        <v>0</v>
      </c>
      <c r="N66" s="444">
        <f t="shared" si="44"/>
        <v>0</v>
      </c>
      <c r="P66" s="426"/>
      <c r="Q66" s="426"/>
      <c r="R66" s="426"/>
      <c r="S66" s="426"/>
      <c r="T66" s="426"/>
      <c r="U66" s="426"/>
      <c r="V66" s="426"/>
      <c r="W66" s="426"/>
      <c r="X66" s="426"/>
      <c r="Y66" s="426"/>
      <c r="Z66" s="426"/>
      <c r="AA66" s="426"/>
    </row>
    <row r="67" ht="15.75" customHeight="1">
      <c r="A67" s="431" t="s">
        <v>599</v>
      </c>
      <c r="B67" s="438"/>
      <c r="D67" s="439"/>
      <c r="E67" s="445" t="str">
        <f>SUM(#REF!)</f>
        <v>#REF!</v>
      </c>
      <c r="F67" s="432"/>
      <c r="G67" s="432"/>
      <c r="H67" s="434"/>
      <c r="I67" s="432"/>
      <c r="J67" s="446"/>
      <c r="K67" s="435">
        <f>SUM(K68:K71)</f>
        <v>0</v>
      </c>
      <c r="L67" s="446" t="str">
        <f>K67/E67</f>
        <v>#REF!</v>
      </c>
      <c r="M67" s="447" t="str">
        <f t="shared" ref="M67:N67" si="46">sum(#REF!)</f>
        <v>#REF!</v>
      </c>
      <c r="N67" s="447" t="str">
        <f t="shared" si="46"/>
        <v>#REF!</v>
      </c>
      <c r="P67" s="432"/>
      <c r="Q67" s="432"/>
      <c r="R67" s="432"/>
      <c r="S67" s="426"/>
      <c r="T67" s="426"/>
      <c r="U67" s="426"/>
      <c r="V67" s="426"/>
      <c r="W67" s="426"/>
      <c r="X67" s="426"/>
      <c r="Y67" s="426"/>
      <c r="Z67" s="426"/>
      <c r="AA67" s="426"/>
    </row>
    <row r="68" ht="15.75" customHeight="1">
      <c r="A68" s="437">
        <v>1.0</v>
      </c>
      <c r="B68" s="438"/>
      <c r="D68" s="439"/>
      <c r="E68" s="440"/>
      <c r="F68" s="441"/>
      <c r="G68" s="441"/>
      <c r="H68" s="442"/>
      <c r="I68" s="443"/>
      <c r="J68" s="444"/>
      <c r="K68" s="444">
        <f t="shared" ref="K68:K71" si="47">I68*H68</f>
        <v>0</v>
      </c>
      <c r="L68" s="444" t="str">
        <f t="shared" ref="L68:L71" si="48">iferror(K68/E68,"")</f>
        <v/>
      </c>
      <c r="M68" s="444">
        <f t="shared" ref="M68:M71" si="49">K68-J68</f>
        <v>0</v>
      </c>
      <c r="N68" s="444" t="str">
        <f t="shared" ref="N68:N71" si="50">iferror(M68/E68,"")</f>
        <v/>
      </c>
      <c r="P68" s="432"/>
      <c r="Q68" s="432"/>
      <c r="R68" s="432"/>
      <c r="S68" s="426"/>
      <c r="T68" s="426"/>
      <c r="U68" s="426"/>
      <c r="V68" s="426"/>
      <c r="W68" s="426"/>
      <c r="X68" s="426"/>
      <c r="Y68" s="426"/>
      <c r="Z68" s="426"/>
      <c r="AA68" s="426"/>
    </row>
    <row r="69" ht="15.75" customHeight="1">
      <c r="A69" s="437">
        <v>2.0</v>
      </c>
      <c r="B69" s="438"/>
      <c r="D69" s="439"/>
      <c r="E69" s="440">
        <f t="shared" ref="E69:E71" si="51">G69-F69+1</f>
        <v>1</v>
      </c>
      <c r="F69" s="441"/>
      <c r="G69" s="441"/>
      <c r="H69" s="442"/>
      <c r="I69" s="443"/>
      <c r="J69" s="444"/>
      <c r="K69" s="444">
        <f t="shared" si="47"/>
        <v>0</v>
      </c>
      <c r="L69" s="444">
        <f t="shared" si="48"/>
        <v>0</v>
      </c>
      <c r="M69" s="444">
        <f t="shared" si="49"/>
        <v>0</v>
      </c>
      <c r="N69" s="444">
        <f t="shared" si="50"/>
        <v>0</v>
      </c>
      <c r="P69" s="432"/>
      <c r="Q69" s="432"/>
      <c r="R69" s="432"/>
      <c r="S69" s="426"/>
      <c r="T69" s="426"/>
      <c r="U69" s="426"/>
      <c r="V69" s="426"/>
      <c r="W69" s="426"/>
      <c r="X69" s="426"/>
      <c r="Y69" s="426"/>
      <c r="Z69" s="426"/>
      <c r="AA69" s="426"/>
    </row>
    <row r="70" ht="15.75" customHeight="1">
      <c r="A70" s="437">
        <v>3.0</v>
      </c>
      <c r="B70" s="438"/>
      <c r="D70" s="439"/>
      <c r="E70" s="440">
        <f t="shared" si="51"/>
        <v>1</v>
      </c>
      <c r="F70" s="441"/>
      <c r="G70" s="441"/>
      <c r="H70" s="442"/>
      <c r="I70" s="443"/>
      <c r="J70" s="444"/>
      <c r="K70" s="444">
        <f t="shared" si="47"/>
        <v>0</v>
      </c>
      <c r="L70" s="444">
        <f t="shared" si="48"/>
        <v>0</v>
      </c>
      <c r="M70" s="444">
        <f t="shared" si="49"/>
        <v>0</v>
      </c>
      <c r="N70" s="444">
        <f t="shared" si="50"/>
        <v>0</v>
      </c>
      <c r="P70" s="432"/>
      <c r="Q70" s="432"/>
      <c r="R70" s="432"/>
      <c r="S70" s="426"/>
      <c r="T70" s="426"/>
      <c r="U70" s="426"/>
      <c r="V70" s="426"/>
      <c r="W70" s="426"/>
      <c r="X70" s="426"/>
      <c r="Y70" s="426"/>
      <c r="Z70" s="426"/>
      <c r="AA70" s="426"/>
    </row>
    <row r="71" ht="15.75" customHeight="1">
      <c r="A71" s="437">
        <v>4.0</v>
      </c>
      <c r="B71" s="438"/>
      <c r="D71" s="439"/>
      <c r="E71" s="440">
        <f t="shared" si="51"/>
        <v>1</v>
      </c>
      <c r="F71" s="441"/>
      <c r="G71" s="441"/>
      <c r="H71" s="442"/>
      <c r="I71" s="443"/>
      <c r="J71" s="444"/>
      <c r="K71" s="444">
        <f t="shared" si="47"/>
        <v>0</v>
      </c>
      <c r="L71" s="444">
        <f t="shared" si="48"/>
        <v>0</v>
      </c>
      <c r="M71" s="444">
        <f t="shared" si="49"/>
        <v>0</v>
      </c>
      <c r="N71" s="444">
        <f t="shared" si="50"/>
        <v>0</v>
      </c>
      <c r="P71" s="432"/>
      <c r="Q71" s="432"/>
      <c r="R71" s="432"/>
      <c r="S71" s="426"/>
      <c r="T71" s="426"/>
      <c r="U71" s="426"/>
      <c r="V71" s="426"/>
      <c r="W71" s="426"/>
      <c r="X71" s="426"/>
      <c r="Y71" s="426"/>
      <c r="Z71" s="426"/>
      <c r="AA71" s="426"/>
    </row>
    <row r="72" ht="15.75" customHeight="1">
      <c r="A72" s="431" t="s">
        <v>600</v>
      </c>
      <c r="B72" s="438"/>
      <c r="D72" s="439"/>
      <c r="E72" s="445">
        <f>SUM(E75:E76)</f>
        <v>2</v>
      </c>
      <c r="F72" s="432"/>
      <c r="G72" s="432"/>
      <c r="H72" s="434"/>
      <c r="I72" s="432"/>
      <c r="J72" s="446"/>
      <c r="K72" s="435">
        <f>SUM(K73:K76)</f>
        <v>0</v>
      </c>
      <c r="L72" s="446">
        <f>K72/E72</f>
        <v>0</v>
      </c>
      <c r="M72" s="447">
        <f t="shared" ref="M72:N72" si="52">sum(M75:M76)</f>
        <v>0</v>
      </c>
      <c r="N72" s="447">
        <f t="shared" si="52"/>
        <v>0</v>
      </c>
      <c r="P72" s="432"/>
      <c r="Q72" s="432"/>
      <c r="R72" s="432"/>
      <c r="S72" s="426"/>
      <c r="T72" s="426"/>
      <c r="U72" s="426"/>
      <c r="V72" s="426"/>
      <c r="W72" s="426"/>
      <c r="X72" s="426"/>
      <c r="Y72" s="426"/>
      <c r="Z72" s="426"/>
      <c r="AA72" s="426"/>
    </row>
    <row r="73" ht="15.75" customHeight="1">
      <c r="A73" s="437">
        <v>1.0</v>
      </c>
      <c r="B73" s="438"/>
      <c r="D73" s="439"/>
      <c r="E73" s="440"/>
      <c r="F73" s="441"/>
      <c r="G73" s="441"/>
      <c r="H73" s="442"/>
      <c r="I73" s="443"/>
      <c r="J73" s="444"/>
      <c r="K73" s="444">
        <f t="shared" ref="K73:K76" si="53">I73*H73</f>
        <v>0</v>
      </c>
      <c r="L73" s="444" t="str">
        <f t="shared" ref="L73:L76" si="54">iferror(K73/E73,"")</f>
        <v/>
      </c>
      <c r="M73" s="444">
        <f t="shared" ref="M73:M76" si="55">K73-J73</f>
        <v>0</v>
      </c>
      <c r="N73" s="444" t="str">
        <f t="shared" ref="N73:N76" si="56">iferror(M73/E73,"")</f>
        <v/>
      </c>
      <c r="P73" s="432"/>
      <c r="Q73" s="432"/>
      <c r="R73" s="432"/>
      <c r="S73" s="426"/>
      <c r="T73" s="426"/>
      <c r="U73" s="426"/>
      <c r="V73" s="426"/>
      <c r="W73" s="426"/>
      <c r="X73" s="426"/>
      <c r="Y73" s="426"/>
      <c r="Z73" s="426"/>
      <c r="AA73" s="426"/>
    </row>
    <row r="74" ht="15.75" customHeight="1">
      <c r="A74" s="437">
        <v>2.0</v>
      </c>
      <c r="B74" s="438"/>
      <c r="D74" s="439"/>
      <c r="E74" s="440">
        <f t="shared" ref="E74:E76" si="57">G74-F74+1</f>
        <v>1</v>
      </c>
      <c r="F74" s="441"/>
      <c r="G74" s="441"/>
      <c r="H74" s="442"/>
      <c r="I74" s="443"/>
      <c r="J74" s="444"/>
      <c r="K74" s="444">
        <f t="shared" si="53"/>
        <v>0</v>
      </c>
      <c r="L74" s="444">
        <f t="shared" si="54"/>
        <v>0</v>
      </c>
      <c r="M74" s="444">
        <f t="shared" si="55"/>
        <v>0</v>
      </c>
      <c r="N74" s="444">
        <f t="shared" si="56"/>
        <v>0</v>
      </c>
      <c r="P74" s="432"/>
      <c r="Q74" s="432"/>
      <c r="R74" s="432"/>
      <c r="S74" s="426"/>
      <c r="T74" s="426"/>
      <c r="U74" s="426"/>
      <c r="V74" s="426"/>
      <c r="W74" s="426"/>
      <c r="X74" s="426"/>
      <c r="Y74" s="426"/>
      <c r="Z74" s="426"/>
      <c r="AA74" s="426"/>
    </row>
    <row r="75" ht="15.75" customHeight="1">
      <c r="A75" s="437">
        <v>3.0</v>
      </c>
      <c r="B75" s="438"/>
      <c r="D75" s="439"/>
      <c r="E75" s="440">
        <f t="shared" si="57"/>
        <v>1</v>
      </c>
      <c r="F75" s="441"/>
      <c r="G75" s="441"/>
      <c r="H75" s="442"/>
      <c r="I75" s="443"/>
      <c r="J75" s="444"/>
      <c r="K75" s="444">
        <f t="shared" si="53"/>
        <v>0</v>
      </c>
      <c r="L75" s="444">
        <f t="shared" si="54"/>
        <v>0</v>
      </c>
      <c r="M75" s="444">
        <f t="shared" si="55"/>
        <v>0</v>
      </c>
      <c r="N75" s="444">
        <f t="shared" si="56"/>
        <v>0</v>
      </c>
      <c r="P75" s="432"/>
      <c r="Q75" s="432"/>
      <c r="R75" s="432"/>
      <c r="S75" s="426"/>
      <c r="T75" s="426"/>
      <c r="U75" s="426"/>
      <c r="V75" s="426"/>
      <c r="W75" s="426"/>
      <c r="X75" s="426"/>
      <c r="Y75" s="426"/>
      <c r="Z75" s="426"/>
      <c r="AA75" s="426"/>
    </row>
    <row r="76" ht="15.75" customHeight="1">
      <c r="A76" s="437">
        <v>4.0</v>
      </c>
      <c r="B76" s="438"/>
      <c r="D76" s="439"/>
      <c r="E76" s="440">
        <f t="shared" si="57"/>
        <v>1</v>
      </c>
      <c r="F76" s="441"/>
      <c r="G76" s="441"/>
      <c r="H76" s="442"/>
      <c r="I76" s="443"/>
      <c r="J76" s="444"/>
      <c r="K76" s="444">
        <f t="shared" si="53"/>
        <v>0</v>
      </c>
      <c r="L76" s="444">
        <f t="shared" si="54"/>
        <v>0</v>
      </c>
      <c r="M76" s="444">
        <f t="shared" si="55"/>
        <v>0</v>
      </c>
      <c r="N76" s="444">
        <f t="shared" si="56"/>
        <v>0</v>
      </c>
      <c r="P76" s="432"/>
      <c r="Q76" s="432"/>
      <c r="R76" s="432"/>
      <c r="S76" s="426"/>
      <c r="T76" s="426"/>
      <c r="U76" s="426"/>
      <c r="V76" s="426"/>
      <c r="W76" s="426"/>
      <c r="X76" s="426"/>
      <c r="Y76" s="426"/>
      <c r="Z76" s="426"/>
      <c r="AA76" s="426"/>
    </row>
    <row r="77" ht="15.75" customHeight="1">
      <c r="A77" s="431" t="s">
        <v>601</v>
      </c>
      <c r="B77" s="438"/>
      <c r="D77" s="439"/>
      <c r="E77" s="445">
        <f>SUM(E81)</f>
        <v>1</v>
      </c>
      <c r="F77" s="432"/>
      <c r="G77" s="432"/>
      <c r="H77" s="434"/>
      <c r="I77" s="432"/>
      <c r="J77" s="446"/>
      <c r="K77" s="435">
        <f>SUM(K78:K81)</f>
        <v>0</v>
      </c>
      <c r="L77" s="446">
        <f>K77/E77</f>
        <v>0</v>
      </c>
      <c r="M77" s="447">
        <f t="shared" ref="M77:N77" si="58">sum(M81)</f>
        <v>0</v>
      </c>
      <c r="N77" s="447">
        <f t="shared" si="58"/>
        <v>0</v>
      </c>
      <c r="O77" s="448" t="s">
        <v>292</v>
      </c>
      <c r="P77" s="432"/>
      <c r="Q77" s="432"/>
      <c r="R77" s="432"/>
      <c r="S77" s="426"/>
      <c r="T77" s="426"/>
      <c r="U77" s="426"/>
      <c r="V77" s="426"/>
      <c r="W77" s="426"/>
      <c r="X77" s="426"/>
      <c r="Y77" s="426"/>
      <c r="Z77" s="426"/>
      <c r="AA77" s="426"/>
    </row>
    <row r="78" ht="15.75" customHeight="1">
      <c r="A78" s="437">
        <v>1.0</v>
      </c>
      <c r="B78" s="438"/>
      <c r="D78" s="439"/>
      <c r="E78" s="440"/>
      <c r="F78" s="441"/>
      <c r="G78" s="441"/>
      <c r="H78" s="442"/>
      <c r="I78" s="443"/>
      <c r="J78" s="444"/>
      <c r="K78" s="444">
        <f t="shared" ref="K78:K81" si="59">I78*H78</f>
        <v>0</v>
      </c>
      <c r="L78" s="444" t="str">
        <f t="shared" ref="L78:L81" si="60">iferror(K78/E78,"")</f>
        <v/>
      </c>
      <c r="M78" s="444">
        <f t="shared" ref="M78:M81" si="61">K78-J78</f>
        <v>0</v>
      </c>
      <c r="N78" s="444" t="str">
        <f t="shared" ref="N78:N81" si="62">iferror(M78/E78,"")</f>
        <v/>
      </c>
      <c r="P78" s="432"/>
      <c r="Q78" s="432"/>
      <c r="R78" s="432"/>
      <c r="S78" s="426"/>
      <c r="T78" s="426"/>
      <c r="U78" s="426"/>
      <c r="V78" s="426"/>
      <c r="W78" s="426"/>
      <c r="X78" s="426"/>
      <c r="Y78" s="426"/>
      <c r="Z78" s="426"/>
      <c r="AA78" s="426"/>
    </row>
    <row r="79" ht="15.75" customHeight="1">
      <c r="A79" s="437">
        <v>2.0</v>
      </c>
      <c r="B79" s="438"/>
      <c r="D79" s="439"/>
      <c r="E79" s="440">
        <f t="shared" ref="E79:E81" si="63">G79-F79+1</f>
        <v>1</v>
      </c>
      <c r="F79" s="441"/>
      <c r="G79" s="441"/>
      <c r="H79" s="442"/>
      <c r="I79" s="443"/>
      <c r="J79" s="444"/>
      <c r="K79" s="444">
        <f t="shared" si="59"/>
        <v>0</v>
      </c>
      <c r="L79" s="444">
        <f t="shared" si="60"/>
        <v>0</v>
      </c>
      <c r="M79" s="444">
        <f t="shared" si="61"/>
        <v>0</v>
      </c>
      <c r="N79" s="444">
        <f t="shared" si="62"/>
        <v>0</v>
      </c>
      <c r="P79" s="432"/>
      <c r="Q79" s="432"/>
      <c r="R79" s="432"/>
      <c r="S79" s="426"/>
      <c r="T79" s="426"/>
      <c r="U79" s="426"/>
      <c r="V79" s="426"/>
      <c r="W79" s="426"/>
      <c r="X79" s="426"/>
      <c r="Y79" s="426"/>
      <c r="Z79" s="426"/>
      <c r="AA79" s="426"/>
    </row>
    <row r="80" ht="15.75" customHeight="1">
      <c r="A80" s="437">
        <v>3.0</v>
      </c>
      <c r="B80" s="438"/>
      <c r="D80" s="439"/>
      <c r="E80" s="440">
        <f t="shared" si="63"/>
        <v>1</v>
      </c>
      <c r="F80" s="441"/>
      <c r="G80" s="441"/>
      <c r="H80" s="442"/>
      <c r="I80" s="443"/>
      <c r="J80" s="444"/>
      <c r="K80" s="444">
        <f t="shared" si="59"/>
        <v>0</v>
      </c>
      <c r="L80" s="444">
        <f t="shared" si="60"/>
        <v>0</v>
      </c>
      <c r="M80" s="444">
        <f t="shared" si="61"/>
        <v>0</v>
      </c>
      <c r="N80" s="444">
        <f t="shared" si="62"/>
        <v>0</v>
      </c>
      <c r="P80" s="432"/>
      <c r="Q80" s="432"/>
      <c r="R80" s="432"/>
      <c r="S80" s="426"/>
      <c r="T80" s="426"/>
      <c r="U80" s="426"/>
      <c r="V80" s="426"/>
      <c r="W80" s="426"/>
      <c r="X80" s="426"/>
      <c r="Y80" s="426"/>
      <c r="Z80" s="426"/>
      <c r="AA80" s="426"/>
    </row>
    <row r="81" ht="15.75" customHeight="1">
      <c r="A81" s="437">
        <v>4.0</v>
      </c>
      <c r="B81" s="438"/>
      <c r="D81" s="439"/>
      <c r="E81" s="440">
        <f t="shared" si="63"/>
        <v>1</v>
      </c>
      <c r="F81" s="441"/>
      <c r="G81" s="441"/>
      <c r="H81" s="442"/>
      <c r="I81" s="443"/>
      <c r="J81" s="444"/>
      <c r="K81" s="444">
        <f t="shared" si="59"/>
        <v>0</v>
      </c>
      <c r="L81" s="444">
        <f t="shared" si="60"/>
        <v>0</v>
      </c>
      <c r="M81" s="444">
        <f t="shared" si="61"/>
        <v>0</v>
      </c>
      <c r="N81" s="444">
        <f t="shared" si="62"/>
        <v>0</v>
      </c>
      <c r="P81" s="432"/>
      <c r="Q81" s="432"/>
      <c r="R81" s="432"/>
      <c r="S81" s="426"/>
      <c r="T81" s="426"/>
      <c r="U81" s="426"/>
      <c r="V81" s="426"/>
      <c r="W81" s="426"/>
      <c r="X81" s="426"/>
      <c r="Y81" s="426"/>
      <c r="Z81" s="426"/>
      <c r="AA81" s="426"/>
    </row>
    <row r="82" ht="15.75" customHeight="1">
      <c r="A82" s="431" t="s">
        <v>602</v>
      </c>
      <c r="B82" s="438"/>
      <c r="D82" s="439"/>
      <c r="E82" s="445">
        <f>SUM(E84:E86)</f>
        <v>3</v>
      </c>
      <c r="F82" s="432"/>
      <c r="G82" s="432"/>
      <c r="H82" s="434"/>
      <c r="I82" s="432"/>
      <c r="J82" s="446"/>
      <c r="K82" s="435">
        <f>SUM(K83:K86)</f>
        <v>0</v>
      </c>
      <c r="L82" s="446">
        <f>K82/E82</f>
        <v>0</v>
      </c>
      <c r="M82" s="447">
        <f t="shared" ref="M82:N82" si="64">sum(M84:M86)</f>
        <v>0</v>
      </c>
      <c r="N82" s="447">
        <f t="shared" si="64"/>
        <v>0</v>
      </c>
      <c r="P82" s="432"/>
      <c r="Q82" s="432"/>
      <c r="R82" s="432"/>
      <c r="S82" s="426"/>
      <c r="T82" s="426"/>
      <c r="U82" s="426"/>
      <c r="V82" s="426"/>
      <c r="W82" s="426"/>
      <c r="X82" s="426"/>
      <c r="Y82" s="426"/>
      <c r="Z82" s="426"/>
      <c r="AA82" s="426"/>
    </row>
    <row r="83" ht="15.75" customHeight="1">
      <c r="A83" s="437">
        <v>1.0</v>
      </c>
      <c r="B83" s="438"/>
      <c r="D83" s="439"/>
      <c r="E83" s="440"/>
      <c r="F83" s="441"/>
      <c r="G83" s="441"/>
      <c r="H83" s="442"/>
      <c r="I83" s="443"/>
      <c r="J83" s="444"/>
      <c r="K83" s="444">
        <f t="shared" ref="K83:K86" si="65">I83*H83</f>
        <v>0</v>
      </c>
      <c r="L83" s="444" t="str">
        <f t="shared" ref="L83:L86" si="66">iferror(K83/E83,"")</f>
        <v/>
      </c>
      <c r="M83" s="444">
        <f t="shared" ref="M83:M86" si="67">K83-J83</f>
        <v>0</v>
      </c>
      <c r="N83" s="444" t="str">
        <f t="shared" ref="N83:N86" si="68">iferror(M83/E83,"")</f>
        <v/>
      </c>
      <c r="P83" s="432"/>
      <c r="Q83" s="432"/>
      <c r="R83" s="432"/>
      <c r="S83" s="426"/>
      <c r="T83" s="426"/>
      <c r="U83" s="426"/>
      <c r="V83" s="426"/>
      <c r="W83" s="426"/>
      <c r="X83" s="426"/>
      <c r="Y83" s="426"/>
      <c r="Z83" s="426"/>
      <c r="AA83" s="426"/>
    </row>
    <row r="84" ht="15.75" customHeight="1">
      <c r="A84" s="437">
        <v>2.0</v>
      </c>
      <c r="B84" s="438"/>
      <c r="D84" s="439"/>
      <c r="E84" s="440">
        <f t="shared" ref="E84:E86" si="69">G84-F84+1</f>
        <v>1</v>
      </c>
      <c r="F84" s="441"/>
      <c r="G84" s="441"/>
      <c r="H84" s="442"/>
      <c r="I84" s="443"/>
      <c r="J84" s="444"/>
      <c r="K84" s="444">
        <f t="shared" si="65"/>
        <v>0</v>
      </c>
      <c r="L84" s="444">
        <f t="shared" si="66"/>
        <v>0</v>
      </c>
      <c r="M84" s="444">
        <f t="shared" si="67"/>
        <v>0</v>
      </c>
      <c r="N84" s="444">
        <f t="shared" si="68"/>
        <v>0</v>
      </c>
      <c r="P84" s="432"/>
      <c r="Q84" s="432"/>
      <c r="R84" s="432"/>
      <c r="S84" s="426"/>
      <c r="T84" s="426"/>
      <c r="U84" s="426"/>
      <c r="V84" s="426"/>
      <c r="W84" s="426"/>
      <c r="X84" s="426"/>
      <c r="Y84" s="426"/>
      <c r="Z84" s="426"/>
      <c r="AA84" s="426"/>
    </row>
    <row r="85" ht="15.75" customHeight="1">
      <c r="A85" s="437">
        <v>3.0</v>
      </c>
      <c r="B85" s="438"/>
      <c r="D85" s="439"/>
      <c r="E85" s="440">
        <f t="shared" si="69"/>
        <v>1</v>
      </c>
      <c r="F85" s="441"/>
      <c r="G85" s="441"/>
      <c r="H85" s="442"/>
      <c r="I85" s="443"/>
      <c r="J85" s="444"/>
      <c r="K85" s="444">
        <f t="shared" si="65"/>
        <v>0</v>
      </c>
      <c r="L85" s="444">
        <f t="shared" si="66"/>
        <v>0</v>
      </c>
      <c r="M85" s="444">
        <f t="shared" si="67"/>
        <v>0</v>
      </c>
      <c r="N85" s="444">
        <f t="shared" si="68"/>
        <v>0</v>
      </c>
      <c r="P85" s="432"/>
      <c r="Q85" s="432"/>
      <c r="R85" s="432"/>
      <c r="S85" s="426"/>
      <c r="T85" s="426"/>
      <c r="U85" s="426"/>
      <c r="V85" s="426"/>
      <c r="W85" s="426"/>
      <c r="X85" s="426"/>
      <c r="Y85" s="426"/>
      <c r="Z85" s="426"/>
      <c r="AA85" s="426"/>
    </row>
    <row r="86" ht="15.75" customHeight="1">
      <c r="A86" s="437">
        <v>4.0</v>
      </c>
      <c r="B86" s="438"/>
      <c r="D86" s="439"/>
      <c r="E86" s="440">
        <f t="shared" si="69"/>
        <v>1</v>
      </c>
      <c r="F86" s="441"/>
      <c r="G86" s="441"/>
      <c r="H86" s="442"/>
      <c r="I86" s="443"/>
      <c r="J86" s="444"/>
      <c r="K86" s="444">
        <f t="shared" si="65"/>
        <v>0</v>
      </c>
      <c r="L86" s="444">
        <f t="shared" si="66"/>
        <v>0</v>
      </c>
      <c r="M86" s="444">
        <f t="shared" si="67"/>
        <v>0</v>
      </c>
      <c r="N86" s="444">
        <f t="shared" si="68"/>
        <v>0</v>
      </c>
      <c r="P86" s="432"/>
      <c r="Q86" s="432"/>
      <c r="R86" s="432"/>
      <c r="S86" s="426"/>
      <c r="T86" s="426"/>
      <c r="U86" s="426"/>
      <c r="V86" s="426"/>
      <c r="W86" s="426"/>
      <c r="X86" s="426"/>
      <c r="Y86" s="426"/>
      <c r="Z86" s="426"/>
      <c r="AA86" s="426"/>
    </row>
    <row r="87" ht="15.75" customHeight="1">
      <c r="A87" s="431" t="s">
        <v>603</v>
      </c>
      <c r="B87" s="438"/>
      <c r="D87" s="439"/>
      <c r="E87" s="445">
        <f>SUM(E89:E91)</f>
        <v>3</v>
      </c>
      <c r="F87" s="432"/>
      <c r="G87" s="432"/>
      <c r="H87" s="434"/>
      <c r="I87" s="432"/>
      <c r="J87" s="446"/>
      <c r="K87" s="435">
        <f>SUM(K88:K91)</f>
        <v>0</v>
      </c>
      <c r="L87" s="446">
        <f>K87/E87</f>
        <v>0</v>
      </c>
      <c r="M87" s="447">
        <f t="shared" ref="M87:N87" si="70">sum(M89:M91)</f>
        <v>0</v>
      </c>
      <c r="N87" s="447">
        <f t="shared" si="70"/>
        <v>0</v>
      </c>
      <c r="P87" s="432"/>
      <c r="Q87" s="432"/>
      <c r="R87" s="432"/>
      <c r="S87" s="426"/>
      <c r="T87" s="426"/>
      <c r="U87" s="426"/>
      <c r="V87" s="426"/>
      <c r="W87" s="426"/>
      <c r="X87" s="426"/>
      <c r="Y87" s="426"/>
      <c r="Z87" s="426"/>
      <c r="AA87" s="426"/>
    </row>
    <row r="88" ht="15.75" customHeight="1">
      <c r="A88" s="437">
        <v>1.0</v>
      </c>
      <c r="B88" s="438"/>
      <c r="D88" s="439"/>
      <c r="E88" s="440"/>
      <c r="F88" s="441"/>
      <c r="G88" s="441"/>
      <c r="H88" s="442"/>
      <c r="I88" s="443"/>
      <c r="J88" s="444"/>
      <c r="K88" s="444">
        <f t="shared" ref="K88:K91" si="71">I88*H88</f>
        <v>0</v>
      </c>
      <c r="L88" s="444" t="str">
        <f t="shared" ref="L88:L91" si="72">iferror(K88/E88,"")</f>
        <v/>
      </c>
      <c r="M88" s="444">
        <f t="shared" ref="M88:M91" si="73">K88-J88</f>
        <v>0</v>
      </c>
      <c r="N88" s="444" t="str">
        <f t="shared" ref="N88:N91" si="74">iferror(M88/E88,"")</f>
        <v/>
      </c>
      <c r="P88" s="432"/>
      <c r="Q88" s="432"/>
      <c r="R88" s="432"/>
      <c r="S88" s="426"/>
      <c r="T88" s="426"/>
      <c r="U88" s="426"/>
      <c r="V88" s="426"/>
      <c r="W88" s="426"/>
      <c r="X88" s="426"/>
      <c r="Y88" s="426"/>
      <c r="Z88" s="426"/>
      <c r="AA88" s="426"/>
    </row>
    <row r="89" ht="15.75" customHeight="1">
      <c r="A89" s="437">
        <v>2.0</v>
      </c>
      <c r="B89" s="438"/>
      <c r="D89" s="439"/>
      <c r="E89" s="440">
        <f t="shared" ref="E89:E91" si="75">G89-F89+1</f>
        <v>1</v>
      </c>
      <c r="F89" s="441"/>
      <c r="G89" s="441"/>
      <c r="H89" s="442"/>
      <c r="I89" s="443"/>
      <c r="J89" s="444"/>
      <c r="K89" s="444">
        <f t="shared" si="71"/>
        <v>0</v>
      </c>
      <c r="L89" s="444">
        <f t="shared" si="72"/>
        <v>0</v>
      </c>
      <c r="M89" s="444">
        <f t="shared" si="73"/>
        <v>0</v>
      </c>
      <c r="N89" s="444">
        <f t="shared" si="74"/>
        <v>0</v>
      </c>
      <c r="P89" s="432"/>
      <c r="Q89" s="432"/>
      <c r="R89" s="432"/>
      <c r="S89" s="426"/>
      <c r="T89" s="426"/>
      <c r="U89" s="426"/>
      <c r="V89" s="426"/>
      <c r="W89" s="426"/>
      <c r="X89" s="426"/>
      <c r="Y89" s="426"/>
      <c r="Z89" s="426"/>
      <c r="AA89" s="426"/>
    </row>
    <row r="90" ht="15.75" customHeight="1">
      <c r="A90" s="437">
        <v>3.0</v>
      </c>
      <c r="B90" s="438"/>
      <c r="D90" s="439"/>
      <c r="E90" s="440">
        <f t="shared" si="75"/>
        <v>1</v>
      </c>
      <c r="F90" s="441"/>
      <c r="G90" s="441"/>
      <c r="H90" s="442"/>
      <c r="I90" s="443"/>
      <c r="J90" s="444"/>
      <c r="K90" s="444">
        <f t="shared" si="71"/>
        <v>0</v>
      </c>
      <c r="L90" s="444">
        <f t="shared" si="72"/>
        <v>0</v>
      </c>
      <c r="M90" s="444">
        <f t="shared" si="73"/>
        <v>0</v>
      </c>
      <c r="N90" s="444">
        <f t="shared" si="74"/>
        <v>0</v>
      </c>
      <c r="P90" s="432"/>
      <c r="Q90" s="432"/>
      <c r="R90" s="432"/>
      <c r="S90" s="426"/>
      <c r="T90" s="426"/>
      <c r="U90" s="426"/>
      <c r="V90" s="426"/>
      <c r="W90" s="426"/>
      <c r="X90" s="426"/>
      <c r="Y90" s="426"/>
      <c r="Z90" s="426"/>
      <c r="AA90" s="426"/>
    </row>
    <row r="91" ht="15.75" customHeight="1">
      <c r="A91" s="437">
        <v>4.0</v>
      </c>
      <c r="B91" s="438"/>
      <c r="D91" s="439"/>
      <c r="E91" s="440">
        <f t="shared" si="75"/>
        <v>1</v>
      </c>
      <c r="F91" s="441"/>
      <c r="G91" s="441"/>
      <c r="H91" s="442"/>
      <c r="I91" s="443"/>
      <c r="J91" s="444"/>
      <c r="K91" s="444">
        <f t="shared" si="71"/>
        <v>0</v>
      </c>
      <c r="L91" s="444">
        <f t="shared" si="72"/>
        <v>0</v>
      </c>
      <c r="M91" s="444">
        <f t="shared" si="73"/>
        <v>0</v>
      </c>
      <c r="N91" s="444">
        <f t="shared" si="74"/>
        <v>0</v>
      </c>
      <c r="P91" s="432"/>
      <c r="Q91" s="432"/>
      <c r="R91" s="432"/>
      <c r="S91" s="426"/>
      <c r="T91" s="426"/>
      <c r="U91" s="426"/>
      <c r="V91" s="426"/>
      <c r="W91" s="426"/>
      <c r="X91" s="426"/>
      <c r="Y91" s="426"/>
      <c r="Z91" s="426"/>
      <c r="AA91" s="426"/>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9">
    <mergeCell ref="B10:C10"/>
    <mergeCell ref="B11:C11"/>
    <mergeCell ref="B12:C12"/>
    <mergeCell ref="B13:C13"/>
    <mergeCell ref="B14:C14"/>
    <mergeCell ref="B15:C15"/>
    <mergeCell ref="O3:O17"/>
    <mergeCell ref="B4:C4"/>
    <mergeCell ref="B5:C5"/>
    <mergeCell ref="B6:C6"/>
    <mergeCell ref="B7:C7"/>
    <mergeCell ref="B8:C8"/>
    <mergeCell ref="B9:C9"/>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74:C74"/>
    <mergeCell ref="B75:C75"/>
    <mergeCell ref="O62:O76"/>
    <mergeCell ref="O77:O91"/>
    <mergeCell ref="B60:C60"/>
    <mergeCell ref="B61:C61"/>
    <mergeCell ref="B62:C62"/>
    <mergeCell ref="B63:C63"/>
    <mergeCell ref="B64:C64"/>
    <mergeCell ref="B65:C65"/>
    <mergeCell ref="B76:C76"/>
    <mergeCell ref="B85:C85"/>
    <mergeCell ref="B86:C86"/>
    <mergeCell ref="B87:C87"/>
    <mergeCell ref="B88:C88"/>
    <mergeCell ref="B89:C89"/>
    <mergeCell ref="B90:C90"/>
    <mergeCell ref="B91:C91"/>
    <mergeCell ref="B78:C78"/>
    <mergeCell ref="B79:C79"/>
    <mergeCell ref="B80:C80"/>
    <mergeCell ref="B81:C81"/>
    <mergeCell ref="B82:C82"/>
    <mergeCell ref="B83:C83"/>
    <mergeCell ref="B84:C84"/>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7:C57"/>
    <mergeCell ref="B58:C58"/>
    <mergeCell ref="B59:C59"/>
    <mergeCell ref="B66:C66"/>
    <mergeCell ref="B67:C67"/>
    <mergeCell ref="B68:C68"/>
    <mergeCell ref="B69:C69"/>
    <mergeCell ref="B70:C70"/>
    <mergeCell ref="B71:C71"/>
    <mergeCell ref="B72:C72"/>
    <mergeCell ref="B73:C73"/>
    <mergeCell ref="B77:C77"/>
  </mergeCells>
  <dataValidations>
    <dataValidation type="list" allowBlank="1" sqref="D23 D58:D59">
      <formula1>Z!$L$3:$L$29</formula1>
    </dataValidation>
    <dataValidation type="list" allowBlank="1" sqref="D4:D22 D24:D54 D57 D60:D91">
      <formula1>Z!$L$3:$L$22</formula1>
    </dataValidation>
    <dataValidation type="list" allowBlank="1" sqref="B59">
      <formula1>Z!$A$3:$A$29</formula1>
    </dataValidation>
    <dataValidation type="list" allowBlank="1" sqref="B4:B54 B57:B58 B60:B91">
      <formula1>Z!$A$3:$A$23</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71"/>
    <col customWidth="1" min="2" max="3" width="18.29"/>
    <col customWidth="1" min="4" max="4" width="39.29"/>
    <col customWidth="1" min="5" max="5" width="41.29"/>
    <col customWidth="1" min="6" max="6" width="39.0"/>
    <col customWidth="1" min="7" max="7" width="6.43"/>
    <col customWidth="1" min="8" max="8" width="28.14"/>
    <col customWidth="1" min="9" max="9" width="17.0"/>
    <col customWidth="1" min="10" max="10" width="16.86"/>
    <col customWidth="1" min="11" max="11" width="37.0"/>
    <col customWidth="1" min="12" max="12" width="40.14"/>
    <col customWidth="1" min="13" max="14" width="19.43"/>
  </cols>
  <sheetData>
    <row r="1" ht="15.75" customHeight="1">
      <c r="A1" s="371"/>
      <c r="I1" s="402"/>
    </row>
    <row r="2" ht="15.75" customHeight="1">
      <c r="A2" s="459" t="s">
        <v>256</v>
      </c>
      <c r="B2" s="460" t="s">
        <v>604</v>
      </c>
      <c r="C2" s="460" t="s">
        <v>605</v>
      </c>
      <c r="D2" s="460" t="s">
        <v>606</v>
      </c>
      <c r="E2" s="460" t="s">
        <v>607</v>
      </c>
      <c r="F2" s="460" t="s">
        <v>608</v>
      </c>
      <c r="G2" s="460" t="s">
        <v>398</v>
      </c>
      <c r="H2" s="460" t="s">
        <v>399</v>
      </c>
      <c r="I2" s="459" t="s">
        <v>609</v>
      </c>
      <c r="K2" s="460" t="s">
        <v>610</v>
      </c>
      <c r="L2" s="460" t="s">
        <v>611</v>
      </c>
      <c r="M2" s="460" t="s">
        <v>399</v>
      </c>
      <c r="N2" s="460"/>
      <c r="O2" s="460" t="s">
        <v>612</v>
      </c>
    </row>
    <row r="3" ht="15.75" customHeight="1">
      <c r="A3" s="461" t="s">
        <v>613</v>
      </c>
      <c r="B3" s="82" t="s">
        <v>614</v>
      </c>
      <c r="C3" s="82">
        <v>47.0</v>
      </c>
      <c r="D3" s="56" t="s">
        <v>615</v>
      </c>
      <c r="E3" s="56" t="s">
        <v>616</v>
      </c>
      <c r="F3" s="56" t="s">
        <v>617</v>
      </c>
      <c r="G3" s="426" t="s">
        <v>618</v>
      </c>
      <c r="H3" s="56" t="s">
        <v>619</v>
      </c>
      <c r="I3" s="462" t="s">
        <v>620</v>
      </c>
      <c r="J3" s="56" t="s">
        <v>621</v>
      </c>
      <c r="K3" s="56"/>
      <c r="L3" s="56" t="s">
        <v>622</v>
      </c>
      <c r="M3" s="56" t="s">
        <v>623</v>
      </c>
      <c r="N3" s="56" t="s">
        <v>624</v>
      </c>
      <c r="O3" s="463">
        <v>0.3194444444444444</v>
      </c>
    </row>
    <row r="4" ht="15.75" customHeight="1">
      <c r="A4" s="464" t="s">
        <v>625</v>
      </c>
      <c r="B4" s="82" t="s">
        <v>626</v>
      </c>
      <c r="C4" s="82">
        <v>47.0</v>
      </c>
      <c r="D4" s="56" t="s">
        <v>627</v>
      </c>
      <c r="E4" s="56" t="s">
        <v>628</v>
      </c>
      <c r="F4" s="56" t="s">
        <v>629</v>
      </c>
      <c r="G4" s="426" t="s">
        <v>630</v>
      </c>
      <c r="H4" s="56" t="s">
        <v>631</v>
      </c>
      <c r="I4" s="462" t="s">
        <v>632</v>
      </c>
      <c r="J4" s="56" t="s">
        <v>633</v>
      </c>
      <c r="K4" s="56"/>
      <c r="L4" s="56" t="s">
        <v>634</v>
      </c>
      <c r="M4" s="56" t="s">
        <v>635</v>
      </c>
      <c r="N4" s="56" t="s">
        <v>636</v>
      </c>
      <c r="O4" s="465">
        <v>0.3333333333333333</v>
      </c>
    </row>
    <row r="5" ht="15.75" customHeight="1">
      <c r="A5" s="464" t="s">
        <v>637</v>
      </c>
      <c r="B5" s="82" t="s">
        <v>638</v>
      </c>
      <c r="C5" s="82">
        <v>47.0</v>
      </c>
      <c r="D5" s="56" t="s">
        <v>639</v>
      </c>
      <c r="E5" s="56" t="s">
        <v>640</v>
      </c>
      <c r="F5" s="56" t="s">
        <v>641</v>
      </c>
      <c r="G5" s="426" t="s">
        <v>642</v>
      </c>
      <c r="H5" s="56" t="s">
        <v>643</v>
      </c>
      <c r="I5" s="462" t="s">
        <v>644</v>
      </c>
      <c r="J5" s="56" t="s">
        <v>645</v>
      </c>
      <c r="L5" s="56" t="s">
        <v>593</v>
      </c>
      <c r="M5" s="56" t="s">
        <v>646</v>
      </c>
      <c r="N5" s="56" t="s">
        <v>647</v>
      </c>
      <c r="O5" s="463">
        <v>0.3854166666666667</v>
      </c>
    </row>
    <row r="6" ht="15.75" customHeight="1">
      <c r="A6" s="464" t="s">
        <v>574</v>
      </c>
      <c r="B6" s="82"/>
      <c r="C6" s="82">
        <v>37.0</v>
      </c>
      <c r="D6" s="56"/>
      <c r="E6" s="56"/>
      <c r="F6" s="56" t="s">
        <v>648</v>
      </c>
      <c r="H6" s="56" t="s">
        <v>649</v>
      </c>
      <c r="I6" s="402"/>
      <c r="L6" s="56" t="s">
        <v>592</v>
      </c>
      <c r="M6" s="56" t="s">
        <v>650</v>
      </c>
      <c r="N6" s="56" t="s">
        <v>651</v>
      </c>
      <c r="O6" s="465">
        <v>0.4166666666666667</v>
      </c>
    </row>
    <row r="7" ht="15.75" customHeight="1">
      <c r="A7" s="466" t="s">
        <v>572</v>
      </c>
      <c r="B7" s="82"/>
      <c r="C7" s="82">
        <v>97.0</v>
      </c>
      <c r="D7" s="56"/>
      <c r="E7" s="56"/>
      <c r="F7" s="56" t="s">
        <v>652</v>
      </c>
      <c r="H7" s="56" t="s">
        <v>653</v>
      </c>
      <c r="I7" s="402"/>
      <c r="L7" s="56" t="s">
        <v>654</v>
      </c>
      <c r="M7" s="56" t="s">
        <v>655</v>
      </c>
      <c r="N7" s="56"/>
      <c r="O7" s="463">
        <v>0.4375</v>
      </c>
    </row>
    <row r="8" ht="15.75" customHeight="1">
      <c r="A8" s="464" t="s">
        <v>575</v>
      </c>
      <c r="B8" s="82"/>
      <c r="C8" s="82">
        <v>397.0</v>
      </c>
      <c r="D8" s="56"/>
      <c r="E8" s="56"/>
      <c r="H8" s="56" t="s">
        <v>656</v>
      </c>
      <c r="I8" s="402"/>
      <c r="L8" s="56" t="s">
        <v>657</v>
      </c>
      <c r="M8" s="56" t="s">
        <v>658</v>
      </c>
      <c r="N8" s="56"/>
      <c r="O8" s="465">
        <v>0.5</v>
      </c>
    </row>
    <row r="9" ht="15.75" customHeight="1">
      <c r="A9" s="464" t="s">
        <v>576</v>
      </c>
      <c r="B9" s="82"/>
      <c r="C9" s="82">
        <v>997.0</v>
      </c>
      <c r="D9" s="56"/>
      <c r="H9" s="56"/>
      <c r="I9" s="402"/>
      <c r="L9" s="56" t="s">
        <v>583</v>
      </c>
      <c r="M9" s="56" t="s">
        <v>659</v>
      </c>
      <c r="O9" s="463">
        <v>0.6388888888888888</v>
      </c>
    </row>
    <row r="10" ht="15.75" customHeight="1">
      <c r="A10" s="464" t="s">
        <v>578</v>
      </c>
      <c r="B10" s="82"/>
      <c r="C10" s="82">
        <v>197.0</v>
      </c>
      <c r="D10" s="56"/>
      <c r="I10" s="402"/>
      <c r="L10" s="56" t="s">
        <v>660</v>
      </c>
      <c r="M10" s="56" t="s">
        <v>661</v>
      </c>
      <c r="O10" s="463">
        <v>0.7916666666666666</v>
      </c>
    </row>
    <row r="11" ht="15.75" customHeight="1">
      <c r="A11" s="464" t="s">
        <v>579</v>
      </c>
      <c r="B11" s="82"/>
      <c r="C11" s="82">
        <v>97.0</v>
      </c>
      <c r="I11" s="402"/>
      <c r="L11" s="56" t="s">
        <v>662</v>
      </c>
      <c r="O11" s="463">
        <v>0.9166666666666666</v>
      </c>
    </row>
    <row r="12" ht="15.75" customHeight="1">
      <c r="A12" s="461" t="s">
        <v>580</v>
      </c>
      <c r="B12" s="82"/>
      <c r="C12" s="82">
        <v>97.0</v>
      </c>
      <c r="I12" s="402"/>
      <c r="L12" s="56" t="s">
        <v>663</v>
      </c>
    </row>
    <row r="13" ht="15.75" customHeight="1">
      <c r="A13" s="461" t="s">
        <v>581</v>
      </c>
      <c r="B13" s="82"/>
      <c r="C13" s="82">
        <v>397.0</v>
      </c>
      <c r="I13" s="402"/>
      <c r="L13" s="56" t="s">
        <v>664</v>
      </c>
    </row>
    <row r="14" ht="15.75" customHeight="1">
      <c r="A14" s="461" t="s">
        <v>582</v>
      </c>
      <c r="B14" s="82"/>
      <c r="C14" s="82">
        <v>497.0</v>
      </c>
      <c r="I14" s="402"/>
      <c r="L14" s="56" t="s">
        <v>586</v>
      </c>
    </row>
    <row r="15" ht="15.75" customHeight="1">
      <c r="A15" s="466" t="s">
        <v>665</v>
      </c>
      <c r="B15" s="82"/>
      <c r="C15" s="82">
        <v>0.0</v>
      </c>
      <c r="I15" s="402"/>
      <c r="L15" s="56" t="s">
        <v>666</v>
      </c>
    </row>
    <row r="16" ht="15.75" customHeight="1">
      <c r="A16" s="466" t="s">
        <v>585</v>
      </c>
      <c r="B16" s="82"/>
      <c r="C16" s="82">
        <v>0.0</v>
      </c>
      <c r="I16" s="402"/>
      <c r="L16" s="56" t="s">
        <v>667</v>
      </c>
    </row>
    <row r="17" ht="15.75" customHeight="1">
      <c r="A17" s="466" t="s">
        <v>668</v>
      </c>
      <c r="B17" s="82"/>
      <c r="C17" s="82">
        <v>0.0</v>
      </c>
      <c r="I17" s="402"/>
      <c r="L17" s="56" t="s">
        <v>573</v>
      </c>
    </row>
    <row r="18" ht="15.75" customHeight="1">
      <c r="A18" s="467" t="s">
        <v>665</v>
      </c>
      <c r="B18" s="82"/>
      <c r="C18" s="82">
        <v>0.0</v>
      </c>
      <c r="I18" s="402"/>
      <c r="L18" s="56" t="s">
        <v>589</v>
      </c>
    </row>
    <row r="19" ht="15.75" customHeight="1">
      <c r="A19" s="467" t="s">
        <v>585</v>
      </c>
      <c r="I19" s="402"/>
      <c r="L19" s="56" t="s">
        <v>590</v>
      </c>
    </row>
    <row r="20" ht="15.75" customHeight="1">
      <c r="A20" s="467" t="s">
        <v>668</v>
      </c>
      <c r="I20" s="402"/>
      <c r="L20" s="56" t="s">
        <v>588</v>
      </c>
    </row>
    <row r="21" ht="15.75" customHeight="1">
      <c r="A21" s="467" t="s">
        <v>591</v>
      </c>
      <c r="I21" s="402"/>
      <c r="L21" s="56" t="s">
        <v>587</v>
      </c>
    </row>
    <row r="22" ht="15.75" customHeight="1">
      <c r="A22" s="467" t="s">
        <v>669</v>
      </c>
      <c r="I22" s="402"/>
      <c r="L22" s="56" t="s">
        <v>670</v>
      </c>
    </row>
    <row r="23" ht="15.75" customHeight="1">
      <c r="A23" s="392" t="s">
        <v>596</v>
      </c>
      <c r="B23" s="468"/>
      <c r="C23" s="468"/>
      <c r="I23" s="402"/>
      <c r="L23" s="56" t="s">
        <v>671</v>
      </c>
    </row>
    <row r="24" ht="15.75" customHeight="1">
      <c r="B24" s="468"/>
      <c r="C24" s="468"/>
      <c r="I24" s="402"/>
      <c r="L24" s="56" t="s">
        <v>597</v>
      </c>
    </row>
    <row r="25" ht="15.75" customHeight="1">
      <c r="A25" s="392"/>
      <c r="B25" s="468"/>
      <c r="C25" s="468"/>
      <c r="I25" s="402"/>
      <c r="L25" s="56" t="s">
        <v>577</v>
      </c>
    </row>
    <row r="26" ht="15.75" customHeight="1">
      <c r="A26" s="371"/>
      <c r="B26" s="468"/>
      <c r="C26" s="468"/>
      <c r="I26" s="402"/>
    </row>
    <row r="27" ht="15.75" customHeight="1">
      <c r="A27" s="371"/>
      <c r="B27" s="468"/>
      <c r="C27" s="468"/>
      <c r="I27" s="402"/>
    </row>
    <row r="28" ht="15.75" customHeight="1">
      <c r="A28" s="371"/>
      <c r="B28" s="468"/>
      <c r="C28" s="468"/>
      <c r="I28" s="402"/>
    </row>
    <row r="29" ht="15.75" customHeight="1">
      <c r="A29" s="371"/>
      <c r="B29" s="468"/>
      <c r="C29" s="468"/>
      <c r="I29" s="402"/>
    </row>
    <row r="30" ht="15.75" customHeight="1">
      <c r="A30" s="371"/>
      <c r="B30" s="468"/>
      <c r="C30" s="468"/>
      <c r="I30" s="402"/>
    </row>
    <row r="31" ht="15.75" customHeight="1">
      <c r="A31" s="371"/>
      <c r="I31" s="402"/>
    </row>
    <row r="32" ht="15.75" customHeight="1">
      <c r="A32" s="371"/>
      <c r="I32" s="402"/>
    </row>
    <row r="33" ht="15.75" customHeight="1">
      <c r="A33" s="371"/>
      <c r="I33" s="402"/>
    </row>
    <row r="34" ht="15.75" customHeight="1">
      <c r="A34" s="371"/>
      <c r="I34" s="402"/>
    </row>
    <row r="35" ht="15.75" customHeight="1">
      <c r="A35" s="371"/>
      <c r="I35" s="402"/>
    </row>
    <row r="36" ht="15.75" customHeight="1">
      <c r="A36" s="371"/>
      <c r="I36" s="402"/>
    </row>
    <row r="37" ht="15.75" customHeight="1">
      <c r="A37" s="371"/>
      <c r="I37" s="402"/>
    </row>
    <row r="38" ht="15.75" customHeight="1">
      <c r="A38" s="371"/>
      <c r="I38" s="402"/>
    </row>
    <row r="39" ht="15.75" customHeight="1">
      <c r="A39" s="371"/>
      <c r="I39" s="402"/>
    </row>
    <row r="40" ht="15.75" customHeight="1">
      <c r="A40" s="371"/>
      <c r="I40" s="402"/>
    </row>
    <row r="41" ht="15.75" customHeight="1">
      <c r="A41" s="371"/>
      <c r="I41" s="402"/>
    </row>
    <row r="42" ht="15.75" customHeight="1">
      <c r="A42" s="371"/>
      <c r="I42" s="402"/>
    </row>
    <row r="43" ht="15.75" customHeight="1">
      <c r="A43" s="371"/>
      <c r="I43" s="402"/>
    </row>
    <row r="44" ht="15.75" customHeight="1">
      <c r="A44" s="371"/>
      <c r="I44" s="402"/>
    </row>
    <row r="45" ht="15.75" customHeight="1">
      <c r="A45" s="371"/>
      <c r="I45" s="402"/>
    </row>
    <row r="46" ht="15.75" customHeight="1">
      <c r="A46" s="371"/>
      <c r="I46" s="402"/>
    </row>
    <row r="47" ht="15.75" customHeight="1">
      <c r="A47" s="371"/>
      <c r="I47" s="402"/>
    </row>
    <row r="48" ht="15.75" customHeight="1">
      <c r="A48" s="371"/>
      <c r="I48" s="402"/>
    </row>
    <row r="49" ht="15.75" customHeight="1">
      <c r="A49" s="371"/>
      <c r="I49" s="402"/>
    </row>
    <row r="50" ht="15.75" customHeight="1">
      <c r="A50" s="371"/>
      <c r="I50" s="402"/>
    </row>
    <row r="51" ht="15.75" customHeight="1">
      <c r="A51" s="371"/>
      <c r="I51" s="402"/>
    </row>
    <row r="52" ht="15.75" customHeight="1">
      <c r="A52" s="371"/>
      <c r="I52" s="402"/>
    </row>
    <row r="53" ht="15.75" customHeight="1">
      <c r="A53" s="371"/>
      <c r="I53" s="402"/>
    </row>
    <row r="54" ht="15.75" customHeight="1">
      <c r="A54" s="371"/>
      <c r="I54" s="402"/>
    </row>
    <row r="55" ht="15.75" customHeight="1">
      <c r="A55" s="371"/>
      <c r="I55" s="402"/>
    </row>
    <row r="56" ht="15.75" customHeight="1">
      <c r="A56" s="371"/>
      <c r="I56" s="402"/>
    </row>
    <row r="57" ht="15.75" customHeight="1">
      <c r="A57" s="371"/>
      <c r="I57" s="402"/>
    </row>
    <row r="58" ht="15.75" customHeight="1">
      <c r="A58" s="371"/>
      <c r="I58" s="402"/>
    </row>
    <row r="59" ht="15.75" customHeight="1">
      <c r="A59" s="371"/>
      <c r="I59" s="402"/>
    </row>
    <row r="60" ht="15.75" customHeight="1">
      <c r="A60" s="371"/>
      <c r="I60" s="402"/>
    </row>
    <row r="61" ht="15.75" customHeight="1">
      <c r="A61" s="371"/>
      <c r="I61" s="402"/>
    </row>
    <row r="62" ht="15.75" customHeight="1">
      <c r="A62" s="371"/>
      <c r="I62" s="402"/>
    </row>
    <row r="63" ht="15.75" customHeight="1">
      <c r="A63" s="371"/>
      <c r="I63" s="402"/>
    </row>
    <row r="64" ht="15.75" customHeight="1">
      <c r="A64" s="371"/>
      <c r="I64" s="402"/>
    </row>
    <row r="65" ht="15.75" customHeight="1">
      <c r="A65" s="371"/>
      <c r="I65" s="402"/>
    </row>
    <row r="66" ht="15.75" customHeight="1">
      <c r="A66" s="371"/>
      <c r="I66" s="402"/>
    </row>
    <row r="67" ht="15.75" customHeight="1">
      <c r="A67" s="371"/>
      <c r="I67" s="402"/>
    </row>
    <row r="68" ht="15.75" customHeight="1">
      <c r="A68" s="371"/>
      <c r="I68" s="402"/>
    </row>
    <row r="69" ht="15.75" customHeight="1">
      <c r="A69" s="371"/>
      <c r="I69" s="402"/>
    </row>
    <row r="70" ht="15.75" customHeight="1">
      <c r="A70" s="371"/>
      <c r="I70" s="402"/>
    </row>
    <row r="71" ht="15.75" customHeight="1">
      <c r="A71" s="371"/>
      <c r="I71" s="402"/>
    </row>
    <row r="72" ht="15.75" customHeight="1">
      <c r="A72" s="371"/>
      <c r="I72" s="402"/>
    </row>
    <row r="73" ht="15.75" customHeight="1">
      <c r="A73" s="371"/>
      <c r="I73" s="402"/>
    </row>
    <row r="74" ht="15.75" customHeight="1">
      <c r="A74" s="371"/>
      <c r="I74" s="402"/>
    </row>
    <row r="75" ht="15.75" customHeight="1">
      <c r="A75" s="371"/>
      <c r="I75" s="402"/>
    </row>
    <row r="76" ht="15.75" customHeight="1">
      <c r="A76" s="371"/>
      <c r="I76" s="402"/>
    </row>
    <row r="77" ht="15.75" customHeight="1">
      <c r="A77" s="371"/>
      <c r="I77" s="402"/>
    </row>
    <row r="78" ht="15.75" customHeight="1">
      <c r="A78" s="371"/>
      <c r="I78" s="402"/>
    </row>
    <row r="79" ht="15.75" customHeight="1">
      <c r="A79" s="371"/>
      <c r="I79" s="402"/>
    </row>
    <row r="80" ht="15.75" customHeight="1">
      <c r="A80" s="371"/>
      <c r="I80" s="402"/>
    </row>
    <row r="81" ht="15.75" customHeight="1">
      <c r="A81" s="371"/>
      <c r="I81" s="402"/>
    </row>
    <row r="82" ht="15.75" customHeight="1">
      <c r="A82" s="371"/>
      <c r="I82" s="402"/>
    </row>
    <row r="83" ht="15.75" customHeight="1">
      <c r="A83" s="371"/>
      <c r="I83" s="402"/>
    </row>
    <row r="84" ht="15.75" customHeight="1">
      <c r="A84" s="371"/>
      <c r="I84" s="402"/>
    </row>
    <row r="85" ht="15.75" customHeight="1">
      <c r="A85" s="371"/>
      <c r="I85" s="402"/>
    </row>
    <row r="86" ht="15.75" customHeight="1">
      <c r="A86" s="371"/>
      <c r="I86" s="402"/>
    </row>
    <row r="87" ht="15.75" customHeight="1">
      <c r="A87" s="371"/>
      <c r="I87" s="402"/>
    </row>
    <row r="88" ht="15.75" customHeight="1">
      <c r="A88" s="371"/>
      <c r="I88" s="402"/>
    </row>
    <row r="89" ht="15.75" customHeight="1">
      <c r="A89" s="371"/>
      <c r="I89" s="402"/>
    </row>
    <row r="90" ht="15.75" customHeight="1">
      <c r="A90" s="371"/>
      <c r="I90" s="402"/>
    </row>
    <row r="91" ht="15.75" customHeight="1">
      <c r="A91" s="371"/>
      <c r="I91" s="402"/>
    </row>
    <row r="92" ht="15.75" customHeight="1">
      <c r="A92" s="371"/>
      <c r="I92" s="402"/>
    </row>
    <row r="93" ht="15.75" customHeight="1">
      <c r="A93" s="371"/>
      <c r="I93" s="402"/>
    </row>
    <row r="94" ht="15.75" customHeight="1">
      <c r="A94" s="371"/>
      <c r="I94" s="402"/>
    </row>
    <row r="95" ht="15.75" customHeight="1">
      <c r="A95" s="371"/>
      <c r="I95" s="402"/>
    </row>
    <row r="96" ht="15.75" customHeight="1">
      <c r="A96" s="371"/>
      <c r="I96" s="402"/>
    </row>
    <row r="97" ht="15.75" customHeight="1">
      <c r="A97" s="371"/>
      <c r="I97" s="402"/>
    </row>
    <row r="98" ht="15.75" customHeight="1">
      <c r="A98" s="371"/>
      <c r="I98" s="402"/>
    </row>
    <row r="99" ht="15.75" customHeight="1">
      <c r="A99" s="371"/>
      <c r="I99" s="402"/>
    </row>
    <row r="100" ht="15.75" customHeight="1">
      <c r="A100" s="371"/>
      <c r="I100" s="402"/>
    </row>
    <row r="101" ht="15.75" customHeight="1">
      <c r="A101" s="371"/>
      <c r="I101" s="402"/>
    </row>
    <row r="102" ht="15.75" customHeight="1">
      <c r="A102" s="371"/>
      <c r="I102" s="402"/>
    </row>
    <row r="103" ht="15.75" customHeight="1">
      <c r="A103" s="371"/>
      <c r="I103" s="402"/>
    </row>
    <row r="104" ht="15.75" customHeight="1">
      <c r="A104" s="371"/>
      <c r="I104" s="402"/>
    </row>
    <row r="105" ht="15.75" customHeight="1">
      <c r="A105" s="371"/>
      <c r="I105" s="402"/>
    </row>
    <row r="106" ht="15.75" customHeight="1">
      <c r="A106" s="371"/>
      <c r="I106" s="402"/>
    </row>
    <row r="107" ht="15.75" customHeight="1">
      <c r="A107" s="371"/>
      <c r="I107" s="402"/>
    </row>
    <row r="108" ht="15.75" customHeight="1">
      <c r="A108" s="371"/>
      <c r="I108" s="402"/>
    </row>
    <row r="109" ht="15.75" customHeight="1">
      <c r="A109" s="371"/>
      <c r="I109" s="402"/>
    </row>
    <row r="110" ht="15.75" customHeight="1">
      <c r="A110" s="371"/>
      <c r="I110" s="402"/>
    </row>
    <row r="111" ht="15.75" customHeight="1">
      <c r="A111" s="371"/>
      <c r="I111" s="402"/>
    </row>
    <row r="112" ht="15.75" customHeight="1">
      <c r="A112" s="371"/>
      <c r="I112" s="402"/>
    </row>
    <row r="113" ht="15.75" customHeight="1">
      <c r="A113" s="371"/>
      <c r="I113" s="402"/>
    </row>
    <row r="114" ht="15.75" customHeight="1">
      <c r="A114" s="371"/>
      <c r="I114" s="402"/>
    </row>
    <row r="115" ht="15.75" customHeight="1">
      <c r="A115" s="371"/>
      <c r="I115" s="402"/>
    </row>
    <row r="116" ht="15.75" customHeight="1">
      <c r="A116" s="371"/>
      <c r="I116" s="402"/>
    </row>
    <row r="117" ht="15.75" customHeight="1">
      <c r="A117" s="371"/>
      <c r="I117" s="402"/>
    </row>
    <row r="118" ht="15.75" customHeight="1">
      <c r="A118" s="371"/>
      <c r="I118" s="402"/>
    </row>
    <row r="119" ht="15.75" customHeight="1">
      <c r="A119" s="371"/>
      <c r="I119" s="402"/>
    </row>
    <row r="120" ht="15.75" customHeight="1">
      <c r="A120" s="371"/>
      <c r="I120" s="402"/>
    </row>
    <row r="121" ht="15.75" customHeight="1">
      <c r="A121" s="371"/>
      <c r="I121" s="402"/>
    </row>
    <row r="122" ht="15.75" customHeight="1">
      <c r="A122" s="371"/>
      <c r="I122" s="402"/>
    </row>
    <row r="123" ht="15.75" customHeight="1">
      <c r="A123" s="371"/>
      <c r="I123" s="402"/>
    </row>
    <row r="124" ht="15.75" customHeight="1">
      <c r="A124" s="371"/>
      <c r="I124" s="402"/>
    </row>
    <row r="125" ht="15.75" customHeight="1">
      <c r="A125" s="371"/>
      <c r="I125" s="402"/>
    </row>
    <row r="126" ht="15.75" customHeight="1">
      <c r="A126" s="371"/>
      <c r="I126" s="402"/>
    </row>
    <row r="127" ht="15.75" customHeight="1">
      <c r="A127" s="371"/>
      <c r="I127" s="402"/>
    </row>
    <row r="128" ht="15.75" customHeight="1">
      <c r="A128" s="371"/>
      <c r="I128" s="402"/>
    </row>
    <row r="129" ht="15.75" customHeight="1">
      <c r="A129" s="371"/>
      <c r="I129" s="402"/>
    </row>
    <row r="130" ht="15.75" customHeight="1">
      <c r="A130" s="371"/>
      <c r="I130" s="402"/>
    </row>
    <row r="131" ht="15.75" customHeight="1">
      <c r="A131" s="371"/>
      <c r="I131" s="402"/>
    </row>
    <row r="132" ht="15.75" customHeight="1">
      <c r="A132" s="371"/>
      <c r="I132" s="402"/>
    </row>
    <row r="133" ht="15.75" customHeight="1">
      <c r="A133" s="371"/>
      <c r="I133" s="402"/>
    </row>
    <row r="134" ht="15.75" customHeight="1">
      <c r="A134" s="371"/>
      <c r="I134" s="402"/>
    </row>
    <row r="135" ht="15.75" customHeight="1">
      <c r="A135" s="371"/>
      <c r="I135" s="402"/>
    </row>
    <row r="136" ht="15.75" customHeight="1">
      <c r="A136" s="371"/>
      <c r="I136" s="402"/>
    </row>
    <row r="137" ht="15.75" customHeight="1">
      <c r="A137" s="371"/>
      <c r="I137" s="402"/>
    </row>
    <row r="138" ht="15.75" customHeight="1">
      <c r="A138" s="371"/>
      <c r="I138" s="402"/>
    </row>
    <row r="139" ht="15.75" customHeight="1">
      <c r="A139" s="371"/>
      <c r="I139" s="402"/>
    </row>
    <row r="140" ht="15.75" customHeight="1">
      <c r="A140" s="371"/>
      <c r="I140" s="402"/>
    </row>
    <row r="141" ht="15.75" customHeight="1">
      <c r="A141" s="371"/>
      <c r="I141" s="402"/>
    </row>
    <row r="142" ht="15.75" customHeight="1">
      <c r="A142" s="371"/>
      <c r="I142" s="402"/>
    </row>
    <row r="143" ht="15.75" customHeight="1">
      <c r="A143" s="371"/>
      <c r="I143" s="402"/>
    </row>
    <row r="144" ht="15.75" customHeight="1">
      <c r="A144" s="371"/>
      <c r="I144" s="402"/>
    </row>
    <row r="145" ht="15.75" customHeight="1">
      <c r="A145" s="371"/>
      <c r="I145" s="402"/>
    </row>
    <row r="146" ht="15.75" customHeight="1">
      <c r="A146" s="371"/>
      <c r="I146" s="402"/>
    </row>
    <row r="147" ht="15.75" customHeight="1">
      <c r="A147" s="371"/>
      <c r="I147" s="402"/>
    </row>
    <row r="148" ht="15.75" customHeight="1">
      <c r="A148" s="371"/>
      <c r="I148" s="402"/>
    </row>
    <row r="149" ht="15.75" customHeight="1">
      <c r="A149" s="371"/>
      <c r="I149" s="402"/>
    </row>
    <row r="150" ht="15.75" customHeight="1">
      <c r="A150" s="371"/>
      <c r="I150" s="402"/>
    </row>
    <row r="151" ht="15.75" customHeight="1">
      <c r="A151" s="371"/>
      <c r="I151" s="402"/>
    </row>
    <row r="152" ht="15.75" customHeight="1">
      <c r="A152" s="371"/>
      <c r="I152" s="402"/>
    </row>
    <row r="153" ht="15.75" customHeight="1">
      <c r="A153" s="371"/>
      <c r="I153" s="402"/>
    </row>
    <row r="154" ht="15.75" customHeight="1">
      <c r="A154" s="371"/>
      <c r="I154" s="402"/>
    </row>
    <row r="155" ht="15.75" customHeight="1">
      <c r="A155" s="371"/>
      <c r="I155" s="402"/>
    </row>
    <row r="156" ht="15.75" customHeight="1">
      <c r="A156" s="371"/>
      <c r="I156" s="402"/>
    </row>
    <row r="157" ht="15.75" customHeight="1">
      <c r="A157" s="371"/>
      <c r="I157" s="402"/>
    </row>
    <row r="158" ht="15.75" customHeight="1">
      <c r="A158" s="371"/>
      <c r="I158" s="402"/>
    </row>
    <row r="159" ht="15.75" customHeight="1">
      <c r="A159" s="371"/>
      <c r="I159" s="402"/>
    </row>
    <row r="160" ht="15.75" customHeight="1">
      <c r="A160" s="371"/>
      <c r="I160" s="402"/>
    </row>
    <row r="161" ht="15.75" customHeight="1">
      <c r="A161" s="371"/>
      <c r="I161" s="402"/>
    </row>
    <row r="162" ht="15.75" customHeight="1">
      <c r="A162" s="371"/>
      <c r="I162" s="402"/>
    </row>
    <row r="163" ht="15.75" customHeight="1">
      <c r="A163" s="371"/>
      <c r="I163" s="402"/>
    </row>
    <row r="164" ht="15.75" customHeight="1">
      <c r="A164" s="371"/>
      <c r="I164" s="402"/>
    </row>
    <row r="165" ht="15.75" customHeight="1">
      <c r="A165" s="371"/>
      <c r="I165" s="402"/>
    </row>
    <row r="166" ht="15.75" customHeight="1">
      <c r="A166" s="371"/>
      <c r="I166" s="402"/>
    </row>
    <row r="167" ht="15.75" customHeight="1">
      <c r="A167" s="371"/>
      <c r="I167" s="402"/>
    </row>
    <row r="168" ht="15.75" customHeight="1">
      <c r="A168" s="371"/>
      <c r="I168" s="402"/>
    </row>
    <row r="169" ht="15.75" customHeight="1">
      <c r="A169" s="371"/>
      <c r="I169" s="402"/>
    </row>
    <row r="170" ht="15.75" customHeight="1">
      <c r="A170" s="371"/>
      <c r="I170" s="402"/>
    </row>
    <row r="171" ht="15.75" customHeight="1">
      <c r="A171" s="371"/>
      <c r="I171" s="402"/>
    </row>
    <row r="172" ht="15.75" customHeight="1">
      <c r="A172" s="371"/>
      <c r="I172" s="402"/>
    </row>
    <row r="173" ht="15.75" customHeight="1">
      <c r="A173" s="371"/>
      <c r="I173" s="402"/>
    </row>
    <row r="174" ht="15.75" customHeight="1">
      <c r="A174" s="371"/>
      <c r="I174" s="402"/>
    </row>
    <row r="175" ht="15.75" customHeight="1">
      <c r="A175" s="371"/>
      <c r="I175" s="402"/>
    </row>
    <row r="176" ht="15.75" customHeight="1">
      <c r="A176" s="371"/>
      <c r="I176" s="402"/>
    </row>
    <row r="177" ht="15.75" customHeight="1">
      <c r="A177" s="371"/>
      <c r="I177" s="402"/>
    </row>
    <row r="178" ht="15.75" customHeight="1">
      <c r="A178" s="371"/>
      <c r="I178" s="402"/>
    </row>
    <row r="179" ht="15.75" customHeight="1">
      <c r="A179" s="371"/>
      <c r="I179" s="402"/>
    </row>
    <row r="180" ht="15.75" customHeight="1">
      <c r="A180" s="371"/>
      <c r="I180" s="402"/>
    </row>
    <row r="181" ht="15.75" customHeight="1">
      <c r="A181" s="371"/>
      <c r="I181" s="402"/>
    </row>
    <row r="182" ht="15.75" customHeight="1">
      <c r="A182" s="371"/>
      <c r="I182" s="402"/>
    </row>
    <row r="183" ht="15.75" customHeight="1">
      <c r="A183" s="371"/>
      <c r="I183" s="402"/>
    </row>
    <row r="184" ht="15.75" customHeight="1">
      <c r="A184" s="371"/>
      <c r="I184" s="402"/>
    </row>
    <row r="185" ht="15.75" customHeight="1">
      <c r="A185" s="371"/>
      <c r="I185" s="402"/>
    </row>
    <row r="186" ht="15.75" customHeight="1">
      <c r="A186" s="371"/>
      <c r="I186" s="402"/>
    </row>
    <row r="187" ht="15.75" customHeight="1">
      <c r="A187" s="371"/>
      <c r="I187" s="402"/>
    </row>
    <row r="188" ht="15.75" customHeight="1">
      <c r="A188" s="371"/>
      <c r="I188" s="402"/>
    </row>
    <row r="189" ht="15.75" customHeight="1">
      <c r="A189" s="371"/>
      <c r="I189" s="402"/>
    </row>
    <row r="190" ht="15.75" customHeight="1">
      <c r="A190" s="371"/>
      <c r="I190" s="402"/>
    </row>
    <row r="191" ht="15.75" customHeight="1">
      <c r="A191" s="371"/>
      <c r="I191" s="402"/>
    </row>
    <row r="192" ht="15.75" customHeight="1">
      <c r="A192" s="371"/>
      <c r="I192" s="402"/>
    </row>
    <row r="193" ht="15.75" customHeight="1">
      <c r="A193" s="371"/>
      <c r="I193" s="402"/>
    </row>
    <row r="194" ht="15.75" customHeight="1">
      <c r="A194" s="371"/>
      <c r="I194" s="402"/>
    </row>
    <row r="195" ht="15.75" customHeight="1">
      <c r="A195" s="371"/>
      <c r="I195" s="402"/>
    </row>
    <row r="196" ht="15.75" customHeight="1">
      <c r="A196" s="371"/>
      <c r="I196" s="402"/>
    </row>
    <row r="197" ht="15.75" customHeight="1">
      <c r="A197" s="371"/>
      <c r="I197" s="402"/>
    </row>
    <row r="198" ht="15.75" customHeight="1">
      <c r="A198" s="371"/>
      <c r="I198" s="402"/>
    </row>
    <row r="199" ht="15.75" customHeight="1">
      <c r="A199" s="371"/>
      <c r="I199" s="402"/>
    </row>
    <row r="200" ht="15.75" customHeight="1">
      <c r="A200" s="371"/>
      <c r="I200" s="402"/>
    </row>
    <row r="201" ht="15.75" customHeight="1">
      <c r="A201" s="371"/>
      <c r="I201" s="402"/>
    </row>
    <row r="202" ht="15.75" customHeight="1">
      <c r="A202" s="371"/>
      <c r="I202" s="402"/>
    </row>
    <row r="203" ht="15.75" customHeight="1">
      <c r="A203" s="371"/>
      <c r="I203" s="402"/>
    </row>
    <row r="204" ht="15.75" customHeight="1">
      <c r="A204" s="371"/>
      <c r="I204" s="402"/>
    </row>
    <row r="205" ht="15.75" customHeight="1">
      <c r="A205" s="371"/>
      <c r="I205" s="402"/>
    </row>
    <row r="206" ht="15.75" customHeight="1">
      <c r="A206" s="371"/>
      <c r="I206" s="402"/>
    </row>
    <row r="207" ht="15.75" customHeight="1">
      <c r="A207" s="371"/>
      <c r="I207" s="402"/>
    </row>
    <row r="208" ht="15.75" customHeight="1">
      <c r="A208" s="371"/>
      <c r="I208" s="402"/>
    </row>
    <row r="209" ht="15.75" customHeight="1">
      <c r="A209" s="371"/>
      <c r="I209" s="402"/>
    </row>
    <row r="210" ht="15.75" customHeight="1">
      <c r="A210" s="371"/>
      <c r="I210" s="402"/>
    </row>
    <row r="211" ht="15.75" customHeight="1">
      <c r="A211" s="371"/>
      <c r="I211" s="402"/>
    </row>
    <row r="212" ht="15.75" customHeight="1">
      <c r="A212" s="371"/>
      <c r="I212" s="402"/>
    </row>
    <row r="213" ht="15.75" customHeight="1">
      <c r="A213" s="371"/>
      <c r="I213" s="402"/>
    </row>
    <row r="214" ht="15.75" customHeight="1">
      <c r="A214" s="371"/>
      <c r="I214" s="402"/>
    </row>
    <row r="215" ht="15.75" customHeight="1">
      <c r="A215" s="371"/>
      <c r="I215" s="402"/>
    </row>
    <row r="216" ht="15.75" customHeight="1">
      <c r="A216" s="371"/>
      <c r="I216" s="402"/>
    </row>
    <row r="217" ht="15.75" customHeight="1">
      <c r="A217" s="371"/>
      <c r="I217" s="402"/>
    </row>
    <row r="218" ht="15.75" customHeight="1">
      <c r="A218" s="371"/>
      <c r="I218" s="402"/>
    </row>
    <row r="219" ht="15.75" customHeight="1">
      <c r="A219" s="371"/>
      <c r="I219" s="402"/>
    </row>
    <row r="220" ht="15.75" customHeight="1">
      <c r="A220" s="371"/>
      <c r="I220" s="40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2:J2"/>
  </mergeCells>
  <drawing r:id="rId1"/>
</worksheet>
</file>