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DR" sheetId="1" r:id="rId4"/>
    <sheet state="visible" name="VISAO GERAL" sheetId="2" r:id="rId5"/>
  </sheets>
  <definedNames/>
  <calcPr/>
</workbook>
</file>

<file path=xl/sharedStrings.xml><?xml version="1.0" encoding="utf-8"?>
<sst xmlns="http://schemas.openxmlformats.org/spreadsheetml/2006/main" count="169" uniqueCount="102">
  <si>
    <t>CARGOS</t>
  </si>
  <si>
    <t>METAS VENDAS (CAIXA)</t>
  </si>
  <si>
    <t>METAS C.R</t>
  </si>
  <si>
    <t>DESDOBRAMENTO DA META</t>
  </si>
  <si>
    <t>REGRAS e ALERTAS MENSAIS</t>
  </si>
  <si>
    <t>REPESCAGEM</t>
  </si>
  <si>
    <t>Rotina comercial</t>
  </si>
  <si>
    <t>REMUNERAÇÃO</t>
  </si>
  <si>
    <t>METAS JUNIOR</t>
  </si>
  <si>
    <t>COMO CHEGAR AO RESULTADO?</t>
  </si>
  <si>
    <t xml:space="preserve">MÍNIMO DE RESULTADO ESPERADO </t>
  </si>
  <si>
    <t>SDR JR 1</t>
  </si>
  <si>
    <t>R$ 2.400,00 + BÔNUS DE C.R + BÔNUS DAS VENDAS</t>
  </si>
  <si>
    <t>META BÁSICA: 80k/mês de caixa = 20k/semana</t>
  </si>
  <si>
    <t>50 C.R/mês</t>
  </si>
  <si>
    <t>40 C.R/mês (recebendo no mínimo 200 leads novos no mês)</t>
  </si>
  <si>
    <t>SDR JR 2</t>
  </si>
  <si>
    <t>R$ 2.600,00 + BÔNUS DE C.R + BÔNUS DAS VENDAS</t>
  </si>
  <si>
    <t>META BOA: 100k/mês de caixa = 25k/semana</t>
  </si>
  <si>
    <t>70 C.R/mês</t>
  </si>
  <si>
    <t>SDR JR 3</t>
  </si>
  <si>
    <t>R$ 2.800,00 + BÔNUS DE C.R + BÔNUS DAS VENDAS</t>
  </si>
  <si>
    <t>META TOP: 120k/mês de caixa = 30k/semana</t>
  </si>
  <si>
    <t>90 C.R/mês</t>
  </si>
  <si>
    <t>SDR PL 1</t>
  </si>
  <si>
    <t>R$ 3.000,00 + BÔNUS DE C.R + BÔNUS DAS VENDAS</t>
  </si>
  <si>
    <t>META SUPER: 150k/mês de caixa = 38k/semana</t>
  </si>
  <si>
    <t>110 C.R/mês</t>
  </si>
  <si>
    <t>SDR PL 2</t>
  </si>
  <si>
    <t>R$ 3.200,00 + BÔNUS DE C.R + BÔNUS DAS VENDAS</t>
  </si>
  <si>
    <t>META SEM FÓRMULA: 200k/mês de caixa = 50k/semana</t>
  </si>
  <si>
    <t>120 C.R/mês</t>
  </si>
  <si>
    <t>SDR PL 3</t>
  </si>
  <si>
    <t>R$ 3.400,00 + BÔNUS DE C.R + BÔNUS DAS VENDAS</t>
  </si>
  <si>
    <t>SDR SR 1</t>
  </si>
  <si>
    <t>R$ 3.600,00 + BÔNUS DE C.R + BÔNUS DAS VENDAS</t>
  </si>
  <si>
    <t>METAS PLENO</t>
  </si>
  <si>
    <t>SDR SR 2</t>
  </si>
  <si>
    <t>R$ 3.800,00 + BÔNUS DE C.R + BÔNUS DAS VENDAS</t>
  </si>
  <si>
    <t>META BÁSICA: 100k/mês de caixa = 25k/semana</t>
  </si>
  <si>
    <t>SDR SR 3</t>
  </si>
  <si>
    <t>R$ 4.000,00 + BÔNUS DE C.R + BÔNUS DAS VENDAS</t>
  </si>
  <si>
    <t>META BOA: 120k/mês de caixa = 30k/semana</t>
  </si>
  <si>
    <t>META TOP: 200k/mês de caixa = 50k/semana</t>
  </si>
  <si>
    <t xml:space="preserve">COMO SUBIR DE CARGO? </t>
  </si>
  <si>
    <t>META SUPER: 250k/mês de caixa = 63k/semana</t>
  </si>
  <si>
    <t>MÍNIMO DE ESFORÇO</t>
  </si>
  <si>
    <r>
      <rPr>
        <rFont val="Arial"/>
        <color theme="1"/>
      </rPr>
      <t xml:space="preserve">Bater a </t>
    </r>
    <r>
      <rPr>
        <rFont val="Arial"/>
        <b/>
        <color theme="1"/>
      </rPr>
      <t>META BOA</t>
    </r>
    <r>
      <rPr>
        <rFont val="Arial"/>
        <color theme="1"/>
      </rPr>
      <t xml:space="preserve"> 1 mês p/ virar JR 2</t>
    </r>
  </si>
  <si>
    <t>META SEM FÓRMULA: 250k/mês de caixa = 63k/semana</t>
  </si>
  <si>
    <t>130 C.R/mês</t>
  </si>
  <si>
    <r>
      <rPr>
        <rFont val="Arial"/>
        <color theme="1"/>
      </rPr>
      <t xml:space="preserve">Bater a </t>
    </r>
    <r>
      <rPr>
        <rFont val="Arial"/>
        <b/>
        <color theme="1"/>
      </rPr>
      <t>META TOP</t>
    </r>
    <r>
      <rPr>
        <rFont val="Arial"/>
        <color theme="1"/>
      </rPr>
      <t xml:space="preserve"> 1 mês p/ virar JR 3</t>
    </r>
  </si>
  <si>
    <t>Pendência</t>
  </si>
  <si>
    <r>
      <rPr>
        <rFont val="Arial"/>
        <color theme="1"/>
      </rPr>
      <t xml:space="preserve">Bater a </t>
    </r>
    <r>
      <rPr>
        <rFont val="Arial"/>
        <b/>
        <color theme="1"/>
      </rPr>
      <t>META SUPER</t>
    </r>
    <r>
      <rPr>
        <rFont val="Arial"/>
        <color theme="1"/>
      </rPr>
      <t xml:space="preserve"> 2 meses (em 3 meses) p/ virar PL 1</t>
    </r>
  </si>
  <si>
    <t>METAS SENIOR</t>
  </si>
  <si>
    <r>
      <rPr>
        <rFont val="Arial"/>
        <color theme="1"/>
      </rPr>
      <t xml:space="preserve">Bater a </t>
    </r>
    <r>
      <rPr>
        <rFont val="Arial"/>
        <b/>
        <color theme="1"/>
      </rPr>
      <t>META BOA</t>
    </r>
    <r>
      <rPr>
        <rFont val="Arial"/>
        <color theme="1"/>
      </rPr>
      <t xml:space="preserve"> 2 meses (em 3 meses) p/ virar PL 2</t>
    </r>
  </si>
  <si>
    <t>META BÁSICA: 150k/mês de caixa = 38k/semana</t>
  </si>
  <si>
    <r>
      <rPr>
        <rFont val="Arial"/>
        <color theme="1"/>
      </rPr>
      <t xml:space="preserve">Bater a </t>
    </r>
    <r>
      <rPr>
        <rFont val="Arial"/>
        <b/>
        <color theme="1"/>
      </rPr>
      <t>META TOP</t>
    </r>
    <r>
      <rPr>
        <rFont val="Arial"/>
        <color theme="1"/>
      </rPr>
      <t xml:space="preserve"> 3 meses (em 4 meses) p/ virar PL 3</t>
    </r>
  </si>
  <si>
    <t>META BOA: 200k/mês de caixa = 50k/semana</t>
  </si>
  <si>
    <r>
      <rPr>
        <rFont val="Arial"/>
        <color theme="1"/>
      </rPr>
      <t xml:space="preserve">Bater a </t>
    </r>
    <r>
      <rPr>
        <rFont val="Arial"/>
        <b/>
        <color theme="1"/>
      </rPr>
      <t>META SUPER</t>
    </r>
    <r>
      <rPr>
        <rFont val="Arial"/>
        <color theme="1"/>
      </rPr>
      <t xml:space="preserve"> 3 meses (em 4 meses) p/ virar SR 1</t>
    </r>
  </si>
  <si>
    <t>META TOP: 250k/mês de caixa = 63k/semana</t>
  </si>
  <si>
    <r>
      <rPr>
        <rFont val="Arial"/>
        <color theme="1"/>
      </rPr>
      <t xml:space="preserve">Bater a </t>
    </r>
    <r>
      <rPr>
        <rFont val="Arial"/>
        <b/>
        <color theme="1"/>
      </rPr>
      <t>META SUPER</t>
    </r>
    <r>
      <rPr>
        <rFont val="Arial"/>
        <color theme="1"/>
      </rPr>
      <t xml:space="preserve"> 4 meses (6 meses) p/ virar SR 2</t>
    </r>
  </si>
  <si>
    <t>META SUPER: 300k/mês de caixa = 75k/semana</t>
  </si>
  <si>
    <t>EVENTOS</t>
  </si>
  <si>
    <r>
      <rPr>
        <rFont val="Arial"/>
        <color theme="1"/>
      </rPr>
      <t xml:space="preserve">Bater a </t>
    </r>
    <r>
      <rPr>
        <rFont val="Arial"/>
        <b/>
        <color theme="1"/>
      </rPr>
      <t>META SF</t>
    </r>
    <r>
      <rPr>
        <rFont val="Arial"/>
        <color theme="1"/>
      </rPr>
      <t xml:space="preserve"> 4 meses (6 meses) p/ virar SR 3</t>
    </r>
  </si>
  <si>
    <t>META SEM FÓRMULA: 400k/mês de caixa = 100k/semana</t>
  </si>
  <si>
    <t>140 C.R/mês</t>
  </si>
  <si>
    <t>a</t>
  </si>
  <si>
    <t>FIXO</t>
  </si>
  <si>
    <t>% adicional no mês por meta batida</t>
  </si>
  <si>
    <t>fixo mensal</t>
  </si>
  <si>
    <t>Meta Básica</t>
  </si>
  <si>
    <t>Meta Boa</t>
  </si>
  <si>
    <t>Meta Top</t>
  </si>
  <si>
    <t>Meta Super</t>
  </si>
  <si>
    <t>Meta SF</t>
  </si>
  <si>
    <t>JR</t>
  </si>
  <si>
    <t>PL</t>
  </si>
  <si>
    <t>SR</t>
  </si>
  <si>
    <t>FIXO MENSAL (visão caixa)</t>
  </si>
  <si>
    <t>Visão fixo + Váriavel</t>
  </si>
  <si>
    <t>BÔNUS C.R POR INDICAÇÃO (visão nível 3)</t>
  </si>
  <si>
    <t>Meta C.R</t>
  </si>
  <si>
    <t>Bônus C.R</t>
  </si>
  <si>
    <t>Fixo + B C.R</t>
  </si>
  <si>
    <t>Meta caixa</t>
  </si>
  <si>
    <t>Variável por meta</t>
  </si>
  <si>
    <t>Fixo + Variável JR 1</t>
  </si>
  <si>
    <t>Fixo + Variável JR 2</t>
  </si>
  <si>
    <t>Fixo + Variável JR 3</t>
  </si>
  <si>
    <t>10 C.R</t>
  </si>
  <si>
    <t>20 C.R</t>
  </si>
  <si>
    <t>40 C.R</t>
  </si>
  <si>
    <t>50 C.R</t>
  </si>
  <si>
    <t>Junior</t>
  </si>
  <si>
    <t>Fixo + Variável PL 1</t>
  </si>
  <si>
    <t>Fixo + Variável PL 2</t>
  </si>
  <si>
    <t>Fixo + Variável PL 3</t>
  </si>
  <si>
    <t>Pleno</t>
  </si>
  <si>
    <t>Fixo + Variável SR 1</t>
  </si>
  <si>
    <t>Fixo + Variável SR 2</t>
  </si>
  <si>
    <t>Fixo + Variável SR 3</t>
  </si>
  <si>
    <t>Senior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</si>
</sst>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R$ -416]#,##0.00"/>
    <numFmt numFmtId="165" formatCode="[$R$]#,##0"/>
    <numFmt numFmtId="166" formatCode="[$R$]#,##0.00"/>
  </numFmts>
  <fonts count="19">
    <font>
      <sz val="10.0"/>
      <color rgb="FF000000"/>
      <name val="Arial"/>
      <scheme val="minor"/>
    </font>
    <font>
      <b/>
      <sz val="13.0"/>
      <color rgb="FFFFFFFF"/>
      <name val="Arial"/>
    </font>
    <font/>
    <font>
      <color theme="1"/>
      <name val="Arial"/>
    </font>
    <font>
      <b/>
      <sz val="13.0"/>
      <color rgb="FF000000"/>
      <name val="Arial"/>
    </font>
    <font>
      <b/>
      <color rgb="FFFFFFFF"/>
      <name val="Arial"/>
    </font>
    <font>
      <b/>
      <color rgb="FF000000"/>
      <name val="Arial"/>
    </font>
    <font>
      <b/>
      <color theme="1"/>
      <name val="Arial"/>
    </font>
    <font>
      <color rgb="FFFFFFFF"/>
      <name val="Arial"/>
    </font>
    <font>
      <sz val="10.0"/>
      <color theme="1"/>
      <name val="Arial"/>
    </font>
    <font>
      <b/>
      <sz val="24.0"/>
      <color rgb="FFFFFFFF"/>
      <name val="Arial"/>
    </font>
    <font>
      <color rgb="FF000000"/>
      <name val="Arial"/>
    </font>
    <font>
      <b/>
      <sz val="11.0"/>
      <color rgb="FFFFFFFF"/>
      <name val="Arial"/>
    </font>
    <font>
      <b/>
      <sz val="10.0"/>
      <color theme="1"/>
      <name val="Arial"/>
    </font>
    <font>
      <b/>
      <sz val="11.0"/>
      <color theme="1"/>
      <name val="Arial"/>
    </font>
    <font>
      <b/>
      <sz val="12.0"/>
      <color theme="1"/>
      <name val="Arial"/>
    </font>
    <font>
      <sz val="11.0"/>
      <color theme="1"/>
      <name val="Arial"/>
    </font>
    <font>
      <b/>
      <i/>
      <color theme="1"/>
      <name val="Arial"/>
    </font>
    <font>
      <i/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9900FF"/>
        <bgColor rgb="FF9900FF"/>
      </patternFill>
    </fill>
    <fill>
      <patternFill patternType="solid">
        <fgColor rgb="FFEA9999"/>
        <bgColor rgb="FFEA9999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999999"/>
        <bgColor rgb="FF999999"/>
      </patternFill>
    </fill>
    <fill>
      <patternFill patternType="solid">
        <fgColor rgb="FFA4C2F4"/>
        <bgColor rgb="FFA4C2F4"/>
      </patternFill>
    </fill>
    <fill>
      <patternFill patternType="solid">
        <fgColor rgb="FF666666"/>
        <bgColor rgb="FF666666"/>
      </patternFill>
    </fill>
    <fill>
      <patternFill patternType="solid">
        <fgColor rgb="FFB7B7B7"/>
        <bgColor rgb="FFB7B7B7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bottom style="thin">
        <color rgb="FFFFFFFF"/>
      </bottom>
    </border>
    <border>
      <left style="thin">
        <color rgb="FFFFFFFF"/>
      </left>
      <right style="thin">
        <color rgb="FF000000"/>
      </right>
      <bottom style="thin">
        <color rgb="FFFFFFFF"/>
      </bottom>
    </border>
    <border>
      <right style="thin">
        <color rgb="FFFFFFFF"/>
      </right>
    </border>
    <border>
      <right style="thin">
        <color rgb="FFFFFFFF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FFFFFF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0" fillId="2" fontId="3" numFmtId="0" xfId="0" applyFont="1"/>
    <xf borderId="0" fillId="2" fontId="1" numFmtId="0" xfId="0" applyAlignment="1" applyFont="1">
      <alignment horizontal="center"/>
    </xf>
    <xf borderId="3" fillId="2" fontId="1" numFmtId="0" xfId="0" applyAlignment="1" applyBorder="1" applyFont="1">
      <alignment horizontal="center"/>
    </xf>
    <xf borderId="3" fillId="2" fontId="4" numFmtId="0" xfId="0" applyAlignment="1" applyBorder="1" applyFont="1">
      <alignment horizontal="center"/>
    </xf>
    <xf borderId="3" fillId="3" fontId="5" numFmtId="0" xfId="0" applyAlignment="1" applyBorder="1" applyFill="1" applyFont="1">
      <alignment horizontal="center"/>
    </xf>
    <xf borderId="3" fillId="4" fontId="6" numFmtId="0" xfId="0" applyAlignment="1" applyBorder="1" applyFill="1" applyFont="1">
      <alignment horizontal="center" vertical="bottom"/>
    </xf>
    <xf borderId="3" fillId="2" fontId="5" numFmtId="0" xfId="0" applyAlignment="1" applyBorder="1" applyFont="1">
      <alignment horizontal="center"/>
    </xf>
    <xf borderId="3" fillId="5" fontId="5" numFmtId="0" xfId="0" applyAlignment="1" applyBorder="1" applyFill="1" applyFont="1">
      <alignment horizontal="center"/>
    </xf>
    <xf borderId="3" fillId="4" fontId="7" numFmtId="0" xfId="0" applyBorder="1" applyFont="1"/>
    <xf borderId="3" fillId="0" fontId="7" numFmtId="4" xfId="0" applyBorder="1" applyFont="1" applyNumberFormat="1"/>
    <xf borderId="3" fillId="6" fontId="7" numFmtId="0" xfId="0" applyAlignment="1" applyBorder="1" applyFill="1" applyFont="1">
      <alignment vertical="bottom"/>
    </xf>
    <xf borderId="3" fillId="6" fontId="7" numFmtId="0" xfId="0" applyAlignment="1" applyBorder="1" applyFont="1">
      <alignment horizontal="left" vertical="bottom"/>
    </xf>
    <xf borderId="3" fillId="2" fontId="3" numFmtId="0" xfId="0" applyBorder="1" applyFont="1"/>
    <xf borderId="3" fillId="7" fontId="7" numFmtId="0" xfId="0" applyBorder="1" applyFill="1" applyFont="1"/>
    <xf borderId="3" fillId="0" fontId="3" numFmtId="0" xfId="0" applyBorder="1" applyFont="1"/>
    <xf borderId="3" fillId="6" fontId="3" numFmtId="0" xfId="0" applyAlignment="1" applyBorder="1" applyFont="1">
      <alignment vertical="bottom"/>
    </xf>
    <xf borderId="3" fillId="8" fontId="7" numFmtId="0" xfId="0" applyBorder="1" applyFill="1" applyFont="1"/>
    <xf borderId="3" fillId="2" fontId="7" numFmtId="0" xfId="0" applyBorder="1" applyFont="1"/>
    <xf borderId="3" fillId="0" fontId="3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  <xf borderId="3" fillId="7" fontId="7" numFmtId="0" xfId="0" applyAlignment="1" applyBorder="1" applyFont="1">
      <alignment vertical="bottom"/>
    </xf>
    <xf borderId="0" fillId="7" fontId="7" numFmtId="0" xfId="0" applyAlignment="1" applyFont="1">
      <alignment vertical="bottom"/>
    </xf>
    <xf borderId="3" fillId="7" fontId="3" numFmtId="0" xfId="0" applyAlignment="1" applyBorder="1" applyFont="1">
      <alignment vertical="bottom"/>
    </xf>
    <xf borderId="3" fillId="9" fontId="7" numFmtId="0" xfId="0" applyBorder="1" applyFill="1" applyFont="1"/>
    <xf borderId="3" fillId="8" fontId="6" numFmtId="0" xfId="0" applyAlignment="1" applyBorder="1" applyFont="1">
      <alignment horizontal="center" vertical="bottom"/>
    </xf>
    <xf borderId="3" fillId="10" fontId="7" numFmtId="0" xfId="0" applyAlignment="1" applyBorder="1" applyFill="1" applyFont="1">
      <alignment vertical="bottom"/>
    </xf>
    <xf borderId="0" fillId="2" fontId="7" numFmtId="0" xfId="0" applyFont="1"/>
    <xf borderId="0" fillId="0" fontId="3" numFmtId="0" xfId="0" applyFont="1"/>
    <xf borderId="0" fillId="0" fontId="7" numFmtId="0" xfId="0" applyFont="1"/>
    <xf borderId="3" fillId="6" fontId="3" numFmtId="4" xfId="0" applyBorder="1" applyFont="1" applyNumberFormat="1"/>
    <xf borderId="0" fillId="10" fontId="7" numFmtId="0" xfId="0" applyAlignment="1" applyFont="1">
      <alignment vertical="bottom"/>
    </xf>
    <xf borderId="3" fillId="6" fontId="7" numFmtId="0" xfId="0" applyBorder="1" applyFont="1"/>
    <xf borderId="0" fillId="0" fontId="3" numFmtId="0" xfId="0" applyAlignment="1" applyFont="1">
      <alignment vertical="bottom"/>
    </xf>
    <xf borderId="3" fillId="11" fontId="8" numFmtId="0" xfId="0" applyAlignment="1" applyBorder="1" applyFill="1" applyFont="1">
      <alignment vertical="bottom"/>
    </xf>
    <xf borderId="3" fillId="12" fontId="6" numFmtId="0" xfId="0" applyAlignment="1" applyBorder="1" applyFill="1" applyFont="1">
      <alignment horizontal="center" vertical="bottom"/>
    </xf>
    <xf borderId="0" fillId="0" fontId="3" numFmtId="164" xfId="0" applyAlignment="1" applyFont="1" applyNumberFormat="1">
      <alignment horizontal="left"/>
    </xf>
    <xf borderId="3" fillId="10" fontId="3" numFmtId="4" xfId="0" applyBorder="1" applyFont="1" applyNumberFormat="1"/>
    <xf borderId="3" fillId="9" fontId="7" numFmtId="0" xfId="0" applyAlignment="1" applyBorder="1" applyFont="1">
      <alignment vertical="bottom"/>
    </xf>
    <xf borderId="0" fillId="11" fontId="8" numFmtId="0" xfId="0" applyFont="1"/>
    <xf borderId="3" fillId="7" fontId="3" numFmtId="164" xfId="0" applyAlignment="1" applyBorder="1" applyFont="1" applyNumberFormat="1">
      <alignment horizontal="left"/>
    </xf>
    <xf borderId="3" fillId="9" fontId="3" numFmtId="4" xfId="0" applyAlignment="1" applyBorder="1" applyFont="1" applyNumberFormat="1">
      <alignment vertical="bottom"/>
    </xf>
    <xf borderId="0" fillId="9" fontId="7" numFmtId="0" xfId="0" applyAlignment="1" applyFont="1">
      <alignment vertical="bottom"/>
    </xf>
    <xf borderId="0" fillId="7" fontId="3" numFmtId="0" xfId="0" applyAlignment="1" applyFont="1">
      <alignment vertical="bottom"/>
    </xf>
    <xf borderId="0" fillId="0" fontId="9" numFmtId="0" xfId="0" applyFont="1"/>
    <xf borderId="4" fillId="2" fontId="5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2" fillId="2" fontId="3" numFmtId="0" xfId="0" applyBorder="1" applyFont="1"/>
    <xf borderId="0" fillId="2" fontId="5" numFmtId="0" xfId="0" applyAlignment="1" applyFont="1">
      <alignment horizontal="center"/>
    </xf>
    <xf borderId="3" fillId="8" fontId="3" numFmtId="0" xfId="0" applyAlignment="1" applyBorder="1" applyFont="1">
      <alignment vertical="bottom"/>
    </xf>
    <xf borderId="0" fillId="2" fontId="3" numFmtId="164" xfId="0" applyFont="1" applyNumberFormat="1"/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center" vertical="bottom"/>
    </xf>
    <xf borderId="5" fillId="0" fontId="3" numFmtId="3" xfId="0" applyAlignment="1" applyBorder="1" applyFont="1" applyNumberFormat="1">
      <alignment vertical="bottom"/>
    </xf>
    <xf borderId="7" fillId="0" fontId="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horizontal="center" vertical="bottom"/>
    </xf>
    <xf borderId="10" fillId="2" fontId="10" numFmtId="3" xfId="0" applyAlignment="1" applyBorder="1" applyFont="1" applyNumberFormat="1">
      <alignment horizontal="center" vertical="center"/>
    </xf>
    <xf borderId="10" fillId="0" fontId="2" numFmtId="0" xfId="0" applyBorder="1" applyFont="1"/>
    <xf borderId="10" fillId="0" fontId="7" numFmtId="0" xfId="0" applyAlignment="1" applyBorder="1" applyFont="1">
      <alignment horizontal="center" vertical="bottom"/>
    </xf>
    <xf borderId="10" fillId="2" fontId="10" numFmtId="0" xfId="0" applyAlignment="1" applyBorder="1" applyFont="1">
      <alignment horizontal="center" vertical="bottom"/>
    </xf>
    <xf borderId="8" fillId="0" fontId="2" numFmtId="0" xfId="0" applyBorder="1" applyFont="1"/>
    <xf borderId="8" fillId="0" fontId="7" numFmtId="0" xfId="0" applyAlignment="1" applyBorder="1" applyFont="1">
      <alignment horizontal="center" vertical="bottom"/>
    </xf>
    <xf borderId="0" fillId="0" fontId="3" numFmtId="3" xfId="0" applyAlignment="1" applyFont="1" applyNumberFormat="1">
      <alignment vertical="bottom"/>
    </xf>
    <xf borderId="11" fillId="13" fontId="5" numFmtId="0" xfId="0" applyAlignment="1" applyBorder="1" applyFill="1" applyFont="1">
      <alignment horizontal="center" vertical="bottom"/>
    </xf>
    <xf borderId="3" fillId="4" fontId="7" numFmtId="3" xfId="0" applyBorder="1" applyFont="1" applyNumberFormat="1"/>
    <xf borderId="8" fillId="6" fontId="3" numFmtId="165" xfId="0" applyAlignment="1" applyBorder="1" applyFont="1" applyNumberFormat="1">
      <alignment horizontal="center" vertical="bottom"/>
    </xf>
    <xf borderId="10" fillId="6" fontId="3" numFmtId="10" xfId="0" applyAlignment="1" applyBorder="1" applyFont="1" applyNumberFormat="1">
      <alignment horizontal="center" vertical="bottom"/>
    </xf>
    <xf borderId="12" fillId="4" fontId="7" numFmtId="0" xfId="0" applyAlignment="1" applyBorder="1" applyFont="1">
      <alignment horizontal="center" vertical="center"/>
    </xf>
    <xf borderId="12" fillId="6" fontId="3" numFmtId="10" xfId="0" applyAlignment="1" applyBorder="1" applyFont="1" applyNumberFormat="1">
      <alignment horizontal="center" vertical="center"/>
    </xf>
    <xf borderId="12" fillId="0" fontId="2" numFmtId="0" xfId="0" applyBorder="1" applyFont="1"/>
    <xf borderId="3" fillId="8" fontId="7" numFmtId="3" xfId="0" applyBorder="1" applyFont="1" applyNumberFormat="1"/>
    <xf borderId="8" fillId="10" fontId="3" numFmtId="165" xfId="0" applyAlignment="1" applyBorder="1" applyFont="1" applyNumberFormat="1">
      <alignment horizontal="center" vertical="bottom"/>
    </xf>
    <xf borderId="10" fillId="10" fontId="3" numFmtId="10" xfId="0" applyAlignment="1" applyBorder="1" applyFont="1" applyNumberFormat="1">
      <alignment horizontal="center" vertical="bottom"/>
    </xf>
    <xf borderId="12" fillId="8" fontId="7" numFmtId="0" xfId="0" applyAlignment="1" applyBorder="1" applyFont="1">
      <alignment horizontal="center" vertical="center"/>
    </xf>
    <xf borderId="12" fillId="10" fontId="11" numFmtId="10" xfId="0" applyAlignment="1" applyBorder="1" applyFont="1" applyNumberFormat="1">
      <alignment horizontal="center" vertical="center"/>
    </xf>
    <xf borderId="3" fillId="9" fontId="7" numFmtId="3" xfId="0" applyBorder="1" applyFont="1" applyNumberFormat="1"/>
    <xf borderId="8" fillId="9" fontId="3" numFmtId="165" xfId="0" applyAlignment="1" applyBorder="1" applyFont="1" applyNumberFormat="1">
      <alignment horizontal="center" vertical="bottom"/>
    </xf>
    <xf borderId="10" fillId="9" fontId="3" numFmtId="10" xfId="0" applyAlignment="1" applyBorder="1" applyFont="1" applyNumberFormat="1">
      <alignment horizontal="center" vertical="bottom"/>
    </xf>
    <xf borderId="12" fillId="12" fontId="7" numFmtId="0" xfId="0" applyAlignment="1" applyBorder="1" applyFont="1">
      <alignment horizontal="center" vertical="center"/>
    </xf>
    <xf borderId="12" fillId="9" fontId="3" numFmtId="10" xfId="0" applyAlignment="1" applyBorder="1" applyFont="1" applyNumberFormat="1">
      <alignment horizontal="center" vertical="center"/>
    </xf>
    <xf borderId="13" fillId="0" fontId="3" numFmtId="3" xfId="0" applyAlignment="1" applyBorder="1" applyFont="1" applyNumberFormat="1">
      <alignment vertical="bottom"/>
    </xf>
    <xf borderId="13" fillId="0" fontId="3" numFmtId="0" xfId="0" applyAlignment="1" applyBorder="1" applyFont="1">
      <alignment vertical="bottom"/>
    </xf>
    <xf borderId="14" fillId="0" fontId="3" numFmtId="0" xfId="0" applyAlignment="1" applyBorder="1" applyFont="1">
      <alignment vertical="bottom"/>
    </xf>
    <xf borderId="11" fillId="0" fontId="3" numFmtId="0" xfId="0" applyAlignment="1" applyBorder="1" applyFont="1">
      <alignment horizontal="center" vertical="bottom"/>
    </xf>
    <xf borderId="14" fillId="2" fontId="1" numFmtId="3" xfId="0" applyAlignment="1" applyBorder="1" applyFont="1" applyNumberFormat="1">
      <alignment horizontal="center" vertical="center"/>
    </xf>
    <xf borderId="14" fillId="0" fontId="2" numFmtId="0" xfId="0" applyBorder="1" applyFont="1"/>
    <xf borderId="15" fillId="0" fontId="2" numFmtId="0" xfId="0" applyBorder="1" applyFont="1"/>
    <xf borderId="16" fillId="0" fontId="3" numFmtId="0" xfId="0" applyAlignment="1" applyBorder="1" applyFont="1">
      <alignment vertical="bottom"/>
    </xf>
    <xf borderId="10" fillId="2" fontId="1" numFmtId="0" xfId="0" applyAlignment="1" applyBorder="1" applyFont="1">
      <alignment horizontal="center" vertical="bottom"/>
    </xf>
    <xf borderId="10" fillId="2" fontId="12" numFmtId="0" xfId="0" applyAlignment="1" applyBorder="1" applyFont="1">
      <alignment horizontal="center" vertical="bottom"/>
    </xf>
    <xf borderId="8" fillId="0" fontId="3" numFmtId="0" xfId="0" applyBorder="1" applyFont="1"/>
    <xf borderId="11" fillId="0" fontId="3" numFmtId="0" xfId="0" applyAlignment="1" applyBorder="1" applyFont="1">
      <alignment horizontal="center"/>
    </xf>
    <xf borderId="8" fillId="14" fontId="13" numFmtId="3" xfId="0" applyAlignment="1" applyBorder="1" applyFill="1" applyFont="1" applyNumberFormat="1">
      <alignment horizontal="center" shrinkToFit="0" vertical="center" wrapText="1"/>
    </xf>
    <xf borderId="8" fillId="14" fontId="13" numFmtId="0" xfId="0" applyAlignment="1" applyBorder="1" applyFont="1">
      <alignment horizontal="center" shrinkToFit="0" vertical="center" wrapText="1"/>
    </xf>
    <xf borderId="16" fillId="7" fontId="3" numFmtId="0" xfId="0" applyBorder="1" applyFont="1"/>
    <xf borderId="8" fillId="14" fontId="14" numFmtId="166" xfId="0" applyAlignment="1" applyBorder="1" applyFont="1" applyNumberFormat="1">
      <alignment horizontal="center" shrinkToFit="0" vertical="center" wrapText="1"/>
    </xf>
    <xf borderId="8" fillId="14" fontId="14" numFmtId="0" xfId="0" applyAlignment="1" applyBorder="1" applyFont="1">
      <alignment horizontal="center" shrinkToFit="0" vertical="center" wrapText="1"/>
    </xf>
    <xf borderId="16" fillId="14" fontId="15" numFmtId="0" xfId="0" applyAlignment="1" applyBorder="1" applyFont="1">
      <alignment horizontal="center" shrinkToFit="0" vertical="center" wrapText="1"/>
    </xf>
    <xf borderId="8" fillId="14" fontId="13" numFmtId="166" xfId="0" applyAlignment="1" applyBorder="1" applyFont="1" applyNumberFormat="1">
      <alignment horizontal="center" shrinkToFit="0" vertical="center" wrapText="1"/>
    </xf>
    <xf borderId="8" fillId="0" fontId="16" numFmtId="0" xfId="0" applyAlignment="1" applyBorder="1" applyFont="1">
      <alignment horizontal="center" shrinkToFit="0" vertical="center" wrapText="1"/>
    </xf>
    <xf borderId="11" fillId="6" fontId="7" numFmtId="0" xfId="0" applyAlignment="1" applyBorder="1" applyFont="1">
      <alignment vertical="bottom"/>
    </xf>
    <xf borderId="11" fillId="6" fontId="7" numFmtId="3" xfId="0" applyAlignment="1" applyBorder="1" applyFont="1" applyNumberFormat="1">
      <alignment horizontal="center" vertical="bottom"/>
    </xf>
    <xf borderId="8" fillId="6" fontId="7" numFmtId="165" xfId="0" applyAlignment="1" applyBorder="1" applyFont="1" applyNumberFormat="1">
      <alignment horizontal="center" vertical="bottom"/>
    </xf>
    <xf borderId="16" fillId="4" fontId="17" numFmtId="165" xfId="0" applyAlignment="1" applyBorder="1" applyFont="1" applyNumberFormat="1">
      <alignment horizontal="center" vertical="bottom"/>
    </xf>
    <xf borderId="8" fillId="0" fontId="18" numFmtId="0" xfId="0" applyAlignment="1" applyBorder="1" applyFont="1">
      <alignment vertical="bottom"/>
    </xf>
    <xf borderId="8" fillId="4" fontId="17" numFmtId="165" xfId="0" applyAlignment="1" applyBorder="1" applyFont="1" applyNumberFormat="1">
      <alignment horizontal="center" vertical="bottom"/>
    </xf>
    <xf borderId="8" fillId="0" fontId="3" numFmtId="3" xfId="0" applyAlignment="1" applyBorder="1" applyFont="1" applyNumberFormat="1">
      <alignment vertical="bottom"/>
    </xf>
    <xf borderId="8" fillId="7" fontId="3" numFmtId="165" xfId="0" applyAlignment="1" applyBorder="1" applyFont="1" applyNumberFormat="1">
      <alignment vertical="bottom"/>
    </xf>
    <xf borderId="8" fillId="0" fontId="3" numFmtId="165" xfId="0" applyAlignment="1" applyBorder="1" applyFont="1" applyNumberFormat="1">
      <alignment vertical="bottom"/>
    </xf>
    <xf borderId="16" fillId="7" fontId="15" numFmtId="0" xfId="0" applyAlignment="1" applyBorder="1" applyFont="1">
      <alignment horizontal="center" shrinkToFit="0" vertical="center" wrapText="1"/>
    </xf>
    <xf borderId="16" fillId="7" fontId="3" numFmtId="165" xfId="0" applyAlignment="1" applyBorder="1" applyFont="1" applyNumberFormat="1">
      <alignment vertical="bottom"/>
    </xf>
    <xf borderId="10" fillId="0" fontId="3" numFmtId="0" xfId="0" applyAlignment="1" applyBorder="1" applyFont="1">
      <alignment vertical="bottom"/>
    </xf>
    <xf borderId="8" fillId="10" fontId="7" numFmtId="165" xfId="0" applyAlignment="1" applyBorder="1" applyFont="1" applyNumberFormat="1">
      <alignment horizontal="left" vertical="bottom"/>
    </xf>
    <xf borderId="8" fillId="10" fontId="7" numFmtId="3" xfId="0" applyAlignment="1" applyBorder="1" applyFont="1" applyNumberFormat="1">
      <alignment horizontal="center" vertical="bottom"/>
    </xf>
    <xf borderId="8" fillId="10" fontId="7" numFmtId="165" xfId="0" applyAlignment="1" applyBorder="1" applyFont="1" applyNumberFormat="1">
      <alignment horizontal="center" vertical="bottom"/>
    </xf>
    <xf borderId="16" fillId="8" fontId="17" numFmtId="165" xfId="0" applyAlignment="1" applyBorder="1" applyFont="1" applyNumberFormat="1">
      <alignment horizontal="center" vertical="bottom"/>
    </xf>
    <xf borderId="8" fillId="0" fontId="18" numFmtId="0" xfId="0" applyBorder="1" applyFont="1"/>
    <xf borderId="11" fillId="9" fontId="7" numFmtId="3" xfId="0" applyAlignment="1" applyBorder="1" applyFont="1" applyNumberFormat="1">
      <alignment horizontal="left" vertical="bottom"/>
    </xf>
    <xf borderId="11" fillId="9" fontId="7" numFmtId="3" xfId="0" applyAlignment="1" applyBorder="1" applyFont="1" applyNumberFormat="1">
      <alignment horizontal="center" vertical="bottom"/>
    </xf>
    <xf borderId="8" fillId="9" fontId="7" numFmtId="165" xfId="0" applyAlignment="1" applyBorder="1" applyFont="1" applyNumberFormat="1">
      <alignment horizontal="center" vertical="bottom"/>
    </xf>
    <xf borderId="16" fillId="12" fontId="7" numFmtId="165" xfId="0" applyAlignment="1" applyBorder="1" applyFont="1" applyNumberFormat="1">
      <alignment horizontal="center" vertical="bottom"/>
    </xf>
    <xf borderId="14" fillId="0" fontId="3" numFmtId="3" xfId="0" applyAlignment="1" applyBorder="1" applyFont="1" applyNumberFormat="1">
      <alignment vertical="bottom"/>
    </xf>
    <xf borderId="8" fillId="0" fontId="3" numFmtId="166" xfId="0" applyAlignment="1" applyBorder="1" applyFont="1" applyNumberFormat="1">
      <alignment horizontal="center"/>
    </xf>
    <xf borderId="8" fillId="0" fontId="3" numFmtId="3" xfId="0" applyBorder="1" applyFont="1" applyNumberFormat="1"/>
    <xf borderId="8" fillId="7" fontId="3" numFmtId="0" xfId="0" applyAlignment="1" applyBorder="1" applyFont="1">
      <alignment vertical="bottom"/>
    </xf>
    <xf borderId="12" fillId="0" fontId="3" numFmtId="0" xfId="0" applyBorder="1" applyFont="1"/>
    <xf borderId="8" fillId="0" fontId="3" numFmtId="165" xfId="0" applyAlignment="1" applyBorder="1" applyFont="1" applyNumberFormat="1">
      <alignment horizontal="center" vertical="bottom"/>
    </xf>
    <xf borderId="8" fillId="0" fontId="7" numFmtId="0" xfId="0" applyAlignment="1" applyBorder="1" applyFont="1">
      <alignment horizontal="center" vertical="center"/>
    </xf>
    <xf borderId="8" fillId="0" fontId="7" numFmtId="3" xfId="0" applyAlignment="1" applyBorder="1" applyFont="1" applyNumberFormat="1">
      <alignment horizontal="center" vertical="bottom"/>
    </xf>
    <xf borderId="8" fillId="7" fontId="3" numFmtId="0" xfId="0" applyBorder="1" applyFont="1"/>
    <xf borderId="8" fillId="0" fontId="7" numFmtId="165" xfId="0" applyAlignment="1" applyBorder="1" applyFont="1" applyNumberFormat="1">
      <alignment horizontal="center" vertical="bottom"/>
    </xf>
    <xf borderId="12" fillId="0" fontId="7" numFmtId="0" xfId="0" applyAlignment="1" applyBorder="1" applyFont="1">
      <alignment horizontal="center" vertical="center"/>
    </xf>
    <xf borderId="8" fillId="0" fontId="3" numFmtId="3" xfId="0" applyAlignment="1" applyBorder="1" applyFont="1" applyNumberFormat="1">
      <alignment horizontal="center" vertical="bottom"/>
    </xf>
    <xf borderId="16" fillId="0" fontId="7" numFmtId="165" xfId="0" applyAlignment="1" applyBorder="1" applyFont="1" applyNumberFormat="1">
      <alignment horizontal="center" vertical="bottom"/>
    </xf>
    <xf borderId="16" fillId="0" fontId="3" numFmtId="165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5"/>
    <col customWidth="1" min="2" max="2" width="51.75"/>
    <col customWidth="1" min="3" max="3" width="3.25"/>
    <col customWidth="1" min="4" max="4" width="58.75"/>
    <col customWidth="1" min="5" max="5" width="3.0"/>
    <col customWidth="1" min="6" max="6" width="58.75"/>
    <col customWidth="1" min="7" max="7" width="3.0"/>
    <col customWidth="1" min="8" max="8" width="59.88"/>
    <col customWidth="1" min="9" max="9" width="3.13"/>
    <col customWidth="1" min="10" max="10" width="72.0"/>
    <col customWidth="1" min="11" max="11" width="4.5"/>
    <col customWidth="1" min="12" max="12" width="23.5"/>
    <col customWidth="1" min="13" max="13" width="4.5"/>
    <col customWidth="1" min="14" max="14" width="41.0"/>
  </cols>
  <sheetData>
    <row r="1" ht="15.75" customHeight="1">
      <c r="A1" s="1" t="s">
        <v>0</v>
      </c>
      <c r="B1" s="2"/>
      <c r="C1" s="3"/>
      <c r="D1" s="4" t="s">
        <v>1</v>
      </c>
      <c r="E1" s="3"/>
      <c r="F1" s="4" t="s">
        <v>2</v>
      </c>
      <c r="G1" s="3"/>
      <c r="H1" s="5" t="s">
        <v>3</v>
      </c>
      <c r="I1" s="6"/>
      <c r="J1" s="5" t="s">
        <v>4</v>
      </c>
      <c r="L1" s="7" t="s">
        <v>5</v>
      </c>
      <c r="N1" s="7" t="s">
        <v>6</v>
      </c>
    </row>
    <row r="2" ht="15.75" customHeight="1">
      <c r="A2" s="7" t="s">
        <v>0</v>
      </c>
      <c r="B2" s="7" t="s">
        <v>7</v>
      </c>
      <c r="C2" s="3"/>
      <c r="D2" s="8" t="s">
        <v>8</v>
      </c>
      <c r="E2" s="3"/>
      <c r="F2" s="8" t="s">
        <v>8</v>
      </c>
      <c r="G2" s="3"/>
      <c r="H2" s="9" t="s">
        <v>9</v>
      </c>
      <c r="I2" s="9"/>
      <c r="J2" s="10" t="s">
        <v>10</v>
      </c>
      <c r="L2" s="7"/>
      <c r="N2" s="7"/>
    </row>
    <row r="3" ht="15.75" customHeight="1">
      <c r="A3" s="11" t="s">
        <v>11</v>
      </c>
      <c r="B3" s="12" t="s">
        <v>12</v>
      </c>
      <c r="C3" s="3"/>
      <c r="D3" s="13" t="s">
        <v>13</v>
      </c>
      <c r="E3" s="3"/>
      <c r="F3" s="14" t="s">
        <v>14</v>
      </c>
      <c r="G3" s="3"/>
      <c r="H3" s="8"/>
      <c r="I3" s="15"/>
      <c r="J3" s="16" t="s">
        <v>15</v>
      </c>
      <c r="L3" s="17"/>
      <c r="N3" s="17"/>
    </row>
    <row r="4" ht="15.75" customHeight="1">
      <c r="A4" s="11" t="s">
        <v>16</v>
      </c>
      <c r="B4" s="12" t="s">
        <v>17</v>
      </c>
      <c r="C4" s="3"/>
      <c r="D4" s="13" t="s">
        <v>18</v>
      </c>
      <c r="E4" s="3"/>
      <c r="F4" s="14" t="s">
        <v>19</v>
      </c>
      <c r="G4" s="3"/>
      <c r="H4" s="18"/>
      <c r="I4" s="15"/>
      <c r="J4" s="16"/>
      <c r="L4" s="17"/>
      <c r="N4" s="17"/>
    </row>
    <row r="5" ht="15.75" customHeight="1">
      <c r="A5" s="11" t="s">
        <v>20</v>
      </c>
      <c r="B5" s="12" t="s">
        <v>21</v>
      </c>
      <c r="C5" s="3"/>
      <c r="D5" s="13" t="s">
        <v>22</v>
      </c>
      <c r="E5" s="3"/>
      <c r="F5" s="14" t="s">
        <v>23</v>
      </c>
      <c r="G5" s="3"/>
      <c r="H5" s="18"/>
      <c r="I5" s="15"/>
      <c r="J5" s="16"/>
      <c r="L5" s="17"/>
      <c r="N5" s="17"/>
    </row>
    <row r="6" ht="15.75" customHeight="1">
      <c r="A6" s="19" t="s">
        <v>24</v>
      </c>
      <c r="B6" s="12" t="s">
        <v>25</v>
      </c>
      <c r="C6" s="3"/>
      <c r="D6" s="13" t="s">
        <v>26</v>
      </c>
      <c r="E6" s="3"/>
      <c r="F6" s="14" t="s">
        <v>27</v>
      </c>
      <c r="G6" s="3"/>
      <c r="H6" s="18"/>
      <c r="I6" s="20"/>
      <c r="J6" s="16"/>
      <c r="L6" s="17"/>
      <c r="N6" s="21"/>
    </row>
    <row r="7" ht="15.75" customHeight="1">
      <c r="A7" s="19" t="s">
        <v>28</v>
      </c>
      <c r="B7" s="12" t="s">
        <v>29</v>
      </c>
      <c r="C7" s="3"/>
      <c r="D7" s="13" t="s">
        <v>30</v>
      </c>
      <c r="E7" s="3"/>
      <c r="F7" s="14" t="s">
        <v>31</v>
      </c>
      <c r="G7" s="3"/>
      <c r="H7" s="18"/>
      <c r="I7" s="20"/>
      <c r="J7" s="16"/>
      <c r="L7" s="17"/>
      <c r="N7" s="22"/>
    </row>
    <row r="8" ht="15.75" customHeight="1">
      <c r="A8" s="19" t="s">
        <v>32</v>
      </c>
      <c r="B8" s="12" t="s">
        <v>33</v>
      </c>
      <c r="C8" s="3"/>
      <c r="D8" s="23"/>
      <c r="E8" s="3"/>
      <c r="F8" s="24"/>
      <c r="G8" s="3"/>
      <c r="H8" s="25"/>
      <c r="I8" s="20"/>
      <c r="L8" s="17"/>
      <c r="N8" s="22"/>
    </row>
    <row r="9" ht="15.75" customHeight="1">
      <c r="A9" s="26" t="s">
        <v>34</v>
      </c>
      <c r="B9" s="12" t="s">
        <v>35</v>
      </c>
      <c r="C9" s="3"/>
      <c r="D9" s="27" t="s">
        <v>36</v>
      </c>
      <c r="E9" s="3"/>
      <c r="F9" s="27" t="s">
        <v>36</v>
      </c>
      <c r="G9" s="3"/>
      <c r="H9" s="27"/>
      <c r="I9" s="20"/>
      <c r="J9" s="13"/>
      <c r="L9" s="17"/>
      <c r="N9" s="22"/>
    </row>
    <row r="10" ht="15.75" customHeight="1">
      <c r="A10" s="26" t="s">
        <v>37</v>
      </c>
      <c r="B10" s="12" t="s">
        <v>38</v>
      </c>
      <c r="C10" s="3"/>
      <c r="D10" s="28" t="s">
        <v>39</v>
      </c>
      <c r="E10" s="3"/>
      <c r="F10" s="28" t="s">
        <v>19</v>
      </c>
      <c r="G10" s="3"/>
      <c r="H10" s="28"/>
      <c r="I10" s="20"/>
      <c r="J10" s="13"/>
      <c r="L10" s="17"/>
      <c r="N10" s="17"/>
    </row>
    <row r="11" ht="15.75" customHeight="1">
      <c r="A11" s="26" t="s">
        <v>40</v>
      </c>
      <c r="B11" s="12" t="s">
        <v>41</v>
      </c>
      <c r="C11" s="3"/>
      <c r="D11" s="28" t="s">
        <v>42</v>
      </c>
      <c r="E11" s="3"/>
      <c r="F11" s="28" t="s">
        <v>23</v>
      </c>
      <c r="G11" s="3"/>
      <c r="H11" s="28"/>
      <c r="I11" s="29"/>
      <c r="J11" s="13"/>
      <c r="L11" s="30"/>
      <c r="N11" s="30"/>
    </row>
    <row r="12" ht="15.75" customHeight="1">
      <c r="A12" s="31"/>
      <c r="B12" s="31"/>
      <c r="C12" s="3"/>
      <c r="D12" s="28" t="s">
        <v>43</v>
      </c>
      <c r="E12" s="3"/>
      <c r="F12" s="28" t="s">
        <v>27</v>
      </c>
      <c r="G12" s="3"/>
      <c r="H12" s="28"/>
      <c r="I12" s="29"/>
      <c r="L12" s="30"/>
      <c r="N12" s="30"/>
    </row>
    <row r="13" ht="15.75" customHeight="1">
      <c r="A13" s="7" t="s">
        <v>0</v>
      </c>
      <c r="B13" s="7" t="s">
        <v>44</v>
      </c>
      <c r="C13" s="3"/>
      <c r="D13" s="28" t="s">
        <v>45</v>
      </c>
      <c r="E13" s="3"/>
      <c r="F13" s="28" t="s">
        <v>31</v>
      </c>
      <c r="G13" s="3"/>
      <c r="H13" s="28"/>
      <c r="I13" s="29"/>
      <c r="J13" s="10" t="s">
        <v>46</v>
      </c>
    </row>
    <row r="14" ht="15.75" customHeight="1">
      <c r="A14" s="11" t="s">
        <v>11</v>
      </c>
      <c r="B14" s="32" t="s">
        <v>47</v>
      </c>
      <c r="C14" s="3"/>
      <c r="D14" s="28" t="s">
        <v>48</v>
      </c>
      <c r="E14" s="3"/>
      <c r="F14" s="33" t="s">
        <v>49</v>
      </c>
      <c r="G14" s="3"/>
      <c r="H14" s="25"/>
      <c r="I14" s="3"/>
      <c r="J14" s="34"/>
    </row>
    <row r="15">
      <c r="A15" s="11" t="s">
        <v>16</v>
      </c>
      <c r="B15" s="32" t="s">
        <v>50</v>
      </c>
      <c r="C15" s="3"/>
      <c r="D15" s="35"/>
      <c r="E15" s="3"/>
      <c r="F15" s="35"/>
      <c r="G15" s="3"/>
      <c r="H15" s="36"/>
      <c r="I15" s="9"/>
      <c r="J15" s="16"/>
      <c r="L15" s="7" t="s">
        <v>51</v>
      </c>
    </row>
    <row r="16" ht="15.75" customHeight="1">
      <c r="A16" s="11" t="s">
        <v>20</v>
      </c>
      <c r="B16" s="32" t="s">
        <v>52</v>
      </c>
      <c r="C16" s="3"/>
      <c r="D16" s="37" t="s">
        <v>53</v>
      </c>
      <c r="E16" s="3"/>
      <c r="F16" s="37" t="s">
        <v>53</v>
      </c>
      <c r="G16" s="3"/>
      <c r="H16" s="36"/>
      <c r="I16" s="15"/>
      <c r="J16" s="16"/>
      <c r="L16" s="38"/>
    </row>
    <row r="17" ht="15.75" customHeight="1">
      <c r="A17" s="19" t="s">
        <v>24</v>
      </c>
      <c r="B17" s="39" t="s">
        <v>54</v>
      </c>
      <c r="C17" s="3"/>
      <c r="D17" s="40" t="s">
        <v>55</v>
      </c>
      <c r="E17" s="3"/>
      <c r="F17" s="40" t="s">
        <v>23</v>
      </c>
      <c r="G17" s="3"/>
      <c r="H17" s="41"/>
      <c r="I17" s="15"/>
      <c r="J17" s="42"/>
    </row>
    <row r="18" ht="15.75" customHeight="1">
      <c r="A18" s="19" t="s">
        <v>28</v>
      </c>
      <c r="B18" s="39" t="s">
        <v>56</v>
      </c>
      <c r="C18" s="3"/>
      <c r="D18" s="40" t="s">
        <v>57</v>
      </c>
      <c r="E18" s="3"/>
      <c r="F18" s="40" t="s">
        <v>27</v>
      </c>
      <c r="G18" s="3"/>
      <c r="H18" s="36"/>
      <c r="I18" s="15"/>
      <c r="J18" s="42"/>
    </row>
    <row r="19" ht="15.75" customHeight="1">
      <c r="A19" s="19" t="s">
        <v>32</v>
      </c>
      <c r="B19" s="39" t="s">
        <v>58</v>
      </c>
      <c r="C19" s="3"/>
      <c r="D19" s="40" t="s">
        <v>59</v>
      </c>
      <c r="E19" s="3"/>
      <c r="F19" s="40" t="s">
        <v>31</v>
      </c>
      <c r="G19" s="3"/>
      <c r="H19" s="36"/>
      <c r="I19" s="15"/>
      <c r="J19" s="42"/>
    </row>
    <row r="20" ht="15.75" customHeight="1">
      <c r="A20" s="26" t="s">
        <v>34</v>
      </c>
      <c r="B20" s="43" t="s">
        <v>60</v>
      </c>
      <c r="C20" s="3"/>
      <c r="D20" s="40" t="s">
        <v>61</v>
      </c>
      <c r="E20" s="3"/>
      <c r="F20" s="40" t="s">
        <v>49</v>
      </c>
      <c r="G20" s="3"/>
      <c r="H20" s="36"/>
      <c r="I20" s="20"/>
      <c r="J20" s="7" t="s">
        <v>62</v>
      </c>
    </row>
    <row r="21" ht="15.75" customHeight="1">
      <c r="A21" s="26" t="s">
        <v>37</v>
      </c>
      <c r="B21" s="43" t="s">
        <v>63</v>
      </c>
      <c r="C21" s="3"/>
      <c r="D21" s="40" t="s">
        <v>64</v>
      </c>
      <c r="E21" s="3"/>
      <c r="F21" s="44" t="s">
        <v>65</v>
      </c>
      <c r="G21" s="3"/>
      <c r="H21" s="36"/>
      <c r="I21" s="20"/>
      <c r="J21" s="42"/>
    </row>
    <row r="22" ht="15.75" customHeight="1">
      <c r="A22" s="26" t="s">
        <v>40</v>
      </c>
      <c r="B22" s="43"/>
      <c r="C22" s="3"/>
      <c r="D22" s="25"/>
      <c r="E22" s="3"/>
      <c r="F22" s="45"/>
      <c r="G22" s="3"/>
      <c r="H22" s="36"/>
      <c r="I22" s="29"/>
      <c r="J22" s="42"/>
    </row>
    <row r="23" ht="15.75" customHeight="1">
      <c r="A23" s="31"/>
      <c r="B23" s="46"/>
      <c r="C23" s="3"/>
      <c r="D23" s="25"/>
      <c r="E23" s="3"/>
      <c r="F23" s="45"/>
      <c r="G23" s="3"/>
      <c r="H23" s="25"/>
      <c r="I23" s="29"/>
      <c r="J23" s="42"/>
    </row>
    <row r="24" ht="15.75" customHeight="1">
      <c r="A24" s="31"/>
      <c r="B24" s="46"/>
      <c r="C24" s="3"/>
      <c r="D24" s="25"/>
      <c r="E24" s="3"/>
      <c r="F24" s="45"/>
      <c r="G24" s="3"/>
      <c r="H24" s="25"/>
      <c r="I24" s="47"/>
      <c r="J24" s="42"/>
    </row>
    <row r="25" ht="15.75" customHeight="1">
      <c r="A25" s="31"/>
      <c r="B25" s="31"/>
      <c r="C25" s="3"/>
      <c r="D25" s="25"/>
      <c r="E25" s="3"/>
      <c r="F25" s="45"/>
      <c r="G25" s="3"/>
      <c r="H25" s="25"/>
      <c r="I25" s="15"/>
      <c r="J25" s="42"/>
    </row>
    <row r="26" ht="15.75" customHeight="1">
      <c r="A26" s="31"/>
      <c r="C26" s="3"/>
      <c r="D26" s="25"/>
      <c r="E26" s="3"/>
      <c r="F26" s="45"/>
      <c r="G26" s="3"/>
      <c r="H26" s="25"/>
      <c r="I26" s="15"/>
      <c r="J26" s="42"/>
    </row>
    <row r="27" ht="15.75" customHeight="1">
      <c r="A27" s="31"/>
      <c r="C27" s="3"/>
      <c r="D27" s="25"/>
      <c r="E27" s="3"/>
      <c r="F27" s="45"/>
      <c r="G27" s="3"/>
      <c r="H27" s="25"/>
      <c r="I27" s="15"/>
      <c r="J27" s="42"/>
    </row>
    <row r="28" ht="15.75" customHeight="1">
      <c r="B28" s="48"/>
      <c r="C28" s="3"/>
      <c r="D28" s="25"/>
      <c r="E28" s="3"/>
      <c r="F28" s="45"/>
      <c r="G28" s="3"/>
      <c r="H28" s="25"/>
      <c r="I28" s="15"/>
      <c r="J28" s="42"/>
    </row>
    <row r="29" ht="15.75" customHeight="1">
      <c r="B29" s="46"/>
      <c r="C29" s="3"/>
      <c r="D29" s="25"/>
      <c r="E29" s="3"/>
      <c r="F29" s="45"/>
      <c r="G29" s="3"/>
      <c r="H29" s="25"/>
      <c r="I29" s="49"/>
      <c r="J29" s="42"/>
    </row>
    <row r="30" ht="15.75" customHeight="1">
      <c r="B30" s="46"/>
      <c r="C30" s="3"/>
      <c r="D30" s="25"/>
      <c r="E30" s="3"/>
      <c r="F30" s="45"/>
      <c r="G30" s="3"/>
      <c r="H30" s="25"/>
      <c r="I30" s="29"/>
    </row>
    <row r="31" ht="15.75" customHeight="1">
      <c r="B31" s="46"/>
      <c r="C31" s="3"/>
      <c r="D31" s="25"/>
      <c r="E31" s="3"/>
      <c r="F31" s="45"/>
      <c r="G31" s="3"/>
      <c r="H31" s="25"/>
      <c r="I31" s="29"/>
    </row>
    <row r="32" ht="15.75" customHeight="1">
      <c r="C32" s="3"/>
      <c r="D32" s="25"/>
      <c r="E32" s="3"/>
      <c r="F32" s="45"/>
      <c r="G32" s="3"/>
      <c r="H32" s="25"/>
      <c r="I32" s="50"/>
    </row>
    <row r="33" ht="15.75" customHeight="1">
      <c r="C33" s="3"/>
      <c r="D33" s="25"/>
      <c r="E33" s="3"/>
      <c r="F33" s="45"/>
      <c r="G33" s="3"/>
      <c r="H33" s="25"/>
      <c r="I33" s="50"/>
    </row>
    <row r="34" ht="15.75" customHeight="1">
      <c r="C34" s="3"/>
      <c r="D34" s="25"/>
      <c r="E34" s="3"/>
      <c r="F34" s="45"/>
      <c r="G34" s="3"/>
      <c r="H34" s="51"/>
      <c r="I34" s="3"/>
    </row>
    <row r="35" ht="15.75" customHeight="1">
      <c r="C35" s="3"/>
      <c r="D35" s="25"/>
      <c r="E35" s="3"/>
      <c r="F35" s="45"/>
      <c r="G35" s="3"/>
      <c r="H35" s="51"/>
      <c r="I35" s="3"/>
    </row>
    <row r="36" ht="15.75" customHeight="1">
      <c r="C36" s="52"/>
      <c r="D36" s="30"/>
      <c r="E36" s="3"/>
      <c r="F36" s="30"/>
      <c r="G36" s="3"/>
      <c r="H36" s="30"/>
      <c r="I36" s="3"/>
    </row>
    <row r="37" ht="15.75" customHeight="1">
      <c r="C37" s="52"/>
      <c r="D37" s="30"/>
      <c r="E37" s="3"/>
      <c r="F37" s="30"/>
      <c r="G37" s="3"/>
      <c r="H37" s="30"/>
      <c r="I37" s="3"/>
    </row>
    <row r="38" ht="15.75" customHeight="1">
      <c r="C38" s="3"/>
      <c r="D38" s="30"/>
      <c r="E38" s="3"/>
      <c r="F38" s="30"/>
      <c r="G38" s="3"/>
      <c r="H38" s="30"/>
      <c r="I38" s="3"/>
    </row>
    <row r="39" ht="15.75" customHeight="1">
      <c r="C39" s="3"/>
      <c r="D39" s="31"/>
      <c r="E39" s="3"/>
      <c r="F39" s="31"/>
      <c r="G39" s="3"/>
      <c r="H39" s="31"/>
      <c r="I39" s="29"/>
    </row>
    <row r="40" ht="15.75" customHeight="1">
      <c r="C40" s="3"/>
      <c r="D40" s="31"/>
      <c r="E40" s="3"/>
      <c r="F40" s="31"/>
      <c r="G40" s="3"/>
      <c r="H40" s="31"/>
      <c r="I40" s="29"/>
    </row>
    <row r="41" ht="15.75" customHeight="1">
      <c r="C41" s="3"/>
      <c r="D41" s="31"/>
      <c r="E41" s="3"/>
      <c r="F41" s="31"/>
      <c r="G41" s="3"/>
      <c r="I41" s="3"/>
    </row>
    <row r="42" ht="15.75" customHeight="1">
      <c r="C42" s="3"/>
      <c r="E42" s="3"/>
      <c r="G42" s="3"/>
      <c r="I42" s="3"/>
    </row>
    <row r="43" ht="15.75" customHeight="1">
      <c r="A43" s="30"/>
      <c r="C43" s="3"/>
      <c r="E43" s="3"/>
      <c r="G43" s="3"/>
      <c r="I43" s="3"/>
      <c r="J43" s="30"/>
    </row>
    <row r="44" ht="15.75" customHeight="1">
      <c r="A44" s="30"/>
      <c r="C44" s="52"/>
      <c r="E44" s="3"/>
      <c r="G44" s="3"/>
      <c r="I44" s="3"/>
      <c r="J44" s="30"/>
    </row>
    <row r="45" ht="15.75" customHeight="1">
      <c r="A45" s="30"/>
      <c r="C45" s="52"/>
      <c r="E45" s="3"/>
      <c r="G45" s="3"/>
      <c r="I45" s="3"/>
    </row>
    <row r="46" ht="15.75" customHeight="1">
      <c r="A46" s="30"/>
      <c r="C46" s="3"/>
      <c r="E46" s="3"/>
      <c r="G46" s="3"/>
      <c r="I46" s="3"/>
    </row>
    <row r="47" ht="15.75" customHeight="1">
      <c r="A47" s="30"/>
      <c r="C47" s="3"/>
      <c r="E47" s="3"/>
      <c r="G47" s="3"/>
      <c r="I47" s="3"/>
    </row>
    <row r="48" ht="15.75" customHeight="1">
      <c r="A48" s="30"/>
      <c r="C48" s="3"/>
      <c r="E48" s="3"/>
      <c r="G48" s="3"/>
      <c r="I48" s="3"/>
    </row>
    <row r="49" ht="15.75" customHeight="1">
      <c r="A49" s="30"/>
      <c r="C49" s="3"/>
      <c r="E49" s="3"/>
      <c r="G49" s="3"/>
      <c r="I49" s="3"/>
    </row>
    <row r="50" ht="15.75" customHeight="1">
      <c r="A50" s="30"/>
      <c r="C50" s="3"/>
      <c r="E50" s="3"/>
      <c r="G50" s="3"/>
      <c r="I50" s="3"/>
    </row>
    <row r="51" ht="15.75" customHeight="1">
      <c r="A51" s="30"/>
      <c r="C51" s="52"/>
      <c r="E51" s="3"/>
      <c r="G51" s="3"/>
      <c r="I51" s="3"/>
    </row>
    <row r="52" ht="15.75" customHeight="1">
      <c r="C52" s="52"/>
      <c r="E52" s="3"/>
      <c r="G52" s="3"/>
      <c r="I52" s="3"/>
    </row>
    <row r="53" ht="15.75" customHeight="1">
      <c r="C53" s="3"/>
      <c r="E53" s="3"/>
      <c r="G53" s="3"/>
      <c r="I53" s="3"/>
    </row>
    <row r="54" ht="15.75" customHeight="1">
      <c r="C54" s="3"/>
      <c r="E54" s="3"/>
      <c r="G54" s="3"/>
      <c r="I54" s="3"/>
    </row>
    <row r="55" ht="15.75" customHeight="1">
      <c r="C55" s="3"/>
      <c r="E55" s="3"/>
      <c r="G55" s="3"/>
      <c r="I55" s="3"/>
    </row>
    <row r="56" ht="15.75" customHeight="1">
      <c r="C56" s="3"/>
      <c r="E56" s="3"/>
      <c r="G56" s="3"/>
      <c r="I56" s="3"/>
    </row>
    <row r="57" ht="15.75" customHeight="1">
      <c r="C57" s="3"/>
      <c r="E57" s="3"/>
      <c r="G57" s="3"/>
      <c r="I57" s="3"/>
    </row>
    <row r="58" ht="15.75" customHeight="1">
      <c r="C58" s="52"/>
      <c r="E58" s="3"/>
      <c r="G58" s="3"/>
      <c r="I58" s="3"/>
    </row>
    <row r="59" ht="15.75" customHeight="1">
      <c r="C59" s="52"/>
      <c r="E59" s="3"/>
      <c r="G59" s="3"/>
      <c r="I59" s="3"/>
    </row>
    <row r="60" ht="15.75" customHeight="1">
      <c r="C60" s="3"/>
      <c r="E60" s="3"/>
      <c r="G60" s="3"/>
      <c r="I60" s="3"/>
    </row>
    <row r="61" ht="15.75" customHeight="1">
      <c r="C61" s="3"/>
      <c r="E61" s="3"/>
      <c r="G61" s="3"/>
      <c r="I61" s="3"/>
    </row>
    <row r="62" ht="15.75" customHeight="1">
      <c r="C62" s="3"/>
      <c r="E62" s="3"/>
      <c r="G62" s="3"/>
      <c r="I62" s="3"/>
    </row>
    <row r="63" ht="15.75" customHeight="1">
      <c r="C63" s="3"/>
      <c r="E63" s="3"/>
      <c r="G63" s="3"/>
      <c r="I63" s="3"/>
    </row>
    <row r="64" ht="15.75" customHeight="1">
      <c r="C64" s="3"/>
      <c r="E64" s="3"/>
      <c r="G64" s="3"/>
      <c r="I64" s="3"/>
    </row>
    <row r="65" ht="15.75" customHeight="1">
      <c r="C65" s="52"/>
      <c r="E65" s="3"/>
      <c r="G65" s="3"/>
      <c r="I65" s="3"/>
    </row>
    <row r="66" ht="15.75" customHeight="1">
      <c r="C66" s="52"/>
      <c r="E66" s="3"/>
      <c r="G66" s="3"/>
      <c r="I66" s="3"/>
    </row>
    <row r="67" ht="15.75" customHeight="1">
      <c r="C67" s="3"/>
      <c r="E67" s="3"/>
      <c r="G67" s="3"/>
      <c r="I67" s="3"/>
    </row>
    <row r="68" ht="15.75" customHeight="1">
      <c r="C68" s="3"/>
      <c r="E68" s="3"/>
      <c r="G68" s="3"/>
      <c r="I68" s="3"/>
    </row>
    <row r="69" ht="15.75" customHeight="1">
      <c r="C69" s="3"/>
      <c r="E69" s="3"/>
      <c r="G69" s="3"/>
      <c r="I69" s="3"/>
    </row>
    <row r="70" ht="15.75" customHeight="1">
      <c r="C70" s="3"/>
      <c r="E70" s="3"/>
      <c r="G70" s="3"/>
      <c r="I70" s="3"/>
    </row>
    <row r="71" ht="15.75" customHeight="1">
      <c r="C71" s="3"/>
      <c r="E71" s="3"/>
      <c r="G71" s="3"/>
      <c r="I71" s="3"/>
    </row>
    <row r="72" ht="15.75" customHeight="1">
      <c r="C72" s="3"/>
      <c r="E72" s="3"/>
      <c r="G72" s="3"/>
      <c r="I72" s="3"/>
    </row>
    <row r="73" ht="15.75" customHeight="1">
      <c r="C73" s="3"/>
      <c r="E73" s="3"/>
      <c r="G73" s="3"/>
      <c r="I73" s="3"/>
    </row>
    <row r="74" ht="15.75" customHeight="1">
      <c r="C74" s="3"/>
      <c r="E74" s="3"/>
      <c r="G74" s="3"/>
      <c r="I74" s="3"/>
    </row>
    <row r="75" ht="15.75" customHeight="1">
      <c r="C75" s="3"/>
      <c r="E75" s="3"/>
      <c r="G75" s="3"/>
      <c r="I75" s="3"/>
    </row>
    <row r="76" ht="15.75" customHeight="1">
      <c r="C76" s="3"/>
      <c r="E76" s="3"/>
      <c r="G76" s="3"/>
      <c r="I76" s="3"/>
    </row>
    <row r="77" ht="15.75" customHeight="1">
      <c r="C77" s="3"/>
      <c r="E77" s="3"/>
      <c r="G77" s="3"/>
      <c r="I77" s="3"/>
    </row>
    <row r="78" ht="15.75" customHeight="1">
      <c r="C78" s="3"/>
      <c r="E78" s="3"/>
      <c r="G78" s="3"/>
      <c r="I78" s="3"/>
    </row>
    <row r="79" ht="15.75" customHeight="1">
      <c r="C79" s="3"/>
      <c r="E79" s="3"/>
      <c r="G79" s="3"/>
      <c r="I79" s="3"/>
    </row>
    <row r="80" ht="15.75" customHeight="1">
      <c r="C80" s="3"/>
      <c r="E80" s="3"/>
      <c r="G80" s="3"/>
      <c r="I80" s="3"/>
    </row>
    <row r="81" ht="15.75" customHeight="1">
      <c r="C81" s="3"/>
      <c r="E81" s="3"/>
      <c r="G81" s="3"/>
      <c r="I81" s="3"/>
    </row>
    <row r="82" ht="15.75" customHeight="1">
      <c r="C82" s="3"/>
      <c r="E82" s="3"/>
      <c r="G82" s="3"/>
      <c r="I82" s="3"/>
    </row>
    <row r="83" ht="15.75" customHeight="1">
      <c r="C83" s="3"/>
      <c r="E83" s="3"/>
      <c r="G83" s="3"/>
      <c r="I83" s="3"/>
    </row>
    <row r="84" ht="15.75" customHeight="1">
      <c r="C84" s="3"/>
      <c r="E84" s="3"/>
      <c r="G84" s="3"/>
      <c r="I84" s="3"/>
    </row>
    <row r="85" ht="15.75" customHeight="1">
      <c r="C85" s="3"/>
      <c r="E85" s="3"/>
      <c r="G85" s="3"/>
      <c r="I85" s="3"/>
    </row>
    <row r="86" ht="15.75" customHeight="1">
      <c r="C86" s="3"/>
      <c r="E86" s="3"/>
      <c r="G86" s="3"/>
      <c r="I86" s="3"/>
    </row>
    <row r="87" ht="15.75" customHeight="1">
      <c r="C87" s="3"/>
      <c r="E87" s="3"/>
      <c r="G87" s="3"/>
      <c r="I87" s="3"/>
    </row>
    <row r="88" ht="15.75" customHeight="1">
      <c r="C88" s="3"/>
      <c r="E88" s="3"/>
      <c r="G88" s="3"/>
      <c r="I88" s="3"/>
    </row>
    <row r="89" ht="15.75" customHeight="1">
      <c r="C89" s="3"/>
      <c r="E89" s="3"/>
      <c r="G89" s="3"/>
      <c r="I89" s="3"/>
    </row>
    <row r="90" ht="15.75" customHeight="1">
      <c r="C90" s="3"/>
      <c r="E90" s="3"/>
      <c r="G90" s="3"/>
      <c r="I90" s="3"/>
    </row>
    <row r="91" ht="15.75" customHeight="1">
      <c r="C91" s="3"/>
      <c r="E91" s="3"/>
      <c r="G91" s="3"/>
      <c r="I91" s="3"/>
    </row>
    <row r="92" ht="15.75" customHeight="1">
      <c r="C92" s="3"/>
      <c r="E92" s="3"/>
      <c r="G92" s="3"/>
      <c r="I92" s="3"/>
    </row>
    <row r="93" ht="15.75" customHeight="1">
      <c r="C93" s="3"/>
      <c r="E93" s="3"/>
      <c r="G93" s="3"/>
      <c r="I93" s="3"/>
    </row>
    <row r="94" ht="15.75" customHeight="1">
      <c r="C94" s="3"/>
      <c r="E94" s="3"/>
      <c r="G94" s="3"/>
      <c r="I94" s="3"/>
    </row>
    <row r="95" ht="15.75" customHeight="1">
      <c r="C95" s="3"/>
      <c r="E95" s="3"/>
      <c r="G95" s="3"/>
      <c r="I95" s="3"/>
    </row>
    <row r="96" ht="15.75" customHeight="1">
      <c r="C96" s="3"/>
      <c r="E96" s="3"/>
      <c r="G96" s="3"/>
      <c r="I96" s="3"/>
    </row>
    <row r="97" ht="15.75" customHeight="1">
      <c r="C97" s="3"/>
      <c r="E97" s="3"/>
      <c r="G97" s="3"/>
      <c r="I97" s="3"/>
    </row>
    <row r="98" ht="15.75" customHeight="1">
      <c r="C98" s="3"/>
      <c r="E98" s="3"/>
      <c r="G98" s="3"/>
      <c r="I98" s="3"/>
    </row>
    <row r="99" ht="15.75" customHeight="1">
      <c r="C99" s="3"/>
      <c r="E99" s="3"/>
      <c r="G99" s="3"/>
      <c r="I99" s="3"/>
    </row>
    <row r="100" ht="15.75" customHeight="1">
      <c r="C100" s="3"/>
      <c r="E100" s="3"/>
      <c r="G100" s="3"/>
      <c r="I100" s="3"/>
    </row>
    <row r="101" ht="15.75" customHeight="1">
      <c r="C101" s="3"/>
      <c r="E101" s="3"/>
      <c r="G101" s="3"/>
      <c r="I101" s="3"/>
    </row>
    <row r="102" ht="15.75" customHeight="1">
      <c r="C102" s="3"/>
      <c r="E102" s="3"/>
      <c r="G102" s="3"/>
      <c r="I102" s="3"/>
    </row>
    <row r="103" ht="15.75" customHeight="1">
      <c r="C103" s="3"/>
      <c r="E103" s="3"/>
      <c r="G103" s="3"/>
      <c r="I103" s="3"/>
    </row>
    <row r="104" ht="15.75" customHeight="1">
      <c r="C104" s="3"/>
      <c r="E104" s="3"/>
      <c r="G104" s="3"/>
      <c r="I104" s="3"/>
    </row>
    <row r="105" ht="15.75" customHeight="1">
      <c r="C105" s="3"/>
      <c r="E105" s="3"/>
      <c r="G105" s="3"/>
      <c r="I105" s="3"/>
    </row>
    <row r="106" ht="15.75" customHeight="1">
      <c r="C106" s="3"/>
      <c r="E106" s="3"/>
      <c r="G106" s="3"/>
      <c r="I106" s="3"/>
    </row>
    <row r="107" ht="15.75" customHeight="1">
      <c r="C107" s="3"/>
      <c r="E107" s="3"/>
      <c r="G107" s="3"/>
      <c r="I107" s="3"/>
    </row>
    <row r="108" ht="15.75" customHeight="1">
      <c r="C108" s="3"/>
      <c r="E108" s="3"/>
      <c r="G108" s="3"/>
      <c r="I108" s="3"/>
    </row>
    <row r="109" ht="15.75" customHeight="1">
      <c r="C109" s="3"/>
      <c r="E109" s="3"/>
      <c r="G109" s="3"/>
      <c r="I109" s="3"/>
    </row>
    <row r="110" ht="15.75" customHeight="1">
      <c r="C110" s="3"/>
      <c r="E110" s="3"/>
      <c r="G110" s="3"/>
      <c r="I110" s="3"/>
    </row>
    <row r="111" ht="15.75" customHeight="1">
      <c r="C111" s="3"/>
      <c r="E111" s="3"/>
      <c r="G111" s="3"/>
      <c r="I111" s="3"/>
    </row>
    <row r="112" ht="15.75" customHeight="1">
      <c r="C112" s="3"/>
      <c r="E112" s="3"/>
      <c r="G112" s="3"/>
      <c r="I112" s="3"/>
    </row>
    <row r="113" ht="15.75" customHeight="1">
      <c r="C113" s="3"/>
      <c r="E113" s="3"/>
      <c r="G113" s="3"/>
      <c r="I113" s="3"/>
    </row>
    <row r="114" ht="15.75" customHeight="1">
      <c r="C114" s="3"/>
      <c r="E114" s="3"/>
      <c r="G114" s="3"/>
      <c r="I114" s="3"/>
    </row>
    <row r="115" ht="15.75" customHeight="1">
      <c r="C115" s="3"/>
      <c r="E115" s="3"/>
      <c r="G115" s="3"/>
      <c r="I115" s="3"/>
    </row>
    <row r="116" ht="15.75" customHeight="1">
      <c r="C116" s="3"/>
      <c r="E116" s="3"/>
      <c r="G116" s="3"/>
      <c r="I116" s="3"/>
    </row>
    <row r="117" ht="15.75" customHeight="1">
      <c r="C117" s="3"/>
      <c r="E117" s="3"/>
      <c r="G117" s="3"/>
      <c r="I117" s="3"/>
    </row>
    <row r="118" ht="15.75" customHeight="1">
      <c r="C118" s="3"/>
      <c r="E118" s="3"/>
      <c r="G118" s="3"/>
      <c r="I118" s="3"/>
    </row>
    <row r="119" ht="15.75" customHeight="1">
      <c r="C119" s="3"/>
      <c r="E119" s="3"/>
      <c r="G119" s="3"/>
      <c r="I119" s="3"/>
    </row>
    <row r="120" ht="15.75" customHeight="1">
      <c r="C120" s="3"/>
      <c r="E120" s="3"/>
      <c r="G120" s="3"/>
      <c r="I120" s="3"/>
    </row>
    <row r="121" ht="15.75" customHeight="1">
      <c r="C121" s="3"/>
      <c r="E121" s="3"/>
      <c r="G121" s="3"/>
      <c r="I121" s="3"/>
    </row>
    <row r="122" ht="15.75" customHeight="1">
      <c r="C122" s="3"/>
      <c r="E122" s="3"/>
      <c r="G122" s="3"/>
      <c r="I122" s="3"/>
    </row>
    <row r="123" ht="15.75" customHeight="1">
      <c r="C123" s="3"/>
      <c r="E123" s="3"/>
      <c r="G123" s="3"/>
      <c r="I123" s="3"/>
    </row>
    <row r="124" ht="15.75" customHeight="1">
      <c r="C124" s="3"/>
      <c r="E124" s="3"/>
      <c r="G124" s="3"/>
      <c r="I124" s="3"/>
    </row>
    <row r="125" ht="15.75" customHeight="1">
      <c r="C125" s="3"/>
      <c r="E125" s="3"/>
      <c r="G125" s="3"/>
      <c r="I125" s="3"/>
    </row>
    <row r="126" ht="15.75" customHeight="1">
      <c r="C126" s="3"/>
      <c r="E126" s="3"/>
      <c r="G126" s="3"/>
      <c r="I126" s="3"/>
    </row>
    <row r="127" ht="15.75" customHeight="1">
      <c r="C127" s="3"/>
      <c r="E127" s="3"/>
      <c r="G127" s="3"/>
      <c r="I127" s="3"/>
    </row>
    <row r="128" ht="15.75" customHeight="1">
      <c r="C128" s="3"/>
      <c r="E128" s="3"/>
      <c r="G128" s="3"/>
      <c r="I128" s="3"/>
    </row>
    <row r="129" ht="15.75" customHeight="1">
      <c r="C129" s="3"/>
      <c r="E129" s="3"/>
      <c r="G129" s="3"/>
      <c r="I129" s="3"/>
    </row>
    <row r="130" ht="15.75" customHeight="1">
      <c r="C130" s="3"/>
      <c r="E130" s="3"/>
      <c r="G130" s="3"/>
      <c r="I130" s="3"/>
    </row>
    <row r="131" ht="15.75" customHeight="1">
      <c r="C131" s="3"/>
      <c r="E131" s="3"/>
      <c r="G131" s="3"/>
      <c r="I131" s="3"/>
    </row>
    <row r="132" ht="15.75" customHeight="1">
      <c r="C132" s="3"/>
      <c r="E132" s="3"/>
      <c r="G132" s="3"/>
      <c r="I132" s="3"/>
    </row>
    <row r="133" ht="15.75" customHeight="1">
      <c r="C133" s="3"/>
      <c r="E133" s="3"/>
      <c r="G133" s="3"/>
      <c r="I133" s="3"/>
    </row>
    <row r="134" ht="15.75" customHeight="1">
      <c r="C134" s="3"/>
      <c r="E134" s="3"/>
      <c r="G134" s="3"/>
      <c r="I134" s="3"/>
    </row>
    <row r="135" ht="15.75" customHeight="1">
      <c r="C135" s="3"/>
      <c r="E135" s="3"/>
      <c r="G135" s="3"/>
      <c r="I135" s="3"/>
    </row>
    <row r="136" ht="15.75" customHeight="1">
      <c r="C136" s="3"/>
      <c r="E136" s="3"/>
      <c r="G136" s="3"/>
      <c r="I136" s="3"/>
    </row>
    <row r="137" ht="15.75" customHeight="1">
      <c r="C137" s="3"/>
      <c r="E137" s="3"/>
      <c r="G137" s="3"/>
      <c r="I137" s="3"/>
    </row>
    <row r="138" ht="15.75" customHeight="1">
      <c r="C138" s="3"/>
      <c r="E138" s="3"/>
      <c r="G138" s="3"/>
      <c r="I138" s="3"/>
    </row>
    <row r="139" ht="15.75" customHeight="1">
      <c r="C139" s="3"/>
      <c r="E139" s="3"/>
      <c r="G139" s="3"/>
      <c r="I139" s="3"/>
    </row>
    <row r="140" ht="15.75" customHeight="1">
      <c r="C140" s="3"/>
      <c r="E140" s="3"/>
      <c r="G140" s="3"/>
      <c r="I140" s="3"/>
    </row>
    <row r="141" ht="15.75" customHeight="1">
      <c r="C141" s="3"/>
      <c r="E141" s="3"/>
      <c r="G141" s="3"/>
      <c r="I141" s="3"/>
    </row>
    <row r="142" ht="15.75" customHeight="1">
      <c r="C142" s="3"/>
      <c r="E142" s="3"/>
      <c r="G142" s="3"/>
      <c r="I142" s="3"/>
    </row>
    <row r="143" ht="15.75" customHeight="1">
      <c r="C143" s="3"/>
      <c r="E143" s="3"/>
      <c r="G143" s="3"/>
      <c r="I143" s="3"/>
    </row>
    <row r="144" ht="15.75" customHeight="1">
      <c r="C144" s="3"/>
      <c r="E144" s="3"/>
      <c r="G144" s="3"/>
      <c r="I144" s="3"/>
    </row>
    <row r="145" ht="15.75" customHeight="1">
      <c r="C145" s="3"/>
      <c r="E145" s="3"/>
      <c r="G145" s="3"/>
      <c r="I145" s="3"/>
    </row>
    <row r="146" ht="15.75" customHeight="1">
      <c r="C146" s="3"/>
      <c r="E146" s="3"/>
      <c r="G146" s="3"/>
      <c r="I146" s="3"/>
    </row>
    <row r="147" ht="15.75" customHeight="1">
      <c r="C147" s="3"/>
      <c r="E147" s="3"/>
      <c r="G147" s="3"/>
      <c r="I147" s="3"/>
    </row>
    <row r="148" ht="15.75" customHeight="1">
      <c r="C148" s="3"/>
      <c r="E148" s="3"/>
      <c r="G148" s="3"/>
      <c r="I148" s="3"/>
    </row>
    <row r="149" ht="15.75" customHeight="1">
      <c r="C149" s="3"/>
      <c r="E149" s="3"/>
      <c r="G149" s="3"/>
      <c r="I149" s="3"/>
    </row>
    <row r="150" ht="15.75" customHeight="1">
      <c r="C150" s="3"/>
      <c r="E150" s="3"/>
      <c r="G150" s="3"/>
      <c r="I150" s="3"/>
    </row>
    <row r="151" ht="15.75" customHeight="1">
      <c r="C151" s="3"/>
      <c r="E151" s="3"/>
      <c r="G151" s="3"/>
      <c r="I151" s="3"/>
    </row>
    <row r="152" ht="15.75" customHeight="1">
      <c r="C152" s="3"/>
      <c r="E152" s="3"/>
      <c r="G152" s="3"/>
      <c r="I152" s="3"/>
    </row>
    <row r="153" ht="15.75" customHeight="1">
      <c r="C153" s="3"/>
      <c r="E153" s="3"/>
      <c r="G153" s="3"/>
      <c r="I153" s="3"/>
    </row>
    <row r="154" ht="15.75" customHeight="1">
      <c r="C154" s="3"/>
      <c r="E154" s="3"/>
      <c r="G154" s="3"/>
      <c r="I154" s="3"/>
    </row>
    <row r="155" ht="15.75" customHeight="1">
      <c r="C155" s="3"/>
      <c r="E155" s="3"/>
      <c r="G155" s="3"/>
      <c r="I155" s="3"/>
    </row>
    <row r="156" ht="15.75" customHeight="1">
      <c r="C156" s="3"/>
      <c r="E156" s="3"/>
      <c r="G156" s="3"/>
      <c r="I156" s="3"/>
    </row>
    <row r="157" ht="15.75" customHeight="1">
      <c r="C157" s="3"/>
      <c r="E157" s="3"/>
      <c r="G157" s="3"/>
      <c r="I157" s="3"/>
    </row>
    <row r="158" ht="15.75" customHeight="1">
      <c r="C158" s="3"/>
      <c r="E158" s="3"/>
      <c r="G158" s="3"/>
      <c r="I158" s="3"/>
    </row>
    <row r="159" ht="15.75" customHeight="1">
      <c r="C159" s="3"/>
      <c r="E159" s="3"/>
      <c r="G159" s="3"/>
      <c r="I159" s="3"/>
    </row>
    <row r="160" ht="15.75" customHeight="1">
      <c r="C160" s="3"/>
      <c r="E160" s="3"/>
      <c r="G160" s="3"/>
      <c r="I160" s="3"/>
    </row>
    <row r="161" ht="15.75" customHeight="1">
      <c r="C161" s="3"/>
      <c r="E161" s="3"/>
      <c r="G161" s="3"/>
      <c r="I161" s="3"/>
    </row>
    <row r="162" ht="15.75" customHeight="1">
      <c r="C162" s="3"/>
      <c r="E162" s="3"/>
      <c r="G162" s="3"/>
      <c r="I162" s="3"/>
    </row>
    <row r="163" ht="15.75" customHeight="1">
      <c r="C163" s="3"/>
      <c r="E163" s="3"/>
      <c r="G163" s="3"/>
      <c r="I163" s="3"/>
    </row>
    <row r="164" ht="15.75" customHeight="1">
      <c r="C164" s="3"/>
      <c r="E164" s="3"/>
      <c r="G164" s="3"/>
      <c r="I164" s="3"/>
    </row>
    <row r="165" ht="15.75" customHeight="1">
      <c r="C165" s="3"/>
      <c r="E165" s="3"/>
      <c r="G165" s="3"/>
      <c r="I165" s="3"/>
    </row>
    <row r="166" ht="15.75" customHeight="1">
      <c r="C166" s="3"/>
      <c r="E166" s="3"/>
      <c r="G166" s="3"/>
      <c r="I166" s="3"/>
    </row>
    <row r="167" ht="15.75" customHeight="1">
      <c r="C167" s="3"/>
      <c r="E167" s="3"/>
      <c r="G167" s="3"/>
      <c r="I167" s="3"/>
    </row>
    <row r="168" ht="15.75" customHeight="1">
      <c r="C168" s="3"/>
      <c r="E168" s="3"/>
      <c r="G168" s="3"/>
      <c r="I168" s="3"/>
    </row>
    <row r="169" ht="15.75" customHeight="1">
      <c r="C169" s="3"/>
      <c r="E169" s="3"/>
      <c r="G169" s="3"/>
      <c r="I169" s="3"/>
    </row>
    <row r="170" ht="15.75" customHeight="1">
      <c r="C170" s="3"/>
      <c r="E170" s="3"/>
      <c r="G170" s="3"/>
      <c r="I170" s="3"/>
    </row>
    <row r="171" ht="15.75" customHeight="1">
      <c r="C171" s="3"/>
      <c r="E171" s="3"/>
      <c r="G171" s="3"/>
      <c r="I171" s="3"/>
    </row>
    <row r="172" ht="15.75" customHeight="1">
      <c r="C172" s="3"/>
      <c r="E172" s="3"/>
      <c r="G172" s="3"/>
      <c r="I172" s="3"/>
    </row>
    <row r="173" ht="15.75" customHeight="1">
      <c r="C173" s="3"/>
      <c r="E173" s="3"/>
      <c r="G173" s="3"/>
      <c r="I173" s="3"/>
    </row>
    <row r="174" ht="15.75" customHeight="1">
      <c r="C174" s="3"/>
      <c r="E174" s="3"/>
      <c r="G174" s="3"/>
      <c r="I174" s="3"/>
    </row>
    <row r="175" ht="15.75" customHeight="1">
      <c r="C175" s="3"/>
      <c r="E175" s="3"/>
      <c r="G175" s="3"/>
      <c r="I175" s="3"/>
    </row>
    <row r="176" ht="15.75" customHeight="1">
      <c r="C176" s="3"/>
      <c r="E176" s="3"/>
      <c r="G176" s="3"/>
      <c r="I176" s="3"/>
    </row>
    <row r="177" ht="15.75" customHeight="1">
      <c r="C177" s="3"/>
      <c r="E177" s="3"/>
      <c r="G177" s="3"/>
      <c r="I177" s="3"/>
    </row>
    <row r="178" ht="15.75" customHeight="1">
      <c r="C178" s="3"/>
      <c r="E178" s="3"/>
      <c r="G178" s="3"/>
      <c r="I178" s="3"/>
    </row>
    <row r="179" ht="15.75" customHeight="1">
      <c r="C179" s="3"/>
      <c r="E179" s="3"/>
      <c r="G179" s="3"/>
      <c r="I179" s="3"/>
    </row>
    <row r="180" ht="15.75" customHeight="1">
      <c r="C180" s="3"/>
      <c r="E180" s="3"/>
      <c r="G180" s="3"/>
      <c r="I180" s="3"/>
    </row>
    <row r="181" ht="15.75" customHeight="1">
      <c r="C181" s="3"/>
      <c r="E181" s="3"/>
      <c r="G181" s="3"/>
      <c r="I181" s="3"/>
    </row>
    <row r="182" ht="15.75" customHeight="1">
      <c r="C182" s="3"/>
      <c r="E182" s="3"/>
      <c r="G182" s="3"/>
      <c r="I182" s="3"/>
    </row>
    <row r="183" ht="15.75" customHeight="1">
      <c r="C183" s="3"/>
      <c r="E183" s="3"/>
      <c r="G183" s="3"/>
      <c r="I183" s="3"/>
    </row>
    <row r="184" ht="15.75" customHeight="1">
      <c r="C184" s="3"/>
      <c r="E184" s="3"/>
      <c r="G184" s="3"/>
      <c r="I184" s="3"/>
    </row>
    <row r="185" ht="15.75" customHeight="1">
      <c r="C185" s="3"/>
      <c r="E185" s="3"/>
      <c r="G185" s="3"/>
      <c r="I185" s="3"/>
    </row>
    <row r="186" ht="15.75" customHeight="1">
      <c r="C186" s="3"/>
      <c r="E186" s="3"/>
      <c r="G186" s="3"/>
      <c r="I186" s="3"/>
    </row>
    <row r="187" ht="15.75" customHeight="1">
      <c r="C187" s="3"/>
      <c r="E187" s="3"/>
      <c r="G187" s="3"/>
      <c r="I187" s="3"/>
    </row>
    <row r="188" ht="15.75" customHeight="1">
      <c r="C188" s="3"/>
      <c r="E188" s="3"/>
      <c r="G188" s="3"/>
      <c r="I188" s="3"/>
    </row>
    <row r="189" ht="15.75" customHeight="1">
      <c r="C189" s="3"/>
      <c r="E189" s="3"/>
      <c r="G189" s="3"/>
      <c r="I189" s="3"/>
    </row>
    <row r="190" ht="15.75" customHeight="1">
      <c r="C190" s="3"/>
      <c r="E190" s="3"/>
      <c r="G190" s="3"/>
      <c r="I190" s="3"/>
    </row>
    <row r="191" ht="15.75" customHeight="1">
      <c r="C191" s="3"/>
      <c r="E191" s="3"/>
      <c r="G191" s="3"/>
      <c r="I191" s="3"/>
    </row>
    <row r="192" ht="15.75" customHeight="1">
      <c r="C192" s="3"/>
      <c r="E192" s="3"/>
      <c r="G192" s="3"/>
      <c r="I192" s="3"/>
    </row>
    <row r="193" ht="15.75" customHeight="1">
      <c r="C193" s="3"/>
      <c r="E193" s="3"/>
      <c r="G193" s="3"/>
      <c r="I193" s="3"/>
    </row>
    <row r="194" ht="15.75" customHeight="1">
      <c r="C194" s="3"/>
      <c r="E194" s="3"/>
      <c r="G194" s="3"/>
      <c r="I194" s="3"/>
    </row>
    <row r="195" ht="15.75" customHeight="1">
      <c r="C195" s="3"/>
      <c r="E195" s="3"/>
      <c r="G195" s="3"/>
      <c r="I195" s="3"/>
    </row>
    <row r="196" ht="15.75" customHeight="1">
      <c r="C196" s="3"/>
      <c r="E196" s="3"/>
      <c r="G196" s="3"/>
      <c r="I196" s="3"/>
    </row>
    <row r="197" ht="15.75" customHeight="1">
      <c r="C197" s="3"/>
      <c r="E197" s="3"/>
      <c r="G197" s="3"/>
      <c r="I197" s="3"/>
    </row>
    <row r="198" ht="15.75" customHeight="1">
      <c r="C198" s="3"/>
      <c r="E198" s="3"/>
      <c r="G198" s="3"/>
      <c r="I198" s="3"/>
    </row>
    <row r="199" ht="15.75" customHeight="1">
      <c r="C199" s="3"/>
      <c r="E199" s="3"/>
      <c r="G199" s="3"/>
      <c r="I199" s="3"/>
    </row>
    <row r="200" ht="15.75" customHeight="1">
      <c r="C200" s="3"/>
      <c r="E200" s="3"/>
      <c r="G200" s="3"/>
      <c r="I200" s="3"/>
    </row>
    <row r="201" ht="15.75" customHeight="1">
      <c r="C201" s="3"/>
      <c r="E201" s="3"/>
      <c r="G201" s="3"/>
      <c r="I201" s="3"/>
    </row>
    <row r="202" ht="15.75" customHeight="1">
      <c r="C202" s="3"/>
      <c r="E202" s="3"/>
      <c r="G202" s="3"/>
      <c r="I202" s="3"/>
    </row>
    <row r="203" ht="15.75" customHeight="1">
      <c r="C203" s="3"/>
      <c r="E203" s="3"/>
      <c r="G203" s="3"/>
      <c r="I203" s="3"/>
    </row>
    <row r="204" ht="15.75" customHeight="1">
      <c r="C204" s="3"/>
      <c r="E204" s="3"/>
      <c r="G204" s="3"/>
      <c r="I204" s="3"/>
    </row>
    <row r="205" ht="15.75" customHeight="1">
      <c r="C205" s="3"/>
      <c r="E205" s="3"/>
      <c r="G205" s="3"/>
      <c r="I205" s="3"/>
    </row>
    <row r="206" ht="15.75" customHeight="1">
      <c r="C206" s="3"/>
      <c r="E206" s="3"/>
      <c r="G206" s="3"/>
      <c r="I206" s="3"/>
    </row>
    <row r="207" ht="15.75" customHeight="1">
      <c r="C207" s="3"/>
      <c r="E207" s="3"/>
      <c r="G207" s="3"/>
      <c r="I207" s="3"/>
    </row>
    <row r="208" ht="15.75" customHeight="1">
      <c r="C208" s="3"/>
      <c r="E208" s="3"/>
      <c r="G208" s="3"/>
      <c r="I208" s="3"/>
    </row>
    <row r="209" ht="15.75" customHeight="1">
      <c r="C209" s="3"/>
      <c r="E209" s="3"/>
      <c r="G209" s="3"/>
      <c r="I209" s="3"/>
    </row>
    <row r="210" ht="15.75" customHeight="1">
      <c r="C210" s="3"/>
      <c r="E210" s="3"/>
      <c r="G210" s="3"/>
      <c r="I210" s="3"/>
    </row>
    <row r="211" ht="15.75" customHeight="1">
      <c r="C211" s="3"/>
      <c r="E211" s="3"/>
      <c r="G211" s="3"/>
      <c r="I211" s="3"/>
    </row>
    <row r="212" ht="15.75" customHeight="1">
      <c r="C212" s="3"/>
      <c r="E212" s="3"/>
      <c r="G212" s="3"/>
      <c r="I212" s="3"/>
    </row>
    <row r="213" ht="15.75" customHeight="1">
      <c r="C213" s="3"/>
      <c r="E213" s="3"/>
      <c r="G213" s="3"/>
      <c r="I213" s="3"/>
    </row>
    <row r="214" ht="15.75" customHeight="1">
      <c r="C214" s="3"/>
      <c r="E214" s="3"/>
      <c r="G214" s="3"/>
      <c r="I214" s="3"/>
    </row>
    <row r="215" ht="15.75" customHeight="1">
      <c r="C215" s="3"/>
      <c r="E215" s="3"/>
      <c r="G215" s="3"/>
      <c r="I215" s="3"/>
    </row>
    <row r="216" ht="15.75" customHeight="1">
      <c r="C216" s="3"/>
      <c r="E216" s="3"/>
      <c r="G216" s="3"/>
      <c r="I216" s="3"/>
    </row>
    <row r="217" ht="15.75" customHeight="1">
      <c r="C217" s="3"/>
      <c r="E217" s="3"/>
      <c r="G217" s="3"/>
      <c r="I217" s="3"/>
    </row>
    <row r="218" ht="15.75" customHeight="1">
      <c r="C218" s="3"/>
      <c r="E218" s="3"/>
      <c r="G218" s="3"/>
      <c r="I218" s="3"/>
    </row>
    <row r="219" ht="15.75" customHeight="1">
      <c r="C219" s="3"/>
      <c r="E219" s="3"/>
      <c r="G219" s="3"/>
      <c r="I219" s="3"/>
    </row>
    <row r="220" ht="15.75" customHeight="1">
      <c r="C220" s="3"/>
      <c r="E220" s="3"/>
      <c r="G220" s="3"/>
      <c r="I220" s="3"/>
    </row>
    <row r="221" ht="15.75" customHeight="1">
      <c r="C221" s="3"/>
      <c r="E221" s="3"/>
      <c r="G221" s="3"/>
      <c r="I221" s="3"/>
    </row>
    <row r="222" ht="15.75" customHeight="1">
      <c r="C222" s="3"/>
      <c r="E222" s="3"/>
      <c r="G222" s="3"/>
      <c r="I222" s="3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88"/>
    <col customWidth="1" min="2" max="2" width="11.75"/>
    <col customWidth="1" min="3" max="3" width="10.25"/>
    <col customWidth="1" min="4" max="4" width="10.13"/>
    <col customWidth="1" min="5" max="5" width="12.38"/>
    <col customWidth="1" min="6" max="6" width="12.0"/>
    <col customWidth="1" min="7" max="7" width="3.88"/>
    <col customWidth="1" min="8" max="8" width="15.0"/>
    <col customWidth="1" min="9" max="9" width="15.5"/>
    <col customWidth="1" min="10" max="10" width="17.63"/>
    <col customWidth="1" min="11" max="11" width="16.75"/>
    <col customWidth="1" min="12" max="12" width="16.88"/>
    <col customWidth="1" min="13" max="13" width="5.75"/>
    <col customWidth="1" min="15" max="15" width="12.63"/>
    <col customWidth="1" min="20" max="20" width="4.75"/>
    <col customWidth="1" min="21" max="21" width="5.75"/>
    <col customWidth="1" min="22" max="22" width="21.63"/>
  </cols>
  <sheetData>
    <row r="1">
      <c r="A1" s="53" t="s">
        <v>66</v>
      </c>
      <c r="B1" s="54"/>
      <c r="C1" s="55"/>
      <c r="D1" s="53"/>
      <c r="E1" s="53"/>
      <c r="F1" s="56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35"/>
      <c r="X1" s="35"/>
      <c r="Y1" s="35"/>
      <c r="Z1" s="35"/>
    </row>
    <row r="2">
      <c r="A2" s="57"/>
      <c r="B2" s="58"/>
      <c r="C2" s="59" t="s">
        <v>67</v>
      </c>
      <c r="D2" s="60"/>
      <c r="E2" s="60"/>
      <c r="F2" s="61"/>
      <c r="G2" s="57"/>
      <c r="H2" s="62" t="s">
        <v>68</v>
      </c>
      <c r="I2" s="60"/>
      <c r="J2" s="60"/>
      <c r="K2" s="60"/>
      <c r="L2" s="63"/>
      <c r="M2" s="57"/>
      <c r="N2" s="57"/>
      <c r="O2" s="64"/>
      <c r="P2" s="57"/>
      <c r="Q2" s="57"/>
      <c r="R2" s="57"/>
      <c r="S2" s="57"/>
      <c r="T2" s="57"/>
      <c r="U2" s="57"/>
      <c r="V2" s="57"/>
      <c r="W2" s="35"/>
      <c r="X2" s="35"/>
      <c r="Y2" s="35"/>
      <c r="Z2" s="35"/>
    </row>
    <row r="3">
      <c r="A3" s="57"/>
      <c r="B3" s="58"/>
      <c r="C3" s="65"/>
      <c r="D3" s="64" t="s">
        <v>69</v>
      </c>
      <c r="E3" s="61"/>
      <c r="F3" s="61"/>
      <c r="G3" s="57"/>
      <c r="H3" s="66" t="s">
        <v>70</v>
      </c>
      <c r="I3" s="66" t="s">
        <v>71</v>
      </c>
      <c r="J3" s="66" t="s">
        <v>72</v>
      </c>
      <c r="K3" s="66" t="s">
        <v>73</v>
      </c>
      <c r="L3" s="66" t="s">
        <v>74</v>
      </c>
      <c r="M3" s="57"/>
      <c r="N3" s="57"/>
      <c r="O3" s="64"/>
      <c r="P3" s="57"/>
      <c r="Q3" s="57"/>
      <c r="R3" s="57"/>
      <c r="S3" s="57"/>
      <c r="T3" s="57"/>
      <c r="U3" s="57"/>
      <c r="V3" s="57"/>
      <c r="W3" s="57"/>
      <c r="X3" s="57"/>
      <c r="Y3" s="57"/>
      <c r="Z3" s="35"/>
    </row>
    <row r="4">
      <c r="A4" s="57"/>
      <c r="B4" s="58"/>
      <c r="C4" s="67" t="s">
        <v>11</v>
      </c>
      <c r="D4" s="68">
        <v>2400.0</v>
      </c>
      <c r="E4" s="69"/>
      <c r="F4" s="61"/>
      <c r="G4" s="70" t="s">
        <v>75</v>
      </c>
      <c r="H4" s="71">
        <v>0.005</v>
      </c>
      <c r="I4" s="71">
        <v>0.0075</v>
      </c>
      <c r="J4" s="71">
        <v>0.01</v>
      </c>
      <c r="K4" s="71">
        <v>0.0125</v>
      </c>
      <c r="L4" s="71">
        <v>0.015</v>
      </c>
      <c r="M4" s="57"/>
      <c r="N4" s="57"/>
      <c r="O4" s="64"/>
      <c r="P4" s="57"/>
      <c r="Q4" s="57"/>
      <c r="R4" s="57"/>
      <c r="S4" s="57"/>
      <c r="T4" s="57"/>
      <c r="U4" s="57"/>
      <c r="V4" s="57"/>
      <c r="W4" s="57"/>
      <c r="X4" s="57"/>
      <c r="Y4" s="57"/>
      <c r="Z4" s="35"/>
    </row>
    <row r="5">
      <c r="A5" s="57"/>
      <c r="B5" s="58"/>
      <c r="C5" s="67" t="s">
        <v>16</v>
      </c>
      <c r="D5" s="68">
        <v>2600.0</v>
      </c>
      <c r="E5" s="69"/>
      <c r="F5" s="61"/>
      <c r="G5" s="72"/>
      <c r="H5" s="72"/>
      <c r="I5" s="72"/>
      <c r="J5" s="72"/>
      <c r="K5" s="72"/>
      <c r="L5" s="72"/>
      <c r="M5" s="57"/>
      <c r="N5" s="57"/>
      <c r="O5" s="64"/>
      <c r="P5" s="57"/>
      <c r="Q5" s="57"/>
      <c r="R5" s="57"/>
      <c r="S5" s="57"/>
      <c r="T5" s="57"/>
      <c r="U5" s="57"/>
      <c r="V5" s="57"/>
      <c r="W5" s="57"/>
      <c r="X5" s="57"/>
      <c r="Y5" s="57"/>
      <c r="Z5" s="35"/>
    </row>
    <row r="6">
      <c r="A6" s="57"/>
      <c r="B6" s="58"/>
      <c r="C6" s="67" t="s">
        <v>20</v>
      </c>
      <c r="D6" s="68">
        <v>2800.0</v>
      </c>
      <c r="E6" s="69"/>
      <c r="F6" s="61"/>
      <c r="G6" s="63"/>
      <c r="H6" s="63"/>
      <c r="I6" s="63"/>
      <c r="J6" s="63"/>
      <c r="K6" s="63"/>
      <c r="L6" s="63"/>
      <c r="M6" s="57"/>
      <c r="N6" s="57"/>
      <c r="O6" s="64"/>
      <c r="P6" s="57"/>
      <c r="Q6" s="57"/>
      <c r="R6" s="57"/>
      <c r="S6" s="57"/>
      <c r="T6" s="57"/>
      <c r="U6" s="57"/>
      <c r="V6" s="57"/>
      <c r="W6" s="57"/>
      <c r="X6" s="57"/>
      <c r="Y6" s="57"/>
      <c r="Z6" s="35"/>
    </row>
    <row r="7">
      <c r="A7" s="57"/>
      <c r="B7" s="58"/>
      <c r="C7" s="73" t="s">
        <v>24</v>
      </c>
      <c r="D7" s="74">
        <v>3000.0</v>
      </c>
      <c r="E7" s="75"/>
      <c r="F7" s="61"/>
      <c r="G7" s="76" t="s">
        <v>76</v>
      </c>
      <c r="H7" s="77">
        <v>0.0075</v>
      </c>
      <c r="I7" s="77">
        <v>0.01</v>
      </c>
      <c r="J7" s="77">
        <v>0.0125</v>
      </c>
      <c r="K7" s="77">
        <v>0.015</v>
      </c>
      <c r="L7" s="77">
        <v>0.0175</v>
      </c>
      <c r="M7" s="57"/>
      <c r="N7" s="57"/>
      <c r="O7" s="64"/>
      <c r="P7" s="57"/>
      <c r="Q7" s="57"/>
      <c r="R7" s="57"/>
      <c r="S7" s="57"/>
      <c r="T7" s="57"/>
      <c r="U7" s="57"/>
      <c r="V7" s="57"/>
      <c r="W7" s="57"/>
      <c r="X7" s="57"/>
      <c r="Y7" s="57"/>
      <c r="Z7" s="35"/>
    </row>
    <row r="8">
      <c r="A8" s="57"/>
      <c r="B8" s="58"/>
      <c r="C8" s="73" t="s">
        <v>28</v>
      </c>
      <c r="D8" s="74">
        <v>3200.0</v>
      </c>
      <c r="E8" s="75"/>
      <c r="F8" s="61"/>
      <c r="G8" s="72"/>
      <c r="H8" s="72"/>
      <c r="I8" s="72"/>
      <c r="J8" s="72"/>
      <c r="K8" s="72"/>
      <c r="L8" s="72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35"/>
    </row>
    <row r="9">
      <c r="A9" s="57"/>
      <c r="B9" s="58"/>
      <c r="C9" s="73" t="s">
        <v>32</v>
      </c>
      <c r="D9" s="74">
        <v>3400.0</v>
      </c>
      <c r="E9" s="75"/>
      <c r="F9" s="61"/>
      <c r="G9" s="63"/>
      <c r="H9" s="63"/>
      <c r="I9" s="63"/>
      <c r="J9" s="63"/>
      <c r="K9" s="63"/>
      <c r="L9" s="63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35"/>
    </row>
    <row r="10">
      <c r="A10" s="57"/>
      <c r="B10" s="58"/>
      <c r="C10" s="78" t="s">
        <v>34</v>
      </c>
      <c r="D10" s="79">
        <v>3600.0</v>
      </c>
      <c r="E10" s="80"/>
      <c r="F10" s="61"/>
      <c r="G10" s="81" t="s">
        <v>77</v>
      </c>
      <c r="H10" s="82">
        <v>0.01</v>
      </c>
      <c r="I10" s="82">
        <v>0.0125</v>
      </c>
      <c r="J10" s="82">
        <v>0.015</v>
      </c>
      <c r="K10" s="82">
        <v>0.0175</v>
      </c>
      <c r="L10" s="82">
        <v>0.02</v>
      </c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35"/>
    </row>
    <row r="11">
      <c r="A11" s="57"/>
      <c r="B11" s="58"/>
      <c r="C11" s="78" t="s">
        <v>37</v>
      </c>
      <c r="D11" s="79">
        <v>3800.0</v>
      </c>
      <c r="E11" s="80"/>
      <c r="F11" s="61"/>
      <c r="G11" s="72"/>
      <c r="H11" s="72"/>
      <c r="I11" s="72"/>
      <c r="J11" s="72"/>
      <c r="K11" s="72"/>
      <c r="L11" s="72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35"/>
    </row>
    <row r="12">
      <c r="A12" s="57"/>
      <c r="B12" s="58"/>
      <c r="C12" s="78" t="s">
        <v>40</v>
      </c>
      <c r="D12" s="79">
        <v>4000.0</v>
      </c>
      <c r="E12" s="80"/>
      <c r="F12" s="61"/>
      <c r="G12" s="63"/>
      <c r="H12" s="63"/>
      <c r="I12" s="63"/>
      <c r="J12" s="63"/>
      <c r="K12" s="63"/>
      <c r="L12" s="63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35"/>
    </row>
    <row r="13">
      <c r="A13" s="57"/>
      <c r="B13" s="58"/>
      <c r="C13" s="83"/>
      <c r="D13" s="84"/>
      <c r="E13" s="85"/>
      <c r="F13" s="61"/>
      <c r="G13" s="57"/>
      <c r="H13" s="84"/>
      <c r="I13" s="84"/>
      <c r="J13" s="84"/>
      <c r="K13" s="84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35"/>
    </row>
    <row r="14">
      <c r="A14" s="57"/>
      <c r="B14" s="86"/>
      <c r="C14" s="87" t="s">
        <v>78</v>
      </c>
      <c r="D14" s="88"/>
      <c r="E14" s="88"/>
      <c r="F14" s="89"/>
      <c r="G14" s="90"/>
      <c r="H14" s="91" t="s">
        <v>79</v>
      </c>
      <c r="I14" s="60"/>
      <c r="J14" s="60"/>
      <c r="K14" s="60"/>
      <c r="L14" s="63"/>
      <c r="M14" s="57"/>
      <c r="N14" s="92" t="s">
        <v>80</v>
      </c>
      <c r="O14" s="60"/>
      <c r="P14" s="60"/>
      <c r="Q14" s="63"/>
      <c r="R14" s="57"/>
      <c r="S14" s="57"/>
      <c r="T14" s="57"/>
      <c r="U14" s="57"/>
      <c r="V14" s="57"/>
      <c r="W14" s="57"/>
      <c r="X14" s="57"/>
      <c r="Y14" s="57"/>
      <c r="Z14" s="35"/>
    </row>
    <row r="15">
      <c r="A15" s="93"/>
      <c r="B15" s="94"/>
      <c r="C15" s="95" t="s">
        <v>81</v>
      </c>
      <c r="D15" s="96" t="s">
        <v>69</v>
      </c>
      <c r="E15" s="96" t="s">
        <v>82</v>
      </c>
      <c r="F15" s="96" t="s">
        <v>83</v>
      </c>
      <c r="G15" s="97"/>
      <c r="H15" s="98" t="s">
        <v>84</v>
      </c>
      <c r="I15" s="99" t="s">
        <v>85</v>
      </c>
      <c r="J15" s="100" t="s">
        <v>86</v>
      </c>
      <c r="K15" s="100" t="s">
        <v>87</v>
      </c>
      <c r="L15" s="100" t="s">
        <v>88</v>
      </c>
      <c r="M15" s="57"/>
      <c r="N15" s="101" t="s">
        <v>89</v>
      </c>
      <c r="O15" s="101" t="s">
        <v>90</v>
      </c>
      <c r="P15" s="101" t="s">
        <v>91</v>
      </c>
      <c r="Q15" s="96" t="s">
        <v>92</v>
      </c>
      <c r="R15" s="102"/>
      <c r="S15" s="102"/>
      <c r="T15" s="102"/>
      <c r="U15" s="102"/>
      <c r="V15" s="57"/>
      <c r="W15" s="57"/>
      <c r="X15" s="57"/>
      <c r="Y15" s="57"/>
      <c r="Z15" s="35"/>
    </row>
    <row r="16">
      <c r="A16" s="70" t="s">
        <v>93</v>
      </c>
      <c r="B16" s="103" t="s">
        <v>70</v>
      </c>
      <c r="C16" s="104">
        <v>50.0</v>
      </c>
      <c r="D16" s="68">
        <f>D4</f>
        <v>2400</v>
      </c>
      <c r="E16" s="68">
        <v>100.0</v>
      </c>
      <c r="F16" s="105">
        <f t="shared" ref="F16:F20" si="1">SUM(D16:E16)</f>
        <v>2500</v>
      </c>
      <c r="G16" s="97"/>
      <c r="H16" s="105">
        <v>80000.0</v>
      </c>
      <c r="I16" s="68">
        <f>H16*H4</f>
        <v>400</v>
      </c>
      <c r="J16" s="106">
        <f t="shared" ref="J16:J20" si="2">F16+I16</f>
        <v>2900</v>
      </c>
      <c r="K16" s="106">
        <f t="shared" ref="K16:K20" si="3">F16+I16+200</f>
        <v>3100</v>
      </c>
      <c r="L16" s="106">
        <f t="shared" ref="L16:L20" si="4">G16+J16+400</f>
        <v>3300</v>
      </c>
      <c r="M16" s="107"/>
      <c r="N16" s="108">
        <f t="shared" ref="N16:N20" si="5">10*50+L16</f>
        <v>3800</v>
      </c>
      <c r="O16" s="108">
        <f t="shared" ref="O16:O20" si="6">20*50+L16</f>
        <v>4300</v>
      </c>
      <c r="P16" s="108">
        <f t="shared" ref="P16:P20" si="7">40*50+L16</f>
        <v>5300</v>
      </c>
      <c r="Q16" s="108">
        <f t="shared" ref="Q16:Q20" si="8">50*50+L16</f>
        <v>5800</v>
      </c>
      <c r="R16" s="57"/>
      <c r="S16" s="57"/>
      <c r="T16" s="57"/>
      <c r="U16" s="57"/>
      <c r="V16" s="57"/>
      <c r="W16" s="57"/>
      <c r="X16" s="57"/>
      <c r="Y16" s="57"/>
      <c r="Z16" s="35"/>
    </row>
    <row r="17">
      <c r="A17" s="72"/>
      <c r="B17" s="103" t="s">
        <v>71</v>
      </c>
      <c r="C17" s="104">
        <v>70.0</v>
      </c>
      <c r="D17" s="68">
        <f>D4</f>
        <v>2400</v>
      </c>
      <c r="E17" s="68">
        <v>300.0</v>
      </c>
      <c r="F17" s="105">
        <f t="shared" si="1"/>
        <v>2700</v>
      </c>
      <c r="G17" s="97"/>
      <c r="H17" s="105">
        <v>100000.0</v>
      </c>
      <c r="I17" s="68">
        <f>H17*I4</f>
        <v>750</v>
      </c>
      <c r="J17" s="106">
        <f t="shared" si="2"/>
        <v>3450</v>
      </c>
      <c r="K17" s="106">
        <f t="shared" si="3"/>
        <v>3650</v>
      </c>
      <c r="L17" s="106">
        <f t="shared" si="4"/>
        <v>3850</v>
      </c>
      <c r="M17" s="107"/>
      <c r="N17" s="108">
        <f t="shared" si="5"/>
        <v>4350</v>
      </c>
      <c r="O17" s="108">
        <f t="shared" si="6"/>
        <v>4850</v>
      </c>
      <c r="P17" s="108">
        <f t="shared" si="7"/>
        <v>5850</v>
      </c>
      <c r="Q17" s="108">
        <f t="shared" si="8"/>
        <v>6350</v>
      </c>
      <c r="R17" s="57"/>
      <c r="S17" s="57"/>
      <c r="T17" s="57"/>
      <c r="U17" s="57"/>
      <c r="V17" s="57"/>
      <c r="W17" s="57"/>
      <c r="X17" s="57"/>
      <c r="Y17" s="57"/>
      <c r="Z17" s="35"/>
    </row>
    <row r="18">
      <c r="A18" s="72"/>
      <c r="B18" s="103" t="s">
        <v>72</v>
      </c>
      <c r="C18" s="104">
        <v>90.0</v>
      </c>
      <c r="D18" s="68">
        <f>D4</f>
        <v>2400</v>
      </c>
      <c r="E18" s="68">
        <v>500.0</v>
      </c>
      <c r="F18" s="105">
        <f t="shared" si="1"/>
        <v>2900</v>
      </c>
      <c r="G18" s="97"/>
      <c r="H18" s="105">
        <v>120000.0</v>
      </c>
      <c r="I18" s="68">
        <f>H18*J4</f>
        <v>1200</v>
      </c>
      <c r="J18" s="106">
        <f t="shared" si="2"/>
        <v>4100</v>
      </c>
      <c r="K18" s="106">
        <f t="shared" si="3"/>
        <v>4300</v>
      </c>
      <c r="L18" s="106">
        <f t="shared" si="4"/>
        <v>4500</v>
      </c>
      <c r="M18" s="107"/>
      <c r="N18" s="108">
        <f t="shared" si="5"/>
        <v>5000</v>
      </c>
      <c r="O18" s="108">
        <f t="shared" si="6"/>
        <v>5500</v>
      </c>
      <c r="P18" s="108">
        <f t="shared" si="7"/>
        <v>6500</v>
      </c>
      <c r="Q18" s="108">
        <f t="shared" si="8"/>
        <v>7000</v>
      </c>
      <c r="R18" s="57"/>
      <c r="S18" s="57"/>
      <c r="T18" s="57"/>
      <c r="U18" s="57"/>
      <c r="V18" s="57"/>
      <c r="W18" s="57"/>
      <c r="X18" s="57"/>
      <c r="Y18" s="57"/>
      <c r="Z18" s="35"/>
    </row>
    <row r="19">
      <c r="A19" s="72"/>
      <c r="B19" s="103" t="s">
        <v>73</v>
      </c>
      <c r="C19" s="104">
        <v>110.0</v>
      </c>
      <c r="D19" s="68">
        <v>2400.0</v>
      </c>
      <c r="E19" s="68">
        <v>700.0</v>
      </c>
      <c r="F19" s="105">
        <f t="shared" si="1"/>
        <v>3100</v>
      </c>
      <c r="G19" s="97"/>
      <c r="H19" s="105">
        <v>150000.0</v>
      </c>
      <c r="I19" s="68">
        <f>H19*K4</f>
        <v>1875</v>
      </c>
      <c r="J19" s="106">
        <f t="shared" si="2"/>
        <v>4975</v>
      </c>
      <c r="K19" s="106">
        <f t="shared" si="3"/>
        <v>5175</v>
      </c>
      <c r="L19" s="106">
        <f t="shared" si="4"/>
        <v>5375</v>
      </c>
      <c r="M19" s="107"/>
      <c r="N19" s="108">
        <f t="shared" si="5"/>
        <v>5875</v>
      </c>
      <c r="O19" s="108">
        <f t="shared" si="6"/>
        <v>6375</v>
      </c>
      <c r="P19" s="108">
        <f t="shared" si="7"/>
        <v>7375</v>
      </c>
      <c r="Q19" s="108">
        <f t="shared" si="8"/>
        <v>7875</v>
      </c>
      <c r="R19" s="57"/>
      <c r="S19" s="57"/>
      <c r="T19" s="57"/>
      <c r="U19" s="57"/>
      <c r="V19" s="57"/>
      <c r="W19" s="57"/>
      <c r="X19" s="57"/>
      <c r="Y19" s="57"/>
      <c r="Z19" s="35"/>
    </row>
    <row r="20">
      <c r="A20" s="63"/>
      <c r="B20" s="103" t="s">
        <v>74</v>
      </c>
      <c r="C20" s="104">
        <v>120.0</v>
      </c>
      <c r="D20" s="68">
        <v>2400.0</v>
      </c>
      <c r="E20" s="68">
        <v>800.0</v>
      </c>
      <c r="F20" s="105">
        <f t="shared" si="1"/>
        <v>3200</v>
      </c>
      <c r="G20" s="97"/>
      <c r="H20" s="105">
        <v>200000.0</v>
      </c>
      <c r="I20" s="68">
        <f>H20*L4</f>
        <v>3000</v>
      </c>
      <c r="J20" s="106">
        <f t="shared" si="2"/>
        <v>6200</v>
      </c>
      <c r="K20" s="106">
        <f t="shared" si="3"/>
        <v>6400</v>
      </c>
      <c r="L20" s="106">
        <f t="shared" si="4"/>
        <v>6600</v>
      </c>
      <c r="M20" s="107"/>
      <c r="N20" s="108">
        <f t="shared" si="5"/>
        <v>7100</v>
      </c>
      <c r="O20" s="108">
        <f t="shared" si="6"/>
        <v>7600</v>
      </c>
      <c r="P20" s="108">
        <f t="shared" si="7"/>
        <v>8600</v>
      </c>
      <c r="Q20" s="108">
        <f t="shared" si="8"/>
        <v>9100</v>
      </c>
      <c r="R20" s="57"/>
      <c r="S20" s="57"/>
      <c r="T20" s="57"/>
      <c r="U20" s="57"/>
      <c r="V20" s="57"/>
      <c r="W20" s="57"/>
      <c r="X20" s="57"/>
      <c r="Y20" s="57"/>
      <c r="Z20" s="35"/>
    </row>
    <row r="21" ht="12.0" customHeight="1">
      <c r="A21" s="93"/>
      <c r="B21" s="86"/>
      <c r="C21" s="109"/>
      <c r="D21" s="110"/>
      <c r="E21" s="110"/>
      <c r="F21" s="110"/>
      <c r="G21" s="97"/>
      <c r="H21" s="111"/>
      <c r="I21" s="110"/>
      <c r="J21" s="112"/>
      <c r="K21" s="113"/>
      <c r="L21" s="114"/>
      <c r="M21" s="57"/>
      <c r="N21" s="111"/>
      <c r="O21" s="111"/>
      <c r="P21" s="111"/>
      <c r="Q21" s="110"/>
      <c r="R21" s="57"/>
      <c r="S21" s="57"/>
      <c r="T21" s="57"/>
      <c r="U21" s="57"/>
      <c r="V21" s="57"/>
      <c r="W21" s="57"/>
      <c r="X21" s="57"/>
      <c r="Y21" s="57"/>
      <c r="Z21" s="35"/>
    </row>
    <row r="22" ht="34.5" customHeight="1">
      <c r="A22" s="93"/>
      <c r="B22" s="86"/>
      <c r="C22" s="95" t="s">
        <v>81</v>
      </c>
      <c r="D22" s="96" t="s">
        <v>69</v>
      </c>
      <c r="E22" s="96" t="s">
        <v>82</v>
      </c>
      <c r="F22" s="96" t="s">
        <v>83</v>
      </c>
      <c r="G22" s="97"/>
      <c r="H22" s="98" t="s">
        <v>84</v>
      </c>
      <c r="I22" s="99" t="s">
        <v>85</v>
      </c>
      <c r="J22" s="100" t="s">
        <v>94</v>
      </c>
      <c r="K22" s="100" t="s">
        <v>95</v>
      </c>
      <c r="L22" s="100" t="s">
        <v>96</v>
      </c>
      <c r="M22" s="57"/>
      <c r="N22" s="101" t="s">
        <v>89</v>
      </c>
      <c r="O22" s="101" t="s">
        <v>90</v>
      </c>
      <c r="P22" s="101" t="s">
        <v>91</v>
      </c>
      <c r="Q22" s="96" t="s">
        <v>92</v>
      </c>
      <c r="R22" s="57"/>
      <c r="S22" s="57"/>
      <c r="T22" s="57"/>
      <c r="U22" s="57"/>
      <c r="V22" s="57"/>
      <c r="W22" s="57"/>
      <c r="X22" s="57"/>
      <c r="Y22" s="57"/>
      <c r="Z22" s="35"/>
    </row>
    <row r="23" ht="15.75" customHeight="1">
      <c r="A23" s="76" t="s">
        <v>97</v>
      </c>
      <c r="B23" s="115" t="s">
        <v>70</v>
      </c>
      <c r="C23" s="116">
        <v>70.0</v>
      </c>
      <c r="D23" s="74">
        <f>D7</f>
        <v>3000</v>
      </c>
      <c r="E23" s="74">
        <v>360.0</v>
      </c>
      <c r="F23" s="117">
        <f t="shared" ref="F23:F27" si="9">SUM(D23:E23)</f>
        <v>3360</v>
      </c>
      <c r="G23" s="97"/>
      <c r="H23" s="117">
        <v>100000.0</v>
      </c>
      <c r="I23" s="74">
        <f>H23*H7</f>
        <v>750</v>
      </c>
      <c r="J23" s="118">
        <f t="shared" ref="J23:J27" si="10">F23+I23</f>
        <v>4110</v>
      </c>
      <c r="K23" s="118">
        <f t="shared" ref="K23:K24" si="11">F23+I23+200</f>
        <v>4310</v>
      </c>
      <c r="L23" s="118">
        <f t="shared" ref="L23:L27" si="12">G23+J23+600</f>
        <v>4710</v>
      </c>
      <c r="M23" s="119"/>
      <c r="N23" s="118">
        <f t="shared" ref="N23:N27" si="13">10*70+L23</f>
        <v>5410</v>
      </c>
      <c r="O23" s="118">
        <f t="shared" ref="O23:O27" si="14">20*70+L23</f>
        <v>6110</v>
      </c>
      <c r="P23" s="118">
        <f t="shared" ref="P23:P27" si="15">40*70+L23</f>
        <v>7510</v>
      </c>
      <c r="Q23" s="118">
        <f t="shared" ref="Q23:Q27" si="16">50*70+L23</f>
        <v>8210</v>
      </c>
      <c r="R23" s="57"/>
      <c r="S23" s="57"/>
      <c r="T23" s="57"/>
      <c r="U23" s="57"/>
      <c r="V23" s="57"/>
      <c r="W23" s="57"/>
      <c r="X23" s="57"/>
      <c r="Y23" s="57"/>
      <c r="Z23" s="35"/>
    </row>
    <row r="24" ht="15.75" customHeight="1">
      <c r="A24" s="72"/>
      <c r="B24" s="115" t="s">
        <v>71</v>
      </c>
      <c r="C24" s="116">
        <v>90.0</v>
      </c>
      <c r="D24" s="74">
        <f>D7</f>
        <v>3000</v>
      </c>
      <c r="E24" s="74">
        <v>600.0</v>
      </c>
      <c r="F24" s="117">
        <f t="shared" si="9"/>
        <v>3600</v>
      </c>
      <c r="G24" s="97"/>
      <c r="H24" s="117">
        <v>120000.0</v>
      </c>
      <c r="I24" s="74">
        <f>H24*I7</f>
        <v>1200</v>
      </c>
      <c r="J24" s="118">
        <f t="shared" si="10"/>
        <v>4800</v>
      </c>
      <c r="K24" s="118">
        <f t="shared" si="11"/>
        <v>5000</v>
      </c>
      <c r="L24" s="118">
        <f t="shared" si="12"/>
        <v>5400</v>
      </c>
      <c r="M24" s="119"/>
      <c r="N24" s="118">
        <f t="shared" si="13"/>
        <v>6100</v>
      </c>
      <c r="O24" s="118">
        <f t="shared" si="14"/>
        <v>6800</v>
      </c>
      <c r="P24" s="118">
        <f t="shared" si="15"/>
        <v>8200</v>
      </c>
      <c r="Q24" s="118">
        <f t="shared" si="16"/>
        <v>8900</v>
      </c>
      <c r="R24" s="57"/>
      <c r="S24" s="57"/>
      <c r="T24" s="57"/>
      <c r="U24" s="57"/>
      <c r="V24" s="57"/>
      <c r="W24" s="57"/>
      <c r="X24" s="57"/>
      <c r="Y24" s="57"/>
      <c r="Z24" s="35"/>
    </row>
    <row r="25" ht="15.75" customHeight="1">
      <c r="A25" s="72"/>
      <c r="B25" s="115" t="s">
        <v>72</v>
      </c>
      <c r="C25" s="116">
        <v>110.0</v>
      </c>
      <c r="D25" s="74">
        <f>D7</f>
        <v>3000</v>
      </c>
      <c r="E25" s="74">
        <v>1050.0</v>
      </c>
      <c r="F25" s="117">
        <f t="shared" si="9"/>
        <v>4050</v>
      </c>
      <c r="G25" s="97"/>
      <c r="H25" s="117">
        <v>150000.0</v>
      </c>
      <c r="I25" s="74">
        <f>H25*J7</f>
        <v>1875</v>
      </c>
      <c r="J25" s="118">
        <f t="shared" si="10"/>
        <v>5925</v>
      </c>
      <c r="K25" s="118">
        <f>$F$25+I25+200</f>
        <v>6125</v>
      </c>
      <c r="L25" s="118">
        <f t="shared" si="12"/>
        <v>6525</v>
      </c>
      <c r="M25" s="119"/>
      <c r="N25" s="118">
        <f t="shared" si="13"/>
        <v>7225</v>
      </c>
      <c r="O25" s="118">
        <f t="shared" si="14"/>
        <v>7925</v>
      </c>
      <c r="P25" s="118">
        <f t="shared" si="15"/>
        <v>9325</v>
      </c>
      <c r="Q25" s="118">
        <f t="shared" si="16"/>
        <v>10025</v>
      </c>
      <c r="R25" s="57"/>
      <c r="S25" s="57"/>
      <c r="T25" s="57"/>
      <c r="U25" s="57"/>
      <c r="V25" s="57"/>
      <c r="W25" s="57"/>
      <c r="X25" s="57"/>
      <c r="Y25" s="57"/>
      <c r="Z25" s="35"/>
    </row>
    <row r="26" ht="15.75" customHeight="1">
      <c r="A26" s="72"/>
      <c r="B26" s="115" t="s">
        <v>73</v>
      </c>
      <c r="C26" s="116">
        <v>120.0</v>
      </c>
      <c r="D26" s="74">
        <f t="shared" ref="D26:D27" si="17">3000</f>
        <v>3000</v>
      </c>
      <c r="E26" s="74">
        <v>1200.0</v>
      </c>
      <c r="F26" s="117">
        <f t="shared" si="9"/>
        <v>4200</v>
      </c>
      <c r="G26" s="97"/>
      <c r="H26" s="117">
        <v>200000.0</v>
      </c>
      <c r="I26" s="74">
        <f>H26*K7</f>
        <v>3000</v>
      </c>
      <c r="J26" s="118">
        <f t="shared" si="10"/>
        <v>7200</v>
      </c>
      <c r="K26" s="118">
        <f>$F$26+I26+200</f>
        <v>7400</v>
      </c>
      <c r="L26" s="118">
        <f t="shared" si="12"/>
        <v>7800</v>
      </c>
      <c r="M26" s="119"/>
      <c r="N26" s="118">
        <f t="shared" si="13"/>
        <v>8500</v>
      </c>
      <c r="O26" s="118">
        <f t="shared" si="14"/>
        <v>9200</v>
      </c>
      <c r="P26" s="118">
        <f t="shared" si="15"/>
        <v>10600</v>
      </c>
      <c r="Q26" s="118">
        <f t="shared" si="16"/>
        <v>11300</v>
      </c>
      <c r="R26" s="57"/>
      <c r="S26" s="57"/>
      <c r="T26" s="57"/>
      <c r="U26" s="57"/>
      <c r="V26" s="57"/>
      <c r="W26" s="57"/>
      <c r="X26" s="57"/>
      <c r="Y26" s="57"/>
      <c r="Z26" s="35"/>
    </row>
    <row r="27" ht="18.0" customHeight="1">
      <c r="A27" s="63"/>
      <c r="B27" s="115" t="s">
        <v>74</v>
      </c>
      <c r="C27" s="116">
        <v>130.0</v>
      </c>
      <c r="D27" s="74">
        <f t="shared" si="17"/>
        <v>3000</v>
      </c>
      <c r="E27" s="74">
        <v>1350.0</v>
      </c>
      <c r="F27" s="117">
        <f t="shared" si="9"/>
        <v>4350</v>
      </c>
      <c r="G27" s="97"/>
      <c r="H27" s="117">
        <v>250000.0</v>
      </c>
      <c r="I27" s="74">
        <f>H27*L7</f>
        <v>4375</v>
      </c>
      <c r="J27" s="118">
        <f t="shared" si="10"/>
        <v>8725</v>
      </c>
      <c r="K27" s="118">
        <f>$F$27+I27+200</f>
        <v>8925</v>
      </c>
      <c r="L27" s="118">
        <f t="shared" si="12"/>
        <v>9325</v>
      </c>
      <c r="M27" s="119"/>
      <c r="N27" s="118">
        <f t="shared" si="13"/>
        <v>10025</v>
      </c>
      <c r="O27" s="118">
        <f t="shared" si="14"/>
        <v>10725</v>
      </c>
      <c r="P27" s="118">
        <f t="shared" si="15"/>
        <v>12125</v>
      </c>
      <c r="Q27" s="118">
        <f t="shared" si="16"/>
        <v>12825</v>
      </c>
      <c r="R27" s="57"/>
      <c r="S27" s="57"/>
      <c r="T27" s="57"/>
      <c r="U27" s="57"/>
      <c r="V27" s="57"/>
      <c r="W27" s="57"/>
      <c r="X27" s="57"/>
      <c r="Y27" s="57"/>
      <c r="Z27" s="35"/>
    </row>
    <row r="28" ht="11.25" customHeight="1">
      <c r="A28" s="93"/>
      <c r="B28" s="86"/>
      <c r="C28" s="109"/>
      <c r="D28" s="110"/>
      <c r="E28" s="110"/>
      <c r="F28" s="110"/>
      <c r="G28" s="97"/>
      <c r="H28" s="111"/>
      <c r="I28" s="110"/>
      <c r="J28" s="110"/>
      <c r="K28" s="113"/>
      <c r="L28" s="57"/>
      <c r="M28" s="93"/>
      <c r="N28" s="111"/>
      <c r="O28" s="111"/>
      <c r="P28" s="111"/>
      <c r="Q28" s="110"/>
      <c r="R28" s="57"/>
      <c r="S28" s="57"/>
      <c r="T28" s="57"/>
      <c r="U28" s="57"/>
      <c r="V28" s="57"/>
      <c r="W28" s="57"/>
      <c r="X28" s="57"/>
      <c r="Y28" s="57"/>
      <c r="Z28" s="35"/>
    </row>
    <row r="29" ht="33.75" customHeight="1">
      <c r="A29" s="93"/>
      <c r="B29" s="86"/>
      <c r="C29" s="95" t="s">
        <v>81</v>
      </c>
      <c r="D29" s="96" t="s">
        <v>69</v>
      </c>
      <c r="E29" s="96" t="s">
        <v>82</v>
      </c>
      <c r="F29" s="96" t="s">
        <v>83</v>
      </c>
      <c r="G29" s="97"/>
      <c r="H29" s="98" t="s">
        <v>84</v>
      </c>
      <c r="I29" s="99" t="s">
        <v>85</v>
      </c>
      <c r="J29" s="100" t="s">
        <v>98</v>
      </c>
      <c r="K29" s="100" t="s">
        <v>99</v>
      </c>
      <c r="L29" s="100" t="s">
        <v>100</v>
      </c>
      <c r="M29" s="93"/>
      <c r="N29" s="101" t="s">
        <v>89</v>
      </c>
      <c r="O29" s="101" t="s">
        <v>90</v>
      </c>
      <c r="P29" s="101" t="s">
        <v>91</v>
      </c>
      <c r="Q29" s="96" t="s">
        <v>92</v>
      </c>
      <c r="R29" s="57"/>
      <c r="S29" s="57"/>
      <c r="T29" s="57"/>
      <c r="U29" s="57"/>
      <c r="V29" s="57"/>
      <c r="W29" s="57"/>
      <c r="X29" s="57"/>
      <c r="Y29" s="57"/>
      <c r="Z29" s="35"/>
    </row>
    <row r="30" ht="15.75" customHeight="1">
      <c r="A30" s="81" t="s">
        <v>101</v>
      </c>
      <c r="B30" s="120" t="s">
        <v>70</v>
      </c>
      <c r="C30" s="121">
        <v>90.0</v>
      </c>
      <c r="D30" s="79">
        <f>D10</f>
        <v>3600</v>
      </c>
      <c r="E30" s="79">
        <v>600.0</v>
      </c>
      <c r="F30" s="122">
        <f t="shared" ref="F30:F34" si="18">SUM(D30:E30)</f>
        <v>4200</v>
      </c>
      <c r="G30" s="97"/>
      <c r="H30" s="122">
        <v>120000.0</v>
      </c>
      <c r="I30" s="79">
        <f>H30*H10</f>
        <v>1200</v>
      </c>
      <c r="J30" s="123">
        <f t="shared" ref="J30:J34" si="19">F30+I30</f>
        <v>5400</v>
      </c>
      <c r="K30" s="123">
        <f t="shared" ref="K30:K34" si="20">F30+I30+1000</f>
        <v>6400</v>
      </c>
      <c r="L30" s="123">
        <f t="shared" ref="L30:L34" si="21">G30+J30+2000</f>
        <v>7400</v>
      </c>
      <c r="M30" s="93"/>
      <c r="N30" s="122">
        <f t="shared" ref="N30:N34" si="22">80*10+L30</f>
        <v>8200</v>
      </c>
      <c r="O30" s="122">
        <f t="shared" ref="O30:O34" si="23">20*80+L30</f>
        <v>9000</v>
      </c>
      <c r="P30" s="122">
        <f t="shared" ref="P30:P34" si="24">40*80+L30</f>
        <v>10600</v>
      </c>
      <c r="Q30" s="122">
        <f t="shared" ref="Q30:Q34" si="25">50*80+L30</f>
        <v>11400</v>
      </c>
      <c r="R30" s="57"/>
      <c r="S30" s="57"/>
      <c r="T30" s="57"/>
      <c r="U30" s="57"/>
      <c r="V30" s="57"/>
      <c r="W30" s="57"/>
      <c r="X30" s="57"/>
      <c r="Y30" s="57"/>
      <c r="Z30" s="35"/>
    </row>
    <row r="31" ht="15.75" customHeight="1">
      <c r="A31" s="72"/>
      <c r="B31" s="120" t="s">
        <v>71</v>
      </c>
      <c r="C31" s="121">
        <v>110.0</v>
      </c>
      <c r="D31" s="79">
        <f>D10</f>
        <v>3600</v>
      </c>
      <c r="E31" s="79">
        <v>1050.0</v>
      </c>
      <c r="F31" s="122">
        <f t="shared" si="18"/>
        <v>4650</v>
      </c>
      <c r="G31" s="97"/>
      <c r="H31" s="122">
        <v>150000.0</v>
      </c>
      <c r="I31" s="79">
        <f>H31*I10</f>
        <v>1875</v>
      </c>
      <c r="J31" s="123">
        <f t="shared" si="19"/>
        <v>6525</v>
      </c>
      <c r="K31" s="123">
        <f t="shared" si="20"/>
        <v>7525</v>
      </c>
      <c r="L31" s="123">
        <f t="shared" si="21"/>
        <v>8525</v>
      </c>
      <c r="M31" s="93"/>
      <c r="N31" s="122">
        <f t="shared" si="22"/>
        <v>9325</v>
      </c>
      <c r="O31" s="122">
        <f t="shared" si="23"/>
        <v>10125</v>
      </c>
      <c r="P31" s="122">
        <f t="shared" si="24"/>
        <v>11725</v>
      </c>
      <c r="Q31" s="122">
        <f t="shared" si="25"/>
        <v>12525</v>
      </c>
      <c r="R31" s="57"/>
      <c r="S31" s="57"/>
      <c r="T31" s="57"/>
      <c r="U31" s="57"/>
      <c r="V31" s="57"/>
      <c r="W31" s="57"/>
      <c r="X31" s="57"/>
      <c r="Y31" s="57"/>
      <c r="Z31" s="35"/>
    </row>
    <row r="32" ht="15.75" customHeight="1">
      <c r="A32" s="72"/>
      <c r="B32" s="120" t="s">
        <v>72</v>
      </c>
      <c r="C32" s="121">
        <v>120.0</v>
      </c>
      <c r="D32" s="79">
        <f>D10</f>
        <v>3600</v>
      </c>
      <c r="E32" s="79">
        <v>1200.0</v>
      </c>
      <c r="F32" s="122">
        <f t="shared" si="18"/>
        <v>4800</v>
      </c>
      <c r="G32" s="97"/>
      <c r="H32" s="122">
        <v>200000.0</v>
      </c>
      <c r="I32" s="79">
        <f>H32*J10</f>
        <v>3000</v>
      </c>
      <c r="J32" s="123">
        <f t="shared" si="19"/>
        <v>7800</v>
      </c>
      <c r="K32" s="123">
        <f t="shared" si="20"/>
        <v>8800</v>
      </c>
      <c r="L32" s="123">
        <f t="shared" si="21"/>
        <v>9800</v>
      </c>
      <c r="M32" s="93"/>
      <c r="N32" s="122">
        <f t="shared" si="22"/>
        <v>10600</v>
      </c>
      <c r="O32" s="122">
        <f t="shared" si="23"/>
        <v>11400</v>
      </c>
      <c r="P32" s="122">
        <f t="shared" si="24"/>
        <v>13000</v>
      </c>
      <c r="Q32" s="122">
        <f t="shared" si="25"/>
        <v>13800</v>
      </c>
      <c r="R32" s="57"/>
      <c r="S32" s="57"/>
      <c r="T32" s="57"/>
      <c r="U32" s="57"/>
      <c r="V32" s="57"/>
      <c r="W32" s="57"/>
      <c r="X32" s="57"/>
      <c r="Y32" s="57"/>
      <c r="Z32" s="35"/>
    </row>
    <row r="33" ht="15.75" customHeight="1">
      <c r="A33" s="72"/>
      <c r="B33" s="120" t="s">
        <v>73</v>
      </c>
      <c r="C33" s="121">
        <v>130.0</v>
      </c>
      <c r="D33" s="79">
        <f>D10</f>
        <v>3600</v>
      </c>
      <c r="E33" s="79">
        <v>1350.0</v>
      </c>
      <c r="F33" s="122">
        <f t="shared" si="18"/>
        <v>4950</v>
      </c>
      <c r="G33" s="97"/>
      <c r="H33" s="122">
        <v>250000.0</v>
      </c>
      <c r="I33" s="79">
        <f>H32*K10</f>
        <v>3500</v>
      </c>
      <c r="J33" s="123">
        <f t="shared" si="19"/>
        <v>8450</v>
      </c>
      <c r="K33" s="123">
        <f t="shared" si="20"/>
        <v>9450</v>
      </c>
      <c r="L33" s="123">
        <f t="shared" si="21"/>
        <v>10450</v>
      </c>
      <c r="M33" s="93"/>
      <c r="N33" s="122">
        <f t="shared" si="22"/>
        <v>11250</v>
      </c>
      <c r="O33" s="122">
        <f t="shared" si="23"/>
        <v>12050</v>
      </c>
      <c r="P33" s="122">
        <f t="shared" si="24"/>
        <v>13650</v>
      </c>
      <c r="Q33" s="122">
        <f t="shared" si="25"/>
        <v>14450</v>
      </c>
      <c r="R33" s="57"/>
      <c r="S33" s="57"/>
      <c r="T33" s="57"/>
      <c r="U33" s="57"/>
      <c r="V33" s="57"/>
      <c r="W33" s="57"/>
      <c r="X33" s="57"/>
      <c r="Y33" s="57"/>
      <c r="Z33" s="35"/>
    </row>
    <row r="34" ht="15.75" customHeight="1">
      <c r="A34" s="63"/>
      <c r="B34" s="120" t="s">
        <v>74</v>
      </c>
      <c r="C34" s="121">
        <v>140.0</v>
      </c>
      <c r="D34" s="79">
        <f>D10</f>
        <v>3600</v>
      </c>
      <c r="E34" s="79">
        <v>1500.0</v>
      </c>
      <c r="F34" s="122">
        <f t="shared" si="18"/>
        <v>5100</v>
      </c>
      <c r="G34" s="97"/>
      <c r="H34" s="122">
        <v>300000.0</v>
      </c>
      <c r="I34" s="79">
        <f>H32*L10</f>
        <v>4000</v>
      </c>
      <c r="J34" s="123">
        <f t="shared" si="19"/>
        <v>9100</v>
      </c>
      <c r="K34" s="123">
        <f t="shared" si="20"/>
        <v>10100</v>
      </c>
      <c r="L34" s="123">
        <f t="shared" si="21"/>
        <v>11100</v>
      </c>
      <c r="M34" s="93"/>
      <c r="N34" s="122">
        <f t="shared" si="22"/>
        <v>11900</v>
      </c>
      <c r="O34" s="122">
        <f t="shared" si="23"/>
        <v>12700</v>
      </c>
      <c r="P34" s="122">
        <f t="shared" si="24"/>
        <v>14300</v>
      </c>
      <c r="Q34" s="122">
        <f t="shared" si="25"/>
        <v>15100</v>
      </c>
      <c r="R34" s="57"/>
      <c r="S34" s="57"/>
      <c r="T34" s="57"/>
      <c r="U34" s="57"/>
      <c r="V34" s="57"/>
      <c r="W34" s="57"/>
      <c r="X34" s="57"/>
      <c r="Y34" s="57"/>
      <c r="Z34" s="35"/>
    </row>
    <row r="35" ht="9.0" customHeight="1">
      <c r="A35" s="93"/>
      <c r="B35" s="86"/>
      <c r="C35" s="109"/>
      <c r="D35" s="110"/>
      <c r="E35" s="110"/>
      <c r="F35" s="110"/>
      <c r="G35" s="97"/>
      <c r="H35" s="111"/>
      <c r="I35" s="110"/>
      <c r="J35" s="110"/>
      <c r="K35" s="113"/>
      <c r="L35" s="57"/>
      <c r="M35" s="93"/>
      <c r="N35" s="93"/>
      <c r="O35" s="93"/>
      <c r="P35" s="93"/>
      <c r="Q35" s="57"/>
      <c r="R35" s="57"/>
      <c r="S35" s="57"/>
      <c r="T35" s="57"/>
      <c r="U35" s="57"/>
      <c r="V35" s="57"/>
      <c r="W35" s="57"/>
      <c r="X35" s="57"/>
      <c r="Y35" s="57"/>
      <c r="Z35" s="35"/>
    </row>
    <row r="36" ht="15.75" customHeight="1">
      <c r="A36" s="57"/>
      <c r="B36" s="58"/>
      <c r="C36" s="109"/>
      <c r="D36" s="57"/>
      <c r="E36" s="57"/>
      <c r="F36" s="57"/>
      <c r="G36" s="57"/>
      <c r="H36" s="57"/>
      <c r="I36" s="57"/>
      <c r="J36" s="57"/>
      <c r="K36" s="57"/>
      <c r="L36" s="57"/>
      <c r="M36" s="93"/>
      <c r="N36" s="93"/>
      <c r="O36" s="93"/>
      <c r="P36" s="93"/>
      <c r="Q36" s="57"/>
      <c r="R36" s="57"/>
      <c r="S36" s="57"/>
      <c r="T36" s="57"/>
      <c r="U36" s="57"/>
      <c r="V36" s="57"/>
      <c r="W36" s="57"/>
      <c r="X36" s="57"/>
      <c r="Y36" s="57"/>
      <c r="Z36" s="35"/>
    </row>
    <row r="37" ht="15.75" customHeight="1">
      <c r="A37" s="57"/>
      <c r="B37" s="86"/>
      <c r="C37" s="124"/>
      <c r="D37" s="88"/>
      <c r="E37" s="88"/>
      <c r="F37" s="89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35"/>
    </row>
    <row r="38" ht="15.75" customHeight="1">
      <c r="A38" s="93"/>
      <c r="B38" s="125"/>
      <c r="C38" s="126"/>
      <c r="D38" s="93"/>
      <c r="E38" s="93"/>
      <c r="F38" s="93"/>
      <c r="G38" s="12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35"/>
      <c r="Z38" s="35"/>
    </row>
    <row r="39" ht="15.75" customHeight="1">
      <c r="A39" s="128"/>
      <c r="B39" s="129"/>
      <c r="C39" s="109"/>
      <c r="D39" s="111"/>
      <c r="E39" s="111"/>
      <c r="F39" s="111"/>
      <c r="G39" s="12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35"/>
      <c r="Z39" s="35"/>
    </row>
    <row r="40" ht="15.75" customHeight="1">
      <c r="A40" s="72"/>
      <c r="B40" s="129"/>
      <c r="C40" s="109"/>
      <c r="D40" s="111"/>
      <c r="E40" s="111"/>
      <c r="F40" s="111"/>
      <c r="G40" s="12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35"/>
      <c r="Z40" s="35"/>
    </row>
    <row r="41" ht="15.75" customHeight="1">
      <c r="A41" s="63"/>
      <c r="B41" s="129"/>
      <c r="C41" s="109"/>
      <c r="D41" s="111"/>
      <c r="E41" s="111"/>
      <c r="F41" s="111"/>
      <c r="G41" s="12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35"/>
      <c r="Z41" s="35"/>
    </row>
    <row r="42" ht="15.75" customHeight="1">
      <c r="A42" s="130"/>
      <c r="B42" s="86"/>
      <c r="C42" s="131"/>
      <c r="D42" s="129"/>
      <c r="E42" s="129"/>
      <c r="F42" s="129"/>
      <c r="G42" s="132"/>
      <c r="H42" s="133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35"/>
      <c r="Z42" s="35"/>
    </row>
    <row r="43" ht="15.75" customHeight="1">
      <c r="A43" s="134"/>
      <c r="B43" s="129"/>
      <c r="C43" s="135"/>
      <c r="D43" s="129"/>
      <c r="E43" s="129"/>
      <c r="F43" s="133"/>
      <c r="G43" s="132"/>
      <c r="H43" s="129"/>
      <c r="I43" s="133"/>
      <c r="J43" s="133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35"/>
      <c r="Z43" s="35"/>
    </row>
    <row r="44" ht="15.75" customHeight="1">
      <c r="A44" s="72"/>
      <c r="B44" s="129"/>
      <c r="C44" s="135"/>
      <c r="D44" s="129"/>
      <c r="E44" s="129"/>
      <c r="F44" s="133"/>
      <c r="G44" s="132"/>
      <c r="H44" s="129"/>
      <c r="I44" s="133"/>
      <c r="J44" s="133"/>
      <c r="K44" s="136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35"/>
      <c r="Z44" s="35"/>
    </row>
    <row r="45" ht="15.75" customHeight="1">
      <c r="A45" s="63"/>
      <c r="B45" s="129"/>
      <c r="C45" s="135"/>
      <c r="D45" s="129"/>
      <c r="E45" s="129"/>
      <c r="F45" s="133"/>
      <c r="G45" s="132"/>
      <c r="H45" s="129"/>
      <c r="I45" s="133"/>
      <c r="J45" s="133"/>
      <c r="K45" s="136"/>
      <c r="L45" s="132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35"/>
      <c r="X45" s="57"/>
      <c r="Y45" s="35"/>
      <c r="Z45" s="35"/>
    </row>
    <row r="46" ht="15.75" customHeight="1">
      <c r="A46" s="130"/>
      <c r="B46" s="86"/>
      <c r="C46" s="131"/>
      <c r="D46" s="129"/>
      <c r="E46" s="129"/>
      <c r="F46" s="129"/>
      <c r="G46" s="132"/>
      <c r="H46" s="133"/>
      <c r="I46" s="129"/>
      <c r="J46" s="129"/>
      <c r="K46" s="137"/>
      <c r="L46" s="132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35"/>
      <c r="X46" s="57"/>
      <c r="Y46" s="35"/>
      <c r="Z46" s="35"/>
    </row>
    <row r="47" ht="15.75" customHeight="1">
      <c r="A47" s="134"/>
      <c r="B47" s="129"/>
      <c r="C47" s="135"/>
      <c r="D47" s="129"/>
      <c r="E47" s="129"/>
      <c r="F47" s="133"/>
      <c r="G47" s="132"/>
      <c r="H47" s="129"/>
      <c r="I47" s="133"/>
      <c r="J47" s="133"/>
      <c r="K47" s="136"/>
      <c r="L47" s="132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35"/>
      <c r="X47" s="35"/>
      <c r="Y47" s="35"/>
      <c r="Z47" s="35"/>
    </row>
    <row r="48" ht="15.75" customHeight="1">
      <c r="A48" s="72"/>
      <c r="B48" s="129"/>
      <c r="C48" s="135"/>
      <c r="D48" s="129"/>
      <c r="E48" s="129"/>
      <c r="F48" s="133"/>
      <c r="G48" s="132"/>
      <c r="H48" s="129"/>
      <c r="I48" s="133"/>
      <c r="J48" s="133"/>
      <c r="K48" s="136"/>
      <c r="L48" s="132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35"/>
      <c r="X48" s="35"/>
      <c r="Y48" s="35"/>
      <c r="Z48" s="35"/>
    </row>
    <row r="49" ht="15.75" customHeight="1">
      <c r="A49" s="63"/>
      <c r="B49" s="129"/>
      <c r="C49" s="135"/>
      <c r="D49" s="129"/>
      <c r="E49" s="129"/>
      <c r="F49" s="133"/>
      <c r="G49" s="132"/>
      <c r="H49" s="129"/>
      <c r="I49" s="133"/>
      <c r="J49" s="133"/>
      <c r="K49" s="136"/>
      <c r="L49" s="132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35"/>
      <c r="X49" s="35"/>
      <c r="Y49" s="35"/>
      <c r="Z49" s="35"/>
    </row>
    <row r="50" ht="15.75" customHeight="1">
      <c r="A50" s="127"/>
      <c r="B50" s="58"/>
      <c r="C50" s="109"/>
      <c r="D50" s="127"/>
      <c r="E50" s="132"/>
      <c r="F50" s="132"/>
      <c r="G50" s="132"/>
      <c r="H50" s="132"/>
      <c r="I50" s="132"/>
      <c r="J50" s="132"/>
      <c r="K50" s="132"/>
      <c r="L50" s="132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35"/>
      <c r="X50" s="35"/>
      <c r="Y50" s="35"/>
      <c r="Z50" s="35"/>
    </row>
    <row r="51" ht="15.75" customHeight="1">
      <c r="A51" s="127"/>
      <c r="B51" s="58"/>
      <c r="C51" s="109"/>
      <c r="D51" s="127"/>
      <c r="E51" s="127"/>
      <c r="F51" s="127"/>
      <c r="G51" s="127"/>
      <c r="H51" s="127"/>
      <c r="I51" s="127"/>
      <c r="J51" s="127"/>
      <c r="K51" s="127"/>
      <c r="L51" s="12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35"/>
      <c r="X51" s="35"/>
      <c r="Y51" s="35"/>
      <c r="Z51" s="35"/>
    </row>
    <row r="52" ht="15.75" customHeight="1">
      <c r="A52" s="127"/>
      <c r="B52" s="58"/>
      <c r="C52" s="109"/>
      <c r="D52" s="127"/>
      <c r="E52" s="127"/>
      <c r="F52" s="127"/>
      <c r="G52" s="127"/>
      <c r="H52" s="127"/>
      <c r="I52" s="127"/>
      <c r="J52" s="127"/>
      <c r="K52" s="127"/>
      <c r="L52" s="12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35"/>
      <c r="X52" s="35"/>
      <c r="Y52" s="35"/>
      <c r="Z52" s="35"/>
    </row>
    <row r="53" ht="15.75" customHeight="1">
      <c r="A53" s="127"/>
      <c r="B53" s="58"/>
      <c r="C53" s="109"/>
      <c r="D53" s="127"/>
      <c r="E53" s="127"/>
      <c r="F53" s="127"/>
      <c r="G53" s="127"/>
      <c r="H53" s="127"/>
      <c r="I53" s="127"/>
      <c r="J53" s="127"/>
      <c r="K53" s="127"/>
      <c r="L53" s="12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35"/>
      <c r="X53" s="35"/>
      <c r="Y53" s="35"/>
      <c r="Z53" s="35"/>
    </row>
    <row r="54" ht="15.75" customHeight="1">
      <c r="A54" s="57"/>
      <c r="B54" s="58"/>
      <c r="C54" s="109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35"/>
      <c r="X54" s="35"/>
      <c r="Y54" s="35"/>
      <c r="Z54" s="35"/>
    </row>
    <row r="55" ht="15.75" customHeight="1">
      <c r="A55" s="57"/>
      <c r="B55" s="58"/>
      <c r="C55" s="109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35"/>
      <c r="X55" s="35"/>
      <c r="Y55" s="35"/>
      <c r="Z55" s="35"/>
    </row>
    <row r="56" ht="15.75" customHeight="1">
      <c r="A56" s="57"/>
      <c r="B56" s="58"/>
      <c r="C56" s="109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35"/>
      <c r="X56" s="35"/>
      <c r="Y56" s="35"/>
      <c r="Z56" s="35"/>
    </row>
    <row r="57" ht="15.75" customHeight="1">
      <c r="A57" s="57"/>
      <c r="B57" s="58"/>
      <c r="C57" s="109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35"/>
      <c r="X57" s="35"/>
      <c r="Y57" s="35"/>
      <c r="Z57" s="35"/>
    </row>
    <row r="58" ht="15.75" customHeight="1">
      <c r="A58" s="57"/>
      <c r="B58" s="58"/>
      <c r="C58" s="109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35"/>
      <c r="X58" s="35"/>
      <c r="Y58" s="35"/>
      <c r="Z58" s="35"/>
    </row>
    <row r="59" ht="15.75" customHeight="1">
      <c r="A59" s="57"/>
      <c r="B59" s="58"/>
      <c r="C59" s="109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35"/>
      <c r="X59" s="35"/>
      <c r="Y59" s="35"/>
      <c r="Z59" s="35"/>
    </row>
    <row r="60" ht="15.75" customHeight="1">
      <c r="A60" s="57"/>
      <c r="B60" s="58"/>
      <c r="C60" s="109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35"/>
      <c r="X60" s="35"/>
      <c r="Y60" s="35"/>
      <c r="Z60" s="35"/>
    </row>
    <row r="61" ht="15.75" customHeight="1">
      <c r="A61" s="57"/>
      <c r="B61" s="58"/>
      <c r="C61" s="109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35"/>
      <c r="X61" s="35"/>
      <c r="Y61" s="35"/>
      <c r="Z61" s="35"/>
    </row>
    <row r="62" ht="15.75" customHeight="1">
      <c r="A62" s="57"/>
      <c r="B62" s="58"/>
      <c r="C62" s="109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35"/>
      <c r="X62" s="35"/>
      <c r="Y62" s="35"/>
      <c r="Z62" s="35"/>
    </row>
    <row r="63" ht="15.75" customHeight="1">
      <c r="A63" s="57"/>
      <c r="B63" s="58"/>
      <c r="C63" s="109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35"/>
      <c r="X63" s="35"/>
      <c r="Y63" s="35"/>
      <c r="Z63" s="35"/>
    </row>
    <row r="64" ht="15.75" customHeight="1">
      <c r="A64" s="57"/>
      <c r="B64" s="58"/>
      <c r="C64" s="109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35"/>
      <c r="X64" s="35"/>
      <c r="Y64" s="35"/>
      <c r="Z64" s="35"/>
    </row>
    <row r="65" ht="15.75" customHeight="1">
      <c r="A65" s="57"/>
      <c r="B65" s="58"/>
      <c r="C65" s="109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35"/>
      <c r="X65" s="35"/>
      <c r="Y65" s="35"/>
      <c r="Z65" s="35"/>
    </row>
    <row r="66" ht="15.75" customHeight="1">
      <c r="A66" s="57"/>
      <c r="B66" s="58"/>
      <c r="C66" s="109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35"/>
      <c r="X66" s="35"/>
      <c r="Y66" s="35"/>
      <c r="Z66" s="35"/>
    </row>
    <row r="67" ht="15.75" customHeight="1">
      <c r="A67" s="57"/>
      <c r="B67" s="58"/>
      <c r="C67" s="109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35"/>
      <c r="X67" s="35"/>
      <c r="Y67" s="35"/>
      <c r="Z67" s="35"/>
    </row>
    <row r="68" ht="15.75" customHeight="1">
      <c r="A68" s="57"/>
      <c r="B68" s="58"/>
      <c r="C68" s="109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35"/>
      <c r="X68" s="35"/>
      <c r="Y68" s="35"/>
      <c r="Z68" s="35"/>
    </row>
    <row r="69" ht="15.75" customHeight="1">
      <c r="A69" s="57"/>
      <c r="B69" s="58"/>
      <c r="C69" s="109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35"/>
      <c r="X69" s="35"/>
      <c r="Y69" s="35"/>
      <c r="Z69" s="35"/>
    </row>
    <row r="70" ht="15.75" customHeight="1">
      <c r="A70" s="57"/>
      <c r="B70" s="58"/>
      <c r="C70" s="109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35"/>
      <c r="X70" s="35"/>
      <c r="Y70" s="35"/>
      <c r="Z70" s="35"/>
    </row>
    <row r="71" ht="15.75" customHeight="1">
      <c r="A71" s="57"/>
      <c r="B71" s="58"/>
      <c r="C71" s="109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35"/>
      <c r="X71" s="35"/>
      <c r="Y71" s="35"/>
      <c r="Z71" s="35"/>
    </row>
    <row r="72" ht="15.75" customHeight="1">
      <c r="A72" s="57"/>
      <c r="B72" s="58"/>
      <c r="C72" s="109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35"/>
      <c r="X72" s="35"/>
      <c r="Y72" s="35"/>
      <c r="Z72" s="35"/>
    </row>
    <row r="73" ht="15.75" customHeight="1">
      <c r="A73" s="57"/>
      <c r="B73" s="58"/>
      <c r="C73" s="109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35"/>
      <c r="X73" s="35"/>
      <c r="Y73" s="35"/>
      <c r="Z73" s="35"/>
    </row>
    <row r="74" ht="15.75" customHeight="1">
      <c r="A74" s="57"/>
      <c r="B74" s="58"/>
      <c r="C74" s="109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35"/>
      <c r="X74" s="35"/>
      <c r="Y74" s="35"/>
      <c r="Z74" s="35"/>
    </row>
    <row r="75" ht="15.75" customHeight="1">
      <c r="A75" s="57"/>
      <c r="B75" s="58"/>
      <c r="C75" s="109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35"/>
      <c r="X75" s="35"/>
      <c r="Y75" s="35"/>
      <c r="Z75" s="35"/>
    </row>
    <row r="76" ht="15.75" customHeight="1">
      <c r="A76" s="57"/>
      <c r="B76" s="58"/>
      <c r="C76" s="109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35"/>
      <c r="X76" s="35"/>
      <c r="Y76" s="35"/>
      <c r="Z76" s="35"/>
    </row>
    <row r="77" ht="15.75" customHeight="1">
      <c r="A77" s="57"/>
      <c r="B77" s="58"/>
      <c r="C77" s="109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35"/>
      <c r="X77" s="35"/>
      <c r="Y77" s="35"/>
      <c r="Z77" s="35"/>
    </row>
    <row r="78" ht="15.75" customHeight="1">
      <c r="A78" s="57"/>
      <c r="B78" s="58"/>
      <c r="C78" s="109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35"/>
      <c r="X78" s="35"/>
      <c r="Y78" s="35"/>
      <c r="Z78" s="35"/>
    </row>
    <row r="79" ht="15.75" customHeight="1">
      <c r="A79" s="57"/>
      <c r="B79" s="58"/>
      <c r="C79" s="109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35"/>
      <c r="X79" s="35"/>
      <c r="Y79" s="35"/>
      <c r="Z79" s="35"/>
    </row>
    <row r="80" ht="15.75" customHeight="1">
      <c r="A80" s="57"/>
      <c r="B80" s="58"/>
      <c r="C80" s="109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35"/>
      <c r="X80" s="35"/>
      <c r="Y80" s="35"/>
      <c r="Z80" s="35"/>
    </row>
    <row r="81" ht="15.75" customHeight="1">
      <c r="A81" s="57"/>
      <c r="B81" s="58"/>
      <c r="C81" s="109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35"/>
      <c r="X81" s="35"/>
      <c r="Y81" s="35"/>
      <c r="Z81" s="35"/>
    </row>
    <row r="82" ht="15.75" customHeight="1">
      <c r="A82" s="57"/>
      <c r="B82" s="58"/>
      <c r="C82" s="109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35"/>
      <c r="X82" s="35"/>
      <c r="Y82" s="35"/>
      <c r="Z82" s="35"/>
    </row>
    <row r="83" ht="15.75" customHeight="1">
      <c r="A83" s="57"/>
      <c r="B83" s="58"/>
      <c r="C83" s="109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35"/>
      <c r="X83" s="35"/>
      <c r="Y83" s="35"/>
      <c r="Z83" s="35"/>
    </row>
    <row r="84" ht="15.75" customHeight="1">
      <c r="A84" s="57"/>
      <c r="B84" s="58"/>
      <c r="C84" s="109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35"/>
      <c r="X84" s="35"/>
      <c r="Y84" s="35"/>
      <c r="Z84" s="35"/>
    </row>
    <row r="85" ht="15.75" customHeight="1">
      <c r="A85" s="57"/>
      <c r="B85" s="58"/>
      <c r="C85" s="109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35"/>
      <c r="X85" s="35"/>
      <c r="Y85" s="35"/>
      <c r="Z85" s="35"/>
    </row>
    <row r="86" ht="15.75" customHeight="1">
      <c r="A86" s="57"/>
      <c r="B86" s="58"/>
      <c r="C86" s="109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35"/>
      <c r="X86" s="35"/>
      <c r="Y86" s="35"/>
      <c r="Z86" s="35"/>
    </row>
    <row r="87" ht="15.75" customHeight="1">
      <c r="A87" s="57"/>
      <c r="B87" s="58"/>
      <c r="C87" s="109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35"/>
      <c r="X87" s="35"/>
      <c r="Y87" s="35"/>
      <c r="Z87" s="35"/>
    </row>
    <row r="88" ht="15.75" customHeight="1">
      <c r="A88" s="57"/>
      <c r="B88" s="58"/>
      <c r="C88" s="109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35"/>
      <c r="X88" s="35"/>
      <c r="Y88" s="35"/>
      <c r="Z88" s="35"/>
    </row>
    <row r="89" ht="15.75" customHeight="1">
      <c r="A89" s="57"/>
      <c r="B89" s="58"/>
      <c r="C89" s="109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35"/>
      <c r="X89" s="35"/>
      <c r="Y89" s="35"/>
      <c r="Z89" s="35"/>
    </row>
    <row r="90" ht="15.75" customHeight="1">
      <c r="A90" s="57"/>
      <c r="B90" s="58"/>
      <c r="C90" s="109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35"/>
      <c r="X90" s="35"/>
      <c r="Y90" s="35"/>
      <c r="Z90" s="35"/>
    </row>
    <row r="91" ht="15.75" customHeight="1">
      <c r="A91" s="57"/>
      <c r="B91" s="58"/>
      <c r="C91" s="109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35"/>
      <c r="X91" s="35"/>
      <c r="Y91" s="35"/>
      <c r="Z91" s="35"/>
    </row>
    <row r="92" ht="15.75" customHeight="1">
      <c r="A92" s="57"/>
      <c r="B92" s="58"/>
      <c r="C92" s="109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35"/>
      <c r="X92" s="35"/>
      <c r="Y92" s="35"/>
      <c r="Z92" s="35"/>
    </row>
    <row r="93" ht="15.75" customHeight="1">
      <c r="A93" s="57"/>
      <c r="B93" s="58"/>
      <c r="C93" s="109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35"/>
      <c r="X93" s="35"/>
      <c r="Y93" s="35"/>
      <c r="Z93" s="35"/>
    </row>
    <row r="94" ht="15.75" customHeight="1">
      <c r="A94" s="57"/>
      <c r="B94" s="58"/>
      <c r="C94" s="109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35"/>
      <c r="X94" s="35"/>
      <c r="Y94" s="35"/>
      <c r="Z94" s="35"/>
    </row>
    <row r="95" ht="15.75" customHeight="1">
      <c r="A95" s="57"/>
      <c r="B95" s="58"/>
      <c r="C95" s="109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35"/>
      <c r="X95" s="35"/>
      <c r="Y95" s="35"/>
      <c r="Z95" s="35"/>
    </row>
    <row r="96" ht="15.75" customHeight="1">
      <c r="A96" s="57"/>
      <c r="B96" s="58"/>
      <c r="C96" s="109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35"/>
      <c r="X96" s="35"/>
      <c r="Y96" s="35"/>
      <c r="Z96" s="35"/>
    </row>
    <row r="97" ht="15.75" customHeight="1">
      <c r="A97" s="57"/>
      <c r="B97" s="58"/>
      <c r="C97" s="109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35"/>
      <c r="X97" s="35"/>
      <c r="Y97" s="35"/>
      <c r="Z97" s="35"/>
    </row>
    <row r="98" ht="15.75" customHeight="1">
      <c r="A98" s="57"/>
      <c r="B98" s="58"/>
      <c r="C98" s="109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35"/>
      <c r="X98" s="35"/>
      <c r="Y98" s="35"/>
      <c r="Z98" s="35"/>
    </row>
    <row r="99" ht="15.75" customHeight="1">
      <c r="A99" s="57"/>
      <c r="B99" s="58"/>
      <c r="C99" s="109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35"/>
      <c r="X99" s="35"/>
      <c r="Y99" s="35"/>
      <c r="Z99" s="35"/>
    </row>
    <row r="100" ht="15.75" customHeight="1">
      <c r="A100" s="57"/>
      <c r="B100" s="58"/>
      <c r="C100" s="109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35"/>
      <c r="X100" s="35"/>
      <c r="Y100" s="35"/>
      <c r="Z100" s="35"/>
    </row>
    <row r="101" ht="15.75" customHeight="1">
      <c r="A101" s="57"/>
      <c r="B101" s="58"/>
      <c r="C101" s="109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35"/>
      <c r="X101" s="35"/>
      <c r="Y101" s="35"/>
      <c r="Z101" s="35"/>
    </row>
    <row r="102" ht="15.75" customHeight="1">
      <c r="A102" s="57"/>
      <c r="B102" s="58"/>
      <c r="C102" s="109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35"/>
      <c r="X102" s="35"/>
      <c r="Y102" s="35"/>
      <c r="Z102" s="35"/>
    </row>
    <row r="103" ht="15.75" customHeight="1">
      <c r="A103" s="57"/>
      <c r="B103" s="58"/>
      <c r="C103" s="109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35"/>
      <c r="X103" s="35"/>
      <c r="Y103" s="35"/>
      <c r="Z103" s="35"/>
    </row>
    <row r="104" ht="15.75" customHeight="1">
      <c r="A104" s="57"/>
      <c r="B104" s="58"/>
      <c r="C104" s="109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35"/>
      <c r="X104" s="35"/>
      <c r="Y104" s="35"/>
      <c r="Z104" s="35"/>
    </row>
    <row r="105" ht="15.75" customHeight="1">
      <c r="A105" s="57"/>
      <c r="B105" s="58"/>
      <c r="C105" s="109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35"/>
      <c r="X105" s="35"/>
      <c r="Y105" s="35"/>
      <c r="Z105" s="35"/>
    </row>
    <row r="106" ht="15.75" customHeight="1">
      <c r="A106" s="57"/>
      <c r="B106" s="58"/>
      <c r="C106" s="109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35"/>
      <c r="X106" s="35"/>
      <c r="Y106" s="35"/>
      <c r="Z106" s="35"/>
    </row>
    <row r="107" ht="15.75" customHeight="1">
      <c r="A107" s="57"/>
      <c r="B107" s="58"/>
      <c r="C107" s="109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35"/>
      <c r="X107" s="35"/>
      <c r="Y107" s="35"/>
      <c r="Z107" s="35"/>
    </row>
    <row r="108" ht="15.75" customHeight="1">
      <c r="A108" s="57"/>
      <c r="B108" s="58"/>
      <c r="C108" s="109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35"/>
      <c r="X108" s="35"/>
      <c r="Y108" s="35"/>
      <c r="Z108" s="35"/>
    </row>
    <row r="109" ht="15.75" customHeight="1">
      <c r="A109" s="57"/>
      <c r="B109" s="58"/>
      <c r="C109" s="109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35"/>
      <c r="X109" s="35"/>
      <c r="Y109" s="35"/>
      <c r="Z109" s="35"/>
    </row>
    <row r="110" ht="15.75" customHeight="1">
      <c r="A110" s="57"/>
      <c r="B110" s="58"/>
      <c r="C110" s="109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35"/>
      <c r="X110" s="35"/>
      <c r="Y110" s="35"/>
      <c r="Z110" s="35"/>
    </row>
    <row r="111" ht="15.75" customHeight="1">
      <c r="A111" s="57"/>
      <c r="B111" s="58"/>
      <c r="C111" s="109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35"/>
      <c r="X111" s="35"/>
      <c r="Y111" s="35"/>
      <c r="Z111" s="35"/>
    </row>
    <row r="112" ht="15.75" customHeight="1">
      <c r="A112" s="57"/>
      <c r="B112" s="58"/>
      <c r="C112" s="109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35"/>
      <c r="X112" s="35"/>
      <c r="Y112" s="35"/>
      <c r="Z112" s="35"/>
    </row>
    <row r="113" ht="15.75" customHeight="1">
      <c r="A113" s="57"/>
      <c r="B113" s="58"/>
      <c r="C113" s="109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35"/>
      <c r="X113" s="35"/>
      <c r="Y113" s="35"/>
      <c r="Z113" s="35"/>
    </row>
    <row r="114" ht="15.75" customHeight="1">
      <c r="A114" s="57"/>
      <c r="B114" s="58"/>
      <c r="C114" s="109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35"/>
      <c r="X114" s="35"/>
      <c r="Y114" s="35"/>
      <c r="Z114" s="35"/>
    </row>
    <row r="115" ht="15.75" customHeight="1">
      <c r="A115" s="57"/>
      <c r="B115" s="58"/>
      <c r="C115" s="109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35"/>
      <c r="X115" s="35"/>
      <c r="Y115" s="35"/>
      <c r="Z115" s="35"/>
    </row>
    <row r="116" ht="15.75" customHeight="1">
      <c r="A116" s="57"/>
      <c r="B116" s="58"/>
      <c r="C116" s="109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35"/>
      <c r="X116" s="35"/>
      <c r="Y116" s="35"/>
      <c r="Z116" s="35"/>
    </row>
    <row r="117" ht="15.75" customHeight="1">
      <c r="A117" s="57"/>
      <c r="B117" s="58"/>
      <c r="C117" s="109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35"/>
      <c r="X117" s="35"/>
      <c r="Y117" s="35"/>
      <c r="Z117" s="35"/>
    </row>
    <row r="118" ht="15.75" customHeight="1">
      <c r="A118" s="57"/>
      <c r="B118" s="58"/>
      <c r="C118" s="109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35"/>
      <c r="X118" s="35"/>
      <c r="Y118" s="35"/>
      <c r="Z118" s="35"/>
    </row>
    <row r="119" ht="15.75" customHeight="1">
      <c r="A119" s="57"/>
      <c r="B119" s="58"/>
      <c r="C119" s="109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35"/>
      <c r="X119" s="35"/>
      <c r="Y119" s="35"/>
      <c r="Z119" s="35"/>
    </row>
    <row r="120" ht="15.75" customHeight="1">
      <c r="A120" s="57"/>
      <c r="B120" s="58"/>
      <c r="C120" s="109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35"/>
      <c r="X120" s="35"/>
      <c r="Y120" s="35"/>
      <c r="Z120" s="35"/>
    </row>
    <row r="121" ht="15.75" customHeight="1">
      <c r="A121" s="57"/>
      <c r="B121" s="58"/>
      <c r="C121" s="109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35"/>
      <c r="X121" s="35"/>
      <c r="Y121" s="35"/>
      <c r="Z121" s="35"/>
    </row>
    <row r="122" ht="15.75" customHeight="1">
      <c r="A122" s="57"/>
      <c r="B122" s="58"/>
      <c r="C122" s="109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35"/>
      <c r="X122" s="35"/>
      <c r="Y122" s="35"/>
      <c r="Z122" s="35"/>
    </row>
    <row r="123" ht="15.75" customHeight="1">
      <c r="A123" s="57"/>
      <c r="B123" s="58"/>
      <c r="C123" s="109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35"/>
      <c r="X123" s="35"/>
      <c r="Y123" s="35"/>
      <c r="Z123" s="35"/>
    </row>
    <row r="124" ht="15.75" customHeight="1">
      <c r="A124" s="57"/>
      <c r="B124" s="58"/>
      <c r="C124" s="109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35"/>
      <c r="X124" s="35"/>
      <c r="Y124" s="35"/>
      <c r="Z124" s="35"/>
    </row>
    <row r="125" ht="15.75" customHeight="1">
      <c r="A125" s="57"/>
      <c r="B125" s="58"/>
      <c r="C125" s="109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35"/>
      <c r="X125" s="35"/>
      <c r="Y125" s="35"/>
      <c r="Z125" s="35"/>
    </row>
    <row r="126" ht="15.75" customHeight="1">
      <c r="A126" s="57"/>
      <c r="B126" s="58"/>
      <c r="C126" s="109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35"/>
      <c r="X126" s="35"/>
      <c r="Y126" s="35"/>
      <c r="Z126" s="35"/>
    </row>
    <row r="127" ht="15.75" customHeight="1">
      <c r="A127" s="57"/>
      <c r="B127" s="58"/>
      <c r="C127" s="109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35"/>
      <c r="X127" s="35"/>
      <c r="Y127" s="35"/>
      <c r="Z127" s="35"/>
    </row>
    <row r="128" ht="15.75" customHeight="1">
      <c r="A128" s="57"/>
      <c r="B128" s="58"/>
      <c r="C128" s="109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35"/>
      <c r="X128" s="35"/>
      <c r="Y128" s="35"/>
      <c r="Z128" s="35"/>
    </row>
    <row r="129" ht="15.75" customHeight="1">
      <c r="A129" s="57"/>
      <c r="B129" s="58"/>
      <c r="C129" s="109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35"/>
      <c r="X129" s="35"/>
      <c r="Y129" s="35"/>
      <c r="Z129" s="35"/>
    </row>
    <row r="130" ht="15.75" customHeight="1">
      <c r="A130" s="57"/>
      <c r="B130" s="58"/>
      <c r="C130" s="109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35"/>
      <c r="X130" s="35"/>
      <c r="Y130" s="35"/>
      <c r="Z130" s="35"/>
    </row>
    <row r="131" ht="15.75" customHeight="1">
      <c r="A131" s="57"/>
      <c r="B131" s="58"/>
      <c r="C131" s="109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35"/>
      <c r="X131" s="35"/>
      <c r="Y131" s="35"/>
      <c r="Z131" s="35"/>
    </row>
    <row r="132" ht="15.75" customHeight="1">
      <c r="A132" s="57"/>
      <c r="B132" s="58"/>
      <c r="C132" s="109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35"/>
      <c r="X132" s="35"/>
      <c r="Y132" s="35"/>
      <c r="Z132" s="35"/>
    </row>
    <row r="133" ht="15.75" customHeight="1">
      <c r="A133" s="57"/>
      <c r="B133" s="58"/>
      <c r="C133" s="109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35"/>
      <c r="X133" s="35"/>
      <c r="Y133" s="35"/>
      <c r="Z133" s="35"/>
    </row>
    <row r="134" ht="15.75" customHeight="1">
      <c r="A134" s="57"/>
      <c r="B134" s="58"/>
      <c r="C134" s="109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35"/>
      <c r="X134" s="35"/>
      <c r="Y134" s="35"/>
      <c r="Z134" s="35"/>
    </row>
    <row r="135" ht="15.75" customHeight="1">
      <c r="A135" s="57"/>
      <c r="B135" s="58"/>
      <c r="C135" s="109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35"/>
      <c r="X135" s="35"/>
      <c r="Y135" s="35"/>
      <c r="Z135" s="35"/>
    </row>
    <row r="136" ht="15.75" customHeight="1">
      <c r="A136" s="57"/>
      <c r="B136" s="58"/>
      <c r="C136" s="109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35"/>
      <c r="X136" s="35"/>
      <c r="Y136" s="35"/>
      <c r="Z136" s="35"/>
    </row>
    <row r="137" ht="15.75" customHeight="1">
      <c r="A137" s="57"/>
      <c r="B137" s="58"/>
      <c r="C137" s="109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35"/>
      <c r="X137" s="35"/>
      <c r="Y137" s="35"/>
      <c r="Z137" s="35"/>
    </row>
    <row r="138" ht="15.75" customHeight="1">
      <c r="A138" s="57"/>
      <c r="B138" s="58"/>
      <c r="C138" s="109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35"/>
      <c r="X138" s="35"/>
      <c r="Y138" s="35"/>
      <c r="Z138" s="35"/>
    </row>
    <row r="139" ht="15.75" customHeight="1">
      <c r="A139" s="57"/>
      <c r="B139" s="58"/>
      <c r="C139" s="109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35"/>
      <c r="X139" s="35"/>
      <c r="Y139" s="35"/>
      <c r="Z139" s="35"/>
    </row>
    <row r="140" ht="15.75" customHeight="1">
      <c r="A140" s="57"/>
      <c r="B140" s="58"/>
      <c r="C140" s="109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35"/>
      <c r="X140" s="35"/>
      <c r="Y140" s="35"/>
      <c r="Z140" s="35"/>
    </row>
    <row r="141" ht="15.75" customHeight="1">
      <c r="A141" s="57"/>
      <c r="B141" s="58"/>
      <c r="C141" s="109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35"/>
      <c r="X141" s="35"/>
      <c r="Y141" s="35"/>
      <c r="Z141" s="35"/>
    </row>
    <row r="142" ht="15.75" customHeight="1">
      <c r="A142" s="57"/>
      <c r="B142" s="58"/>
      <c r="C142" s="109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35"/>
      <c r="X142" s="35"/>
      <c r="Y142" s="35"/>
      <c r="Z142" s="35"/>
    </row>
    <row r="143" ht="15.75" customHeight="1">
      <c r="A143" s="57"/>
      <c r="B143" s="58"/>
      <c r="C143" s="109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35"/>
      <c r="X143" s="35"/>
      <c r="Y143" s="35"/>
      <c r="Z143" s="35"/>
    </row>
    <row r="144" ht="15.75" customHeight="1">
      <c r="A144" s="57"/>
      <c r="B144" s="58"/>
      <c r="C144" s="109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35"/>
      <c r="X144" s="35"/>
      <c r="Y144" s="35"/>
      <c r="Z144" s="35"/>
    </row>
    <row r="145" ht="15.75" customHeight="1">
      <c r="A145" s="57"/>
      <c r="B145" s="58"/>
      <c r="C145" s="109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35"/>
      <c r="X145" s="35"/>
      <c r="Y145" s="35"/>
      <c r="Z145" s="35"/>
    </row>
    <row r="146" ht="15.75" customHeight="1">
      <c r="A146" s="57"/>
      <c r="B146" s="58"/>
      <c r="C146" s="109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35"/>
      <c r="X146" s="35"/>
      <c r="Y146" s="35"/>
      <c r="Z146" s="35"/>
    </row>
    <row r="147" ht="15.75" customHeight="1">
      <c r="A147" s="57"/>
      <c r="B147" s="58"/>
      <c r="C147" s="109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35"/>
      <c r="X147" s="35"/>
      <c r="Y147" s="35"/>
      <c r="Z147" s="35"/>
    </row>
    <row r="148" ht="15.75" customHeight="1">
      <c r="A148" s="57"/>
      <c r="B148" s="58"/>
      <c r="C148" s="109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35"/>
      <c r="X148" s="35"/>
      <c r="Y148" s="35"/>
      <c r="Z148" s="35"/>
    </row>
    <row r="149" ht="15.75" customHeight="1">
      <c r="A149" s="57"/>
      <c r="B149" s="58"/>
      <c r="C149" s="109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35"/>
      <c r="X149" s="35"/>
      <c r="Y149" s="35"/>
      <c r="Z149" s="35"/>
    </row>
    <row r="150" ht="15.75" customHeight="1">
      <c r="A150" s="57"/>
      <c r="B150" s="58"/>
      <c r="C150" s="109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35"/>
      <c r="X150" s="35"/>
      <c r="Y150" s="35"/>
      <c r="Z150" s="35"/>
    </row>
    <row r="151" ht="15.75" customHeight="1">
      <c r="A151" s="57"/>
      <c r="B151" s="58"/>
      <c r="C151" s="109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35"/>
      <c r="X151" s="35"/>
      <c r="Y151" s="35"/>
      <c r="Z151" s="35"/>
    </row>
    <row r="152" ht="15.75" customHeight="1">
      <c r="A152" s="57"/>
      <c r="B152" s="58"/>
      <c r="C152" s="109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35"/>
      <c r="X152" s="35"/>
      <c r="Y152" s="35"/>
      <c r="Z152" s="35"/>
    </row>
    <row r="153" ht="15.75" customHeight="1">
      <c r="A153" s="57"/>
      <c r="B153" s="58"/>
      <c r="C153" s="109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35"/>
      <c r="X153" s="35"/>
      <c r="Y153" s="35"/>
      <c r="Z153" s="35"/>
    </row>
    <row r="154" ht="15.75" customHeight="1">
      <c r="A154" s="57"/>
      <c r="B154" s="58"/>
      <c r="C154" s="109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35"/>
      <c r="X154" s="35"/>
      <c r="Y154" s="35"/>
      <c r="Z154" s="35"/>
    </row>
    <row r="155" ht="15.75" customHeight="1">
      <c r="A155" s="57"/>
      <c r="B155" s="58"/>
      <c r="C155" s="109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35"/>
      <c r="X155" s="35"/>
      <c r="Y155" s="35"/>
      <c r="Z155" s="35"/>
    </row>
    <row r="156" ht="15.75" customHeight="1">
      <c r="A156" s="57"/>
      <c r="B156" s="58"/>
      <c r="C156" s="109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35"/>
      <c r="X156" s="35"/>
      <c r="Y156" s="35"/>
      <c r="Z156" s="35"/>
    </row>
    <row r="157" ht="15.75" customHeight="1">
      <c r="A157" s="57"/>
      <c r="B157" s="58"/>
      <c r="C157" s="109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35"/>
      <c r="X157" s="35"/>
      <c r="Y157" s="35"/>
      <c r="Z157" s="35"/>
    </row>
    <row r="158" ht="15.75" customHeight="1">
      <c r="A158" s="57"/>
      <c r="B158" s="58"/>
      <c r="C158" s="109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35"/>
      <c r="X158" s="35"/>
      <c r="Y158" s="35"/>
      <c r="Z158" s="35"/>
    </row>
    <row r="159" ht="15.75" customHeight="1">
      <c r="A159" s="57"/>
      <c r="B159" s="58"/>
      <c r="C159" s="109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35"/>
      <c r="X159" s="35"/>
      <c r="Y159" s="35"/>
      <c r="Z159" s="35"/>
    </row>
    <row r="160" ht="15.75" customHeight="1">
      <c r="A160" s="57"/>
      <c r="B160" s="58"/>
      <c r="C160" s="109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35"/>
      <c r="X160" s="35"/>
      <c r="Y160" s="35"/>
      <c r="Z160" s="35"/>
    </row>
    <row r="161" ht="15.75" customHeight="1">
      <c r="A161" s="57"/>
      <c r="B161" s="58"/>
      <c r="C161" s="109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35"/>
      <c r="X161" s="35"/>
      <c r="Y161" s="35"/>
      <c r="Z161" s="35"/>
    </row>
    <row r="162" ht="15.75" customHeight="1">
      <c r="A162" s="57"/>
      <c r="B162" s="58"/>
      <c r="C162" s="109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35"/>
      <c r="X162" s="35"/>
      <c r="Y162" s="35"/>
      <c r="Z162" s="35"/>
    </row>
    <row r="163" ht="15.75" customHeight="1">
      <c r="A163" s="57"/>
      <c r="B163" s="58"/>
      <c r="C163" s="109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35"/>
      <c r="X163" s="35"/>
      <c r="Y163" s="35"/>
      <c r="Z163" s="35"/>
    </row>
    <row r="164" ht="15.75" customHeight="1">
      <c r="A164" s="57"/>
      <c r="B164" s="58"/>
      <c r="C164" s="109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35"/>
      <c r="X164" s="35"/>
      <c r="Y164" s="35"/>
      <c r="Z164" s="35"/>
    </row>
    <row r="165" ht="15.75" customHeight="1">
      <c r="A165" s="57"/>
      <c r="B165" s="58"/>
      <c r="C165" s="109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35"/>
      <c r="X165" s="35"/>
      <c r="Y165" s="35"/>
      <c r="Z165" s="35"/>
    </row>
    <row r="166" ht="15.75" customHeight="1">
      <c r="A166" s="57"/>
      <c r="B166" s="58"/>
      <c r="C166" s="109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35"/>
      <c r="X166" s="35"/>
      <c r="Y166" s="35"/>
      <c r="Z166" s="35"/>
    </row>
    <row r="167" ht="15.75" customHeight="1">
      <c r="A167" s="57"/>
      <c r="B167" s="58"/>
      <c r="C167" s="109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35"/>
      <c r="X167" s="35"/>
      <c r="Y167" s="35"/>
      <c r="Z167" s="35"/>
    </row>
    <row r="168" ht="15.75" customHeight="1">
      <c r="A168" s="57"/>
      <c r="B168" s="58"/>
      <c r="C168" s="109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35"/>
      <c r="X168" s="35"/>
      <c r="Y168" s="35"/>
      <c r="Z168" s="35"/>
    </row>
    <row r="169" ht="15.75" customHeight="1">
      <c r="A169" s="57"/>
      <c r="B169" s="58"/>
      <c r="C169" s="109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35"/>
      <c r="X169" s="35"/>
      <c r="Y169" s="35"/>
      <c r="Z169" s="35"/>
    </row>
    <row r="170" ht="15.75" customHeight="1">
      <c r="A170" s="57"/>
      <c r="B170" s="58"/>
      <c r="C170" s="109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35"/>
      <c r="X170" s="35"/>
      <c r="Y170" s="35"/>
      <c r="Z170" s="35"/>
    </row>
    <row r="171" ht="15.75" customHeight="1">
      <c r="A171" s="57"/>
      <c r="B171" s="58"/>
      <c r="C171" s="109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35"/>
      <c r="X171" s="35"/>
      <c r="Y171" s="35"/>
      <c r="Z171" s="35"/>
    </row>
    <row r="172" ht="15.75" customHeight="1">
      <c r="A172" s="57"/>
      <c r="B172" s="58"/>
      <c r="C172" s="109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35"/>
      <c r="X172" s="35"/>
      <c r="Y172" s="35"/>
      <c r="Z172" s="35"/>
    </row>
    <row r="173" ht="15.75" customHeight="1">
      <c r="A173" s="57"/>
      <c r="B173" s="58"/>
      <c r="C173" s="109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35"/>
      <c r="X173" s="35"/>
      <c r="Y173" s="35"/>
      <c r="Z173" s="35"/>
    </row>
    <row r="174" ht="15.75" customHeight="1">
      <c r="A174" s="57"/>
      <c r="B174" s="58"/>
      <c r="C174" s="109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35"/>
      <c r="X174" s="35"/>
      <c r="Y174" s="35"/>
      <c r="Z174" s="35"/>
    </row>
    <row r="175" ht="15.75" customHeight="1">
      <c r="A175" s="57"/>
      <c r="B175" s="58"/>
      <c r="C175" s="109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35"/>
      <c r="X175" s="35"/>
      <c r="Y175" s="35"/>
      <c r="Z175" s="35"/>
    </row>
    <row r="176" ht="15.75" customHeight="1">
      <c r="A176" s="57"/>
      <c r="B176" s="58"/>
      <c r="C176" s="109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35"/>
      <c r="X176" s="35"/>
      <c r="Y176" s="35"/>
      <c r="Z176" s="35"/>
    </row>
    <row r="177" ht="15.75" customHeight="1">
      <c r="A177" s="57"/>
      <c r="B177" s="58"/>
      <c r="C177" s="109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35"/>
      <c r="X177" s="35"/>
      <c r="Y177" s="35"/>
      <c r="Z177" s="35"/>
    </row>
    <row r="178" ht="15.75" customHeight="1">
      <c r="A178" s="57"/>
      <c r="B178" s="58"/>
      <c r="C178" s="109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35"/>
      <c r="X178" s="35"/>
      <c r="Y178" s="35"/>
      <c r="Z178" s="35"/>
    </row>
    <row r="179" ht="15.75" customHeight="1">
      <c r="A179" s="57"/>
      <c r="B179" s="58"/>
      <c r="C179" s="109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35"/>
      <c r="X179" s="35"/>
      <c r="Y179" s="35"/>
      <c r="Z179" s="35"/>
    </row>
    <row r="180" ht="15.75" customHeight="1">
      <c r="A180" s="57"/>
      <c r="B180" s="58"/>
      <c r="C180" s="109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35"/>
      <c r="X180" s="35"/>
      <c r="Y180" s="35"/>
      <c r="Z180" s="35"/>
    </row>
    <row r="181" ht="15.75" customHeight="1">
      <c r="A181" s="57"/>
      <c r="B181" s="58"/>
      <c r="C181" s="109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35"/>
      <c r="X181" s="35"/>
      <c r="Y181" s="35"/>
      <c r="Z181" s="35"/>
    </row>
    <row r="182" ht="15.75" customHeight="1">
      <c r="A182" s="57"/>
      <c r="B182" s="58"/>
      <c r="C182" s="109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35"/>
      <c r="X182" s="35"/>
      <c r="Y182" s="35"/>
      <c r="Z182" s="35"/>
    </row>
    <row r="183" ht="15.75" customHeight="1">
      <c r="A183" s="57"/>
      <c r="B183" s="58"/>
      <c r="C183" s="109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35"/>
      <c r="X183" s="35"/>
      <c r="Y183" s="35"/>
      <c r="Z183" s="35"/>
    </row>
    <row r="184" ht="15.75" customHeight="1">
      <c r="A184" s="57"/>
      <c r="B184" s="58"/>
      <c r="C184" s="109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35"/>
      <c r="X184" s="35"/>
      <c r="Y184" s="35"/>
      <c r="Z184" s="35"/>
    </row>
    <row r="185" ht="15.75" customHeight="1">
      <c r="A185" s="57"/>
      <c r="B185" s="58"/>
      <c r="C185" s="109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35"/>
      <c r="X185" s="35"/>
      <c r="Y185" s="35"/>
      <c r="Z185" s="35"/>
    </row>
    <row r="186" ht="15.75" customHeight="1">
      <c r="A186" s="57"/>
      <c r="B186" s="58"/>
      <c r="C186" s="109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35"/>
      <c r="X186" s="35"/>
      <c r="Y186" s="35"/>
      <c r="Z186" s="35"/>
    </row>
    <row r="187" ht="15.75" customHeight="1">
      <c r="A187" s="57"/>
      <c r="B187" s="58"/>
      <c r="C187" s="109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35"/>
      <c r="X187" s="35"/>
      <c r="Y187" s="35"/>
      <c r="Z187" s="35"/>
    </row>
    <row r="188" ht="15.75" customHeight="1">
      <c r="A188" s="57"/>
      <c r="B188" s="58"/>
      <c r="C188" s="109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35"/>
      <c r="X188" s="35"/>
      <c r="Y188" s="35"/>
      <c r="Z188" s="35"/>
    </row>
    <row r="189" ht="15.75" customHeight="1">
      <c r="A189" s="57"/>
      <c r="B189" s="58"/>
      <c r="C189" s="109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35"/>
      <c r="X189" s="35"/>
      <c r="Y189" s="35"/>
      <c r="Z189" s="35"/>
    </row>
    <row r="190" ht="15.75" customHeight="1">
      <c r="A190" s="57"/>
      <c r="B190" s="58"/>
      <c r="C190" s="109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35"/>
      <c r="X190" s="35"/>
      <c r="Y190" s="35"/>
      <c r="Z190" s="35"/>
    </row>
    <row r="191" ht="15.75" customHeight="1">
      <c r="A191" s="57"/>
      <c r="B191" s="58"/>
      <c r="C191" s="109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35"/>
      <c r="X191" s="35"/>
      <c r="Y191" s="35"/>
      <c r="Z191" s="35"/>
    </row>
    <row r="192" ht="15.75" customHeight="1">
      <c r="A192" s="57"/>
      <c r="B192" s="58"/>
      <c r="C192" s="109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35"/>
      <c r="X192" s="35"/>
      <c r="Y192" s="35"/>
      <c r="Z192" s="35"/>
    </row>
    <row r="193" ht="15.75" customHeight="1">
      <c r="A193" s="57"/>
      <c r="B193" s="58"/>
      <c r="C193" s="109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35"/>
      <c r="X193" s="35"/>
      <c r="Y193" s="35"/>
      <c r="Z193" s="35"/>
    </row>
    <row r="194" ht="15.75" customHeight="1">
      <c r="A194" s="57"/>
      <c r="B194" s="58"/>
      <c r="C194" s="109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35"/>
      <c r="X194" s="35"/>
      <c r="Y194" s="35"/>
      <c r="Z194" s="35"/>
    </row>
    <row r="195" ht="15.75" customHeight="1">
      <c r="A195" s="57"/>
      <c r="B195" s="58"/>
      <c r="C195" s="109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35"/>
      <c r="X195" s="35"/>
      <c r="Y195" s="35"/>
      <c r="Z195" s="35"/>
    </row>
    <row r="196" ht="15.75" customHeight="1">
      <c r="A196" s="57"/>
      <c r="B196" s="58"/>
      <c r="C196" s="109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35"/>
      <c r="X196" s="35"/>
      <c r="Y196" s="35"/>
      <c r="Z196" s="35"/>
    </row>
    <row r="197" ht="15.75" customHeight="1">
      <c r="A197" s="57"/>
      <c r="B197" s="58"/>
      <c r="C197" s="109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35"/>
      <c r="X197" s="35"/>
      <c r="Y197" s="35"/>
      <c r="Z197" s="35"/>
    </row>
    <row r="198" ht="15.75" customHeight="1">
      <c r="A198" s="57"/>
      <c r="B198" s="58"/>
      <c r="C198" s="109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35"/>
      <c r="X198" s="35"/>
      <c r="Y198" s="35"/>
      <c r="Z198" s="35"/>
    </row>
    <row r="199" ht="15.75" customHeight="1">
      <c r="A199" s="57"/>
      <c r="B199" s="58"/>
      <c r="C199" s="109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35"/>
      <c r="X199" s="35"/>
      <c r="Y199" s="35"/>
      <c r="Z199" s="35"/>
    </row>
    <row r="200" ht="15.75" customHeight="1">
      <c r="A200" s="57"/>
      <c r="B200" s="58"/>
      <c r="C200" s="109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35"/>
      <c r="X200" s="35"/>
      <c r="Y200" s="35"/>
      <c r="Z200" s="35"/>
    </row>
    <row r="201" ht="15.75" customHeight="1">
      <c r="A201" s="57"/>
      <c r="B201" s="58"/>
      <c r="C201" s="109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35"/>
      <c r="X201" s="35"/>
      <c r="Y201" s="35"/>
      <c r="Z201" s="35"/>
    </row>
    <row r="202" ht="15.75" customHeight="1">
      <c r="A202" s="57"/>
      <c r="B202" s="58"/>
      <c r="C202" s="109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35"/>
      <c r="X202" s="35"/>
      <c r="Y202" s="35"/>
      <c r="Z202" s="35"/>
    </row>
    <row r="203" ht="15.75" customHeight="1">
      <c r="A203" s="57"/>
      <c r="B203" s="58"/>
      <c r="C203" s="109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35"/>
      <c r="X203" s="35"/>
      <c r="Y203" s="35"/>
      <c r="Z203" s="35"/>
    </row>
    <row r="204" ht="15.75" customHeight="1">
      <c r="A204" s="57"/>
      <c r="B204" s="58"/>
      <c r="C204" s="109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35"/>
      <c r="X204" s="35"/>
      <c r="Y204" s="35"/>
      <c r="Z204" s="35"/>
    </row>
    <row r="205" ht="15.75" customHeight="1">
      <c r="A205" s="57"/>
      <c r="B205" s="58"/>
      <c r="C205" s="109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35"/>
      <c r="X205" s="35"/>
      <c r="Y205" s="35"/>
      <c r="Z205" s="35"/>
    </row>
    <row r="206" ht="15.75" customHeight="1">
      <c r="A206" s="57"/>
      <c r="B206" s="58"/>
      <c r="C206" s="109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35"/>
      <c r="X206" s="35"/>
      <c r="Y206" s="35"/>
      <c r="Z206" s="35"/>
    </row>
    <row r="207" ht="15.75" customHeight="1">
      <c r="A207" s="57"/>
      <c r="B207" s="58"/>
      <c r="C207" s="109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35"/>
      <c r="X207" s="35"/>
      <c r="Y207" s="35"/>
      <c r="Z207" s="35"/>
    </row>
    <row r="208" ht="15.75" customHeight="1">
      <c r="A208" s="57"/>
      <c r="B208" s="58"/>
      <c r="C208" s="109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35"/>
      <c r="X208" s="35"/>
      <c r="Y208" s="35"/>
      <c r="Z208" s="35"/>
    </row>
    <row r="209" ht="15.75" customHeight="1">
      <c r="A209" s="57"/>
      <c r="B209" s="58"/>
      <c r="C209" s="109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35"/>
      <c r="X209" s="35"/>
      <c r="Y209" s="35"/>
      <c r="Z209" s="35"/>
    </row>
    <row r="210" ht="15.75" customHeight="1">
      <c r="A210" s="57"/>
      <c r="B210" s="58"/>
      <c r="C210" s="109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35"/>
      <c r="X210" s="35"/>
      <c r="Y210" s="35"/>
      <c r="Z210" s="35"/>
    </row>
    <row r="211" ht="15.75" customHeight="1">
      <c r="A211" s="57"/>
      <c r="B211" s="58"/>
      <c r="C211" s="109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35"/>
      <c r="X211" s="35"/>
      <c r="Y211" s="35"/>
      <c r="Z211" s="35"/>
    </row>
    <row r="212" ht="15.75" customHeight="1">
      <c r="A212" s="57"/>
      <c r="B212" s="58"/>
      <c r="C212" s="109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35"/>
      <c r="X212" s="35"/>
      <c r="Y212" s="35"/>
      <c r="Z212" s="35"/>
    </row>
    <row r="213" ht="15.75" customHeight="1">
      <c r="A213" s="57"/>
      <c r="B213" s="58"/>
      <c r="C213" s="109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35"/>
      <c r="X213" s="35"/>
      <c r="Y213" s="35"/>
      <c r="Z213" s="35"/>
    </row>
    <row r="214" ht="15.75" customHeight="1">
      <c r="A214" s="57"/>
      <c r="B214" s="58"/>
      <c r="C214" s="109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35"/>
      <c r="X214" s="35"/>
      <c r="Y214" s="35"/>
      <c r="Z214" s="35"/>
    </row>
    <row r="215" ht="15.75" customHeight="1">
      <c r="A215" s="57"/>
      <c r="B215" s="58"/>
      <c r="C215" s="109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35"/>
      <c r="X215" s="35"/>
      <c r="Y215" s="35"/>
      <c r="Z215" s="35"/>
    </row>
    <row r="216" ht="15.75" customHeight="1">
      <c r="A216" s="57"/>
      <c r="B216" s="58"/>
      <c r="C216" s="109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35"/>
      <c r="X216" s="35"/>
      <c r="Y216" s="35"/>
      <c r="Z216" s="35"/>
    </row>
    <row r="217" ht="15.75" customHeight="1">
      <c r="A217" s="57"/>
      <c r="B217" s="58"/>
      <c r="C217" s="109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35"/>
      <c r="X217" s="35"/>
      <c r="Y217" s="35"/>
      <c r="Z217" s="35"/>
    </row>
    <row r="218" ht="15.75" customHeight="1">
      <c r="A218" s="57"/>
      <c r="B218" s="58"/>
      <c r="C218" s="109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35"/>
      <c r="X218" s="35"/>
      <c r="Y218" s="35"/>
      <c r="Z218" s="35"/>
    </row>
    <row r="219" ht="15.75" customHeight="1">
      <c r="A219" s="57"/>
      <c r="B219" s="58"/>
      <c r="C219" s="109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35"/>
      <c r="X219" s="35"/>
      <c r="Y219" s="35"/>
      <c r="Z219" s="35"/>
    </row>
    <row r="220" ht="15.75" customHeight="1">
      <c r="A220" s="57"/>
      <c r="B220" s="58"/>
      <c r="C220" s="109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35"/>
      <c r="X220" s="35"/>
      <c r="Y220" s="35"/>
      <c r="Z220" s="35"/>
    </row>
    <row r="221" ht="15.75" customHeight="1">
      <c r="A221" s="57"/>
      <c r="B221" s="58"/>
      <c r="C221" s="109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35"/>
      <c r="X221" s="35"/>
      <c r="Y221" s="35"/>
      <c r="Z221" s="35"/>
    </row>
    <row r="222" ht="15.75" customHeight="1">
      <c r="A222" s="57"/>
      <c r="B222" s="58"/>
      <c r="C222" s="109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35"/>
      <c r="X222" s="35"/>
      <c r="Y222" s="35"/>
      <c r="Z222" s="35"/>
    </row>
    <row r="223" ht="15.75" customHeight="1">
      <c r="A223" s="57"/>
      <c r="B223" s="58"/>
      <c r="C223" s="109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35"/>
      <c r="X223" s="35"/>
      <c r="Y223" s="35"/>
      <c r="Z223" s="35"/>
    </row>
    <row r="224" ht="15.75" customHeight="1">
      <c r="A224" s="57"/>
      <c r="B224" s="58"/>
      <c r="C224" s="109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35"/>
      <c r="X224" s="35"/>
      <c r="Y224" s="35"/>
      <c r="Z224" s="35"/>
    </row>
    <row r="225" ht="15.75" customHeight="1">
      <c r="A225" s="57"/>
      <c r="B225" s="58"/>
      <c r="C225" s="109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35"/>
      <c r="X225" s="35"/>
      <c r="Y225" s="35"/>
      <c r="Z225" s="35"/>
    </row>
    <row r="226" ht="15.75" customHeight="1">
      <c r="A226" s="57"/>
      <c r="B226" s="58"/>
      <c r="C226" s="109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35"/>
      <c r="X226" s="35"/>
      <c r="Y226" s="35"/>
      <c r="Z226" s="35"/>
    </row>
    <row r="227" ht="15.75" customHeight="1">
      <c r="A227" s="57"/>
      <c r="B227" s="58"/>
      <c r="C227" s="109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35"/>
      <c r="X227" s="35"/>
      <c r="Y227" s="35"/>
      <c r="Z227" s="35"/>
    </row>
    <row r="228" ht="15.75" customHeight="1">
      <c r="A228" s="57"/>
      <c r="B228" s="58"/>
      <c r="C228" s="109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35"/>
      <c r="X228" s="35"/>
      <c r="Y228" s="35"/>
      <c r="Z228" s="35"/>
    </row>
    <row r="229" ht="15.75" customHeight="1">
      <c r="A229" s="57"/>
      <c r="B229" s="58"/>
      <c r="C229" s="109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35"/>
      <c r="X229" s="35"/>
      <c r="Y229" s="35"/>
      <c r="Z229" s="35"/>
    </row>
    <row r="230" ht="15.75" customHeight="1">
      <c r="A230" s="57"/>
      <c r="B230" s="58"/>
      <c r="C230" s="109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35"/>
      <c r="X230" s="35"/>
      <c r="Y230" s="35"/>
      <c r="Z230" s="35"/>
    </row>
    <row r="231" ht="15.75" customHeight="1">
      <c r="A231" s="57"/>
      <c r="B231" s="58"/>
      <c r="C231" s="109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35"/>
      <c r="X231" s="35"/>
      <c r="Y231" s="35"/>
      <c r="Z231" s="35"/>
    </row>
    <row r="232" ht="15.75" customHeight="1">
      <c r="A232" s="57"/>
      <c r="B232" s="58"/>
      <c r="C232" s="109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35"/>
      <c r="X232" s="35"/>
      <c r="Y232" s="35"/>
      <c r="Z232" s="35"/>
    </row>
    <row r="233" ht="15.75" customHeight="1">
      <c r="A233" s="57"/>
      <c r="B233" s="58"/>
      <c r="C233" s="109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35"/>
      <c r="X233" s="35"/>
      <c r="Y233" s="35"/>
      <c r="Z233" s="35"/>
    </row>
    <row r="234" ht="15.75" customHeight="1">
      <c r="A234" s="57"/>
      <c r="B234" s="58"/>
      <c r="C234" s="109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35"/>
      <c r="X234" s="35"/>
      <c r="Y234" s="35"/>
      <c r="Z234" s="35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C2:E2"/>
    <mergeCell ref="H2:L2"/>
    <mergeCell ref="H4:H6"/>
    <mergeCell ref="I4:I6"/>
    <mergeCell ref="J4:J6"/>
    <mergeCell ref="K4:K6"/>
    <mergeCell ref="L4:L6"/>
    <mergeCell ref="G4:G6"/>
    <mergeCell ref="G7:G9"/>
    <mergeCell ref="H7:H9"/>
    <mergeCell ref="I7:I9"/>
    <mergeCell ref="J7:J9"/>
    <mergeCell ref="K7:K9"/>
    <mergeCell ref="L7:L9"/>
    <mergeCell ref="H14:L14"/>
    <mergeCell ref="N14:Q14"/>
    <mergeCell ref="A16:A20"/>
    <mergeCell ref="A23:A27"/>
    <mergeCell ref="A30:A34"/>
    <mergeCell ref="C37:F37"/>
    <mergeCell ref="A39:A41"/>
    <mergeCell ref="A43:A45"/>
    <mergeCell ref="A47:A49"/>
    <mergeCell ref="G10:G12"/>
    <mergeCell ref="H10:H12"/>
    <mergeCell ref="I10:I12"/>
    <mergeCell ref="J10:J12"/>
    <mergeCell ref="K10:K12"/>
    <mergeCell ref="L10:L12"/>
    <mergeCell ref="C14:F14"/>
  </mergeCells>
  <drawing r:id="rId1"/>
</worksheet>
</file>