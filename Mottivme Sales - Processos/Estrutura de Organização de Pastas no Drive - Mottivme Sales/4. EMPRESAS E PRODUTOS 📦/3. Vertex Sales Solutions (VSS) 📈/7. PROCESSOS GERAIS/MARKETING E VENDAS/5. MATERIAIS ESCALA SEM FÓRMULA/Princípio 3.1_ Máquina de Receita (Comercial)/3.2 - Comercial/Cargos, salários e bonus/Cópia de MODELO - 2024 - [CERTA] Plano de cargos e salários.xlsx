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SER" sheetId="1" r:id="rId4"/>
    <sheet state="visible" name="VISAO GERAL" sheetId="2" r:id="rId5"/>
  </sheets>
  <definedNames/>
  <calcPr/>
</workbook>
</file>

<file path=xl/sharedStrings.xml><?xml version="1.0" encoding="utf-8"?>
<sst xmlns="http://schemas.openxmlformats.org/spreadsheetml/2006/main" count="95" uniqueCount="79">
  <si>
    <t>CARGOS</t>
  </si>
  <si>
    <t>BÔNUS POR FATURAMENTO (TRIMESTRAL)</t>
  </si>
  <si>
    <t>BÔNUS POR CAIXA (TRIMESTRAL)</t>
  </si>
  <si>
    <t>REPESCAGEM</t>
  </si>
  <si>
    <t>Rotina comercial</t>
  </si>
  <si>
    <t>COMERCIAL FIXO</t>
  </si>
  <si>
    <t>MÍNIMO ESPERADO</t>
  </si>
  <si>
    <t>VÁLIDO PARA VENDAS DO TRIMESTRE</t>
  </si>
  <si>
    <t>Closer JR</t>
  </si>
  <si>
    <r>
      <rPr>
        <rFont val="Arial"/>
        <color theme="1"/>
      </rPr>
      <t xml:space="preserve">R$ 2.000,00 + 2% </t>
    </r>
    <r>
      <rPr>
        <rFont val="Arial"/>
        <b/>
        <color theme="1"/>
      </rPr>
      <t>(Mentoria)</t>
    </r>
    <r>
      <rPr>
        <rFont val="Arial"/>
        <color theme="1"/>
      </rPr>
      <t xml:space="preserve"> ///// 1% </t>
    </r>
    <r>
      <rPr>
        <rFont val="Arial"/>
        <b/>
        <color theme="1"/>
      </rPr>
      <t>(Master) + % trimestral (0,5% a 1%)</t>
    </r>
  </si>
  <si>
    <t>CLOSER QUE TROUXER MAIS CAIXA</t>
  </si>
  <si>
    <t>1. Passou pela CG.</t>
  </si>
  <si>
    <t>Closer PL</t>
  </si>
  <si>
    <r>
      <rPr>
        <rFont val="Arial"/>
        <color theme="1"/>
      </rPr>
      <t xml:space="preserve">R$ 3.000,00 + 2% </t>
    </r>
    <r>
      <rPr>
        <rFont val="Arial"/>
        <b/>
        <color theme="1"/>
      </rPr>
      <t>(Mentoria)</t>
    </r>
    <r>
      <rPr>
        <rFont val="Arial"/>
        <color theme="1"/>
      </rPr>
      <t xml:space="preserve"> ///// 1% </t>
    </r>
    <r>
      <rPr>
        <rFont val="Arial"/>
        <b/>
        <color theme="1"/>
      </rPr>
      <t>(Master) + % trimestral (0,75% a 2%)</t>
    </r>
  </si>
  <si>
    <t>8 vendas de 30k (ticket médio)</t>
  </si>
  <si>
    <t>Mínimo de R$ 300.000 de caixa no trimestre para valer o bônus</t>
  </si>
  <si>
    <t>2. No-show.</t>
  </si>
  <si>
    <t>Closer SR</t>
  </si>
  <si>
    <r>
      <rPr>
        <rFont val="Arial"/>
        <color theme="1"/>
      </rPr>
      <t xml:space="preserve">R$ 4.000,00 + 2% </t>
    </r>
    <r>
      <rPr>
        <rFont val="Arial"/>
        <b/>
        <color theme="1"/>
      </rPr>
      <t>(Mentoria)</t>
    </r>
    <r>
      <rPr>
        <rFont val="Arial"/>
        <color theme="1"/>
      </rPr>
      <t xml:space="preserve"> ///// 1% </t>
    </r>
    <r>
      <rPr>
        <rFont val="Arial"/>
        <b/>
        <color theme="1"/>
      </rPr>
      <t>(Master) + % trimestral (1% a 3%)</t>
    </r>
  </si>
  <si>
    <t>55 calls/mês = 8 vendas/mes = 15% de conv</t>
  </si>
  <si>
    <t>R$ 8.000,00 (no pix)</t>
  </si>
  <si>
    <t>3. Follow-up.</t>
  </si>
  <si>
    <t>14 calls/semana</t>
  </si>
  <si>
    <t>4. Clientes</t>
  </si>
  <si>
    <t>5. Leads totais</t>
  </si>
  <si>
    <t>META MENSAL BASIC</t>
  </si>
  <si>
    <t>Pendência</t>
  </si>
  <si>
    <t>PRODUTOS ATÉ 4K: 4%</t>
  </si>
  <si>
    <t>R$ 900.000,00 por trimestre = 300k por mês</t>
  </si>
  <si>
    <t>Explicar Meta Time</t>
  </si>
  <si>
    <t>PRODUTOS 4K ATÉ 10K: 3%</t>
  </si>
  <si>
    <t>10 vendas de 30k (ticket médio)</t>
  </si>
  <si>
    <t>Explicar Repescagem</t>
  </si>
  <si>
    <t>50 calls/mês = 10 vendas/mes = 20% de conv</t>
  </si>
  <si>
    <t>Explicar Rotina de FUP</t>
  </si>
  <si>
    <t>EVOLUÇÃO DE CARGO</t>
  </si>
  <si>
    <t>13 calls/semana</t>
  </si>
  <si>
    <t>SOBE PRA PLENO SE BATER META TOP 3 VEZES (EM ATÉ 6 MESES)</t>
  </si>
  <si>
    <t>PAGAMENTO POR CASH COLLECTED</t>
  </si>
  <si>
    <t>SOBE PRA SENIOR SE BATER META MASTER 3 VEZES (EM ATÉ 6 MESES)</t>
  </si>
  <si>
    <t>ABA ''VISAO GERAL''</t>
  </si>
  <si>
    <t>META MENSAL TOP</t>
  </si>
  <si>
    <t>R$ 2.000 (no pix) quando subir de cargo</t>
  </si>
  <si>
    <t>R$ 1.440.000,00 por trimestre = 480k por mês</t>
  </si>
  <si>
    <t>16 vendas de 30k (ticket médio)</t>
  </si>
  <si>
    <t>60 calls/mês = 16 vendas/mes = 27% de conv</t>
  </si>
  <si>
    <t>80 calls/mês = 16 vendas/mes = 20% de conv</t>
  </si>
  <si>
    <t>15 a 20 calls/semana</t>
  </si>
  <si>
    <t>META MENSAL MASTER</t>
  </si>
  <si>
    <t>R$ 1.980.000,00 por trimestre = 660k por mês</t>
  </si>
  <si>
    <t>22 vendas de 30k (ticket médio)</t>
  </si>
  <si>
    <t>68 calls/mês = 22 vendas/mes = 33% de conv</t>
  </si>
  <si>
    <t>90 calls/mês = 22 vendas/mes = 25% de conv</t>
  </si>
  <si>
    <t>17 a 22 calls/semana</t>
  </si>
  <si>
    <t>fixo mensal</t>
  </si>
  <si>
    <t>% mensal</t>
  </si>
  <si>
    <t>fixo trimestral</t>
  </si>
  <si>
    <t>% tri meta BASIC</t>
  </si>
  <si>
    <t>% tri meta TOP</t>
  </si>
  <si>
    <t>% tri meta MASTER</t>
  </si>
  <si>
    <t>junior</t>
  </si>
  <si>
    <t>pleno</t>
  </si>
  <si>
    <t>senior</t>
  </si>
  <si>
    <t>MENSAL</t>
  </si>
  <si>
    <t>TRIMESTRAL</t>
  </si>
  <si>
    <t>Meta fat</t>
  </si>
  <si>
    <t>% comissão fixa mês</t>
  </si>
  <si>
    <t>Total Mensal</t>
  </si>
  <si>
    <t>Total trimestre</t>
  </si>
  <si>
    <t>Meta fat tri</t>
  </si>
  <si>
    <t>% Trimestre</t>
  </si>
  <si>
    <t>Total Tri Batendo Metas</t>
  </si>
  <si>
    <t xml:space="preserve">Média/Mês </t>
  </si>
  <si>
    <t>Junior</t>
  </si>
  <si>
    <t>Meta Basic</t>
  </si>
  <si>
    <t>Meta Top</t>
  </si>
  <si>
    <t>Meta Master</t>
  </si>
  <si>
    <t>Pleno</t>
  </si>
  <si>
    <t>Senior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</si>
</sst>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[$R$]#,##0.00"/>
    <numFmt numFmtId="166" formatCode="[$R$]#,##0"/>
  </numFmts>
  <fonts count="11">
    <font>
      <sz val="10.0"/>
      <color rgb="FF000000"/>
      <name val="Arial"/>
      <scheme val="minor"/>
    </font>
    <font>
      <b/>
      <color rgb="FF000000"/>
      <name val="Arial"/>
    </font>
    <font/>
    <font>
      <color theme="1"/>
      <name val="Arial"/>
    </font>
    <font>
      <b/>
      <sz val="13.0"/>
      <color rgb="FF000000"/>
      <name val="Arial"/>
    </font>
    <font>
      <b/>
      <color rgb="FFFFFFFF"/>
      <name val="Arial"/>
    </font>
    <font>
      <b/>
      <color theme="1"/>
      <name val="Arial"/>
    </font>
    <font>
      <color rgb="FF000000"/>
      <name val="Arial"/>
    </font>
    <font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900FF"/>
        <bgColor rgb="FF9900F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FFFFFF"/>
      </bottom>
    </border>
    <border>
      <right style="thin">
        <color rgb="FFFFFFFF"/>
      </right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ont="1">
      <alignment horizontal="center"/>
    </xf>
    <xf borderId="3" fillId="3" fontId="5" numFmtId="0" xfId="0" applyAlignment="1" applyBorder="1" applyFill="1" applyFont="1">
      <alignment horizontal="center"/>
    </xf>
    <xf borderId="3" fillId="4" fontId="6" numFmtId="0" xfId="0" applyBorder="1" applyFill="1" applyFont="1"/>
    <xf borderId="3" fillId="0" fontId="3" numFmtId="4" xfId="0" applyBorder="1" applyFont="1" applyNumberFormat="1"/>
    <xf borderId="3" fillId="5" fontId="3" numFmtId="164" xfId="0" applyAlignment="1" applyBorder="1" applyFill="1" applyFont="1" applyNumberFormat="1">
      <alignment horizontal="left"/>
    </xf>
    <xf borderId="3" fillId="0" fontId="3" numFmtId="0" xfId="0" applyBorder="1" applyFont="1"/>
    <xf borderId="3" fillId="5" fontId="6" numFmtId="0" xfId="0" applyBorder="1" applyFont="1"/>
    <xf borderId="3" fillId="0" fontId="3" numFmtId="0" xfId="0" applyAlignment="1" applyBorder="1" applyFont="1">
      <alignment vertical="bottom"/>
    </xf>
    <xf borderId="3" fillId="5" fontId="3" numFmtId="0" xfId="0" applyBorder="1" applyFont="1"/>
    <xf borderId="3" fillId="2" fontId="6" numFmtId="0" xfId="0" applyBorder="1" applyFont="1"/>
    <xf borderId="4" fillId="0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5" fontId="7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3" fillId="0" fontId="8" numFmtId="0" xfId="0" applyBorder="1" applyFont="1"/>
    <xf borderId="0" fillId="0" fontId="6" numFmtId="0" xfId="0" applyFont="1"/>
    <xf borderId="4" fillId="3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3" numFmtId="164" xfId="0" applyFont="1" applyNumberForma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7" fillId="0" fontId="6" numFmtId="0" xfId="0" applyAlignment="1" applyBorder="1" applyFont="1">
      <alignment horizontal="center" vertical="bottom"/>
    </xf>
    <xf borderId="7" fillId="0" fontId="6" numFmtId="165" xfId="0" applyAlignment="1" applyBorder="1" applyFont="1" applyNumberFormat="1">
      <alignment horizontal="center" vertical="bottom"/>
    </xf>
    <xf borderId="8" fillId="6" fontId="6" numFmtId="0" xfId="0" applyAlignment="1" applyBorder="1" applyFill="1" applyFont="1">
      <alignment horizontal="right" vertical="bottom"/>
    </xf>
    <xf borderId="7" fillId="6" fontId="3" numFmtId="166" xfId="0" applyAlignment="1" applyBorder="1" applyFont="1" applyNumberFormat="1">
      <alignment horizontal="center" vertical="bottom"/>
    </xf>
    <xf borderId="7" fillId="6" fontId="3" numFmtId="10" xfId="0" applyAlignment="1" applyBorder="1" applyFont="1" applyNumberFormat="1">
      <alignment horizontal="center" vertical="bottom"/>
    </xf>
    <xf borderId="8" fillId="7" fontId="6" numFmtId="0" xfId="0" applyAlignment="1" applyBorder="1" applyFill="1" applyFont="1">
      <alignment horizontal="right" vertical="bottom"/>
    </xf>
    <xf borderId="7" fillId="7" fontId="3" numFmtId="166" xfId="0" applyAlignment="1" applyBorder="1" applyFont="1" applyNumberFormat="1">
      <alignment horizontal="center" vertical="bottom"/>
    </xf>
    <xf borderId="7" fillId="7" fontId="3" numFmtId="10" xfId="0" applyAlignment="1" applyBorder="1" applyFont="1" applyNumberFormat="1">
      <alignment horizontal="center" vertical="bottom"/>
    </xf>
    <xf borderId="8" fillId="8" fontId="6" numFmtId="0" xfId="0" applyAlignment="1" applyBorder="1" applyFill="1" applyFont="1">
      <alignment horizontal="right" vertical="bottom"/>
    </xf>
    <xf borderId="7" fillId="8" fontId="3" numFmtId="166" xfId="0" applyAlignment="1" applyBorder="1" applyFont="1" applyNumberFormat="1">
      <alignment horizontal="center" vertical="bottom"/>
    </xf>
    <xf borderId="7" fillId="8" fontId="3" numFmtId="10" xfId="0" applyAlignment="1" applyBorder="1" applyFont="1" applyNumberFormat="1">
      <alignment horizontal="center" vertical="bottom"/>
    </xf>
    <xf borderId="9" fillId="0" fontId="3" numFmtId="165" xfId="0" applyAlignment="1" applyBorder="1" applyFont="1" applyNumberFormat="1">
      <alignment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6" numFmtId="0" xfId="0" applyAlignment="1" applyBorder="1" applyFont="1">
      <alignment horizontal="center" vertical="bottom"/>
    </xf>
    <xf borderId="11" fillId="0" fontId="2" numFmtId="0" xfId="0" applyBorder="1" applyFont="1"/>
    <xf borderId="12" fillId="0" fontId="2" numFmtId="0" xfId="0" applyBorder="1" applyFont="1"/>
    <xf borderId="13" fillId="0" fontId="3" numFmtId="0" xfId="0" applyAlignment="1" applyBorder="1" applyFont="1">
      <alignment vertical="bottom"/>
    </xf>
    <xf borderId="7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7" fillId="9" fontId="10" numFmtId="165" xfId="0" applyAlignment="1" applyBorder="1" applyFill="1" applyFont="1" applyNumberFormat="1">
      <alignment horizontal="center" shrinkToFit="0" vertical="center" wrapText="1"/>
    </xf>
    <xf borderId="7" fillId="9" fontId="10" numFmtId="0" xfId="0" applyAlignment="1" applyBorder="1" applyFont="1">
      <alignment horizontal="center" shrinkToFit="0" vertical="center" wrapText="1"/>
    </xf>
    <xf borderId="13" fillId="9" fontId="10" numFmtId="0" xfId="0" applyAlignment="1" applyBorder="1" applyFont="1">
      <alignment horizontal="center" shrinkToFit="0" vertical="center" wrapText="1"/>
    </xf>
    <xf borderId="13" fillId="5" fontId="9" numFmtId="0" xfId="0" applyAlignment="1" applyBorder="1" applyFont="1">
      <alignment horizontal="center" shrinkToFit="0" vertical="center" wrapText="1"/>
    </xf>
    <xf borderId="14" fillId="6" fontId="6" numFmtId="0" xfId="0" applyAlignment="1" applyBorder="1" applyFont="1">
      <alignment horizontal="center" vertical="center"/>
    </xf>
    <xf borderId="10" fillId="6" fontId="6" numFmtId="0" xfId="0" applyAlignment="1" applyBorder="1" applyFont="1">
      <alignment horizontal="left" vertical="bottom"/>
    </xf>
    <xf borderId="7" fillId="6" fontId="6" numFmtId="166" xfId="0" applyAlignment="1" applyBorder="1" applyFont="1" applyNumberFormat="1">
      <alignment horizontal="center" vertical="bottom"/>
    </xf>
    <xf borderId="13" fillId="6" fontId="6" numFmtId="166" xfId="0" applyAlignment="1" applyBorder="1" applyFont="1" applyNumberFormat="1">
      <alignment horizontal="center" vertical="bottom"/>
    </xf>
    <xf borderId="14" fillId="0" fontId="2" numFmtId="0" xfId="0" applyBorder="1" applyFont="1"/>
    <xf borderId="7" fillId="0" fontId="2" numFmtId="0" xfId="0" applyBorder="1" applyFont="1"/>
    <xf borderId="7" fillId="0" fontId="6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left" vertical="bottom"/>
    </xf>
    <xf borderId="7" fillId="0" fontId="6" numFmtId="166" xfId="0" applyAlignment="1" applyBorder="1" applyFont="1" applyNumberFormat="1">
      <alignment horizontal="center" vertical="bottom"/>
    </xf>
    <xf borderId="7" fillId="5" fontId="3" numFmtId="166" xfId="0" applyAlignment="1" applyBorder="1" applyFont="1" applyNumberFormat="1">
      <alignment horizontal="center" vertical="bottom"/>
    </xf>
    <xf borderId="13" fillId="5" fontId="3" numFmtId="166" xfId="0" applyAlignment="1" applyBorder="1" applyFont="1" applyNumberFormat="1">
      <alignment horizontal="center" vertical="bottom"/>
    </xf>
    <xf borderId="14" fillId="7" fontId="6" numFmtId="0" xfId="0" applyAlignment="1" applyBorder="1" applyFont="1">
      <alignment horizontal="center" vertical="center"/>
    </xf>
    <xf borderId="10" fillId="7" fontId="6" numFmtId="0" xfId="0" applyAlignment="1" applyBorder="1" applyFont="1">
      <alignment horizontal="left" vertical="bottom"/>
    </xf>
    <xf borderId="7" fillId="7" fontId="6" numFmtId="166" xfId="0" applyAlignment="1" applyBorder="1" applyFont="1" applyNumberFormat="1">
      <alignment horizontal="center" vertical="bottom"/>
    </xf>
    <xf borderId="13" fillId="7" fontId="6" numFmtId="166" xfId="0" applyAlignment="1" applyBorder="1" applyFont="1" applyNumberFormat="1">
      <alignment horizontal="center" vertical="bottom"/>
    </xf>
    <xf borderId="14" fillId="8" fontId="6" numFmtId="0" xfId="0" applyAlignment="1" applyBorder="1" applyFont="1">
      <alignment horizontal="center" vertical="center"/>
    </xf>
    <xf borderId="10" fillId="8" fontId="6" numFmtId="0" xfId="0" applyAlignment="1" applyBorder="1" applyFont="1">
      <alignment horizontal="left" vertical="bottom"/>
    </xf>
    <xf borderId="7" fillId="8" fontId="6" numFmtId="166" xfId="0" applyAlignment="1" applyBorder="1" applyFont="1" applyNumberFormat="1">
      <alignment horizontal="center" vertical="bottom"/>
    </xf>
    <xf borderId="13" fillId="8" fontId="6" numFmtId="166" xfId="0" applyAlignment="1" applyBorder="1" applyFont="1" applyNumberFormat="1">
      <alignment horizontal="center" vertical="bottom"/>
    </xf>
    <xf borderId="15" fillId="0" fontId="3" numFmtId="0" xfId="0" applyAlignment="1" applyBorder="1" applyFont="1">
      <alignment shrinkToFit="0" vertical="bottom" wrapText="0"/>
    </xf>
    <xf borderId="7" fillId="0" fontId="3" numFmtId="165" xfId="0" applyAlignment="1" applyBorder="1" applyFont="1" applyNumberFormat="1">
      <alignment vertical="bottom"/>
    </xf>
    <xf borderId="7" fillId="0" fontId="3" numFmtId="0" xfId="0" applyAlignment="1" applyBorder="1" applyFont="1">
      <alignment horizontal="right" vertical="bottom"/>
    </xf>
    <xf borderId="7" fillId="5" fontId="3" numFmtId="0" xfId="0" applyAlignment="1" applyBorder="1" applyFont="1">
      <alignment vertical="bottom"/>
    </xf>
    <xf borderId="7" fillId="5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60.0"/>
    <col customWidth="1" min="3" max="3" width="3.25"/>
    <col customWidth="1" min="4" max="4" width="53.25"/>
    <col customWidth="1" min="5" max="5" width="3.0"/>
    <col customWidth="1" min="6" max="6" width="51.5"/>
    <col customWidth="1" min="7" max="7" width="4.5"/>
    <col customWidth="1" min="8" max="8" width="23.5"/>
    <col customWidth="1" min="9" max="9" width="4.5"/>
    <col customWidth="1" min="10" max="10" width="41.0"/>
  </cols>
  <sheetData>
    <row r="1" ht="15.75" customHeight="1">
      <c r="A1" s="1" t="s">
        <v>0</v>
      </c>
      <c r="B1" s="2"/>
      <c r="C1" s="3"/>
      <c r="D1" s="4" t="s">
        <v>1</v>
      </c>
      <c r="F1" s="4" t="s">
        <v>2</v>
      </c>
      <c r="H1" s="5" t="s">
        <v>3</v>
      </c>
      <c r="J1" s="5" t="s">
        <v>4</v>
      </c>
    </row>
    <row r="2" ht="15.75" customHeight="1">
      <c r="A2" s="5" t="s">
        <v>0</v>
      </c>
      <c r="B2" s="5" t="s">
        <v>5</v>
      </c>
      <c r="C2" s="3"/>
      <c r="D2" s="5" t="s">
        <v>6</v>
      </c>
      <c r="F2" s="5" t="s">
        <v>7</v>
      </c>
      <c r="H2" s="5"/>
      <c r="J2" s="5"/>
    </row>
    <row r="3" ht="15.75" customHeight="1">
      <c r="A3" s="6" t="s">
        <v>8</v>
      </c>
      <c r="B3" s="7" t="s">
        <v>9</v>
      </c>
      <c r="D3" s="8">
        <v>240000.0</v>
      </c>
      <c r="F3" s="5" t="s">
        <v>10</v>
      </c>
      <c r="H3" s="9" t="s">
        <v>11</v>
      </c>
      <c r="J3" s="9"/>
    </row>
    <row r="4" ht="15.75" customHeight="1">
      <c r="A4" s="6" t="s">
        <v>12</v>
      </c>
      <c r="B4" s="7" t="s">
        <v>13</v>
      </c>
      <c r="D4" s="10" t="s">
        <v>14</v>
      </c>
      <c r="F4" s="8" t="s">
        <v>15</v>
      </c>
      <c r="H4" s="9" t="s">
        <v>16</v>
      </c>
      <c r="J4" s="11"/>
    </row>
    <row r="5" ht="15.75" customHeight="1">
      <c r="A5" s="6" t="s">
        <v>17</v>
      </c>
      <c r="B5" s="7" t="s">
        <v>18</v>
      </c>
      <c r="D5" s="12" t="s">
        <v>19</v>
      </c>
      <c r="F5" s="13" t="s">
        <v>20</v>
      </c>
      <c r="H5" s="9" t="s">
        <v>21</v>
      </c>
      <c r="J5" s="14"/>
    </row>
    <row r="6" ht="15.75" customHeight="1">
      <c r="A6" s="6"/>
      <c r="B6" s="9"/>
      <c r="D6" s="12" t="s">
        <v>22</v>
      </c>
      <c r="F6" s="12"/>
      <c r="H6" s="9" t="s">
        <v>23</v>
      </c>
      <c r="J6" s="15"/>
    </row>
    <row r="7" ht="15.75" customHeight="1">
      <c r="A7" s="6"/>
      <c r="B7" s="9"/>
      <c r="D7" s="9"/>
      <c r="F7" s="9"/>
      <c r="H7" s="9" t="s">
        <v>24</v>
      </c>
      <c r="J7" s="9"/>
    </row>
    <row r="8" ht="15.75" customHeight="1">
      <c r="A8" s="6"/>
      <c r="B8" s="9"/>
    </row>
    <row r="9">
      <c r="A9" s="6"/>
      <c r="B9" s="9"/>
      <c r="D9" s="5" t="s">
        <v>25</v>
      </c>
      <c r="F9" s="5"/>
      <c r="H9" s="5" t="s">
        <v>26</v>
      </c>
    </row>
    <row r="10" ht="15.75" customHeight="1">
      <c r="B10" s="16" t="s">
        <v>27</v>
      </c>
      <c r="D10" s="9" t="s">
        <v>28</v>
      </c>
      <c r="F10" s="9"/>
      <c r="H10" s="17" t="s">
        <v>29</v>
      </c>
    </row>
    <row r="11" ht="15.75" customHeight="1">
      <c r="B11" s="3" t="s">
        <v>30</v>
      </c>
      <c r="D11" s="10" t="s">
        <v>31</v>
      </c>
      <c r="F11" s="10"/>
      <c r="H11" s="3" t="s">
        <v>32</v>
      </c>
    </row>
    <row r="12" ht="15.75" customHeight="1">
      <c r="D12" s="12" t="s">
        <v>33</v>
      </c>
      <c r="F12" s="12"/>
      <c r="H12" s="3" t="s">
        <v>34</v>
      </c>
    </row>
    <row r="13" ht="15.75" customHeight="1">
      <c r="A13" s="5" t="s">
        <v>0</v>
      </c>
      <c r="B13" s="5" t="s">
        <v>35</v>
      </c>
      <c r="D13" s="12" t="s">
        <v>36</v>
      </c>
    </row>
    <row r="14" ht="15.75" customHeight="1">
      <c r="A14" s="6" t="s">
        <v>8</v>
      </c>
      <c r="B14" s="18" t="s">
        <v>37</v>
      </c>
      <c r="D14" s="13" t="s">
        <v>38</v>
      </c>
    </row>
    <row r="15" ht="15.75" customHeight="1">
      <c r="A15" s="6" t="s">
        <v>12</v>
      </c>
      <c r="B15" s="18" t="s">
        <v>39</v>
      </c>
      <c r="D15" s="13" t="s">
        <v>40</v>
      </c>
    </row>
    <row r="16" ht="15.75" customHeight="1">
      <c r="A16" s="6" t="s">
        <v>17</v>
      </c>
      <c r="B16" s="18"/>
      <c r="D16" s="13"/>
    </row>
    <row r="17" ht="15.75" customHeight="1">
      <c r="A17" s="6"/>
      <c r="B17" s="18"/>
      <c r="D17" s="19"/>
    </row>
    <row r="18" ht="15.75" customHeight="1">
      <c r="A18" s="6"/>
      <c r="B18" s="18"/>
      <c r="D18" s="20" t="s">
        <v>41</v>
      </c>
    </row>
    <row r="19" ht="15.75" customHeight="1">
      <c r="A19" s="6"/>
      <c r="B19" s="13" t="s">
        <v>42</v>
      </c>
      <c r="D19" s="9" t="s">
        <v>43</v>
      </c>
    </row>
    <row r="20" ht="15.75" customHeight="1">
      <c r="A20" s="6"/>
      <c r="D20" s="10" t="s">
        <v>44</v>
      </c>
    </row>
    <row r="21" ht="15.75" customHeight="1">
      <c r="A21" s="6"/>
      <c r="D21" s="12" t="s">
        <v>45</v>
      </c>
    </row>
    <row r="22" ht="15.75" customHeight="1">
      <c r="D22" s="12" t="s">
        <v>46</v>
      </c>
    </row>
    <row r="23" ht="15.75" customHeight="1">
      <c r="D23" s="12" t="s">
        <v>47</v>
      </c>
    </row>
    <row r="24" ht="15.75" customHeight="1">
      <c r="D24" s="13" t="s">
        <v>38</v>
      </c>
    </row>
    <row r="25" ht="15.75" customHeight="1">
      <c r="D25" s="13" t="s">
        <v>40</v>
      </c>
    </row>
    <row r="26" ht="15.75" customHeight="1">
      <c r="D26" s="13"/>
    </row>
    <row r="27" ht="15.75" customHeight="1">
      <c r="D27" s="21"/>
    </row>
    <row r="28" ht="15.75" customHeight="1">
      <c r="D28" s="20" t="s">
        <v>48</v>
      </c>
    </row>
    <row r="29" ht="15.75" customHeight="1">
      <c r="D29" s="9" t="s">
        <v>49</v>
      </c>
    </row>
    <row r="30" ht="15.75" customHeight="1">
      <c r="D30" s="10" t="s">
        <v>50</v>
      </c>
    </row>
    <row r="31" ht="15.75" customHeight="1">
      <c r="C31" s="22"/>
      <c r="D31" s="12" t="s">
        <v>51</v>
      </c>
    </row>
    <row r="32" ht="15.75" customHeight="1">
      <c r="C32" s="22"/>
      <c r="D32" s="12" t="s">
        <v>52</v>
      </c>
    </row>
    <row r="33" ht="15.75" customHeight="1">
      <c r="D33" s="12" t="s">
        <v>53</v>
      </c>
    </row>
    <row r="34" ht="15.75" customHeight="1">
      <c r="D34" s="13" t="s">
        <v>38</v>
      </c>
    </row>
    <row r="35" ht="15.75" customHeight="1">
      <c r="D35" s="13" t="s">
        <v>40</v>
      </c>
    </row>
    <row r="36" ht="15.75" customHeight="1">
      <c r="D36" s="13"/>
    </row>
    <row r="37" ht="15.75" customHeight="1"/>
    <row r="38" ht="15.75" customHeight="1">
      <c r="A38" s="3"/>
      <c r="F38" s="3"/>
    </row>
    <row r="39" ht="15.75" customHeight="1">
      <c r="A39" s="3"/>
      <c r="C39" s="22"/>
      <c r="F39" s="3"/>
    </row>
    <row r="40" ht="15.75" customHeight="1">
      <c r="A40" s="3"/>
      <c r="C40" s="22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  <c r="C46" s="22"/>
    </row>
    <row r="47" ht="15.75" customHeight="1">
      <c r="C47" s="2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C53" s="22"/>
    </row>
    <row r="54" ht="15.75" customHeight="1">
      <c r="C54" s="22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C60" s="22"/>
    </row>
    <row r="61" ht="15.75" customHeight="1">
      <c r="C61" s="22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13"/>
    <col customWidth="1" min="2" max="2" width="11.75"/>
    <col customWidth="1" min="3" max="3" width="12.13"/>
    <col customWidth="1" min="4" max="4" width="10.13"/>
    <col customWidth="1" min="5" max="5" width="12.38"/>
    <col customWidth="1" min="6" max="6" width="12.0"/>
    <col customWidth="1" min="7" max="7" width="13.63"/>
    <col customWidth="1" min="8" max="8" width="2.63"/>
    <col customWidth="1" min="9" max="9" width="16.5"/>
    <col customWidth="1" min="10" max="10" width="15.5"/>
    <col customWidth="1" min="11" max="11" width="17.63"/>
    <col customWidth="1" min="12" max="12" width="10.25"/>
  </cols>
  <sheetData>
    <row r="1">
      <c r="A1" s="23"/>
      <c r="B1" s="24"/>
      <c r="C1" s="25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6"/>
      <c r="B2" s="27"/>
      <c r="D2" s="28" t="s">
        <v>54</v>
      </c>
      <c r="E2" s="28" t="s">
        <v>55</v>
      </c>
      <c r="F2" s="29" t="s">
        <v>56</v>
      </c>
      <c r="G2" s="28"/>
      <c r="H2" s="26"/>
      <c r="I2" s="28" t="s">
        <v>57</v>
      </c>
      <c r="J2" s="28" t="s">
        <v>58</v>
      </c>
      <c r="K2" s="28" t="s">
        <v>59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>
      <c r="A3" s="26"/>
      <c r="B3" s="27"/>
      <c r="C3" s="30" t="s">
        <v>60</v>
      </c>
      <c r="D3" s="31">
        <v>2000.0</v>
      </c>
      <c r="E3" s="32">
        <v>0.02</v>
      </c>
      <c r="F3" s="31">
        <f t="shared" ref="F3:F5" si="1">D3*3</f>
        <v>6000</v>
      </c>
      <c r="G3" s="32"/>
      <c r="H3" s="26"/>
      <c r="I3" s="32">
        <v>0.005</v>
      </c>
      <c r="J3" s="32">
        <v>0.0075</v>
      </c>
      <c r="K3" s="32">
        <v>0.01</v>
      </c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26"/>
      <c r="B4" s="27"/>
      <c r="C4" s="33" t="s">
        <v>61</v>
      </c>
      <c r="D4" s="34">
        <v>3000.0</v>
      </c>
      <c r="E4" s="35">
        <v>0.02</v>
      </c>
      <c r="F4" s="34">
        <f t="shared" si="1"/>
        <v>9000</v>
      </c>
      <c r="G4" s="35"/>
      <c r="H4" s="26"/>
      <c r="I4" s="35">
        <v>0.0075</v>
      </c>
      <c r="J4" s="35">
        <v>0.01</v>
      </c>
      <c r="K4" s="35">
        <v>0.02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26"/>
      <c r="B5" s="27"/>
      <c r="C5" s="36" t="s">
        <v>62</v>
      </c>
      <c r="D5" s="37">
        <v>4000.0</v>
      </c>
      <c r="E5" s="38">
        <v>0.02</v>
      </c>
      <c r="F5" s="37">
        <f t="shared" si="1"/>
        <v>12000</v>
      </c>
      <c r="G5" s="38"/>
      <c r="H5" s="26"/>
      <c r="I5" s="38">
        <v>0.01</v>
      </c>
      <c r="J5" s="38">
        <v>0.02</v>
      </c>
      <c r="K5" s="38">
        <v>0.03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26"/>
      <c r="B6" s="27"/>
      <c r="C6" s="39"/>
      <c r="D6" s="40"/>
      <c r="E6" s="40"/>
      <c r="F6" s="40"/>
      <c r="G6" s="40"/>
      <c r="H6" s="26"/>
      <c r="I6" s="40"/>
      <c r="J6" s="40"/>
      <c r="K6" s="40"/>
      <c r="L6" s="40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26"/>
      <c r="B7" s="41"/>
      <c r="C7" s="42" t="s">
        <v>63</v>
      </c>
      <c r="D7" s="43"/>
      <c r="E7" s="43"/>
      <c r="F7" s="43"/>
      <c r="G7" s="44"/>
      <c r="H7" s="45"/>
      <c r="I7" s="42" t="s">
        <v>64</v>
      </c>
      <c r="J7" s="43"/>
      <c r="K7" s="43"/>
      <c r="L7" s="44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>
      <c r="A8" s="46"/>
      <c r="B8" s="47"/>
      <c r="C8" s="48" t="s">
        <v>65</v>
      </c>
      <c r="D8" s="49" t="s">
        <v>54</v>
      </c>
      <c r="E8" s="49" t="s">
        <v>66</v>
      </c>
      <c r="F8" s="49" t="s">
        <v>67</v>
      </c>
      <c r="G8" s="50" t="s">
        <v>68</v>
      </c>
      <c r="H8" s="51"/>
      <c r="I8" s="48" t="s">
        <v>69</v>
      </c>
      <c r="J8" s="49" t="s">
        <v>70</v>
      </c>
      <c r="K8" s="49" t="s">
        <v>71</v>
      </c>
      <c r="L8" s="50" t="s">
        <v>72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>
      <c r="A9" s="52" t="s">
        <v>73</v>
      </c>
      <c r="B9" s="53" t="s">
        <v>74</v>
      </c>
      <c r="C9" s="31">
        <v>300000.0</v>
      </c>
      <c r="D9" s="31">
        <f>D3</f>
        <v>2000</v>
      </c>
      <c r="E9" s="31">
        <f>C9*E3</f>
        <v>6000</v>
      </c>
      <c r="F9" s="54">
        <f t="shared" ref="F9:F11" si="2">SUM(D9:E9)</f>
        <v>8000</v>
      </c>
      <c r="G9" s="55">
        <f t="shared" ref="G9:G11" si="3">F9*3</f>
        <v>24000</v>
      </c>
      <c r="H9" s="51"/>
      <c r="I9" s="31">
        <f t="shared" ref="I9:I11" si="4">C9*3</f>
        <v>900000</v>
      </c>
      <c r="J9" s="54">
        <f>I9*I3</f>
        <v>4500</v>
      </c>
      <c r="K9" s="54">
        <f t="shared" ref="K9:K11" si="5">J9+G9</f>
        <v>28500</v>
      </c>
      <c r="L9" s="55">
        <f t="shared" ref="L9:L11" si="6">K9/3</f>
        <v>9500</v>
      </c>
      <c r="M9" s="26"/>
      <c r="N9" s="4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>
      <c r="A10" s="56"/>
      <c r="B10" s="53" t="s">
        <v>75</v>
      </c>
      <c r="C10" s="31">
        <v>480000.0</v>
      </c>
      <c r="D10" s="31">
        <f>D3</f>
        <v>2000</v>
      </c>
      <c r="E10" s="31">
        <f>E3*C10</f>
        <v>9600</v>
      </c>
      <c r="F10" s="54">
        <f t="shared" si="2"/>
        <v>11600</v>
      </c>
      <c r="G10" s="55">
        <f t="shared" si="3"/>
        <v>34800</v>
      </c>
      <c r="H10" s="51"/>
      <c r="I10" s="31">
        <f t="shared" si="4"/>
        <v>1440000</v>
      </c>
      <c r="J10" s="54">
        <f>I10*J3</f>
        <v>10800</v>
      </c>
      <c r="K10" s="54">
        <f t="shared" si="5"/>
        <v>45600</v>
      </c>
      <c r="L10" s="55">
        <f t="shared" si="6"/>
        <v>15200</v>
      </c>
      <c r="M10" s="26"/>
      <c r="N10" s="4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57"/>
      <c r="B11" s="53" t="s">
        <v>76</v>
      </c>
      <c r="C11" s="31">
        <v>660000.0</v>
      </c>
      <c r="D11" s="31">
        <f>D3</f>
        <v>2000</v>
      </c>
      <c r="E11" s="31">
        <f>E3*C11</f>
        <v>13200</v>
      </c>
      <c r="F11" s="54">
        <f t="shared" si="2"/>
        <v>15200</v>
      </c>
      <c r="G11" s="55">
        <f t="shared" si="3"/>
        <v>45600</v>
      </c>
      <c r="H11" s="51"/>
      <c r="I11" s="31">
        <f t="shared" si="4"/>
        <v>1980000</v>
      </c>
      <c r="J11" s="54">
        <f>I11*K3</f>
        <v>19800</v>
      </c>
      <c r="K11" s="54">
        <f t="shared" si="5"/>
        <v>65400</v>
      </c>
      <c r="L11" s="55">
        <f t="shared" si="6"/>
        <v>21800</v>
      </c>
      <c r="M11" s="26"/>
      <c r="N11" s="4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ht="9.0" customHeight="1">
      <c r="A12" s="58"/>
      <c r="B12" s="59"/>
      <c r="C12" s="60"/>
      <c r="D12" s="61"/>
      <c r="E12" s="61"/>
      <c r="F12" s="61"/>
      <c r="G12" s="62"/>
      <c r="H12" s="51"/>
      <c r="I12" s="60"/>
      <c r="J12" s="61"/>
      <c r="K12" s="61"/>
      <c r="L12" s="62"/>
      <c r="M12" s="26"/>
      <c r="N12" s="4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63" t="s">
        <v>77</v>
      </c>
      <c r="B13" s="64" t="s">
        <v>74</v>
      </c>
      <c r="C13" s="34">
        <v>300000.0</v>
      </c>
      <c r="D13" s="34">
        <f>D4</f>
        <v>3000</v>
      </c>
      <c r="E13" s="34">
        <f>E4*C13</f>
        <v>6000</v>
      </c>
      <c r="F13" s="65">
        <f t="shared" ref="F13:F15" si="7">sum(D13:E13)</f>
        <v>9000</v>
      </c>
      <c r="G13" s="66">
        <f t="shared" ref="G13:G15" si="8">F13*3</f>
        <v>27000</v>
      </c>
      <c r="H13" s="51"/>
      <c r="I13" s="34">
        <f t="shared" ref="I13:I15" si="9">C13*3</f>
        <v>900000</v>
      </c>
      <c r="J13" s="65">
        <f>I13*I4</f>
        <v>6750</v>
      </c>
      <c r="K13" s="65">
        <f t="shared" ref="K13:K15" si="10">J13+G13</f>
        <v>33750</v>
      </c>
      <c r="L13" s="66">
        <f t="shared" ref="L13:L15" si="11">K13/3</f>
        <v>11250</v>
      </c>
      <c r="M13" s="26"/>
      <c r="N13" s="4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56"/>
      <c r="B14" s="64" t="s">
        <v>75</v>
      </c>
      <c r="C14" s="34">
        <v>480000.0</v>
      </c>
      <c r="D14" s="34">
        <f>D4</f>
        <v>3000</v>
      </c>
      <c r="E14" s="34">
        <f>E4*C14</f>
        <v>9600</v>
      </c>
      <c r="F14" s="65">
        <f t="shared" si="7"/>
        <v>12600</v>
      </c>
      <c r="G14" s="66">
        <f t="shared" si="8"/>
        <v>37800</v>
      </c>
      <c r="H14" s="51"/>
      <c r="I14" s="34">
        <f t="shared" si="9"/>
        <v>1440000</v>
      </c>
      <c r="J14" s="65">
        <f>I14*J4</f>
        <v>14400</v>
      </c>
      <c r="K14" s="65">
        <f t="shared" si="10"/>
        <v>52200</v>
      </c>
      <c r="L14" s="66">
        <f t="shared" si="11"/>
        <v>17400</v>
      </c>
      <c r="M14" s="26"/>
      <c r="N14" s="4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>
      <c r="A15" s="57"/>
      <c r="B15" s="64" t="s">
        <v>76</v>
      </c>
      <c r="C15" s="34">
        <v>660000.0</v>
      </c>
      <c r="D15" s="34">
        <f>D4</f>
        <v>3000</v>
      </c>
      <c r="E15" s="34">
        <f>E4*C15</f>
        <v>13200</v>
      </c>
      <c r="F15" s="65">
        <f t="shared" si="7"/>
        <v>16200</v>
      </c>
      <c r="G15" s="66">
        <f t="shared" si="8"/>
        <v>48600</v>
      </c>
      <c r="H15" s="51"/>
      <c r="I15" s="34">
        <f t="shared" si="9"/>
        <v>1980000</v>
      </c>
      <c r="J15" s="65">
        <f>I15*K4</f>
        <v>39600</v>
      </c>
      <c r="K15" s="65">
        <f t="shared" si="10"/>
        <v>88200</v>
      </c>
      <c r="L15" s="66">
        <f t="shared" si="11"/>
        <v>29400</v>
      </c>
      <c r="M15" s="26"/>
      <c r="N15" s="4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ht="9.0" customHeight="1">
      <c r="A16" s="58"/>
      <c r="B16" s="59"/>
      <c r="C16" s="60"/>
      <c r="D16" s="61"/>
      <c r="E16" s="61"/>
      <c r="F16" s="61"/>
      <c r="G16" s="62"/>
      <c r="H16" s="51"/>
      <c r="I16" s="60"/>
      <c r="J16" s="61"/>
      <c r="K16" s="61"/>
      <c r="L16" s="62"/>
      <c r="M16" s="26"/>
      <c r="N16" s="4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67" t="s">
        <v>78</v>
      </c>
      <c r="B17" s="68" t="s">
        <v>74</v>
      </c>
      <c r="C17" s="37">
        <v>300000.0</v>
      </c>
      <c r="D17" s="37">
        <f>D5</f>
        <v>4000</v>
      </c>
      <c r="E17" s="37">
        <f>E5*C17</f>
        <v>6000</v>
      </c>
      <c r="F17" s="69">
        <f t="shared" ref="F17:F19" si="12">sum(D17:E17)</f>
        <v>10000</v>
      </c>
      <c r="G17" s="70">
        <f t="shared" ref="G17:G19" si="13">F17*3</f>
        <v>30000</v>
      </c>
      <c r="H17" s="51"/>
      <c r="I17" s="37">
        <f t="shared" ref="I17:I19" si="14">C17*3</f>
        <v>900000</v>
      </c>
      <c r="J17" s="69">
        <f>I17*I5</f>
        <v>9000</v>
      </c>
      <c r="K17" s="69">
        <f t="shared" ref="K17:K19" si="15">J17+G17</f>
        <v>39000</v>
      </c>
      <c r="L17" s="70">
        <f t="shared" ref="L17:L19" si="16">K17/3</f>
        <v>13000</v>
      </c>
      <c r="M17" s="26"/>
      <c r="N17" s="4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>
      <c r="A18" s="56"/>
      <c r="B18" s="68" t="s">
        <v>75</v>
      </c>
      <c r="C18" s="37">
        <v>480000.0</v>
      </c>
      <c r="D18" s="37">
        <f>D5</f>
        <v>4000</v>
      </c>
      <c r="E18" s="37">
        <f>E5*C18</f>
        <v>9600</v>
      </c>
      <c r="F18" s="69">
        <f t="shared" si="12"/>
        <v>13600</v>
      </c>
      <c r="G18" s="70">
        <f t="shared" si="13"/>
        <v>40800</v>
      </c>
      <c r="H18" s="51"/>
      <c r="I18" s="37">
        <f t="shared" si="14"/>
        <v>1440000</v>
      </c>
      <c r="J18" s="69">
        <f>I18*J5</f>
        <v>28800</v>
      </c>
      <c r="K18" s="69">
        <f t="shared" si="15"/>
        <v>69600</v>
      </c>
      <c r="L18" s="70">
        <f t="shared" si="16"/>
        <v>23200</v>
      </c>
      <c r="M18" s="71"/>
      <c r="N18" s="4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>
      <c r="A19" s="57"/>
      <c r="B19" s="68" t="s">
        <v>76</v>
      </c>
      <c r="C19" s="37">
        <v>660000.0</v>
      </c>
      <c r="D19" s="37">
        <f>D5</f>
        <v>4000</v>
      </c>
      <c r="E19" s="37">
        <f>E5*C19</f>
        <v>13200</v>
      </c>
      <c r="F19" s="69">
        <f t="shared" si="12"/>
        <v>17200</v>
      </c>
      <c r="G19" s="70">
        <f t="shared" si="13"/>
        <v>51600</v>
      </c>
      <c r="H19" s="51"/>
      <c r="I19" s="37">
        <f t="shared" si="14"/>
        <v>1980000</v>
      </c>
      <c r="J19" s="69">
        <f>I19*K5</f>
        <v>59400</v>
      </c>
      <c r="K19" s="69">
        <f t="shared" si="15"/>
        <v>111000</v>
      </c>
      <c r="L19" s="70">
        <f t="shared" si="16"/>
        <v>37000</v>
      </c>
      <c r="M19" s="71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ht="9.0" customHeight="1">
      <c r="A20" s="58"/>
      <c r="B20" s="41"/>
      <c r="C20" s="60"/>
      <c r="D20" s="61"/>
      <c r="E20" s="61"/>
      <c r="F20" s="61"/>
      <c r="G20" s="62"/>
      <c r="H20" s="51"/>
      <c r="I20" s="60"/>
      <c r="J20" s="61"/>
      <c r="K20" s="61"/>
      <c r="L20" s="62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ht="15.75" customHeight="1">
      <c r="A21" s="26"/>
      <c r="B21" s="27"/>
      <c r="C21" s="72"/>
      <c r="D21" s="26"/>
      <c r="E21" s="26"/>
      <c r="F21" s="26"/>
      <c r="G21" s="26"/>
      <c r="H21" s="73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ht="15.75" customHeight="1">
      <c r="A22" s="26"/>
      <c r="B22" s="27"/>
      <c r="C22" s="72"/>
      <c r="D22" s="26"/>
      <c r="E22" s="26"/>
      <c r="F22" s="74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ht="15.75" customHeight="1">
      <c r="A23" s="74"/>
      <c r="B23" s="27"/>
      <c r="C23" s="72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ht="15.75" customHeight="1">
      <c r="A24" s="74"/>
      <c r="B24" s="27"/>
      <c r="C24" s="72"/>
      <c r="D24" s="74"/>
      <c r="E24" s="74"/>
      <c r="F24" s="74"/>
      <c r="G24" s="74"/>
      <c r="H24" s="75"/>
      <c r="I24" s="75"/>
      <c r="J24" s="75"/>
      <c r="K24" s="75"/>
      <c r="L24" s="75"/>
      <c r="M24" s="7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ht="15.75" customHeight="1">
      <c r="A25" s="74"/>
      <c r="B25" s="27"/>
      <c r="C25" s="72"/>
      <c r="D25" s="74"/>
      <c r="E25" s="74"/>
      <c r="F25" s="74"/>
      <c r="G25" s="74"/>
      <c r="H25" s="75"/>
      <c r="I25" s="75"/>
      <c r="J25" s="75"/>
      <c r="K25" s="75"/>
      <c r="L25" s="75"/>
      <c r="M25" s="7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ht="15.75" customHeight="1">
      <c r="A26" s="74"/>
      <c r="B26" s="27"/>
      <c r="C26" s="72"/>
      <c r="D26" s="74"/>
      <c r="E26" s="74"/>
      <c r="F26" s="74"/>
      <c r="G26" s="74"/>
      <c r="H26" s="75"/>
      <c r="I26" s="75"/>
      <c r="J26" s="75"/>
      <c r="K26" s="75"/>
      <c r="L26" s="75"/>
      <c r="M26" s="7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ht="15.75" customHeight="1">
      <c r="A27" s="74"/>
      <c r="B27" s="27"/>
      <c r="C27" s="72"/>
      <c r="D27" s="74"/>
      <c r="E27" s="74"/>
      <c r="F27" s="74"/>
      <c r="G27" s="74"/>
      <c r="H27" s="75"/>
      <c r="I27" s="75"/>
      <c r="J27" s="75"/>
      <c r="K27" s="75"/>
      <c r="L27" s="75"/>
      <c r="M27" s="7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ht="15.75" customHeight="1">
      <c r="A28" s="74"/>
      <c r="B28" s="27"/>
      <c r="C28" s="72"/>
      <c r="D28" s="74"/>
      <c r="E28" s="74"/>
      <c r="F28" s="74"/>
      <c r="G28" s="74"/>
      <c r="H28" s="75"/>
      <c r="I28" s="75"/>
      <c r="J28" s="75"/>
      <c r="K28" s="75"/>
      <c r="L28" s="75"/>
      <c r="M28" s="7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ht="15.75" customHeight="1">
      <c r="A29" s="74"/>
      <c r="B29" s="27"/>
      <c r="C29" s="72"/>
      <c r="D29" s="74"/>
      <c r="E29" s="74"/>
      <c r="F29" s="74"/>
      <c r="G29" s="74"/>
      <c r="H29" s="75"/>
      <c r="I29" s="75"/>
      <c r="J29" s="75"/>
      <c r="K29" s="75"/>
      <c r="L29" s="75"/>
      <c r="M29" s="7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ht="15.75" customHeight="1">
      <c r="A30" s="74"/>
      <c r="B30" s="27"/>
      <c r="C30" s="72"/>
      <c r="D30" s="74"/>
      <c r="E30" s="75"/>
      <c r="F30" s="74"/>
      <c r="G30" s="75"/>
      <c r="H30" s="75"/>
      <c r="I30" s="75"/>
      <c r="J30" s="75"/>
      <c r="K30" s="75"/>
      <c r="L30" s="75"/>
      <c r="M30" s="7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ht="15.75" customHeight="1">
      <c r="A31" s="74"/>
      <c r="B31" s="27"/>
      <c r="C31" s="72"/>
      <c r="D31" s="74"/>
      <c r="E31" s="75"/>
      <c r="F31" s="74"/>
      <c r="G31" s="75"/>
      <c r="H31" s="75"/>
      <c r="I31" s="75"/>
      <c r="J31" s="75"/>
      <c r="K31" s="75"/>
      <c r="L31" s="75"/>
      <c r="M31" s="7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ht="15.75" customHeight="1">
      <c r="A32" s="74"/>
      <c r="B32" s="27"/>
      <c r="C32" s="72"/>
      <c r="D32" s="74"/>
      <c r="E32" s="75"/>
      <c r="F32" s="75"/>
      <c r="G32" s="75"/>
      <c r="H32" s="75"/>
      <c r="I32" s="75"/>
      <c r="J32" s="75"/>
      <c r="K32" s="75"/>
      <c r="L32" s="75"/>
      <c r="M32" s="75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ht="15.75" customHeight="1">
      <c r="A33" s="74"/>
      <c r="B33" s="27"/>
      <c r="C33" s="72"/>
      <c r="D33" s="74"/>
      <c r="E33" s="75"/>
      <c r="F33" s="75"/>
      <c r="G33" s="75"/>
      <c r="H33" s="75"/>
      <c r="I33" s="75"/>
      <c r="J33" s="75"/>
      <c r="K33" s="75"/>
      <c r="L33" s="75"/>
      <c r="M33" s="75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ht="15.75" customHeight="1">
      <c r="A34" s="74"/>
      <c r="B34" s="27"/>
      <c r="C34" s="72"/>
      <c r="D34" s="74"/>
      <c r="E34" s="75"/>
      <c r="F34" s="75"/>
      <c r="G34" s="75"/>
      <c r="H34" s="75"/>
      <c r="I34" s="75"/>
      <c r="J34" s="75"/>
      <c r="K34" s="75"/>
      <c r="L34" s="75"/>
      <c r="M34" s="75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ht="15.75" customHeight="1">
      <c r="A35" s="74"/>
      <c r="B35" s="27"/>
      <c r="C35" s="72"/>
      <c r="D35" s="74"/>
      <c r="E35" s="75"/>
      <c r="F35" s="75"/>
      <c r="G35" s="75"/>
      <c r="H35" s="75"/>
      <c r="I35" s="75"/>
      <c r="J35" s="75"/>
      <c r="K35" s="75"/>
      <c r="L35" s="75"/>
      <c r="M35" s="75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ht="15.75" customHeight="1">
      <c r="A36" s="74"/>
      <c r="B36" s="27"/>
      <c r="C36" s="72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ht="15.75" customHeight="1">
      <c r="A37" s="74"/>
      <c r="B37" s="27"/>
      <c r="C37" s="72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ht="15.75" customHeight="1">
      <c r="A38" s="74"/>
      <c r="B38" s="27"/>
      <c r="C38" s="72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ht="15.75" customHeight="1">
      <c r="A39" s="26"/>
      <c r="B39" s="27"/>
      <c r="C39" s="72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ht="15.75" customHeight="1">
      <c r="A40" s="26"/>
      <c r="B40" s="27"/>
      <c r="C40" s="72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ht="15.75" customHeight="1">
      <c r="A41" s="26"/>
      <c r="B41" s="27"/>
      <c r="C41" s="72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ht="15.75" customHeight="1">
      <c r="A42" s="26"/>
      <c r="B42" s="27"/>
      <c r="C42" s="72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ht="15.75" customHeight="1">
      <c r="A43" s="26"/>
      <c r="B43" s="27"/>
      <c r="C43" s="72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ht="15.75" customHeight="1">
      <c r="A44" s="26"/>
      <c r="B44" s="27"/>
      <c r="C44" s="72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ht="15.75" customHeight="1">
      <c r="A45" s="26"/>
      <c r="B45" s="27"/>
      <c r="C45" s="72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ht="15.75" customHeight="1">
      <c r="A46" s="26"/>
      <c r="B46" s="27"/>
      <c r="C46" s="72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ht="15.75" customHeight="1">
      <c r="A47" s="26"/>
      <c r="B47" s="27"/>
      <c r="C47" s="72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ht="15.75" customHeight="1">
      <c r="A48" s="26"/>
      <c r="B48" s="27"/>
      <c r="C48" s="72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ht="15.75" customHeight="1">
      <c r="A49" s="26"/>
      <c r="B49" s="27"/>
      <c r="C49" s="72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ht="15.75" customHeight="1">
      <c r="A50" s="26"/>
      <c r="B50" s="27"/>
      <c r="C50" s="72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ht="15.75" customHeight="1">
      <c r="A51" s="26"/>
      <c r="B51" s="27"/>
      <c r="C51" s="72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ht="15.75" customHeight="1">
      <c r="A52" s="26"/>
      <c r="B52" s="27"/>
      <c r="C52" s="72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ht="15.75" customHeight="1">
      <c r="A53" s="26"/>
      <c r="B53" s="27"/>
      <c r="C53" s="72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ht="15.75" customHeight="1">
      <c r="A54" s="26"/>
      <c r="B54" s="27"/>
      <c r="C54" s="72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ht="15.75" customHeight="1">
      <c r="A55" s="26"/>
      <c r="B55" s="27"/>
      <c r="C55" s="72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ht="15.75" customHeight="1">
      <c r="A56" s="26"/>
      <c r="B56" s="27"/>
      <c r="C56" s="72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ht="15.75" customHeight="1">
      <c r="A57" s="26"/>
      <c r="B57" s="27"/>
      <c r="C57" s="72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ht="15.75" customHeight="1">
      <c r="A58" s="26"/>
      <c r="B58" s="27"/>
      <c r="C58" s="72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ht="15.75" customHeight="1">
      <c r="A59" s="26"/>
      <c r="B59" s="27"/>
      <c r="C59" s="72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ht="15.75" customHeight="1">
      <c r="A60" s="26"/>
      <c r="B60" s="27"/>
      <c r="C60" s="72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ht="15.75" customHeight="1">
      <c r="A61" s="26"/>
      <c r="B61" s="27"/>
      <c r="C61" s="72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ht="15.75" customHeight="1">
      <c r="A62" s="26"/>
      <c r="B62" s="27"/>
      <c r="C62" s="72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ht="15.75" customHeight="1">
      <c r="A63" s="26"/>
      <c r="B63" s="27"/>
      <c r="C63" s="72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ht="15.75" customHeight="1">
      <c r="A64" s="26"/>
      <c r="B64" s="27"/>
      <c r="C64" s="72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ht="15.75" customHeight="1">
      <c r="A65" s="26"/>
      <c r="B65" s="27"/>
      <c r="C65" s="72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ht="15.75" customHeight="1">
      <c r="A66" s="26"/>
      <c r="B66" s="27"/>
      <c r="C66" s="72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ht="15.75" customHeight="1">
      <c r="A67" s="26"/>
      <c r="B67" s="27"/>
      <c r="C67" s="72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ht="15.75" customHeight="1">
      <c r="A68" s="26"/>
      <c r="B68" s="27"/>
      <c r="C68" s="72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ht="15.75" customHeight="1">
      <c r="A69" s="26"/>
      <c r="B69" s="27"/>
      <c r="C69" s="72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ht="15.75" customHeight="1">
      <c r="A70" s="26"/>
      <c r="B70" s="27"/>
      <c r="C70" s="72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ht="15.75" customHeight="1">
      <c r="A71" s="26"/>
      <c r="B71" s="27"/>
      <c r="C71" s="72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ht="15.75" customHeight="1">
      <c r="A72" s="26"/>
      <c r="B72" s="27"/>
      <c r="C72" s="72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ht="15.75" customHeight="1">
      <c r="A73" s="26"/>
      <c r="B73" s="27"/>
      <c r="C73" s="72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ht="15.75" customHeight="1">
      <c r="A74" s="26"/>
      <c r="B74" s="27"/>
      <c r="C74" s="72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ht="15.75" customHeight="1">
      <c r="A75" s="26"/>
      <c r="B75" s="27"/>
      <c r="C75" s="72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ht="15.75" customHeight="1">
      <c r="A76" s="26"/>
      <c r="B76" s="27"/>
      <c r="C76" s="72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ht="15.75" customHeight="1">
      <c r="A77" s="26"/>
      <c r="B77" s="27"/>
      <c r="C77" s="72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ht="15.75" customHeight="1">
      <c r="A78" s="26"/>
      <c r="B78" s="27"/>
      <c r="C78" s="72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ht="15.75" customHeight="1">
      <c r="A79" s="26"/>
      <c r="B79" s="27"/>
      <c r="C79" s="72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ht="15.75" customHeight="1">
      <c r="A80" s="26"/>
      <c r="B80" s="27"/>
      <c r="C80" s="72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ht="15.75" customHeight="1">
      <c r="A81" s="26"/>
      <c r="B81" s="27"/>
      <c r="C81" s="72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ht="15.75" customHeight="1">
      <c r="A82" s="26"/>
      <c r="B82" s="27"/>
      <c r="C82" s="72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ht="15.75" customHeight="1">
      <c r="A83" s="26"/>
      <c r="B83" s="27"/>
      <c r="C83" s="72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ht="15.75" customHeight="1">
      <c r="A84" s="26"/>
      <c r="B84" s="27"/>
      <c r="C84" s="72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ht="15.75" customHeight="1">
      <c r="A85" s="26"/>
      <c r="B85" s="27"/>
      <c r="C85" s="72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ht="15.75" customHeight="1">
      <c r="A86" s="26"/>
      <c r="B86" s="27"/>
      <c r="C86" s="72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ht="15.75" customHeight="1">
      <c r="A87" s="26"/>
      <c r="B87" s="27"/>
      <c r="C87" s="72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ht="15.75" customHeight="1">
      <c r="A88" s="26"/>
      <c r="B88" s="27"/>
      <c r="C88" s="72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ht="15.75" customHeight="1">
      <c r="A89" s="26"/>
      <c r="B89" s="27"/>
      <c r="C89" s="72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ht="15.75" customHeight="1">
      <c r="A90" s="26"/>
      <c r="B90" s="27"/>
      <c r="C90" s="72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ht="15.75" customHeight="1">
      <c r="A91" s="26"/>
      <c r="B91" s="27"/>
      <c r="C91" s="72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ht="15.75" customHeight="1">
      <c r="A92" s="26"/>
      <c r="B92" s="27"/>
      <c r="C92" s="72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ht="15.75" customHeight="1">
      <c r="A93" s="26"/>
      <c r="B93" s="27"/>
      <c r="C93" s="72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ht="15.75" customHeight="1">
      <c r="A94" s="26"/>
      <c r="B94" s="27"/>
      <c r="C94" s="72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ht="15.75" customHeight="1">
      <c r="A95" s="26"/>
      <c r="B95" s="27"/>
      <c r="C95" s="72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ht="15.75" customHeight="1">
      <c r="A96" s="26"/>
      <c r="B96" s="27"/>
      <c r="C96" s="72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ht="15.75" customHeight="1">
      <c r="A97" s="26"/>
      <c r="B97" s="27"/>
      <c r="C97" s="72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ht="15.75" customHeight="1">
      <c r="A98" s="26"/>
      <c r="B98" s="27"/>
      <c r="C98" s="72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ht="15.75" customHeight="1">
      <c r="A99" s="26"/>
      <c r="B99" s="27"/>
      <c r="C99" s="72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ht="15.75" customHeight="1">
      <c r="A100" s="26"/>
      <c r="B100" s="27"/>
      <c r="C100" s="72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ht="15.75" customHeight="1">
      <c r="A101" s="26"/>
      <c r="B101" s="27"/>
      <c r="C101" s="72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ht="15.75" customHeight="1">
      <c r="A102" s="26"/>
      <c r="B102" s="27"/>
      <c r="C102" s="72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ht="15.75" customHeight="1">
      <c r="A103" s="26"/>
      <c r="B103" s="27"/>
      <c r="C103" s="72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ht="15.75" customHeight="1">
      <c r="A104" s="26"/>
      <c r="B104" s="27"/>
      <c r="C104" s="72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ht="15.75" customHeight="1">
      <c r="A105" s="26"/>
      <c r="B105" s="27"/>
      <c r="C105" s="72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ht="15.75" customHeight="1">
      <c r="A106" s="26"/>
      <c r="B106" s="27"/>
      <c r="C106" s="72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ht="15.75" customHeight="1">
      <c r="A107" s="26"/>
      <c r="B107" s="27"/>
      <c r="C107" s="72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ht="15.75" customHeight="1">
      <c r="A108" s="26"/>
      <c r="B108" s="27"/>
      <c r="C108" s="72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ht="15.75" customHeight="1">
      <c r="A109" s="26"/>
      <c r="B109" s="27"/>
      <c r="C109" s="72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ht="15.75" customHeight="1">
      <c r="A110" s="26"/>
      <c r="B110" s="27"/>
      <c r="C110" s="72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ht="15.75" customHeight="1">
      <c r="A111" s="26"/>
      <c r="B111" s="27"/>
      <c r="C111" s="72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ht="15.75" customHeight="1">
      <c r="A112" s="26"/>
      <c r="B112" s="27"/>
      <c r="C112" s="72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ht="15.75" customHeight="1">
      <c r="A113" s="26"/>
      <c r="B113" s="27"/>
      <c r="C113" s="72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ht="15.75" customHeight="1">
      <c r="A114" s="26"/>
      <c r="B114" s="27"/>
      <c r="C114" s="72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ht="15.75" customHeight="1">
      <c r="A115" s="26"/>
      <c r="B115" s="27"/>
      <c r="C115" s="72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ht="15.75" customHeight="1">
      <c r="A116" s="26"/>
      <c r="B116" s="27"/>
      <c r="C116" s="72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ht="15.75" customHeight="1">
      <c r="A117" s="26"/>
      <c r="B117" s="27"/>
      <c r="C117" s="72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ht="15.75" customHeight="1">
      <c r="A118" s="26"/>
      <c r="B118" s="27"/>
      <c r="C118" s="7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ht="15.75" customHeight="1">
      <c r="A119" s="26"/>
      <c r="B119" s="27"/>
      <c r="C119" s="72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ht="15.75" customHeight="1">
      <c r="A120" s="26"/>
      <c r="B120" s="27"/>
      <c r="C120" s="72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ht="15.75" customHeight="1">
      <c r="A121" s="26"/>
      <c r="B121" s="27"/>
      <c r="C121" s="72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ht="15.75" customHeight="1">
      <c r="A122" s="26"/>
      <c r="B122" s="27"/>
      <c r="C122" s="72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ht="15.75" customHeight="1">
      <c r="A123" s="26"/>
      <c r="B123" s="27"/>
      <c r="C123" s="72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ht="15.75" customHeight="1">
      <c r="A124" s="26"/>
      <c r="B124" s="27"/>
      <c r="C124" s="72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ht="15.75" customHeight="1">
      <c r="A125" s="26"/>
      <c r="B125" s="27"/>
      <c r="C125" s="72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ht="15.75" customHeight="1">
      <c r="A126" s="26"/>
      <c r="B126" s="27"/>
      <c r="C126" s="72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ht="15.75" customHeight="1">
      <c r="A127" s="26"/>
      <c r="B127" s="27"/>
      <c r="C127" s="72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ht="15.75" customHeight="1">
      <c r="A128" s="26"/>
      <c r="B128" s="27"/>
      <c r="C128" s="72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ht="15.75" customHeight="1">
      <c r="A129" s="26"/>
      <c r="B129" s="27"/>
      <c r="C129" s="72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ht="15.75" customHeight="1">
      <c r="A130" s="26"/>
      <c r="B130" s="27"/>
      <c r="C130" s="72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ht="15.75" customHeight="1">
      <c r="A131" s="26"/>
      <c r="B131" s="27"/>
      <c r="C131" s="72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ht="15.75" customHeight="1">
      <c r="A132" s="26"/>
      <c r="B132" s="27"/>
      <c r="C132" s="72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ht="15.75" customHeight="1">
      <c r="A133" s="26"/>
      <c r="B133" s="27"/>
      <c r="C133" s="72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ht="15.75" customHeight="1">
      <c r="A134" s="26"/>
      <c r="B134" s="27"/>
      <c r="C134" s="72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ht="15.75" customHeight="1">
      <c r="A135" s="26"/>
      <c r="B135" s="27"/>
      <c r="C135" s="72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ht="15.75" customHeight="1">
      <c r="A136" s="26"/>
      <c r="B136" s="27"/>
      <c r="C136" s="72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ht="15.75" customHeight="1">
      <c r="A137" s="26"/>
      <c r="B137" s="27"/>
      <c r="C137" s="72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ht="15.75" customHeight="1">
      <c r="A138" s="26"/>
      <c r="B138" s="27"/>
      <c r="C138" s="72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ht="15.75" customHeight="1">
      <c r="A139" s="26"/>
      <c r="B139" s="27"/>
      <c r="C139" s="72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ht="15.75" customHeight="1">
      <c r="A140" s="26"/>
      <c r="B140" s="27"/>
      <c r="C140" s="72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ht="15.75" customHeight="1">
      <c r="A141" s="26"/>
      <c r="B141" s="27"/>
      <c r="C141" s="72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ht="15.75" customHeight="1">
      <c r="A142" s="26"/>
      <c r="B142" s="27"/>
      <c r="C142" s="72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ht="15.75" customHeight="1">
      <c r="A143" s="26"/>
      <c r="B143" s="27"/>
      <c r="C143" s="72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ht="15.75" customHeight="1">
      <c r="A144" s="26"/>
      <c r="B144" s="27"/>
      <c r="C144" s="72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ht="15.75" customHeight="1">
      <c r="A145" s="26"/>
      <c r="B145" s="27"/>
      <c r="C145" s="72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ht="15.75" customHeight="1">
      <c r="A146" s="26"/>
      <c r="B146" s="27"/>
      <c r="C146" s="72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ht="15.75" customHeight="1">
      <c r="A147" s="26"/>
      <c r="B147" s="27"/>
      <c r="C147" s="72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ht="15.75" customHeight="1">
      <c r="A148" s="26"/>
      <c r="B148" s="27"/>
      <c r="C148" s="72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ht="15.75" customHeight="1">
      <c r="A149" s="26"/>
      <c r="B149" s="27"/>
      <c r="C149" s="72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ht="15.75" customHeight="1">
      <c r="A150" s="26"/>
      <c r="B150" s="27"/>
      <c r="C150" s="72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ht="15.75" customHeight="1">
      <c r="A151" s="26"/>
      <c r="B151" s="27"/>
      <c r="C151" s="72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ht="15.75" customHeight="1">
      <c r="A152" s="26"/>
      <c r="B152" s="27"/>
      <c r="C152" s="72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ht="15.75" customHeight="1">
      <c r="A153" s="26"/>
      <c r="B153" s="27"/>
      <c r="C153" s="72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ht="15.75" customHeight="1">
      <c r="A154" s="26"/>
      <c r="B154" s="27"/>
      <c r="C154" s="72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ht="15.75" customHeight="1">
      <c r="A155" s="26"/>
      <c r="B155" s="27"/>
      <c r="C155" s="72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ht="15.75" customHeight="1">
      <c r="A156" s="26"/>
      <c r="B156" s="27"/>
      <c r="C156" s="72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ht="15.75" customHeight="1">
      <c r="A157" s="26"/>
      <c r="B157" s="27"/>
      <c r="C157" s="72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ht="15.75" customHeight="1">
      <c r="A158" s="26"/>
      <c r="B158" s="27"/>
      <c r="C158" s="72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ht="15.75" customHeight="1">
      <c r="A159" s="26"/>
      <c r="B159" s="27"/>
      <c r="C159" s="72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ht="15.75" customHeight="1">
      <c r="A160" s="26"/>
      <c r="B160" s="27"/>
      <c r="C160" s="72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ht="15.75" customHeight="1">
      <c r="A161" s="26"/>
      <c r="B161" s="27"/>
      <c r="C161" s="72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ht="15.75" customHeight="1">
      <c r="A162" s="26"/>
      <c r="B162" s="27"/>
      <c r="C162" s="72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ht="15.75" customHeight="1">
      <c r="A163" s="26"/>
      <c r="B163" s="27"/>
      <c r="C163" s="72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ht="15.75" customHeight="1">
      <c r="A164" s="26"/>
      <c r="B164" s="27"/>
      <c r="C164" s="72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ht="15.75" customHeight="1">
      <c r="A165" s="26"/>
      <c r="B165" s="27"/>
      <c r="C165" s="72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ht="15.75" customHeight="1">
      <c r="A166" s="26"/>
      <c r="B166" s="27"/>
      <c r="C166" s="72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ht="15.75" customHeight="1">
      <c r="A167" s="26"/>
      <c r="B167" s="27"/>
      <c r="C167" s="72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ht="15.75" customHeight="1">
      <c r="A168" s="26"/>
      <c r="B168" s="27"/>
      <c r="C168" s="72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ht="15.75" customHeight="1">
      <c r="A169" s="26"/>
      <c r="B169" s="27"/>
      <c r="C169" s="72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ht="15.75" customHeight="1">
      <c r="A170" s="26"/>
      <c r="B170" s="27"/>
      <c r="C170" s="72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ht="15.75" customHeight="1">
      <c r="A171" s="26"/>
      <c r="B171" s="27"/>
      <c r="C171" s="72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ht="15.75" customHeight="1">
      <c r="A172" s="26"/>
      <c r="B172" s="27"/>
      <c r="C172" s="72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ht="15.75" customHeight="1">
      <c r="A173" s="26"/>
      <c r="B173" s="27"/>
      <c r="C173" s="72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ht="15.75" customHeight="1">
      <c r="A174" s="26"/>
      <c r="B174" s="27"/>
      <c r="C174" s="72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ht="15.75" customHeight="1">
      <c r="A175" s="26"/>
      <c r="B175" s="27"/>
      <c r="C175" s="72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ht="15.75" customHeight="1">
      <c r="A176" s="26"/>
      <c r="B176" s="27"/>
      <c r="C176" s="72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ht="15.75" customHeight="1">
      <c r="A177" s="26"/>
      <c r="B177" s="27"/>
      <c r="C177" s="72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ht="15.75" customHeight="1">
      <c r="A178" s="26"/>
      <c r="B178" s="27"/>
      <c r="C178" s="72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ht="15.75" customHeight="1">
      <c r="A179" s="26"/>
      <c r="B179" s="27"/>
      <c r="C179" s="72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ht="15.75" customHeight="1">
      <c r="A180" s="26"/>
      <c r="B180" s="27"/>
      <c r="C180" s="72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ht="15.75" customHeight="1">
      <c r="A181" s="26"/>
      <c r="B181" s="27"/>
      <c r="C181" s="72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ht="15.75" customHeight="1">
      <c r="A182" s="26"/>
      <c r="B182" s="27"/>
      <c r="C182" s="72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ht="15.75" customHeight="1">
      <c r="A183" s="26"/>
      <c r="B183" s="27"/>
      <c r="C183" s="72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ht="15.75" customHeight="1">
      <c r="A184" s="26"/>
      <c r="B184" s="27"/>
      <c r="C184" s="72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ht="15.75" customHeight="1">
      <c r="A185" s="26"/>
      <c r="B185" s="27"/>
      <c r="C185" s="72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ht="15.75" customHeight="1">
      <c r="A186" s="26"/>
      <c r="B186" s="27"/>
      <c r="C186" s="72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ht="15.75" customHeight="1">
      <c r="A187" s="26"/>
      <c r="B187" s="27"/>
      <c r="C187" s="72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ht="15.75" customHeight="1">
      <c r="A188" s="26"/>
      <c r="B188" s="27"/>
      <c r="C188" s="72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ht="15.75" customHeight="1">
      <c r="A189" s="26"/>
      <c r="B189" s="27"/>
      <c r="C189" s="72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ht="15.75" customHeight="1">
      <c r="A190" s="26"/>
      <c r="B190" s="27"/>
      <c r="C190" s="72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ht="15.75" customHeight="1">
      <c r="A191" s="26"/>
      <c r="B191" s="27"/>
      <c r="C191" s="72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ht="15.75" customHeight="1">
      <c r="A192" s="26"/>
      <c r="B192" s="27"/>
      <c r="C192" s="72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ht="15.75" customHeight="1">
      <c r="A193" s="26"/>
      <c r="B193" s="27"/>
      <c r="C193" s="72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ht="15.75" customHeight="1">
      <c r="A194" s="26"/>
      <c r="B194" s="27"/>
      <c r="C194" s="72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ht="15.75" customHeight="1">
      <c r="A195" s="26"/>
      <c r="B195" s="27"/>
      <c r="C195" s="72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ht="15.75" customHeight="1">
      <c r="A196" s="26"/>
      <c r="B196" s="27"/>
      <c r="C196" s="72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ht="15.75" customHeight="1">
      <c r="A197" s="26"/>
      <c r="B197" s="27"/>
      <c r="C197" s="72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ht="15.75" customHeight="1">
      <c r="A198" s="26"/>
      <c r="B198" s="27"/>
      <c r="C198" s="72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ht="15.75" customHeight="1">
      <c r="A199" s="26"/>
      <c r="B199" s="27"/>
      <c r="C199" s="72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ht="15.75" customHeight="1">
      <c r="A200" s="26"/>
      <c r="B200" s="27"/>
      <c r="C200" s="72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ht="15.75" customHeight="1">
      <c r="A201" s="26"/>
      <c r="B201" s="27"/>
      <c r="C201" s="72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ht="15.75" customHeight="1">
      <c r="A202" s="26"/>
      <c r="B202" s="27"/>
      <c r="C202" s="72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ht="15.75" customHeight="1">
      <c r="A203" s="26"/>
      <c r="B203" s="27"/>
      <c r="C203" s="72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ht="15.75" customHeight="1">
      <c r="A204" s="26"/>
      <c r="B204" s="27"/>
      <c r="C204" s="72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ht="15.75" customHeight="1">
      <c r="A205" s="26"/>
      <c r="B205" s="27"/>
      <c r="C205" s="72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ht="15.75" customHeight="1">
      <c r="A206" s="26"/>
      <c r="B206" s="27"/>
      <c r="C206" s="72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ht="15.75" customHeight="1">
      <c r="A207" s="26"/>
      <c r="B207" s="27"/>
      <c r="C207" s="72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ht="15.75" customHeight="1">
      <c r="A208" s="26"/>
      <c r="B208" s="27"/>
      <c r="C208" s="72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ht="15.75" customHeight="1">
      <c r="A209" s="26"/>
      <c r="B209" s="27"/>
      <c r="C209" s="72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ht="15.75" customHeight="1">
      <c r="A210" s="26"/>
      <c r="B210" s="27"/>
      <c r="C210" s="72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ht="15.75" customHeight="1">
      <c r="A211" s="26"/>
      <c r="B211" s="27"/>
      <c r="C211" s="72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ht="15.75" customHeight="1">
      <c r="A212" s="26"/>
      <c r="B212" s="27"/>
      <c r="C212" s="72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ht="15.75" customHeight="1">
      <c r="A213" s="26"/>
      <c r="B213" s="27"/>
      <c r="C213" s="72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ht="15.75" customHeight="1">
      <c r="A214" s="26"/>
      <c r="B214" s="27"/>
      <c r="C214" s="72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ht="15.75" customHeight="1">
      <c r="A215" s="26"/>
      <c r="B215" s="27"/>
      <c r="C215" s="72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ht="15.75" customHeight="1">
      <c r="A216" s="26"/>
      <c r="B216" s="27"/>
      <c r="C216" s="72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ht="15.75" customHeight="1">
      <c r="A217" s="26"/>
      <c r="B217" s="27"/>
      <c r="C217" s="72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ht="15.75" customHeight="1">
      <c r="A218" s="26"/>
      <c r="B218" s="27"/>
      <c r="C218" s="72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ht="15.75" customHeight="1">
      <c r="A219" s="26"/>
      <c r="B219" s="27"/>
      <c r="C219" s="72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ht="15.75" customHeight="1">
      <c r="A220" s="26"/>
      <c r="B220" s="27"/>
      <c r="C220" s="72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7:G7"/>
    <mergeCell ref="I7:L7"/>
    <mergeCell ref="A9:A11"/>
    <mergeCell ref="A13:A15"/>
    <mergeCell ref="A17:A19"/>
  </mergeCells>
  <drawing r:id="rId1"/>
</worksheet>
</file>