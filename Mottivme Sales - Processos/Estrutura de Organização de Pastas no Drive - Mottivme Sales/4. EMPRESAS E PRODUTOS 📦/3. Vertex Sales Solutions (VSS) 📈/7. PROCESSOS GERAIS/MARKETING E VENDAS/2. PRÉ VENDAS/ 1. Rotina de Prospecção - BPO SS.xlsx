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ROTINA" sheetId="1" r:id="rId4"/>
    <sheet state="visible" name="SDR - 0800" sheetId="2" r:id="rId5"/>
    <sheet state="visible" name="2 - DESCRIÇÃO DETALHADA" sheetId="3" r:id="rId6"/>
    <sheet state="visible" name="3 - PARA IMPRESSÃO" sheetId="4" r:id="rId7"/>
  </sheets>
  <definedNames/>
  <calcPr/>
</workbook>
</file>

<file path=xl/sharedStrings.xml><?xml version="1.0" encoding="utf-8"?>
<sst xmlns="http://schemas.openxmlformats.org/spreadsheetml/2006/main" count="209" uniqueCount="89">
  <si>
    <t>ROTINA DE PROSPECÇÃO</t>
  </si>
  <si>
    <t>Início</t>
  </si>
  <si>
    <t>Término</t>
  </si>
  <si>
    <t>Segunda</t>
  </si>
  <si>
    <t>Terça</t>
  </si>
  <si>
    <t>Quarta</t>
  </si>
  <si>
    <t>Quinta</t>
  </si>
  <si>
    <t>Sexta</t>
  </si>
  <si>
    <t>LEGENDA</t>
  </si>
  <si>
    <t>KickStart + Review</t>
  </si>
  <si>
    <t>CAPACITAÇÃO</t>
  </si>
  <si>
    <t>Follow Up + Confirmação</t>
  </si>
  <si>
    <t>FOLLOW UPs</t>
  </si>
  <si>
    <t>Prospectar (Hora de Ouro)</t>
  </si>
  <si>
    <t>PROSPECÇÃO</t>
  </si>
  <si>
    <t>PESQUISA E INTELIGÊNCIA COMERCIAL (IC)</t>
  </si>
  <si>
    <t>A SEMANA TERÁ APROXIMADAMENTE</t>
  </si>
  <si>
    <t>Pesquisa de Ativação</t>
  </si>
  <si>
    <t>22h 00min de atividades de prospecção</t>
  </si>
  <si>
    <t>Almoço</t>
  </si>
  <si>
    <t>11h 40min de atividades de construção de lista + pesquisas para ativação</t>
  </si>
  <si>
    <t>1h 40min de atividades de follow ups + confirmação de reunião</t>
  </si>
  <si>
    <t>Treinamento / Role Play</t>
  </si>
  <si>
    <t>Estudo Individual / Estudo em Grupo</t>
  </si>
  <si>
    <t>1x1 (Carreira/Feedback)</t>
  </si>
  <si>
    <t>Dúvidas de Abordagens / Autofeedback</t>
  </si>
  <si>
    <t>Role Play</t>
  </si>
  <si>
    <t>6h 40min de capacitação, estudo, alinhamento e treinamento do time</t>
  </si>
  <si>
    <t>Inteligência Comercial</t>
  </si>
  <si>
    <t>IMPORTANTE SEMPRE TENHA SEUS 3 OBJETIVOS DO DIA:</t>
  </si>
  <si>
    <t xml:space="preserve">1) </t>
  </si>
  <si>
    <t xml:space="preserve">2) </t>
  </si>
  <si>
    <t xml:space="preserve">3) </t>
  </si>
  <si>
    <t>EXEMPLOS DE METAS DIÁRIAS:</t>
  </si>
  <si>
    <t>Obter 5 conversas por chamada</t>
  </si>
  <si>
    <t>Agendar 2 compromissos</t>
  </si>
  <si>
    <t>Concluir e enviar uma proposta</t>
  </si>
  <si>
    <t>ROTINA DO SDR</t>
  </si>
  <si>
    <t>25.0h</t>
  </si>
  <si>
    <r>
      <rPr>
        <rFont val="Arial"/>
        <b/>
        <color theme="1"/>
        <sz val="10.0"/>
      </rPr>
      <t>Prospectar</t>
    </r>
    <r>
      <rPr>
        <rFont val="Arial"/>
        <color theme="1"/>
        <sz val="10.0"/>
      </rPr>
      <t>-&gt; Atividade de prospecção de acordo com o fluxo de cadência, utilizando cold call, cold mail e social points</t>
    </r>
  </si>
  <si>
    <t>Daily Meeting</t>
  </si>
  <si>
    <t>Pesquisa de Ativação / Tarefas burocráticas</t>
  </si>
  <si>
    <t>1h 15min</t>
  </si>
  <si>
    <r>
      <rPr>
        <rFont val="Arial"/>
        <b/>
        <color theme="1"/>
        <sz val="10.0"/>
      </rPr>
      <t>Daily meeting</t>
    </r>
    <r>
      <rPr>
        <rFont val="Arial"/>
        <color theme="1"/>
        <sz val="10.0"/>
      </rPr>
      <t xml:space="preserve"> -&gt; Reunião diária com todo o time para integração da equipe e discutir pontos rápidos que estão impedindo o resultado </t>
    </r>
  </si>
  <si>
    <t>1,0h</t>
  </si>
  <si>
    <r>
      <rPr>
        <rFont val="Arial"/>
        <b/>
        <color theme="1"/>
        <sz val="10.0"/>
      </rPr>
      <t>Feedback</t>
    </r>
    <r>
      <rPr>
        <rFont val="Arial"/>
        <color theme="1"/>
        <sz val="10.0"/>
      </rPr>
      <t xml:space="preserve"> &gt; Reunião onde são ouvidas em grupo ligações e todos debatem sobre possíveis melhorias</t>
    </r>
  </si>
  <si>
    <t>Confirmação de reunião</t>
  </si>
  <si>
    <r>
      <rPr>
        <rFont val="Arial"/>
        <b/>
        <color theme="1"/>
        <sz val="10.0"/>
      </rPr>
      <t>Role Play</t>
    </r>
    <r>
      <rPr>
        <rFont val="Arial"/>
        <b val="0"/>
        <color theme="1"/>
        <sz val="10.0"/>
      </rPr>
      <t xml:space="preserve"> -&gt; Reunião Team de simulação e feedbacks</t>
    </r>
  </si>
  <si>
    <t>Prospectar</t>
  </si>
  <si>
    <r>
      <rPr>
        <rFont val="Arial"/>
        <b/>
        <color theme="1"/>
        <sz val="10.0"/>
      </rPr>
      <t>Treinamento</t>
    </r>
    <r>
      <rPr>
        <rFont val="Arial"/>
        <color theme="1"/>
        <sz val="10.0"/>
      </rPr>
      <t xml:space="preserve"> -&gt; Reunião de treinamento com o time, principalmente sobre a maior deficiência notada no feedback</t>
    </r>
  </si>
  <si>
    <r>
      <rPr>
        <rFont val="Arial"/>
        <b/>
        <color theme="1"/>
        <sz val="10.0"/>
      </rPr>
      <t xml:space="preserve">One on One </t>
    </r>
    <r>
      <rPr>
        <rFont val="Arial"/>
        <b val="0"/>
        <color theme="1"/>
        <sz val="10.0"/>
      </rPr>
      <t>-&gt; Reunião1x1 com o head com o objetivo de discutir a evolução técnica, pessoal e profissional, bem como resultados atingidos</t>
    </r>
  </si>
  <si>
    <t>Confirmação de reunião -&gt; Atividade de confirmar as reuniões agendadas com os executivos para o dia</t>
  </si>
  <si>
    <t>Follow Up</t>
  </si>
  <si>
    <t>2h 30 min</t>
  </si>
  <si>
    <r>
      <rPr>
        <rFont val="Arial"/>
        <b/>
        <color theme="1"/>
        <sz val="10.0"/>
      </rPr>
      <t xml:space="preserve">Follow Up </t>
    </r>
    <r>
      <rPr>
        <rFont val="Arial"/>
        <color theme="1"/>
        <sz val="10.0"/>
      </rPr>
      <t>-&gt; Atividade de Follow Up com os prospects, que ficaram de dar algum retorno</t>
    </r>
  </si>
  <si>
    <t>3,0h</t>
  </si>
  <si>
    <r>
      <rPr>
        <rFont val="Arial"/>
        <b/>
        <color theme="1"/>
        <sz val="10.0"/>
      </rPr>
      <t>Inteligência Comercial</t>
    </r>
    <r>
      <rPr>
        <rFont val="Arial"/>
        <b val="0"/>
        <color theme="1"/>
        <sz val="10.0"/>
      </rPr>
      <t xml:space="preserve"> -&gt; Atividade de construção de lista em cima do ICP (geraçaõ de smart leads)</t>
    </r>
  </si>
  <si>
    <t>1x1 - Feedback/Carreira</t>
  </si>
  <si>
    <t>4,0h</t>
  </si>
  <si>
    <r>
      <rPr>
        <rFont val="Arial"/>
        <b/>
        <color theme="1"/>
        <sz val="10.0"/>
      </rPr>
      <t xml:space="preserve">Pesquisa de Ativação/Tarefas Burocráticas </t>
    </r>
    <r>
      <rPr>
        <rFont val="Arial"/>
        <b val="0"/>
        <color theme="1"/>
        <sz val="10.0"/>
      </rPr>
      <t>-&gt;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>Atividade de pesquisa para personalização de email e técnicas de rapport e execução de tarefas mais burocráticas, como elaboração de algum material, registro em sistemas complexos tec</t>
    </r>
  </si>
  <si>
    <t>A semana</t>
  </si>
  <si>
    <t>25.0h de atividades de prospecção</t>
  </si>
  <si>
    <t>7.0h de atividades de construção de lista + pesquisas para ativação</t>
  </si>
  <si>
    <t>3h 45min de atividades de follow ups + confirmação de reunião</t>
  </si>
  <si>
    <t>Organizar o dia seguinte</t>
  </si>
  <si>
    <t>4h 15min de capacitação e treinamento do time</t>
  </si>
  <si>
    <t>DETALHAMENTO DA ROTINA</t>
  </si>
  <si>
    <t>Capacitação</t>
  </si>
  <si>
    <r>
      <rPr>
        <rFont val="Arial"/>
        <b/>
        <color theme="1"/>
        <sz val="10.0"/>
      </rPr>
      <t>KickStart + Review</t>
    </r>
    <r>
      <rPr>
        <rFont val="Arial"/>
        <color theme="1"/>
        <sz val="10.0"/>
      </rPr>
      <t xml:space="preserve"> -&gt; Reunião diária com todo o time para integração da equipe, alinhar os resultados do dia anterior e entender os pontos rápidos que estão impedindo o resultado e transmitir mensagem animadora e de incentivo para o dia da equipe</t>
    </r>
  </si>
  <si>
    <r>
      <rPr>
        <rFont val="Arial"/>
        <b/>
        <color theme="1"/>
        <sz val="10.0"/>
      </rPr>
      <t xml:space="preserve">Treinamento </t>
    </r>
    <r>
      <rPr>
        <rFont val="Arial"/>
        <color theme="1"/>
        <sz val="10.0"/>
      </rPr>
      <t xml:space="preserve">-&gt; Reunião de treinamento com o time sobre pitch, mercado, produto, objeção a depender das dificuldades do momento. </t>
    </r>
  </si>
  <si>
    <r>
      <rPr>
        <rFont val="Arial"/>
        <b/>
        <color theme="1"/>
        <sz val="10.0"/>
      </rPr>
      <t>Role Play</t>
    </r>
    <r>
      <rPr>
        <rFont val="Arial"/>
        <b val="0"/>
        <color theme="1"/>
        <sz val="10.0"/>
      </rPr>
      <t xml:space="preserve"> -&gt; Reunião do time para simulação e feedbacks de diversos assuntos, como processo, ferramentas, pitchs, abordagens, contorno de objeções</t>
    </r>
  </si>
  <si>
    <r>
      <rPr>
        <rFont val="Arial"/>
        <b/>
        <color theme="1"/>
        <sz val="10.0"/>
      </rPr>
      <t>1x1 (Carreira/Feedback)</t>
    </r>
    <r>
      <rPr>
        <rFont val="Arial"/>
        <b val="0"/>
        <color theme="1"/>
        <sz val="10.0"/>
      </rPr>
      <t xml:space="preserve"> -&gt; Reunião 1x1 com o gestor com o objetivo de discutir a evolução técnica, pessoal e profissional, bem como resultados atingidos. O ideal é que em uma semana o foco seja na carreira, no lado pessoal.</t>
    </r>
  </si>
  <si>
    <r>
      <rPr>
        <rFont val="Arial"/>
        <b/>
        <color theme="1"/>
        <sz val="10.0"/>
      </rPr>
      <t>Estudo Individual -</t>
    </r>
    <r>
      <rPr>
        <rFont val="Arial"/>
        <b val="0"/>
        <color theme="1"/>
        <sz val="10.0"/>
      </rPr>
      <t>&gt; Horário reservado para o SDR estudar o playbook de vendas: contorno de objeções, matriz SPIN, matriz PSF, kanban prospect etc</t>
    </r>
  </si>
  <si>
    <r>
      <rPr>
        <rFont val="Arial"/>
        <b/>
        <color theme="1"/>
        <sz val="10.0"/>
      </rPr>
      <t xml:space="preserve">Estudo em Grupo </t>
    </r>
    <r>
      <rPr>
        <rFont val="Arial"/>
        <b val="0"/>
        <color theme="1"/>
        <sz val="10.0"/>
      </rPr>
      <t>-&gt; Horário reservado para o SDR discutir com ao menos um colega sobre assuntos que estudou com o objetivo de evoluir o seu conhecimento. Caso seja apenas um SDR, pode ser um horário reservado para tirar dúvidas com o gestor</t>
    </r>
  </si>
  <si>
    <r>
      <rPr>
        <rFont val="Arial"/>
        <b/>
        <color theme="1"/>
        <sz val="10.0"/>
      </rPr>
      <t xml:space="preserve">Dúvidas de Abordagens -&gt; </t>
    </r>
    <r>
      <rPr>
        <rFont val="Arial"/>
        <b val="0"/>
        <color theme="1"/>
        <sz val="10.0"/>
      </rPr>
      <t>Horário reservado para o SDR tirar dúvidas que possui sobre o processo e abordagens com seu líder</t>
    </r>
  </si>
  <si>
    <r>
      <rPr>
        <rFont val="Arial"/>
        <b/>
        <color theme="1"/>
        <sz val="10.0"/>
      </rPr>
      <t xml:space="preserve">Autofeedback -&gt; </t>
    </r>
    <r>
      <rPr>
        <rFont val="Arial"/>
        <b val="0"/>
        <color theme="1"/>
        <sz val="10.0"/>
      </rPr>
      <t>Horário reservado para o SDR escutar suas próprias ligações e montar um relatório com todos os pontos que entendeu ser positivo e todos que acha que pode melhorar</t>
    </r>
  </si>
  <si>
    <t>Notas importantes</t>
  </si>
  <si>
    <r>
      <rPr>
        <rFont val="Arial"/>
        <b/>
        <color theme="1"/>
        <sz val="10.0"/>
      </rPr>
      <t>Pode-se optar pelo estudo individual ou pelo estudo em grupo</t>
    </r>
    <r>
      <rPr>
        <rFont val="Arial"/>
        <color theme="1"/>
        <sz val="10.0"/>
      </rPr>
      <t xml:space="preserve"> &gt; Em ambos os casos, o ideal é que o SDR faça um resumo do que estudou e envie p/ o gestor</t>
    </r>
  </si>
  <si>
    <r>
      <rPr>
        <rFont val="Arial"/>
        <b/>
        <color theme="1"/>
        <sz val="10.0"/>
      </rPr>
      <t>Pode-se optar pelo autofeedback ou por uma reunião de dúvidas de abordagens</t>
    </r>
    <r>
      <rPr>
        <rFont val="Arial"/>
        <color theme="1"/>
        <sz val="10.0"/>
      </rPr>
      <t xml:space="preserve"> &gt; No autofeedback é necessário que o SDR envie p/ o gestor o resumo dos pontos fortes e fracos identidicados nas chamadas</t>
    </r>
  </si>
  <si>
    <t xml:space="preserve">Pode-se optar por um treinamento na semana e um role play ou dois role plays </t>
  </si>
  <si>
    <t>Follow Ups</t>
  </si>
  <si>
    <r>
      <rPr>
        <rFont val="Arial"/>
        <b/>
        <color theme="1"/>
        <sz val="10.0"/>
      </rPr>
      <t>Confirmação de reunião</t>
    </r>
    <r>
      <rPr>
        <rFont val="Arial"/>
        <b val="0"/>
        <color theme="1"/>
        <sz val="10.0"/>
      </rPr>
      <t xml:space="preserve"> -&gt; Atividade de confirmar as reuniões agendadas com os executivos para o dia</t>
    </r>
  </si>
  <si>
    <r>
      <rPr>
        <rFont val="Arial"/>
        <b/>
        <color theme="1"/>
        <sz val="10.0"/>
      </rPr>
      <t xml:space="preserve">Follow Up </t>
    </r>
    <r>
      <rPr>
        <rFont val="Arial"/>
        <color theme="1"/>
        <sz val="10.0"/>
      </rPr>
      <t>-&gt; Atividade de Follow Up com os prospects, que ficaram de dar algum retorno. Deve ser feito após a confirmação das reuniões do dia e não tem problema se esse follow up entrar no horário de prospecção.</t>
    </r>
  </si>
  <si>
    <t>Prospecção</t>
  </si>
  <si>
    <r>
      <rPr>
        <rFont val="Arial"/>
        <b/>
        <color theme="1"/>
        <sz val="10.0"/>
      </rPr>
      <t xml:space="preserve">Prospectar (Hora de Ouro) </t>
    </r>
    <r>
      <rPr>
        <rFont val="Arial"/>
        <color theme="1"/>
        <sz val="10.0"/>
      </rPr>
      <t>-&gt; Atividade de prospecção de acordo com o fluxo de cadência, utilizando cold call, cold mail e social points.</t>
    </r>
  </si>
  <si>
    <t>Pesquisa e IC</t>
  </si>
  <si>
    <r>
      <rPr>
        <rFont val="Arial"/>
        <b/>
        <color theme="1"/>
        <sz val="10.0"/>
      </rPr>
      <t>Inteligência Comercial</t>
    </r>
    <r>
      <rPr>
        <rFont val="Arial"/>
        <b val="0"/>
        <color theme="1"/>
        <sz val="10.0"/>
      </rPr>
      <t xml:space="preserve"> -&gt; Atividade de construção de lista de prospecção, ou seja, geração de smart leads</t>
    </r>
  </si>
  <si>
    <r>
      <rPr>
        <rFont val="Arial"/>
        <b/>
        <color theme="1"/>
        <sz val="10.0"/>
      </rPr>
      <t xml:space="preserve">Pesquisa de Ativação </t>
    </r>
    <r>
      <rPr>
        <rFont val="Arial"/>
        <b val="0"/>
        <color theme="1"/>
        <sz val="10.0"/>
      </rPr>
      <t>-&gt;</t>
    </r>
    <r>
      <rPr>
        <rFont val="Arial"/>
        <b/>
        <color theme="1"/>
        <sz val="10.0"/>
      </rPr>
      <t xml:space="preserve"> </t>
    </r>
    <r>
      <rPr>
        <rFont val="Arial"/>
        <b val="0"/>
        <color theme="1"/>
        <sz val="10.0"/>
      </rPr>
      <t xml:space="preserve">Atividade de pesquisa para personalização de email e técnicas de rapport para a prospecção. </t>
    </r>
  </si>
  <si>
    <r>
      <rPr>
        <rFont val="Arial"/>
        <b/>
        <color theme="1"/>
        <sz val="10.0"/>
      </rPr>
      <t>*Tarefas Burocráticas &gt;</t>
    </r>
    <r>
      <rPr>
        <rFont val="Arial"/>
        <color theme="1"/>
        <sz val="10.0"/>
      </rPr>
      <t xml:space="preserve"> A execução de tarefas mais burocráticas como elaboração de algum material, registros em sistemas ou qualquer coisa do tipo devem ser feitas, fora do horário de ouro.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</si>
</sst>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%"/>
    <numFmt numFmtId="166" formatCode="[$R$ -416]#,##0.00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sz val="10.0"/>
      <color theme="1"/>
      <name val="Arial"/>
    </font>
    <font>
      <b/>
      <sz val="10.0"/>
      <color theme="1"/>
      <name val="Arial"/>
    </font>
    <font>
      <sz val="10.0"/>
      <color rgb="FFFFFFFF"/>
      <name val="Arial"/>
    </font>
    <font>
      <sz val="10.0"/>
      <color rgb="FF000000"/>
      <name val="Roboto"/>
    </font>
    <font>
      <sz val="9.0"/>
      <color rgb="FF000000"/>
      <name val="Arial"/>
    </font>
    <font>
      <b/>
      <sz val="14.0"/>
      <color rgb="FF000000"/>
      <name val="Arial"/>
    </font>
    <font>
      <b/>
      <sz val="14.0"/>
      <color theme="0"/>
      <name val="Arial"/>
    </font>
    <font>
      <b/>
      <sz val="14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4B083"/>
        <bgColor rgb="FFF4B083"/>
      </patternFill>
    </fill>
    <fill>
      <patternFill patternType="solid">
        <fgColor rgb="FF0F44CA"/>
        <bgColor rgb="FF0F44CA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4" fillId="3" fontId="5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/>
    </xf>
    <xf borderId="4" fillId="4" fontId="5" numFmtId="20" xfId="0" applyAlignment="1" applyBorder="1" applyFill="1" applyFont="1" applyNumberForma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/>
    </xf>
    <xf borderId="4" fillId="6" fontId="4" numFmtId="0" xfId="0" applyAlignment="1" applyBorder="1" applyFill="1" applyFont="1">
      <alignment horizontal="center" shrinkToFit="0" vertical="center" wrapText="1"/>
    </xf>
    <xf borderId="4" fillId="4" fontId="5" numFmtId="20" xfId="0" applyAlignment="1" applyBorder="1" applyFont="1" applyNumberFormat="1">
      <alignment horizontal="center"/>
    </xf>
    <xf borderId="5" fillId="7" fontId="6" numFmtId="0" xfId="0" applyAlignment="1" applyBorder="1" applyFill="1" applyFont="1">
      <alignment horizontal="center" shrinkToFit="0" vertical="center" wrapText="1"/>
    </xf>
    <xf borderId="4" fillId="7" fontId="6" numFmtId="0" xfId="0" applyAlignment="1" applyBorder="1" applyFont="1">
      <alignment horizontal="center"/>
    </xf>
    <xf borderId="6" fillId="0" fontId="3" numFmtId="0" xfId="0" applyBorder="1" applyFont="1"/>
    <xf borderId="4" fillId="4" fontId="4" numFmtId="0" xfId="0" applyAlignment="1" applyBorder="1" applyFont="1">
      <alignment horizontal="center"/>
    </xf>
    <xf borderId="7" fillId="0" fontId="3" numFmtId="0" xfId="0" applyBorder="1" applyFont="1"/>
    <xf borderId="8" fillId="4" fontId="4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8" fontId="4" numFmtId="0" xfId="0" applyAlignment="1" applyBorder="1" applyFill="1" applyFont="1">
      <alignment horizontal="center" vertical="center"/>
    </xf>
    <xf borderId="5" fillId="5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ont="1">
      <alignment horizontal="center" vertical="center"/>
    </xf>
    <xf borderId="9" fillId="8" fontId="4" numFmtId="0" xfId="0" applyBorder="1" applyFont="1"/>
    <xf borderId="10" fillId="8" fontId="4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9" fillId="8" fontId="7" numFmtId="0" xfId="0" applyBorder="1" applyFont="1"/>
    <xf borderId="9" fillId="8" fontId="4" numFmtId="0" xfId="0" applyAlignment="1" applyBorder="1" applyFont="1">
      <alignment horizontal="right"/>
    </xf>
    <xf borderId="10" fillId="8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 shrinkToFit="0" vertical="center" wrapText="1"/>
    </xf>
    <xf borderId="9" fillId="8" fontId="4" numFmtId="0" xfId="0" applyAlignment="1" applyBorder="1" applyFont="1">
      <alignment horizontal="center" shrinkToFit="0" vertical="center" wrapText="1"/>
    </xf>
    <xf borderId="9" fillId="8" fontId="5" numFmtId="0" xfId="0" applyBorder="1" applyFont="1"/>
    <xf borderId="1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right"/>
    </xf>
    <xf borderId="1" fillId="0" fontId="4" numFmtId="0" xfId="0" applyBorder="1" applyFont="1"/>
    <xf borderId="1" fillId="0" fontId="5" numFmtId="0" xfId="0" applyAlignment="1" applyBorder="1" applyFont="1">
      <alignment horizontal="center" shrinkToFit="0" wrapText="1"/>
    </xf>
    <xf borderId="1" fillId="8" fontId="8" numFmtId="0" xfId="0" applyAlignment="1" applyBorder="1" applyFont="1">
      <alignment horizontal="left"/>
    </xf>
    <xf borderId="9" fillId="8" fontId="4" numFmtId="0" xfId="0" applyAlignment="1" applyBorder="1" applyFont="1">
      <alignment horizontal="center"/>
    </xf>
    <xf borderId="0" fillId="0" fontId="4" numFmtId="0" xfId="0" applyAlignment="1" applyFont="1">
      <alignment shrinkToFit="0" wrapText="1"/>
    </xf>
    <xf borderId="9" fillId="8" fontId="5" numFmtId="10" xfId="0" applyBorder="1" applyFont="1" applyNumberFormat="1"/>
    <xf borderId="0" fillId="0" fontId="4" numFmtId="164" xfId="0" applyFont="1" applyNumberFormat="1"/>
    <xf borderId="1" fillId="7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right"/>
    </xf>
    <xf borderId="9" fillId="7" fontId="4" numFmtId="0" xfId="0" applyBorder="1" applyFont="1"/>
    <xf borderId="4" fillId="9" fontId="6" numFmtId="0" xfId="0" applyAlignment="1" applyBorder="1" applyFill="1" applyFont="1">
      <alignment horizontal="center" shrinkToFit="0" vertical="center" wrapText="1"/>
    </xf>
    <xf borderId="5" fillId="10" fontId="4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horizontal="center" vertical="center"/>
    </xf>
    <xf borderId="9" fillId="11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9" fillId="6" fontId="4" numFmtId="0" xfId="0" applyAlignment="1" applyBorder="1" applyFont="1">
      <alignment horizontal="center" shrinkToFit="0" vertical="center" wrapText="1"/>
    </xf>
    <xf borderId="9" fillId="10" fontId="4" numFmtId="0" xfId="0" applyAlignment="1" applyBorder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0" fillId="0" fontId="5" numFmtId="9" xfId="0" applyFont="1" applyNumberFormat="1"/>
    <xf borderId="4" fillId="8" fontId="4" numFmtId="0" xfId="0" applyAlignment="1" applyBorder="1" applyFont="1">
      <alignment horizontal="center" shrinkToFit="0" vertical="center" wrapText="1"/>
    </xf>
    <xf borderId="0" fillId="0" fontId="4" numFmtId="165" xfId="0" applyFont="1" applyNumberFormat="1"/>
    <xf borderId="12" fillId="8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9" fillId="8" fontId="5" numFmtId="0" xfId="0" applyAlignment="1" applyBorder="1" applyFont="1">
      <alignment horizontal="center"/>
    </xf>
    <xf borderId="1" fillId="2" fontId="10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6" fillId="8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17" fillId="0" fontId="3" numFmtId="0" xfId="0" applyBorder="1" applyFont="1"/>
    <xf borderId="16" fillId="8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/>
    </xf>
    <xf borderId="1" fillId="12" fontId="11" numFmtId="0" xfId="0" applyAlignment="1" applyBorder="1" applyFill="1" applyFont="1">
      <alignment horizontal="center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4" fillId="8" fontId="4" numFmtId="0" xfId="0" applyAlignment="1" applyBorder="1" applyFont="1">
      <alignment horizontal="center"/>
    </xf>
    <xf borderId="0" fillId="0" fontId="4" numFmtId="166" xfId="0" applyFont="1" applyNumberFormat="1"/>
    <xf borderId="0" fillId="0" fontId="5" numFmtId="10" xfId="0" applyFont="1" applyNumberFormat="1"/>
    <xf borderId="1" fillId="2" fontId="10" numFmtId="0" xfId="0" applyAlignment="1" applyBorder="1" applyFont="1">
      <alignment horizontal="center" shrinkToFit="0" vertical="center" wrapText="1"/>
    </xf>
    <xf borderId="5" fillId="14" fontId="4" numFmtId="0" xfId="0" applyAlignment="1" applyBorder="1" applyFill="1" applyFont="1">
      <alignment horizontal="center" shrinkToFit="0" vertical="center" wrapText="1"/>
    </xf>
    <xf borderId="4" fillId="14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123825</xdr:rowOff>
    </xdr:from>
    <xdr:ext cx="1390650" cy="2476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38100</xdr:rowOff>
    </xdr:from>
    <xdr:ext cx="1428750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11.25"/>
    <col customWidth="1" min="3" max="3" width="9.0"/>
    <col customWidth="1" min="4" max="4" width="33.25"/>
    <col customWidth="1" min="5" max="8" width="24.13"/>
    <col customWidth="1" min="9" max="9" width="1.25"/>
    <col customWidth="1" min="10" max="10" width="2.38"/>
    <col customWidth="1" min="11" max="11" width="1.75"/>
    <col customWidth="1" min="12" max="12" width="63.38"/>
    <col customWidth="1" min="13" max="13" width="14.38"/>
  </cols>
  <sheetData>
    <row r="1" ht="5.25" customHeight="1"/>
    <row r="2" ht="15.75" customHeight="1">
      <c r="B2" s="1"/>
      <c r="D2" s="2" t="s">
        <v>0</v>
      </c>
      <c r="E2" s="3"/>
      <c r="F2" s="3"/>
      <c r="G2" s="3"/>
      <c r="H2" s="4"/>
    </row>
    <row r="3" ht="7.5" customHeight="1"/>
    <row r="4" ht="15.75" customHeight="1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L4" s="7" t="s">
        <v>8</v>
      </c>
    </row>
    <row r="5" ht="15.75" customHeight="1">
      <c r="A5" s="5"/>
      <c r="B5" s="8">
        <v>0.375</v>
      </c>
      <c r="C5" s="8">
        <v>0.3888888888888889</v>
      </c>
      <c r="D5" s="9" t="s">
        <v>9</v>
      </c>
      <c r="E5" s="9" t="s">
        <v>9</v>
      </c>
      <c r="F5" s="9" t="s">
        <v>9</v>
      </c>
      <c r="G5" s="9" t="s">
        <v>9</v>
      </c>
      <c r="H5" s="9" t="s">
        <v>9</v>
      </c>
      <c r="L5" s="10" t="s">
        <v>10</v>
      </c>
    </row>
    <row r="6" ht="15.75" customHeight="1">
      <c r="A6" s="5"/>
      <c r="B6" s="8">
        <f t="shared" ref="B6:B23" si="1">C5</f>
        <v>0.3888888889</v>
      </c>
      <c r="C6" s="8">
        <v>0.4027777777777778</v>
      </c>
      <c r="D6" s="11" t="s">
        <v>11</v>
      </c>
      <c r="E6" s="11" t="s">
        <v>11</v>
      </c>
      <c r="F6" s="11" t="s">
        <v>11</v>
      </c>
      <c r="G6" s="11" t="s">
        <v>11</v>
      </c>
      <c r="H6" s="11" t="s">
        <v>11</v>
      </c>
      <c r="L6" s="11" t="s">
        <v>12</v>
      </c>
    </row>
    <row r="7" ht="15.75" customHeight="1">
      <c r="A7" s="5"/>
      <c r="B7" s="12">
        <f t="shared" si="1"/>
        <v>0.4027777778</v>
      </c>
      <c r="C7" s="12">
        <v>0.4166666666666667</v>
      </c>
      <c r="D7" s="13" t="s">
        <v>13</v>
      </c>
      <c r="E7" s="13" t="s">
        <v>13</v>
      </c>
      <c r="F7" s="13" t="s">
        <v>13</v>
      </c>
      <c r="G7" s="13" t="s">
        <v>13</v>
      </c>
      <c r="H7" s="13" t="s">
        <v>13</v>
      </c>
      <c r="L7" s="14" t="s">
        <v>14</v>
      </c>
    </row>
    <row r="8" ht="15.75" customHeight="1">
      <c r="A8" s="5"/>
      <c r="B8" s="12">
        <f t="shared" si="1"/>
        <v>0.4166666667</v>
      </c>
      <c r="C8" s="12">
        <f t="shared" ref="C8:C9" si="2">B8+0.02084</f>
        <v>0.4375066667</v>
      </c>
      <c r="D8" s="15"/>
      <c r="E8" s="15"/>
      <c r="F8" s="15"/>
      <c r="G8" s="15"/>
      <c r="H8" s="15"/>
      <c r="L8" s="16" t="s">
        <v>15</v>
      </c>
    </row>
    <row r="9" ht="15.75" customHeight="1">
      <c r="A9" s="5"/>
      <c r="B9" s="12">
        <f t="shared" si="1"/>
        <v>0.4375066667</v>
      </c>
      <c r="C9" s="12">
        <f t="shared" si="2"/>
        <v>0.4583466667</v>
      </c>
      <c r="D9" s="15"/>
      <c r="E9" s="15"/>
      <c r="F9" s="15"/>
      <c r="G9" s="15"/>
      <c r="H9" s="15"/>
    </row>
    <row r="10" ht="15.75" customHeight="1">
      <c r="A10" s="5"/>
      <c r="B10" s="12">
        <f t="shared" si="1"/>
        <v>0.4583466667</v>
      </c>
      <c r="C10" s="12">
        <v>0.4861111111111111</v>
      </c>
      <c r="D10" s="17"/>
      <c r="E10" s="17"/>
      <c r="F10" s="17"/>
      <c r="G10" s="17"/>
      <c r="H10" s="17"/>
      <c r="L10" s="7" t="s">
        <v>16</v>
      </c>
    </row>
    <row r="11" ht="15.75" customHeight="1">
      <c r="A11" s="5"/>
      <c r="B11" s="12">
        <f t="shared" si="1"/>
        <v>0.4861111111</v>
      </c>
      <c r="C11" s="12">
        <v>0.5</v>
      </c>
      <c r="D11" s="18" t="s">
        <v>17</v>
      </c>
      <c r="E11" s="18" t="s">
        <v>17</v>
      </c>
      <c r="F11" s="18" t="s">
        <v>17</v>
      </c>
      <c r="G11" s="18" t="s">
        <v>17</v>
      </c>
      <c r="H11" s="18" t="s">
        <v>17</v>
      </c>
      <c r="L11" s="19" t="s">
        <v>18</v>
      </c>
    </row>
    <row r="12" ht="15.75" customHeight="1">
      <c r="A12" s="5"/>
      <c r="B12" s="12">
        <f t="shared" si="1"/>
        <v>0.5</v>
      </c>
      <c r="C12" s="12">
        <f t="shared" ref="C12:C23" si="3">B12+0.02084</f>
        <v>0.52084</v>
      </c>
      <c r="D12" s="20" t="s">
        <v>19</v>
      </c>
      <c r="E12" s="20" t="s">
        <v>19</v>
      </c>
      <c r="F12" s="20" t="s">
        <v>19</v>
      </c>
      <c r="G12" s="20" t="s">
        <v>19</v>
      </c>
      <c r="H12" s="20" t="s">
        <v>19</v>
      </c>
      <c r="L12" s="19" t="s">
        <v>20</v>
      </c>
    </row>
    <row r="13" ht="15.75" customHeight="1">
      <c r="A13" s="5"/>
      <c r="B13" s="12">
        <f t="shared" si="1"/>
        <v>0.52084</v>
      </c>
      <c r="C13" s="12">
        <f t="shared" si="3"/>
        <v>0.54168</v>
      </c>
      <c r="D13" s="17"/>
      <c r="E13" s="17"/>
      <c r="F13" s="17"/>
      <c r="G13" s="17"/>
      <c r="H13" s="17"/>
      <c r="L13" s="19" t="s">
        <v>21</v>
      </c>
    </row>
    <row r="14" ht="15.75" customHeight="1">
      <c r="A14" s="5"/>
      <c r="B14" s="12">
        <f t="shared" si="1"/>
        <v>0.54168</v>
      </c>
      <c r="C14" s="12">
        <f t="shared" si="3"/>
        <v>0.56252</v>
      </c>
      <c r="D14" s="21" t="s">
        <v>22</v>
      </c>
      <c r="E14" s="21" t="s">
        <v>23</v>
      </c>
      <c r="F14" s="22" t="s">
        <v>24</v>
      </c>
      <c r="G14" s="21" t="s">
        <v>25</v>
      </c>
      <c r="H14" s="22" t="s">
        <v>26</v>
      </c>
      <c r="L14" s="19" t="s">
        <v>27</v>
      </c>
    </row>
    <row r="15" ht="15.75" customHeight="1">
      <c r="A15" s="5"/>
      <c r="B15" s="12">
        <f t="shared" si="1"/>
        <v>0.56252</v>
      </c>
      <c r="C15" s="12">
        <f t="shared" si="3"/>
        <v>0.58336</v>
      </c>
      <c r="D15" s="17"/>
      <c r="E15" s="17"/>
      <c r="F15" s="17"/>
      <c r="G15" s="17"/>
      <c r="H15" s="17"/>
    </row>
    <row r="16" ht="15.75" customHeight="1">
      <c r="A16" s="5"/>
      <c r="B16" s="12">
        <f t="shared" si="1"/>
        <v>0.58336</v>
      </c>
      <c r="C16" s="12">
        <f t="shared" si="3"/>
        <v>0.6042</v>
      </c>
      <c r="D16" s="18" t="s">
        <v>17</v>
      </c>
      <c r="E16" s="18" t="s">
        <v>17</v>
      </c>
      <c r="F16" s="18" t="s">
        <v>17</v>
      </c>
      <c r="G16" s="18" t="s">
        <v>17</v>
      </c>
      <c r="H16" s="18" t="s">
        <v>17</v>
      </c>
    </row>
    <row r="17" ht="15.75" customHeight="1">
      <c r="A17" s="5"/>
      <c r="B17" s="12">
        <f t="shared" si="1"/>
        <v>0.6042</v>
      </c>
      <c r="C17" s="12">
        <f t="shared" si="3"/>
        <v>0.62504</v>
      </c>
      <c r="D17" s="13" t="s">
        <v>13</v>
      </c>
      <c r="E17" s="13" t="s">
        <v>13</v>
      </c>
      <c r="F17" s="13" t="s">
        <v>13</v>
      </c>
      <c r="G17" s="13" t="s">
        <v>13</v>
      </c>
      <c r="H17" s="13" t="s">
        <v>13</v>
      </c>
      <c r="J17" s="23"/>
      <c r="K17" s="24"/>
      <c r="L17" s="25"/>
      <c r="M17" s="26"/>
    </row>
    <row r="18" ht="15.75" customHeight="1">
      <c r="A18" s="5"/>
      <c r="B18" s="12">
        <f t="shared" si="1"/>
        <v>0.62504</v>
      </c>
      <c r="C18" s="12">
        <f t="shared" si="3"/>
        <v>0.64588</v>
      </c>
      <c r="D18" s="15"/>
      <c r="E18" s="15"/>
      <c r="F18" s="15"/>
      <c r="G18" s="15"/>
      <c r="H18" s="15"/>
      <c r="J18" s="27"/>
      <c r="K18" s="23"/>
      <c r="L18" s="23"/>
    </row>
    <row r="19" ht="15.75" customHeight="1">
      <c r="A19" s="5"/>
      <c r="B19" s="12">
        <f t="shared" si="1"/>
        <v>0.64588</v>
      </c>
      <c r="C19" s="12">
        <f t="shared" si="3"/>
        <v>0.66672</v>
      </c>
      <c r="D19" s="15"/>
      <c r="E19" s="15"/>
      <c r="F19" s="15"/>
      <c r="G19" s="15"/>
      <c r="H19" s="15"/>
      <c r="J19" s="27"/>
      <c r="K19" s="23"/>
      <c r="L19" s="23"/>
    </row>
    <row r="20" ht="15.75" customHeight="1">
      <c r="A20" s="5"/>
      <c r="B20" s="12">
        <f t="shared" si="1"/>
        <v>0.66672</v>
      </c>
      <c r="C20" s="12">
        <f t="shared" si="3"/>
        <v>0.68756</v>
      </c>
      <c r="D20" s="15"/>
      <c r="E20" s="15"/>
      <c r="F20" s="15"/>
      <c r="G20" s="15"/>
      <c r="H20" s="15"/>
      <c r="J20" s="23"/>
      <c r="K20" s="28"/>
      <c r="L20" s="25"/>
    </row>
    <row r="21" ht="15.75" customHeight="1">
      <c r="A21" s="5"/>
      <c r="B21" s="12">
        <f t="shared" si="1"/>
        <v>0.68756</v>
      </c>
      <c r="C21" s="12">
        <f t="shared" si="3"/>
        <v>0.7084</v>
      </c>
      <c r="D21" s="29" t="s">
        <v>28</v>
      </c>
      <c r="E21" s="29" t="s">
        <v>28</v>
      </c>
      <c r="F21" s="29" t="s">
        <v>28</v>
      </c>
      <c r="G21" s="29" t="s">
        <v>28</v>
      </c>
      <c r="H21" s="29" t="s">
        <v>28</v>
      </c>
      <c r="J21" s="27"/>
      <c r="K21" s="30"/>
      <c r="L21" s="23"/>
    </row>
    <row r="22" ht="15.75" customHeight="1">
      <c r="A22" s="5"/>
      <c r="B22" s="12">
        <f t="shared" si="1"/>
        <v>0.7084</v>
      </c>
      <c r="C22" s="12">
        <f t="shared" si="3"/>
        <v>0.72924</v>
      </c>
      <c r="D22" s="15"/>
      <c r="E22" s="15"/>
      <c r="F22" s="15"/>
      <c r="G22" s="15"/>
      <c r="H22" s="15"/>
      <c r="J22" s="27"/>
      <c r="K22" s="30"/>
      <c r="L22" s="23"/>
    </row>
    <row r="23" ht="15.75" customHeight="1">
      <c r="A23" s="5"/>
      <c r="B23" s="12">
        <f t="shared" si="1"/>
        <v>0.72924</v>
      </c>
      <c r="C23" s="12">
        <f t="shared" si="3"/>
        <v>0.75008</v>
      </c>
      <c r="D23" s="17"/>
      <c r="E23" s="17"/>
      <c r="F23" s="17"/>
      <c r="G23" s="17"/>
      <c r="H23" s="17"/>
      <c r="J23" s="27"/>
      <c r="K23" s="30"/>
      <c r="L23" s="31"/>
    </row>
    <row r="24" ht="15.75" customHeight="1">
      <c r="J24" s="27"/>
      <c r="K24" s="30"/>
      <c r="L24" s="31"/>
    </row>
    <row r="25" ht="15.75" customHeight="1">
      <c r="C25" s="32" t="s">
        <v>29</v>
      </c>
      <c r="D25" s="3"/>
      <c r="E25" s="3"/>
      <c r="F25" s="4"/>
      <c r="J25" s="27"/>
      <c r="K25" s="30"/>
      <c r="L25" s="31"/>
    </row>
    <row r="26" ht="15.75" customHeight="1">
      <c r="C26" s="33" t="s">
        <v>30</v>
      </c>
      <c r="D26" s="34"/>
      <c r="E26" s="3"/>
      <c r="F26" s="4"/>
      <c r="J26" s="23"/>
      <c r="K26" s="30"/>
      <c r="L26" s="31"/>
    </row>
    <row r="27" ht="15.75" customHeight="1">
      <c r="C27" s="33" t="s">
        <v>31</v>
      </c>
      <c r="D27" s="34"/>
      <c r="E27" s="3"/>
      <c r="F27" s="4"/>
      <c r="J27" s="23"/>
      <c r="K27" s="30"/>
      <c r="L27" s="31"/>
    </row>
    <row r="28" ht="15.75" customHeight="1">
      <c r="C28" s="33" t="s">
        <v>32</v>
      </c>
      <c r="D28" s="34"/>
      <c r="E28" s="3"/>
      <c r="F28" s="4"/>
      <c r="J28" s="23"/>
      <c r="K28" s="23"/>
      <c r="L28" s="23"/>
    </row>
    <row r="29" ht="15.75" customHeight="1">
      <c r="J29" s="23"/>
      <c r="K29" s="23"/>
      <c r="L29" s="23"/>
    </row>
    <row r="30" ht="15.75" customHeight="1">
      <c r="C30" s="35" t="s">
        <v>33</v>
      </c>
      <c r="D30" s="3"/>
      <c r="E30" s="3"/>
      <c r="F30" s="4"/>
      <c r="J30" s="23"/>
      <c r="K30" s="23"/>
      <c r="L30" s="23"/>
    </row>
    <row r="31" ht="15.75" customHeight="1">
      <c r="C31" s="33" t="s">
        <v>30</v>
      </c>
      <c r="D31" s="36" t="s">
        <v>34</v>
      </c>
      <c r="E31" s="3"/>
      <c r="F31" s="4"/>
      <c r="J31" s="23"/>
      <c r="K31" s="23"/>
      <c r="L31" s="23"/>
    </row>
    <row r="32" ht="15.75" customHeight="1">
      <c r="C32" s="33" t="s">
        <v>31</v>
      </c>
      <c r="D32" s="34" t="s">
        <v>35</v>
      </c>
      <c r="E32" s="3"/>
      <c r="F32" s="4"/>
      <c r="J32" s="23"/>
      <c r="K32" s="23"/>
      <c r="L32" s="23"/>
    </row>
    <row r="33" ht="15.75" customHeight="1">
      <c r="B33" s="37"/>
      <c r="C33" s="33" t="s">
        <v>32</v>
      </c>
      <c r="D33" s="34" t="s">
        <v>36</v>
      </c>
      <c r="E33" s="3"/>
      <c r="F33" s="4"/>
      <c r="J33" s="23"/>
      <c r="K33" s="24"/>
      <c r="L33" s="25"/>
    </row>
    <row r="34" ht="15.75" customHeight="1">
      <c r="B34" s="37"/>
      <c r="J34" s="27"/>
      <c r="K34" s="30"/>
      <c r="L34" s="31"/>
    </row>
    <row r="35" ht="15.75" customHeight="1">
      <c r="B35" s="38"/>
      <c r="J35" s="27"/>
      <c r="K35" s="30"/>
      <c r="L35" s="23"/>
    </row>
    <row r="36" ht="15.75" customHeight="1">
      <c r="J36" s="27"/>
      <c r="K36" s="23"/>
      <c r="L36" s="23"/>
    </row>
    <row r="37" ht="15.75" customHeight="1">
      <c r="J37" s="23"/>
      <c r="K37" s="23"/>
      <c r="L37" s="37"/>
    </row>
    <row r="38" ht="15.75" customHeight="1">
      <c r="J38" s="27"/>
      <c r="K38" s="23"/>
      <c r="L38" s="31"/>
    </row>
    <row r="39" ht="15.75" customHeight="1">
      <c r="J39" s="27"/>
      <c r="K39" s="23"/>
      <c r="L39" s="31"/>
    </row>
    <row r="40" ht="15.75" customHeight="1">
      <c r="J40" s="27"/>
      <c r="K40" s="23"/>
      <c r="L40" s="23"/>
    </row>
    <row r="41" ht="15.75" customHeight="1">
      <c r="J41" s="23"/>
      <c r="K41" s="23"/>
      <c r="L41" s="23"/>
    </row>
    <row r="42" ht="15.75" customHeight="1">
      <c r="J42" s="23"/>
      <c r="K42" s="23"/>
      <c r="L42" s="23"/>
    </row>
    <row r="43" ht="15.75" customHeight="1">
      <c r="J43" s="23"/>
      <c r="K43" s="23"/>
      <c r="L43" s="31"/>
    </row>
    <row r="44" ht="15.75" customHeight="1">
      <c r="J44" s="23"/>
      <c r="K44" s="23"/>
      <c r="L44" s="23"/>
    </row>
    <row r="45" ht="15.75" customHeight="1">
      <c r="J45" s="39"/>
      <c r="K45" s="23"/>
      <c r="L45" s="23"/>
      <c r="M45" s="40"/>
    </row>
    <row r="46" ht="15.75" customHeight="1">
      <c r="J46" s="39"/>
      <c r="K46" s="23"/>
      <c r="L46" s="23"/>
    </row>
    <row r="47" ht="15.75" customHeight="1">
      <c r="J47" s="39"/>
      <c r="K47" s="23"/>
      <c r="L47" s="23"/>
    </row>
    <row r="48" ht="15.75" customHeight="1">
      <c r="J48" s="39"/>
      <c r="K48" s="23"/>
      <c r="L48" s="23"/>
    </row>
    <row r="49" ht="15.75" customHeight="1">
      <c r="J49" s="23"/>
      <c r="K49" s="23"/>
      <c r="L49" s="31"/>
    </row>
    <row r="50" ht="15.75" customHeight="1">
      <c r="J50" s="23"/>
      <c r="K50" s="23"/>
      <c r="L50" s="23"/>
    </row>
    <row r="51" ht="15.75" customHeight="1">
      <c r="J51" s="23"/>
      <c r="K51" s="23"/>
      <c r="L51" s="23"/>
    </row>
    <row r="52" ht="15.75" customHeight="1">
      <c r="J52" s="23"/>
      <c r="K52" s="23"/>
      <c r="L52" s="2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G12:G13"/>
    <mergeCell ref="H12:H13"/>
    <mergeCell ref="G14:G15"/>
    <mergeCell ref="H14:H15"/>
    <mergeCell ref="D2:H2"/>
    <mergeCell ref="D7:D10"/>
    <mergeCell ref="E7:E10"/>
    <mergeCell ref="F7:F10"/>
    <mergeCell ref="G7:G10"/>
    <mergeCell ref="H7:H10"/>
    <mergeCell ref="D12:D13"/>
    <mergeCell ref="F17:F20"/>
    <mergeCell ref="G17:G20"/>
    <mergeCell ref="H17:H20"/>
    <mergeCell ref="K17:L17"/>
    <mergeCell ref="K20:L20"/>
    <mergeCell ref="E12:E13"/>
    <mergeCell ref="F12:F13"/>
    <mergeCell ref="D14:D15"/>
    <mergeCell ref="E14:E15"/>
    <mergeCell ref="F14:F15"/>
    <mergeCell ref="D17:D20"/>
    <mergeCell ref="E17:E20"/>
    <mergeCell ref="D27:F27"/>
    <mergeCell ref="D28:F28"/>
    <mergeCell ref="C30:F30"/>
    <mergeCell ref="D31:F31"/>
    <mergeCell ref="D32:F32"/>
    <mergeCell ref="D33:F33"/>
    <mergeCell ref="K33:L33"/>
    <mergeCell ref="B35:D35"/>
    <mergeCell ref="D21:D23"/>
    <mergeCell ref="E21:E23"/>
    <mergeCell ref="F21:F23"/>
    <mergeCell ref="G21:G23"/>
    <mergeCell ref="H21:H23"/>
    <mergeCell ref="C25:F25"/>
    <mergeCell ref="D26:F26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8.13"/>
    <col customWidth="1" min="3" max="3" width="9.0"/>
    <col customWidth="1" min="4" max="8" width="21.88"/>
    <col customWidth="1" min="9" max="9" width="1.25"/>
    <col customWidth="1" min="10" max="10" width="9.63"/>
    <col customWidth="1" min="11" max="11" width="1.75"/>
    <col customWidth="1" min="12" max="12" width="17.75"/>
    <col customWidth="1" min="13" max="14" width="14.38"/>
  </cols>
  <sheetData>
    <row r="1" ht="5.25" customHeight="1"/>
    <row r="2" ht="15.75" customHeight="1">
      <c r="B2" s="1"/>
      <c r="D2" s="41" t="s">
        <v>37</v>
      </c>
      <c r="E2" s="3"/>
      <c r="F2" s="3"/>
      <c r="G2" s="3"/>
      <c r="H2" s="4"/>
      <c r="L2" s="5"/>
    </row>
    <row r="3" ht="15.75" customHeight="1"/>
    <row r="4" ht="15.75" customHeight="1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J4" s="42" t="s">
        <v>38</v>
      </c>
      <c r="K4" s="43"/>
      <c r="L4" s="5" t="s">
        <v>39</v>
      </c>
      <c r="M4" s="26"/>
    </row>
    <row r="5" ht="15.75" customHeight="1">
      <c r="A5" s="5"/>
      <c r="B5" s="12">
        <v>0.3333333333333333</v>
      </c>
      <c r="C5" s="12">
        <v>0.34375</v>
      </c>
      <c r="D5" s="44" t="s">
        <v>40</v>
      </c>
      <c r="E5" s="44" t="s">
        <v>40</v>
      </c>
      <c r="F5" s="44" t="s">
        <v>40</v>
      </c>
      <c r="G5" s="44" t="s">
        <v>40</v>
      </c>
      <c r="H5" s="44" t="s">
        <v>40</v>
      </c>
      <c r="J5" s="42"/>
    </row>
    <row r="6" ht="15.75" customHeight="1">
      <c r="A6" s="5"/>
      <c r="B6" s="12">
        <v>0.34375</v>
      </c>
      <c r="C6" s="12">
        <v>0.3541666666666667</v>
      </c>
      <c r="D6" s="45" t="s">
        <v>41</v>
      </c>
      <c r="E6" s="45" t="s">
        <v>41</v>
      </c>
      <c r="F6" s="45" t="s">
        <v>41</v>
      </c>
      <c r="G6" s="45" t="s">
        <v>41</v>
      </c>
      <c r="H6" s="46" t="s">
        <v>26</v>
      </c>
      <c r="J6" s="42" t="s">
        <v>42</v>
      </c>
      <c r="K6" s="47"/>
      <c r="L6" s="5" t="s">
        <v>43</v>
      </c>
    </row>
    <row r="7" ht="15.75" customHeight="1">
      <c r="A7" s="5"/>
      <c r="B7" s="12">
        <v>0.3541666666666667</v>
      </c>
      <c r="C7" s="12">
        <v>0.3854166666666667</v>
      </c>
      <c r="D7" s="17"/>
      <c r="E7" s="17"/>
      <c r="F7" s="17"/>
      <c r="G7" s="17"/>
      <c r="H7" s="17"/>
      <c r="J7" s="42" t="s">
        <v>44</v>
      </c>
      <c r="K7" s="47"/>
      <c r="L7" s="5" t="s">
        <v>45</v>
      </c>
    </row>
    <row r="8" ht="15.75" customHeight="1">
      <c r="A8" s="5"/>
      <c r="B8" s="12">
        <v>0.3854166666666667</v>
      </c>
      <c r="C8" s="12">
        <v>0.3958333333333333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J8" s="42" t="s">
        <v>44</v>
      </c>
      <c r="K8" s="47"/>
      <c r="L8" s="48" t="s">
        <v>47</v>
      </c>
    </row>
    <row r="9" ht="15.75" customHeight="1">
      <c r="A9" s="5"/>
      <c r="B9" s="12">
        <f t="shared" ref="B9:B23" si="1">C8</f>
        <v>0.3958333333</v>
      </c>
      <c r="C9" s="12">
        <v>0.4166666666666667</v>
      </c>
      <c r="D9" s="13" t="s">
        <v>48</v>
      </c>
      <c r="E9" s="13" t="s">
        <v>48</v>
      </c>
      <c r="F9" s="13" t="s">
        <v>48</v>
      </c>
      <c r="G9" s="13" t="s">
        <v>48</v>
      </c>
      <c r="H9" s="13" t="s">
        <v>48</v>
      </c>
      <c r="J9" s="42" t="s">
        <v>44</v>
      </c>
      <c r="K9" s="47"/>
      <c r="L9" s="5" t="s">
        <v>49</v>
      </c>
    </row>
    <row r="10" ht="15.75" customHeight="1">
      <c r="A10" s="5"/>
      <c r="B10" s="12">
        <f t="shared" si="1"/>
        <v>0.4166666667</v>
      </c>
      <c r="C10" s="12">
        <f t="shared" ref="C10:C23" si="2">B10+(0.020833)</f>
        <v>0.4374996667</v>
      </c>
      <c r="D10" s="15"/>
      <c r="E10" s="15"/>
      <c r="F10" s="15"/>
      <c r="G10" s="15"/>
      <c r="H10" s="15"/>
      <c r="J10" s="42" t="s">
        <v>44</v>
      </c>
      <c r="K10" s="47"/>
      <c r="L10" s="48" t="s">
        <v>50</v>
      </c>
    </row>
    <row r="11" ht="15.75" customHeight="1">
      <c r="A11" s="5"/>
      <c r="B11" s="12">
        <f t="shared" si="1"/>
        <v>0.4374996667</v>
      </c>
      <c r="C11" s="12">
        <f t="shared" si="2"/>
        <v>0.4583326667</v>
      </c>
      <c r="D11" s="15"/>
      <c r="E11" s="15"/>
      <c r="F11" s="15"/>
      <c r="G11" s="15"/>
      <c r="H11" s="15"/>
      <c r="J11" s="42"/>
    </row>
    <row r="12" ht="15.75" customHeight="1">
      <c r="A12" s="5"/>
      <c r="B12" s="12">
        <f t="shared" si="1"/>
        <v>0.4583326667</v>
      </c>
      <c r="C12" s="12">
        <f t="shared" si="2"/>
        <v>0.4791656667</v>
      </c>
      <c r="D12" s="17"/>
      <c r="E12" s="17"/>
      <c r="F12" s="17"/>
      <c r="G12" s="17"/>
      <c r="H12" s="17"/>
      <c r="J12" s="42" t="s">
        <v>42</v>
      </c>
      <c r="K12" s="49"/>
      <c r="L12" s="48" t="s">
        <v>51</v>
      </c>
    </row>
    <row r="13" ht="15.75" customHeight="1">
      <c r="A13" s="5"/>
      <c r="B13" s="12">
        <f t="shared" si="1"/>
        <v>0.4791656667</v>
      </c>
      <c r="C13" s="12">
        <f t="shared" si="2"/>
        <v>0.4999986667</v>
      </c>
      <c r="D13" s="11" t="s">
        <v>52</v>
      </c>
      <c r="E13" s="11" t="s">
        <v>52</v>
      </c>
      <c r="F13" s="11" t="s">
        <v>52</v>
      </c>
      <c r="G13" s="11" t="s">
        <v>52</v>
      </c>
      <c r="H13" s="11" t="s">
        <v>52</v>
      </c>
      <c r="J13" s="42" t="s">
        <v>53</v>
      </c>
      <c r="K13" s="49"/>
      <c r="L13" s="5" t="s">
        <v>54</v>
      </c>
    </row>
    <row r="14" ht="15.75" customHeight="1">
      <c r="A14" s="5"/>
      <c r="B14" s="12">
        <f t="shared" si="1"/>
        <v>0.4999986667</v>
      </c>
      <c r="C14" s="12">
        <f t="shared" si="2"/>
        <v>0.5208316667</v>
      </c>
      <c r="D14" s="20" t="s">
        <v>19</v>
      </c>
      <c r="E14" s="20" t="s">
        <v>19</v>
      </c>
      <c r="F14" s="20" t="s">
        <v>19</v>
      </c>
      <c r="G14" s="20" t="s">
        <v>19</v>
      </c>
      <c r="H14" s="20" t="s">
        <v>19</v>
      </c>
      <c r="J14" s="42"/>
    </row>
    <row r="15" ht="15.75" customHeight="1">
      <c r="A15" s="5"/>
      <c r="B15" s="12">
        <f t="shared" si="1"/>
        <v>0.5208316667</v>
      </c>
      <c r="C15" s="12">
        <f t="shared" si="2"/>
        <v>0.5416646667</v>
      </c>
      <c r="D15" s="17"/>
      <c r="E15" s="17"/>
      <c r="F15" s="17"/>
      <c r="G15" s="17"/>
      <c r="H15" s="17"/>
      <c r="J15" s="42" t="s">
        <v>55</v>
      </c>
      <c r="K15" s="50"/>
      <c r="L15" s="48" t="s">
        <v>56</v>
      </c>
    </row>
    <row r="16" ht="15.75" customHeight="1">
      <c r="A16" s="5"/>
      <c r="B16" s="12">
        <f t="shared" si="1"/>
        <v>0.5416646667</v>
      </c>
      <c r="C16" s="12">
        <f t="shared" si="2"/>
        <v>0.5624976667</v>
      </c>
      <c r="D16" s="51" t="s">
        <v>22</v>
      </c>
      <c r="E16" s="45" t="s">
        <v>28</v>
      </c>
      <c r="F16" s="45" t="s">
        <v>28</v>
      </c>
      <c r="G16" s="45" t="s">
        <v>28</v>
      </c>
      <c r="H16" s="51" t="s">
        <v>57</v>
      </c>
      <c r="J16" s="42" t="s">
        <v>58</v>
      </c>
      <c r="K16" s="50"/>
      <c r="L16" s="48" t="s">
        <v>59</v>
      </c>
    </row>
    <row r="17" ht="15.75" customHeight="1">
      <c r="A17" s="5"/>
      <c r="B17" s="12">
        <f t="shared" si="1"/>
        <v>0.5624976667</v>
      </c>
      <c r="C17" s="12">
        <f t="shared" si="2"/>
        <v>0.5833306667</v>
      </c>
      <c r="D17" s="17"/>
      <c r="E17" s="17"/>
      <c r="F17" s="17"/>
      <c r="G17" s="17"/>
      <c r="H17" s="17"/>
    </row>
    <row r="18" ht="15.75" customHeight="1">
      <c r="A18" s="5"/>
      <c r="B18" s="12">
        <f t="shared" si="1"/>
        <v>0.5833306667</v>
      </c>
      <c r="C18" s="12">
        <f t="shared" si="2"/>
        <v>0.6041636667</v>
      </c>
      <c r="D18" s="13" t="s">
        <v>48</v>
      </c>
      <c r="E18" s="13" t="s">
        <v>48</v>
      </c>
      <c r="F18" s="13" t="s">
        <v>48</v>
      </c>
      <c r="G18" s="13" t="s">
        <v>48</v>
      </c>
      <c r="H18" s="13" t="s">
        <v>48</v>
      </c>
    </row>
    <row r="19" ht="15.75" customHeight="1">
      <c r="A19" s="5"/>
      <c r="B19" s="12">
        <f t="shared" si="1"/>
        <v>0.6041636667</v>
      </c>
      <c r="C19" s="12">
        <f t="shared" si="2"/>
        <v>0.6249966667</v>
      </c>
      <c r="D19" s="15"/>
      <c r="E19" s="15"/>
      <c r="F19" s="15"/>
      <c r="G19" s="15"/>
      <c r="H19" s="15"/>
      <c r="L19" s="48" t="s">
        <v>60</v>
      </c>
    </row>
    <row r="20" ht="15.75" customHeight="1">
      <c r="A20" s="5"/>
      <c r="B20" s="12">
        <f t="shared" si="1"/>
        <v>0.6249966667</v>
      </c>
      <c r="C20" s="12">
        <f t="shared" si="2"/>
        <v>0.6458296667</v>
      </c>
      <c r="D20" s="15"/>
      <c r="E20" s="15"/>
      <c r="F20" s="15"/>
      <c r="G20" s="15"/>
      <c r="H20" s="15"/>
      <c r="L20" s="5" t="s">
        <v>61</v>
      </c>
    </row>
    <row r="21" ht="15.75" customHeight="1">
      <c r="A21" s="5"/>
      <c r="B21" s="12">
        <f t="shared" si="1"/>
        <v>0.6458296667</v>
      </c>
      <c r="C21" s="12">
        <f t="shared" si="2"/>
        <v>0.6666626667</v>
      </c>
      <c r="D21" s="15"/>
      <c r="E21" s="15"/>
      <c r="F21" s="15"/>
      <c r="G21" s="15"/>
      <c r="H21" s="15"/>
      <c r="L21" s="5" t="s">
        <v>62</v>
      </c>
    </row>
    <row r="22" ht="15.75" customHeight="1">
      <c r="A22" s="5"/>
      <c r="B22" s="12">
        <f t="shared" si="1"/>
        <v>0.6666626667</v>
      </c>
      <c r="C22" s="12">
        <f t="shared" si="2"/>
        <v>0.6874956667</v>
      </c>
      <c r="D22" s="15"/>
      <c r="E22" s="15"/>
      <c r="F22" s="15"/>
      <c r="G22" s="15"/>
      <c r="H22" s="15"/>
      <c r="J22" s="52"/>
      <c r="L22" s="5" t="s">
        <v>63</v>
      </c>
    </row>
    <row r="23" ht="15.75" customHeight="1">
      <c r="A23" s="5"/>
      <c r="B23" s="12">
        <f t="shared" si="1"/>
        <v>0.6874956667</v>
      </c>
      <c r="C23" s="12">
        <f t="shared" si="2"/>
        <v>0.7083286667</v>
      </c>
      <c r="D23" s="53" t="s">
        <v>64</v>
      </c>
      <c r="E23" s="53" t="s">
        <v>64</v>
      </c>
      <c r="F23" s="53" t="s">
        <v>64</v>
      </c>
      <c r="G23" s="53" t="s">
        <v>64</v>
      </c>
      <c r="H23" s="53" t="s">
        <v>64</v>
      </c>
      <c r="J23" s="52"/>
      <c r="L23" s="5" t="s">
        <v>65</v>
      </c>
    </row>
    <row r="24" ht="15.75" customHeight="1">
      <c r="J24" s="52"/>
      <c r="M24" s="40"/>
      <c r="N24" s="54"/>
    </row>
    <row r="25" ht="15.75" customHeight="1">
      <c r="J25" s="52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G9:G12"/>
    <mergeCell ref="H9:H12"/>
    <mergeCell ref="G14:G15"/>
    <mergeCell ref="H14:H15"/>
    <mergeCell ref="G16:G17"/>
    <mergeCell ref="H16:H17"/>
    <mergeCell ref="D2:H2"/>
    <mergeCell ref="D6:D7"/>
    <mergeCell ref="E6:E7"/>
    <mergeCell ref="F6:F7"/>
    <mergeCell ref="G6:G7"/>
    <mergeCell ref="H6:H7"/>
    <mergeCell ref="D9:D12"/>
    <mergeCell ref="D16:D17"/>
    <mergeCell ref="D18:D22"/>
    <mergeCell ref="E18:E22"/>
    <mergeCell ref="F18:F22"/>
    <mergeCell ref="G18:G22"/>
    <mergeCell ref="H18:H22"/>
    <mergeCell ref="E9:E12"/>
    <mergeCell ref="F9:F12"/>
    <mergeCell ref="D14:D15"/>
    <mergeCell ref="E14:E15"/>
    <mergeCell ref="F14:F15"/>
    <mergeCell ref="E16:E17"/>
    <mergeCell ref="F16:F17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3.88"/>
    <col customWidth="1" min="3" max="3" width="216.0"/>
    <col customWidth="1" min="4" max="5" width="19.63"/>
    <col customWidth="1" min="6" max="8" width="24.13"/>
    <col customWidth="1" min="9" max="9" width="1.25"/>
    <col customWidth="1" min="10" max="10" width="9.63"/>
    <col customWidth="1" min="11" max="11" width="1.75"/>
    <col customWidth="1" min="12" max="12" width="43.25"/>
    <col customWidth="1" min="13" max="13" width="14.38"/>
  </cols>
  <sheetData>
    <row r="1" ht="5.25" customHeight="1"/>
    <row r="2" ht="24.75" customHeight="1">
      <c r="B2" s="55" t="s">
        <v>66</v>
      </c>
      <c r="C2" s="56"/>
    </row>
    <row r="3" ht="13.5" customHeight="1">
      <c r="A3" s="5"/>
      <c r="B3" s="57"/>
      <c r="C3" s="58"/>
      <c r="D3" s="59"/>
      <c r="F3" s="59"/>
      <c r="G3" s="59"/>
      <c r="H3" s="59"/>
      <c r="J3" s="23"/>
      <c r="K3" s="23"/>
      <c r="L3" s="59"/>
    </row>
    <row r="4" ht="13.5" customHeight="1">
      <c r="A4" s="5"/>
      <c r="B4" s="59"/>
      <c r="C4" s="59"/>
      <c r="D4" s="59"/>
      <c r="F4" s="59"/>
      <c r="G4" s="59"/>
      <c r="H4" s="59"/>
      <c r="J4" s="23"/>
      <c r="K4" s="23"/>
      <c r="L4" s="59"/>
    </row>
    <row r="5" ht="15.75" customHeight="1">
      <c r="A5" s="5"/>
      <c r="B5" s="60" t="s">
        <v>67</v>
      </c>
      <c r="C5" s="4"/>
      <c r="D5" s="61"/>
      <c r="F5" s="30"/>
      <c r="G5" s="30"/>
      <c r="H5" s="30"/>
      <c r="J5" s="23"/>
      <c r="K5" s="23"/>
      <c r="L5" s="37"/>
    </row>
    <row r="6" ht="15.75" customHeight="1">
      <c r="A6" s="5"/>
      <c r="B6" s="53">
        <v>1.0</v>
      </c>
      <c r="C6" s="19" t="s">
        <v>68</v>
      </c>
      <c r="D6" s="61"/>
      <c r="F6" s="30"/>
      <c r="G6" s="30"/>
      <c r="H6" s="30"/>
    </row>
    <row r="7" ht="15.75" customHeight="1">
      <c r="A7" s="5"/>
      <c r="B7" s="53">
        <v>2.0</v>
      </c>
      <c r="C7" s="19" t="s">
        <v>69</v>
      </c>
      <c r="D7" s="61"/>
      <c r="F7" s="62"/>
      <c r="G7" s="62"/>
      <c r="H7" s="62"/>
    </row>
    <row r="8" ht="15.75" customHeight="1">
      <c r="A8" s="5"/>
      <c r="B8" s="53">
        <v>3.0</v>
      </c>
      <c r="C8" s="63" t="s">
        <v>70</v>
      </c>
      <c r="D8" s="61"/>
      <c r="F8" s="64"/>
      <c r="G8" s="64"/>
      <c r="H8" s="64"/>
    </row>
    <row r="9" ht="15.75" customHeight="1">
      <c r="A9" s="5"/>
      <c r="B9" s="53">
        <v>4.0</v>
      </c>
      <c r="C9" s="63" t="s">
        <v>71</v>
      </c>
      <c r="D9" s="61"/>
      <c r="F9" s="64"/>
      <c r="G9" s="64"/>
      <c r="H9" s="64"/>
    </row>
    <row r="10" ht="15.75" customHeight="1">
      <c r="A10" s="5"/>
      <c r="B10" s="53">
        <v>5.0</v>
      </c>
      <c r="C10" s="63" t="s">
        <v>72</v>
      </c>
      <c r="D10" s="61"/>
      <c r="F10" s="64"/>
      <c r="G10" s="64"/>
      <c r="H10" s="64"/>
    </row>
    <row r="11" ht="15.75" customHeight="1">
      <c r="A11" s="5"/>
      <c r="B11" s="53">
        <v>6.0</v>
      </c>
      <c r="C11" s="63" t="s">
        <v>73</v>
      </c>
      <c r="D11" s="61"/>
      <c r="F11" s="30"/>
      <c r="G11" s="30"/>
      <c r="H11" s="30"/>
    </row>
    <row r="12" ht="15.75" customHeight="1">
      <c r="A12" s="5"/>
      <c r="B12" s="53">
        <v>7.0</v>
      </c>
      <c r="C12" s="63" t="s">
        <v>74</v>
      </c>
      <c r="D12" s="65"/>
      <c r="F12" s="65"/>
      <c r="G12" s="65"/>
      <c r="H12" s="65"/>
    </row>
    <row r="13" ht="15.75" customHeight="1">
      <c r="A13" s="5"/>
      <c r="B13" s="53">
        <v>8.0</v>
      </c>
      <c r="C13" s="63" t="s">
        <v>75</v>
      </c>
      <c r="D13" s="64"/>
      <c r="F13" s="64"/>
      <c r="G13" s="64"/>
      <c r="H13" s="64"/>
    </row>
    <row r="14" ht="15.75" customHeight="1">
      <c r="A14" s="5"/>
      <c r="D14" s="62"/>
      <c r="F14" s="65"/>
      <c r="G14" s="62"/>
      <c r="H14" s="65"/>
    </row>
    <row r="15" ht="15.75" customHeight="1">
      <c r="A15" s="5"/>
      <c r="B15" s="60" t="s">
        <v>76</v>
      </c>
      <c r="C15" s="4"/>
      <c r="D15" s="64"/>
      <c r="F15" s="64"/>
      <c r="G15" s="64"/>
      <c r="H15" s="64"/>
    </row>
    <row r="16" ht="15.75" customHeight="1">
      <c r="A16" s="5"/>
      <c r="B16" s="66">
        <v>1.0</v>
      </c>
      <c r="C16" s="19" t="s">
        <v>77</v>
      </c>
      <c r="D16" s="30"/>
      <c r="F16" s="30"/>
      <c r="G16" s="30"/>
      <c r="H16" s="30"/>
    </row>
    <row r="17" ht="15.75" customHeight="1">
      <c r="A17" s="5"/>
      <c r="B17" s="66">
        <v>2.0</v>
      </c>
      <c r="C17" s="19" t="s">
        <v>78</v>
      </c>
      <c r="D17" s="62"/>
      <c r="F17" s="62"/>
      <c r="G17" s="62"/>
      <c r="H17" s="62"/>
      <c r="M17" s="26"/>
    </row>
    <row r="18" ht="15.75" customHeight="1">
      <c r="A18" s="5"/>
      <c r="B18" s="66">
        <v>3.0</v>
      </c>
      <c r="C18" s="19" t="s">
        <v>79</v>
      </c>
      <c r="D18" s="64"/>
      <c r="F18" s="64"/>
      <c r="G18" s="64"/>
      <c r="H18" s="64"/>
    </row>
    <row r="19" ht="15.75" customHeight="1">
      <c r="A19" s="5"/>
      <c r="D19" s="64"/>
      <c r="F19" s="64"/>
      <c r="G19" s="64"/>
      <c r="H19" s="64"/>
    </row>
    <row r="20" ht="15.75" customHeight="1">
      <c r="A20" s="5"/>
      <c r="D20" s="64"/>
      <c r="F20" s="64"/>
      <c r="G20" s="64"/>
      <c r="H20" s="64"/>
    </row>
    <row r="21" ht="15.75" customHeight="1">
      <c r="A21" s="5"/>
      <c r="B21" s="67" t="s">
        <v>80</v>
      </c>
      <c r="C21" s="4"/>
      <c r="F21" s="62"/>
      <c r="G21" s="62"/>
      <c r="H21" s="62"/>
    </row>
    <row r="22" ht="15.75" customHeight="1">
      <c r="A22" s="5"/>
      <c r="B22" s="53">
        <v>1.0</v>
      </c>
      <c r="C22" s="63" t="s">
        <v>81</v>
      </c>
      <c r="D22" s="61"/>
      <c r="F22" s="64"/>
      <c r="G22" s="64"/>
      <c r="H22" s="64"/>
    </row>
    <row r="23" ht="15.75" customHeight="1">
      <c r="A23" s="5"/>
      <c r="B23" s="53">
        <v>2.0</v>
      </c>
      <c r="C23" s="19" t="s">
        <v>82</v>
      </c>
      <c r="D23" s="61"/>
      <c r="F23" s="64"/>
      <c r="G23" s="64"/>
      <c r="H23" s="64"/>
    </row>
    <row r="24" ht="15.75" customHeight="1"/>
    <row r="25" ht="15.75" customHeight="1"/>
    <row r="26" ht="15.75" customHeight="1">
      <c r="B26" s="68" t="s">
        <v>83</v>
      </c>
      <c r="C26" s="4"/>
    </row>
    <row r="27" ht="15.75" customHeight="1">
      <c r="B27" s="69">
        <v>1.0</v>
      </c>
      <c r="C27" s="19" t="s">
        <v>84</v>
      </c>
      <c r="D27" s="61"/>
      <c r="F27" s="70"/>
    </row>
    <row r="28" ht="15.75" customHeight="1">
      <c r="B28" s="37"/>
      <c r="C28" s="5"/>
      <c r="D28" s="61"/>
      <c r="F28" s="70"/>
    </row>
    <row r="29" ht="15.75" customHeight="1"/>
    <row r="30" ht="15.75" customHeight="1">
      <c r="B30" s="68" t="s">
        <v>85</v>
      </c>
      <c r="C30" s="4"/>
    </row>
    <row r="31" ht="15.75" customHeight="1">
      <c r="B31" s="69">
        <v>1.0</v>
      </c>
      <c r="C31" s="63" t="s">
        <v>86</v>
      </c>
      <c r="D31" s="61"/>
    </row>
    <row r="32" ht="15.75" customHeight="1">
      <c r="B32" s="69">
        <v>2.0</v>
      </c>
      <c r="C32" s="63" t="s">
        <v>87</v>
      </c>
      <c r="D32" s="61"/>
    </row>
    <row r="33" ht="15.75" customHeight="1">
      <c r="B33" s="69">
        <v>3.0</v>
      </c>
      <c r="C33" s="19" t="s">
        <v>88</v>
      </c>
      <c r="D33" s="61"/>
    </row>
    <row r="34" ht="15.75" customHeight="1"/>
    <row r="35" ht="15.75" customHeight="1"/>
    <row r="36" ht="15.75" customHeight="1">
      <c r="C36" s="48"/>
    </row>
    <row r="37" ht="15.75" customHeight="1"/>
    <row r="38" ht="15.75" customHeight="1"/>
    <row r="39" ht="15.75" customHeight="1">
      <c r="M39" s="40"/>
    </row>
    <row r="40" ht="15.75" customHeight="1"/>
    <row r="41" ht="15.75" customHeight="1">
      <c r="J41" s="71"/>
    </row>
    <row r="42" ht="15.75" customHeight="1">
      <c r="J42" s="71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G12:G13"/>
    <mergeCell ref="H12:H13"/>
    <mergeCell ref="G14:G15"/>
    <mergeCell ref="H14:H15"/>
    <mergeCell ref="B2:C3"/>
    <mergeCell ref="B5:C5"/>
    <mergeCell ref="F7:F10"/>
    <mergeCell ref="G7:G10"/>
    <mergeCell ref="H7:H10"/>
    <mergeCell ref="D12:D13"/>
    <mergeCell ref="D14:D15"/>
    <mergeCell ref="B15:C15"/>
    <mergeCell ref="F21:F23"/>
    <mergeCell ref="G21:G23"/>
    <mergeCell ref="H21:H23"/>
    <mergeCell ref="B26:C26"/>
    <mergeCell ref="B30:C30"/>
    <mergeCell ref="F12:F13"/>
    <mergeCell ref="F14:F15"/>
    <mergeCell ref="D17:D20"/>
    <mergeCell ref="F17:F20"/>
    <mergeCell ref="G17:G20"/>
    <mergeCell ref="H17:H20"/>
    <mergeCell ref="B21:C2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38"/>
    <col customWidth="1" min="2" max="2" width="11.25"/>
    <col customWidth="1" min="3" max="3" width="9.0"/>
    <col customWidth="1" min="4" max="4" width="33.25"/>
    <col customWidth="1" min="5" max="8" width="24.13"/>
    <col customWidth="1" min="9" max="9" width="1.25"/>
    <col customWidth="1" min="10" max="10" width="2.38"/>
    <col customWidth="1" min="11" max="11" width="1.75"/>
    <col customWidth="1" min="12" max="12" width="63.38"/>
    <col customWidth="1" min="13" max="13" width="14.38"/>
  </cols>
  <sheetData>
    <row r="1" ht="5.25" customHeight="1"/>
    <row r="2" ht="15.75" customHeight="1">
      <c r="B2" s="1"/>
      <c r="D2" s="72" t="s">
        <v>0</v>
      </c>
      <c r="E2" s="3"/>
      <c r="F2" s="3"/>
      <c r="G2" s="3"/>
      <c r="H2" s="4"/>
    </row>
    <row r="3" ht="7.5" customHeight="1"/>
    <row r="4" ht="15.75" customHeight="1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L4" s="7" t="s">
        <v>8</v>
      </c>
    </row>
    <row r="5" ht="15.75" customHeight="1">
      <c r="A5" s="5"/>
      <c r="B5" s="8">
        <v>0.375</v>
      </c>
      <c r="C5" s="8">
        <v>0.3888888888888889</v>
      </c>
      <c r="D5" s="9"/>
      <c r="E5" s="9"/>
      <c r="F5" s="9"/>
      <c r="G5" s="9"/>
      <c r="H5" s="9"/>
      <c r="L5" s="10" t="s">
        <v>10</v>
      </c>
    </row>
    <row r="6" ht="15.75" customHeight="1">
      <c r="A6" s="5"/>
      <c r="B6" s="8">
        <f t="shared" ref="B6:B23" si="1">C5</f>
        <v>0.3888888889</v>
      </c>
      <c r="C6" s="8">
        <v>0.4027777777777778</v>
      </c>
      <c r="D6" s="11"/>
      <c r="E6" s="11"/>
      <c r="F6" s="11"/>
      <c r="G6" s="11"/>
      <c r="H6" s="11"/>
      <c r="L6" s="11" t="s">
        <v>12</v>
      </c>
    </row>
    <row r="7" ht="15.75" customHeight="1">
      <c r="A7" s="5"/>
      <c r="B7" s="12">
        <f t="shared" si="1"/>
        <v>0.4027777778</v>
      </c>
      <c r="C7" s="12">
        <v>0.4166666666666667</v>
      </c>
      <c r="D7" s="73"/>
      <c r="E7" s="73"/>
      <c r="F7" s="73"/>
      <c r="G7" s="73"/>
      <c r="H7" s="73"/>
      <c r="L7" s="74" t="s">
        <v>14</v>
      </c>
    </row>
    <row r="8" ht="15.75" customHeight="1">
      <c r="A8" s="5"/>
      <c r="B8" s="12">
        <f t="shared" si="1"/>
        <v>0.4166666667</v>
      </c>
      <c r="C8" s="12">
        <f t="shared" ref="C8:C9" si="2">B8+0.02084</f>
        <v>0.4375066667</v>
      </c>
      <c r="D8" s="15"/>
      <c r="E8" s="15"/>
      <c r="F8" s="15"/>
      <c r="G8" s="15"/>
      <c r="H8" s="15"/>
      <c r="L8" s="16" t="s">
        <v>15</v>
      </c>
    </row>
    <row r="9" ht="15.75" customHeight="1">
      <c r="A9" s="5"/>
      <c r="B9" s="12">
        <f t="shared" si="1"/>
        <v>0.4375066667</v>
      </c>
      <c r="C9" s="12">
        <f t="shared" si="2"/>
        <v>0.4583466667</v>
      </c>
      <c r="D9" s="15"/>
      <c r="E9" s="15"/>
      <c r="F9" s="15"/>
      <c r="G9" s="15"/>
      <c r="H9" s="15"/>
    </row>
    <row r="10" ht="15.75" customHeight="1">
      <c r="A10" s="5"/>
      <c r="B10" s="12">
        <f t="shared" si="1"/>
        <v>0.4583466667</v>
      </c>
      <c r="C10" s="12">
        <v>0.4861111111111111</v>
      </c>
      <c r="D10" s="17"/>
      <c r="E10" s="17"/>
      <c r="F10" s="17"/>
      <c r="G10" s="17"/>
      <c r="H10" s="17"/>
      <c r="L10" s="7" t="s">
        <v>16</v>
      </c>
    </row>
    <row r="11" ht="15.75" customHeight="1">
      <c r="A11" s="5"/>
      <c r="B11" s="12">
        <f t="shared" si="1"/>
        <v>0.4861111111</v>
      </c>
      <c r="C11" s="12">
        <v>0.5</v>
      </c>
      <c r="D11" s="18"/>
      <c r="E11" s="18"/>
      <c r="F11" s="18"/>
      <c r="G11" s="18"/>
      <c r="H11" s="18"/>
      <c r="L11" s="19" t="s">
        <v>18</v>
      </c>
    </row>
    <row r="12" ht="15.75" customHeight="1">
      <c r="A12" s="5"/>
      <c r="B12" s="12">
        <f t="shared" si="1"/>
        <v>0.5</v>
      </c>
      <c r="C12" s="12">
        <f t="shared" ref="C12:C23" si="3">B12+0.02084</f>
        <v>0.52084</v>
      </c>
      <c r="D12" s="20" t="s">
        <v>19</v>
      </c>
      <c r="E12" s="20" t="s">
        <v>19</v>
      </c>
      <c r="F12" s="20" t="s">
        <v>19</v>
      </c>
      <c r="G12" s="20" t="s">
        <v>19</v>
      </c>
      <c r="H12" s="20" t="s">
        <v>19</v>
      </c>
      <c r="L12" s="19" t="s">
        <v>20</v>
      </c>
    </row>
    <row r="13" ht="15.75" customHeight="1">
      <c r="A13" s="5"/>
      <c r="B13" s="12">
        <f t="shared" si="1"/>
        <v>0.52084</v>
      </c>
      <c r="C13" s="12">
        <f t="shared" si="3"/>
        <v>0.54168</v>
      </c>
      <c r="D13" s="17"/>
      <c r="E13" s="17"/>
      <c r="F13" s="17"/>
      <c r="G13" s="17"/>
      <c r="H13" s="17"/>
      <c r="L13" s="19" t="s">
        <v>21</v>
      </c>
    </row>
    <row r="14" ht="15.75" customHeight="1">
      <c r="A14" s="5"/>
      <c r="B14" s="12">
        <f t="shared" si="1"/>
        <v>0.54168</v>
      </c>
      <c r="C14" s="12">
        <f t="shared" si="3"/>
        <v>0.56252</v>
      </c>
      <c r="D14" s="21"/>
      <c r="E14" s="21"/>
      <c r="F14" s="22"/>
      <c r="G14" s="21"/>
      <c r="H14" s="22"/>
      <c r="L14" s="19" t="s">
        <v>27</v>
      </c>
    </row>
    <row r="15" ht="15.75" customHeight="1">
      <c r="A15" s="5"/>
      <c r="B15" s="12">
        <f t="shared" si="1"/>
        <v>0.56252</v>
      </c>
      <c r="C15" s="12">
        <f t="shared" si="3"/>
        <v>0.58336</v>
      </c>
      <c r="D15" s="17"/>
      <c r="E15" s="17"/>
      <c r="F15" s="17"/>
      <c r="G15" s="17"/>
      <c r="H15" s="17"/>
    </row>
    <row r="16" ht="15.75" customHeight="1">
      <c r="A16" s="5"/>
      <c r="B16" s="12">
        <f t="shared" si="1"/>
        <v>0.58336</v>
      </c>
      <c r="C16" s="12">
        <f t="shared" si="3"/>
        <v>0.6042</v>
      </c>
      <c r="D16" s="18"/>
      <c r="E16" s="18"/>
      <c r="F16" s="18"/>
      <c r="G16" s="18"/>
      <c r="H16" s="18"/>
    </row>
    <row r="17" ht="15.75" customHeight="1">
      <c r="A17" s="5"/>
      <c r="B17" s="12">
        <f t="shared" si="1"/>
        <v>0.6042</v>
      </c>
      <c r="C17" s="12">
        <f t="shared" si="3"/>
        <v>0.62504</v>
      </c>
      <c r="D17" s="73"/>
      <c r="E17" s="73"/>
      <c r="F17" s="73"/>
      <c r="G17" s="73"/>
      <c r="H17" s="73"/>
      <c r="J17" s="23"/>
      <c r="K17" s="24"/>
      <c r="L17" s="25"/>
      <c r="M17" s="26"/>
    </row>
    <row r="18" ht="15.75" customHeight="1">
      <c r="A18" s="5"/>
      <c r="B18" s="12">
        <f t="shared" si="1"/>
        <v>0.62504</v>
      </c>
      <c r="C18" s="12">
        <f t="shared" si="3"/>
        <v>0.64588</v>
      </c>
      <c r="D18" s="15"/>
      <c r="E18" s="15"/>
      <c r="F18" s="15"/>
      <c r="G18" s="15"/>
      <c r="H18" s="15"/>
      <c r="J18" s="27"/>
      <c r="K18" s="23"/>
      <c r="L18" s="23"/>
    </row>
    <row r="19" ht="15.75" customHeight="1">
      <c r="A19" s="5"/>
      <c r="B19" s="12">
        <f t="shared" si="1"/>
        <v>0.64588</v>
      </c>
      <c r="C19" s="12">
        <f t="shared" si="3"/>
        <v>0.66672</v>
      </c>
      <c r="D19" s="15"/>
      <c r="E19" s="15"/>
      <c r="F19" s="15"/>
      <c r="G19" s="15"/>
      <c r="H19" s="15"/>
      <c r="J19" s="27"/>
      <c r="K19" s="23"/>
      <c r="L19" s="23"/>
    </row>
    <row r="20" ht="15.75" customHeight="1">
      <c r="A20" s="5"/>
      <c r="B20" s="12">
        <f t="shared" si="1"/>
        <v>0.66672</v>
      </c>
      <c r="C20" s="12">
        <f t="shared" si="3"/>
        <v>0.68756</v>
      </c>
      <c r="D20" s="15"/>
      <c r="E20" s="15"/>
      <c r="F20" s="15"/>
      <c r="G20" s="15"/>
      <c r="H20" s="15"/>
      <c r="J20" s="23"/>
      <c r="K20" s="28"/>
      <c r="L20" s="25"/>
    </row>
    <row r="21" ht="15.75" customHeight="1">
      <c r="A21" s="5"/>
      <c r="B21" s="12">
        <f t="shared" si="1"/>
        <v>0.68756</v>
      </c>
      <c r="C21" s="12">
        <f t="shared" si="3"/>
        <v>0.7084</v>
      </c>
      <c r="D21" s="29"/>
      <c r="E21" s="29"/>
      <c r="F21" s="29"/>
      <c r="G21" s="29"/>
      <c r="H21" s="29"/>
      <c r="J21" s="27"/>
      <c r="K21" s="30"/>
      <c r="L21" s="23"/>
    </row>
    <row r="22" ht="15.75" customHeight="1">
      <c r="A22" s="5"/>
      <c r="B22" s="12">
        <f t="shared" si="1"/>
        <v>0.7084</v>
      </c>
      <c r="C22" s="12">
        <f t="shared" si="3"/>
        <v>0.72924</v>
      </c>
      <c r="D22" s="15"/>
      <c r="E22" s="15"/>
      <c r="F22" s="15"/>
      <c r="G22" s="15"/>
      <c r="H22" s="15"/>
      <c r="J22" s="27"/>
      <c r="K22" s="30"/>
      <c r="L22" s="23"/>
    </row>
    <row r="23" ht="15.75" customHeight="1">
      <c r="A23" s="5"/>
      <c r="B23" s="12">
        <f t="shared" si="1"/>
        <v>0.72924</v>
      </c>
      <c r="C23" s="12">
        <f t="shared" si="3"/>
        <v>0.75008</v>
      </c>
      <c r="D23" s="17"/>
      <c r="E23" s="17"/>
      <c r="F23" s="17"/>
      <c r="G23" s="17"/>
      <c r="H23" s="17"/>
      <c r="J23" s="27"/>
      <c r="K23" s="30"/>
      <c r="L23" s="31"/>
    </row>
    <row r="24" ht="15.75" customHeight="1">
      <c r="J24" s="27"/>
      <c r="K24" s="30"/>
      <c r="L24" s="31"/>
    </row>
    <row r="25" ht="15.75" customHeight="1">
      <c r="C25" s="32" t="s">
        <v>29</v>
      </c>
      <c r="D25" s="3"/>
      <c r="E25" s="3"/>
      <c r="F25" s="4"/>
      <c r="J25" s="27"/>
      <c r="K25" s="30"/>
      <c r="L25" s="31"/>
    </row>
    <row r="26" ht="15.75" customHeight="1">
      <c r="C26" s="33" t="s">
        <v>30</v>
      </c>
      <c r="D26" s="34"/>
      <c r="E26" s="3"/>
      <c r="F26" s="4"/>
      <c r="J26" s="23"/>
      <c r="K26" s="30"/>
      <c r="L26" s="31"/>
    </row>
    <row r="27" ht="15.75" customHeight="1">
      <c r="C27" s="33" t="s">
        <v>31</v>
      </c>
      <c r="D27" s="34"/>
      <c r="E27" s="3"/>
      <c r="F27" s="4"/>
      <c r="J27" s="23"/>
      <c r="K27" s="30"/>
      <c r="L27" s="31"/>
    </row>
    <row r="28" ht="15.75" customHeight="1">
      <c r="C28" s="33" t="s">
        <v>32</v>
      </c>
      <c r="D28" s="34"/>
      <c r="E28" s="3"/>
      <c r="F28" s="4"/>
      <c r="J28" s="23"/>
      <c r="K28" s="23"/>
      <c r="L28" s="23"/>
    </row>
    <row r="29" ht="15.75" customHeight="1">
      <c r="J29" s="23"/>
      <c r="K29" s="23"/>
      <c r="L29" s="23"/>
    </row>
    <row r="30" ht="15.75" customHeight="1">
      <c r="C30" s="35" t="s">
        <v>33</v>
      </c>
      <c r="D30" s="3"/>
      <c r="E30" s="3"/>
      <c r="F30" s="4"/>
      <c r="J30" s="23"/>
      <c r="K30" s="23"/>
      <c r="L30" s="23"/>
    </row>
    <row r="31" ht="15.75" customHeight="1">
      <c r="C31" s="33" t="s">
        <v>30</v>
      </c>
      <c r="D31" s="36" t="s">
        <v>34</v>
      </c>
      <c r="E31" s="3"/>
      <c r="F31" s="4"/>
      <c r="J31" s="23"/>
      <c r="K31" s="23"/>
      <c r="L31" s="23"/>
    </row>
    <row r="32" ht="15.75" customHeight="1">
      <c r="C32" s="33" t="s">
        <v>31</v>
      </c>
      <c r="D32" s="34" t="s">
        <v>35</v>
      </c>
      <c r="E32" s="3"/>
      <c r="F32" s="4"/>
      <c r="J32" s="23"/>
      <c r="K32" s="23"/>
      <c r="L32" s="23"/>
    </row>
    <row r="33" ht="15.75" customHeight="1">
      <c r="B33" s="37"/>
      <c r="C33" s="33" t="s">
        <v>32</v>
      </c>
      <c r="D33" s="34" t="s">
        <v>36</v>
      </c>
      <c r="E33" s="3"/>
      <c r="F33" s="4"/>
      <c r="J33" s="23"/>
      <c r="K33" s="24"/>
      <c r="L33" s="25"/>
    </row>
    <row r="34" ht="15.75" customHeight="1">
      <c r="B34" s="37"/>
      <c r="J34" s="27"/>
      <c r="K34" s="30"/>
      <c r="L34" s="31"/>
    </row>
    <row r="35" ht="15.75" customHeight="1">
      <c r="B35" s="38"/>
      <c r="J35" s="27"/>
      <c r="K35" s="30"/>
      <c r="L35" s="23"/>
    </row>
    <row r="36" ht="15.75" customHeight="1">
      <c r="J36" s="27"/>
      <c r="K36" s="23"/>
      <c r="L36" s="23"/>
    </row>
    <row r="37" ht="15.75" customHeight="1">
      <c r="J37" s="23"/>
      <c r="K37" s="23"/>
      <c r="L37" s="37"/>
    </row>
    <row r="38" ht="15.75" customHeight="1">
      <c r="J38" s="27"/>
      <c r="K38" s="23"/>
      <c r="L38" s="31"/>
    </row>
    <row r="39" ht="15.75" customHeight="1">
      <c r="J39" s="27"/>
      <c r="K39" s="23"/>
      <c r="L39" s="31"/>
    </row>
    <row r="40" ht="15.75" customHeight="1">
      <c r="J40" s="27"/>
      <c r="K40" s="23"/>
      <c r="L40" s="23"/>
    </row>
    <row r="41" ht="15.75" customHeight="1">
      <c r="J41" s="23"/>
      <c r="K41" s="23"/>
      <c r="L41" s="23"/>
    </row>
    <row r="42" ht="15.75" customHeight="1">
      <c r="J42" s="23"/>
      <c r="K42" s="23"/>
      <c r="L42" s="23"/>
    </row>
    <row r="43" ht="15.75" customHeight="1">
      <c r="J43" s="23"/>
      <c r="K43" s="23"/>
      <c r="L43" s="31"/>
    </row>
    <row r="44" ht="15.75" customHeight="1">
      <c r="J44" s="23"/>
      <c r="K44" s="23"/>
      <c r="L44" s="23"/>
    </row>
    <row r="45" ht="15.75" customHeight="1">
      <c r="J45" s="39"/>
      <c r="K45" s="23"/>
      <c r="L45" s="23"/>
      <c r="M45" s="40"/>
    </row>
    <row r="46" ht="15.75" customHeight="1">
      <c r="J46" s="39"/>
      <c r="K46" s="23"/>
      <c r="L46" s="23"/>
    </row>
    <row r="47" ht="15.75" customHeight="1">
      <c r="J47" s="39"/>
      <c r="K47" s="23"/>
      <c r="L47" s="23"/>
    </row>
    <row r="48" ht="15.75" customHeight="1">
      <c r="J48" s="39"/>
      <c r="K48" s="23"/>
      <c r="L48" s="23"/>
    </row>
    <row r="49" ht="15.75" customHeight="1">
      <c r="J49" s="23"/>
      <c r="K49" s="23"/>
      <c r="L49" s="31"/>
    </row>
    <row r="50" ht="15.75" customHeight="1">
      <c r="J50" s="23"/>
      <c r="K50" s="23"/>
      <c r="L50" s="23"/>
    </row>
    <row r="51" ht="15.75" customHeight="1">
      <c r="J51" s="23"/>
      <c r="K51" s="23"/>
      <c r="L51" s="23"/>
    </row>
    <row r="52" ht="15.75" customHeight="1">
      <c r="J52" s="23"/>
      <c r="K52" s="23"/>
      <c r="L52" s="2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G12:G13"/>
    <mergeCell ref="H12:H13"/>
    <mergeCell ref="G14:G15"/>
    <mergeCell ref="H14:H15"/>
    <mergeCell ref="D2:H2"/>
    <mergeCell ref="D7:D10"/>
    <mergeCell ref="E7:E10"/>
    <mergeCell ref="F7:F10"/>
    <mergeCell ref="G7:G10"/>
    <mergeCell ref="H7:H10"/>
    <mergeCell ref="D12:D13"/>
    <mergeCell ref="F17:F20"/>
    <mergeCell ref="G17:G20"/>
    <mergeCell ref="H17:H20"/>
    <mergeCell ref="K17:L17"/>
    <mergeCell ref="K20:L20"/>
    <mergeCell ref="E12:E13"/>
    <mergeCell ref="F12:F13"/>
    <mergeCell ref="D14:D15"/>
    <mergeCell ref="E14:E15"/>
    <mergeCell ref="F14:F15"/>
    <mergeCell ref="D17:D20"/>
    <mergeCell ref="E17:E20"/>
    <mergeCell ref="D27:F27"/>
    <mergeCell ref="D28:F28"/>
    <mergeCell ref="C30:F30"/>
    <mergeCell ref="D31:F31"/>
    <mergeCell ref="D32:F32"/>
    <mergeCell ref="D33:F33"/>
    <mergeCell ref="K33:L33"/>
    <mergeCell ref="B35:D35"/>
    <mergeCell ref="D21:D23"/>
    <mergeCell ref="E21:E23"/>
    <mergeCell ref="F21:F23"/>
    <mergeCell ref="G21:G23"/>
    <mergeCell ref="H21:H23"/>
    <mergeCell ref="C25:F25"/>
    <mergeCell ref="D26:F26"/>
  </mergeCells>
  <printOptions/>
  <pageMargins bottom="0.787401575" footer="0.0" header="0.0" left="0.511811024" right="0.511811024" top="0.787401575"/>
  <pageSetup orientation="landscape"/>
  <drawing r:id="rId1"/>
</worksheet>
</file>