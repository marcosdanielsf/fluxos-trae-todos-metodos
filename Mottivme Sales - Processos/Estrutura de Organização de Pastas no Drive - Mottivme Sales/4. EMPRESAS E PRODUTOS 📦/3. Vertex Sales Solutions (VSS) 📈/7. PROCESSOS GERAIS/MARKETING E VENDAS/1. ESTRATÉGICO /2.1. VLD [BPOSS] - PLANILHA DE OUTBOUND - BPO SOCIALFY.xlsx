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- METAS DE CONVERSÕES" sheetId="1" r:id="rId4"/>
    <sheet state="visible" name="1 - INÍCIO - PLANEJEMANTO VERBA" sheetId="2" r:id="rId5"/>
    <sheet state="visible" name="RESULTADOS DIRETOS" sheetId="3" r:id="rId6"/>
    <sheet state="visible" name="RESULTADOS MACROS" sheetId="4" r:id="rId7"/>
    <sheet state="visible" name="GERALZÃO - CAPTACAO" sheetId="5" r:id="rId8"/>
    <sheet state="hidden" name="AQUECIMENTOANTECIPACAO" sheetId="6" r:id="rId9"/>
    <sheet state="visible" name="PLANILHAMENTO ADS" sheetId="7" r:id="rId10"/>
    <sheet state="hidden" name="AUTO - QUENTE" sheetId="8" r:id="rId11"/>
    <sheet state="hidden" name="AUTO - FRIO" sheetId="9" r:id="rId12"/>
    <sheet state="hidden" name="FACE - QUENTE" sheetId="10" r:id="rId13"/>
    <sheet state="hidden" name="FACE - FRIO" sheetId="11" r:id="rId14"/>
    <sheet state="hidden" name="INSTA - QUENTE" sheetId="12" r:id="rId15"/>
    <sheet state="visible" name="INSTA - FRIO" sheetId="13" r:id="rId16"/>
    <sheet state="hidden" name="GOOGLE - QUENTE" sheetId="14" r:id="rId17"/>
    <sheet state="hidden" name="GOOGLE - FRIO" sheetId="15" r:id="rId18"/>
  </sheets>
  <definedNames/>
  <calcPr/>
</workbook>
</file>

<file path=xl/sharedStrings.xml><?xml version="1.0" encoding="utf-8"?>
<sst xmlns="http://schemas.openxmlformats.org/spreadsheetml/2006/main" count="586" uniqueCount="248">
  <si>
    <t>ORÇAMENTO DO FUNIL 1</t>
  </si>
  <si>
    <t>FATURAMENTO ACEITAVEL</t>
  </si>
  <si>
    <t>FATURAMENTO BASEADO NA ESTRATÉGIA AMERICANA</t>
  </si>
  <si>
    <t>Orçamento dia</t>
  </si>
  <si>
    <t>Meta % aplicações</t>
  </si>
  <si>
    <t>Meta % Qualificação</t>
  </si>
  <si>
    <t>orçamento total do seu próximo lançamento</t>
  </si>
  <si>
    <t>Meta Nº de aplicações</t>
  </si>
  <si>
    <t>Meta Nº de Qualificação</t>
  </si>
  <si>
    <t>Meta de custo por lead</t>
  </si>
  <si>
    <t>Meta de leads prospectados</t>
  </si>
  <si>
    <t>Meta % conversão</t>
  </si>
  <si>
    <t>Meta % Calls</t>
  </si>
  <si>
    <t>Meta % respostas</t>
  </si>
  <si>
    <t>Meta Nº de converções</t>
  </si>
  <si>
    <t>Meta de Calll's realizadas</t>
  </si>
  <si>
    <t>Meta Nº de respostas [ETAPA1]</t>
  </si>
  <si>
    <t>Meta % agendamentos</t>
  </si>
  <si>
    <t>Preço do produto de entrada</t>
  </si>
  <si>
    <t>Meta Nº de agendamentos</t>
  </si>
  <si>
    <t>Meta faturamento</t>
  </si>
  <si>
    <t>Meta % calls realizadas</t>
  </si>
  <si>
    <t>Meta Nº de calls realizadas</t>
  </si>
  <si>
    <t>Meta % de converções</t>
  </si>
  <si>
    <t>Meta faturamento + order bump + upsell</t>
  </si>
  <si>
    <t>Preço do Produto de entrada</t>
  </si>
  <si>
    <t>Meta faturamento aceitável</t>
  </si>
  <si>
    <t>FATURAMENTO ÓTIMO</t>
  </si>
  <si>
    <t>CRIAR ANÚNCIO - PROBLEMA/ ROTA/ SOLUÇÃO</t>
  </si>
  <si>
    <t>https://chat.openai.com/c/588b4f4f-5cb8-42c9-a210-fc446d7de038</t>
  </si>
  <si>
    <t xml:space="preserve">1 ada 10% </t>
  </si>
  <si>
    <t>FATURAMENTO EXCELENTE</t>
  </si>
  <si>
    <t>ORÇAMENTO DO EVENTO</t>
  </si>
  <si>
    <t>PLANILHA 2</t>
  </si>
  <si>
    <t>meta % comparecimento</t>
  </si>
  <si>
    <t>% de investimento em remarketing - Distribuilção</t>
  </si>
  <si>
    <t>meta lista de comparecimento</t>
  </si>
  <si>
    <t>Orçamento total do seu perpétuo</t>
  </si>
  <si>
    <t>% de investimento em lead no perpétuo - Captação</t>
  </si>
  <si>
    <t>% de investimento em raiz/nutella - Nutrição</t>
  </si>
  <si>
    <t>meta % conversão</t>
  </si>
  <si>
    <t>Meta de leads</t>
  </si>
  <si>
    <t>% de investimento em remarketing - Captação</t>
  </si>
  <si>
    <t>meta conversão</t>
  </si>
  <si>
    <t>total de investimento em lead</t>
  </si>
  <si>
    <t>preço do produto principal</t>
  </si>
  <si>
    <t>meta de custo por lead</t>
  </si>
  <si>
    <t>meta faturamento</t>
  </si>
  <si>
    <t>meta de leads</t>
  </si>
  <si>
    <t>meta faturamento + order bump + upsell</t>
  </si>
  <si>
    <t>total de investimento em raiz/nutella (até lançamento)</t>
  </si>
  <si>
    <t>quantidade de raiz/nutella (até lançamento)</t>
  </si>
  <si>
    <r>
      <rPr>
        <rFont val="Arial"/>
        <b/>
        <color theme="1"/>
        <sz val="10.0"/>
      </rPr>
      <t xml:space="preserve">quanto impulsionar por vídeo </t>
    </r>
    <r>
      <rPr>
        <rFont val="Arial"/>
        <b/>
        <color rgb="FF000000"/>
        <sz val="10.0"/>
      </rPr>
      <t>(durante 7 dias)</t>
    </r>
  </si>
  <si>
    <t>total de investimento em remarketing</t>
  </si>
  <si>
    <t>ORÇAMENTO REMARKETING</t>
  </si>
  <si>
    <t>Aquecimento</t>
  </si>
  <si>
    <t>Antecipação</t>
  </si>
  <si>
    <t>Cpls/Lives</t>
  </si>
  <si>
    <t>Carrinho aberto</t>
  </si>
  <si>
    <t>Cpl</t>
  </si>
  <si>
    <t>CPL</t>
  </si>
  <si>
    <t>orçamento total do Evento Principal</t>
  </si>
  <si>
    <t>CPL 01</t>
  </si>
  <si>
    <t>CPL 02</t>
  </si>
  <si>
    <t>CPL 03</t>
  </si>
  <si>
    <t>CPL 04</t>
  </si>
  <si>
    <t>LEADS CAPTADOS</t>
  </si>
  <si>
    <t>LEADS DENTRO</t>
  </si>
  <si>
    <t>VALOR GASTO</t>
  </si>
  <si>
    <t>DENTRO DAS BM's</t>
  </si>
  <si>
    <t>DO ACTIVE</t>
  </si>
  <si>
    <t>TOTAL</t>
  </si>
  <si>
    <t>QUENTE</t>
  </si>
  <si>
    <t>ADS</t>
  </si>
  <si>
    <t>CAPTAÇÃO</t>
  </si>
  <si>
    <t>FRIO</t>
  </si>
  <si>
    <t>ORG TOTAL</t>
  </si>
  <si>
    <t>RMKT</t>
  </si>
  <si>
    <t>REMARKETING</t>
  </si>
  <si>
    <t>FONTES</t>
  </si>
  <si>
    <t>LEADS</t>
  </si>
  <si>
    <t>CUSTO P/ LEAD (CPL)</t>
  </si>
  <si>
    <t>VALOR</t>
  </si>
  <si>
    <t>VALOR PRA GASTAR</t>
  </si>
  <si>
    <t>[AUTO] [QUENTE]</t>
  </si>
  <si>
    <t>AQUECIMENTO</t>
  </si>
  <si>
    <t>[AUTO] [FRIO]</t>
  </si>
  <si>
    <t>[FACE] [QUENTE]</t>
  </si>
  <si>
    <t>ANTECIPAÇÃO</t>
  </si>
  <si>
    <t>[FACE] [FRIO]</t>
  </si>
  <si>
    <t>[INSTA] [QUENTE]</t>
  </si>
  <si>
    <t>LIVES/CPLS</t>
  </si>
  <si>
    <t>[INSTA] [FRIO]</t>
  </si>
  <si>
    <t>GOOGLE - QUENTE</t>
  </si>
  <si>
    <t>ABERTURA DE CARRINHO</t>
  </si>
  <si>
    <t>GOOGLE - FRIO</t>
  </si>
  <si>
    <t>CUSTO POR LEAD</t>
  </si>
  <si>
    <t>GASTO</t>
  </si>
  <si>
    <t>GASTO TOTAL</t>
  </si>
  <si>
    <t>AQUECIMENTO FB</t>
  </si>
  <si>
    <t>AQUECIMENTO GOOGLE</t>
  </si>
  <si>
    <t>META</t>
  </si>
  <si>
    <t>CAPTADOS</t>
  </si>
  <si>
    <t>ANTECIPAÇÃO FB</t>
  </si>
  <si>
    <t>VALOR PRA GASTAR:</t>
  </si>
  <si>
    <t xml:space="preserve">QUENTES </t>
  </si>
  <si>
    <t>ANTECIPAÇÃO GOOGLE</t>
  </si>
  <si>
    <t>CPL 1</t>
  </si>
  <si>
    <t>CPL 2</t>
  </si>
  <si>
    <t>CPL 3</t>
  </si>
  <si>
    <t>CPL 4</t>
  </si>
  <si>
    <t>FRIOS</t>
  </si>
  <si>
    <t>LIVES/CPLS FB</t>
  </si>
  <si>
    <t>GASTO FB</t>
  </si>
  <si>
    <t>LIVES/CPLS GOOGLE</t>
  </si>
  <si>
    <t>GASTO GG</t>
  </si>
  <si>
    <t>FALTA PARA A META QUENTE</t>
  </si>
  <si>
    <t>ABERTURA DE CARRINHO FB</t>
  </si>
  <si>
    <t>VALOR GASTO TOTAL:</t>
  </si>
  <si>
    <t>FALTA PARA A META FRIO</t>
  </si>
  <si>
    <t>ABERTURA DE CARRINHO GOOGLE</t>
  </si>
  <si>
    <t>TOTAL RMKT</t>
  </si>
  <si>
    <t>RESULTADOS REAIS</t>
  </si>
  <si>
    <t>TOTAL GASTO RMKT</t>
  </si>
  <si>
    <t>% DA VERBA GASTA</t>
  </si>
  <si>
    <t>% DOS LEADS ALCANÇADOS</t>
  </si>
  <si>
    <t>% DIFERENÇA DA %</t>
  </si>
  <si>
    <t>PREÇO POR LEAD GERAL</t>
  </si>
  <si>
    <t>DATA DE HOJE</t>
  </si>
  <si>
    <t>DATA FINAL</t>
  </si>
  <si>
    <t>QUANTOS DIAS FALTAM</t>
  </si>
  <si>
    <t>QUANTO FALTA PARA A META?</t>
  </si>
  <si>
    <t>LEADS/DIA PARA A META</t>
  </si>
  <si>
    <t>VERBA TOTAL</t>
  </si>
  <si>
    <t>VERBA RESTANTE</t>
  </si>
  <si>
    <t>GASTO DIARIO NECESSARIO</t>
  </si>
  <si>
    <t>CUSTO LEAD PARA A META</t>
  </si>
  <si>
    <t>DATA INÍCIO</t>
  </si>
  <si>
    <t>TOTAIS DE DIAS</t>
  </si>
  <si>
    <t>DIAS PASSADOS</t>
  </si>
  <si>
    <t>SCORE/DIA</t>
  </si>
  <si>
    <t>SCORE IDEAL TEÓRICO</t>
  </si>
  <si>
    <t>SCORE ATUAL PRÁTICA</t>
  </si>
  <si>
    <t>DIA</t>
  </si>
  <si>
    <t>IMPRESSÕES</t>
  </si>
  <si>
    <t>CTR %</t>
  </si>
  <si>
    <t>CLIQUE NO LINK</t>
  </si>
  <si>
    <t>VISUALIZAÇÃO DE PÁGINA</t>
  </si>
  <si>
    <t>PORCETAGEM DE VIEW PAGES</t>
  </si>
  <si>
    <t>NÚMERO DE LEADS</t>
  </si>
  <si>
    <t>CONVERSÃO EM LEADS</t>
  </si>
  <si>
    <t>MÉDIA</t>
  </si>
  <si>
    <t>AQUECIMENTO GASTO</t>
  </si>
  <si>
    <t>ANTECIPACAO GASTO</t>
  </si>
  <si>
    <t>AQC - FB</t>
  </si>
  <si>
    <t>AQC - GOOGLE</t>
  </si>
  <si>
    <t>ANT - FB</t>
  </si>
  <si>
    <t>ANT - GOOGLE</t>
  </si>
  <si>
    <t>-</t>
  </si>
  <si>
    <t>SOMA</t>
  </si>
  <si>
    <t>YOUTUBE</t>
  </si>
  <si>
    <t xml:space="preserve">FACEBOOK </t>
  </si>
  <si>
    <t xml:space="preserve">LINKS ADS </t>
  </si>
  <si>
    <t>ANUNCIO</t>
  </si>
  <si>
    <t>AD 01</t>
  </si>
  <si>
    <t>AD 02</t>
  </si>
  <si>
    <t>https://fb.me/1S3DCpJkY3qbyUM</t>
  </si>
  <si>
    <t>AD 03</t>
  </si>
  <si>
    <t>AD 04</t>
  </si>
  <si>
    <t>AD 05</t>
  </si>
  <si>
    <t>AD 06</t>
  </si>
  <si>
    <t>AD 07</t>
  </si>
  <si>
    <t>AD 08</t>
  </si>
  <si>
    <t>AD 09</t>
  </si>
  <si>
    <t>AD 10</t>
  </si>
  <si>
    <t>AD 11</t>
  </si>
  <si>
    <t>AD 12</t>
  </si>
  <si>
    <t>AD 13</t>
  </si>
  <si>
    <t>AD 14</t>
  </si>
  <si>
    <t>AD 15</t>
  </si>
  <si>
    <t>AD 16</t>
  </si>
  <si>
    <t>AD 17</t>
  </si>
  <si>
    <t>AD 18</t>
  </si>
  <si>
    <t>AD 19</t>
  </si>
  <si>
    <t>AD 20</t>
  </si>
  <si>
    <t>AD 21</t>
  </si>
  <si>
    <t>AD 22</t>
  </si>
  <si>
    <t>AD 23</t>
  </si>
  <si>
    <t>AD 24</t>
  </si>
  <si>
    <t>AD 25</t>
  </si>
  <si>
    <t>AD 26</t>
  </si>
  <si>
    <t>AD 27</t>
  </si>
  <si>
    <t>AD 28</t>
  </si>
  <si>
    <t>AD 29</t>
  </si>
  <si>
    <t>AD 30</t>
  </si>
  <si>
    <t>AD 31</t>
  </si>
  <si>
    <t>AD 32</t>
  </si>
  <si>
    <t>AD 33</t>
  </si>
  <si>
    <t>AD 34</t>
  </si>
  <si>
    <t>AD 35</t>
  </si>
  <si>
    <t>AD 36</t>
  </si>
  <si>
    <t>AD 37</t>
  </si>
  <si>
    <t>AD 38</t>
  </si>
  <si>
    <t>AD 39</t>
  </si>
  <si>
    <t>AD 40</t>
  </si>
  <si>
    <t>AD 41</t>
  </si>
  <si>
    <t>AD 42</t>
  </si>
  <si>
    <t>AD 43</t>
  </si>
  <si>
    <t>AD 44</t>
  </si>
  <si>
    <t>AD 45</t>
  </si>
  <si>
    <t>AD 46</t>
  </si>
  <si>
    <t>AD 47</t>
  </si>
  <si>
    <t>AD 48</t>
  </si>
  <si>
    <t>AD 49</t>
  </si>
  <si>
    <t>AD 50</t>
  </si>
  <si>
    <t>AD 51</t>
  </si>
  <si>
    <t>AD 52</t>
  </si>
  <si>
    <t>AD 53</t>
  </si>
  <si>
    <t>AD 54</t>
  </si>
  <si>
    <t>AD 55</t>
  </si>
  <si>
    <t>AD 56</t>
  </si>
  <si>
    <t>AD 57</t>
  </si>
  <si>
    <t>AD 58</t>
  </si>
  <si>
    <t>AD 59</t>
  </si>
  <si>
    <t>AD 60</t>
  </si>
  <si>
    <t>AD 61</t>
  </si>
  <si>
    <t>AD 62</t>
  </si>
  <si>
    <t>AD 63</t>
  </si>
  <si>
    <t>AD 64</t>
  </si>
  <si>
    <t>AD 65</t>
  </si>
  <si>
    <t>AD 66</t>
  </si>
  <si>
    <t>AD 67</t>
  </si>
  <si>
    <t>AD 68</t>
  </si>
  <si>
    <t>AD 69</t>
  </si>
  <si>
    <t>AD 70</t>
  </si>
  <si>
    <t>AD 71</t>
  </si>
  <si>
    <t>AD 72</t>
  </si>
  <si>
    <t>AD 73</t>
  </si>
  <si>
    <t>AD 74</t>
  </si>
  <si>
    <t>AD 75</t>
  </si>
  <si>
    <t>AD 76</t>
  </si>
  <si>
    <t>AD 77</t>
  </si>
  <si>
    <t>AD 78</t>
  </si>
  <si>
    <t>AD 79</t>
  </si>
  <si>
    <t>% DE VIEW PAGES/CLIQUE</t>
  </si>
  <si>
    <t>CONV DA PÁGINA %</t>
  </si>
  <si>
    <t>VISUALIZAÇÃO DE PÁGINA/PERFIL IG</t>
  </si>
  <si>
    <t>1.48%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</si>
</sst>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R$ -416]#,##0"/>
    <numFmt numFmtId="165" formatCode="[$R$ -416]#,##0.00"/>
    <numFmt numFmtId="166" formatCode="0.0%"/>
    <numFmt numFmtId="167" formatCode="#,##0_);(#,##0)"/>
    <numFmt numFmtId="168" formatCode="0.000%"/>
    <numFmt numFmtId="169" formatCode="0.0000%"/>
    <numFmt numFmtId="170" formatCode="dd/mm"/>
    <numFmt numFmtId="171" formatCode="d/m"/>
    <numFmt numFmtId="172" formatCode="[$R$ -416]#,##0.0000"/>
    <numFmt numFmtId="173" formatCode="dd/mm/yyyy"/>
    <numFmt numFmtId="174" formatCode="dd/MM/yyyy"/>
  </numFmts>
  <fonts count="33">
    <font>
      <sz val="10.0"/>
      <color rgb="FF000000"/>
      <name val="Arial"/>
      <scheme val="minor"/>
    </font>
    <font>
      <b/>
      <color rgb="FFFFFFFF"/>
      <name val="Arial"/>
    </font>
    <font/>
    <font>
      <color theme="1"/>
      <name val="Arial"/>
    </font>
    <font>
      <b/>
      <color theme="1"/>
      <name val="Arial"/>
    </font>
    <font>
      <color rgb="FFFFFFFF"/>
      <name val="Arial"/>
    </font>
    <font>
      <b/>
      <color rgb="FF000000"/>
      <name val="Arial"/>
    </font>
    <font>
      <sz val="9.0"/>
      <color rgb="FF7E3794"/>
      <name val="Arial"/>
    </font>
    <font>
      <sz val="14.0"/>
      <color theme="1"/>
      <name val="Arial"/>
    </font>
    <font>
      <u/>
      <color rgb="FF0000FF"/>
      <name val="Arial"/>
    </font>
    <font>
      <b/>
      <sz val="14.0"/>
      <color rgb="FFFFFFFF"/>
      <name val="Arial"/>
    </font>
    <font>
      <b/>
      <sz val="18.0"/>
      <color theme="1"/>
      <name val="Arial"/>
    </font>
    <font>
      <b/>
      <sz val="12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8.0"/>
      <color rgb="FFFFFFFF"/>
      <name val="Arial"/>
    </font>
    <font>
      <b/>
      <sz val="10.0"/>
      <color rgb="FFFFFFFF"/>
      <name val="Arial"/>
    </font>
    <font>
      <b/>
      <sz val="14.0"/>
      <color theme="1"/>
      <name val="Arial"/>
    </font>
    <font>
      <b/>
      <sz val="11.0"/>
      <color rgb="FFFFFFFF"/>
      <name val="Arial"/>
    </font>
    <font>
      <sz val="10.0"/>
      <color rgb="FFFFFFFF"/>
      <name val="Arial"/>
    </font>
    <font>
      <color rgb="FF000000"/>
      <name val="Arial"/>
    </font>
    <font>
      <sz val="10.0"/>
      <color rgb="FF000000"/>
      <name val="Arial"/>
    </font>
    <font>
      <u/>
      <color rgb="FFFFFFFF"/>
      <name val="Arial"/>
    </font>
    <font>
      <u/>
      <color rgb="FFFFFFFF"/>
      <name val="Arial"/>
    </font>
    <font>
      <b/>
      <sz val="10.0"/>
      <color rgb="FF000000"/>
      <name val="Arial"/>
    </font>
    <font>
      <u/>
      <color rgb="FF000000"/>
      <name val="Arial"/>
    </font>
    <font>
      <u/>
      <color rgb="FF0000FF"/>
      <name val="Arial"/>
    </font>
    <font>
      <u/>
      <color rgb="FF1155CC"/>
      <name val="Arial"/>
    </font>
    <font>
      <u/>
      <sz val="10.0"/>
      <color rgb="FF1155CC"/>
      <name val="Arial"/>
    </font>
    <font>
      <sz val="9.0"/>
      <color rgb="FF1C1E21"/>
      <name val="Arial"/>
    </font>
    <font>
      <sz val="11.0"/>
      <color rgb="FF000000"/>
      <name val="Roboto"/>
    </font>
    <font>
      <b/>
      <sz val="9.0"/>
      <color rgb="FF1C1E21"/>
      <name val="Arial"/>
    </font>
    <font>
      <sz val="10.0"/>
      <color rgb="FF1C1E21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8DB5F8"/>
        <bgColor rgb="FF8DB5F8"/>
      </patternFill>
    </fill>
    <fill>
      <patternFill patternType="solid">
        <fgColor rgb="FFB3CEFA"/>
        <bgColor rgb="FFB3CEFA"/>
      </patternFill>
    </fill>
    <fill>
      <patternFill patternType="solid">
        <fgColor rgb="FFFFFFFF"/>
        <bgColor rgb="FFFFFFFF"/>
      </patternFill>
    </fill>
    <fill>
      <patternFill patternType="solid">
        <fgColor rgb="FFD9E6FC"/>
        <bgColor rgb="FFD9E6FC"/>
      </patternFill>
    </fill>
    <fill>
      <patternFill patternType="solid">
        <fgColor rgb="FFA6E3B6"/>
        <bgColor rgb="FFA6E3B6"/>
      </patternFill>
    </fill>
    <fill>
      <patternFill patternType="solid">
        <fgColor rgb="FF7AD592"/>
        <bgColor rgb="FF7AD592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0B5394"/>
        <bgColor rgb="FF0B5394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741B47"/>
        <bgColor rgb="FF741B47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0B83ED"/>
        <bgColor rgb="FF0B83ED"/>
      </patternFill>
    </fill>
    <fill>
      <patternFill patternType="solid">
        <fgColor rgb="FFFBBC05"/>
        <bgColor rgb="FFFBBC05"/>
      </patternFill>
    </fill>
  </fills>
  <borders count="3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4" fillId="2" fontId="1" numFmtId="0" xfId="0" applyAlignment="1" applyBorder="1" applyFont="1">
      <alignment horizontal="center" vertical="bottom"/>
    </xf>
    <xf borderId="5" fillId="0" fontId="2" numFmtId="0" xfId="0" applyBorder="1" applyFont="1"/>
    <xf borderId="0" fillId="0" fontId="3" numFmtId="0" xfId="0" applyAlignment="1" applyFont="1">
      <alignment vertical="bottom"/>
    </xf>
    <xf borderId="6" fillId="3" fontId="4" numFmtId="0" xfId="0" applyAlignment="1" applyBorder="1" applyFill="1" applyFont="1">
      <alignment vertical="top"/>
    </xf>
    <xf borderId="7" fillId="3" fontId="3" numFmtId="164" xfId="0" applyAlignment="1" applyBorder="1" applyFont="1" applyNumberFormat="1">
      <alignment horizontal="right" vertical="bottom"/>
    </xf>
    <xf borderId="8" fillId="4" fontId="4" numFmtId="0" xfId="0" applyAlignment="1" applyBorder="1" applyFill="1" applyFont="1">
      <alignment vertical="bottom"/>
    </xf>
    <xf borderId="7" fillId="4" fontId="4" numFmtId="9" xfId="0" applyAlignment="1" applyBorder="1" applyFont="1" applyNumberFormat="1">
      <alignment horizontal="right" vertical="bottom"/>
    </xf>
    <xf borderId="9" fillId="5" fontId="4" numFmtId="0" xfId="0" applyAlignment="1" applyBorder="1" applyFill="1" applyFont="1">
      <alignment vertical="top"/>
    </xf>
    <xf borderId="7" fillId="5" fontId="3" numFmtId="16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7" fillId="0" fontId="3" numFmtId="3" xfId="0" applyAlignment="1" applyBorder="1" applyFont="1" applyNumberFormat="1">
      <alignment horizontal="right" vertical="bottom"/>
    </xf>
    <xf borderId="9" fillId="6" fontId="4" numFmtId="0" xfId="0" applyAlignment="1" applyBorder="1" applyFill="1" applyFont="1">
      <alignment vertical="top"/>
    </xf>
    <xf borderId="7" fillId="6" fontId="4" numFmtId="165" xfId="0" applyAlignment="1" applyBorder="1" applyFont="1" applyNumberFormat="1">
      <alignment horizontal="right" vertical="bottom"/>
    </xf>
    <xf borderId="7" fillId="0" fontId="3" numFmtId="3" xfId="0" applyAlignment="1" applyBorder="1" applyFont="1" applyNumberFormat="1">
      <alignment vertical="bottom"/>
    </xf>
    <xf borderId="9" fillId="5" fontId="3" numFmtId="0" xfId="0" applyAlignment="1" applyBorder="1" applyFont="1">
      <alignment vertical="top"/>
    </xf>
    <xf borderId="8" fillId="6" fontId="3" numFmtId="0" xfId="0" applyAlignment="1" applyBorder="1" applyFont="1">
      <alignment vertical="bottom"/>
    </xf>
    <xf borderId="7" fillId="6" fontId="4" numFmtId="166" xfId="0" applyAlignment="1" applyBorder="1" applyFont="1" applyNumberFormat="1">
      <alignment horizontal="right" vertical="bottom"/>
    </xf>
    <xf borderId="7" fillId="0" fontId="3" numFmtId="9" xfId="0" applyAlignment="1" applyBorder="1" applyFont="1" applyNumberFormat="1">
      <alignment horizontal="right" vertical="bottom"/>
    </xf>
    <xf borderId="7" fillId="6" fontId="4" numFmtId="9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7" fillId="6" fontId="4" numFmtId="164" xfId="0" applyAlignment="1" applyBorder="1" applyFont="1" applyNumberFormat="1">
      <alignment horizontal="right" vertical="bottom"/>
    </xf>
    <xf borderId="3" fillId="0" fontId="5" numFmtId="0" xfId="0" applyAlignment="1" applyBorder="1" applyFont="1">
      <alignment horizontal="right" vertical="bottom"/>
    </xf>
    <xf borderId="8" fillId="7" fontId="3" numFmtId="0" xfId="0" applyAlignment="1" applyBorder="1" applyFill="1" applyFont="1">
      <alignment vertical="bottom"/>
    </xf>
    <xf borderId="7" fillId="7" fontId="3" numFmtId="164" xfId="0" applyAlignment="1" applyBorder="1" applyFont="1" applyNumberFormat="1">
      <alignment horizontal="right" vertical="bottom"/>
    </xf>
    <xf borderId="10" fillId="6" fontId="6" numFmtId="0" xfId="0" applyAlignment="1" applyBorder="1" applyFont="1">
      <alignment horizontal="left"/>
    </xf>
    <xf borderId="10" fillId="6" fontId="4" numFmtId="166" xfId="0" applyAlignment="1" applyBorder="1" applyFont="1" applyNumberFormat="1">
      <alignment horizontal="right" vertical="bottom"/>
    </xf>
    <xf borderId="11" fillId="8" fontId="4" numFmtId="0" xfId="0" applyAlignment="1" applyBorder="1" applyFill="1" applyFont="1">
      <alignment vertical="bottom"/>
    </xf>
    <xf borderId="3" fillId="8" fontId="3" numFmtId="164" xfId="0" applyAlignment="1" applyBorder="1" applyFont="1" applyNumberFormat="1">
      <alignment horizontal="right" vertical="bottom"/>
    </xf>
    <xf borderId="10" fillId="5" fontId="3" numFmtId="0" xfId="0" applyAlignment="1" applyBorder="1" applyFont="1">
      <alignment vertical="top"/>
    </xf>
    <xf borderId="10" fillId="5" fontId="7" numFmtId="0" xfId="0" applyBorder="1" applyFont="1"/>
    <xf borderId="9" fillId="6" fontId="3" numFmtId="0" xfId="0" applyAlignment="1" applyBorder="1" applyFont="1">
      <alignment vertical="top"/>
    </xf>
    <xf borderId="12" fillId="8" fontId="4" numFmtId="0" xfId="0" applyAlignment="1" applyBorder="1" applyFont="1">
      <alignment vertical="bottom"/>
    </xf>
    <xf borderId="13" fillId="8" fontId="3" numFmtId="164" xfId="0" applyAlignment="1" applyBorder="1" applyFont="1" applyNumberFormat="1">
      <alignment horizontal="right" vertical="bottom"/>
    </xf>
    <xf borderId="7" fillId="0" fontId="4" numFmtId="0" xfId="0" applyAlignment="1" applyBorder="1" applyFont="1">
      <alignment horizontal="right" vertical="bottom"/>
    </xf>
    <xf borderId="0" fillId="2" fontId="1" numFmtId="0" xfId="0" applyAlignment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9" fillId="7" fontId="3" numFmtId="0" xfId="0" applyAlignment="1" applyBorder="1" applyFont="1">
      <alignment vertical="top"/>
    </xf>
    <xf borderId="7" fillId="7" fontId="8" numFmtId="164" xfId="0" applyAlignment="1" applyBorder="1" applyFont="1" applyNumberFormat="1">
      <alignment horizontal="right" vertical="bottom"/>
    </xf>
    <xf borderId="14" fillId="2" fontId="1" numFmtId="0" xfId="0" applyAlignment="1" applyBorder="1" applyFont="1">
      <alignment horizontal="center" vertical="bottom"/>
    </xf>
    <xf borderId="7" fillId="0" fontId="2" numFmtId="0" xfId="0" applyBorder="1" applyFont="1"/>
    <xf borderId="15" fillId="8" fontId="3" numFmtId="0" xfId="0" applyAlignment="1" applyBorder="1" applyFont="1">
      <alignment vertical="top"/>
    </xf>
    <xf borderId="13" fillId="8" fontId="8" numFmtId="164" xfId="0" applyAlignment="1" applyBorder="1" applyFont="1" applyNumberFormat="1">
      <alignment horizontal="right" vertical="bottom"/>
    </xf>
    <xf borderId="8" fillId="6" fontId="4" numFmtId="0" xfId="0" applyAlignment="1" applyBorder="1" applyFont="1">
      <alignment vertical="bottom"/>
    </xf>
    <xf borderId="0" fillId="0" fontId="3" numFmtId="3" xfId="0" applyAlignment="1" applyFont="1" applyNumberFormat="1">
      <alignment vertical="bottom"/>
    </xf>
    <xf borderId="7" fillId="6" fontId="3" numFmtId="164" xfId="0" applyAlignment="1" applyBorder="1" applyFont="1" applyNumberFormat="1">
      <alignment horizontal="right" vertical="bottom"/>
    </xf>
    <xf borderId="0" fillId="0" fontId="9" numFmtId="0" xfId="0" applyAlignment="1" applyFont="1">
      <alignment vertical="bottom"/>
    </xf>
    <xf borderId="16" fillId="0" fontId="3" numFmtId="0" xfId="0" applyAlignment="1" applyBorder="1" applyFont="1">
      <alignment vertical="bottom"/>
    </xf>
    <xf borderId="12" fillId="8" fontId="3" numFmtId="0" xfId="0" applyAlignment="1" applyBorder="1" applyFont="1">
      <alignment vertical="bottom"/>
    </xf>
    <xf borderId="17" fillId="9" fontId="4" numFmtId="0" xfId="0" applyAlignment="1" applyBorder="1" applyFill="1" applyFont="1">
      <alignment vertical="bottom"/>
    </xf>
    <xf borderId="18" fillId="10" fontId="3" numFmtId="164" xfId="0" applyAlignment="1" applyBorder="1" applyFill="1" applyFont="1" applyNumberFormat="1">
      <alignment horizontal="right" vertical="bottom"/>
    </xf>
    <xf borderId="17" fillId="0" fontId="4" numFmtId="0" xfId="0" applyAlignment="1" applyBorder="1" applyFont="1">
      <alignment vertical="bottom"/>
    </xf>
    <xf borderId="18" fillId="11" fontId="3" numFmtId="9" xfId="0" applyAlignment="1" applyBorder="1" applyFill="1" applyFont="1" applyNumberFormat="1">
      <alignment horizontal="right" vertical="bottom"/>
    </xf>
    <xf borderId="6" fillId="3" fontId="4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8" fillId="0" fontId="3" numFmtId="164" xfId="0" applyAlignment="1" applyBorder="1" applyFont="1" applyNumberFormat="1">
      <alignment vertical="bottom"/>
    </xf>
    <xf borderId="18" fillId="0" fontId="3" numFmtId="3" xfId="0" applyAlignment="1" applyBorder="1" applyFont="1" applyNumberFormat="1">
      <alignment horizontal="right" vertical="bottom"/>
    </xf>
    <xf borderId="6" fillId="6" fontId="4" numFmtId="0" xfId="0" applyAlignment="1" applyBorder="1" applyFont="1">
      <alignment vertical="bottom"/>
    </xf>
    <xf borderId="18" fillId="10" fontId="4" numFmtId="10" xfId="0" applyAlignment="1" applyBorder="1" applyFont="1" applyNumberFormat="1">
      <alignment horizontal="right" vertical="bottom"/>
    </xf>
    <xf borderId="9" fillId="6" fontId="4" numFmtId="0" xfId="0" applyAlignment="1" applyBorder="1" applyFont="1">
      <alignment vertical="bottom"/>
    </xf>
    <xf borderId="18" fillId="0" fontId="3" numFmtId="3" xfId="0" applyAlignment="1" applyBorder="1" applyFont="1" applyNumberFormat="1">
      <alignment vertical="bottom"/>
    </xf>
    <xf borderId="9" fillId="0" fontId="3" numFmtId="0" xfId="0" applyAlignment="1" applyBorder="1" applyFont="1">
      <alignment vertical="bottom"/>
    </xf>
    <xf borderId="7" fillId="6" fontId="3" numFmtId="165" xfId="0" applyAlignment="1" applyBorder="1" applyFont="1" applyNumberFormat="1">
      <alignment horizontal="right" vertical="bottom"/>
    </xf>
    <xf borderId="18" fillId="10" fontId="4" numFmtId="9" xfId="0" applyAlignment="1" applyBorder="1" applyFont="1" applyNumberFormat="1">
      <alignment horizontal="right" vertical="bottom"/>
    </xf>
    <xf borderId="18" fillId="11" fontId="3" numFmtId="166" xfId="0" applyAlignment="1" applyBorder="1" applyFont="1" applyNumberFormat="1">
      <alignment horizontal="right" vertical="bottom"/>
    </xf>
    <xf borderId="9" fillId="0" fontId="4" numFmtId="0" xfId="0" applyAlignment="1" applyBorder="1" applyFont="1">
      <alignment vertical="bottom"/>
    </xf>
    <xf borderId="7" fillId="6" fontId="3" numFmtId="9" xfId="0" applyAlignment="1" applyBorder="1" applyFont="1" applyNumberFormat="1">
      <alignment horizontal="right" vertical="bottom"/>
    </xf>
    <xf borderId="18" fillId="0" fontId="3" numFmtId="0" xfId="0" applyAlignment="1" applyBorder="1" applyFont="1">
      <alignment vertical="bottom"/>
    </xf>
    <xf borderId="18" fillId="0" fontId="3" numFmtId="164" xfId="0" applyAlignment="1" applyBorder="1" applyFont="1" applyNumberFormat="1">
      <alignment horizontal="right" vertical="bottom"/>
    </xf>
    <xf borderId="18" fillId="11" fontId="3" numFmtId="164" xfId="0" applyAlignment="1" applyBorder="1" applyFont="1" applyNumberFormat="1">
      <alignment horizontal="right" vertical="bottom"/>
    </xf>
    <xf borderId="7" fillId="6" fontId="3" numFmtId="166" xfId="0" applyAlignment="1" applyBorder="1" applyFont="1" applyNumberFormat="1">
      <alignment horizontal="right" vertical="bottom"/>
    </xf>
    <xf borderId="18" fillId="11" fontId="3" numFmtId="165" xfId="0" applyAlignment="1" applyBorder="1" applyFont="1" applyNumberFormat="1">
      <alignment horizontal="right" vertical="bottom"/>
    </xf>
    <xf borderId="19" fillId="0" fontId="4" numFmtId="0" xfId="0" applyAlignment="1" applyBorder="1" applyFont="1">
      <alignment vertical="bottom"/>
    </xf>
    <xf borderId="20" fillId="0" fontId="3" numFmtId="164" xfId="0" applyAlignment="1" applyBorder="1" applyFont="1" applyNumberFormat="1">
      <alignment horizontal="right" vertical="bottom"/>
    </xf>
    <xf borderId="15" fillId="0" fontId="4" numFmtId="0" xfId="0" applyAlignment="1" applyBorder="1" applyFont="1">
      <alignment vertical="bottom"/>
    </xf>
    <xf borderId="18" fillId="11" fontId="3" numFmtId="0" xfId="0" applyAlignment="1" applyBorder="1" applyFont="1">
      <alignment horizontal="right" vertical="bottom"/>
    </xf>
    <xf borderId="18" fillId="0" fontId="3" numFmtId="165" xfId="0" applyAlignment="1" applyBorder="1" applyFont="1" applyNumberFormat="1">
      <alignment horizontal="right" vertical="bottom"/>
    </xf>
    <xf borderId="18" fillId="0" fontId="3" numFmtId="9" xfId="0" applyAlignment="1" applyBorder="1" applyFont="1" applyNumberFormat="1">
      <alignment vertical="bottom"/>
    </xf>
    <xf borderId="19" fillId="9" fontId="4" numFmtId="0" xfId="0" applyAlignment="1" applyBorder="1" applyFont="1">
      <alignment vertical="bottom"/>
    </xf>
    <xf borderId="0" fillId="0" fontId="3" numFmtId="9" xfId="0" applyAlignment="1" applyFont="1" applyNumberFormat="1">
      <alignment vertical="bottom"/>
    </xf>
    <xf borderId="10" fillId="9" fontId="4" numFmtId="0" xfId="0" applyAlignment="1" applyBorder="1" applyFont="1">
      <alignment vertical="bottom"/>
    </xf>
    <xf borderId="10" fillId="10" fontId="3" numFmtId="164" xfId="0" applyAlignment="1" applyBorder="1" applyFont="1" applyNumberFormat="1">
      <alignment horizontal="right" vertical="bottom"/>
    </xf>
    <xf borderId="14" fillId="0" fontId="3" numFmtId="0" xfId="0" applyAlignment="1" applyBorder="1" applyFont="1">
      <alignment horizontal="center" vertical="bottom"/>
    </xf>
    <xf borderId="8" fillId="0" fontId="2" numFmtId="0" xfId="0" applyBorder="1" applyFont="1"/>
    <xf borderId="10" fillId="0" fontId="3" numFmtId="0" xfId="0" applyAlignment="1" applyBorder="1" applyFont="1">
      <alignment vertical="bottom"/>
    </xf>
    <xf borderId="10" fillId="10" fontId="4" numFmtId="10" xfId="0" applyAlignment="1" applyBorder="1" applyFont="1" applyNumberFormat="1">
      <alignment horizontal="right" vertical="bottom"/>
    </xf>
    <xf borderId="14" fillId="0" fontId="3" numFmtId="0" xfId="0" applyAlignment="1" applyBorder="1" applyFont="1">
      <alignment horizontal="right" vertical="bottom"/>
    </xf>
    <xf borderId="10" fillId="0" fontId="3" numFmtId="164" xfId="0" applyAlignment="1" applyBorder="1" applyFont="1" applyNumberFormat="1">
      <alignment horizontal="right" vertical="bottom"/>
    </xf>
    <xf borderId="10" fillId="0" fontId="3" numFmtId="165" xfId="0" applyAlignment="1" applyBorder="1" applyFont="1" applyNumberFormat="1">
      <alignment vertical="bottom"/>
    </xf>
    <xf borderId="0" fillId="0" fontId="3" numFmtId="0" xfId="0" applyAlignment="1" applyFont="1">
      <alignment horizontal="center" vertical="bottom"/>
    </xf>
    <xf borderId="21" fillId="2" fontId="1" numFmtId="0" xfId="0" applyAlignment="1" applyBorder="1" applyFont="1">
      <alignment horizontal="center" vertical="bottom"/>
    </xf>
    <xf borderId="22" fillId="0" fontId="2" numFmtId="0" xfId="0" applyBorder="1" applyFont="1"/>
    <xf borderId="0" fillId="0" fontId="3" numFmtId="3" xfId="0" applyAlignment="1" applyFont="1" applyNumberFormat="1">
      <alignment horizontal="center" vertical="bottom"/>
    </xf>
    <xf borderId="21" fillId="0" fontId="3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10" xfId="0" applyAlignment="1" applyFont="1" applyNumberFormat="1">
      <alignment horizontal="right" vertical="bottom"/>
    </xf>
    <xf borderId="23" fillId="12" fontId="10" numFmtId="0" xfId="0" applyAlignment="1" applyBorder="1" applyFill="1" applyFont="1">
      <alignment horizontal="center"/>
    </xf>
    <xf borderId="0" fillId="0" fontId="3" numFmtId="0" xfId="0" applyFont="1"/>
    <xf borderId="24" fillId="12" fontId="10" numFmtId="0" xfId="0" applyAlignment="1" applyBorder="1" applyFont="1">
      <alignment horizontal="center"/>
    </xf>
    <xf borderId="24" fillId="0" fontId="11" numFmtId="167" xfId="0" applyAlignment="1" applyBorder="1" applyFont="1" applyNumberFormat="1">
      <alignment horizontal="center"/>
    </xf>
    <xf borderId="24" fillId="0" fontId="11" numFmtId="165" xfId="0" applyAlignment="1" applyBorder="1" applyFont="1" applyNumberFormat="1">
      <alignment horizontal="center"/>
    </xf>
    <xf borderId="25" fillId="0" fontId="2" numFmtId="0" xfId="0" applyBorder="1" applyFont="1"/>
    <xf borderId="23" fillId="13" fontId="12" numFmtId="0" xfId="0" applyAlignment="1" applyBorder="1" applyFill="1" applyFont="1">
      <alignment horizontal="center"/>
    </xf>
    <xf borderId="23" fillId="14" fontId="12" numFmtId="0" xfId="0" applyAlignment="1" applyBorder="1" applyFill="1" applyFont="1">
      <alignment horizontal="center"/>
    </xf>
    <xf borderId="23" fillId="15" fontId="12" numFmtId="0" xfId="0" applyAlignment="1" applyBorder="1" applyFill="1" applyFont="1">
      <alignment horizontal="center"/>
    </xf>
    <xf borderId="0" fillId="0" fontId="13" numFmtId="0" xfId="0" applyAlignment="1" applyFont="1">
      <alignment horizontal="center"/>
    </xf>
    <xf borderId="0" fillId="0" fontId="13" numFmtId="3" xfId="0" applyAlignment="1" applyFont="1" applyNumberFormat="1">
      <alignment horizontal="center"/>
    </xf>
    <xf borderId="0" fillId="0" fontId="13" numFmtId="165" xfId="0" applyAlignment="1" applyFont="1" applyNumberFormat="1">
      <alignment horizontal="center"/>
    </xf>
    <xf borderId="0" fillId="0" fontId="14" numFmtId="165" xfId="0" applyAlignment="1" applyFont="1" applyNumberFormat="1">
      <alignment horizontal="center"/>
    </xf>
    <xf borderId="0" fillId="0" fontId="13" numFmtId="0" xfId="0" applyAlignment="1" applyFont="1">
      <alignment horizontal="center" vertical="center"/>
    </xf>
    <xf borderId="0" fillId="2" fontId="15" numFmtId="0" xfId="0" applyAlignment="1" applyFont="1">
      <alignment horizontal="center" vertical="center"/>
    </xf>
    <xf borderId="0" fillId="0" fontId="13" numFmtId="165" xfId="0" applyAlignment="1" applyFont="1" applyNumberFormat="1">
      <alignment horizontal="center" vertical="center"/>
    </xf>
    <xf borderId="0" fillId="0" fontId="13" numFmtId="165" xfId="0" applyAlignment="1" applyFont="1" applyNumberFormat="1">
      <alignment horizontal="center" vertical="bottom"/>
    </xf>
    <xf borderId="0" fillId="2" fontId="16" numFmtId="0" xfId="0" applyAlignment="1" applyFont="1">
      <alignment horizontal="center"/>
    </xf>
    <xf borderId="0" fillId="0" fontId="17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26" fillId="2" fontId="16" numFmtId="0" xfId="0" applyAlignment="1" applyBorder="1" applyFont="1">
      <alignment horizontal="center" vertical="center"/>
    </xf>
    <xf borderId="27" fillId="2" fontId="16" numFmtId="3" xfId="0" applyAlignment="1" applyBorder="1" applyFont="1" applyNumberFormat="1">
      <alignment horizontal="center" vertical="center"/>
    </xf>
    <xf borderId="27" fillId="2" fontId="16" numFmtId="165" xfId="0" applyAlignment="1" applyBorder="1" applyFont="1" applyNumberFormat="1">
      <alignment horizontal="center" vertical="center"/>
    </xf>
    <xf borderId="0" fillId="2" fontId="16" numFmtId="0" xfId="0" applyAlignment="1" applyFont="1">
      <alignment horizontal="center" vertical="center"/>
    </xf>
    <xf borderId="0" fillId="2" fontId="16" numFmtId="165" xfId="0" applyAlignment="1" applyFont="1" applyNumberFormat="1">
      <alignment horizontal="center" vertical="center"/>
    </xf>
    <xf borderId="28" fillId="0" fontId="2" numFmtId="0" xfId="0" applyBorder="1" applyFont="1"/>
    <xf borderId="22" fillId="16" fontId="16" numFmtId="0" xfId="0" applyAlignment="1" applyBorder="1" applyFill="1" applyFont="1">
      <alignment horizontal="center"/>
    </xf>
    <xf borderId="10" fillId="16" fontId="16" numFmtId="3" xfId="0" applyAlignment="1" applyBorder="1" applyFont="1" applyNumberFormat="1">
      <alignment horizontal="center"/>
    </xf>
    <xf borderId="10" fillId="16" fontId="16" numFmtId="165" xfId="0" applyAlignment="1" applyBorder="1" applyFont="1" applyNumberFormat="1">
      <alignment horizontal="center"/>
    </xf>
    <xf borderId="27" fillId="17" fontId="16" numFmtId="0" xfId="0" applyAlignment="1" applyBorder="1" applyFill="1" applyFont="1">
      <alignment horizontal="center" vertical="center"/>
    </xf>
    <xf borderId="27" fillId="17" fontId="16" numFmtId="165" xfId="0" applyAlignment="1" applyBorder="1" applyFont="1" applyNumberFormat="1">
      <alignment horizontal="center"/>
    </xf>
    <xf borderId="22" fillId="18" fontId="16" numFmtId="0" xfId="0" applyAlignment="1" applyBorder="1" applyFill="1" applyFont="1">
      <alignment horizontal="center"/>
    </xf>
    <xf borderId="22" fillId="18" fontId="16" numFmtId="165" xfId="0" applyAlignment="1" applyBorder="1" applyFont="1" applyNumberFormat="1">
      <alignment horizontal="center"/>
    </xf>
    <xf borderId="27" fillId="19" fontId="16" numFmtId="0" xfId="0" applyAlignment="1" applyBorder="1" applyFill="1" applyFont="1">
      <alignment horizontal="center" vertical="center"/>
    </xf>
    <xf borderId="27" fillId="19" fontId="16" numFmtId="165" xfId="0" applyAlignment="1" applyBorder="1" applyFont="1" applyNumberFormat="1">
      <alignment horizontal="center"/>
    </xf>
    <xf borderId="10" fillId="18" fontId="16" numFmtId="3" xfId="0" applyAlignment="1" applyBorder="1" applyFont="1" applyNumberFormat="1">
      <alignment horizontal="center"/>
    </xf>
    <xf borderId="10" fillId="18" fontId="16" numFmtId="165" xfId="0" applyAlignment="1" applyBorder="1" applyFont="1" applyNumberFormat="1">
      <alignment horizontal="center"/>
    </xf>
    <xf borderId="22" fillId="16" fontId="16" numFmtId="165" xfId="0" applyAlignment="1" applyBorder="1" applyFont="1" applyNumberFormat="1">
      <alignment horizontal="center"/>
    </xf>
    <xf borderId="27" fillId="20" fontId="16" numFmtId="0" xfId="0" applyAlignment="1" applyBorder="1" applyFill="1" applyFont="1">
      <alignment horizontal="center" vertical="center"/>
    </xf>
    <xf borderId="27" fillId="20" fontId="16" numFmtId="165" xfId="0" applyAlignment="1" applyBorder="1" applyFont="1" applyNumberFormat="1">
      <alignment horizontal="center"/>
    </xf>
    <xf borderId="27" fillId="21" fontId="16" numFmtId="0" xfId="0" applyAlignment="1" applyBorder="1" applyFill="1" applyFont="1">
      <alignment horizontal="center" vertical="center"/>
    </xf>
    <xf borderId="27" fillId="21" fontId="16" numFmtId="165" xfId="0" applyAlignment="1" applyBorder="1" applyFont="1" applyNumberFormat="1">
      <alignment horizontal="center"/>
    </xf>
    <xf borderId="0" fillId="5" fontId="13" numFmtId="0" xfId="0" applyAlignment="1" applyFont="1">
      <alignment horizontal="center"/>
    </xf>
    <xf borderId="0" fillId="2" fontId="16" numFmtId="3" xfId="0" applyAlignment="1" applyFont="1" applyNumberFormat="1">
      <alignment horizontal="center"/>
    </xf>
    <xf borderId="0" fillId="2" fontId="16" numFmtId="165" xfId="0" applyAlignment="1" applyFont="1" applyNumberFormat="1">
      <alignment horizontal="center"/>
    </xf>
    <xf borderId="0" fillId="5" fontId="13" numFmtId="165" xfId="0" applyAlignment="1" applyFont="1" applyNumberFormat="1">
      <alignment horizontal="center"/>
    </xf>
    <xf borderId="21" fillId="2" fontId="16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0" fillId="0" fontId="16" numFmtId="165" xfId="0" applyAlignment="1" applyFont="1" applyNumberFormat="1">
      <alignment horizontal="center"/>
    </xf>
    <xf borderId="10" fillId="16" fontId="1" numFmtId="0" xfId="0" applyAlignment="1" applyBorder="1" applyFont="1">
      <alignment horizontal="center" vertical="bottom"/>
    </xf>
    <xf borderId="10" fillId="16" fontId="1" numFmtId="3" xfId="0" applyAlignment="1" applyBorder="1" applyFont="1" applyNumberFormat="1">
      <alignment horizontal="center" vertical="bottom"/>
    </xf>
    <xf borderId="0" fillId="16" fontId="16" numFmtId="165" xfId="0" applyAlignment="1" applyFont="1" applyNumberFormat="1">
      <alignment horizontal="center"/>
    </xf>
    <xf borderId="10" fillId="18" fontId="1" numFmtId="0" xfId="0" applyAlignment="1" applyBorder="1" applyFont="1">
      <alignment horizontal="center" vertical="bottom"/>
    </xf>
    <xf borderId="10" fillId="18" fontId="1" numFmtId="3" xfId="0" applyAlignment="1" applyBorder="1" applyFont="1" applyNumberFormat="1">
      <alignment horizontal="center" vertical="bottom"/>
    </xf>
    <xf borderId="0" fillId="18" fontId="16" numFmtId="165" xfId="0" applyAlignment="1" applyFont="1" applyNumberFormat="1">
      <alignment horizontal="center"/>
    </xf>
    <xf borderId="10" fillId="17" fontId="16" numFmtId="0" xfId="0" applyAlignment="1" applyBorder="1" applyFont="1">
      <alignment horizontal="center"/>
    </xf>
    <xf borderId="10" fillId="17" fontId="16" numFmtId="165" xfId="0" applyAlignment="1" applyBorder="1" applyFont="1" applyNumberFormat="1">
      <alignment horizontal="center"/>
    </xf>
    <xf borderId="0" fillId="0" fontId="3" numFmtId="165" xfId="0" applyAlignment="1" applyFont="1" applyNumberFormat="1">
      <alignment vertical="bottom"/>
    </xf>
    <xf borderId="0" fillId="2" fontId="1" numFmtId="3" xfId="0" applyAlignment="1" applyFont="1" applyNumberFormat="1">
      <alignment horizontal="center" vertical="bottom"/>
    </xf>
    <xf borderId="0" fillId="0" fontId="16" numFmtId="3" xfId="0" applyAlignment="1" applyFont="1" applyNumberFormat="1">
      <alignment horizontal="center"/>
    </xf>
    <xf borderId="10" fillId="19" fontId="16" numFmtId="0" xfId="0" applyAlignment="1" applyBorder="1" applyFont="1">
      <alignment horizontal="center"/>
    </xf>
    <xf borderId="10" fillId="19" fontId="16" numFmtId="165" xfId="0" applyAlignment="1" applyBorder="1" applyFont="1" applyNumberFormat="1">
      <alignment horizontal="center"/>
    </xf>
    <xf borderId="21" fillId="16" fontId="1" numFmtId="3" xfId="0" applyAlignment="1" applyBorder="1" applyFont="1" applyNumberFormat="1">
      <alignment horizontal="center" vertical="bottom"/>
    </xf>
    <xf borderId="0" fillId="2" fontId="13" numFmtId="165" xfId="0" applyAlignment="1" applyFont="1" applyNumberFormat="1">
      <alignment horizontal="center"/>
    </xf>
    <xf borderId="10" fillId="20" fontId="1" numFmtId="165" xfId="0" applyAlignment="1" applyBorder="1" applyFont="1" applyNumberFormat="1">
      <alignment horizontal="center" vertical="bottom"/>
    </xf>
    <xf borderId="10" fillId="20" fontId="1" numFmtId="0" xfId="0" applyAlignment="1" applyBorder="1" applyFont="1">
      <alignment horizontal="center" vertical="bottom"/>
    </xf>
    <xf borderId="21" fillId="20" fontId="1" numFmtId="0" xfId="0" applyAlignment="1" applyBorder="1" applyFont="1">
      <alignment horizontal="center" vertical="bottom"/>
    </xf>
    <xf borderId="21" fillId="18" fontId="1" numFmtId="3" xfId="0" applyAlignment="1" applyBorder="1" applyFont="1" applyNumberFormat="1">
      <alignment horizontal="center" vertical="bottom"/>
    </xf>
    <xf borderId="10" fillId="20" fontId="16" numFmtId="0" xfId="0" applyAlignment="1" applyBorder="1" applyFont="1">
      <alignment horizontal="center"/>
    </xf>
    <xf borderId="10" fillId="20" fontId="16" numFmtId="165" xfId="0" applyAlignment="1" applyBorder="1" applyFont="1" applyNumberFormat="1">
      <alignment horizontal="center"/>
    </xf>
    <xf borderId="21" fillId="20" fontId="1" numFmtId="165" xfId="0" applyAlignment="1" applyBorder="1" applyFont="1" applyNumberFormat="1">
      <alignment horizontal="center" vertical="bottom"/>
    </xf>
    <xf borderId="10" fillId="2" fontId="1" numFmtId="3" xfId="0" applyAlignment="1" applyBorder="1" applyFont="1" applyNumberFormat="1">
      <alignment horizontal="center" vertical="bottom"/>
    </xf>
    <xf borderId="10" fillId="21" fontId="16" numFmtId="0" xfId="0" applyAlignment="1" applyBorder="1" applyFont="1">
      <alignment horizontal="center"/>
    </xf>
    <xf borderId="10" fillId="21" fontId="16" numFmtId="165" xfId="0" applyAlignment="1" applyBorder="1" applyFont="1" applyNumberFormat="1">
      <alignment horizontal="center"/>
    </xf>
    <xf borderId="0" fillId="2" fontId="1" numFmtId="165" xfId="0" applyAlignment="1" applyFont="1" applyNumberFormat="1">
      <alignment horizontal="center" vertical="bottom"/>
    </xf>
    <xf borderId="0" fillId="0" fontId="3" numFmtId="165" xfId="0" applyFont="1" applyNumberFormat="1"/>
    <xf borderId="10" fillId="2" fontId="16" numFmtId="0" xfId="0" applyAlignment="1" applyBorder="1" applyFont="1">
      <alignment horizontal="center"/>
    </xf>
    <xf borderId="10" fillId="2" fontId="18" numFmtId="165" xfId="0" applyAlignment="1" applyBorder="1" applyFont="1" applyNumberFormat="1">
      <alignment horizontal="center"/>
    </xf>
    <xf borderId="10" fillId="22" fontId="6" numFmtId="0" xfId="0" applyAlignment="1" applyBorder="1" applyFill="1" applyFont="1">
      <alignment horizontal="center" vertical="bottom"/>
    </xf>
    <xf borderId="10" fillId="22" fontId="6" numFmtId="3" xfId="0" applyAlignment="1" applyBorder="1" applyFont="1" applyNumberFormat="1">
      <alignment horizontal="center" vertical="bottom"/>
    </xf>
    <xf borderId="0" fillId="0" fontId="19" numFmtId="165" xfId="0" applyAlignment="1" applyFont="1" applyNumberFormat="1">
      <alignment horizontal="center"/>
    </xf>
    <xf borderId="10" fillId="0" fontId="6" numFmtId="0" xfId="0" applyAlignment="1" applyBorder="1" applyFont="1">
      <alignment horizontal="center" vertical="bottom"/>
    </xf>
    <xf borderId="10" fillId="0" fontId="6" numFmtId="165" xfId="0" applyAlignment="1" applyBorder="1" applyFont="1" applyNumberFormat="1">
      <alignment horizontal="center" vertical="bottom"/>
    </xf>
    <xf borderId="10" fillId="0" fontId="6" numFmtId="168" xfId="0" applyAlignment="1" applyBorder="1" applyFont="1" applyNumberFormat="1">
      <alignment horizontal="center" vertical="bottom"/>
    </xf>
    <xf borderId="0" fillId="0" fontId="3" numFmtId="10" xfId="0" applyFont="1" applyNumberFormat="1"/>
    <xf borderId="10" fillId="0" fontId="6" numFmtId="169" xfId="0" applyAlignment="1" applyBorder="1" applyFont="1" applyNumberFormat="1">
      <alignment horizontal="center" vertical="bottom"/>
    </xf>
    <xf borderId="10" fillId="22" fontId="6" numFmtId="170" xfId="0" applyAlignment="1" applyBorder="1" applyFont="1" applyNumberFormat="1">
      <alignment horizontal="center" vertical="bottom"/>
    </xf>
    <xf borderId="10" fillId="0" fontId="6" numFmtId="171" xfId="0" applyAlignment="1" applyBorder="1" applyFont="1" applyNumberFormat="1">
      <alignment horizontal="center" vertical="bottom"/>
    </xf>
    <xf borderId="10" fillId="0" fontId="6" numFmtId="3" xfId="0" applyAlignment="1" applyBorder="1" applyFont="1" applyNumberForma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0" fontId="1" numFmtId="170" xfId="0" applyAlignment="1" applyFont="1" applyNumberFormat="1">
      <alignment horizontal="center" vertical="bottom"/>
    </xf>
    <xf borderId="0" fillId="0" fontId="1" numFmtId="171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20" numFmtId="171" xfId="0" applyAlignment="1" applyFont="1" applyNumberFormat="1">
      <alignment horizontal="center" vertical="bottom"/>
    </xf>
    <xf borderId="0" fillId="0" fontId="13" numFmtId="10" xfId="0" applyAlignment="1" applyFont="1" applyNumberFormat="1">
      <alignment horizontal="center"/>
    </xf>
    <xf borderId="10" fillId="2" fontId="1" numFmtId="0" xfId="0" applyAlignment="1" applyBorder="1" applyFont="1">
      <alignment horizontal="center" vertical="center"/>
    </xf>
    <xf borderId="10" fillId="2" fontId="1" numFmtId="10" xfId="0" applyAlignment="1" applyBorder="1" applyFont="1" applyNumberFormat="1">
      <alignment horizontal="center" vertical="center"/>
    </xf>
    <xf borderId="10" fillId="2" fontId="1" numFmtId="165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/>
    </xf>
    <xf borderId="0" fillId="0" fontId="4" numFmtId="170" xfId="0" applyAlignment="1" applyFont="1" applyNumberFormat="1">
      <alignment horizontal="center"/>
    </xf>
    <xf borderId="16" fillId="0" fontId="3" numFmtId="3" xfId="0" applyAlignment="1" applyBorder="1" applyFont="1" applyNumberFormat="1">
      <alignment horizontal="center"/>
    </xf>
    <xf borderId="16" fillId="0" fontId="3" numFmtId="10" xfId="0" applyAlignment="1" applyBorder="1" applyFont="1" applyNumberFormat="1">
      <alignment horizontal="center"/>
    </xf>
    <xf borderId="16" fillId="0" fontId="3" numFmtId="0" xfId="0" applyAlignment="1" applyBorder="1" applyFont="1">
      <alignment horizontal="center"/>
    </xf>
    <xf borderId="16" fillId="0" fontId="4" numFmtId="0" xfId="0" applyAlignment="1" applyBorder="1" applyFont="1">
      <alignment horizontal="center"/>
    </xf>
    <xf borderId="16" fillId="23" fontId="4" numFmtId="0" xfId="0" applyAlignment="1" applyBorder="1" applyFill="1" applyFont="1">
      <alignment horizontal="center"/>
    </xf>
    <xf borderId="16" fillId="23" fontId="4" numFmtId="165" xfId="0" applyAlignment="1" applyBorder="1" applyFont="1" applyNumberFormat="1">
      <alignment horizontal="center"/>
    </xf>
    <xf borderId="16" fillId="0" fontId="4" numFmtId="165" xfId="0" applyAlignment="1" applyBorder="1" applyFont="1" applyNumberFormat="1">
      <alignment horizontal="center"/>
    </xf>
    <xf borderId="16" fillId="0" fontId="4" numFmtId="10" xfId="0" applyAlignment="1" applyBorder="1" applyFont="1" applyNumberFormat="1">
      <alignment horizontal="center"/>
    </xf>
    <xf borderId="16" fillId="23" fontId="4" numFmtId="10" xfId="0" applyAlignment="1" applyBorder="1" applyFont="1" applyNumberFormat="1">
      <alignment horizontal="center"/>
    </xf>
    <xf borderId="16" fillId="23" fontId="4" numFmtId="3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 vertical="center"/>
    </xf>
    <xf borderId="10" fillId="0" fontId="3" numFmtId="1" xfId="0" applyAlignment="1" applyBorder="1" applyFont="1" applyNumberFormat="1">
      <alignment horizontal="center"/>
    </xf>
    <xf borderId="10" fillId="0" fontId="3" numFmtId="10" xfId="0" applyAlignment="1" applyBorder="1" applyFont="1" applyNumberFormat="1">
      <alignment horizontal="center"/>
    </xf>
    <xf borderId="10" fillId="0" fontId="4" numFmtId="1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/>
    </xf>
    <xf borderId="10" fillId="0" fontId="4" numFmtId="165" xfId="0" applyAlignment="1" applyBorder="1" applyFont="1" applyNumberFormat="1">
      <alignment horizontal="center"/>
    </xf>
    <xf borderId="10" fillId="0" fontId="3" numFmtId="3" xfId="0" applyAlignment="1" applyBorder="1" applyFont="1" applyNumberFormat="1">
      <alignment horizontal="center"/>
    </xf>
    <xf borderId="10" fillId="0" fontId="3" numFmtId="0" xfId="0" applyAlignment="1" applyBorder="1" applyFont="1">
      <alignment horizontal="center"/>
    </xf>
    <xf borderId="0" fillId="0" fontId="4" numFmtId="10" xfId="0" applyAlignment="1" applyFont="1" applyNumberFormat="1">
      <alignment horizontal="center"/>
    </xf>
    <xf borderId="10" fillId="17" fontId="1" numFmtId="0" xfId="0" applyAlignment="1" applyBorder="1" applyFont="1">
      <alignment horizontal="center" vertical="bottom"/>
    </xf>
    <xf borderId="21" fillId="17" fontId="16" numFmtId="165" xfId="0" applyAlignment="1" applyBorder="1" applyFont="1" applyNumberFormat="1">
      <alignment horizontal="center" vertical="center"/>
    </xf>
    <xf borderId="29" fillId="0" fontId="2" numFmtId="0" xfId="0" applyBorder="1" applyFont="1"/>
    <xf borderId="0" fillId="5" fontId="5" numFmtId="0" xfId="0" applyAlignment="1" applyFont="1">
      <alignment horizontal="center" vertical="bottom"/>
    </xf>
    <xf borderId="10" fillId="19" fontId="1" numFmtId="0" xfId="0" applyAlignment="1" applyBorder="1" applyFont="1">
      <alignment horizontal="center" vertical="bottom"/>
    </xf>
    <xf borderId="21" fillId="19" fontId="16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1" numFmtId="0" xfId="0" applyAlignment="1" applyFont="1">
      <alignment horizontal="center" vertical="center"/>
    </xf>
    <xf borderId="0" fillId="5" fontId="19" numFmtId="0" xfId="0" applyAlignment="1" applyFont="1">
      <alignment horizontal="center"/>
    </xf>
    <xf borderId="21" fillId="24" fontId="1" numFmtId="165" xfId="0" applyAlignment="1" applyBorder="1" applyFill="1" applyFont="1" applyNumberFormat="1">
      <alignment horizontal="center" vertical="bottom"/>
    </xf>
    <xf borderId="10" fillId="16" fontId="1" numFmtId="165" xfId="0" applyAlignment="1" applyBorder="1" applyFont="1" applyNumberFormat="1">
      <alignment horizontal="center" vertical="bottom"/>
    </xf>
    <xf borderId="0" fillId="5" fontId="19" numFmtId="0" xfId="0" applyAlignment="1" applyFont="1">
      <alignment horizontal="center" vertical="center"/>
    </xf>
    <xf borderId="10" fillId="17" fontId="1" numFmtId="170" xfId="0" applyAlignment="1" applyBorder="1" applyFont="1" applyNumberFormat="1">
      <alignment horizontal="center" vertical="bottom"/>
    </xf>
    <xf borderId="21" fillId="0" fontId="6" numFmtId="165" xfId="0" applyAlignment="1" applyBorder="1" applyFont="1" applyNumberFormat="1">
      <alignment horizontal="center" vertical="bottom"/>
    </xf>
    <xf borderId="10" fillId="5" fontId="21" numFmtId="165" xfId="0" applyAlignment="1" applyBorder="1" applyFont="1" applyNumberFormat="1">
      <alignment horizontal="center" vertical="bottom"/>
    </xf>
    <xf borderId="10" fillId="19" fontId="1" numFmtId="170" xfId="0" applyAlignment="1" applyBorder="1" applyFont="1" applyNumberFormat="1">
      <alignment horizontal="center" vertical="bottom"/>
    </xf>
    <xf borderId="10" fillId="5" fontId="20" numFmtId="165" xfId="0" applyAlignment="1" applyBorder="1" applyFont="1" applyNumberFormat="1">
      <alignment horizontal="center" vertical="bottom"/>
    </xf>
    <xf borderId="0" fillId="0" fontId="5" numFmtId="3" xfId="0" applyAlignment="1" applyFont="1" applyNumberFormat="1">
      <alignment horizontal="center" vertical="bottom"/>
    </xf>
    <xf borderId="0" fillId="5" fontId="21" numFmtId="0" xfId="0" applyAlignment="1" applyFont="1">
      <alignment horizontal="center"/>
    </xf>
    <xf borderId="0" fillId="5" fontId="5" numFmtId="3" xfId="0" applyAlignment="1" applyFont="1" applyNumberFormat="1">
      <alignment horizontal="center" vertical="bottom"/>
    </xf>
    <xf borderId="27" fillId="17" fontId="1" numFmtId="170" xfId="0" applyAlignment="1" applyBorder="1" applyFont="1" applyNumberFormat="1">
      <alignment horizontal="center" vertical="bottom"/>
    </xf>
    <xf borderId="27" fillId="17" fontId="1" numFmtId="0" xfId="0" applyAlignment="1" applyBorder="1" applyFont="1">
      <alignment horizontal="center" vertical="bottom"/>
    </xf>
    <xf borderId="0" fillId="0" fontId="20" numFmtId="3" xfId="0" applyAlignment="1" applyFont="1" applyNumberFormat="1">
      <alignment horizontal="center" vertical="bottom"/>
    </xf>
    <xf borderId="0" fillId="0" fontId="6" numFmtId="165" xfId="0" applyAlignment="1" applyFont="1" applyNumberFormat="1">
      <alignment horizontal="center" vertical="bottom"/>
    </xf>
    <xf borderId="0" fillId="0" fontId="20" numFmtId="165" xfId="0" applyAlignment="1" applyFont="1" applyNumberFormat="1">
      <alignment horizontal="center" vertical="bottom"/>
    </xf>
    <xf borderId="0" fillId="0" fontId="6" numFmtId="3" xfId="0" applyAlignment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5" fontId="5" numFmtId="165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center" vertical="bottom"/>
    </xf>
    <xf borderId="0" fillId="0" fontId="22" numFmtId="0" xfId="0" applyAlignment="1" applyFont="1">
      <alignment horizontal="center" vertical="bottom"/>
    </xf>
    <xf borderId="0" fillId="0" fontId="23" numFmtId="0" xfId="0" applyAlignment="1" applyFont="1">
      <alignment horizontal="center" shrinkToFit="0" vertical="bottom" wrapText="0"/>
    </xf>
    <xf borderId="0" fillId="5" fontId="19" numFmtId="165" xfId="0" applyAlignment="1" applyFont="1" applyNumberFormat="1">
      <alignment horizontal="center"/>
    </xf>
    <xf borderId="0" fillId="5" fontId="16" numFmtId="165" xfId="0" applyAlignment="1" applyFont="1" applyNumberFormat="1">
      <alignment horizontal="center"/>
    </xf>
    <xf borderId="29" fillId="2" fontId="1" numFmtId="165" xfId="0" applyAlignment="1" applyBorder="1" applyFont="1" applyNumberFormat="1">
      <alignment horizontal="center" vertical="bottom"/>
    </xf>
    <xf borderId="22" fillId="2" fontId="1" numFmtId="165" xfId="0" applyAlignment="1" applyBorder="1" applyFont="1" applyNumberFormat="1">
      <alignment horizontal="center" vertical="bottom"/>
    </xf>
    <xf borderId="30" fillId="2" fontId="1" numFmtId="0" xfId="0" applyAlignment="1" applyBorder="1" applyFont="1">
      <alignment horizontal="center" vertical="center"/>
    </xf>
    <xf borderId="26" fillId="0" fontId="2" numFmtId="0" xfId="0" applyBorder="1" applyFont="1"/>
    <xf borderId="10" fillId="2" fontId="1" numFmtId="0" xfId="0" applyAlignment="1" applyBorder="1" applyFont="1">
      <alignment horizontal="center" vertical="bottom"/>
    </xf>
    <xf borderId="10" fillId="2" fontId="1" numFmtId="165" xfId="0" applyAlignment="1" applyBorder="1" applyFont="1" applyNumberFormat="1">
      <alignment horizontal="center" vertical="bottom"/>
    </xf>
    <xf borderId="31" fillId="0" fontId="2" numFmtId="0" xfId="0" applyBorder="1" applyFont="1"/>
    <xf borderId="10" fillId="5" fontId="24" numFmtId="3" xfId="0" applyAlignment="1" applyBorder="1" applyFont="1" applyNumberFormat="1">
      <alignment horizontal="center" vertical="bottom"/>
    </xf>
    <xf borderId="10" fillId="5" fontId="6" numFmtId="165" xfId="0" applyAlignment="1" applyBorder="1" applyFont="1" applyNumberFormat="1">
      <alignment horizontal="center" vertical="bottom"/>
    </xf>
    <xf borderId="10" fillId="0" fontId="20" numFmtId="3" xfId="0" applyAlignment="1" applyBorder="1" applyFont="1" applyNumberFormat="1">
      <alignment horizontal="center" vertical="bottom"/>
    </xf>
    <xf borderId="10" fillId="0" fontId="20" numFmtId="165" xfId="0" applyAlignment="1" applyBorder="1" applyFont="1" applyNumberFormat="1">
      <alignment horizontal="center" vertical="bottom"/>
    </xf>
    <xf borderId="10" fillId="0" fontId="25" numFmtId="0" xfId="0" applyAlignment="1" applyBorder="1" applyFont="1">
      <alignment horizontal="center" vertical="bottom"/>
    </xf>
    <xf borderId="10" fillId="5" fontId="20" numFmtId="3" xfId="0" applyAlignment="1" applyBorder="1" applyFont="1" applyNumberFormat="1">
      <alignment horizontal="center" vertical="bottom"/>
    </xf>
    <xf borderId="10" fillId="0" fontId="21" numFmtId="3" xfId="0" applyAlignment="1" applyBorder="1" applyFont="1" applyNumberFormat="1">
      <alignment horizontal="center" vertical="bottom"/>
    </xf>
    <xf borderId="10" fillId="0" fontId="21" numFmtId="165" xfId="0" applyAlignment="1" applyBorder="1" applyFont="1" applyNumberFormat="1">
      <alignment horizontal="center" vertical="bottom"/>
    </xf>
    <xf borderId="10" fillId="0" fontId="26" numFmtId="0" xfId="0" applyAlignment="1" applyBorder="1" applyFont="1">
      <alignment horizontal="center" vertical="bottom"/>
    </xf>
    <xf borderId="10" fillId="5" fontId="20" numFmtId="0" xfId="0" applyAlignment="1" applyBorder="1" applyFont="1">
      <alignment horizontal="center" vertical="bottom"/>
    </xf>
    <xf borderId="10" fillId="25" fontId="20" numFmtId="3" xfId="0" applyAlignment="1" applyBorder="1" applyFill="1" applyFont="1" applyNumberFormat="1">
      <alignment horizontal="center" vertical="bottom"/>
    </xf>
    <xf borderId="10" fillId="5" fontId="6" numFmtId="3" xfId="0" applyAlignment="1" applyBorder="1" applyFont="1" applyNumberFormat="1">
      <alignment horizontal="center" vertical="bottom"/>
    </xf>
    <xf borderId="10" fillId="0" fontId="27" numFmtId="0" xfId="0" applyAlignment="1" applyBorder="1" applyFont="1">
      <alignment horizontal="center" vertical="bottom"/>
    </xf>
    <xf borderId="10" fillId="5" fontId="6" numFmtId="0" xfId="0" applyAlignment="1" applyBorder="1" applyFont="1">
      <alignment horizontal="center" vertical="bottom"/>
    </xf>
    <xf borderId="10" fillId="5" fontId="21" numFmtId="0" xfId="0" applyAlignment="1" applyBorder="1" applyFont="1">
      <alignment horizontal="center"/>
    </xf>
    <xf borderId="10" fillId="5" fontId="28" numFmtId="0" xfId="0" applyAlignment="1" applyBorder="1" applyFont="1">
      <alignment horizontal="center"/>
    </xf>
    <xf borderId="10" fillId="0" fontId="20" numFmtId="4" xfId="0" applyAlignment="1" applyBorder="1" applyFont="1" applyNumberFormat="1">
      <alignment horizontal="center" vertical="bottom"/>
    </xf>
    <xf borderId="10" fillId="0" fontId="20" numFmtId="172" xfId="0" applyAlignment="1" applyBorder="1" applyFont="1" applyNumberFormat="1">
      <alignment horizontal="center" vertical="bottom"/>
    </xf>
    <xf borderId="0" fillId="5" fontId="3" numFmtId="0" xfId="0" applyAlignment="1" applyFont="1">
      <alignment horizontal="center"/>
    </xf>
    <xf borderId="10" fillId="5" fontId="5" numFmtId="3" xfId="0" applyAlignment="1" applyBorder="1" applyFont="1" applyNumberFormat="1">
      <alignment horizontal="center" vertical="bottom"/>
    </xf>
    <xf borderId="10" fillId="5" fontId="5" numFmtId="165" xfId="0" applyAlignment="1" applyBorder="1" applyFont="1" applyNumberFormat="1">
      <alignment horizontal="center" vertical="bottom"/>
    </xf>
    <xf borderId="0" fillId="5" fontId="19" numFmtId="3" xfId="0" applyAlignment="1" applyFont="1" applyNumberFormat="1">
      <alignment horizontal="center"/>
    </xf>
    <xf borderId="10" fillId="26" fontId="5" numFmtId="0" xfId="0" applyAlignment="1" applyBorder="1" applyFill="1" applyFont="1">
      <alignment horizontal="center" vertical="center"/>
    </xf>
    <xf borderId="10" fillId="26" fontId="5" numFmtId="10" xfId="0" applyAlignment="1" applyBorder="1" applyFont="1" applyNumberFormat="1">
      <alignment horizontal="center" vertical="center"/>
    </xf>
    <xf borderId="10" fillId="26" fontId="5" numFmtId="165" xfId="0" applyAlignment="1" applyBorder="1" applyFont="1" applyNumberFormat="1">
      <alignment horizontal="center" vertical="center"/>
    </xf>
    <xf borderId="10" fillId="0" fontId="3" numFmtId="173" xfId="0" applyAlignment="1" applyBorder="1" applyFont="1" applyNumberFormat="1">
      <alignment horizontal="center" vertical="center"/>
    </xf>
    <xf borderId="10" fillId="0" fontId="3" numFmtId="3" xfId="0" applyAlignment="1" applyBorder="1" applyFont="1" applyNumberFormat="1">
      <alignment horizontal="center" vertical="center"/>
    </xf>
    <xf borderId="10" fillId="0" fontId="3" numFmtId="10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center" vertical="center"/>
    </xf>
    <xf borderId="10" fillId="5" fontId="29" numFmtId="165" xfId="0" applyAlignment="1" applyBorder="1" applyFont="1" applyNumberFormat="1">
      <alignment horizontal="center" shrinkToFit="0" vertical="center" wrapText="0"/>
    </xf>
    <xf borderId="10" fillId="0" fontId="3" numFmtId="165" xfId="0" applyAlignment="1" applyBorder="1" applyFont="1" applyNumberFormat="1">
      <alignment horizontal="center" vertical="center"/>
    </xf>
    <xf borderId="0" fillId="5" fontId="30" numFmtId="0" xfId="0" applyAlignment="1" applyFont="1">
      <alignment horizontal="right" shrinkToFit="0" wrapText="0"/>
    </xf>
    <xf borderId="0" fillId="0" fontId="3" numFmtId="0" xfId="0" applyAlignment="1" applyFon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0" fillId="26" fontId="5" numFmtId="9" xfId="0" applyAlignment="1" applyBorder="1" applyFont="1" applyNumberFormat="1">
      <alignment horizontal="center" vertical="center"/>
    </xf>
    <xf borderId="10" fillId="0" fontId="3" numFmtId="9" xfId="0" applyAlignment="1" applyBorder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5" fontId="30" numFmtId="0" xfId="0" applyAlignment="1" applyFont="1">
      <alignment horizontal="center" shrinkToFit="0" wrapText="0"/>
    </xf>
    <xf borderId="10" fillId="27" fontId="3" numFmtId="0" xfId="0" applyAlignment="1" applyBorder="1" applyFill="1" applyFont="1">
      <alignment horizontal="center"/>
    </xf>
    <xf borderId="10" fillId="27" fontId="3" numFmtId="10" xfId="0" applyAlignment="1" applyBorder="1" applyFont="1" applyNumberFormat="1">
      <alignment horizontal="center"/>
    </xf>
    <xf borderId="10" fillId="27" fontId="3" numFmtId="165" xfId="0" applyAlignment="1" applyBorder="1" applyFont="1" applyNumberFormat="1">
      <alignment horizontal="center"/>
    </xf>
    <xf borderId="10" fillId="27" fontId="13" numFmtId="165" xfId="0" applyAlignment="1" applyBorder="1" applyFont="1" applyNumberFormat="1">
      <alignment horizontal="center"/>
    </xf>
    <xf borderId="10" fillId="5" fontId="31" numFmtId="165" xfId="0" applyAlignment="1" applyBorder="1" applyFont="1" applyNumberFormat="1">
      <alignment horizontal="center" shrinkToFit="0" wrapText="0"/>
    </xf>
    <xf borderId="10" fillId="5" fontId="32" numFmtId="165" xfId="0" applyAlignment="1" applyBorder="1" applyFont="1" applyNumberFormat="1">
      <alignment horizontal="center" shrinkToFit="0" wrapText="0"/>
    </xf>
    <xf borderId="10" fillId="0" fontId="13" numFmtId="3" xfId="0" applyAlignment="1" applyBorder="1" applyFont="1" applyNumberFormat="1">
      <alignment horizontal="center"/>
    </xf>
    <xf borderId="10" fillId="0" fontId="13" numFmtId="10" xfId="0" applyAlignment="1" applyBorder="1" applyFont="1" applyNumberFormat="1">
      <alignment horizontal="center"/>
    </xf>
    <xf borderId="10" fillId="0" fontId="13" numFmtId="165" xfId="0" applyAlignment="1" applyBorder="1" applyFont="1" applyNumberFormat="1">
      <alignment horizontal="center"/>
    </xf>
    <xf borderId="10" fillId="0" fontId="3" numFmtId="165" xfId="0" applyAlignment="1" applyBorder="1" applyFont="1" applyNumberFormat="1">
      <alignment horizontal="center"/>
    </xf>
    <xf borderId="10" fillId="0" fontId="13" numFmtId="0" xfId="0" applyAlignment="1" applyBorder="1" applyFont="1">
      <alignment horizontal="center"/>
    </xf>
    <xf borderId="10" fillId="0" fontId="3" numFmtId="174" xfId="0" applyAlignment="1" applyBorder="1" applyFont="1" applyNumberFormat="1">
      <alignment horizontal="center"/>
    </xf>
    <xf borderId="0" fillId="0" fontId="3" numFmtId="174" xfId="0" applyFont="1" applyNumberFormat="1"/>
    <xf borderId="0" fillId="0" fontId="3" numFmtId="10" xfId="0" applyAlignment="1" applyFont="1" applyNumberFormat="1">
      <alignment horizontal="center"/>
    </xf>
    <xf borderId="0" fillId="0" fontId="1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openai.com/c/588b4f4f-5cb8-42c9-a210-fc446d7de03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fb.me/1S3DCpJkY3qbyUM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13"/>
    <col customWidth="1" min="2" max="2" width="11.88"/>
    <col customWidth="1" min="3" max="3" width="2.0"/>
    <col customWidth="1" min="4" max="4" width="32.75"/>
    <col customWidth="1" min="5" max="5" width="7.88"/>
    <col customWidth="1" min="6" max="6" width="3.38"/>
    <col customWidth="1" min="10" max="10" width="47.13"/>
    <col customWidth="1" min="11" max="11" width="8.88"/>
    <col customWidth="1" min="12" max="12" width="3.38"/>
  </cols>
  <sheetData>
    <row r="1" ht="15.75" customHeight="1">
      <c r="A1" s="1" t="s">
        <v>0</v>
      </c>
      <c r="B1" s="2"/>
      <c r="C1" s="3"/>
      <c r="D1" s="4" t="s">
        <v>1</v>
      </c>
      <c r="E1" s="5"/>
      <c r="F1" s="6"/>
      <c r="G1" s="6"/>
      <c r="H1" s="6"/>
      <c r="I1" s="3"/>
      <c r="J1" s="4" t="s">
        <v>2</v>
      </c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 t="s">
        <v>3</v>
      </c>
      <c r="B2" s="8">
        <v>66.7</v>
      </c>
      <c r="C2" s="3"/>
      <c r="D2" s="9" t="s">
        <v>4</v>
      </c>
      <c r="E2" s="10">
        <v>0.1</v>
      </c>
      <c r="F2" s="6"/>
      <c r="G2" s="6"/>
      <c r="H2" s="6"/>
      <c r="I2" s="3"/>
      <c r="J2" s="9" t="s">
        <v>5</v>
      </c>
      <c r="K2" s="10">
        <v>0.2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1" t="s">
        <v>6</v>
      </c>
      <c r="B3" s="12">
        <f>B2*30</f>
        <v>2001</v>
      </c>
      <c r="C3" s="3"/>
      <c r="D3" s="13" t="s">
        <v>7</v>
      </c>
      <c r="E3" s="14">
        <f>B5*E2</f>
        <v>63.04347826</v>
      </c>
      <c r="F3" s="6"/>
      <c r="G3" s="6"/>
      <c r="H3" s="6"/>
      <c r="I3" s="3"/>
      <c r="J3" s="13" t="s">
        <v>8</v>
      </c>
      <c r="K3" s="14">
        <f>B5*K2</f>
        <v>126.0869565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5" t="s">
        <v>9</v>
      </c>
      <c r="B4" s="16">
        <v>3.174</v>
      </c>
      <c r="C4" s="3"/>
      <c r="D4" s="13"/>
      <c r="E4" s="17"/>
      <c r="F4" s="6"/>
      <c r="G4" s="6"/>
      <c r="H4" s="6"/>
      <c r="I4" s="3"/>
      <c r="J4" s="13"/>
      <c r="K4" s="1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8" t="s">
        <v>10</v>
      </c>
      <c r="B5" s="14">
        <f>B3/B4</f>
        <v>630.4347826</v>
      </c>
      <c r="C5" s="3"/>
      <c r="D5" s="19" t="s">
        <v>11</v>
      </c>
      <c r="E5" s="20">
        <v>0.1</v>
      </c>
      <c r="F5" s="6"/>
      <c r="G5" s="6"/>
      <c r="H5" s="6"/>
      <c r="I5" s="3"/>
      <c r="J5" s="13" t="s">
        <v>12</v>
      </c>
      <c r="K5" s="21">
        <v>0.7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5" t="s">
        <v>13</v>
      </c>
      <c r="B6" s="22">
        <v>0.3</v>
      </c>
      <c r="C6" s="3"/>
      <c r="D6" s="13" t="s">
        <v>14</v>
      </c>
      <c r="E6" s="14">
        <f>ROUND(F6,0)</f>
        <v>6</v>
      </c>
      <c r="F6" s="23">
        <f>E3*E5</f>
        <v>6.304347826</v>
      </c>
      <c r="G6" s="6"/>
      <c r="H6" s="6"/>
      <c r="I6" s="3"/>
      <c r="J6" s="13" t="s">
        <v>15</v>
      </c>
      <c r="K6" s="24">
        <f>ROUND(L6,0)</f>
        <v>88</v>
      </c>
      <c r="L6" s="23">
        <f>K5*K3</f>
        <v>88.26086957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8" t="s">
        <v>16</v>
      </c>
      <c r="B7" s="14">
        <f>B5*B6</f>
        <v>189.1304348</v>
      </c>
      <c r="C7" s="3"/>
      <c r="D7" s="13"/>
      <c r="E7" s="17"/>
      <c r="F7" s="6"/>
      <c r="G7" s="6"/>
      <c r="H7" s="6"/>
      <c r="I7" s="3"/>
      <c r="J7" s="13"/>
      <c r="K7" s="2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5" t="s">
        <v>17</v>
      </c>
      <c r="B8" s="20">
        <v>0.15</v>
      </c>
      <c r="C8" s="3"/>
      <c r="D8" s="19" t="s">
        <v>18</v>
      </c>
      <c r="E8" s="26">
        <v>3497.0</v>
      </c>
      <c r="F8" s="6"/>
      <c r="G8" s="6"/>
      <c r="H8" s="6"/>
      <c r="I8" s="3"/>
      <c r="J8" s="19" t="s">
        <v>11</v>
      </c>
      <c r="K8" s="20">
        <v>0.3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8" t="s">
        <v>19</v>
      </c>
      <c r="B9" s="14">
        <f>ROUND(C9,0)</f>
        <v>28</v>
      </c>
      <c r="C9" s="27">
        <f>B7*B8</f>
        <v>28.36956522</v>
      </c>
      <c r="D9" s="28" t="s">
        <v>20</v>
      </c>
      <c r="E9" s="29">
        <f>E6*E8</f>
        <v>20982</v>
      </c>
      <c r="F9" s="6"/>
      <c r="G9" s="6"/>
      <c r="H9" s="6"/>
      <c r="I9" s="3"/>
      <c r="J9" s="13" t="s">
        <v>14</v>
      </c>
      <c r="K9" s="14">
        <f>ROUND(L9,0)</f>
        <v>26</v>
      </c>
      <c r="L9" s="23">
        <f>K6*K8</f>
        <v>26.4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30" t="s">
        <v>21</v>
      </c>
      <c r="B10" s="31">
        <v>0.5</v>
      </c>
      <c r="C10" s="3"/>
      <c r="D10" s="32"/>
      <c r="E10" s="33"/>
      <c r="F10" s="6"/>
      <c r="G10" s="6"/>
      <c r="H10" s="6"/>
      <c r="I10" s="3"/>
      <c r="J10" s="13"/>
      <c r="K10" s="1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34" t="s">
        <v>22</v>
      </c>
      <c r="B11" s="35">
        <f>B9*B10</f>
        <v>14</v>
      </c>
      <c r="C11" s="3"/>
      <c r="D11" s="32"/>
      <c r="E11" s="33"/>
      <c r="F11" s="6"/>
      <c r="G11" s="6"/>
      <c r="H11" s="6"/>
      <c r="I11" s="3"/>
      <c r="J11" s="13"/>
      <c r="K11" s="1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36" t="s">
        <v>23</v>
      </c>
      <c r="B12" s="20">
        <v>0.1</v>
      </c>
      <c r="C12" s="3"/>
      <c r="D12" s="37" t="s">
        <v>24</v>
      </c>
      <c r="E12" s="38">
        <f>E9*1.2</f>
        <v>25178.4</v>
      </c>
      <c r="F12" s="6"/>
      <c r="G12" s="6"/>
      <c r="H12" s="6"/>
      <c r="I12" s="3"/>
      <c r="J12" s="13"/>
      <c r="K12" s="1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8" t="s">
        <v>14</v>
      </c>
      <c r="B13" s="39">
        <f>B11*B12</f>
        <v>1.4</v>
      </c>
      <c r="C13" s="3"/>
      <c r="D13" s="40"/>
      <c r="E13" s="41"/>
      <c r="F13" s="6"/>
      <c r="G13" s="6"/>
      <c r="H13" s="6"/>
      <c r="I13" s="3"/>
      <c r="J13" s="19"/>
      <c r="K13" s="2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5" t="s">
        <v>25</v>
      </c>
      <c r="B14" s="26">
        <v>12000.0</v>
      </c>
      <c r="C14" s="3"/>
      <c r="D14" s="40"/>
      <c r="E14" s="41"/>
      <c r="F14" s="6"/>
      <c r="G14" s="6"/>
      <c r="H14" s="6"/>
      <c r="I14" s="3"/>
      <c r="J14" s="19"/>
      <c r="K14" s="2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42" t="s">
        <v>26</v>
      </c>
      <c r="B15" s="43">
        <f>B13*B14</f>
        <v>16800</v>
      </c>
      <c r="C15" s="3"/>
      <c r="D15" s="44" t="s">
        <v>27</v>
      </c>
      <c r="E15" s="45"/>
      <c r="F15" s="6"/>
      <c r="G15" s="6"/>
      <c r="H15" s="6"/>
      <c r="I15" s="3"/>
      <c r="J15" s="19" t="s">
        <v>18</v>
      </c>
      <c r="K15" s="26">
        <v>6000.0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46" t="s">
        <v>24</v>
      </c>
      <c r="B16" s="47">
        <f>B15*1.2</f>
        <v>20160</v>
      </c>
      <c r="C16" s="3"/>
      <c r="D16" s="48" t="s">
        <v>4</v>
      </c>
      <c r="E16" s="22">
        <v>0.15</v>
      </c>
      <c r="F16" s="6"/>
      <c r="G16" s="6"/>
      <c r="H16" s="6"/>
      <c r="I16" s="3"/>
      <c r="J16" s="28" t="s">
        <v>20</v>
      </c>
      <c r="K16" s="29">
        <f>K9*K15</f>
        <v>156000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3"/>
      <c r="D17" s="13" t="s">
        <v>7</v>
      </c>
      <c r="E17" s="14">
        <f>B5*E16</f>
        <v>94.56521739</v>
      </c>
      <c r="F17" s="6"/>
      <c r="G17" s="6"/>
      <c r="H17" s="6"/>
      <c r="I17" s="3"/>
      <c r="J17" s="37" t="s">
        <v>24</v>
      </c>
      <c r="K17" s="38">
        <f>K16*1.2</f>
        <v>187200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3"/>
      <c r="D18" s="13"/>
      <c r="E18" s="1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3"/>
      <c r="D19" s="48" t="s">
        <v>11</v>
      </c>
      <c r="E19" s="20">
        <v>0.1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49"/>
      <c r="C20" s="3"/>
      <c r="D20" s="13" t="s">
        <v>14</v>
      </c>
      <c r="E20" s="14">
        <f>ROUND(F20,0)</f>
        <v>9</v>
      </c>
      <c r="F20" s="23">
        <f>E17*E19</f>
        <v>9.456521739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3"/>
      <c r="D21" s="13"/>
      <c r="E21" s="17"/>
      <c r="F21" s="6"/>
      <c r="G21" s="6"/>
      <c r="H21" s="6" t="s">
        <v>28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3"/>
      <c r="D22" s="19" t="s">
        <v>18</v>
      </c>
      <c r="E22" s="50">
        <v>3497.0</v>
      </c>
      <c r="F22" s="6"/>
      <c r="G22" s="6"/>
      <c r="H22" s="51" t="s">
        <v>29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 t="s">
        <v>30</v>
      </c>
      <c r="B23" s="6"/>
      <c r="C23" s="3"/>
      <c r="D23" s="28" t="s">
        <v>20</v>
      </c>
      <c r="E23" s="29">
        <f>E20*E22</f>
        <v>31473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3"/>
      <c r="D24" s="37" t="s">
        <v>24</v>
      </c>
      <c r="E24" s="38">
        <f>E23*1.2</f>
        <v>37767.6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52"/>
      <c r="E25" s="52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3"/>
      <c r="D26" s="44" t="s">
        <v>31</v>
      </c>
      <c r="E26" s="4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3"/>
      <c r="D27" s="48" t="s">
        <v>4</v>
      </c>
      <c r="E27" s="22">
        <v>0.2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3"/>
      <c r="D28" s="13" t="s">
        <v>7</v>
      </c>
      <c r="E28" s="14">
        <f>B5*E27</f>
        <v>126.0869565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3"/>
      <c r="D29" s="13"/>
      <c r="E29" s="1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3"/>
      <c r="D30" s="48" t="s">
        <v>11</v>
      </c>
      <c r="E30" s="20">
        <v>0.1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3"/>
      <c r="D31" s="13" t="s">
        <v>14</v>
      </c>
      <c r="E31" s="14">
        <f>ROUND(F31,0)</f>
        <v>13</v>
      </c>
      <c r="F31" s="23">
        <f>E28*E30</f>
        <v>12.60869565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3"/>
      <c r="D32" s="13"/>
      <c r="E32" s="1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3"/>
      <c r="D33" s="48" t="s">
        <v>18</v>
      </c>
      <c r="E33" s="26">
        <v>3497.0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3"/>
      <c r="D34" s="28" t="s">
        <v>20</v>
      </c>
      <c r="E34" s="29">
        <f>E31*E33</f>
        <v>45461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3"/>
      <c r="D35" s="53" t="s">
        <v>24</v>
      </c>
      <c r="E35" s="38">
        <f>E34*1.2</f>
        <v>54553.2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4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4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D1:E1"/>
    <mergeCell ref="J1:K1"/>
    <mergeCell ref="D15:E15"/>
    <mergeCell ref="D26:E26"/>
  </mergeCells>
  <hyperlinks>
    <hyperlink r:id="rId1" ref="H2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13.25"/>
    <col customWidth="1" min="3" max="3" width="2.63"/>
    <col customWidth="1" min="4" max="4" width="35.38"/>
    <col customWidth="1" min="5" max="5" width="19.63"/>
    <col customWidth="1" min="6" max="6" width="35.25"/>
    <col customWidth="1" min="7" max="7" width="14.63"/>
    <col customWidth="1" min="8" max="26" width="13.13"/>
  </cols>
  <sheetData>
    <row r="1" ht="15.75" customHeight="1">
      <c r="A1" s="1" t="s">
        <v>32</v>
      </c>
      <c r="B1" s="2"/>
      <c r="C1" s="6"/>
      <c r="D1" s="1" t="s">
        <v>1</v>
      </c>
      <c r="E1" s="2"/>
      <c r="F1" s="1" t="s">
        <v>33</v>
      </c>
      <c r="G1" s="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54" t="s">
        <v>6</v>
      </c>
      <c r="B2" s="55">
        <v>1500.0</v>
      </c>
      <c r="C2" s="6"/>
      <c r="D2" s="56" t="s">
        <v>34</v>
      </c>
      <c r="E2" s="57">
        <v>1.0</v>
      </c>
      <c r="F2" s="58" t="s">
        <v>3</v>
      </c>
      <c r="G2" s="8">
        <v>50.0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59"/>
      <c r="B3" s="60"/>
      <c r="C3" s="6"/>
      <c r="D3" s="59"/>
      <c r="E3" s="61"/>
      <c r="F3" s="62"/>
      <c r="G3" s="50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59" t="s">
        <v>35</v>
      </c>
      <c r="B4" s="63">
        <v>0.3</v>
      </c>
      <c r="C4" s="6"/>
      <c r="D4" s="59" t="s">
        <v>36</v>
      </c>
      <c r="E4" s="61">
        <f>B11*E2</f>
        <v>75</v>
      </c>
      <c r="F4" s="64" t="s">
        <v>37</v>
      </c>
      <c r="G4" s="50">
        <f>G2*30</f>
        <v>1500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59" t="s">
        <v>38</v>
      </c>
      <c r="B5" s="63">
        <v>0.8</v>
      </c>
      <c r="C5" s="6"/>
      <c r="D5" s="59"/>
      <c r="E5" s="65"/>
      <c r="F5" s="66" t="s">
        <v>9</v>
      </c>
      <c r="G5" s="67">
        <v>6.0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59" t="s">
        <v>39</v>
      </c>
      <c r="B6" s="68">
        <v>0.0</v>
      </c>
      <c r="C6" s="6"/>
      <c r="D6" s="59" t="s">
        <v>40</v>
      </c>
      <c r="E6" s="69">
        <v>0.05</v>
      </c>
      <c r="F6" s="66" t="s">
        <v>41</v>
      </c>
      <c r="G6" s="14">
        <f>G4/G5</f>
        <v>250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59" t="s">
        <v>42</v>
      </c>
      <c r="B7" s="63">
        <v>0.2</v>
      </c>
      <c r="C7" s="6"/>
      <c r="D7" s="59" t="s">
        <v>43</v>
      </c>
      <c r="E7" s="61">
        <f>E4*E6</f>
        <v>3.75</v>
      </c>
      <c r="F7" s="70" t="s">
        <v>4</v>
      </c>
      <c r="G7" s="71">
        <v>0.06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59"/>
      <c r="B8" s="72"/>
      <c r="C8" s="6"/>
      <c r="D8" s="59"/>
      <c r="E8" s="65"/>
      <c r="F8" s="66" t="s">
        <v>7</v>
      </c>
      <c r="G8" s="14">
        <f>G6*G7</f>
        <v>15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54" t="s">
        <v>44</v>
      </c>
      <c r="B9" s="73">
        <f>B2*B5</f>
        <v>1200</v>
      </c>
      <c r="C9" s="6"/>
      <c r="D9" s="59" t="s">
        <v>45</v>
      </c>
      <c r="E9" s="74">
        <v>3497.0</v>
      </c>
      <c r="F9" s="66" t="s">
        <v>11</v>
      </c>
      <c r="G9" s="75">
        <v>0.3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59" t="s">
        <v>46</v>
      </c>
      <c r="B10" s="76">
        <v>20.0</v>
      </c>
      <c r="C10" s="6"/>
      <c r="D10" s="59" t="s">
        <v>47</v>
      </c>
      <c r="E10" s="73">
        <f>E7*E9</f>
        <v>13113.75</v>
      </c>
      <c r="F10" s="66" t="s">
        <v>14</v>
      </c>
      <c r="G10" s="14">
        <f>G8*G9</f>
        <v>4.5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59" t="s">
        <v>48</v>
      </c>
      <c r="B11" s="61">
        <v>75.0</v>
      </c>
      <c r="C11" s="6"/>
      <c r="D11" s="77" t="s">
        <v>49</v>
      </c>
      <c r="E11" s="78">
        <f>E10*1.2</f>
        <v>15736.5</v>
      </c>
      <c r="F11" s="66" t="s">
        <v>25</v>
      </c>
      <c r="G11" s="50">
        <v>2497.0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59"/>
      <c r="B12" s="72"/>
      <c r="C12" s="6"/>
      <c r="D12" s="6"/>
      <c r="E12" s="6"/>
      <c r="F12" s="66" t="s">
        <v>26</v>
      </c>
      <c r="G12" s="43">
        <f>G10*G11</f>
        <v>11236.5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54" t="s">
        <v>50</v>
      </c>
      <c r="B13" s="73">
        <f>B2*B6</f>
        <v>0</v>
      </c>
      <c r="C13" s="6"/>
      <c r="D13" s="1" t="s">
        <v>27</v>
      </c>
      <c r="E13" s="2"/>
      <c r="F13" s="79" t="s">
        <v>24</v>
      </c>
      <c r="G13" s="47">
        <f>G12*1.2</f>
        <v>13483.8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59" t="s">
        <v>51</v>
      </c>
      <c r="B14" s="80"/>
      <c r="C14" s="6"/>
      <c r="D14" s="56" t="s">
        <v>34</v>
      </c>
      <c r="E14" s="57">
        <v>1.0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56" t="s">
        <v>52</v>
      </c>
      <c r="B15" s="81">
        <v>0.0</v>
      </c>
      <c r="C15" s="6"/>
      <c r="D15" s="59" t="s">
        <v>36</v>
      </c>
      <c r="E15" s="61">
        <f>B11*E14</f>
        <v>75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59"/>
      <c r="B16" s="82"/>
      <c r="C16" s="6"/>
      <c r="D16" s="59"/>
      <c r="E16" s="6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83" t="s">
        <v>53</v>
      </c>
      <c r="B17" s="78">
        <f>B2*B7</f>
        <v>300</v>
      </c>
      <c r="C17" s="6"/>
      <c r="D17" s="59" t="s">
        <v>40</v>
      </c>
      <c r="E17" s="69">
        <v>0.01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84"/>
      <c r="C18" s="6"/>
      <c r="D18" s="59" t="s">
        <v>43</v>
      </c>
      <c r="E18" s="61">
        <f>E15*E17</f>
        <v>0.75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40" t="s">
        <v>54</v>
      </c>
      <c r="C19" s="6"/>
      <c r="D19" s="59"/>
      <c r="E19" s="6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85" t="s">
        <v>6</v>
      </c>
      <c r="B20" s="86">
        <f>B17</f>
        <v>300</v>
      </c>
      <c r="C20" s="6"/>
      <c r="D20" s="59" t="s">
        <v>45</v>
      </c>
      <c r="E20" s="74">
        <v>1997.0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87"/>
      <c r="B21" s="88"/>
      <c r="C21" s="6"/>
      <c r="D21" s="59" t="s">
        <v>47</v>
      </c>
      <c r="E21" s="73">
        <f>E18*E20</f>
        <v>1497.75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89" t="s">
        <v>55</v>
      </c>
      <c r="B22" s="90">
        <v>0.0</v>
      </c>
      <c r="C22" s="6"/>
      <c r="D22" s="77" t="s">
        <v>49</v>
      </c>
      <c r="E22" s="78">
        <f>E21*1.2</f>
        <v>1797.3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89" t="s">
        <v>56</v>
      </c>
      <c r="B23" s="90">
        <v>0.0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89" t="s">
        <v>57</v>
      </c>
      <c r="B24" s="90">
        <v>0.0</v>
      </c>
      <c r="C24" s="6"/>
      <c r="D24" s="1" t="s">
        <v>31</v>
      </c>
      <c r="E24" s="2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89" t="s">
        <v>58</v>
      </c>
      <c r="B25" s="90">
        <v>0.0</v>
      </c>
      <c r="C25" s="6"/>
      <c r="D25" s="56" t="s">
        <v>34</v>
      </c>
      <c r="E25" s="57">
        <v>1.0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91"/>
      <c r="B26" s="88"/>
      <c r="C26" s="6"/>
      <c r="D26" s="59" t="s">
        <v>36</v>
      </c>
      <c r="E26" s="61">
        <f>B11*E25</f>
        <v>75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85" t="s">
        <v>55</v>
      </c>
      <c r="B27" s="92">
        <f>B20*B22</f>
        <v>0</v>
      </c>
      <c r="C27" s="6"/>
      <c r="D27" s="59"/>
      <c r="E27" s="6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85" t="s">
        <v>56</v>
      </c>
      <c r="B28" s="92">
        <f>B23*B20</f>
        <v>0</v>
      </c>
      <c r="C28" s="6"/>
      <c r="D28" s="59" t="s">
        <v>40</v>
      </c>
      <c r="E28" s="69">
        <v>0.02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85" t="s">
        <v>59</v>
      </c>
      <c r="B29" s="92">
        <f>B20*B24</f>
        <v>0</v>
      </c>
      <c r="C29" s="6"/>
      <c r="D29" s="59" t="s">
        <v>43</v>
      </c>
      <c r="E29" s="61">
        <f>E26*E28</f>
        <v>1.5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85" t="s">
        <v>58</v>
      </c>
      <c r="B30" s="92">
        <f>B20*B25</f>
        <v>0</v>
      </c>
      <c r="C30" s="6"/>
      <c r="D30" s="59"/>
      <c r="E30" s="6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89"/>
      <c r="B31" s="93"/>
      <c r="C31" s="94"/>
      <c r="D31" s="59" t="s">
        <v>45</v>
      </c>
      <c r="E31" s="74">
        <v>1997.0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95" t="s">
        <v>60</v>
      </c>
      <c r="B32" s="96"/>
      <c r="C32" s="94"/>
      <c r="D32" s="59" t="s">
        <v>47</v>
      </c>
      <c r="E32" s="73">
        <f>E29*E31</f>
        <v>2995.5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85" t="s">
        <v>61</v>
      </c>
      <c r="B33" s="86">
        <f>B29</f>
        <v>0</v>
      </c>
      <c r="C33" s="6"/>
      <c r="D33" s="77" t="s">
        <v>49</v>
      </c>
      <c r="E33" s="78">
        <f>E32*1.2</f>
        <v>3594.6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91"/>
      <c r="B34" s="88"/>
      <c r="C34" s="9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89" t="s">
        <v>62</v>
      </c>
      <c r="B35" s="90">
        <v>0.0</v>
      </c>
      <c r="C35" s="9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89" t="s">
        <v>63</v>
      </c>
      <c r="B36" s="90">
        <v>0.0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89" t="s">
        <v>64</v>
      </c>
      <c r="B37" s="90">
        <v>0.0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98" t="s">
        <v>65</v>
      </c>
      <c r="B38" s="90">
        <v>0.0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3"/>
      <c r="B39" s="13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85" t="s">
        <v>62</v>
      </c>
      <c r="B40" s="92">
        <f>B33*B35</f>
        <v>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85" t="s">
        <v>63</v>
      </c>
      <c r="B41" s="92">
        <f>B36*B33</f>
        <v>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85" t="s">
        <v>64</v>
      </c>
      <c r="B42" s="92">
        <f>B33*B37</f>
        <v>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85" t="s">
        <v>65</v>
      </c>
      <c r="B43" s="92">
        <f>B33*B38</f>
        <v>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99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00"/>
      <c r="B46" s="10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02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103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103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00"/>
      <c r="B50" s="10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00"/>
      <c r="B51" s="10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6:B26"/>
    <mergeCell ref="A32:B32"/>
    <mergeCell ref="A34:B34"/>
    <mergeCell ref="A45:B45"/>
    <mergeCell ref="A47:B47"/>
    <mergeCell ref="A1:B1"/>
    <mergeCell ref="D1:E1"/>
    <mergeCell ref="F1:G1"/>
    <mergeCell ref="D13:E13"/>
    <mergeCell ref="A19:B19"/>
    <mergeCell ref="A21:B21"/>
    <mergeCell ref="D24:E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75"/>
    <col customWidth="1" min="3" max="3" width="3.25"/>
    <col customWidth="1" min="4" max="4" width="19.0"/>
    <col customWidth="1" min="5" max="5" width="3.13"/>
    <col customWidth="1" min="6" max="6" width="22.13"/>
  </cols>
  <sheetData>
    <row r="1" ht="15.75" customHeight="1"/>
    <row r="2" ht="15.75" customHeight="1"/>
    <row r="3" ht="15.75" customHeight="1">
      <c r="B3" s="104" t="s">
        <v>66</v>
      </c>
      <c r="C3" s="105"/>
      <c r="D3" s="104" t="s">
        <v>67</v>
      </c>
      <c r="E3" s="105"/>
      <c r="F3" s="104" t="s">
        <v>68</v>
      </c>
    </row>
    <row r="4" ht="15.75" customHeight="1">
      <c r="B4" s="106" t="s">
        <v>69</v>
      </c>
      <c r="C4" s="105"/>
      <c r="D4" s="106" t="s">
        <v>70</v>
      </c>
      <c r="E4" s="105"/>
      <c r="F4" s="106" t="s">
        <v>71</v>
      </c>
    </row>
    <row r="5" ht="15.75" customHeight="1">
      <c r="B5" s="107">
        <f>'RESULTADOS MACROS'!C17</f>
        <v>17</v>
      </c>
      <c r="C5" s="105"/>
      <c r="D5" s="107">
        <f>'RESULTADOS MACROS'!C31</f>
        <v>17</v>
      </c>
      <c r="E5" s="105"/>
      <c r="F5" s="108">
        <f>F9+F13</f>
        <v>265.67</v>
      </c>
    </row>
    <row r="6" ht="15.75" customHeight="1">
      <c r="B6" s="109"/>
      <c r="C6" s="105"/>
      <c r="D6" s="109"/>
      <c r="E6" s="105"/>
      <c r="F6" s="109"/>
    </row>
    <row r="7" ht="15.75" customHeight="1">
      <c r="B7" s="105"/>
      <c r="C7" s="105"/>
      <c r="D7" s="105"/>
      <c r="E7" s="105"/>
      <c r="F7" s="105"/>
    </row>
    <row r="8" ht="15.75" customHeight="1">
      <c r="B8" s="110" t="s">
        <v>72</v>
      </c>
      <c r="C8" s="105"/>
      <c r="D8" s="111" t="s">
        <v>73</v>
      </c>
      <c r="E8" s="105"/>
      <c r="F8" s="111" t="s">
        <v>74</v>
      </c>
    </row>
    <row r="9" ht="15.75" customHeight="1">
      <c r="B9" s="107">
        <f>'RESULTADOS MACROS'!C20</f>
        <v>0</v>
      </c>
      <c r="C9" s="105"/>
      <c r="D9" s="107">
        <f>B5</f>
        <v>17</v>
      </c>
      <c r="E9" s="105"/>
      <c r="F9" s="108">
        <f>'RESULTADOS MACROS'!E17</f>
        <v>265.67</v>
      </c>
    </row>
    <row r="10" ht="15.75" customHeight="1">
      <c r="B10" s="109"/>
      <c r="C10" s="105"/>
      <c r="D10" s="109"/>
      <c r="E10" s="105"/>
      <c r="F10" s="109"/>
    </row>
    <row r="11" ht="15.75" customHeight="1">
      <c r="B11" s="105"/>
      <c r="C11" s="105"/>
      <c r="D11" s="105"/>
      <c r="E11" s="105"/>
      <c r="F11" s="105"/>
    </row>
    <row r="12" ht="15.75" customHeight="1">
      <c r="B12" s="112" t="s">
        <v>75</v>
      </c>
      <c r="C12" s="105"/>
      <c r="D12" s="112" t="s">
        <v>76</v>
      </c>
      <c r="E12" s="105"/>
      <c r="F12" s="112" t="s">
        <v>77</v>
      </c>
    </row>
    <row r="13" ht="15.75" customHeight="1">
      <c r="B13" s="107">
        <f>'RESULTADOS MACROS'!C21</f>
        <v>17</v>
      </c>
      <c r="C13" s="105"/>
      <c r="D13" s="107"/>
      <c r="E13" s="105"/>
      <c r="F13" s="108">
        <f>'RESULTADOS MACROS'!I17</f>
        <v>0</v>
      </c>
    </row>
    <row r="14" ht="15.75" customHeight="1">
      <c r="B14" s="109"/>
      <c r="C14" s="105"/>
      <c r="D14" s="109"/>
      <c r="E14" s="105"/>
      <c r="F14" s="109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13:D14"/>
    <mergeCell ref="F13:F14"/>
    <mergeCell ref="B5:B6"/>
    <mergeCell ref="D5:D6"/>
    <mergeCell ref="F5:F6"/>
    <mergeCell ref="B9:B10"/>
    <mergeCell ref="D9:D10"/>
    <mergeCell ref="F9:F10"/>
    <mergeCell ref="B13:B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2" width="28.0"/>
    <col customWidth="1" min="3" max="3" width="12.5"/>
    <col customWidth="1" min="4" max="4" width="19.38"/>
    <col customWidth="1" min="5" max="5" width="16.38"/>
    <col customWidth="1" min="6" max="6" width="1.25"/>
    <col customWidth="1" min="7" max="7" width="37.75"/>
    <col customWidth="1" min="8" max="8" width="21.38"/>
    <col customWidth="1" min="9" max="9" width="21.5"/>
    <col customWidth="1" min="10" max="10" width="14.63"/>
    <col customWidth="1" min="11" max="11" width="15.88"/>
    <col customWidth="1" min="12" max="12" width="15.25"/>
    <col customWidth="1" min="13" max="13" width="16.13"/>
    <col customWidth="1" min="14" max="14" width="15.38"/>
    <col customWidth="1" min="15" max="15" width="14.88"/>
    <col customWidth="1" min="16" max="16" width="15.75"/>
    <col customWidth="1" min="17" max="17" width="16.13"/>
    <col customWidth="1" min="18" max="18" width="16.25"/>
    <col customWidth="1" min="19" max="19" width="14.75"/>
    <col customWidth="1" min="20" max="20" width="15.75"/>
  </cols>
  <sheetData>
    <row r="1" ht="15.75" customHeight="1">
      <c r="A1" s="113"/>
      <c r="B1" s="113"/>
      <c r="C1" s="114"/>
      <c r="D1" s="115"/>
      <c r="E1" s="115"/>
      <c r="F1" s="113"/>
      <c r="G1" s="113"/>
      <c r="H1" s="116"/>
      <c r="I1" s="115"/>
      <c r="J1" s="115"/>
      <c r="K1" s="113"/>
      <c r="L1" s="113"/>
      <c r="M1" s="113"/>
      <c r="N1" s="113"/>
      <c r="O1" s="113"/>
      <c r="P1" s="113"/>
      <c r="Q1" s="113"/>
      <c r="R1" s="113"/>
      <c r="S1" s="113"/>
      <c r="T1" s="115"/>
      <c r="U1" s="113"/>
      <c r="V1" s="113"/>
      <c r="W1" s="113"/>
    </row>
    <row r="2" ht="15.75" customHeight="1">
      <c r="A2" s="117"/>
      <c r="B2" s="118" t="s">
        <v>74</v>
      </c>
      <c r="G2" s="118" t="s">
        <v>78</v>
      </c>
      <c r="J2" s="119"/>
      <c r="K2" s="117"/>
      <c r="L2" s="117"/>
      <c r="M2" s="117"/>
      <c r="N2" s="117"/>
      <c r="O2" s="117"/>
      <c r="P2" s="117"/>
      <c r="Q2" s="117"/>
      <c r="R2" s="117"/>
      <c r="S2" s="117"/>
      <c r="T2" s="119"/>
      <c r="U2" s="117"/>
      <c r="V2" s="117"/>
      <c r="W2" s="117"/>
    </row>
    <row r="3" ht="15.75" customHeight="1">
      <c r="A3" s="117"/>
      <c r="J3" s="119"/>
      <c r="K3" s="117"/>
      <c r="L3" s="117"/>
      <c r="M3" s="117"/>
      <c r="N3" s="117"/>
      <c r="O3" s="117"/>
      <c r="P3" s="117"/>
      <c r="Q3" s="117"/>
      <c r="R3" s="117"/>
      <c r="S3" s="117"/>
      <c r="T3" s="119"/>
      <c r="U3" s="117"/>
      <c r="V3" s="117"/>
      <c r="W3" s="117"/>
    </row>
    <row r="4" ht="15.75" customHeight="1">
      <c r="A4" s="113"/>
      <c r="B4" s="113"/>
      <c r="G4" s="113"/>
      <c r="I4" s="120"/>
      <c r="J4" s="115"/>
      <c r="K4" s="113"/>
      <c r="L4" s="113"/>
      <c r="M4" s="113"/>
      <c r="N4" s="113"/>
      <c r="O4" s="113"/>
      <c r="P4" s="113"/>
      <c r="Q4" s="113"/>
      <c r="R4" s="113"/>
      <c r="S4" s="113"/>
      <c r="T4" s="115"/>
      <c r="U4" s="113"/>
      <c r="V4" s="113"/>
      <c r="W4" s="113"/>
    </row>
    <row r="5" ht="15.75" customHeight="1">
      <c r="A5" s="113"/>
      <c r="B5" s="121"/>
      <c r="G5" s="121"/>
      <c r="J5" s="115"/>
      <c r="K5" s="113"/>
      <c r="L5" s="113"/>
      <c r="M5" s="113"/>
      <c r="N5" s="113"/>
      <c r="O5" s="113"/>
      <c r="P5" s="113"/>
      <c r="Q5" s="113"/>
      <c r="R5" s="113"/>
      <c r="S5" s="113"/>
      <c r="T5" s="115"/>
      <c r="U5" s="113"/>
      <c r="V5" s="113"/>
      <c r="W5" s="113"/>
    </row>
    <row r="6" ht="15.75" customHeight="1">
      <c r="A6" s="113"/>
      <c r="B6" s="122"/>
      <c r="G6" s="123"/>
      <c r="J6" s="115"/>
      <c r="K6" s="113"/>
      <c r="L6" s="113"/>
      <c r="M6" s="113"/>
      <c r="N6" s="113"/>
      <c r="O6" s="113"/>
      <c r="P6" s="113"/>
      <c r="Q6" s="113"/>
      <c r="R6" s="113"/>
      <c r="S6" s="113"/>
      <c r="T6" s="115"/>
      <c r="U6" s="113"/>
      <c r="V6" s="113"/>
      <c r="W6" s="113"/>
    </row>
    <row r="7" ht="15.75" customHeight="1">
      <c r="A7" s="117"/>
      <c r="B7" s="124" t="s">
        <v>79</v>
      </c>
      <c r="C7" s="125" t="s">
        <v>80</v>
      </c>
      <c r="D7" s="126" t="s">
        <v>81</v>
      </c>
      <c r="E7" s="126" t="s">
        <v>82</v>
      </c>
      <c r="G7" s="127" t="s">
        <v>79</v>
      </c>
      <c r="H7" s="128" t="s">
        <v>83</v>
      </c>
      <c r="I7" s="128" t="s">
        <v>68</v>
      </c>
      <c r="J7" s="119"/>
      <c r="K7" s="117"/>
      <c r="L7" s="117"/>
      <c r="M7" s="117"/>
      <c r="N7" s="117"/>
      <c r="O7" s="117"/>
      <c r="P7" s="117"/>
      <c r="Q7" s="117"/>
      <c r="R7" s="117"/>
      <c r="S7" s="117"/>
      <c r="T7" s="119"/>
      <c r="U7" s="117"/>
      <c r="V7" s="117"/>
      <c r="W7" s="117"/>
    </row>
    <row r="8" ht="15.75" customHeight="1">
      <c r="A8" s="117"/>
      <c r="B8" s="88"/>
      <c r="C8" s="129"/>
      <c r="D8" s="129"/>
      <c r="E8" s="129"/>
      <c r="J8" s="119"/>
      <c r="K8" s="117"/>
      <c r="L8" s="117"/>
      <c r="M8" s="117"/>
      <c r="N8" s="117"/>
      <c r="O8" s="117"/>
      <c r="P8" s="117"/>
      <c r="Q8" s="117"/>
      <c r="R8" s="117"/>
      <c r="S8" s="117"/>
      <c r="T8" s="119"/>
      <c r="U8" s="117"/>
      <c r="V8" s="117"/>
      <c r="W8" s="117"/>
    </row>
    <row r="9" ht="15.75" customHeight="1">
      <c r="A9" s="113"/>
      <c r="B9" s="130" t="s">
        <v>84</v>
      </c>
      <c r="C9" s="131">
        <f>'AUTO - QUENTE'!G38</f>
        <v>0</v>
      </c>
      <c r="D9" s="132" t="str">
        <f t="shared" ref="D9:D17" si="1">E9/C9</f>
        <v>#DIV/0!</v>
      </c>
      <c r="E9" s="132">
        <f>'AUTO - QUENTE'!J38</f>
        <v>0</v>
      </c>
      <c r="G9" s="133" t="s">
        <v>85</v>
      </c>
      <c r="H9" s="134">
        <f>'1 - INÍCIO - PLANEJEMANTO VERBA'!B27</f>
        <v>0</v>
      </c>
      <c r="I9" s="134">
        <f>AQUECIMENTOANTECIPACAO!B39</f>
        <v>0</v>
      </c>
      <c r="J9" s="115"/>
      <c r="K9" s="113"/>
      <c r="L9" s="113"/>
      <c r="M9" s="113"/>
      <c r="N9" s="113"/>
      <c r="O9" s="113"/>
      <c r="P9" s="113"/>
      <c r="Q9" s="113"/>
      <c r="R9" s="113"/>
      <c r="S9" s="113"/>
      <c r="T9" s="115"/>
      <c r="U9" s="113"/>
      <c r="V9" s="113"/>
      <c r="W9" s="113"/>
    </row>
    <row r="10" ht="15.75" customHeight="1">
      <c r="A10" s="113"/>
      <c r="B10" s="135" t="s">
        <v>86</v>
      </c>
      <c r="C10" s="135">
        <f>'AUTO - FRIO'!G38</f>
        <v>0</v>
      </c>
      <c r="D10" s="136" t="str">
        <f t="shared" si="1"/>
        <v>#DIV/0!</v>
      </c>
      <c r="E10" s="136">
        <f>'AUTO - FRIO'!J38</f>
        <v>0</v>
      </c>
      <c r="G10" s="129"/>
      <c r="H10" s="129"/>
      <c r="I10" s="129"/>
      <c r="J10" s="115"/>
      <c r="K10" s="113"/>
      <c r="L10" s="113"/>
      <c r="M10" s="113"/>
      <c r="N10" s="113"/>
      <c r="O10" s="113"/>
      <c r="P10" s="113"/>
      <c r="Q10" s="113"/>
      <c r="R10" s="113"/>
      <c r="S10" s="113"/>
      <c r="T10" s="115"/>
      <c r="U10" s="113"/>
      <c r="V10" s="113"/>
      <c r="W10" s="113"/>
    </row>
    <row r="11" ht="15.75" customHeight="1">
      <c r="A11" s="113"/>
      <c r="B11" s="130" t="s">
        <v>87</v>
      </c>
      <c r="C11" s="131">
        <f>'FACE - QUENTE'!G38</f>
        <v>0</v>
      </c>
      <c r="D11" s="132" t="str">
        <f t="shared" si="1"/>
        <v>#DIV/0!</v>
      </c>
      <c r="E11" s="132">
        <f>'FACE - QUENTE'!J38</f>
        <v>0</v>
      </c>
      <c r="G11" s="137" t="s">
        <v>88</v>
      </c>
      <c r="H11" s="138">
        <f>'1 - INÍCIO - PLANEJEMANTO VERBA'!B28</f>
        <v>0</v>
      </c>
      <c r="I11" s="138">
        <f>AQUECIMENTOANTECIPACAO!G39</f>
        <v>0</v>
      </c>
      <c r="J11" s="115"/>
      <c r="K11" s="113"/>
      <c r="L11" s="113"/>
      <c r="M11" s="113"/>
      <c r="N11" s="113"/>
      <c r="O11" s="113"/>
      <c r="P11" s="113"/>
      <c r="Q11" s="113"/>
      <c r="R11" s="113"/>
      <c r="S11" s="113"/>
      <c r="T11" s="115"/>
      <c r="U11" s="113"/>
      <c r="V11" s="113"/>
      <c r="W11" s="113"/>
    </row>
    <row r="12" ht="15.75" customHeight="1">
      <c r="A12" s="113"/>
      <c r="B12" s="135" t="s">
        <v>89</v>
      </c>
      <c r="C12" s="139">
        <f>'FACE - FRIO'!G38</f>
        <v>0</v>
      </c>
      <c r="D12" s="140" t="str">
        <f t="shared" si="1"/>
        <v>#DIV/0!</v>
      </c>
      <c r="E12" s="140">
        <f>'FACE - FRIO'!J38</f>
        <v>0</v>
      </c>
      <c r="G12" s="129"/>
      <c r="H12" s="129"/>
      <c r="I12" s="129"/>
      <c r="J12" s="115"/>
      <c r="K12" s="113"/>
      <c r="L12" s="113"/>
      <c r="M12" s="113"/>
      <c r="N12" s="113"/>
      <c r="O12" s="113"/>
      <c r="P12" s="113"/>
      <c r="Q12" s="113"/>
      <c r="R12" s="113"/>
      <c r="S12" s="113"/>
      <c r="T12" s="115"/>
      <c r="U12" s="113"/>
      <c r="V12" s="113"/>
      <c r="W12" s="113"/>
    </row>
    <row r="13" ht="15.75" customHeight="1">
      <c r="A13" s="113"/>
      <c r="B13" s="130" t="s">
        <v>90</v>
      </c>
      <c r="C13" s="130">
        <f>'INSTA - QUENTE'!G38</f>
        <v>0</v>
      </c>
      <c r="D13" s="141" t="str">
        <f t="shared" si="1"/>
        <v>#DIV/0!</v>
      </c>
      <c r="E13" s="141">
        <f>'INSTA - QUENTE'!J38</f>
        <v>0</v>
      </c>
      <c r="G13" s="142" t="s">
        <v>91</v>
      </c>
      <c r="H13" s="143">
        <f>'1 - INÍCIO - PLANEJEMANTO VERBA'!B29</f>
        <v>0</v>
      </c>
      <c r="I13" s="143">
        <v>0.0</v>
      </c>
      <c r="J13" s="115"/>
      <c r="L13" s="113"/>
      <c r="M13" s="113"/>
      <c r="N13" s="113"/>
      <c r="O13" s="113"/>
      <c r="P13" s="113"/>
      <c r="Q13" s="113"/>
      <c r="R13" s="113"/>
      <c r="S13" s="113"/>
      <c r="T13" s="115"/>
      <c r="U13" s="113"/>
      <c r="V13" s="113"/>
      <c r="W13" s="113"/>
    </row>
    <row r="14" ht="15.75" customHeight="1">
      <c r="A14" s="113"/>
      <c r="B14" s="135" t="s">
        <v>92</v>
      </c>
      <c r="C14" s="139">
        <f>'INSTA - FRIO'!G38</f>
        <v>17</v>
      </c>
      <c r="D14" s="140">
        <f t="shared" si="1"/>
        <v>15.62764706</v>
      </c>
      <c r="E14" s="140">
        <f>'INSTA - FRIO'!J38</f>
        <v>265.67</v>
      </c>
      <c r="G14" s="129"/>
      <c r="H14" s="129"/>
      <c r="I14" s="129"/>
      <c r="J14" s="115"/>
      <c r="K14" s="113"/>
      <c r="L14" s="113"/>
      <c r="M14" s="113"/>
      <c r="N14" s="113"/>
      <c r="O14" s="113"/>
      <c r="P14" s="113"/>
      <c r="Q14" s="113"/>
      <c r="R14" s="113"/>
      <c r="S14" s="113"/>
      <c r="T14" s="115"/>
      <c r="U14" s="113"/>
      <c r="V14" s="113"/>
      <c r="W14" s="113"/>
    </row>
    <row r="15" ht="15.75" customHeight="1">
      <c r="A15" s="113"/>
      <c r="B15" s="130" t="s">
        <v>93</v>
      </c>
      <c r="C15" s="130">
        <f>'GOOGLE - QUENTE'!G38</f>
        <v>0</v>
      </c>
      <c r="D15" s="141" t="str">
        <f t="shared" si="1"/>
        <v>#DIV/0!</v>
      </c>
      <c r="E15" s="141">
        <f>'GOOGLE - QUENTE'!J38</f>
        <v>0</v>
      </c>
      <c r="G15" s="144" t="s">
        <v>94</v>
      </c>
      <c r="H15" s="145">
        <f>'1 - INÍCIO - PLANEJEMANTO VERBA'!B30</f>
        <v>0</v>
      </c>
      <c r="I15" s="145">
        <v>0.0</v>
      </c>
      <c r="J15" s="115"/>
      <c r="K15" s="113"/>
      <c r="L15" s="113"/>
      <c r="M15" s="113"/>
      <c r="N15" s="113"/>
      <c r="O15" s="113"/>
      <c r="P15" s="113"/>
      <c r="Q15" s="113"/>
      <c r="R15" s="113"/>
      <c r="S15" s="113"/>
      <c r="T15" s="115"/>
      <c r="U15" s="113"/>
      <c r="V15" s="113"/>
      <c r="W15" s="113"/>
    </row>
    <row r="16" ht="15.75" customHeight="1">
      <c r="A16" s="113"/>
      <c r="B16" s="135" t="s">
        <v>95</v>
      </c>
      <c r="C16" s="135">
        <f>'GOOGLE - FRIO'!G38</f>
        <v>0</v>
      </c>
      <c r="D16" s="136" t="str">
        <f t="shared" si="1"/>
        <v>#DIV/0!</v>
      </c>
      <c r="E16" s="136">
        <f>'GOOGLE - FRIO'!J38</f>
        <v>0</v>
      </c>
      <c r="G16" s="129"/>
      <c r="H16" s="129"/>
      <c r="I16" s="129"/>
      <c r="J16" s="115"/>
      <c r="K16" s="113"/>
      <c r="L16" s="113"/>
      <c r="M16" s="113"/>
      <c r="N16" s="113"/>
      <c r="O16" s="113"/>
      <c r="P16" s="113"/>
      <c r="Q16" s="113"/>
      <c r="R16" s="113"/>
      <c r="S16" s="113"/>
      <c r="T16" s="115"/>
      <c r="U16" s="113"/>
      <c r="V16" s="113"/>
      <c r="W16" s="113"/>
    </row>
    <row r="17" ht="15.75" customHeight="1">
      <c r="A17" s="146"/>
      <c r="B17" s="121" t="s">
        <v>71</v>
      </c>
      <c r="C17" s="147">
        <f>SUM(C9:C16)</f>
        <v>17</v>
      </c>
      <c r="D17" s="148">
        <f t="shared" si="1"/>
        <v>15.62764706</v>
      </c>
      <c r="E17" s="148">
        <f>SUM(E9:E16)</f>
        <v>265.67</v>
      </c>
      <c r="G17" s="121" t="s">
        <v>71</v>
      </c>
      <c r="H17" s="148">
        <f t="shared" ref="H17:I17" si="2">SUM(H9:H16)</f>
        <v>0</v>
      </c>
      <c r="I17" s="148">
        <f t="shared" si="2"/>
        <v>0</v>
      </c>
      <c r="J17" s="149"/>
      <c r="K17" s="146"/>
      <c r="L17" s="146"/>
      <c r="M17" s="146"/>
      <c r="N17" s="146"/>
      <c r="O17" s="146"/>
      <c r="P17" s="146"/>
      <c r="Q17" s="113"/>
      <c r="R17" s="113"/>
      <c r="S17" s="113"/>
      <c r="T17" s="115"/>
      <c r="U17" s="113"/>
      <c r="V17" s="113"/>
      <c r="W17" s="113"/>
    </row>
    <row r="18" ht="15.75" customHeight="1">
      <c r="A18" s="113"/>
      <c r="B18" s="113"/>
      <c r="C18" s="114"/>
      <c r="D18" s="115"/>
      <c r="E18" s="115"/>
      <c r="F18" s="113"/>
      <c r="G18" s="113"/>
      <c r="H18" s="116"/>
      <c r="I18" s="115"/>
      <c r="J18" s="115"/>
      <c r="K18" s="113"/>
      <c r="L18" s="113"/>
      <c r="M18" s="113"/>
      <c r="N18" s="113"/>
      <c r="O18" s="113"/>
      <c r="P18" s="113"/>
      <c r="Q18" s="113"/>
      <c r="R18" s="113"/>
      <c r="S18" s="113"/>
      <c r="T18" s="115"/>
      <c r="U18" s="113"/>
      <c r="V18" s="113"/>
      <c r="W18" s="113"/>
    </row>
    <row r="19" ht="15.75" customHeight="1">
      <c r="A19" s="113"/>
      <c r="B19" s="150" t="s">
        <v>66</v>
      </c>
      <c r="C19" s="96"/>
      <c r="D19" s="148" t="s">
        <v>96</v>
      </c>
      <c r="E19" s="148" t="s">
        <v>97</v>
      </c>
      <c r="F19" s="113"/>
      <c r="G19" s="151"/>
      <c r="H19" s="152"/>
      <c r="I19" s="115"/>
      <c r="J19" s="115"/>
      <c r="K19" s="113"/>
      <c r="L19" s="113"/>
      <c r="M19" s="113"/>
      <c r="N19" s="113"/>
      <c r="O19" s="113"/>
      <c r="P19" s="113"/>
      <c r="Q19" s="113"/>
      <c r="R19" s="113"/>
      <c r="S19" s="113"/>
      <c r="T19" s="115"/>
      <c r="U19" s="113"/>
      <c r="V19" s="113"/>
      <c r="W19" s="113"/>
    </row>
    <row r="20" ht="15.75" customHeight="1">
      <c r="A20" s="113"/>
      <c r="B20" s="153" t="s">
        <v>72</v>
      </c>
      <c r="C20" s="154">
        <f>C11+C13+C9+C15</f>
        <v>0</v>
      </c>
      <c r="D20" s="155" t="str">
        <f t="shared" ref="D20:D21" si="3">E20/C20</f>
        <v>#DIV/0!</v>
      </c>
      <c r="E20" s="155">
        <f>E9+E10+E11+E16</f>
        <v>0</v>
      </c>
      <c r="F20" s="113"/>
      <c r="G20" s="121" t="s">
        <v>78</v>
      </c>
      <c r="H20" s="148" t="s">
        <v>98</v>
      </c>
      <c r="I20" s="115"/>
      <c r="J20" s="115"/>
      <c r="K20" s="113"/>
      <c r="L20" s="113"/>
      <c r="M20" s="113"/>
      <c r="N20" s="113"/>
      <c r="O20" s="113"/>
      <c r="P20" s="113"/>
      <c r="Q20" s="113"/>
      <c r="R20" s="113"/>
      <c r="S20" s="113"/>
      <c r="T20" s="115"/>
      <c r="U20" s="113"/>
      <c r="V20" s="113"/>
      <c r="W20" s="113"/>
    </row>
    <row r="21" ht="15.75" customHeight="1">
      <c r="A21" s="113"/>
      <c r="B21" s="156" t="s">
        <v>75</v>
      </c>
      <c r="C21" s="157">
        <f>C10+C12+C16+C14</f>
        <v>17</v>
      </c>
      <c r="D21" s="158">
        <f t="shared" si="3"/>
        <v>15.62764706</v>
      </c>
      <c r="E21" s="158">
        <f>E12+E13+E14+E15</f>
        <v>265.67</v>
      </c>
      <c r="F21" s="113"/>
      <c r="G21" s="159" t="s">
        <v>99</v>
      </c>
      <c r="H21" s="160">
        <f>AQUECIMENTOANTECIPACAO!B38</f>
        <v>0</v>
      </c>
      <c r="I21" s="115"/>
      <c r="J21" s="115"/>
      <c r="K21" s="113"/>
      <c r="L21" s="113"/>
      <c r="M21" s="113"/>
      <c r="N21" s="113"/>
      <c r="O21" s="113"/>
      <c r="P21" s="113"/>
      <c r="Q21" s="113"/>
      <c r="R21" s="113"/>
      <c r="S21" s="113"/>
      <c r="T21" s="115"/>
      <c r="U21" s="113"/>
      <c r="V21" s="113"/>
      <c r="W21" s="113"/>
    </row>
    <row r="22" ht="15.75" customHeight="1">
      <c r="A22" s="113"/>
      <c r="B22" s="6"/>
      <c r="C22" s="97"/>
      <c r="D22" s="115"/>
      <c r="E22" s="115"/>
      <c r="F22" s="113"/>
      <c r="G22" s="159" t="s">
        <v>100</v>
      </c>
      <c r="H22" s="160">
        <f>AQUECIMENTOANTECIPACAO!D38</f>
        <v>0</v>
      </c>
      <c r="I22" s="115"/>
      <c r="J22" s="161"/>
      <c r="K22" s="6"/>
      <c r="L22" s="6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</row>
    <row r="23" ht="15.75" customHeight="1">
      <c r="A23" s="113"/>
      <c r="B23" s="40" t="s">
        <v>101</v>
      </c>
      <c r="C23" s="162"/>
      <c r="D23" s="152"/>
      <c r="E23" s="163" t="s">
        <v>102</v>
      </c>
      <c r="F23" s="113"/>
      <c r="G23" s="164" t="s">
        <v>103</v>
      </c>
      <c r="H23" s="165">
        <f>AQUECIMENTOANTECIPACAO!G38</f>
        <v>0</v>
      </c>
      <c r="I23" s="148" t="s">
        <v>104</v>
      </c>
      <c r="J23" s="148">
        <f>'1 - INÍCIO - PLANEJEMANTO VERBA'!B40</f>
        <v>0</v>
      </c>
      <c r="K23" s="148">
        <f>'1 - INÍCIO - PLANEJEMANTO VERBA'!B41</f>
        <v>0</v>
      </c>
      <c r="L23" s="148">
        <f>'1 - INÍCIO - PLANEJEMANTO VERBA'!B42</f>
        <v>0</v>
      </c>
      <c r="M23" s="148">
        <f>'1 - INÍCIO - PLANEJEMANTO VERBA'!B43</f>
        <v>0</v>
      </c>
      <c r="N23" s="113"/>
      <c r="O23" s="113"/>
      <c r="P23" s="113"/>
      <c r="Q23" s="113"/>
      <c r="R23" s="113"/>
      <c r="S23" s="113"/>
      <c r="T23" s="113"/>
      <c r="U23" s="113"/>
      <c r="V23" s="113"/>
      <c r="W23" s="113"/>
    </row>
    <row r="24" ht="15.75" customHeight="1">
      <c r="A24" s="113"/>
      <c r="B24" s="153" t="s">
        <v>72</v>
      </c>
      <c r="C24" s="166">
        <v>0.0</v>
      </c>
      <c r="D24" s="163" t="s">
        <v>105</v>
      </c>
      <c r="E24" s="163">
        <f t="shared" ref="E24:E25" si="4">C20</f>
        <v>0</v>
      </c>
      <c r="F24" s="113"/>
      <c r="G24" s="164" t="s">
        <v>106</v>
      </c>
      <c r="H24" s="165">
        <f>AQUECIMENTOANTECIPACAO!I38</f>
        <v>0</v>
      </c>
      <c r="I24" s="167"/>
      <c r="J24" s="168" t="s">
        <v>107</v>
      </c>
      <c r="K24" s="169" t="s">
        <v>108</v>
      </c>
      <c r="L24" s="170" t="s">
        <v>109</v>
      </c>
      <c r="M24" s="170" t="s">
        <v>110</v>
      </c>
      <c r="N24" s="113"/>
      <c r="O24" s="113"/>
      <c r="P24" s="113"/>
      <c r="Q24" s="113"/>
      <c r="R24" s="113"/>
      <c r="S24" s="113"/>
      <c r="T24" s="113"/>
      <c r="U24" s="113"/>
      <c r="V24" s="113"/>
      <c r="W24" s="113"/>
    </row>
    <row r="25" ht="15.75" customHeight="1">
      <c r="A25" s="113"/>
      <c r="B25" s="156" t="s">
        <v>75</v>
      </c>
      <c r="C25" s="171">
        <v>75.0</v>
      </c>
      <c r="D25" s="163" t="s">
        <v>111</v>
      </c>
      <c r="E25" s="163">
        <f t="shared" si="4"/>
        <v>17</v>
      </c>
      <c r="F25" s="113"/>
      <c r="G25" s="172" t="s">
        <v>112</v>
      </c>
      <c r="H25" s="173">
        <f t="shared" ref="H25:H26" si="5">J25+K25+L25+M25</f>
        <v>0</v>
      </c>
      <c r="I25" s="148" t="s">
        <v>113</v>
      </c>
      <c r="J25" s="168"/>
      <c r="K25" s="168"/>
      <c r="L25" s="174"/>
      <c r="M25" s="174"/>
      <c r="N25" s="113"/>
      <c r="O25" s="113"/>
      <c r="P25" s="113"/>
      <c r="Q25" s="113"/>
      <c r="R25" s="113"/>
      <c r="S25" s="113"/>
      <c r="T25" s="113"/>
      <c r="U25" s="113"/>
      <c r="V25" s="113"/>
      <c r="W25" s="113"/>
    </row>
    <row r="26" ht="15.75" customHeight="1">
      <c r="A26" s="113"/>
      <c r="B26" s="6"/>
      <c r="C26" s="97"/>
      <c r="D26" s="115"/>
      <c r="E26" s="115"/>
      <c r="F26" s="113"/>
      <c r="G26" s="172" t="s">
        <v>114</v>
      </c>
      <c r="H26" s="173">
        <f t="shared" si="5"/>
        <v>0</v>
      </c>
      <c r="I26" s="148" t="s">
        <v>115</v>
      </c>
      <c r="J26" s="168"/>
      <c r="K26" s="168"/>
      <c r="L26" s="174"/>
      <c r="M26" s="174"/>
      <c r="N26" s="113"/>
      <c r="O26" s="113"/>
      <c r="P26" s="113"/>
      <c r="Q26" s="113"/>
      <c r="R26" s="113"/>
      <c r="S26" s="113"/>
      <c r="T26" s="113"/>
      <c r="U26" s="113"/>
      <c r="V26" s="113"/>
      <c r="W26" s="113"/>
    </row>
    <row r="27" ht="15.75" customHeight="1">
      <c r="A27" s="113"/>
      <c r="B27" s="153" t="s">
        <v>116</v>
      </c>
      <c r="C27" s="175">
        <f t="shared" ref="C27:C28" si="7">C24-C20</f>
        <v>0</v>
      </c>
      <c r="D27" s="115"/>
      <c r="E27" s="115"/>
      <c r="F27" s="113"/>
      <c r="G27" s="176" t="s">
        <v>117</v>
      </c>
      <c r="H27" s="177"/>
      <c r="I27" s="148" t="s">
        <v>118</v>
      </c>
      <c r="J27" s="178">
        <f t="shared" ref="J27:M27" si="6">J25+J26</f>
        <v>0</v>
      </c>
      <c r="K27" s="178">
        <f t="shared" si="6"/>
        <v>0</v>
      </c>
      <c r="L27" s="178">
        <f t="shared" si="6"/>
        <v>0</v>
      </c>
      <c r="M27" s="178">
        <f t="shared" si="6"/>
        <v>0</v>
      </c>
      <c r="N27" s="113"/>
      <c r="O27" s="113"/>
      <c r="P27" s="113"/>
      <c r="Q27" s="113"/>
      <c r="R27" s="113"/>
      <c r="S27" s="113"/>
      <c r="T27" s="113"/>
      <c r="U27" s="113"/>
      <c r="V27" s="113"/>
      <c r="W27" s="113"/>
    </row>
    <row r="28" ht="15.75" customHeight="1">
      <c r="A28" s="113"/>
      <c r="B28" s="156" t="s">
        <v>119</v>
      </c>
      <c r="C28" s="175">
        <f t="shared" si="7"/>
        <v>58</v>
      </c>
      <c r="D28" s="115"/>
      <c r="E28" s="115"/>
      <c r="F28" s="113"/>
      <c r="G28" s="176" t="s">
        <v>120</v>
      </c>
      <c r="H28" s="177"/>
      <c r="I28" s="115"/>
      <c r="J28" s="179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</row>
    <row r="29" ht="15.75" customHeight="1">
      <c r="A29" s="113"/>
      <c r="B29" s="6"/>
      <c r="C29" s="97"/>
      <c r="D29" s="115"/>
      <c r="E29" s="115"/>
      <c r="F29" s="113"/>
      <c r="G29" s="180" t="s">
        <v>121</v>
      </c>
      <c r="H29" s="181">
        <f>SUM(H21:H28)</f>
        <v>0</v>
      </c>
      <c r="I29" s="115"/>
      <c r="J29" s="179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</row>
    <row r="30" ht="15.75" customHeight="1">
      <c r="A30" s="113"/>
      <c r="B30" s="162" t="s">
        <v>122</v>
      </c>
      <c r="D30" s="115"/>
      <c r="E30" s="115"/>
      <c r="F30" s="113"/>
      <c r="G30" s="113"/>
      <c r="H30" s="116"/>
      <c r="I30" s="115"/>
      <c r="J30" s="179"/>
      <c r="M30" s="113"/>
      <c r="N30" s="113"/>
      <c r="O30" s="113"/>
      <c r="P30" s="113"/>
      <c r="Q30" s="113"/>
      <c r="R30" s="113"/>
      <c r="S30" s="113"/>
      <c r="T30" s="115"/>
      <c r="U30" s="113"/>
      <c r="V30" s="113"/>
      <c r="W30" s="113"/>
    </row>
    <row r="31" ht="15.75" customHeight="1">
      <c r="A31" s="113"/>
      <c r="B31" s="182" t="s">
        <v>66</v>
      </c>
      <c r="C31" s="183">
        <f>C17</f>
        <v>17</v>
      </c>
      <c r="D31" s="115"/>
      <c r="E31" s="184"/>
      <c r="F31" s="113"/>
      <c r="G31" s="151" t="s">
        <v>123</v>
      </c>
      <c r="H31" s="151"/>
      <c r="I31" s="115"/>
      <c r="J31" s="115"/>
      <c r="K31" s="113"/>
      <c r="L31" s="113"/>
      <c r="M31" s="113"/>
      <c r="N31" s="113"/>
      <c r="O31" s="113"/>
      <c r="P31" s="113"/>
      <c r="Q31" s="113"/>
      <c r="R31" s="113"/>
      <c r="S31" s="113"/>
      <c r="T31" s="115"/>
      <c r="U31" s="113"/>
      <c r="V31" s="113"/>
      <c r="W31" s="113"/>
    </row>
    <row r="32" ht="15.75" customHeight="1">
      <c r="A32" s="113"/>
      <c r="B32" s="185" t="s">
        <v>98</v>
      </c>
      <c r="C32" s="186">
        <f>E17</f>
        <v>265.67</v>
      </c>
      <c r="D32" s="115"/>
      <c r="E32" s="115"/>
      <c r="F32" s="113"/>
      <c r="G32" s="151"/>
      <c r="H32" s="151"/>
      <c r="I32" s="115"/>
      <c r="J32" s="115"/>
      <c r="K32" s="113"/>
      <c r="L32" s="113"/>
      <c r="M32" s="113"/>
      <c r="N32" s="113"/>
      <c r="O32" s="113"/>
      <c r="P32" s="113"/>
      <c r="Q32" s="113"/>
      <c r="R32" s="113"/>
      <c r="S32" s="113"/>
      <c r="T32" s="115"/>
      <c r="U32" s="113"/>
      <c r="V32" s="113"/>
      <c r="W32" s="113"/>
    </row>
    <row r="33" ht="15.75" customHeight="1">
      <c r="A33" s="113"/>
      <c r="B33" s="185" t="s">
        <v>124</v>
      </c>
      <c r="C33" s="187">
        <f>C32/C42</f>
        <v>0.1327686157</v>
      </c>
      <c r="D33" s="115"/>
      <c r="E33" s="115"/>
      <c r="F33" s="113"/>
      <c r="G33" s="151"/>
      <c r="H33" s="151"/>
      <c r="I33" s="115"/>
      <c r="J33" s="115"/>
      <c r="K33" s="113"/>
      <c r="L33" s="113"/>
      <c r="M33" s="113"/>
      <c r="N33" s="113"/>
      <c r="O33" s="113"/>
      <c r="P33" s="113"/>
      <c r="Q33" s="113"/>
      <c r="R33" s="113"/>
      <c r="S33" s="113"/>
      <c r="T33" s="115"/>
      <c r="U33" s="113"/>
      <c r="V33" s="113"/>
      <c r="W33" s="113"/>
    </row>
    <row r="34" ht="15.75" customHeight="1">
      <c r="A34" s="113"/>
      <c r="B34" s="185" t="s">
        <v>125</v>
      </c>
      <c r="C34" s="187">
        <f>C31/'0- METAS DE CONVERSÕES'!B5</f>
        <v>0.02696551724</v>
      </c>
      <c r="D34" s="188"/>
      <c r="E34" s="115"/>
      <c r="F34" s="113"/>
      <c r="G34" s="151"/>
      <c r="H34" s="151"/>
      <c r="I34" s="115"/>
      <c r="J34" s="115"/>
      <c r="K34" s="113"/>
      <c r="L34" s="113"/>
      <c r="M34" s="113"/>
      <c r="N34" s="113"/>
      <c r="O34" s="113"/>
      <c r="P34" s="113"/>
      <c r="Q34" s="113"/>
      <c r="R34" s="113"/>
      <c r="S34" s="113"/>
      <c r="T34" s="115"/>
      <c r="U34" s="113"/>
      <c r="V34" s="113"/>
      <c r="W34" s="113"/>
    </row>
    <row r="35" ht="15.75" customHeight="1">
      <c r="A35" s="113"/>
      <c r="B35" s="185" t="s">
        <v>126</v>
      </c>
      <c r="C35" s="189">
        <f>C33-C34</f>
        <v>0.1058030985</v>
      </c>
      <c r="D35" s="115"/>
      <c r="E35" s="115"/>
      <c r="F35" s="113"/>
      <c r="G35" s="151"/>
      <c r="H35" s="151"/>
      <c r="I35" s="115"/>
      <c r="J35" s="115"/>
      <c r="K35" s="113"/>
      <c r="L35" s="113"/>
      <c r="M35" s="113"/>
      <c r="N35" s="113"/>
      <c r="O35" s="113"/>
      <c r="P35" s="113"/>
      <c r="Q35" s="113"/>
      <c r="R35" s="113"/>
      <c r="S35" s="113"/>
      <c r="T35" s="115"/>
      <c r="U35" s="113"/>
      <c r="V35" s="113"/>
      <c r="W35" s="113"/>
    </row>
    <row r="36" ht="15.75" customHeight="1">
      <c r="A36" s="113"/>
      <c r="B36" s="185" t="s">
        <v>127</v>
      </c>
      <c r="C36" s="186">
        <f>C32/C31</f>
        <v>15.62764706</v>
      </c>
      <c r="D36" s="115"/>
      <c r="E36" s="115"/>
      <c r="F36" s="113"/>
      <c r="I36" s="115"/>
      <c r="J36" s="115"/>
      <c r="K36" s="113"/>
      <c r="L36" s="113"/>
      <c r="M36" s="113"/>
      <c r="N36" s="113"/>
      <c r="O36" s="113"/>
      <c r="P36" s="113"/>
      <c r="Q36" s="113"/>
      <c r="R36" s="113"/>
      <c r="S36" s="113"/>
      <c r="T36" s="115"/>
      <c r="U36" s="113"/>
      <c r="V36" s="113"/>
      <c r="W36" s="113"/>
    </row>
    <row r="37" ht="15.75" customHeight="1">
      <c r="A37" s="113"/>
      <c r="B37" s="182" t="s">
        <v>128</v>
      </c>
      <c r="C37" s="190">
        <v>45331.0</v>
      </c>
      <c r="D37" s="115"/>
      <c r="E37" s="115"/>
      <c r="F37" s="113"/>
      <c r="I37" s="115"/>
      <c r="J37" s="115"/>
      <c r="K37" s="113"/>
      <c r="L37" s="113"/>
      <c r="M37" s="113"/>
      <c r="N37" s="113"/>
      <c r="O37" s="113"/>
      <c r="P37" s="113"/>
      <c r="Q37" s="113"/>
      <c r="R37" s="113"/>
      <c r="S37" s="113"/>
      <c r="T37" s="115"/>
      <c r="U37" s="113"/>
      <c r="V37" s="113"/>
      <c r="W37" s="113"/>
    </row>
    <row r="38" ht="15.75" customHeight="1">
      <c r="A38" s="113"/>
      <c r="B38" s="185" t="s">
        <v>129</v>
      </c>
      <c r="C38" s="191">
        <v>45351.0</v>
      </c>
      <c r="D38" s="115"/>
      <c r="E38" s="115"/>
      <c r="F38" s="113"/>
      <c r="I38" s="115"/>
      <c r="J38" s="115"/>
      <c r="K38" s="113"/>
      <c r="L38" s="113"/>
      <c r="M38" s="113"/>
      <c r="N38" s="113"/>
      <c r="O38" s="113"/>
      <c r="P38" s="113"/>
      <c r="Q38" s="113"/>
      <c r="R38" s="113"/>
      <c r="S38" s="113"/>
      <c r="T38" s="115"/>
      <c r="U38" s="113"/>
      <c r="V38" s="113"/>
      <c r="W38" s="113"/>
    </row>
    <row r="39" ht="15.75" customHeight="1">
      <c r="A39" s="113"/>
      <c r="B39" s="185" t="s">
        <v>130</v>
      </c>
      <c r="C39" s="192">
        <f>C38-C37</f>
        <v>20</v>
      </c>
      <c r="D39" s="115"/>
      <c r="E39" s="115"/>
      <c r="F39" s="113"/>
      <c r="I39" s="115"/>
      <c r="J39" s="115"/>
      <c r="K39" s="113"/>
      <c r="L39" s="113"/>
      <c r="M39" s="113"/>
      <c r="N39" s="113"/>
      <c r="O39" s="113"/>
      <c r="P39" s="113"/>
      <c r="Q39" s="113"/>
      <c r="R39" s="113"/>
      <c r="S39" s="113"/>
      <c r="T39" s="115"/>
      <c r="U39" s="113"/>
      <c r="V39" s="113"/>
      <c r="W39" s="113"/>
    </row>
    <row r="40" ht="15.75" customHeight="1">
      <c r="A40" s="113"/>
      <c r="B40" s="185" t="s">
        <v>131</v>
      </c>
      <c r="C40" s="192">
        <f>'0- METAS DE CONVERSÕES'!B5-C31</f>
        <v>613.4347826</v>
      </c>
      <c r="D40" s="115"/>
      <c r="E40" s="115"/>
      <c r="F40" s="113"/>
      <c r="I40" s="115"/>
      <c r="J40" s="115"/>
      <c r="K40" s="113"/>
      <c r="L40" s="113"/>
      <c r="M40" s="113"/>
      <c r="N40" s="113"/>
      <c r="O40" s="113"/>
      <c r="P40" s="113"/>
      <c r="Q40" s="113"/>
      <c r="R40" s="113"/>
      <c r="S40" s="113"/>
      <c r="T40" s="115"/>
      <c r="U40" s="113"/>
      <c r="V40" s="113"/>
      <c r="W40" s="113"/>
    </row>
    <row r="41" ht="15.75" customHeight="1">
      <c r="A41" s="113"/>
      <c r="B41" s="185" t="s">
        <v>132</v>
      </c>
      <c r="C41" s="192">
        <f>C40/C39</f>
        <v>30.67173913</v>
      </c>
      <c r="D41" s="115"/>
      <c r="E41" s="115"/>
      <c r="F41" s="113"/>
      <c r="I41" s="115"/>
      <c r="J41" s="115"/>
      <c r="K41" s="113"/>
      <c r="L41" s="113"/>
      <c r="M41" s="113"/>
      <c r="N41" s="113"/>
      <c r="O41" s="113"/>
      <c r="P41" s="113"/>
      <c r="Q41" s="113"/>
      <c r="R41" s="113"/>
      <c r="S41" s="113"/>
      <c r="T41" s="115"/>
      <c r="U41" s="113"/>
      <c r="V41" s="113"/>
      <c r="W41" s="113"/>
    </row>
    <row r="42" ht="15.75" customHeight="1">
      <c r="A42" s="113"/>
      <c r="B42" s="185" t="s">
        <v>133</v>
      </c>
      <c r="C42" s="186">
        <f>'0- METAS DE CONVERSÕES'!B3</f>
        <v>2001</v>
      </c>
      <c r="D42" s="115"/>
      <c r="E42" s="115"/>
      <c r="F42" s="113"/>
      <c r="I42" s="116"/>
      <c r="J42" s="115"/>
      <c r="K42" s="113"/>
      <c r="L42" s="113"/>
      <c r="M42" s="113"/>
      <c r="N42" s="113"/>
      <c r="O42" s="113"/>
      <c r="P42" s="113"/>
      <c r="Q42" s="113"/>
      <c r="R42" s="113"/>
      <c r="S42" s="113"/>
      <c r="T42" s="115"/>
      <c r="U42" s="113"/>
      <c r="V42" s="113"/>
      <c r="W42" s="113"/>
    </row>
    <row r="43" ht="15.75" customHeight="1">
      <c r="A43" s="113"/>
      <c r="B43" s="185" t="s">
        <v>134</v>
      </c>
      <c r="C43" s="186">
        <f>C42-C32</f>
        <v>1735.33</v>
      </c>
      <c r="D43" s="115"/>
      <c r="E43" s="115"/>
      <c r="F43" s="113"/>
      <c r="I43" s="115"/>
      <c r="J43" s="115"/>
      <c r="K43" s="113"/>
      <c r="L43" s="113"/>
      <c r="M43" s="113"/>
      <c r="N43" s="113"/>
      <c r="O43" s="113"/>
      <c r="P43" s="113"/>
      <c r="Q43" s="113"/>
      <c r="R43" s="113"/>
      <c r="S43" s="113"/>
      <c r="T43" s="115"/>
      <c r="U43" s="113"/>
      <c r="V43" s="113"/>
      <c r="W43" s="113"/>
    </row>
    <row r="44" ht="15.75" customHeight="1">
      <c r="A44" s="113"/>
      <c r="B44" s="185" t="s">
        <v>135</v>
      </c>
      <c r="C44" s="186">
        <f>C43/C39</f>
        <v>86.7665</v>
      </c>
      <c r="D44" s="115"/>
      <c r="E44" s="115"/>
      <c r="F44" s="113"/>
      <c r="I44" s="115"/>
      <c r="J44" s="115"/>
      <c r="K44" s="113"/>
      <c r="L44" s="113"/>
      <c r="M44" s="113"/>
      <c r="N44" s="113"/>
      <c r="O44" s="113"/>
      <c r="P44" s="113"/>
      <c r="Q44" s="113"/>
      <c r="R44" s="113"/>
      <c r="S44" s="113"/>
      <c r="T44" s="115"/>
      <c r="U44" s="113"/>
      <c r="V44" s="113"/>
      <c r="W44" s="113"/>
    </row>
    <row r="45" ht="15.75" customHeight="1">
      <c r="A45" s="113"/>
      <c r="B45" s="185" t="s">
        <v>136</v>
      </c>
      <c r="C45" s="186">
        <f>C43/C40</f>
        <v>2.828874477</v>
      </c>
      <c r="D45" s="115"/>
      <c r="E45" s="115"/>
      <c r="F45" s="113"/>
      <c r="I45" s="115"/>
      <c r="J45" s="115"/>
      <c r="K45" s="113"/>
      <c r="L45" s="113"/>
      <c r="M45" s="113"/>
      <c r="N45" s="113"/>
      <c r="O45" s="113"/>
      <c r="P45" s="113"/>
      <c r="Q45" s="113"/>
      <c r="R45" s="113"/>
      <c r="S45" s="113"/>
      <c r="T45" s="115"/>
      <c r="U45" s="113"/>
      <c r="V45" s="113"/>
      <c r="W45" s="113"/>
    </row>
    <row r="46" ht="15.75" customHeight="1">
      <c r="A46" s="113"/>
      <c r="B46" s="6"/>
      <c r="C46" s="97"/>
      <c r="D46" s="115"/>
      <c r="E46" s="115"/>
      <c r="F46" s="113"/>
      <c r="I46" s="115"/>
      <c r="J46" s="115"/>
      <c r="K46" s="113"/>
      <c r="L46" s="113"/>
      <c r="M46" s="113"/>
      <c r="N46" s="113"/>
      <c r="O46" s="113"/>
      <c r="P46" s="113"/>
      <c r="Q46" s="113"/>
      <c r="R46" s="113"/>
      <c r="S46" s="113"/>
      <c r="T46" s="115"/>
      <c r="U46" s="113"/>
      <c r="V46" s="113"/>
      <c r="W46" s="113"/>
    </row>
    <row r="47" ht="15.75" customHeight="1">
      <c r="A47" s="113"/>
      <c r="B47" s="193"/>
      <c r="D47" s="115"/>
      <c r="E47" s="115"/>
      <c r="F47" s="113"/>
      <c r="G47" s="113"/>
      <c r="H47" s="116"/>
      <c r="I47" s="115"/>
      <c r="J47" s="115"/>
      <c r="K47" s="113"/>
      <c r="L47" s="113"/>
      <c r="M47" s="113"/>
      <c r="N47" s="113"/>
      <c r="O47" s="113"/>
      <c r="P47" s="113"/>
      <c r="Q47" s="113"/>
      <c r="R47" s="113"/>
      <c r="S47" s="113"/>
      <c r="T47" s="115"/>
      <c r="U47" s="113"/>
      <c r="V47" s="113"/>
      <c r="W47" s="113"/>
    </row>
    <row r="48" ht="15.75" customHeight="1">
      <c r="A48" s="113"/>
      <c r="B48" s="99"/>
      <c r="C48" s="194"/>
      <c r="D48" s="115"/>
      <c r="E48" s="115"/>
      <c r="F48" s="113"/>
      <c r="G48" s="113"/>
      <c r="H48" s="116"/>
      <c r="I48" s="115"/>
      <c r="J48" s="115"/>
      <c r="K48" s="113"/>
      <c r="L48" s="113"/>
      <c r="M48" s="113"/>
      <c r="N48" s="113"/>
      <c r="O48" s="113"/>
      <c r="P48" s="113"/>
      <c r="Q48" s="113"/>
      <c r="R48" s="113"/>
      <c r="S48" s="113"/>
      <c r="T48" s="115"/>
      <c r="U48" s="113"/>
      <c r="V48" s="113"/>
      <c r="W48" s="113"/>
    </row>
    <row r="49" ht="15.75" customHeight="1">
      <c r="A49" s="113"/>
      <c r="B49" s="99"/>
      <c r="C49" s="195"/>
      <c r="D49" s="115"/>
      <c r="E49" s="115"/>
      <c r="F49" s="113"/>
      <c r="G49" s="113"/>
      <c r="H49" s="116"/>
      <c r="I49" s="115"/>
      <c r="J49" s="115"/>
      <c r="K49" s="113"/>
      <c r="L49" s="113"/>
      <c r="M49" s="113"/>
      <c r="N49" s="113"/>
      <c r="O49" s="113"/>
      <c r="P49" s="113"/>
      <c r="Q49" s="113"/>
      <c r="R49" s="113"/>
      <c r="S49" s="113"/>
      <c r="T49" s="115"/>
      <c r="U49" s="113"/>
      <c r="V49" s="113"/>
      <c r="W49" s="113"/>
    </row>
    <row r="50" ht="15.75" customHeight="1">
      <c r="A50" s="113"/>
      <c r="B50" s="99"/>
      <c r="C50" s="193"/>
      <c r="D50" s="115"/>
      <c r="E50" s="115"/>
      <c r="F50" s="113"/>
      <c r="G50" s="113"/>
      <c r="H50" s="116"/>
      <c r="I50" s="115"/>
      <c r="J50" s="115"/>
      <c r="K50" s="113"/>
      <c r="L50" s="113"/>
      <c r="M50" s="113"/>
      <c r="N50" s="113"/>
      <c r="O50" s="113"/>
      <c r="P50" s="113"/>
      <c r="Q50" s="113"/>
      <c r="R50" s="113"/>
      <c r="S50" s="113"/>
      <c r="T50" s="115"/>
      <c r="U50" s="113"/>
      <c r="V50" s="113"/>
      <c r="W50" s="113"/>
    </row>
    <row r="51" ht="15.75" customHeight="1">
      <c r="A51" s="113"/>
      <c r="B51" s="99"/>
      <c r="C51" s="196"/>
      <c r="D51" s="115"/>
      <c r="E51" s="115"/>
      <c r="F51" s="113"/>
      <c r="G51" s="113"/>
      <c r="H51" s="116"/>
      <c r="I51" s="115"/>
      <c r="J51" s="115"/>
      <c r="K51" s="113"/>
      <c r="L51" s="113"/>
      <c r="M51" s="113"/>
      <c r="N51" s="113"/>
      <c r="O51" s="113"/>
      <c r="P51" s="113"/>
      <c r="Q51" s="113"/>
      <c r="R51" s="113"/>
      <c r="S51" s="113"/>
      <c r="T51" s="115"/>
      <c r="U51" s="113"/>
      <c r="V51" s="113"/>
      <c r="W51" s="113"/>
    </row>
    <row r="52" ht="15.75" customHeight="1">
      <c r="A52" s="113"/>
      <c r="B52" s="99"/>
      <c r="C52" s="196"/>
      <c r="D52" s="115"/>
      <c r="E52" s="115"/>
      <c r="F52" s="113"/>
      <c r="G52" s="113"/>
      <c r="H52" s="116"/>
      <c r="I52" s="115"/>
      <c r="J52" s="115"/>
      <c r="K52" s="113"/>
      <c r="L52" s="113"/>
      <c r="M52" s="113"/>
      <c r="N52" s="113"/>
      <c r="O52" s="113"/>
      <c r="P52" s="113"/>
      <c r="Q52" s="113"/>
      <c r="R52" s="113"/>
      <c r="S52" s="113"/>
      <c r="T52" s="115"/>
      <c r="U52" s="113"/>
      <c r="V52" s="113"/>
      <c r="W52" s="113"/>
    </row>
    <row r="53" ht="15.75" customHeight="1">
      <c r="A53" s="113"/>
      <c r="B53" s="99"/>
      <c r="C53" s="196"/>
      <c r="D53" s="115"/>
      <c r="E53" s="115"/>
      <c r="F53" s="113"/>
      <c r="G53" s="113"/>
      <c r="H53" s="116"/>
      <c r="I53" s="115"/>
      <c r="J53" s="115"/>
      <c r="K53" s="113"/>
      <c r="L53" s="113"/>
      <c r="M53" s="113"/>
      <c r="N53" s="113"/>
      <c r="O53" s="113"/>
      <c r="P53" s="113"/>
      <c r="Q53" s="113"/>
      <c r="R53" s="113"/>
      <c r="S53" s="113"/>
      <c r="T53" s="115"/>
      <c r="U53" s="113"/>
      <c r="V53" s="113"/>
      <c r="W53" s="113"/>
    </row>
    <row r="54" ht="15.75" customHeight="1">
      <c r="A54" s="113"/>
      <c r="B54" s="113"/>
      <c r="C54" s="114"/>
      <c r="D54" s="115"/>
      <c r="E54" s="115"/>
      <c r="F54" s="113"/>
      <c r="G54" s="113"/>
      <c r="H54" s="116"/>
      <c r="I54" s="115"/>
      <c r="J54" s="115"/>
      <c r="K54" s="113"/>
      <c r="L54" s="113"/>
      <c r="M54" s="113"/>
      <c r="N54" s="113"/>
      <c r="O54" s="113"/>
      <c r="P54" s="113"/>
      <c r="Q54" s="113"/>
      <c r="R54" s="113"/>
      <c r="S54" s="113"/>
      <c r="T54" s="115"/>
      <c r="U54" s="113"/>
      <c r="V54" s="113"/>
      <c r="W54" s="113"/>
    </row>
    <row r="55" ht="15.75" customHeight="1">
      <c r="A55" s="113"/>
      <c r="B55" s="113"/>
      <c r="C55" s="114"/>
      <c r="D55" s="115"/>
      <c r="E55" s="115"/>
      <c r="F55" s="113"/>
      <c r="G55" s="113"/>
      <c r="H55" s="116"/>
      <c r="I55" s="115"/>
      <c r="J55" s="115"/>
      <c r="K55" s="113"/>
      <c r="L55" s="113"/>
      <c r="M55" s="113"/>
      <c r="N55" s="113"/>
      <c r="O55" s="113"/>
      <c r="P55" s="113"/>
      <c r="Q55" s="113"/>
      <c r="R55" s="113"/>
      <c r="S55" s="113"/>
      <c r="T55" s="115"/>
      <c r="U55" s="113"/>
      <c r="V55" s="113"/>
      <c r="W55" s="113"/>
    </row>
    <row r="56" ht="15.75" customHeight="1">
      <c r="A56" s="113"/>
      <c r="B56" s="113"/>
      <c r="C56" s="114"/>
      <c r="D56" s="115"/>
      <c r="E56" s="115"/>
      <c r="F56" s="113"/>
      <c r="G56" s="113"/>
      <c r="H56" s="116"/>
      <c r="I56" s="115"/>
      <c r="J56" s="115"/>
      <c r="K56" s="113"/>
      <c r="L56" s="113"/>
      <c r="M56" s="113"/>
      <c r="N56" s="113"/>
      <c r="O56" s="113"/>
      <c r="P56" s="113"/>
      <c r="Q56" s="113"/>
      <c r="R56" s="113"/>
      <c r="S56" s="113"/>
      <c r="T56" s="115"/>
      <c r="U56" s="113"/>
      <c r="V56" s="113"/>
      <c r="W56" s="113"/>
    </row>
    <row r="57" ht="15.75" customHeight="1">
      <c r="A57" s="113"/>
      <c r="B57" s="113"/>
      <c r="C57" s="114"/>
      <c r="D57" s="115"/>
      <c r="E57" s="115"/>
      <c r="F57" s="113"/>
      <c r="G57" s="113"/>
      <c r="H57" s="116"/>
      <c r="I57" s="115"/>
      <c r="J57" s="115"/>
      <c r="K57" s="113"/>
      <c r="L57" s="113"/>
      <c r="M57" s="113"/>
      <c r="N57" s="113"/>
      <c r="O57" s="113"/>
      <c r="P57" s="113"/>
      <c r="Q57" s="113"/>
      <c r="R57" s="113"/>
      <c r="S57" s="113"/>
      <c r="T57" s="115"/>
      <c r="U57" s="113"/>
      <c r="V57" s="113"/>
      <c r="W57" s="113"/>
    </row>
    <row r="58" ht="15.75" customHeight="1">
      <c r="A58" s="113"/>
      <c r="B58" s="113"/>
      <c r="C58" s="114"/>
      <c r="D58" s="115"/>
      <c r="E58" s="115"/>
      <c r="F58" s="113"/>
      <c r="G58" s="113"/>
      <c r="H58" s="116"/>
      <c r="I58" s="115"/>
      <c r="J58" s="115"/>
      <c r="K58" s="113"/>
      <c r="L58" s="113"/>
      <c r="M58" s="113"/>
      <c r="N58" s="113"/>
      <c r="O58" s="113"/>
      <c r="P58" s="113"/>
      <c r="Q58" s="113"/>
      <c r="R58" s="113"/>
      <c r="S58" s="113"/>
      <c r="T58" s="115"/>
      <c r="U58" s="113"/>
      <c r="V58" s="113"/>
      <c r="W58" s="113"/>
    </row>
    <row r="59" ht="15.75" customHeight="1">
      <c r="A59" s="113"/>
      <c r="B59" s="113"/>
      <c r="C59" s="114"/>
      <c r="D59" s="115"/>
      <c r="E59" s="115"/>
      <c r="F59" s="113"/>
      <c r="G59" s="113"/>
      <c r="H59" s="116"/>
      <c r="I59" s="115"/>
      <c r="J59" s="115"/>
      <c r="K59" s="113"/>
      <c r="L59" s="113"/>
      <c r="M59" s="113"/>
      <c r="N59" s="113"/>
      <c r="O59" s="113"/>
      <c r="P59" s="113"/>
      <c r="Q59" s="113"/>
      <c r="R59" s="113"/>
      <c r="S59" s="113"/>
      <c r="T59" s="115"/>
      <c r="U59" s="113"/>
      <c r="V59" s="113"/>
      <c r="W59" s="113"/>
    </row>
    <row r="60" ht="15.75" customHeight="1">
      <c r="A60" s="113"/>
      <c r="B60" s="113"/>
      <c r="C60" s="114"/>
      <c r="D60" s="115"/>
      <c r="E60" s="115"/>
      <c r="F60" s="113"/>
      <c r="G60" s="113"/>
      <c r="H60" s="116"/>
      <c r="I60" s="115"/>
      <c r="J60" s="115"/>
      <c r="K60" s="113"/>
      <c r="L60" s="113"/>
      <c r="M60" s="113"/>
      <c r="N60" s="113"/>
      <c r="O60" s="113"/>
      <c r="P60" s="113"/>
      <c r="Q60" s="113"/>
      <c r="R60" s="113"/>
      <c r="S60" s="113"/>
      <c r="T60" s="115"/>
      <c r="U60" s="113"/>
      <c r="V60" s="113"/>
      <c r="W60" s="113"/>
    </row>
    <row r="61" ht="15.75" customHeight="1">
      <c r="A61" s="113"/>
      <c r="B61" s="113"/>
      <c r="C61" s="114"/>
      <c r="D61" s="115"/>
      <c r="E61" s="115"/>
      <c r="F61" s="113"/>
      <c r="G61" s="113"/>
      <c r="H61" s="116"/>
      <c r="I61" s="115"/>
      <c r="J61" s="115"/>
      <c r="K61" s="113"/>
      <c r="L61" s="113"/>
      <c r="M61" s="113"/>
      <c r="N61" s="113"/>
      <c r="O61" s="113"/>
      <c r="P61" s="113"/>
      <c r="Q61" s="113"/>
      <c r="R61" s="113"/>
      <c r="S61" s="113"/>
      <c r="T61" s="115"/>
      <c r="U61" s="113"/>
      <c r="V61" s="113"/>
      <c r="W61" s="113"/>
    </row>
    <row r="62" ht="15.75" customHeight="1">
      <c r="A62" s="113"/>
      <c r="B62" s="113"/>
      <c r="C62" s="114"/>
      <c r="D62" s="115"/>
      <c r="E62" s="115"/>
      <c r="F62" s="113"/>
      <c r="G62" s="113"/>
      <c r="H62" s="116"/>
      <c r="I62" s="115"/>
      <c r="J62" s="115"/>
      <c r="K62" s="113"/>
      <c r="L62" s="113"/>
      <c r="M62" s="113"/>
      <c r="N62" s="113"/>
      <c r="O62" s="113"/>
      <c r="P62" s="113"/>
      <c r="Q62" s="113"/>
      <c r="R62" s="113"/>
      <c r="S62" s="113"/>
      <c r="T62" s="115"/>
      <c r="U62" s="113"/>
      <c r="V62" s="113"/>
      <c r="W62" s="113"/>
    </row>
    <row r="63" ht="15.75" customHeight="1">
      <c r="A63" s="113"/>
      <c r="B63" s="113"/>
      <c r="C63" s="114"/>
      <c r="D63" s="115"/>
      <c r="E63" s="115"/>
      <c r="F63" s="113"/>
      <c r="G63" s="113"/>
      <c r="H63" s="116"/>
      <c r="I63" s="115"/>
      <c r="J63" s="115"/>
      <c r="K63" s="113"/>
      <c r="L63" s="113"/>
      <c r="M63" s="113"/>
      <c r="N63" s="113"/>
      <c r="O63" s="113"/>
      <c r="P63" s="113"/>
      <c r="Q63" s="113"/>
      <c r="R63" s="113"/>
      <c r="S63" s="113"/>
      <c r="T63" s="115"/>
      <c r="U63" s="113"/>
      <c r="V63" s="113"/>
      <c r="W63" s="113"/>
    </row>
    <row r="64" ht="15.75" customHeight="1">
      <c r="A64" s="113"/>
      <c r="D64" s="115"/>
      <c r="E64" s="115"/>
      <c r="F64" s="113"/>
      <c r="G64" s="113"/>
      <c r="H64" s="116"/>
      <c r="I64" s="115"/>
      <c r="J64" s="115"/>
      <c r="K64" s="113"/>
      <c r="L64" s="113"/>
      <c r="M64" s="113"/>
      <c r="N64" s="113"/>
      <c r="O64" s="113"/>
      <c r="P64" s="113"/>
      <c r="Q64" s="113"/>
      <c r="R64" s="113"/>
      <c r="S64" s="113"/>
      <c r="T64" s="115"/>
      <c r="U64" s="113"/>
      <c r="V64" s="113"/>
      <c r="W64" s="113"/>
    </row>
    <row r="65" ht="15.75" customHeight="1">
      <c r="A65" s="113"/>
      <c r="B65" s="113" t="s">
        <v>137</v>
      </c>
      <c r="C65" s="197">
        <v>44229.0</v>
      </c>
      <c r="D65" s="115"/>
      <c r="E65" s="115"/>
      <c r="F65" s="113"/>
      <c r="G65" s="113"/>
      <c r="H65" s="116"/>
      <c r="I65" s="115"/>
      <c r="J65" s="115"/>
      <c r="K65" s="113"/>
      <c r="L65" s="113"/>
      <c r="M65" s="113"/>
      <c r="N65" s="113"/>
      <c r="O65" s="113"/>
      <c r="P65" s="113"/>
      <c r="Q65" s="113"/>
      <c r="R65" s="113"/>
      <c r="S65" s="113"/>
      <c r="T65" s="115"/>
      <c r="U65" s="113"/>
      <c r="V65" s="113"/>
      <c r="W65" s="113"/>
    </row>
    <row r="66" ht="15.75" customHeight="1">
      <c r="A66" s="113"/>
      <c r="B66" s="113" t="s">
        <v>138</v>
      </c>
      <c r="C66" s="114">
        <f>C38-C65</f>
        <v>1122</v>
      </c>
      <c r="D66" s="115"/>
      <c r="E66" s="115"/>
      <c r="F66" s="113"/>
      <c r="G66" s="113"/>
      <c r="H66" s="116"/>
      <c r="I66" s="115"/>
      <c r="J66" s="115"/>
      <c r="K66" s="113"/>
      <c r="L66" s="113"/>
      <c r="M66" s="113"/>
      <c r="N66" s="113"/>
      <c r="O66" s="113"/>
      <c r="P66" s="113"/>
      <c r="Q66" s="113"/>
      <c r="R66" s="113"/>
      <c r="S66" s="113"/>
      <c r="T66" s="115"/>
      <c r="U66" s="113"/>
      <c r="V66" s="113"/>
      <c r="W66" s="113"/>
    </row>
    <row r="67" ht="15.75" customHeight="1">
      <c r="A67" s="113"/>
      <c r="B67" s="113" t="s">
        <v>139</v>
      </c>
      <c r="C67" s="114">
        <f>C37-C65</f>
        <v>1102</v>
      </c>
      <c r="D67" s="115"/>
      <c r="E67" s="115"/>
      <c r="F67" s="113"/>
      <c r="G67" s="113"/>
      <c r="H67" s="116"/>
      <c r="I67" s="115"/>
      <c r="J67" s="115"/>
      <c r="K67" s="113"/>
      <c r="L67" s="113"/>
      <c r="M67" s="113"/>
      <c r="N67" s="113"/>
      <c r="O67" s="113"/>
      <c r="P67" s="113"/>
      <c r="Q67" s="113"/>
      <c r="R67" s="113"/>
      <c r="S67" s="113"/>
      <c r="T67" s="115"/>
      <c r="U67" s="113"/>
      <c r="V67" s="113"/>
      <c r="W67" s="113"/>
    </row>
    <row r="68" ht="15.75" customHeight="1">
      <c r="A68" s="113"/>
      <c r="D68" s="115"/>
      <c r="E68" s="115"/>
      <c r="F68" s="113"/>
      <c r="G68" s="113"/>
      <c r="H68" s="116"/>
      <c r="I68" s="115"/>
      <c r="J68" s="115"/>
      <c r="K68" s="113"/>
      <c r="L68" s="113"/>
      <c r="M68" s="113"/>
      <c r="N68" s="113"/>
      <c r="O68" s="113"/>
      <c r="P68" s="113"/>
      <c r="Q68" s="113"/>
      <c r="R68" s="113"/>
      <c r="S68" s="113"/>
      <c r="T68" s="115"/>
      <c r="U68" s="113"/>
      <c r="V68" s="113"/>
      <c r="W68" s="113"/>
    </row>
    <row r="69" ht="15.75" customHeight="1">
      <c r="A69" s="113"/>
      <c r="B69" s="113" t="s">
        <v>140</v>
      </c>
      <c r="C69" s="198">
        <f>1/C66</f>
        <v>0.0008912655971</v>
      </c>
      <c r="D69" s="115"/>
      <c r="E69" s="115"/>
      <c r="F69" s="113"/>
      <c r="G69" s="113"/>
      <c r="H69" s="116"/>
      <c r="I69" s="115"/>
      <c r="J69" s="115"/>
      <c r="K69" s="113"/>
      <c r="L69" s="113"/>
      <c r="M69" s="113"/>
      <c r="N69" s="113"/>
      <c r="O69" s="113"/>
      <c r="P69" s="113"/>
      <c r="Q69" s="113"/>
      <c r="R69" s="113"/>
      <c r="S69" s="113"/>
      <c r="T69" s="115"/>
      <c r="U69" s="113"/>
      <c r="V69" s="113"/>
      <c r="W69" s="113"/>
    </row>
    <row r="70" ht="15.75" customHeight="1">
      <c r="A70" s="113"/>
      <c r="B70" s="113" t="s">
        <v>141</v>
      </c>
      <c r="C70" s="198">
        <f>C69*C67</f>
        <v>0.9821746881</v>
      </c>
      <c r="D70" s="115"/>
      <c r="E70" s="115"/>
      <c r="F70" s="113"/>
      <c r="G70" s="113"/>
      <c r="H70" s="116"/>
      <c r="I70" s="115"/>
      <c r="J70" s="115"/>
      <c r="K70" s="113"/>
      <c r="L70" s="113"/>
      <c r="M70" s="113"/>
      <c r="N70" s="113"/>
      <c r="O70" s="113"/>
      <c r="P70" s="113"/>
      <c r="Q70" s="113"/>
      <c r="R70" s="113"/>
      <c r="S70" s="113"/>
      <c r="T70" s="115"/>
      <c r="U70" s="113"/>
      <c r="V70" s="113"/>
      <c r="W70" s="113"/>
    </row>
    <row r="71" ht="15.75" customHeight="1">
      <c r="A71" s="113"/>
      <c r="B71" s="113" t="s">
        <v>142</v>
      </c>
      <c r="C71" s="198">
        <f>(C33+C34)/2</f>
        <v>0.07986706647</v>
      </c>
      <c r="D71" s="115"/>
      <c r="E71" s="115"/>
      <c r="F71" s="113"/>
      <c r="G71" s="113"/>
      <c r="H71" s="116"/>
      <c r="I71" s="115"/>
      <c r="J71" s="115"/>
      <c r="K71" s="113"/>
      <c r="L71" s="113"/>
      <c r="M71" s="113"/>
      <c r="N71" s="113"/>
      <c r="O71" s="113"/>
      <c r="P71" s="113"/>
      <c r="Q71" s="113"/>
      <c r="R71" s="113"/>
      <c r="S71" s="113"/>
      <c r="T71" s="115"/>
      <c r="U71" s="113"/>
      <c r="V71" s="113"/>
      <c r="W71" s="113"/>
    </row>
    <row r="72" ht="15.75" customHeight="1">
      <c r="A72" s="113"/>
      <c r="D72" s="115"/>
      <c r="E72" s="115"/>
      <c r="F72" s="113"/>
      <c r="G72" s="113"/>
      <c r="H72" s="116"/>
      <c r="I72" s="115"/>
      <c r="J72" s="115"/>
      <c r="K72" s="113"/>
      <c r="L72" s="113"/>
      <c r="M72" s="113"/>
      <c r="N72" s="113"/>
      <c r="O72" s="113"/>
      <c r="P72" s="113"/>
      <c r="Q72" s="113"/>
      <c r="R72" s="113"/>
      <c r="S72" s="113"/>
      <c r="T72" s="115"/>
      <c r="U72" s="113"/>
      <c r="V72" s="113"/>
      <c r="W72" s="113"/>
    </row>
    <row r="73" ht="15.75" customHeight="1">
      <c r="A73" s="113"/>
      <c r="D73" s="115"/>
      <c r="E73" s="115"/>
      <c r="F73" s="113"/>
      <c r="G73" s="113"/>
      <c r="H73" s="116"/>
      <c r="I73" s="115"/>
      <c r="J73" s="115"/>
      <c r="K73" s="113"/>
      <c r="L73" s="113"/>
      <c r="M73" s="113"/>
      <c r="N73" s="113"/>
      <c r="O73" s="113"/>
      <c r="P73" s="113"/>
      <c r="Q73" s="113"/>
      <c r="R73" s="113"/>
      <c r="S73" s="113"/>
      <c r="T73" s="115"/>
      <c r="U73" s="113"/>
      <c r="V73" s="113"/>
      <c r="W73" s="113"/>
    </row>
    <row r="74" ht="15.75" customHeight="1">
      <c r="A74" s="113"/>
      <c r="B74" s="113"/>
      <c r="C74" s="114"/>
      <c r="D74" s="115"/>
      <c r="E74" s="115"/>
      <c r="F74" s="113"/>
      <c r="G74" s="113"/>
      <c r="H74" s="116"/>
      <c r="I74" s="115"/>
      <c r="J74" s="115"/>
      <c r="K74" s="113"/>
      <c r="L74" s="113"/>
      <c r="M74" s="113"/>
      <c r="N74" s="113"/>
      <c r="O74" s="113"/>
      <c r="P74" s="113"/>
      <c r="Q74" s="113"/>
      <c r="R74" s="113"/>
      <c r="S74" s="113"/>
      <c r="T74" s="115"/>
      <c r="U74" s="113"/>
      <c r="V74" s="113"/>
      <c r="W74" s="113"/>
    </row>
    <row r="75" ht="15.75" customHeight="1">
      <c r="A75" s="113"/>
      <c r="B75" s="113"/>
      <c r="C75" s="114"/>
      <c r="D75" s="115"/>
      <c r="E75" s="115"/>
      <c r="F75" s="113"/>
      <c r="G75" s="113"/>
      <c r="H75" s="116"/>
      <c r="I75" s="115"/>
      <c r="J75" s="115"/>
      <c r="K75" s="113"/>
      <c r="L75" s="113"/>
      <c r="M75" s="113"/>
      <c r="N75" s="113"/>
      <c r="O75" s="113"/>
      <c r="P75" s="113"/>
      <c r="Q75" s="113"/>
      <c r="R75" s="113"/>
      <c r="S75" s="113"/>
      <c r="T75" s="115"/>
      <c r="U75" s="113"/>
      <c r="V75" s="113"/>
      <c r="W75" s="113"/>
    </row>
    <row r="76" ht="15.75" customHeight="1">
      <c r="A76" s="113"/>
      <c r="B76" s="113"/>
      <c r="C76" s="114"/>
      <c r="D76" s="115"/>
      <c r="E76" s="115"/>
      <c r="F76" s="113"/>
      <c r="G76" s="113"/>
      <c r="H76" s="116"/>
      <c r="I76" s="115"/>
      <c r="J76" s="115"/>
      <c r="K76" s="113"/>
      <c r="L76" s="113"/>
      <c r="M76" s="113"/>
      <c r="N76" s="113"/>
      <c r="O76" s="113"/>
      <c r="P76" s="113"/>
      <c r="Q76" s="113"/>
      <c r="R76" s="113"/>
      <c r="S76" s="113"/>
      <c r="T76" s="115"/>
      <c r="U76" s="113"/>
      <c r="V76" s="113"/>
      <c r="W76" s="113"/>
    </row>
    <row r="77" ht="15.75" customHeight="1">
      <c r="A77" s="113"/>
      <c r="B77" s="113"/>
      <c r="C77" s="114"/>
      <c r="D77" s="115"/>
      <c r="E77" s="115"/>
      <c r="F77" s="113"/>
      <c r="G77" s="113"/>
      <c r="H77" s="116"/>
      <c r="I77" s="115"/>
      <c r="J77" s="115"/>
      <c r="K77" s="113"/>
      <c r="L77" s="113"/>
      <c r="M77" s="113"/>
      <c r="N77" s="113"/>
      <c r="O77" s="113"/>
      <c r="P77" s="113"/>
      <c r="Q77" s="113"/>
      <c r="R77" s="113"/>
      <c r="S77" s="113"/>
      <c r="T77" s="115"/>
      <c r="U77" s="113"/>
      <c r="V77" s="113"/>
      <c r="W77" s="113"/>
    </row>
    <row r="78" ht="15.75" customHeight="1">
      <c r="A78" s="113"/>
      <c r="B78" s="113"/>
      <c r="C78" s="114"/>
      <c r="D78" s="115"/>
      <c r="E78" s="115"/>
      <c r="F78" s="113"/>
      <c r="G78" s="113"/>
      <c r="H78" s="116"/>
      <c r="I78" s="115"/>
      <c r="J78" s="115"/>
      <c r="K78" s="113"/>
      <c r="L78" s="113"/>
      <c r="M78" s="113"/>
      <c r="N78" s="113"/>
      <c r="O78" s="113"/>
      <c r="P78" s="113"/>
      <c r="Q78" s="113"/>
      <c r="R78" s="113"/>
      <c r="S78" s="113"/>
      <c r="T78" s="115"/>
      <c r="U78" s="113"/>
      <c r="V78" s="113"/>
      <c r="W78" s="113"/>
    </row>
    <row r="79" ht="15.75" customHeight="1">
      <c r="A79" s="113"/>
      <c r="B79" s="113"/>
      <c r="C79" s="114"/>
      <c r="D79" s="115"/>
      <c r="E79" s="115"/>
      <c r="F79" s="113"/>
      <c r="G79" s="113"/>
      <c r="H79" s="116"/>
      <c r="I79" s="115"/>
      <c r="J79" s="115"/>
      <c r="K79" s="113"/>
      <c r="L79" s="113"/>
      <c r="M79" s="113"/>
      <c r="N79" s="113"/>
      <c r="O79" s="113"/>
      <c r="P79" s="113"/>
      <c r="Q79" s="113"/>
      <c r="R79" s="113"/>
      <c r="S79" s="113"/>
      <c r="T79" s="115"/>
      <c r="U79" s="113"/>
      <c r="V79" s="113"/>
      <c r="W79" s="113"/>
    </row>
    <row r="80" ht="15.75" customHeight="1">
      <c r="A80" s="113"/>
      <c r="B80" s="113"/>
      <c r="C80" s="114"/>
      <c r="D80" s="115"/>
      <c r="E80" s="115"/>
      <c r="F80" s="113"/>
      <c r="G80" s="113"/>
      <c r="H80" s="116"/>
      <c r="I80" s="115"/>
      <c r="J80" s="115"/>
      <c r="K80" s="113"/>
      <c r="L80" s="113"/>
      <c r="M80" s="113"/>
      <c r="N80" s="113"/>
      <c r="O80" s="113"/>
      <c r="P80" s="113"/>
      <c r="Q80" s="113"/>
      <c r="R80" s="113"/>
      <c r="S80" s="113"/>
      <c r="T80" s="115"/>
      <c r="U80" s="113"/>
      <c r="V80" s="113"/>
      <c r="W80" s="113"/>
    </row>
    <row r="81" ht="15.75" customHeight="1">
      <c r="A81" s="113"/>
      <c r="B81" s="113"/>
      <c r="C81" s="114"/>
      <c r="D81" s="115"/>
      <c r="E81" s="115"/>
      <c r="F81" s="113"/>
      <c r="G81" s="113"/>
      <c r="H81" s="116"/>
      <c r="I81" s="115"/>
      <c r="J81" s="115"/>
      <c r="K81" s="113"/>
      <c r="L81" s="113"/>
      <c r="M81" s="113"/>
      <c r="N81" s="113"/>
      <c r="O81" s="113"/>
      <c r="P81" s="113"/>
      <c r="Q81" s="113"/>
      <c r="R81" s="113"/>
      <c r="S81" s="113"/>
      <c r="T81" s="115"/>
      <c r="U81" s="113"/>
      <c r="V81" s="113"/>
      <c r="W81" s="113"/>
    </row>
    <row r="82" ht="15.75" customHeight="1">
      <c r="A82" s="113"/>
      <c r="B82" s="113"/>
      <c r="C82" s="114"/>
      <c r="D82" s="115"/>
      <c r="E82" s="115"/>
      <c r="F82" s="113"/>
      <c r="G82" s="113"/>
      <c r="H82" s="116"/>
      <c r="I82" s="115"/>
      <c r="J82" s="115"/>
      <c r="K82" s="113"/>
      <c r="L82" s="113"/>
      <c r="M82" s="113"/>
      <c r="N82" s="113"/>
      <c r="O82" s="113"/>
      <c r="P82" s="113"/>
      <c r="Q82" s="113"/>
      <c r="R82" s="113"/>
      <c r="S82" s="113"/>
      <c r="T82" s="115"/>
      <c r="U82" s="113"/>
      <c r="V82" s="113"/>
      <c r="W82" s="113"/>
    </row>
    <row r="83" ht="15.75" customHeight="1">
      <c r="A83" s="113"/>
      <c r="B83" s="113"/>
      <c r="C83" s="114"/>
      <c r="D83" s="115"/>
      <c r="E83" s="115"/>
      <c r="F83" s="113"/>
      <c r="G83" s="113"/>
      <c r="H83" s="116"/>
      <c r="I83" s="115"/>
      <c r="J83" s="115"/>
      <c r="K83" s="113"/>
      <c r="L83" s="113"/>
      <c r="M83" s="113"/>
      <c r="N83" s="113"/>
      <c r="O83" s="113"/>
      <c r="P83" s="113"/>
      <c r="Q83" s="113"/>
      <c r="R83" s="113"/>
      <c r="S83" s="113"/>
      <c r="T83" s="115"/>
      <c r="U83" s="113"/>
      <c r="V83" s="113"/>
      <c r="W83" s="113"/>
    </row>
    <row r="84" ht="15.75" customHeight="1">
      <c r="A84" s="113"/>
      <c r="B84" s="113"/>
      <c r="C84" s="114"/>
      <c r="D84" s="115"/>
      <c r="E84" s="115"/>
      <c r="F84" s="113"/>
      <c r="G84" s="113"/>
      <c r="H84" s="116"/>
      <c r="I84" s="115"/>
      <c r="J84" s="115"/>
      <c r="K84" s="113"/>
      <c r="L84" s="113"/>
      <c r="M84" s="113"/>
      <c r="N84" s="113"/>
      <c r="O84" s="113"/>
      <c r="P84" s="113"/>
      <c r="Q84" s="113"/>
      <c r="R84" s="113"/>
      <c r="S84" s="113"/>
      <c r="T84" s="115"/>
      <c r="U84" s="113"/>
      <c r="V84" s="113"/>
      <c r="W84" s="113"/>
    </row>
    <row r="85" ht="15.75" customHeight="1">
      <c r="A85" s="113"/>
      <c r="B85" s="113"/>
      <c r="C85" s="114"/>
      <c r="D85" s="115"/>
      <c r="E85" s="115"/>
      <c r="F85" s="113"/>
      <c r="G85" s="113"/>
      <c r="H85" s="116"/>
      <c r="I85" s="115"/>
      <c r="J85" s="115"/>
      <c r="K85" s="113"/>
      <c r="L85" s="113"/>
      <c r="M85" s="113"/>
      <c r="N85" s="113"/>
      <c r="O85" s="113"/>
      <c r="P85" s="113"/>
      <c r="Q85" s="113"/>
      <c r="R85" s="113"/>
      <c r="S85" s="113"/>
      <c r="T85" s="115"/>
      <c r="U85" s="113"/>
      <c r="V85" s="113"/>
      <c r="W85" s="113"/>
    </row>
    <row r="86" ht="15.75" customHeight="1">
      <c r="A86" s="113"/>
      <c r="B86" s="113"/>
      <c r="C86" s="114"/>
      <c r="D86" s="115"/>
      <c r="E86" s="115"/>
      <c r="F86" s="113"/>
      <c r="G86" s="113"/>
      <c r="H86" s="116"/>
      <c r="I86" s="115"/>
      <c r="J86" s="115"/>
      <c r="K86" s="113"/>
      <c r="L86" s="113"/>
      <c r="M86" s="113"/>
      <c r="N86" s="113"/>
      <c r="O86" s="113"/>
      <c r="P86" s="113"/>
      <c r="Q86" s="113"/>
      <c r="R86" s="113"/>
      <c r="S86" s="113"/>
      <c r="T86" s="115"/>
      <c r="U86" s="113"/>
      <c r="V86" s="113"/>
      <c r="W86" s="113"/>
    </row>
    <row r="87" ht="15.75" customHeight="1">
      <c r="A87" s="113"/>
      <c r="B87" s="113"/>
      <c r="C87" s="114"/>
      <c r="D87" s="115"/>
      <c r="E87" s="115"/>
      <c r="F87" s="113"/>
      <c r="G87" s="113"/>
      <c r="H87" s="116"/>
      <c r="I87" s="115"/>
      <c r="J87" s="115"/>
      <c r="K87" s="113"/>
      <c r="L87" s="113"/>
      <c r="M87" s="113"/>
      <c r="N87" s="113"/>
      <c r="O87" s="113"/>
      <c r="P87" s="113"/>
      <c r="Q87" s="113"/>
      <c r="R87" s="113"/>
      <c r="S87" s="113"/>
      <c r="T87" s="115"/>
      <c r="U87" s="113"/>
      <c r="V87" s="113"/>
      <c r="W87" s="113"/>
    </row>
    <row r="88" ht="15.75" customHeight="1">
      <c r="A88" s="113"/>
      <c r="B88" s="113"/>
      <c r="C88" s="114"/>
      <c r="D88" s="115"/>
      <c r="E88" s="115"/>
      <c r="F88" s="113"/>
      <c r="G88" s="113"/>
      <c r="H88" s="116"/>
      <c r="I88" s="115"/>
      <c r="J88" s="115"/>
      <c r="K88" s="113"/>
      <c r="L88" s="113"/>
      <c r="M88" s="113"/>
      <c r="N88" s="113"/>
      <c r="O88" s="113"/>
      <c r="P88" s="113"/>
      <c r="Q88" s="113"/>
      <c r="R88" s="113"/>
      <c r="S88" s="113"/>
      <c r="T88" s="115"/>
      <c r="U88" s="113"/>
      <c r="V88" s="113"/>
      <c r="W88" s="113"/>
    </row>
    <row r="89" ht="15.75" customHeight="1">
      <c r="A89" s="113"/>
      <c r="B89" s="113"/>
      <c r="C89" s="114"/>
      <c r="D89" s="115"/>
      <c r="E89" s="115"/>
      <c r="F89" s="113"/>
      <c r="G89" s="113"/>
      <c r="H89" s="116"/>
      <c r="I89" s="115"/>
      <c r="J89" s="115"/>
      <c r="K89" s="113"/>
      <c r="L89" s="113"/>
      <c r="M89" s="113"/>
      <c r="N89" s="113"/>
      <c r="O89" s="113"/>
      <c r="P89" s="113"/>
      <c r="Q89" s="113"/>
      <c r="R89" s="113"/>
      <c r="S89" s="113"/>
      <c r="T89" s="115"/>
      <c r="U89" s="113"/>
      <c r="V89" s="113"/>
      <c r="W89" s="113"/>
    </row>
    <row r="90" ht="15.75" customHeight="1">
      <c r="A90" s="113"/>
      <c r="B90" s="113"/>
      <c r="C90" s="114"/>
      <c r="D90" s="115"/>
      <c r="E90" s="115"/>
      <c r="F90" s="113"/>
      <c r="G90" s="113"/>
      <c r="H90" s="116"/>
      <c r="I90" s="115"/>
      <c r="J90" s="115"/>
      <c r="K90" s="113"/>
      <c r="L90" s="113"/>
      <c r="M90" s="113"/>
      <c r="N90" s="113"/>
      <c r="O90" s="113"/>
      <c r="P90" s="113"/>
      <c r="Q90" s="113"/>
      <c r="R90" s="113"/>
      <c r="S90" s="113"/>
      <c r="T90" s="115"/>
      <c r="U90" s="113"/>
      <c r="V90" s="113"/>
      <c r="W90" s="113"/>
    </row>
    <row r="91" ht="15.75" customHeight="1">
      <c r="A91" s="113"/>
      <c r="B91" s="113"/>
      <c r="C91" s="114"/>
      <c r="D91" s="115"/>
      <c r="E91" s="115"/>
      <c r="F91" s="113"/>
      <c r="G91" s="113"/>
      <c r="H91" s="116"/>
      <c r="I91" s="115"/>
      <c r="J91" s="115"/>
      <c r="K91" s="113"/>
      <c r="L91" s="113"/>
      <c r="M91" s="113"/>
      <c r="N91" s="113"/>
      <c r="O91" s="113"/>
      <c r="P91" s="113"/>
      <c r="Q91" s="113"/>
      <c r="R91" s="113"/>
      <c r="S91" s="113"/>
      <c r="T91" s="115"/>
      <c r="U91" s="113"/>
      <c r="V91" s="113"/>
      <c r="W91" s="113"/>
    </row>
    <row r="92" ht="15.75" customHeight="1">
      <c r="A92" s="113"/>
      <c r="B92" s="113"/>
      <c r="C92" s="114"/>
      <c r="D92" s="115"/>
      <c r="E92" s="115"/>
      <c r="F92" s="113"/>
      <c r="G92" s="113"/>
      <c r="H92" s="116"/>
      <c r="I92" s="115"/>
      <c r="J92" s="115"/>
      <c r="K92" s="113"/>
      <c r="L92" s="113"/>
      <c r="M92" s="113"/>
      <c r="N92" s="113"/>
      <c r="O92" s="113"/>
      <c r="P92" s="113"/>
      <c r="Q92" s="113"/>
      <c r="R92" s="113"/>
      <c r="S92" s="113"/>
      <c r="T92" s="115"/>
      <c r="U92" s="113"/>
      <c r="V92" s="113"/>
      <c r="W92" s="113"/>
    </row>
    <row r="93" ht="15.75" customHeight="1">
      <c r="A93" s="113"/>
      <c r="B93" s="113"/>
      <c r="C93" s="114"/>
      <c r="D93" s="115"/>
      <c r="E93" s="115"/>
      <c r="F93" s="113"/>
      <c r="G93" s="113"/>
      <c r="H93" s="116"/>
      <c r="I93" s="115"/>
      <c r="J93" s="115"/>
      <c r="K93" s="113"/>
      <c r="L93" s="113"/>
      <c r="M93" s="113"/>
      <c r="N93" s="113"/>
      <c r="O93" s="113"/>
      <c r="P93" s="113"/>
      <c r="Q93" s="113"/>
      <c r="R93" s="113"/>
      <c r="S93" s="113"/>
      <c r="T93" s="115"/>
      <c r="U93" s="113"/>
      <c r="V93" s="113"/>
      <c r="W93" s="113"/>
    </row>
    <row r="94" ht="15.75" customHeight="1">
      <c r="A94" s="113"/>
      <c r="B94" s="113"/>
      <c r="C94" s="114"/>
      <c r="D94" s="115"/>
      <c r="E94" s="115"/>
      <c r="F94" s="113"/>
      <c r="G94" s="113"/>
      <c r="H94" s="116"/>
      <c r="I94" s="115"/>
      <c r="J94" s="115"/>
      <c r="K94" s="113"/>
      <c r="L94" s="113"/>
      <c r="M94" s="113"/>
      <c r="N94" s="113"/>
      <c r="O94" s="113"/>
      <c r="P94" s="113"/>
      <c r="Q94" s="113"/>
      <c r="R94" s="113"/>
      <c r="S94" s="113"/>
      <c r="T94" s="115"/>
      <c r="U94" s="113"/>
      <c r="V94" s="113"/>
      <c r="W94" s="113"/>
    </row>
    <row r="95" ht="15.75" customHeight="1">
      <c r="A95" s="113"/>
      <c r="B95" s="113"/>
      <c r="C95" s="114"/>
      <c r="D95" s="115"/>
      <c r="E95" s="115"/>
      <c r="F95" s="113"/>
      <c r="G95" s="113"/>
      <c r="H95" s="116"/>
      <c r="I95" s="115"/>
      <c r="J95" s="115"/>
      <c r="K95" s="113"/>
      <c r="L95" s="113"/>
      <c r="M95" s="113"/>
      <c r="N95" s="113"/>
      <c r="O95" s="113"/>
      <c r="P95" s="113"/>
      <c r="Q95" s="113"/>
      <c r="R95" s="113"/>
      <c r="S95" s="113"/>
      <c r="T95" s="115"/>
      <c r="U95" s="113"/>
      <c r="V95" s="113"/>
      <c r="W95" s="113"/>
    </row>
    <row r="96" ht="15.75" customHeight="1">
      <c r="A96" s="113"/>
      <c r="B96" s="113"/>
      <c r="C96" s="114"/>
      <c r="D96" s="115"/>
      <c r="E96" s="115"/>
      <c r="F96" s="113"/>
      <c r="G96" s="113"/>
      <c r="H96" s="116"/>
      <c r="I96" s="115"/>
      <c r="J96" s="115"/>
      <c r="K96" s="113"/>
      <c r="L96" s="113"/>
      <c r="M96" s="113"/>
      <c r="N96" s="113"/>
      <c r="O96" s="113"/>
      <c r="P96" s="113"/>
      <c r="Q96" s="113"/>
      <c r="R96" s="113"/>
      <c r="S96" s="113"/>
      <c r="T96" s="115"/>
      <c r="U96" s="113"/>
      <c r="V96" s="113"/>
      <c r="W96" s="113"/>
    </row>
    <row r="97" ht="15.75" customHeight="1">
      <c r="A97" s="113"/>
      <c r="B97" s="113"/>
      <c r="C97" s="114"/>
      <c r="D97" s="115"/>
      <c r="E97" s="115"/>
      <c r="F97" s="113"/>
      <c r="G97" s="113"/>
      <c r="H97" s="116"/>
      <c r="I97" s="115"/>
      <c r="J97" s="115"/>
      <c r="K97" s="113"/>
      <c r="L97" s="113"/>
      <c r="M97" s="113"/>
      <c r="N97" s="113"/>
      <c r="O97" s="113"/>
      <c r="P97" s="113"/>
      <c r="Q97" s="113"/>
      <c r="R97" s="113"/>
      <c r="S97" s="113"/>
      <c r="T97" s="115"/>
      <c r="U97" s="113"/>
      <c r="V97" s="113"/>
      <c r="W97" s="113"/>
    </row>
    <row r="98" ht="15.75" customHeight="1">
      <c r="A98" s="113"/>
      <c r="B98" s="113"/>
      <c r="C98" s="114"/>
      <c r="D98" s="115"/>
      <c r="E98" s="115"/>
      <c r="F98" s="113"/>
      <c r="G98" s="113"/>
      <c r="H98" s="116"/>
      <c r="I98" s="115"/>
      <c r="J98" s="115"/>
      <c r="K98" s="113"/>
      <c r="L98" s="113"/>
      <c r="M98" s="113"/>
      <c r="N98" s="113"/>
      <c r="O98" s="113"/>
      <c r="P98" s="113"/>
      <c r="Q98" s="113"/>
      <c r="R98" s="113"/>
      <c r="S98" s="113"/>
      <c r="T98" s="115"/>
      <c r="U98" s="113"/>
      <c r="V98" s="113"/>
      <c r="W98" s="113"/>
    </row>
    <row r="99" ht="15.75" customHeight="1">
      <c r="A99" s="113"/>
      <c r="B99" s="113"/>
      <c r="C99" s="114"/>
      <c r="D99" s="115"/>
      <c r="E99" s="115"/>
      <c r="F99" s="113"/>
      <c r="G99" s="113"/>
      <c r="H99" s="116"/>
      <c r="I99" s="115"/>
      <c r="J99" s="115"/>
      <c r="K99" s="113"/>
      <c r="L99" s="113"/>
      <c r="M99" s="113"/>
      <c r="N99" s="113"/>
      <c r="O99" s="113"/>
      <c r="P99" s="113"/>
      <c r="Q99" s="113"/>
      <c r="R99" s="113"/>
      <c r="S99" s="113"/>
      <c r="T99" s="115"/>
      <c r="U99" s="113"/>
      <c r="V99" s="113"/>
      <c r="W99" s="113"/>
    </row>
    <row r="100" ht="15.75" customHeight="1">
      <c r="A100" s="113"/>
      <c r="B100" s="113"/>
      <c r="C100" s="114"/>
      <c r="D100" s="115"/>
      <c r="E100" s="115"/>
      <c r="F100" s="113"/>
      <c r="G100" s="113"/>
      <c r="H100" s="116"/>
      <c r="I100" s="115"/>
      <c r="J100" s="115"/>
      <c r="K100" s="113"/>
      <c r="L100" s="113"/>
      <c r="M100" s="113"/>
      <c r="N100" s="113"/>
      <c r="O100" s="113"/>
      <c r="P100" s="113"/>
      <c r="Q100" s="113"/>
      <c r="R100" s="113"/>
      <c r="S100" s="113"/>
      <c r="T100" s="115"/>
      <c r="U100" s="113"/>
      <c r="V100" s="113"/>
      <c r="W100" s="113"/>
    </row>
    <row r="101" ht="15.75" customHeight="1">
      <c r="A101" s="113"/>
      <c r="B101" s="113"/>
      <c r="C101" s="114"/>
      <c r="D101" s="115"/>
      <c r="E101" s="115"/>
      <c r="F101" s="113"/>
      <c r="G101" s="113"/>
      <c r="H101" s="116"/>
      <c r="I101" s="115"/>
      <c r="J101" s="115"/>
      <c r="K101" s="113"/>
      <c r="L101" s="113"/>
      <c r="M101" s="113"/>
      <c r="N101" s="113"/>
      <c r="O101" s="113"/>
      <c r="P101" s="113"/>
      <c r="Q101" s="113"/>
      <c r="R101" s="113"/>
      <c r="S101" s="113"/>
      <c r="T101" s="115"/>
      <c r="U101" s="113"/>
      <c r="V101" s="113"/>
      <c r="W101" s="113"/>
    </row>
    <row r="102" ht="15.75" customHeight="1">
      <c r="A102" s="113"/>
      <c r="B102" s="113"/>
      <c r="C102" s="114"/>
      <c r="D102" s="115"/>
      <c r="E102" s="115"/>
      <c r="F102" s="113"/>
      <c r="G102" s="113"/>
      <c r="H102" s="116"/>
      <c r="I102" s="115"/>
      <c r="J102" s="115"/>
      <c r="K102" s="113"/>
      <c r="L102" s="113"/>
      <c r="M102" s="113"/>
      <c r="N102" s="113"/>
      <c r="O102" s="113"/>
      <c r="P102" s="113"/>
      <c r="Q102" s="113"/>
      <c r="R102" s="113"/>
      <c r="S102" s="113"/>
      <c r="T102" s="115"/>
      <c r="U102" s="113"/>
      <c r="V102" s="113"/>
      <c r="W102" s="113"/>
    </row>
    <row r="103" ht="15.75" customHeight="1">
      <c r="A103" s="113"/>
      <c r="B103" s="113"/>
      <c r="C103" s="114"/>
      <c r="D103" s="115"/>
      <c r="E103" s="115"/>
      <c r="F103" s="113"/>
      <c r="G103" s="113"/>
      <c r="H103" s="116"/>
      <c r="I103" s="115"/>
      <c r="J103" s="115"/>
      <c r="K103" s="113"/>
      <c r="L103" s="113"/>
      <c r="M103" s="113"/>
      <c r="N103" s="113"/>
      <c r="O103" s="113"/>
      <c r="P103" s="113"/>
      <c r="Q103" s="113"/>
      <c r="R103" s="113"/>
      <c r="S103" s="113"/>
      <c r="T103" s="115"/>
      <c r="U103" s="113"/>
      <c r="V103" s="113"/>
      <c r="W103" s="113"/>
    </row>
    <row r="104" ht="15.75" customHeight="1">
      <c r="A104" s="113"/>
      <c r="B104" s="113"/>
      <c r="C104" s="114"/>
      <c r="D104" s="115"/>
      <c r="E104" s="115"/>
      <c r="F104" s="113"/>
      <c r="G104" s="113"/>
      <c r="H104" s="116"/>
      <c r="I104" s="115"/>
      <c r="J104" s="115"/>
      <c r="K104" s="113"/>
      <c r="L104" s="113"/>
      <c r="M104" s="113"/>
      <c r="N104" s="113"/>
      <c r="O104" s="113"/>
      <c r="P104" s="113"/>
      <c r="Q104" s="113"/>
      <c r="R104" s="113"/>
      <c r="S104" s="113"/>
      <c r="T104" s="115"/>
      <c r="U104" s="113"/>
      <c r="V104" s="113"/>
      <c r="W104" s="113"/>
    </row>
    <row r="105" ht="15.75" customHeight="1">
      <c r="A105" s="113"/>
      <c r="B105" s="113"/>
      <c r="C105" s="114"/>
      <c r="D105" s="115"/>
      <c r="E105" s="115"/>
      <c r="F105" s="113"/>
      <c r="G105" s="113"/>
      <c r="H105" s="116"/>
      <c r="I105" s="115"/>
      <c r="J105" s="115"/>
      <c r="K105" s="113"/>
      <c r="L105" s="113"/>
      <c r="M105" s="113"/>
      <c r="N105" s="113"/>
      <c r="O105" s="113"/>
      <c r="P105" s="113"/>
      <c r="Q105" s="113"/>
      <c r="R105" s="113"/>
      <c r="S105" s="113"/>
      <c r="T105" s="115"/>
      <c r="U105" s="113"/>
      <c r="V105" s="113"/>
      <c r="W105" s="113"/>
    </row>
    <row r="106" ht="15.75" customHeight="1">
      <c r="A106" s="113"/>
      <c r="B106" s="113"/>
      <c r="C106" s="114"/>
      <c r="D106" s="115"/>
      <c r="E106" s="115"/>
      <c r="F106" s="113"/>
      <c r="G106" s="113"/>
      <c r="H106" s="116"/>
      <c r="I106" s="115"/>
      <c r="J106" s="115"/>
      <c r="K106" s="113"/>
      <c r="L106" s="113"/>
      <c r="M106" s="113"/>
      <c r="N106" s="113"/>
      <c r="O106" s="113"/>
      <c r="P106" s="113"/>
      <c r="Q106" s="113"/>
      <c r="R106" s="113"/>
      <c r="S106" s="113"/>
      <c r="T106" s="115"/>
      <c r="U106" s="113"/>
      <c r="V106" s="113"/>
      <c r="W106" s="113"/>
    </row>
    <row r="107" ht="15.75" customHeight="1">
      <c r="A107" s="113"/>
      <c r="B107" s="113"/>
      <c r="C107" s="114"/>
      <c r="D107" s="115"/>
      <c r="E107" s="115"/>
      <c r="F107" s="113"/>
      <c r="G107" s="113"/>
      <c r="H107" s="116"/>
      <c r="I107" s="115"/>
      <c r="J107" s="115"/>
      <c r="K107" s="113"/>
      <c r="L107" s="113"/>
      <c r="M107" s="113"/>
      <c r="N107" s="113"/>
      <c r="O107" s="113"/>
      <c r="P107" s="113"/>
      <c r="Q107" s="113"/>
      <c r="R107" s="113"/>
      <c r="S107" s="113"/>
      <c r="T107" s="115"/>
      <c r="U107" s="113"/>
      <c r="V107" s="113"/>
      <c r="W107" s="113"/>
    </row>
    <row r="108" ht="15.75" customHeight="1">
      <c r="A108" s="113"/>
      <c r="B108" s="113"/>
      <c r="C108" s="114"/>
      <c r="D108" s="115"/>
      <c r="E108" s="115"/>
      <c r="F108" s="113"/>
      <c r="G108" s="113"/>
      <c r="H108" s="116"/>
      <c r="I108" s="115"/>
      <c r="J108" s="115"/>
      <c r="K108" s="113"/>
      <c r="L108" s="113"/>
      <c r="M108" s="113"/>
      <c r="N108" s="113"/>
      <c r="O108" s="113"/>
      <c r="P108" s="113"/>
      <c r="Q108" s="113"/>
      <c r="R108" s="113"/>
      <c r="S108" s="113"/>
      <c r="T108" s="115"/>
      <c r="U108" s="113"/>
      <c r="V108" s="113"/>
      <c r="W108" s="113"/>
    </row>
    <row r="109" ht="15.75" customHeight="1">
      <c r="A109" s="113"/>
      <c r="B109" s="113"/>
      <c r="C109" s="114"/>
      <c r="D109" s="115"/>
      <c r="E109" s="115"/>
      <c r="F109" s="113"/>
      <c r="G109" s="113"/>
      <c r="H109" s="116"/>
      <c r="I109" s="115"/>
      <c r="J109" s="115"/>
      <c r="K109" s="113"/>
      <c r="L109" s="113"/>
      <c r="M109" s="113"/>
      <c r="N109" s="113"/>
      <c r="O109" s="113"/>
      <c r="P109" s="113"/>
      <c r="Q109" s="113"/>
      <c r="R109" s="113"/>
      <c r="S109" s="113"/>
      <c r="T109" s="115"/>
      <c r="U109" s="113"/>
      <c r="V109" s="113"/>
      <c r="W109" s="113"/>
    </row>
    <row r="110" ht="15.75" customHeight="1">
      <c r="A110" s="113"/>
      <c r="B110" s="113"/>
      <c r="C110" s="114"/>
      <c r="D110" s="115"/>
      <c r="E110" s="115"/>
      <c r="F110" s="113"/>
      <c r="G110" s="113"/>
      <c r="H110" s="116"/>
      <c r="I110" s="115"/>
      <c r="J110" s="115"/>
      <c r="K110" s="113"/>
      <c r="L110" s="113"/>
      <c r="M110" s="113"/>
      <c r="N110" s="113"/>
      <c r="O110" s="113"/>
      <c r="P110" s="113"/>
      <c r="Q110" s="113"/>
      <c r="R110" s="113"/>
      <c r="S110" s="113"/>
      <c r="T110" s="115"/>
      <c r="U110" s="113"/>
      <c r="V110" s="113"/>
      <c r="W110" s="113"/>
    </row>
    <row r="111" ht="15.75" customHeight="1">
      <c r="A111" s="113"/>
      <c r="B111" s="113"/>
      <c r="C111" s="114"/>
      <c r="D111" s="115"/>
      <c r="E111" s="115"/>
      <c r="F111" s="113"/>
      <c r="G111" s="113"/>
      <c r="H111" s="116"/>
      <c r="I111" s="115"/>
      <c r="J111" s="115"/>
      <c r="K111" s="113"/>
      <c r="L111" s="113"/>
      <c r="M111" s="113"/>
      <c r="N111" s="113"/>
      <c r="O111" s="113"/>
      <c r="P111" s="113"/>
      <c r="Q111" s="113"/>
      <c r="R111" s="113"/>
      <c r="S111" s="113"/>
      <c r="T111" s="115"/>
      <c r="U111" s="113"/>
      <c r="V111" s="113"/>
      <c r="W111" s="113"/>
    </row>
    <row r="112" ht="15.75" customHeight="1">
      <c r="A112" s="113"/>
      <c r="B112" s="113"/>
      <c r="C112" s="114"/>
      <c r="D112" s="115"/>
      <c r="E112" s="115"/>
      <c r="F112" s="113"/>
      <c r="G112" s="113"/>
      <c r="H112" s="116"/>
      <c r="I112" s="115"/>
      <c r="J112" s="115"/>
      <c r="K112" s="113"/>
      <c r="L112" s="113"/>
      <c r="M112" s="113"/>
      <c r="N112" s="113"/>
      <c r="O112" s="113"/>
      <c r="P112" s="113"/>
      <c r="Q112" s="113"/>
      <c r="R112" s="113"/>
      <c r="S112" s="113"/>
      <c r="T112" s="115"/>
      <c r="U112" s="113"/>
      <c r="V112" s="113"/>
      <c r="W112" s="113"/>
    </row>
    <row r="113" ht="15.75" customHeight="1">
      <c r="A113" s="113"/>
      <c r="B113" s="113"/>
      <c r="C113" s="114"/>
      <c r="D113" s="115"/>
      <c r="E113" s="115"/>
      <c r="F113" s="113"/>
      <c r="G113" s="113"/>
      <c r="H113" s="116"/>
      <c r="I113" s="115"/>
      <c r="J113" s="115"/>
      <c r="K113" s="113"/>
      <c r="L113" s="113"/>
      <c r="M113" s="113"/>
      <c r="N113" s="113"/>
      <c r="O113" s="113"/>
      <c r="P113" s="113"/>
      <c r="Q113" s="113"/>
      <c r="R113" s="113"/>
      <c r="S113" s="113"/>
      <c r="T113" s="115"/>
      <c r="U113" s="113"/>
      <c r="V113" s="113"/>
      <c r="W113" s="113"/>
    </row>
    <row r="114" ht="15.75" customHeight="1">
      <c r="A114" s="113"/>
      <c r="B114" s="113"/>
      <c r="C114" s="114"/>
      <c r="D114" s="115"/>
      <c r="E114" s="115"/>
      <c r="F114" s="113"/>
      <c r="G114" s="113"/>
      <c r="H114" s="116"/>
      <c r="I114" s="115"/>
      <c r="J114" s="115"/>
      <c r="K114" s="113"/>
      <c r="L114" s="113"/>
      <c r="M114" s="113"/>
      <c r="N114" s="113"/>
      <c r="O114" s="113"/>
      <c r="P114" s="113"/>
      <c r="Q114" s="113"/>
      <c r="R114" s="113"/>
      <c r="S114" s="113"/>
      <c r="T114" s="115"/>
      <c r="U114" s="113"/>
      <c r="V114" s="113"/>
      <c r="W114" s="113"/>
    </row>
    <row r="115" ht="15.75" customHeight="1">
      <c r="A115" s="113"/>
      <c r="B115" s="113"/>
      <c r="C115" s="114"/>
      <c r="D115" s="115"/>
      <c r="E115" s="115"/>
      <c r="F115" s="113"/>
      <c r="G115" s="113"/>
      <c r="H115" s="116"/>
      <c r="I115" s="115"/>
      <c r="J115" s="115"/>
      <c r="K115" s="113"/>
      <c r="L115" s="113"/>
      <c r="M115" s="113"/>
      <c r="N115" s="113"/>
      <c r="O115" s="113"/>
      <c r="P115" s="113"/>
      <c r="Q115" s="113"/>
      <c r="R115" s="113"/>
      <c r="S115" s="113"/>
      <c r="T115" s="115"/>
      <c r="U115" s="113"/>
      <c r="V115" s="113"/>
      <c r="W115" s="113"/>
    </row>
    <row r="116" ht="15.75" customHeight="1">
      <c r="A116" s="113"/>
      <c r="B116" s="113"/>
      <c r="C116" s="114"/>
      <c r="D116" s="115"/>
      <c r="E116" s="115"/>
      <c r="F116" s="113"/>
      <c r="G116" s="113"/>
      <c r="H116" s="116"/>
      <c r="I116" s="115"/>
      <c r="J116" s="115"/>
      <c r="K116" s="113"/>
      <c r="L116" s="113"/>
      <c r="M116" s="113"/>
      <c r="N116" s="113"/>
      <c r="O116" s="113"/>
      <c r="P116" s="113"/>
      <c r="Q116" s="113"/>
      <c r="R116" s="113"/>
      <c r="S116" s="113"/>
      <c r="T116" s="115"/>
      <c r="U116" s="113"/>
      <c r="V116" s="113"/>
      <c r="W116" s="113"/>
    </row>
    <row r="117" ht="15.75" customHeight="1">
      <c r="A117" s="113"/>
      <c r="B117" s="113"/>
      <c r="C117" s="114"/>
      <c r="D117" s="115"/>
      <c r="E117" s="115"/>
      <c r="F117" s="113"/>
      <c r="G117" s="113"/>
      <c r="H117" s="116"/>
      <c r="I117" s="115"/>
      <c r="J117" s="115"/>
      <c r="K117" s="113"/>
      <c r="L117" s="113"/>
      <c r="M117" s="113"/>
      <c r="N117" s="113"/>
      <c r="O117" s="113"/>
      <c r="P117" s="113"/>
      <c r="Q117" s="113"/>
      <c r="R117" s="113"/>
      <c r="S117" s="113"/>
      <c r="T117" s="115"/>
      <c r="U117" s="113"/>
      <c r="V117" s="113"/>
      <c r="W117" s="113"/>
    </row>
    <row r="118" ht="15.75" customHeight="1">
      <c r="A118" s="113"/>
      <c r="B118" s="113"/>
      <c r="C118" s="114"/>
      <c r="D118" s="115"/>
      <c r="E118" s="115"/>
      <c r="F118" s="113"/>
      <c r="G118" s="113"/>
      <c r="H118" s="116"/>
      <c r="I118" s="115"/>
      <c r="J118" s="115"/>
      <c r="K118" s="113"/>
      <c r="L118" s="113"/>
      <c r="M118" s="113"/>
      <c r="N118" s="113"/>
      <c r="O118" s="113"/>
      <c r="P118" s="113"/>
      <c r="Q118" s="113"/>
      <c r="R118" s="113"/>
      <c r="S118" s="113"/>
      <c r="T118" s="115"/>
      <c r="U118" s="113"/>
      <c r="V118" s="113"/>
      <c r="W118" s="113"/>
    </row>
    <row r="119" ht="15.75" customHeight="1">
      <c r="A119" s="113"/>
      <c r="B119" s="113"/>
      <c r="C119" s="114"/>
      <c r="D119" s="115"/>
      <c r="E119" s="115"/>
      <c r="F119" s="113"/>
      <c r="G119" s="113"/>
      <c r="H119" s="116"/>
      <c r="I119" s="115"/>
      <c r="J119" s="115"/>
      <c r="K119" s="113"/>
      <c r="L119" s="113"/>
      <c r="M119" s="113"/>
      <c r="N119" s="113"/>
      <c r="O119" s="113"/>
      <c r="P119" s="113"/>
      <c r="Q119" s="113"/>
      <c r="R119" s="113"/>
      <c r="S119" s="113"/>
      <c r="T119" s="115"/>
      <c r="U119" s="113"/>
      <c r="V119" s="113"/>
      <c r="W119" s="113"/>
    </row>
    <row r="120" ht="15.75" customHeight="1">
      <c r="A120" s="113"/>
      <c r="B120" s="113"/>
      <c r="C120" s="114"/>
      <c r="D120" s="115"/>
      <c r="E120" s="115"/>
      <c r="F120" s="113"/>
      <c r="G120" s="113"/>
      <c r="H120" s="116"/>
      <c r="I120" s="115"/>
      <c r="J120" s="115"/>
      <c r="K120" s="113"/>
      <c r="L120" s="113"/>
      <c r="M120" s="113"/>
      <c r="N120" s="113"/>
      <c r="O120" s="113"/>
      <c r="P120" s="113"/>
      <c r="Q120" s="113"/>
      <c r="R120" s="113"/>
      <c r="S120" s="113"/>
      <c r="T120" s="115"/>
      <c r="U120" s="113"/>
      <c r="V120" s="113"/>
      <c r="W120" s="113"/>
    </row>
    <row r="121" ht="15.75" customHeight="1">
      <c r="A121" s="113"/>
      <c r="B121" s="113"/>
      <c r="C121" s="114"/>
      <c r="D121" s="115"/>
      <c r="E121" s="115"/>
      <c r="F121" s="113"/>
      <c r="G121" s="113"/>
      <c r="H121" s="116"/>
      <c r="I121" s="115"/>
      <c r="J121" s="115"/>
      <c r="K121" s="113"/>
      <c r="L121" s="113"/>
      <c r="M121" s="113"/>
      <c r="N121" s="113"/>
      <c r="O121" s="113"/>
      <c r="P121" s="113"/>
      <c r="Q121" s="113"/>
      <c r="R121" s="113"/>
      <c r="S121" s="113"/>
      <c r="T121" s="115"/>
      <c r="U121" s="113"/>
      <c r="V121" s="113"/>
      <c r="W121" s="113"/>
    </row>
    <row r="122" ht="15.75" customHeight="1">
      <c r="A122" s="113"/>
      <c r="B122" s="113"/>
      <c r="C122" s="114"/>
      <c r="D122" s="115"/>
      <c r="E122" s="115"/>
      <c r="F122" s="113"/>
      <c r="G122" s="113"/>
      <c r="H122" s="116"/>
      <c r="I122" s="115"/>
      <c r="J122" s="115"/>
      <c r="K122" s="113"/>
      <c r="L122" s="113"/>
      <c r="M122" s="113"/>
      <c r="N122" s="113"/>
      <c r="O122" s="113"/>
      <c r="P122" s="113"/>
      <c r="Q122" s="113"/>
      <c r="R122" s="113"/>
      <c r="S122" s="113"/>
      <c r="T122" s="115"/>
      <c r="U122" s="113"/>
      <c r="V122" s="113"/>
      <c r="W122" s="113"/>
    </row>
    <row r="123" ht="15.75" customHeight="1">
      <c r="A123" s="113"/>
      <c r="B123" s="113"/>
      <c r="C123" s="114"/>
      <c r="D123" s="115"/>
      <c r="E123" s="115"/>
      <c r="F123" s="113"/>
      <c r="G123" s="113"/>
      <c r="H123" s="116"/>
      <c r="I123" s="115"/>
      <c r="J123" s="115"/>
      <c r="K123" s="113"/>
      <c r="L123" s="113"/>
      <c r="M123" s="113"/>
      <c r="N123" s="113"/>
      <c r="O123" s="113"/>
      <c r="P123" s="113"/>
      <c r="Q123" s="113"/>
      <c r="R123" s="113"/>
      <c r="S123" s="113"/>
      <c r="T123" s="115"/>
      <c r="U123" s="113"/>
      <c r="V123" s="113"/>
      <c r="W123" s="113"/>
    </row>
    <row r="124" ht="15.75" customHeight="1">
      <c r="A124" s="113"/>
      <c r="B124" s="113"/>
      <c r="C124" s="114"/>
      <c r="D124" s="115"/>
      <c r="E124" s="115"/>
      <c r="F124" s="113"/>
      <c r="G124" s="113"/>
      <c r="H124" s="116"/>
      <c r="I124" s="115"/>
      <c r="J124" s="115"/>
      <c r="K124" s="113"/>
      <c r="L124" s="113"/>
      <c r="M124" s="113"/>
      <c r="N124" s="113"/>
      <c r="O124" s="113"/>
      <c r="P124" s="113"/>
      <c r="Q124" s="113"/>
      <c r="R124" s="113"/>
      <c r="S124" s="113"/>
      <c r="T124" s="115"/>
      <c r="U124" s="113"/>
      <c r="V124" s="113"/>
      <c r="W124" s="113"/>
    </row>
    <row r="125" ht="15.75" customHeight="1">
      <c r="A125" s="113"/>
      <c r="B125" s="113"/>
      <c r="C125" s="114"/>
      <c r="D125" s="115"/>
      <c r="E125" s="115"/>
      <c r="F125" s="113"/>
      <c r="G125" s="113"/>
      <c r="H125" s="116"/>
      <c r="I125" s="115"/>
      <c r="J125" s="115"/>
      <c r="K125" s="113"/>
      <c r="L125" s="113"/>
      <c r="M125" s="113"/>
      <c r="N125" s="113"/>
      <c r="O125" s="113"/>
      <c r="P125" s="113"/>
      <c r="Q125" s="113"/>
      <c r="R125" s="113"/>
      <c r="S125" s="113"/>
      <c r="T125" s="115"/>
      <c r="U125" s="113"/>
      <c r="V125" s="113"/>
      <c r="W125" s="113"/>
    </row>
    <row r="126" ht="15.75" customHeight="1">
      <c r="A126" s="113"/>
      <c r="B126" s="113"/>
      <c r="C126" s="114"/>
      <c r="D126" s="115"/>
      <c r="E126" s="115"/>
      <c r="F126" s="113"/>
      <c r="G126" s="113"/>
      <c r="H126" s="116"/>
      <c r="I126" s="115"/>
      <c r="J126" s="115"/>
      <c r="K126" s="113"/>
      <c r="L126" s="113"/>
      <c r="M126" s="113"/>
      <c r="N126" s="113"/>
      <c r="O126" s="113"/>
      <c r="P126" s="113"/>
      <c r="Q126" s="113"/>
      <c r="R126" s="113"/>
      <c r="S126" s="113"/>
      <c r="T126" s="115"/>
      <c r="U126" s="113"/>
      <c r="V126" s="113"/>
      <c r="W126" s="113"/>
    </row>
    <row r="127" ht="15.75" customHeight="1">
      <c r="A127" s="113"/>
      <c r="B127" s="113"/>
      <c r="C127" s="114"/>
      <c r="D127" s="115"/>
      <c r="E127" s="115"/>
      <c r="F127" s="113"/>
      <c r="G127" s="113"/>
      <c r="H127" s="116"/>
      <c r="I127" s="115"/>
      <c r="J127" s="115"/>
      <c r="K127" s="113"/>
      <c r="L127" s="113"/>
      <c r="M127" s="113"/>
      <c r="N127" s="113"/>
      <c r="O127" s="113"/>
      <c r="P127" s="113"/>
      <c r="Q127" s="113"/>
      <c r="R127" s="113"/>
      <c r="S127" s="113"/>
      <c r="T127" s="115"/>
      <c r="U127" s="113"/>
      <c r="V127" s="113"/>
      <c r="W127" s="113"/>
    </row>
    <row r="128" ht="15.75" customHeight="1">
      <c r="A128" s="113"/>
      <c r="B128" s="113"/>
      <c r="C128" s="114"/>
      <c r="D128" s="115"/>
      <c r="E128" s="115"/>
      <c r="F128" s="113"/>
      <c r="G128" s="113"/>
      <c r="H128" s="116"/>
      <c r="I128" s="115"/>
      <c r="J128" s="115"/>
      <c r="K128" s="113"/>
      <c r="L128" s="113"/>
      <c r="M128" s="113"/>
      <c r="N128" s="113"/>
      <c r="O128" s="113"/>
      <c r="P128" s="113"/>
      <c r="Q128" s="113"/>
      <c r="R128" s="113"/>
      <c r="S128" s="113"/>
      <c r="T128" s="115"/>
      <c r="U128" s="113"/>
      <c r="V128" s="113"/>
      <c r="W128" s="113"/>
    </row>
    <row r="129" ht="15.75" customHeight="1">
      <c r="A129" s="113"/>
      <c r="B129" s="113"/>
      <c r="C129" s="114"/>
      <c r="D129" s="115"/>
      <c r="E129" s="115"/>
      <c r="F129" s="113"/>
      <c r="G129" s="113"/>
      <c r="H129" s="116"/>
      <c r="I129" s="115"/>
      <c r="J129" s="115"/>
      <c r="K129" s="113"/>
      <c r="L129" s="113"/>
      <c r="M129" s="113"/>
      <c r="N129" s="113"/>
      <c r="O129" s="113"/>
      <c r="P129" s="113"/>
      <c r="Q129" s="113"/>
      <c r="R129" s="113"/>
      <c r="S129" s="113"/>
      <c r="T129" s="115"/>
      <c r="U129" s="113"/>
      <c r="V129" s="113"/>
      <c r="W129" s="113"/>
    </row>
    <row r="130" ht="15.75" customHeight="1">
      <c r="A130" s="113"/>
      <c r="B130" s="113"/>
      <c r="C130" s="114"/>
      <c r="D130" s="115"/>
      <c r="E130" s="115"/>
      <c r="F130" s="113"/>
      <c r="G130" s="113"/>
      <c r="H130" s="116"/>
      <c r="I130" s="115"/>
      <c r="J130" s="115"/>
      <c r="K130" s="113"/>
      <c r="L130" s="113"/>
      <c r="M130" s="113"/>
      <c r="N130" s="113"/>
      <c r="O130" s="113"/>
      <c r="P130" s="113"/>
      <c r="Q130" s="113"/>
      <c r="R130" s="113"/>
      <c r="S130" s="113"/>
      <c r="T130" s="115"/>
      <c r="U130" s="113"/>
      <c r="V130" s="113"/>
      <c r="W130" s="113"/>
    </row>
    <row r="131" ht="15.75" customHeight="1">
      <c r="A131" s="113"/>
      <c r="B131" s="113"/>
      <c r="C131" s="114"/>
      <c r="D131" s="115"/>
      <c r="E131" s="115"/>
      <c r="F131" s="113"/>
      <c r="G131" s="113"/>
      <c r="H131" s="116"/>
      <c r="I131" s="115"/>
      <c r="J131" s="115"/>
      <c r="K131" s="113"/>
      <c r="L131" s="113"/>
      <c r="M131" s="113"/>
      <c r="N131" s="113"/>
      <c r="O131" s="113"/>
      <c r="P131" s="113"/>
      <c r="Q131" s="113"/>
      <c r="R131" s="113"/>
      <c r="S131" s="113"/>
      <c r="T131" s="115"/>
      <c r="U131" s="113"/>
      <c r="V131" s="113"/>
      <c r="W131" s="113"/>
    </row>
    <row r="132" ht="15.75" customHeight="1">
      <c r="A132" s="113"/>
      <c r="B132" s="113"/>
      <c r="C132" s="114"/>
      <c r="D132" s="115"/>
      <c r="E132" s="115"/>
      <c r="F132" s="113"/>
      <c r="G132" s="113"/>
      <c r="H132" s="116"/>
      <c r="I132" s="115"/>
      <c r="J132" s="115"/>
      <c r="K132" s="113"/>
      <c r="L132" s="113"/>
      <c r="M132" s="113"/>
      <c r="N132" s="113"/>
      <c r="O132" s="113"/>
      <c r="P132" s="113"/>
      <c r="Q132" s="113"/>
      <c r="R132" s="113"/>
      <c r="S132" s="113"/>
      <c r="T132" s="115"/>
      <c r="U132" s="113"/>
      <c r="V132" s="113"/>
      <c r="W132" s="113"/>
    </row>
    <row r="133" ht="15.75" customHeight="1">
      <c r="A133" s="113"/>
      <c r="B133" s="113"/>
      <c r="C133" s="114"/>
      <c r="D133" s="115"/>
      <c r="E133" s="115"/>
      <c r="F133" s="113"/>
      <c r="G133" s="113"/>
      <c r="H133" s="116"/>
      <c r="I133" s="115"/>
      <c r="J133" s="115"/>
      <c r="K133" s="113"/>
      <c r="L133" s="113"/>
      <c r="M133" s="113"/>
      <c r="N133" s="113"/>
      <c r="O133" s="113"/>
      <c r="P133" s="113"/>
      <c r="Q133" s="113"/>
      <c r="R133" s="113"/>
      <c r="S133" s="113"/>
      <c r="T133" s="115"/>
      <c r="U133" s="113"/>
      <c r="V133" s="113"/>
      <c r="W133" s="113"/>
    </row>
    <row r="134" ht="15.75" customHeight="1">
      <c r="A134" s="113"/>
      <c r="B134" s="113"/>
      <c r="C134" s="114"/>
      <c r="D134" s="115"/>
      <c r="E134" s="115"/>
      <c r="F134" s="113"/>
      <c r="G134" s="113"/>
      <c r="H134" s="116"/>
      <c r="I134" s="115"/>
      <c r="J134" s="115"/>
      <c r="K134" s="113"/>
      <c r="L134" s="113"/>
      <c r="M134" s="113"/>
      <c r="N134" s="113"/>
      <c r="O134" s="113"/>
      <c r="P134" s="113"/>
      <c r="Q134" s="113"/>
      <c r="R134" s="113"/>
      <c r="S134" s="113"/>
      <c r="T134" s="115"/>
      <c r="U134" s="113"/>
      <c r="V134" s="113"/>
      <c r="W134" s="113"/>
    </row>
    <row r="135" ht="15.75" customHeight="1">
      <c r="A135" s="113"/>
      <c r="B135" s="113"/>
      <c r="C135" s="114"/>
      <c r="D135" s="115"/>
      <c r="E135" s="115"/>
      <c r="F135" s="113"/>
      <c r="G135" s="113"/>
      <c r="H135" s="116"/>
      <c r="I135" s="115"/>
      <c r="J135" s="115"/>
      <c r="K135" s="113"/>
      <c r="L135" s="113"/>
      <c r="M135" s="113"/>
      <c r="N135" s="113"/>
      <c r="O135" s="113"/>
      <c r="P135" s="113"/>
      <c r="Q135" s="113"/>
      <c r="R135" s="113"/>
      <c r="S135" s="113"/>
      <c r="T135" s="115"/>
      <c r="U135" s="113"/>
      <c r="V135" s="113"/>
      <c r="W135" s="113"/>
    </row>
    <row r="136" ht="15.75" customHeight="1">
      <c r="A136" s="113"/>
      <c r="B136" s="113"/>
      <c r="C136" s="114"/>
      <c r="D136" s="115"/>
      <c r="E136" s="115"/>
      <c r="F136" s="113"/>
      <c r="G136" s="113"/>
      <c r="H136" s="116"/>
      <c r="I136" s="115"/>
      <c r="J136" s="115"/>
      <c r="K136" s="113"/>
      <c r="L136" s="113"/>
      <c r="M136" s="113"/>
      <c r="N136" s="113"/>
      <c r="O136" s="113"/>
      <c r="P136" s="113"/>
      <c r="Q136" s="113"/>
      <c r="R136" s="113"/>
      <c r="S136" s="113"/>
      <c r="T136" s="115"/>
      <c r="U136" s="113"/>
      <c r="V136" s="113"/>
      <c r="W136" s="113"/>
    </row>
    <row r="137" ht="15.75" customHeight="1">
      <c r="A137" s="113"/>
      <c r="B137" s="113"/>
      <c r="C137" s="114"/>
      <c r="D137" s="115"/>
      <c r="E137" s="115"/>
      <c r="F137" s="113"/>
      <c r="G137" s="113"/>
      <c r="H137" s="116"/>
      <c r="I137" s="115"/>
      <c r="J137" s="115"/>
      <c r="K137" s="113"/>
      <c r="L137" s="113"/>
      <c r="M137" s="113"/>
      <c r="N137" s="113"/>
      <c r="O137" s="113"/>
      <c r="P137" s="113"/>
      <c r="Q137" s="113"/>
      <c r="R137" s="113"/>
      <c r="S137" s="113"/>
      <c r="T137" s="115"/>
      <c r="U137" s="113"/>
      <c r="V137" s="113"/>
      <c r="W137" s="113"/>
    </row>
    <row r="138" ht="15.75" customHeight="1">
      <c r="A138" s="113"/>
      <c r="B138" s="113"/>
      <c r="C138" s="114"/>
      <c r="D138" s="115"/>
      <c r="E138" s="115"/>
      <c r="F138" s="113"/>
      <c r="G138" s="113"/>
      <c r="H138" s="116"/>
      <c r="I138" s="115"/>
      <c r="J138" s="115"/>
      <c r="K138" s="113"/>
      <c r="L138" s="113"/>
      <c r="M138" s="113"/>
      <c r="N138" s="113"/>
      <c r="O138" s="113"/>
      <c r="P138" s="113"/>
      <c r="Q138" s="113"/>
      <c r="R138" s="113"/>
      <c r="S138" s="113"/>
      <c r="T138" s="115"/>
      <c r="U138" s="113"/>
      <c r="V138" s="113"/>
      <c r="W138" s="113"/>
    </row>
    <row r="139" ht="15.75" customHeight="1">
      <c r="A139" s="113"/>
      <c r="B139" s="113"/>
      <c r="C139" s="114"/>
      <c r="D139" s="115"/>
      <c r="E139" s="115"/>
      <c r="F139" s="113"/>
      <c r="G139" s="113"/>
      <c r="H139" s="116"/>
      <c r="I139" s="115"/>
      <c r="J139" s="115"/>
      <c r="K139" s="113"/>
      <c r="L139" s="113"/>
      <c r="M139" s="113"/>
      <c r="N139" s="113"/>
      <c r="O139" s="113"/>
      <c r="P139" s="113"/>
      <c r="Q139" s="113"/>
      <c r="R139" s="113"/>
      <c r="S139" s="113"/>
      <c r="T139" s="115"/>
      <c r="U139" s="113"/>
      <c r="V139" s="113"/>
      <c r="W139" s="113"/>
    </row>
    <row r="140" ht="15.75" customHeight="1">
      <c r="A140" s="113"/>
      <c r="B140" s="113"/>
      <c r="C140" s="114"/>
      <c r="D140" s="115"/>
      <c r="E140" s="115"/>
      <c r="F140" s="113"/>
      <c r="G140" s="113"/>
      <c r="H140" s="116"/>
      <c r="I140" s="115"/>
      <c r="J140" s="115"/>
      <c r="K140" s="113"/>
      <c r="L140" s="113"/>
      <c r="M140" s="113"/>
      <c r="N140" s="113"/>
      <c r="O140" s="113"/>
      <c r="P140" s="113"/>
      <c r="Q140" s="113"/>
      <c r="R140" s="113"/>
      <c r="S140" s="113"/>
      <c r="T140" s="115"/>
      <c r="U140" s="113"/>
      <c r="V140" s="113"/>
      <c r="W140" s="113"/>
    </row>
    <row r="141" ht="15.75" customHeight="1">
      <c r="A141" s="113"/>
      <c r="B141" s="113"/>
      <c r="C141" s="114"/>
      <c r="D141" s="115"/>
      <c r="E141" s="115"/>
      <c r="F141" s="113"/>
      <c r="G141" s="113"/>
      <c r="H141" s="116"/>
      <c r="I141" s="115"/>
      <c r="J141" s="115"/>
      <c r="K141" s="113"/>
      <c r="L141" s="113"/>
      <c r="M141" s="113"/>
      <c r="N141" s="113"/>
      <c r="O141" s="113"/>
      <c r="P141" s="113"/>
      <c r="Q141" s="113"/>
      <c r="R141" s="113"/>
      <c r="S141" s="113"/>
      <c r="T141" s="115"/>
      <c r="U141" s="113"/>
      <c r="V141" s="113"/>
      <c r="W141" s="113"/>
    </row>
    <row r="142" ht="15.75" customHeight="1">
      <c r="A142" s="113"/>
      <c r="B142" s="113"/>
      <c r="C142" s="114"/>
      <c r="D142" s="115"/>
      <c r="E142" s="115"/>
      <c r="F142" s="113"/>
      <c r="G142" s="113"/>
      <c r="H142" s="116"/>
      <c r="I142" s="115"/>
      <c r="J142" s="115"/>
      <c r="K142" s="113"/>
      <c r="L142" s="113"/>
      <c r="M142" s="113"/>
      <c r="N142" s="113"/>
      <c r="O142" s="113"/>
      <c r="P142" s="113"/>
      <c r="Q142" s="113"/>
      <c r="R142" s="113"/>
      <c r="S142" s="113"/>
      <c r="T142" s="115"/>
      <c r="U142" s="113"/>
      <c r="V142" s="113"/>
      <c r="W142" s="113"/>
    </row>
    <row r="143" ht="15.75" customHeight="1">
      <c r="A143" s="113"/>
      <c r="B143" s="113"/>
      <c r="C143" s="114"/>
      <c r="D143" s="115"/>
      <c r="E143" s="115"/>
      <c r="F143" s="113"/>
      <c r="G143" s="113"/>
      <c r="H143" s="116"/>
      <c r="I143" s="115"/>
      <c r="J143" s="115"/>
      <c r="K143" s="113"/>
      <c r="L143" s="113"/>
      <c r="M143" s="113"/>
      <c r="N143" s="113"/>
      <c r="O143" s="113"/>
      <c r="P143" s="113"/>
      <c r="Q143" s="113"/>
      <c r="R143" s="113"/>
      <c r="S143" s="113"/>
      <c r="T143" s="115"/>
      <c r="U143" s="113"/>
      <c r="V143" s="113"/>
      <c r="W143" s="113"/>
    </row>
    <row r="144" ht="15.75" customHeight="1">
      <c r="A144" s="113"/>
      <c r="B144" s="113"/>
      <c r="C144" s="114"/>
      <c r="D144" s="115"/>
      <c r="E144" s="115"/>
      <c r="F144" s="113"/>
      <c r="G144" s="113"/>
      <c r="H144" s="116"/>
      <c r="I144" s="115"/>
      <c r="J144" s="115"/>
      <c r="K144" s="113"/>
      <c r="L144" s="113"/>
      <c r="M144" s="113"/>
      <c r="N144" s="113"/>
      <c r="O144" s="113"/>
      <c r="P144" s="113"/>
      <c r="Q144" s="113"/>
      <c r="R144" s="113"/>
      <c r="S144" s="113"/>
      <c r="T144" s="115"/>
      <c r="U144" s="113"/>
      <c r="V144" s="113"/>
      <c r="W144" s="113"/>
    </row>
    <row r="145" ht="15.75" customHeight="1">
      <c r="A145" s="113"/>
      <c r="B145" s="113"/>
      <c r="C145" s="114"/>
      <c r="D145" s="115"/>
      <c r="E145" s="115"/>
      <c r="F145" s="113"/>
      <c r="G145" s="113"/>
      <c r="H145" s="116"/>
      <c r="I145" s="115"/>
      <c r="J145" s="115"/>
      <c r="K145" s="113"/>
      <c r="L145" s="113"/>
      <c r="M145" s="113"/>
      <c r="N145" s="113"/>
      <c r="O145" s="113"/>
      <c r="P145" s="113"/>
      <c r="Q145" s="113"/>
      <c r="R145" s="113"/>
      <c r="S145" s="113"/>
      <c r="T145" s="115"/>
      <c r="U145" s="113"/>
      <c r="V145" s="113"/>
      <c r="W145" s="113"/>
    </row>
    <row r="146" ht="15.75" customHeight="1">
      <c r="A146" s="113"/>
      <c r="B146" s="113"/>
      <c r="C146" s="114"/>
      <c r="D146" s="115"/>
      <c r="E146" s="115"/>
      <c r="F146" s="113"/>
      <c r="G146" s="113"/>
      <c r="H146" s="116"/>
      <c r="I146" s="115"/>
      <c r="J146" s="115"/>
      <c r="K146" s="113"/>
      <c r="L146" s="113"/>
      <c r="M146" s="113"/>
      <c r="N146" s="113"/>
      <c r="O146" s="113"/>
      <c r="P146" s="113"/>
      <c r="Q146" s="113"/>
      <c r="R146" s="113"/>
      <c r="S146" s="113"/>
      <c r="T146" s="115"/>
      <c r="U146" s="113"/>
      <c r="V146" s="113"/>
      <c r="W146" s="113"/>
    </row>
    <row r="147" ht="15.75" customHeight="1">
      <c r="A147" s="113"/>
      <c r="B147" s="113"/>
      <c r="C147" s="114"/>
      <c r="D147" s="115"/>
      <c r="E147" s="115"/>
      <c r="F147" s="113"/>
      <c r="G147" s="113"/>
      <c r="H147" s="116"/>
      <c r="I147" s="115"/>
      <c r="J147" s="115"/>
      <c r="K147" s="113"/>
      <c r="L147" s="113"/>
      <c r="M147" s="113"/>
      <c r="N147" s="113"/>
      <c r="O147" s="113"/>
      <c r="P147" s="113"/>
      <c r="Q147" s="113"/>
      <c r="R147" s="113"/>
      <c r="S147" s="113"/>
      <c r="T147" s="115"/>
      <c r="U147" s="113"/>
      <c r="V147" s="113"/>
      <c r="W147" s="113"/>
    </row>
    <row r="148" ht="15.75" customHeight="1">
      <c r="A148" s="113"/>
      <c r="B148" s="113"/>
      <c r="C148" s="114"/>
      <c r="D148" s="115"/>
      <c r="E148" s="115"/>
      <c r="F148" s="113"/>
      <c r="G148" s="113"/>
      <c r="H148" s="116"/>
      <c r="I148" s="115"/>
      <c r="J148" s="115"/>
      <c r="K148" s="113"/>
      <c r="L148" s="113"/>
      <c r="M148" s="113"/>
      <c r="N148" s="113"/>
      <c r="O148" s="113"/>
      <c r="P148" s="113"/>
      <c r="Q148" s="113"/>
      <c r="R148" s="113"/>
      <c r="S148" s="113"/>
      <c r="T148" s="115"/>
      <c r="U148" s="113"/>
      <c r="V148" s="113"/>
      <c r="W148" s="113"/>
    </row>
    <row r="149" ht="15.75" customHeight="1">
      <c r="A149" s="113"/>
      <c r="B149" s="113"/>
      <c r="C149" s="114"/>
      <c r="D149" s="115"/>
      <c r="E149" s="115"/>
      <c r="F149" s="113"/>
      <c r="G149" s="113"/>
      <c r="H149" s="116"/>
      <c r="I149" s="115"/>
      <c r="J149" s="115"/>
      <c r="K149" s="113"/>
      <c r="L149" s="113"/>
      <c r="M149" s="113"/>
      <c r="N149" s="113"/>
      <c r="O149" s="113"/>
      <c r="P149" s="113"/>
      <c r="Q149" s="113"/>
      <c r="R149" s="113"/>
      <c r="S149" s="113"/>
      <c r="T149" s="115"/>
      <c r="U149" s="113"/>
      <c r="V149" s="113"/>
      <c r="W149" s="113"/>
    </row>
    <row r="150" ht="15.75" customHeight="1">
      <c r="A150" s="113"/>
      <c r="B150" s="113"/>
      <c r="C150" s="114"/>
      <c r="D150" s="115"/>
      <c r="E150" s="115"/>
      <c r="F150" s="113"/>
      <c r="G150" s="113"/>
      <c r="H150" s="116"/>
      <c r="I150" s="115"/>
      <c r="J150" s="115"/>
      <c r="K150" s="113"/>
      <c r="L150" s="113"/>
      <c r="M150" s="113"/>
      <c r="N150" s="113"/>
      <c r="O150" s="113"/>
      <c r="P150" s="113"/>
      <c r="Q150" s="113"/>
      <c r="R150" s="113"/>
      <c r="S150" s="113"/>
      <c r="T150" s="115"/>
      <c r="U150" s="113"/>
      <c r="V150" s="113"/>
      <c r="W150" s="113"/>
    </row>
    <row r="151" ht="15.75" customHeight="1">
      <c r="A151" s="113"/>
      <c r="B151" s="113"/>
      <c r="C151" s="114"/>
      <c r="D151" s="115"/>
      <c r="E151" s="115"/>
      <c r="F151" s="113"/>
      <c r="G151" s="113"/>
      <c r="H151" s="116"/>
      <c r="I151" s="115"/>
      <c r="J151" s="115"/>
      <c r="K151" s="113"/>
      <c r="L151" s="113"/>
      <c r="M151" s="113"/>
      <c r="N151" s="113"/>
      <c r="O151" s="113"/>
      <c r="P151" s="113"/>
      <c r="Q151" s="113"/>
      <c r="R151" s="113"/>
      <c r="S151" s="113"/>
      <c r="T151" s="115"/>
      <c r="U151" s="113"/>
      <c r="V151" s="113"/>
      <c r="W151" s="113"/>
    </row>
    <row r="152" ht="15.75" customHeight="1">
      <c r="A152" s="113"/>
      <c r="B152" s="113"/>
      <c r="C152" s="114"/>
      <c r="D152" s="115"/>
      <c r="E152" s="115"/>
      <c r="F152" s="113"/>
      <c r="G152" s="113"/>
      <c r="H152" s="116"/>
      <c r="I152" s="115"/>
      <c r="J152" s="115"/>
      <c r="K152" s="113"/>
      <c r="L152" s="113"/>
      <c r="M152" s="113"/>
      <c r="N152" s="113"/>
      <c r="O152" s="113"/>
      <c r="P152" s="113"/>
      <c r="Q152" s="113"/>
      <c r="R152" s="113"/>
      <c r="S152" s="113"/>
      <c r="T152" s="115"/>
      <c r="U152" s="113"/>
      <c r="V152" s="113"/>
      <c r="W152" s="113"/>
    </row>
    <row r="153" ht="15.75" customHeight="1">
      <c r="A153" s="113"/>
      <c r="B153" s="113"/>
      <c r="C153" s="114"/>
      <c r="D153" s="115"/>
      <c r="E153" s="115"/>
      <c r="F153" s="113"/>
      <c r="G153" s="113"/>
      <c r="H153" s="116"/>
      <c r="I153" s="115"/>
      <c r="J153" s="115"/>
      <c r="K153" s="113"/>
      <c r="L153" s="113"/>
      <c r="M153" s="113"/>
      <c r="N153" s="113"/>
      <c r="O153" s="113"/>
      <c r="P153" s="113"/>
      <c r="Q153" s="113"/>
      <c r="R153" s="113"/>
      <c r="S153" s="113"/>
      <c r="T153" s="115"/>
      <c r="U153" s="113"/>
      <c r="V153" s="113"/>
      <c r="W153" s="113"/>
    </row>
    <row r="154" ht="15.75" customHeight="1">
      <c r="A154" s="113"/>
      <c r="B154" s="113"/>
      <c r="C154" s="114"/>
      <c r="D154" s="115"/>
      <c r="E154" s="115"/>
      <c r="F154" s="113"/>
      <c r="G154" s="113"/>
      <c r="H154" s="116"/>
      <c r="I154" s="115"/>
      <c r="J154" s="115"/>
      <c r="K154" s="113"/>
      <c r="L154" s="113"/>
      <c r="M154" s="113"/>
      <c r="N154" s="113"/>
      <c r="O154" s="113"/>
      <c r="P154" s="113"/>
      <c r="Q154" s="113"/>
      <c r="R154" s="113"/>
      <c r="S154" s="113"/>
      <c r="T154" s="115"/>
      <c r="U154" s="113"/>
      <c r="V154" s="113"/>
      <c r="W154" s="113"/>
    </row>
    <row r="155" ht="15.75" customHeight="1">
      <c r="A155" s="113"/>
      <c r="B155" s="113"/>
      <c r="C155" s="114"/>
      <c r="D155" s="115"/>
      <c r="E155" s="115"/>
      <c r="F155" s="113"/>
      <c r="G155" s="113"/>
      <c r="H155" s="116"/>
      <c r="I155" s="115"/>
      <c r="J155" s="115"/>
      <c r="K155" s="113"/>
      <c r="L155" s="113"/>
      <c r="M155" s="113"/>
      <c r="N155" s="113"/>
      <c r="O155" s="113"/>
      <c r="P155" s="113"/>
      <c r="Q155" s="113"/>
      <c r="R155" s="113"/>
      <c r="S155" s="113"/>
      <c r="T155" s="115"/>
      <c r="U155" s="113"/>
      <c r="V155" s="113"/>
      <c r="W155" s="113"/>
    </row>
    <row r="156" ht="15.75" customHeight="1">
      <c r="A156" s="113"/>
      <c r="B156" s="113"/>
      <c r="C156" s="114"/>
      <c r="D156" s="115"/>
      <c r="E156" s="115"/>
      <c r="F156" s="113"/>
      <c r="G156" s="113"/>
      <c r="H156" s="116"/>
      <c r="I156" s="115"/>
      <c r="J156" s="115"/>
      <c r="K156" s="113"/>
      <c r="L156" s="113"/>
      <c r="M156" s="113"/>
      <c r="N156" s="113"/>
      <c r="O156" s="113"/>
      <c r="P156" s="113"/>
      <c r="Q156" s="113"/>
      <c r="R156" s="113"/>
      <c r="S156" s="113"/>
      <c r="T156" s="115"/>
      <c r="U156" s="113"/>
      <c r="V156" s="113"/>
      <c r="W156" s="113"/>
    </row>
    <row r="157" ht="15.75" customHeight="1">
      <c r="A157" s="113"/>
      <c r="B157" s="113"/>
      <c r="C157" s="114"/>
      <c r="D157" s="115"/>
      <c r="E157" s="115"/>
      <c r="F157" s="113"/>
      <c r="G157" s="113"/>
      <c r="H157" s="116"/>
      <c r="I157" s="115"/>
      <c r="J157" s="115"/>
      <c r="K157" s="113"/>
      <c r="L157" s="113"/>
      <c r="M157" s="113"/>
      <c r="N157" s="113"/>
      <c r="O157" s="113"/>
      <c r="P157" s="113"/>
      <c r="Q157" s="113"/>
      <c r="R157" s="113"/>
      <c r="S157" s="113"/>
      <c r="T157" s="115"/>
      <c r="U157" s="113"/>
      <c r="V157" s="113"/>
      <c r="W157" s="113"/>
    </row>
    <row r="158" ht="15.75" customHeight="1">
      <c r="A158" s="113"/>
      <c r="B158" s="113"/>
      <c r="C158" s="114"/>
      <c r="D158" s="115"/>
      <c r="E158" s="115"/>
      <c r="F158" s="113"/>
      <c r="G158" s="113"/>
      <c r="H158" s="116"/>
      <c r="I158" s="115"/>
      <c r="J158" s="115"/>
      <c r="K158" s="113"/>
      <c r="L158" s="113"/>
      <c r="M158" s="113"/>
      <c r="N158" s="113"/>
      <c r="O158" s="113"/>
      <c r="P158" s="113"/>
      <c r="Q158" s="113"/>
      <c r="R158" s="113"/>
      <c r="S158" s="113"/>
      <c r="T158" s="115"/>
      <c r="U158" s="113"/>
      <c r="V158" s="113"/>
      <c r="W158" s="113"/>
    </row>
    <row r="159" ht="15.75" customHeight="1">
      <c r="A159" s="113"/>
      <c r="B159" s="113"/>
      <c r="C159" s="114"/>
      <c r="D159" s="115"/>
      <c r="E159" s="115"/>
      <c r="F159" s="113"/>
      <c r="G159" s="113"/>
      <c r="H159" s="116"/>
      <c r="I159" s="115"/>
      <c r="J159" s="115"/>
      <c r="K159" s="113"/>
      <c r="L159" s="113"/>
      <c r="M159" s="113"/>
      <c r="N159" s="113"/>
      <c r="O159" s="113"/>
      <c r="P159" s="113"/>
      <c r="Q159" s="113"/>
      <c r="R159" s="113"/>
      <c r="S159" s="113"/>
      <c r="T159" s="115"/>
      <c r="U159" s="113"/>
      <c r="V159" s="113"/>
      <c r="W159" s="113"/>
    </row>
    <row r="160" ht="15.75" customHeight="1">
      <c r="A160" s="113"/>
      <c r="B160" s="113"/>
      <c r="C160" s="114"/>
      <c r="D160" s="115"/>
      <c r="E160" s="115"/>
      <c r="F160" s="113"/>
      <c r="G160" s="113"/>
      <c r="H160" s="116"/>
      <c r="I160" s="115"/>
      <c r="J160" s="115"/>
      <c r="K160" s="113"/>
      <c r="L160" s="113"/>
      <c r="M160" s="113"/>
      <c r="N160" s="113"/>
      <c r="O160" s="113"/>
      <c r="P160" s="113"/>
      <c r="Q160" s="113"/>
      <c r="R160" s="113"/>
      <c r="S160" s="113"/>
      <c r="T160" s="115"/>
      <c r="U160" s="113"/>
      <c r="V160" s="113"/>
      <c r="W160" s="113"/>
    </row>
    <row r="161" ht="15.75" customHeight="1">
      <c r="A161" s="113"/>
      <c r="B161" s="113"/>
      <c r="C161" s="114"/>
      <c r="D161" s="115"/>
      <c r="E161" s="115"/>
      <c r="F161" s="113"/>
      <c r="G161" s="113"/>
      <c r="H161" s="116"/>
      <c r="I161" s="115"/>
      <c r="J161" s="115"/>
      <c r="K161" s="113"/>
      <c r="L161" s="113"/>
      <c r="M161" s="113"/>
      <c r="N161" s="113"/>
      <c r="O161" s="113"/>
      <c r="P161" s="113"/>
      <c r="Q161" s="113"/>
      <c r="R161" s="113"/>
      <c r="S161" s="113"/>
      <c r="T161" s="115"/>
      <c r="U161" s="113"/>
      <c r="V161" s="113"/>
      <c r="W161" s="113"/>
    </row>
    <row r="162" ht="15.75" customHeight="1">
      <c r="A162" s="113"/>
      <c r="B162" s="113"/>
      <c r="C162" s="114"/>
      <c r="D162" s="115"/>
      <c r="E162" s="115"/>
      <c r="F162" s="113"/>
      <c r="G162" s="113"/>
      <c r="H162" s="116"/>
      <c r="I162" s="115"/>
      <c r="J162" s="115"/>
      <c r="K162" s="113"/>
      <c r="L162" s="113"/>
      <c r="M162" s="113"/>
      <c r="N162" s="113"/>
      <c r="O162" s="113"/>
      <c r="P162" s="113"/>
      <c r="Q162" s="113"/>
      <c r="R162" s="113"/>
      <c r="S162" s="113"/>
      <c r="T162" s="115"/>
      <c r="U162" s="113"/>
      <c r="V162" s="113"/>
      <c r="W162" s="113"/>
    </row>
    <row r="163" ht="15.75" customHeight="1">
      <c r="A163" s="113"/>
      <c r="B163" s="113"/>
      <c r="C163" s="114"/>
      <c r="D163" s="115"/>
      <c r="E163" s="115"/>
      <c r="F163" s="113"/>
      <c r="G163" s="113"/>
      <c r="H163" s="116"/>
      <c r="I163" s="115"/>
      <c r="J163" s="115"/>
      <c r="K163" s="113"/>
      <c r="L163" s="113"/>
      <c r="M163" s="113"/>
      <c r="N163" s="113"/>
      <c r="O163" s="113"/>
      <c r="P163" s="113"/>
      <c r="Q163" s="113"/>
      <c r="R163" s="113"/>
      <c r="S163" s="113"/>
      <c r="T163" s="115"/>
      <c r="U163" s="113"/>
      <c r="V163" s="113"/>
      <c r="W163" s="113"/>
    </row>
    <row r="164" ht="15.75" customHeight="1">
      <c r="A164" s="113"/>
      <c r="B164" s="113"/>
      <c r="C164" s="114"/>
      <c r="D164" s="115"/>
      <c r="E164" s="115"/>
      <c r="F164" s="113"/>
      <c r="G164" s="113"/>
      <c r="H164" s="116"/>
      <c r="I164" s="115"/>
      <c r="J164" s="115"/>
      <c r="K164" s="113"/>
      <c r="L164" s="113"/>
      <c r="M164" s="113"/>
      <c r="N164" s="113"/>
      <c r="O164" s="113"/>
      <c r="P164" s="113"/>
      <c r="Q164" s="113"/>
      <c r="R164" s="113"/>
      <c r="S164" s="113"/>
      <c r="T164" s="115"/>
      <c r="U164" s="113"/>
      <c r="V164" s="113"/>
      <c r="W164" s="113"/>
    </row>
    <row r="165" ht="15.75" customHeight="1">
      <c r="A165" s="113"/>
      <c r="B165" s="113"/>
      <c r="C165" s="114"/>
      <c r="D165" s="115"/>
      <c r="E165" s="115"/>
      <c r="F165" s="113"/>
      <c r="G165" s="113"/>
      <c r="H165" s="116"/>
      <c r="I165" s="115"/>
      <c r="J165" s="115"/>
      <c r="K165" s="113"/>
      <c r="L165" s="113"/>
      <c r="M165" s="113"/>
      <c r="N165" s="113"/>
      <c r="O165" s="113"/>
      <c r="P165" s="113"/>
      <c r="Q165" s="113"/>
      <c r="R165" s="113"/>
      <c r="S165" s="113"/>
      <c r="T165" s="115"/>
      <c r="U165" s="113"/>
      <c r="V165" s="113"/>
      <c r="W165" s="113"/>
    </row>
    <row r="166" ht="15.75" customHeight="1">
      <c r="A166" s="113"/>
      <c r="B166" s="113"/>
      <c r="C166" s="114"/>
      <c r="D166" s="115"/>
      <c r="E166" s="115"/>
      <c r="F166" s="113"/>
      <c r="G166" s="113"/>
      <c r="H166" s="116"/>
      <c r="I166" s="115"/>
      <c r="J166" s="115"/>
      <c r="K166" s="113"/>
      <c r="L166" s="113"/>
      <c r="M166" s="113"/>
      <c r="N166" s="113"/>
      <c r="O166" s="113"/>
      <c r="P166" s="113"/>
      <c r="Q166" s="113"/>
      <c r="R166" s="113"/>
      <c r="S166" s="113"/>
      <c r="T166" s="115"/>
      <c r="U166" s="113"/>
      <c r="V166" s="113"/>
      <c r="W166" s="113"/>
    </row>
    <row r="167" ht="15.75" customHeight="1">
      <c r="A167" s="113"/>
      <c r="B167" s="113"/>
      <c r="C167" s="114"/>
      <c r="D167" s="115"/>
      <c r="E167" s="115"/>
      <c r="F167" s="113"/>
      <c r="G167" s="113"/>
      <c r="H167" s="116"/>
      <c r="I167" s="115"/>
      <c r="J167" s="115"/>
      <c r="K167" s="113"/>
      <c r="L167" s="113"/>
      <c r="M167" s="113"/>
      <c r="N167" s="113"/>
      <c r="O167" s="113"/>
      <c r="P167" s="113"/>
      <c r="Q167" s="113"/>
      <c r="R167" s="113"/>
      <c r="S167" s="113"/>
      <c r="T167" s="115"/>
      <c r="U167" s="113"/>
      <c r="V167" s="113"/>
      <c r="W167" s="113"/>
    </row>
    <row r="168" ht="15.75" customHeight="1">
      <c r="A168" s="113"/>
      <c r="B168" s="113"/>
      <c r="C168" s="114"/>
      <c r="D168" s="115"/>
      <c r="E168" s="115"/>
      <c r="F168" s="113"/>
      <c r="G168" s="113"/>
      <c r="H168" s="116"/>
      <c r="I168" s="115"/>
      <c r="J168" s="115"/>
      <c r="K168" s="113"/>
      <c r="L168" s="113"/>
      <c r="M168" s="113"/>
      <c r="N168" s="113"/>
      <c r="O168" s="113"/>
      <c r="P168" s="113"/>
      <c r="Q168" s="113"/>
      <c r="R168" s="113"/>
      <c r="S168" s="113"/>
      <c r="T168" s="115"/>
      <c r="U168" s="113"/>
      <c r="V168" s="113"/>
      <c r="W168" s="113"/>
    </row>
    <row r="169" ht="15.75" customHeight="1">
      <c r="A169" s="113"/>
      <c r="B169" s="113"/>
      <c r="C169" s="114"/>
      <c r="D169" s="115"/>
      <c r="E169" s="115"/>
      <c r="F169" s="113"/>
      <c r="G169" s="113"/>
      <c r="H169" s="116"/>
      <c r="I169" s="115"/>
      <c r="J169" s="115"/>
      <c r="K169" s="113"/>
      <c r="L169" s="113"/>
      <c r="M169" s="113"/>
      <c r="N169" s="113"/>
      <c r="O169" s="113"/>
      <c r="P169" s="113"/>
      <c r="Q169" s="113"/>
      <c r="R169" s="113"/>
      <c r="S169" s="113"/>
      <c r="T169" s="115"/>
      <c r="U169" s="113"/>
      <c r="V169" s="113"/>
      <c r="W169" s="113"/>
    </row>
    <row r="170" ht="15.75" customHeight="1">
      <c r="A170" s="113"/>
      <c r="B170" s="113"/>
      <c r="C170" s="114"/>
      <c r="D170" s="115"/>
      <c r="E170" s="115"/>
      <c r="F170" s="113"/>
      <c r="G170" s="113"/>
      <c r="H170" s="116"/>
      <c r="I170" s="115"/>
      <c r="J170" s="115"/>
      <c r="K170" s="113"/>
      <c r="L170" s="113"/>
      <c r="M170" s="113"/>
      <c r="N170" s="113"/>
      <c r="O170" s="113"/>
      <c r="P170" s="113"/>
      <c r="Q170" s="113"/>
      <c r="R170" s="113"/>
      <c r="S170" s="113"/>
      <c r="T170" s="115"/>
      <c r="U170" s="113"/>
      <c r="V170" s="113"/>
      <c r="W170" s="113"/>
    </row>
    <row r="171" ht="15.75" customHeight="1">
      <c r="A171" s="113"/>
      <c r="B171" s="113"/>
      <c r="C171" s="114"/>
      <c r="D171" s="115"/>
      <c r="E171" s="115"/>
      <c r="F171" s="113"/>
      <c r="G171" s="113"/>
      <c r="H171" s="116"/>
      <c r="I171" s="115"/>
      <c r="J171" s="115"/>
      <c r="K171" s="113"/>
      <c r="L171" s="113"/>
      <c r="M171" s="113"/>
      <c r="N171" s="113"/>
      <c r="O171" s="113"/>
      <c r="P171" s="113"/>
      <c r="Q171" s="113"/>
      <c r="R171" s="113"/>
      <c r="S171" s="113"/>
      <c r="T171" s="115"/>
      <c r="U171" s="113"/>
      <c r="V171" s="113"/>
      <c r="W171" s="113"/>
    </row>
    <row r="172" ht="15.75" customHeight="1">
      <c r="A172" s="113"/>
      <c r="B172" s="113"/>
      <c r="C172" s="114"/>
      <c r="D172" s="115"/>
      <c r="E172" s="115"/>
      <c r="F172" s="113"/>
      <c r="G172" s="113"/>
      <c r="H172" s="116"/>
      <c r="I172" s="115"/>
      <c r="J172" s="115"/>
      <c r="K172" s="113"/>
      <c r="L172" s="113"/>
      <c r="M172" s="113"/>
      <c r="N172" s="113"/>
      <c r="O172" s="113"/>
      <c r="P172" s="113"/>
      <c r="Q172" s="113"/>
      <c r="R172" s="113"/>
      <c r="S172" s="113"/>
      <c r="T172" s="115"/>
      <c r="U172" s="113"/>
      <c r="V172" s="113"/>
      <c r="W172" s="113"/>
    </row>
    <row r="173" ht="15.75" customHeight="1">
      <c r="A173" s="113"/>
      <c r="B173" s="113"/>
      <c r="C173" s="114"/>
      <c r="D173" s="115"/>
      <c r="E173" s="115"/>
      <c r="F173" s="113"/>
      <c r="G173" s="113"/>
      <c r="H173" s="116"/>
      <c r="I173" s="115"/>
      <c r="J173" s="115"/>
      <c r="K173" s="113"/>
      <c r="L173" s="113"/>
      <c r="M173" s="113"/>
      <c r="N173" s="113"/>
      <c r="O173" s="113"/>
      <c r="P173" s="113"/>
      <c r="Q173" s="113"/>
      <c r="R173" s="113"/>
      <c r="S173" s="113"/>
      <c r="T173" s="115"/>
      <c r="U173" s="113"/>
      <c r="V173" s="113"/>
      <c r="W173" s="113"/>
    </row>
    <row r="174" ht="15.75" customHeight="1">
      <c r="A174" s="113"/>
      <c r="B174" s="113"/>
      <c r="C174" s="114"/>
      <c r="D174" s="115"/>
      <c r="E174" s="115"/>
      <c r="F174" s="113"/>
      <c r="G174" s="113"/>
      <c r="H174" s="116"/>
      <c r="I174" s="115"/>
      <c r="J174" s="115"/>
      <c r="K174" s="113"/>
      <c r="L174" s="113"/>
      <c r="M174" s="113"/>
      <c r="N174" s="113"/>
      <c r="O174" s="113"/>
      <c r="P174" s="113"/>
      <c r="Q174" s="113"/>
      <c r="R174" s="113"/>
      <c r="S174" s="113"/>
      <c r="T174" s="115"/>
      <c r="U174" s="113"/>
      <c r="V174" s="113"/>
      <c r="W174" s="113"/>
    </row>
    <row r="175" ht="15.75" customHeight="1">
      <c r="A175" s="113"/>
      <c r="B175" s="113"/>
      <c r="C175" s="114"/>
      <c r="D175" s="115"/>
      <c r="E175" s="115"/>
      <c r="F175" s="113"/>
      <c r="G175" s="113"/>
      <c r="H175" s="116"/>
      <c r="I175" s="115"/>
      <c r="J175" s="115"/>
      <c r="K175" s="113"/>
      <c r="L175" s="113"/>
      <c r="M175" s="113"/>
      <c r="N175" s="113"/>
      <c r="O175" s="113"/>
      <c r="P175" s="113"/>
      <c r="Q175" s="113"/>
      <c r="R175" s="113"/>
      <c r="S175" s="113"/>
      <c r="T175" s="115"/>
      <c r="U175" s="113"/>
      <c r="V175" s="113"/>
      <c r="W175" s="113"/>
    </row>
    <row r="176" ht="15.75" customHeight="1">
      <c r="A176" s="113"/>
      <c r="B176" s="113"/>
      <c r="C176" s="114"/>
      <c r="D176" s="115"/>
      <c r="E176" s="115"/>
      <c r="F176" s="113"/>
      <c r="G176" s="113"/>
      <c r="H176" s="116"/>
      <c r="I176" s="115"/>
      <c r="J176" s="115"/>
      <c r="K176" s="113"/>
      <c r="L176" s="113"/>
      <c r="M176" s="113"/>
      <c r="N176" s="113"/>
      <c r="O176" s="113"/>
      <c r="P176" s="113"/>
      <c r="Q176" s="113"/>
      <c r="R176" s="113"/>
      <c r="S176" s="113"/>
      <c r="T176" s="115"/>
      <c r="U176" s="113"/>
      <c r="V176" s="113"/>
      <c r="W176" s="113"/>
    </row>
    <row r="177" ht="15.75" customHeight="1">
      <c r="A177" s="113"/>
      <c r="B177" s="113"/>
      <c r="C177" s="114"/>
      <c r="D177" s="115"/>
      <c r="E177" s="115"/>
      <c r="F177" s="113"/>
      <c r="G177" s="113"/>
      <c r="H177" s="116"/>
      <c r="I177" s="115"/>
      <c r="J177" s="115"/>
      <c r="K177" s="113"/>
      <c r="L177" s="113"/>
      <c r="M177" s="113"/>
      <c r="N177" s="113"/>
      <c r="O177" s="113"/>
      <c r="P177" s="113"/>
      <c r="Q177" s="113"/>
      <c r="R177" s="113"/>
      <c r="S177" s="113"/>
      <c r="T177" s="115"/>
      <c r="U177" s="113"/>
      <c r="V177" s="113"/>
      <c r="W177" s="113"/>
    </row>
    <row r="178" ht="15.75" customHeight="1">
      <c r="A178" s="113"/>
      <c r="B178" s="113"/>
      <c r="C178" s="114"/>
      <c r="D178" s="115"/>
      <c r="E178" s="115"/>
      <c r="F178" s="113"/>
      <c r="G178" s="113"/>
      <c r="H178" s="116"/>
      <c r="I178" s="115"/>
      <c r="J178" s="115"/>
      <c r="K178" s="113"/>
      <c r="L178" s="113"/>
      <c r="M178" s="113"/>
      <c r="N178" s="113"/>
      <c r="O178" s="113"/>
      <c r="P178" s="113"/>
      <c r="Q178" s="113"/>
      <c r="R178" s="113"/>
      <c r="S178" s="113"/>
      <c r="T178" s="115"/>
      <c r="U178" s="113"/>
      <c r="V178" s="113"/>
      <c r="W178" s="113"/>
    </row>
    <row r="179" ht="15.75" customHeight="1">
      <c r="A179" s="113"/>
      <c r="B179" s="113"/>
      <c r="C179" s="114"/>
      <c r="D179" s="115"/>
      <c r="E179" s="115"/>
      <c r="F179" s="113"/>
      <c r="G179" s="113"/>
      <c r="H179" s="116"/>
      <c r="I179" s="115"/>
      <c r="J179" s="115"/>
      <c r="K179" s="113"/>
      <c r="L179" s="113"/>
      <c r="M179" s="113"/>
      <c r="N179" s="113"/>
      <c r="O179" s="113"/>
      <c r="P179" s="113"/>
      <c r="Q179" s="113"/>
      <c r="R179" s="113"/>
      <c r="S179" s="113"/>
      <c r="T179" s="115"/>
      <c r="U179" s="113"/>
      <c r="V179" s="113"/>
      <c r="W179" s="113"/>
    </row>
    <row r="180" ht="15.75" customHeight="1">
      <c r="A180" s="113"/>
      <c r="B180" s="113"/>
      <c r="C180" s="114"/>
      <c r="D180" s="115"/>
      <c r="E180" s="115"/>
      <c r="F180" s="113"/>
      <c r="G180" s="113"/>
      <c r="H180" s="116"/>
      <c r="I180" s="115"/>
      <c r="J180" s="115"/>
      <c r="K180" s="113"/>
      <c r="L180" s="113"/>
      <c r="M180" s="113"/>
      <c r="N180" s="113"/>
      <c r="O180" s="113"/>
      <c r="P180" s="113"/>
      <c r="Q180" s="113"/>
      <c r="R180" s="113"/>
      <c r="S180" s="113"/>
      <c r="T180" s="115"/>
      <c r="U180" s="113"/>
      <c r="V180" s="113"/>
      <c r="W180" s="113"/>
    </row>
    <row r="181" ht="15.75" customHeight="1">
      <c r="A181" s="113"/>
      <c r="B181" s="113"/>
      <c r="C181" s="114"/>
      <c r="D181" s="115"/>
      <c r="E181" s="115"/>
      <c r="F181" s="113"/>
      <c r="G181" s="113"/>
      <c r="H181" s="116"/>
      <c r="I181" s="115"/>
      <c r="J181" s="115"/>
      <c r="K181" s="113"/>
      <c r="L181" s="113"/>
      <c r="M181" s="113"/>
      <c r="N181" s="113"/>
      <c r="O181" s="113"/>
      <c r="P181" s="113"/>
      <c r="Q181" s="113"/>
      <c r="R181" s="113"/>
      <c r="S181" s="113"/>
      <c r="T181" s="115"/>
      <c r="U181" s="113"/>
      <c r="V181" s="113"/>
      <c r="W181" s="113"/>
    </row>
    <row r="182" ht="15.75" customHeight="1">
      <c r="A182" s="113"/>
      <c r="B182" s="113"/>
      <c r="C182" s="114"/>
      <c r="D182" s="115"/>
      <c r="E182" s="115"/>
      <c r="F182" s="113"/>
      <c r="G182" s="113"/>
      <c r="H182" s="116"/>
      <c r="I182" s="115"/>
      <c r="J182" s="115"/>
      <c r="K182" s="113"/>
      <c r="L182" s="113"/>
      <c r="M182" s="113"/>
      <c r="N182" s="113"/>
      <c r="O182" s="113"/>
      <c r="P182" s="113"/>
      <c r="Q182" s="113"/>
      <c r="R182" s="113"/>
      <c r="S182" s="113"/>
      <c r="T182" s="115"/>
      <c r="U182" s="113"/>
      <c r="V182" s="113"/>
      <c r="W182" s="113"/>
    </row>
    <row r="183" ht="15.75" customHeight="1">
      <c r="A183" s="113"/>
      <c r="B183" s="113"/>
      <c r="C183" s="114"/>
      <c r="D183" s="115"/>
      <c r="E183" s="115"/>
      <c r="F183" s="113"/>
      <c r="G183" s="113"/>
      <c r="H183" s="116"/>
      <c r="I183" s="115"/>
      <c r="J183" s="115"/>
      <c r="K183" s="113"/>
      <c r="L183" s="113"/>
      <c r="M183" s="113"/>
      <c r="N183" s="113"/>
      <c r="O183" s="113"/>
      <c r="P183" s="113"/>
      <c r="Q183" s="113"/>
      <c r="R183" s="113"/>
      <c r="S183" s="113"/>
      <c r="T183" s="115"/>
      <c r="U183" s="113"/>
      <c r="V183" s="113"/>
      <c r="W183" s="113"/>
    </row>
    <row r="184" ht="15.75" customHeight="1">
      <c r="A184" s="113"/>
      <c r="B184" s="113"/>
      <c r="C184" s="114"/>
      <c r="D184" s="115"/>
      <c r="E184" s="115"/>
      <c r="F184" s="113"/>
      <c r="G184" s="113"/>
      <c r="H184" s="116"/>
      <c r="I184" s="115"/>
      <c r="J184" s="115"/>
      <c r="K184" s="113"/>
      <c r="L184" s="113"/>
      <c r="M184" s="113"/>
      <c r="N184" s="113"/>
      <c r="O184" s="113"/>
      <c r="P184" s="113"/>
      <c r="Q184" s="113"/>
      <c r="R184" s="113"/>
      <c r="S184" s="113"/>
      <c r="T184" s="115"/>
      <c r="U184" s="113"/>
      <c r="V184" s="113"/>
      <c r="W184" s="113"/>
    </row>
    <row r="185" ht="15.75" customHeight="1">
      <c r="A185" s="113"/>
      <c r="B185" s="113"/>
      <c r="C185" s="114"/>
      <c r="D185" s="115"/>
      <c r="E185" s="115"/>
      <c r="F185" s="113"/>
      <c r="G185" s="113"/>
      <c r="H185" s="116"/>
      <c r="I185" s="115"/>
      <c r="J185" s="115"/>
      <c r="K185" s="113"/>
      <c r="L185" s="113"/>
      <c r="M185" s="113"/>
      <c r="N185" s="113"/>
      <c r="O185" s="113"/>
      <c r="P185" s="113"/>
      <c r="Q185" s="113"/>
      <c r="R185" s="113"/>
      <c r="S185" s="113"/>
      <c r="T185" s="115"/>
      <c r="U185" s="113"/>
      <c r="V185" s="113"/>
      <c r="W185" s="113"/>
    </row>
    <row r="186" ht="15.75" customHeight="1">
      <c r="A186" s="113"/>
      <c r="B186" s="113"/>
      <c r="C186" s="114"/>
      <c r="D186" s="115"/>
      <c r="E186" s="115"/>
      <c r="F186" s="113"/>
      <c r="G186" s="113"/>
      <c r="H186" s="116"/>
      <c r="I186" s="115"/>
      <c r="J186" s="115"/>
      <c r="K186" s="113"/>
      <c r="L186" s="113"/>
      <c r="M186" s="113"/>
      <c r="N186" s="113"/>
      <c r="O186" s="113"/>
      <c r="P186" s="113"/>
      <c r="Q186" s="113"/>
      <c r="R186" s="113"/>
      <c r="S186" s="113"/>
      <c r="T186" s="115"/>
      <c r="U186" s="113"/>
      <c r="V186" s="113"/>
      <c r="W186" s="113"/>
    </row>
    <row r="187" ht="15.75" customHeight="1">
      <c r="A187" s="113"/>
      <c r="B187" s="113"/>
      <c r="C187" s="114"/>
      <c r="D187" s="115"/>
      <c r="E187" s="115"/>
      <c r="F187" s="113"/>
      <c r="G187" s="113"/>
      <c r="H187" s="116"/>
      <c r="I187" s="115"/>
      <c r="J187" s="115"/>
      <c r="K187" s="113"/>
      <c r="L187" s="113"/>
      <c r="M187" s="113"/>
      <c r="N187" s="113"/>
      <c r="O187" s="113"/>
      <c r="P187" s="113"/>
      <c r="Q187" s="113"/>
      <c r="R187" s="113"/>
      <c r="S187" s="113"/>
      <c r="T187" s="115"/>
      <c r="U187" s="113"/>
      <c r="V187" s="113"/>
      <c r="W187" s="113"/>
    </row>
    <row r="188" ht="15.75" customHeight="1">
      <c r="A188" s="113"/>
      <c r="B188" s="113"/>
      <c r="C188" s="114"/>
      <c r="D188" s="115"/>
      <c r="E188" s="115"/>
      <c r="F188" s="113"/>
      <c r="G188" s="113"/>
      <c r="H188" s="116"/>
      <c r="I188" s="115"/>
      <c r="J188" s="115"/>
      <c r="K188" s="113"/>
      <c r="L188" s="113"/>
      <c r="M188" s="113"/>
      <c r="N188" s="113"/>
      <c r="O188" s="113"/>
      <c r="P188" s="113"/>
      <c r="Q188" s="113"/>
      <c r="R188" s="113"/>
      <c r="S188" s="113"/>
      <c r="T188" s="115"/>
      <c r="U188" s="113"/>
      <c r="V188" s="113"/>
      <c r="W188" s="113"/>
    </row>
    <row r="189" ht="15.75" customHeight="1">
      <c r="A189" s="113"/>
      <c r="B189" s="113"/>
      <c r="C189" s="114"/>
      <c r="D189" s="115"/>
      <c r="E189" s="115"/>
      <c r="F189" s="113"/>
      <c r="G189" s="113"/>
      <c r="H189" s="116"/>
      <c r="I189" s="115"/>
      <c r="J189" s="115"/>
      <c r="K189" s="113"/>
      <c r="L189" s="113"/>
      <c r="M189" s="113"/>
      <c r="N189" s="113"/>
      <c r="O189" s="113"/>
      <c r="P189" s="113"/>
      <c r="Q189" s="113"/>
      <c r="R189" s="113"/>
      <c r="S189" s="113"/>
      <c r="T189" s="115"/>
      <c r="U189" s="113"/>
      <c r="V189" s="113"/>
      <c r="W189" s="113"/>
    </row>
    <row r="190" ht="15.75" customHeight="1">
      <c r="A190" s="113"/>
      <c r="B190" s="113"/>
      <c r="C190" s="114"/>
      <c r="D190" s="115"/>
      <c r="E190" s="115"/>
      <c r="F190" s="113"/>
      <c r="G190" s="113"/>
      <c r="H190" s="116"/>
      <c r="I190" s="115"/>
      <c r="J190" s="115"/>
      <c r="K190" s="113"/>
      <c r="L190" s="113"/>
      <c r="M190" s="113"/>
      <c r="N190" s="113"/>
      <c r="O190" s="113"/>
      <c r="P190" s="113"/>
      <c r="Q190" s="113"/>
      <c r="R190" s="113"/>
      <c r="S190" s="113"/>
      <c r="T190" s="115"/>
      <c r="U190" s="113"/>
      <c r="V190" s="113"/>
      <c r="W190" s="113"/>
    </row>
    <row r="191" ht="15.75" customHeight="1">
      <c r="A191" s="113"/>
      <c r="B191" s="113"/>
      <c r="C191" s="114"/>
      <c r="D191" s="115"/>
      <c r="E191" s="115"/>
      <c r="F191" s="113"/>
      <c r="G191" s="113"/>
      <c r="H191" s="116"/>
      <c r="I191" s="115"/>
      <c r="J191" s="115"/>
      <c r="K191" s="113"/>
      <c r="L191" s="113"/>
      <c r="M191" s="113"/>
      <c r="N191" s="113"/>
      <c r="O191" s="113"/>
      <c r="P191" s="113"/>
      <c r="Q191" s="113"/>
      <c r="R191" s="113"/>
      <c r="S191" s="113"/>
      <c r="T191" s="115"/>
      <c r="U191" s="113"/>
      <c r="V191" s="113"/>
      <c r="W191" s="113"/>
    </row>
    <row r="192" ht="15.75" customHeight="1">
      <c r="A192" s="113"/>
      <c r="B192" s="113"/>
      <c r="C192" s="114"/>
      <c r="D192" s="115"/>
      <c r="E192" s="115"/>
      <c r="F192" s="113"/>
      <c r="G192" s="113"/>
      <c r="H192" s="116"/>
      <c r="I192" s="115"/>
      <c r="J192" s="115"/>
      <c r="K192" s="113"/>
      <c r="L192" s="113"/>
      <c r="M192" s="113"/>
      <c r="N192" s="113"/>
      <c r="O192" s="113"/>
      <c r="P192" s="113"/>
      <c r="Q192" s="113"/>
      <c r="R192" s="113"/>
      <c r="S192" s="113"/>
      <c r="T192" s="115"/>
      <c r="U192" s="113"/>
      <c r="V192" s="113"/>
      <c r="W192" s="113"/>
    </row>
    <row r="193" ht="15.75" customHeight="1">
      <c r="A193" s="113"/>
      <c r="B193" s="113"/>
      <c r="C193" s="114"/>
      <c r="D193" s="115"/>
      <c r="E193" s="115"/>
      <c r="F193" s="113"/>
      <c r="G193" s="113"/>
      <c r="H193" s="116"/>
      <c r="I193" s="115"/>
      <c r="J193" s="115"/>
      <c r="K193" s="113"/>
      <c r="L193" s="113"/>
      <c r="M193" s="113"/>
      <c r="N193" s="113"/>
      <c r="O193" s="113"/>
      <c r="P193" s="113"/>
      <c r="Q193" s="113"/>
      <c r="R193" s="113"/>
      <c r="S193" s="113"/>
      <c r="T193" s="115"/>
      <c r="U193" s="113"/>
      <c r="V193" s="113"/>
      <c r="W193" s="113"/>
    </row>
    <row r="194" ht="15.75" customHeight="1">
      <c r="A194" s="113"/>
      <c r="B194" s="113"/>
      <c r="C194" s="114"/>
      <c r="D194" s="115"/>
      <c r="E194" s="115"/>
      <c r="F194" s="113"/>
      <c r="G194" s="113"/>
      <c r="H194" s="116"/>
      <c r="I194" s="115"/>
      <c r="J194" s="115"/>
      <c r="K194" s="113"/>
      <c r="L194" s="113"/>
      <c r="M194" s="113"/>
      <c r="N194" s="113"/>
      <c r="O194" s="113"/>
      <c r="P194" s="113"/>
      <c r="Q194" s="113"/>
      <c r="R194" s="113"/>
      <c r="S194" s="113"/>
      <c r="T194" s="115"/>
      <c r="U194" s="113"/>
      <c r="V194" s="113"/>
      <c r="W194" s="113"/>
    </row>
    <row r="195" ht="15.75" customHeight="1">
      <c r="A195" s="113"/>
      <c r="B195" s="113"/>
      <c r="C195" s="114"/>
      <c r="D195" s="115"/>
      <c r="E195" s="115"/>
      <c r="F195" s="113"/>
      <c r="G195" s="113"/>
      <c r="H195" s="116"/>
      <c r="I195" s="115"/>
      <c r="J195" s="115"/>
      <c r="K195" s="113"/>
      <c r="L195" s="113"/>
      <c r="M195" s="113"/>
      <c r="N195" s="113"/>
      <c r="O195" s="113"/>
      <c r="P195" s="113"/>
      <c r="Q195" s="113"/>
      <c r="R195" s="113"/>
      <c r="S195" s="113"/>
      <c r="T195" s="115"/>
      <c r="U195" s="113"/>
      <c r="V195" s="113"/>
      <c r="W195" s="113"/>
    </row>
    <row r="196" ht="15.75" customHeight="1">
      <c r="A196" s="113"/>
      <c r="B196" s="113"/>
      <c r="C196" s="114"/>
      <c r="D196" s="115"/>
      <c r="E196" s="115"/>
      <c r="F196" s="113"/>
      <c r="G196" s="113"/>
      <c r="H196" s="116"/>
      <c r="I196" s="115"/>
      <c r="J196" s="115"/>
      <c r="K196" s="113"/>
      <c r="L196" s="113"/>
      <c r="M196" s="113"/>
      <c r="N196" s="113"/>
      <c r="O196" s="113"/>
      <c r="P196" s="113"/>
      <c r="Q196" s="113"/>
      <c r="R196" s="113"/>
      <c r="S196" s="113"/>
      <c r="T196" s="115"/>
      <c r="U196" s="113"/>
      <c r="V196" s="113"/>
      <c r="W196" s="113"/>
    </row>
    <row r="197" ht="15.75" customHeight="1">
      <c r="A197" s="113"/>
      <c r="B197" s="113"/>
      <c r="C197" s="114"/>
      <c r="D197" s="115"/>
      <c r="E197" s="115"/>
      <c r="F197" s="113"/>
      <c r="G197" s="113"/>
      <c r="H197" s="116"/>
      <c r="I197" s="115"/>
      <c r="J197" s="115"/>
      <c r="K197" s="113"/>
      <c r="L197" s="113"/>
      <c r="M197" s="113"/>
      <c r="N197" s="113"/>
      <c r="O197" s="113"/>
      <c r="P197" s="113"/>
      <c r="Q197" s="113"/>
      <c r="R197" s="113"/>
      <c r="S197" s="113"/>
      <c r="T197" s="115"/>
      <c r="U197" s="113"/>
      <c r="V197" s="113"/>
      <c r="W197" s="113"/>
    </row>
    <row r="198" ht="15.75" customHeight="1">
      <c r="A198" s="113"/>
      <c r="B198" s="113"/>
      <c r="C198" s="114"/>
      <c r="D198" s="115"/>
      <c r="E198" s="115"/>
      <c r="F198" s="113"/>
      <c r="G198" s="113"/>
      <c r="H198" s="116"/>
      <c r="I198" s="115"/>
      <c r="J198" s="115"/>
      <c r="K198" s="113"/>
      <c r="L198" s="113"/>
      <c r="M198" s="113"/>
      <c r="N198" s="113"/>
      <c r="O198" s="113"/>
      <c r="P198" s="113"/>
      <c r="Q198" s="113"/>
      <c r="R198" s="113"/>
      <c r="S198" s="113"/>
      <c r="T198" s="115"/>
      <c r="U198" s="113"/>
      <c r="V198" s="113"/>
      <c r="W198" s="113"/>
    </row>
    <row r="199" ht="15.75" customHeight="1">
      <c r="A199" s="113"/>
      <c r="B199" s="113"/>
      <c r="C199" s="114"/>
      <c r="D199" s="115"/>
      <c r="E199" s="115"/>
      <c r="F199" s="113"/>
      <c r="G199" s="113"/>
      <c r="H199" s="116"/>
      <c r="I199" s="115"/>
      <c r="J199" s="115"/>
      <c r="K199" s="113"/>
      <c r="L199" s="113"/>
      <c r="M199" s="113"/>
      <c r="N199" s="113"/>
      <c r="O199" s="113"/>
      <c r="P199" s="113"/>
      <c r="Q199" s="113"/>
      <c r="R199" s="113"/>
      <c r="S199" s="113"/>
      <c r="T199" s="115"/>
      <c r="U199" s="113"/>
      <c r="V199" s="113"/>
      <c r="W199" s="113"/>
    </row>
    <row r="200" ht="15.75" customHeight="1">
      <c r="A200" s="113"/>
      <c r="B200" s="113"/>
      <c r="C200" s="114"/>
      <c r="D200" s="115"/>
      <c r="E200" s="115"/>
      <c r="F200" s="113"/>
      <c r="G200" s="113"/>
      <c r="H200" s="116"/>
      <c r="I200" s="115"/>
      <c r="J200" s="115"/>
      <c r="K200" s="113"/>
      <c r="L200" s="113"/>
      <c r="M200" s="113"/>
      <c r="N200" s="113"/>
      <c r="O200" s="113"/>
      <c r="P200" s="113"/>
      <c r="Q200" s="113"/>
      <c r="R200" s="113"/>
      <c r="S200" s="113"/>
      <c r="T200" s="115"/>
      <c r="U200" s="113"/>
      <c r="V200" s="113"/>
      <c r="W200" s="113"/>
    </row>
    <row r="201" ht="15.75" customHeight="1">
      <c r="A201" s="113"/>
      <c r="B201" s="113"/>
      <c r="C201" s="114"/>
      <c r="D201" s="115"/>
      <c r="E201" s="115"/>
      <c r="F201" s="113"/>
      <c r="G201" s="113"/>
      <c r="H201" s="116"/>
      <c r="I201" s="115"/>
      <c r="J201" s="115"/>
      <c r="K201" s="113"/>
      <c r="L201" s="113"/>
      <c r="M201" s="113"/>
      <c r="N201" s="113"/>
      <c r="O201" s="113"/>
      <c r="P201" s="113"/>
      <c r="Q201" s="113"/>
      <c r="R201" s="113"/>
      <c r="S201" s="113"/>
      <c r="T201" s="115"/>
      <c r="U201" s="113"/>
      <c r="V201" s="113"/>
      <c r="W201" s="113"/>
    </row>
    <row r="202" ht="15.75" customHeight="1">
      <c r="A202" s="113"/>
      <c r="B202" s="113"/>
      <c r="C202" s="114"/>
      <c r="D202" s="115"/>
      <c r="E202" s="115"/>
      <c r="F202" s="113"/>
      <c r="G202" s="113"/>
      <c r="H202" s="116"/>
      <c r="I202" s="115"/>
      <c r="J202" s="115"/>
      <c r="K202" s="113"/>
      <c r="L202" s="113"/>
      <c r="M202" s="113"/>
      <c r="N202" s="113"/>
      <c r="O202" s="113"/>
      <c r="P202" s="113"/>
      <c r="Q202" s="113"/>
      <c r="R202" s="113"/>
      <c r="S202" s="113"/>
      <c r="T202" s="115"/>
      <c r="U202" s="113"/>
      <c r="V202" s="113"/>
      <c r="W202" s="113"/>
    </row>
    <row r="203" ht="15.75" customHeight="1">
      <c r="A203" s="113"/>
      <c r="B203" s="113"/>
      <c r="C203" s="114"/>
      <c r="D203" s="115"/>
      <c r="E203" s="115"/>
      <c r="F203" s="113"/>
      <c r="G203" s="113"/>
      <c r="H203" s="116"/>
      <c r="I203" s="115"/>
      <c r="J203" s="115"/>
      <c r="K203" s="113"/>
      <c r="L203" s="113"/>
      <c r="M203" s="113"/>
      <c r="N203" s="113"/>
      <c r="O203" s="113"/>
      <c r="P203" s="113"/>
      <c r="Q203" s="113"/>
      <c r="R203" s="113"/>
      <c r="S203" s="113"/>
      <c r="T203" s="115"/>
      <c r="U203" s="113"/>
      <c r="V203" s="113"/>
      <c r="W203" s="113"/>
    </row>
    <row r="204" ht="15.75" customHeight="1">
      <c r="A204" s="113"/>
      <c r="B204" s="113"/>
      <c r="C204" s="114"/>
      <c r="D204" s="115"/>
      <c r="E204" s="115"/>
      <c r="F204" s="113"/>
      <c r="G204" s="113"/>
      <c r="H204" s="116"/>
      <c r="I204" s="115"/>
      <c r="J204" s="115"/>
      <c r="K204" s="113"/>
      <c r="L204" s="113"/>
      <c r="M204" s="113"/>
      <c r="N204" s="113"/>
      <c r="O204" s="113"/>
      <c r="P204" s="113"/>
      <c r="Q204" s="113"/>
      <c r="R204" s="113"/>
      <c r="S204" s="113"/>
      <c r="T204" s="115"/>
      <c r="U204" s="113"/>
      <c r="V204" s="113"/>
      <c r="W204" s="113"/>
    </row>
    <row r="205" ht="15.75" customHeight="1">
      <c r="A205" s="113"/>
      <c r="B205" s="113"/>
      <c r="C205" s="114"/>
      <c r="D205" s="115"/>
      <c r="E205" s="115"/>
      <c r="F205" s="113"/>
      <c r="G205" s="113"/>
      <c r="H205" s="116"/>
      <c r="I205" s="115"/>
      <c r="J205" s="115"/>
      <c r="K205" s="113"/>
      <c r="L205" s="113"/>
      <c r="M205" s="113"/>
      <c r="N205" s="113"/>
      <c r="O205" s="113"/>
      <c r="P205" s="113"/>
      <c r="Q205" s="113"/>
      <c r="R205" s="113"/>
      <c r="S205" s="113"/>
      <c r="T205" s="115"/>
      <c r="U205" s="113"/>
      <c r="V205" s="113"/>
      <c r="W205" s="113"/>
    </row>
    <row r="206" ht="15.75" customHeight="1">
      <c r="A206" s="113"/>
      <c r="B206" s="113"/>
      <c r="C206" s="114"/>
      <c r="D206" s="115"/>
      <c r="E206" s="115"/>
      <c r="F206" s="113"/>
      <c r="G206" s="113"/>
      <c r="H206" s="116"/>
      <c r="I206" s="115"/>
      <c r="J206" s="115"/>
      <c r="K206" s="113"/>
      <c r="L206" s="113"/>
      <c r="M206" s="113"/>
      <c r="N206" s="113"/>
      <c r="O206" s="113"/>
      <c r="P206" s="113"/>
      <c r="Q206" s="113"/>
      <c r="R206" s="113"/>
      <c r="S206" s="113"/>
      <c r="T206" s="115"/>
      <c r="U206" s="113"/>
      <c r="V206" s="113"/>
      <c r="W206" s="113"/>
    </row>
    <row r="207" ht="15.75" customHeight="1">
      <c r="A207" s="113"/>
      <c r="B207" s="113"/>
      <c r="C207" s="114"/>
      <c r="D207" s="115"/>
      <c r="E207" s="115"/>
      <c r="F207" s="113"/>
      <c r="G207" s="113"/>
      <c r="H207" s="116"/>
      <c r="I207" s="115"/>
      <c r="J207" s="115"/>
      <c r="K207" s="113"/>
      <c r="L207" s="113"/>
      <c r="M207" s="113"/>
      <c r="N207" s="113"/>
      <c r="O207" s="113"/>
      <c r="P207" s="113"/>
      <c r="Q207" s="113"/>
      <c r="R207" s="113"/>
      <c r="S207" s="113"/>
      <c r="T207" s="115"/>
      <c r="U207" s="113"/>
      <c r="V207" s="113"/>
      <c r="W207" s="113"/>
    </row>
    <row r="208" ht="15.75" customHeight="1">
      <c r="A208" s="113"/>
      <c r="B208" s="113"/>
      <c r="C208" s="114"/>
      <c r="D208" s="115"/>
      <c r="E208" s="115"/>
      <c r="F208" s="113"/>
      <c r="G208" s="113"/>
      <c r="H208" s="116"/>
      <c r="I208" s="115"/>
      <c r="J208" s="115"/>
      <c r="K208" s="113"/>
      <c r="L208" s="113"/>
      <c r="M208" s="113"/>
      <c r="N208" s="113"/>
      <c r="O208" s="113"/>
      <c r="P208" s="113"/>
      <c r="Q208" s="113"/>
      <c r="R208" s="113"/>
      <c r="S208" s="113"/>
      <c r="T208" s="115"/>
      <c r="U208" s="113"/>
      <c r="V208" s="113"/>
      <c r="W208" s="113"/>
    </row>
    <row r="209" ht="15.75" customHeight="1">
      <c r="A209" s="113"/>
      <c r="B209" s="113"/>
      <c r="C209" s="114"/>
      <c r="D209" s="115"/>
      <c r="E209" s="115"/>
      <c r="F209" s="113"/>
      <c r="G209" s="113"/>
      <c r="H209" s="116"/>
      <c r="I209" s="115"/>
      <c r="J209" s="115"/>
      <c r="K209" s="113"/>
      <c r="L209" s="113"/>
      <c r="M209" s="113"/>
      <c r="N209" s="113"/>
      <c r="O209" s="113"/>
      <c r="P209" s="113"/>
      <c r="Q209" s="113"/>
      <c r="R209" s="113"/>
      <c r="S209" s="113"/>
      <c r="T209" s="115"/>
      <c r="U209" s="113"/>
      <c r="V209" s="113"/>
      <c r="W209" s="113"/>
    </row>
    <row r="210" ht="15.75" customHeight="1">
      <c r="A210" s="113"/>
      <c r="B210" s="113"/>
      <c r="C210" s="114"/>
      <c r="D210" s="115"/>
      <c r="E210" s="115"/>
      <c r="F210" s="113"/>
      <c r="G210" s="113"/>
      <c r="H210" s="116"/>
      <c r="I210" s="115"/>
      <c r="J210" s="115"/>
      <c r="K210" s="113"/>
      <c r="L210" s="113"/>
      <c r="M210" s="113"/>
      <c r="N210" s="113"/>
      <c r="O210" s="113"/>
      <c r="P210" s="113"/>
      <c r="Q210" s="113"/>
      <c r="R210" s="113"/>
      <c r="S210" s="113"/>
      <c r="T210" s="115"/>
      <c r="U210" s="113"/>
      <c r="V210" s="113"/>
      <c r="W210" s="113"/>
    </row>
    <row r="211" ht="15.75" customHeight="1">
      <c r="A211" s="113"/>
      <c r="B211" s="113"/>
      <c r="C211" s="114"/>
      <c r="D211" s="115"/>
      <c r="E211" s="115"/>
      <c r="F211" s="113"/>
      <c r="G211" s="113"/>
      <c r="H211" s="116"/>
      <c r="I211" s="115"/>
      <c r="J211" s="115"/>
      <c r="K211" s="113"/>
      <c r="L211" s="113"/>
      <c r="M211" s="113"/>
      <c r="N211" s="113"/>
      <c r="O211" s="113"/>
      <c r="P211" s="113"/>
      <c r="Q211" s="113"/>
      <c r="R211" s="113"/>
      <c r="S211" s="113"/>
      <c r="T211" s="115"/>
      <c r="U211" s="113"/>
      <c r="V211" s="113"/>
      <c r="W211" s="113"/>
    </row>
    <row r="212" ht="15.75" customHeight="1">
      <c r="A212" s="113"/>
      <c r="B212" s="113"/>
      <c r="C212" s="114"/>
      <c r="D212" s="115"/>
      <c r="E212" s="115"/>
      <c r="F212" s="113"/>
      <c r="G212" s="113"/>
      <c r="H212" s="116"/>
      <c r="I212" s="115"/>
      <c r="J212" s="115"/>
      <c r="K212" s="113"/>
      <c r="L212" s="113"/>
      <c r="M212" s="113"/>
      <c r="N212" s="113"/>
      <c r="O212" s="113"/>
      <c r="P212" s="113"/>
      <c r="Q212" s="113"/>
      <c r="R212" s="113"/>
      <c r="S212" s="113"/>
      <c r="T212" s="115"/>
      <c r="U212" s="113"/>
      <c r="V212" s="113"/>
      <c r="W212" s="113"/>
    </row>
    <row r="213" ht="15.75" customHeight="1">
      <c r="A213" s="113"/>
      <c r="B213" s="113"/>
      <c r="C213" s="114"/>
      <c r="D213" s="115"/>
      <c r="E213" s="115"/>
      <c r="F213" s="113"/>
      <c r="G213" s="113"/>
      <c r="H213" s="116"/>
      <c r="I213" s="115"/>
      <c r="J213" s="115"/>
      <c r="K213" s="113"/>
      <c r="L213" s="113"/>
      <c r="M213" s="113"/>
      <c r="N213" s="113"/>
      <c r="O213" s="113"/>
      <c r="P213" s="113"/>
      <c r="Q213" s="113"/>
      <c r="R213" s="113"/>
      <c r="S213" s="113"/>
      <c r="T213" s="115"/>
      <c r="U213" s="113"/>
      <c r="V213" s="113"/>
      <c r="W213" s="113"/>
    </row>
    <row r="214" ht="15.75" customHeight="1">
      <c r="A214" s="113"/>
      <c r="B214" s="113"/>
      <c r="C214" s="114"/>
      <c r="D214" s="115"/>
      <c r="E214" s="115"/>
      <c r="F214" s="113"/>
      <c r="G214" s="113"/>
      <c r="H214" s="116"/>
      <c r="I214" s="115"/>
      <c r="J214" s="115"/>
      <c r="K214" s="113"/>
      <c r="L214" s="113"/>
      <c r="M214" s="113"/>
      <c r="N214" s="113"/>
      <c r="O214" s="113"/>
      <c r="P214" s="113"/>
      <c r="Q214" s="113"/>
      <c r="R214" s="113"/>
      <c r="S214" s="113"/>
      <c r="T214" s="115"/>
      <c r="U214" s="113"/>
      <c r="V214" s="113"/>
      <c r="W214" s="113"/>
    </row>
    <row r="215" ht="15.75" customHeight="1">
      <c r="A215" s="113"/>
      <c r="B215" s="113"/>
      <c r="C215" s="114"/>
      <c r="D215" s="115"/>
      <c r="E215" s="115"/>
      <c r="F215" s="113"/>
      <c r="G215" s="113"/>
      <c r="H215" s="116"/>
      <c r="I215" s="115"/>
      <c r="J215" s="115"/>
      <c r="K215" s="113"/>
      <c r="L215" s="113"/>
      <c r="M215" s="113"/>
      <c r="N215" s="113"/>
      <c r="O215" s="113"/>
      <c r="P215" s="113"/>
      <c r="Q215" s="113"/>
      <c r="R215" s="113"/>
      <c r="S215" s="113"/>
      <c r="T215" s="115"/>
      <c r="U215" s="113"/>
      <c r="V215" s="113"/>
      <c r="W215" s="113"/>
    </row>
    <row r="216" ht="15.75" customHeight="1">
      <c r="A216" s="113"/>
      <c r="B216" s="113"/>
      <c r="C216" s="114"/>
      <c r="D216" s="115"/>
      <c r="E216" s="115"/>
      <c r="F216" s="113"/>
      <c r="G216" s="113"/>
      <c r="H216" s="116"/>
      <c r="I216" s="115"/>
      <c r="J216" s="115"/>
      <c r="K216" s="113"/>
      <c r="L216" s="113"/>
      <c r="M216" s="113"/>
      <c r="N216" s="113"/>
      <c r="O216" s="113"/>
      <c r="P216" s="113"/>
      <c r="Q216" s="113"/>
      <c r="R216" s="113"/>
      <c r="S216" s="113"/>
      <c r="T216" s="115"/>
      <c r="U216" s="113"/>
      <c r="V216" s="113"/>
      <c r="W216" s="113"/>
    </row>
    <row r="217" ht="15.75" customHeight="1">
      <c r="A217" s="113"/>
      <c r="B217" s="113"/>
      <c r="C217" s="114"/>
      <c r="D217" s="115"/>
      <c r="E217" s="115"/>
      <c r="F217" s="113"/>
      <c r="G217" s="113"/>
      <c r="H217" s="116"/>
      <c r="I217" s="115"/>
      <c r="J217" s="115"/>
      <c r="K217" s="113"/>
      <c r="L217" s="113"/>
      <c r="M217" s="113"/>
      <c r="N217" s="113"/>
      <c r="O217" s="113"/>
      <c r="P217" s="113"/>
      <c r="Q217" s="113"/>
      <c r="R217" s="113"/>
      <c r="S217" s="113"/>
      <c r="T217" s="115"/>
      <c r="U217" s="113"/>
      <c r="V217" s="113"/>
      <c r="W217" s="113"/>
    </row>
    <row r="218" ht="15.75" customHeight="1">
      <c r="A218" s="113"/>
      <c r="B218" s="113"/>
      <c r="C218" s="114"/>
      <c r="D218" s="115"/>
      <c r="E218" s="115"/>
      <c r="F218" s="113"/>
      <c r="G218" s="113"/>
      <c r="H218" s="116"/>
      <c r="I218" s="115"/>
      <c r="J218" s="115"/>
      <c r="K218" s="113"/>
      <c r="L218" s="113"/>
      <c r="M218" s="113"/>
      <c r="N218" s="113"/>
      <c r="O218" s="113"/>
      <c r="P218" s="113"/>
      <c r="Q218" s="113"/>
      <c r="R218" s="113"/>
      <c r="S218" s="113"/>
      <c r="T218" s="115"/>
      <c r="U218" s="113"/>
      <c r="V218" s="113"/>
      <c r="W218" s="113"/>
    </row>
    <row r="219" ht="15.75" customHeight="1">
      <c r="A219" s="113"/>
      <c r="B219" s="113"/>
      <c r="C219" s="114"/>
      <c r="D219" s="115"/>
      <c r="E219" s="115"/>
      <c r="F219" s="113"/>
      <c r="G219" s="113"/>
      <c r="H219" s="116"/>
      <c r="I219" s="115"/>
      <c r="J219" s="115"/>
      <c r="K219" s="113"/>
      <c r="L219" s="113"/>
      <c r="M219" s="113"/>
      <c r="N219" s="113"/>
      <c r="O219" s="113"/>
      <c r="P219" s="113"/>
      <c r="Q219" s="113"/>
      <c r="R219" s="113"/>
      <c r="S219" s="113"/>
      <c r="T219" s="115"/>
      <c r="U219" s="113"/>
      <c r="V219" s="113"/>
      <c r="W219" s="113"/>
    </row>
    <row r="220" ht="15.75" customHeight="1">
      <c r="A220" s="113"/>
      <c r="B220" s="113"/>
      <c r="C220" s="114"/>
      <c r="D220" s="115"/>
      <c r="E220" s="115"/>
      <c r="F220" s="113"/>
      <c r="G220" s="113"/>
      <c r="H220" s="116"/>
      <c r="I220" s="115"/>
      <c r="J220" s="115"/>
      <c r="K220" s="113"/>
      <c r="L220" s="113"/>
      <c r="M220" s="113"/>
      <c r="N220" s="113"/>
      <c r="O220" s="113"/>
      <c r="P220" s="113"/>
      <c r="Q220" s="113"/>
      <c r="R220" s="113"/>
      <c r="S220" s="113"/>
      <c r="T220" s="115"/>
      <c r="U220" s="113"/>
      <c r="V220" s="113"/>
      <c r="W220" s="113"/>
    </row>
    <row r="221" ht="15.75" customHeight="1">
      <c r="A221" s="113"/>
      <c r="B221" s="113"/>
      <c r="C221" s="114"/>
      <c r="D221" s="115"/>
      <c r="E221" s="115"/>
      <c r="F221" s="113"/>
      <c r="G221" s="113"/>
      <c r="H221" s="116"/>
      <c r="I221" s="115"/>
      <c r="J221" s="115"/>
      <c r="K221" s="113"/>
      <c r="L221" s="113"/>
      <c r="M221" s="113"/>
      <c r="N221" s="113"/>
      <c r="O221" s="113"/>
      <c r="P221" s="113"/>
      <c r="Q221" s="113"/>
      <c r="R221" s="113"/>
      <c r="S221" s="113"/>
      <c r="T221" s="115"/>
      <c r="U221" s="113"/>
      <c r="V221" s="113"/>
      <c r="W221" s="113"/>
    </row>
    <row r="222" ht="15.75" customHeight="1">
      <c r="A222" s="113"/>
      <c r="B222" s="113"/>
      <c r="C222" s="114"/>
      <c r="D222" s="115"/>
      <c r="E222" s="115"/>
      <c r="F222" s="113"/>
      <c r="G222" s="113"/>
      <c r="H222" s="116"/>
      <c r="I222" s="115"/>
      <c r="J222" s="115"/>
      <c r="K222" s="113"/>
      <c r="L222" s="113"/>
      <c r="M222" s="113"/>
      <c r="N222" s="113"/>
      <c r="O222" s="113"/>
      <c r="P222" s="113"/>
      <c r="Q222" s="113"/>
      <c r="R222" s="113"/>
      <c r="S222" s="113"/>
      <c r="T222" s="115"/>
      <c r="U222" s="113"/>
      <c r="V222" s="113"/>
      <c r="W222" s="113"/>
    </row>
    <row r="223" ht="15.75" customHeight="1">
      <c r="A223" s="113"/>
      <c r="B223" s="113"/>
      <c r="C223" s="114"/>
      <c r="D223" s="115"/>
      <c r="E223" s="115"/>
      <c r="F223" s="113"/>
      <c r="G223" s="113"/>
      <c r="H223" s="116"/>
      <c r="I223" s="115"/>
      <c r="J223" s="115"/>
      <c r="K223" s="113"/>
      <c r="L223" s="113"/>
      <c r="M223" s="113"/>
      <c r="N223" s="113"/>
      <c r="O223" s="113"/>
      <c r="P223" s="113"/>
      <c r="Q223" s="113"/>
      <c r="R223" s="113"/>
      <c r="S223" s="113"/>
      <c r="T223" s="115"/>
      <c r="U223" s="113"/>
      <c r="V223" s="113"/>
      <c r="W223" s="113"/>
    </row>
    <row r="224" ht="15.75" customHeight="1">
      <c r="A224" s="113"/>
      <c r="B224" s="113"/>
      <c r="C224" s="114"/>
      <c r="D224" s="115"/>
      <c r="E224" s="115"/>
      <c r="F224" s="113"/>
      <c r="G224" s="113"/>
      <c r="H224" s="116"/>
      <c r="I224" s="115"/>
      <c r="J224" s="115"/>
      <c r="K224" s="113"/>
      <c r="L224" s="113"/>
      <c r="M224" s="113"/>
      <c r="N224" s="113"/>
      <c r="O224" s="113"/>
      <c r="P224" s="113"/>
      <c r="Q224" s="113"/>
      <c r="R224" s="113"/>
      <c r="S224" s="113"/>
      <c r="T224" s="115"/>
      <c r="U224" s="113"/>
      <c r="V224" s="113"/>
      <c r="W224" s="113"/>
    </row>
    <row r="225" ht="15.75" customHeight="1">
      <c r="A225" s="113"/>
      <c r="B225" s="113"/>
      <c r="C225" s="114"/>
      <c r="D225" s="115"/>
      <c r="E225" s="115"/>
      <c r="F225" s="113"/>
      <c r="G225" s="113"/>
      <c r="H225" s="116"/>
      <c r="I225" s="115"/>
      <c r="J225" s="115"/>
      <c r="K225" s="113"/>
      <c r="L225" s="113"/>
      <c r="M225" s="113"/>
      <c r="N225" s="113"/>
      <c r="O225" s="113"/>
      <c r="P225" s="113"/>
      <c r="Q225" s="113"/>
      <c r="R225" s="113"/>
      <c r="S225" s="113"/>
      <c r="T225" s="115"/>
      <c r="U225" s="113"/>
      <c r="V225" s="113"/>
      <c r="W225" s="113"/>
    </row>
    <row r="226" ht="15.75" customHeight="1">
      <c r="A226" s="113"/>
      <c r="B226" s="113"/>
      <c r="C226" s="114"/>
      <c r="D226" s="115"/>
      <c r="E226" s="115"/>
      <c r="F226" s="113"/>
      <c r="G226" s="113"/>
      <c r="H226" s="116"/>
      <c r="I226" s="115"/>
      <c r="J226" s="115"/>
      <c r="K226" s="113"/>
      <c r="L226" s="113"/>
      <c r="M226" s="113"/>
      <c r="N226" s="113"/>
      <c r="O226" s="113"/>
      <c r="P226" s="113"/>
      <c r="Q226" s="113"/>
      <c r="R226" s="113"/>
      <c r="S226" s="113"/>
      <c r="T226" s="115"/>
      <c r="U226" s="113"/>
      <c r="V226" s="113"/>
      <c r="W226" s="113"/>
    </row>
    <row r="227" ht="15.75" customHeight="1">
      <c r="A227" s="113"/>
      <c r="B227" s="113"/>
      <c r="C227" s="114"/>
      <c r="D227" s="115"/>
      <c r="E227" s="115"/>
      <c r="F227" s="113"/>
      <c r="G227" s="113"/>
      <c r="H227" s="116"/>
      <c r="I227" s="115"/>
      <c r="J227" s="115"/>
      <c r="K227" s="113"/>
      <c r="L227" s="113"/>
      <c r="M227" s="113"/>
      <c r="N227" s="113"/>
      <c r="O227" s="113"/>
      <c r="P227" s="113"/>
      <c r="Q227" s="113"/>
      <c r="R227" s="113"/>
      <c r="S227" s="113"/>
      <c r="T227" s="115"/>
      <c r="U227" s="113"/>
      <c r="V227" s="113"/>
      <c r="W227" s="113"/>
    </row>
    <row r="228" ht="15.75" customHeight="1">
      <c r="A228" s="113"/>
      <c r="B228" s="113"/>
      <c r="C228" s="114"/>
      <c r="D228" s="115"/>
      <c r="E228" s="115"/>
      <c r="F228" s="113"/>
      <c r="G228" s="113"/>
      <c r="H228" s="116"/>
      <c r="I228" s="115"/>
      <c r="J228" s="115"/>
      <c r="K228" s="113"/>
      <c r="L228" s="113"/>
      <c r="M228" s="113"/>
      <c r="N228" s="113"/>
      <c r="O228" s="113"/>
      <c r="P228" s="113"/>
      <c r="Q228" s="113"/>
      <c r="R228" s="113"/>
      <c r="S228" s="113"/>
      <c r="T228" s="115"/>
      <c r="U228" s="113"/>
      <c r="V228" s="113"/>
      <c r="W228" s="113"/>
    </row>
    <row r="229" ht="15.75" customHeight="1">
      <c r="A229" s="113"/>
      <c r="B229" s="113"/>
      <c r="C229" s="114"/>
      <c r="D229" s="115"/>
      <c r="E229" s="115"/>
      <c r="F229" s="113"/>
      <c r="G229" s="113"/>
      <c r="H229" s="116"/>
      <c r="I229" s="115"/>
      <c r="J229" s="115"/>
      <c r="K229" s="113"/>
      <c r="L229" s="113"/>
      <c r="M229" s="113"/>
      <c r="N229" s="113"/>
      <c r="O229" s="113"/>
      <c r="P229" s="113"/>
      <c r="Q229" s="113"/>
      <c r="R229" s="113"/>
      <c r="S229" s="113"/>
      <c r="T229" s="115"/>
      <c r="U229" s="113"/>
      <c r="V229" s="113"/>
      <c r="W229" s="113"/>
    </row>
    <row r="230" ht="15.75" customHeight="1">
      <c r="A230" s="113"/>
      <c r="B230" s="113"/>
      <c r="C230" s="114"/>
      <c r="D230" s="115"/>
      <c r="E230" s="115"/>
      <c r="F230" s="113"/>
      <c r="G230" s="113"/>
      <c r="H230" s="116"/>
      <c r="I230" s="115"/>
      <c r="J230" s="115"/>
      <c r="K230" s="113"/>
      <c r="L230" s="113"/>
      <c r="M230" s="113"/>
      <c r="N230" s="113"/>
      <c r="O230" s="113"/>
      <c r="P230" s="113"/>
      <c r="Q230" s="113"/>
      <c r="R230" s="113"/>
      <c r="S230" s="113"/>
      <c r="T230" s="115"/>
      <c r="U230" s="113"/>
      <c r="V230" s="113"/>
      <c r="W230" s="113"/>
    </row>
    <row r="231" ht="15.75" customHeight="1">
      <c r="A231" s="113"/>
      <c r="B231" s="113"/>
      <c r="C231" s="114"/>
      <c r="D231" s="115"/>
      <c r="E231" s="115"/>
      <c r="F231" s="113"/>
      <c r="G231" s="113"/>
      <c r="H231" s="116"/>
      <c r="I231" s="115"/>
      <c r="J231" s="115"/>
      <c r="K231" s="113"/>
      <c r="L231" s="113"/>
      <c r="M231" s="113"/>
      <c r="N231" s="113"/>
      <c r="O231" s="113"/>
      <c r="P231" s="113"/>
      <c r="Q231" s="113"/>
      <c r="R231" s="113"/>
      <c r="S231" s="113"/>
      <c r="T231" s="115"/>
      <c r="U231" s="113"/>
      <c r="V231" s="113"/>
      <c r="W231" s="113"/>
    </row>
    <row r="232" ht="15.75" customHeight="1">
      <c r="A232" s="113"/>
      <c r="B232" s="113"/>
      <c r="C232" s="114"/>
      <c r="D232" s="115"/>
      <c r="E232" s="115"/>
      <c r="F232" s="113"/>
      <c r="G232" s="113"/>
      <c r="H232" s="116"/>
      <c r="I232" s="115"/>
      <c r="J232" s="115"/>
      <c r="K232" s="113"/>
      <c r="L232" s="113"/>
      <c r="M232" s="113"/>
      <c r="N232" s="113"/>
      <c r="O232" s="113"/>
      <c r="P232" s="113"/>
      <c r="Q232" s="113"/>
      <c r="R232" s="113"/>
      <c r="S232" s="113"/>
      <c r="T232" s="115"/>
      <c r="U232" s="113"/>
      <c r="V232" s="113"/>
      <c r="W232" s="113"/>
    </row>
    <row r="233" ht="15.75" customHeight="1">
      <c r="A233" s="113"/>
      <c r="B233" s="113"/>
      <c r="C233" s="114"/>
      <c r="D233" s="115"/>
      <c r="E233" s="115"/>
      <c r="F233" s="113"/>
      <c r="G233" s="113"/>
      <c r="H233" s="116"/>
      <c r="I233" s="115"/>
      <c r="J233" s="115"/>
      <c r="K233" s="113"/>
      <c r="L233" s="113"/>
      <c r="M233" s="113"/>
      <c r="N233" s="113"/>
      <c r="O233" s="113"/>
      <c r="P233" s="113"/>
      <c r="Q233" s="113"/>
      <c r="R233" s="113"/>
      <c r="S233" s="113"/>
      <c r="T233" s="115"/>
      <c r="U233" s="113"/>
      <c r="V233" s="113"/>
      <c r="W233" s="113"/>
    </row>
    <row r="234" ht="15.75" customHeight="1">
      <c r="A234" s="113"/>
      <c r="B234" s="113"/>
      <c r="C234" s="114"/>
      <c r="D234" s="115"/>
      <c r="E234" s="115"/>
      <c r="F234" s="113"/>
      <c r="G234" s="113"/>
      <c r="H234" s="116"/>
      <c r="I234" s="115"/>
      <c r="J234" s="115"/>
      <c r="K234" s="113"/>
      <c r="L234" s="113"/>
      <c r="M234" s="113"/>
      <c r="N234" s="113"/>
      <c r="O234" s="113"/>
      <c r="P234" s="113"/>
      <c r="Q234" s="113"/>
      <c r="R234" s="113"/>
      <c r="S234" s="113"/>
      <c r="T234" s="115"/>
      <c r="U234" s="113"/>
      <c r="V234" s="113"/>
      <c r="W234" s="113"/>
    </row>
    <row r="235" ht="15.75" customHeight="1">
      <c r="A235" s="113"/>
      <c r="B235" s="113"/>
      <c r="C235" s="114"/>
      <c r="D235" s="115"/>
      <c r="E235" s="115"/>
      <c r="F235" s="113"/>
      <c r="G235" s="113"/>
      <c r="H235" s="116"/>
      <c r="I235" s="115"/>
      <c r="J235" s="115"/>
      <c r="K235" s="113"/>
      <c r="L235" s="113"/>
      <c r="M235" s="113"/>
      <c r="N235" s="113"/>
      <c r="O235" s="113"/>
      <c r="P235" s="113"/>
      <c r="Q235" s="113"/>
      <c r="R235" s="113"/>
      <c r="S235" s="113"/>
      <c r="T235" s="115"/>
      <c r="U235" s="113"/>
      <c r="V235" s="113"/>
      <c r="W235" s="113"/>
    </row>
    <row r="236" ht="15.75" customHeight="1">
      <c r="A236" s="113"/>
      <c r="B236" s="113"/>
      <c r="C236" s="114"/>
      <c r="D236" s="115"/>
      <c r="E236" s="115"/>
      <c r="F236" s="113"/>
      <c r="G236" s="113"/>
      <c r="H236" s="116"/>
      <c r="I236" s="115"/>
      <c r="J236" s="115"/>
      <c r="K236" s="113"/>
      <c r="L236" s="113"/>
      <c r="M236" s="113"/>
      <c r="N236" s="113"/>
      <c r="O236" s="113"/>
      <c r="P236" s="113"/>
      <c r="Q236" s="113"/>
      <c r="R236" s="113"/>
      <c r="S236" s="113"/>
      <c r="T236" s="115"/>
      <c r="U236" s="113"/>
      <c r="V236" s="113"/>
      <c r="W236" s="113"/>
    </row>
    <row r="237" ht="15.75" customHeight="1">
      <c r="A237" s="113"/>
      <c r="B237" s="113"/>
      <c r="C237" s="114"/>
      <c r="D237" s="115"/>
      <c r="E237" s="115"/>
      <c r="F237" s="113"/>
      <c r="G237" s="113"/>
      <c r="H237" s="116"/>
      <c r="I237" s="115"/>
      <c r="J237" s="115"/>
      <c r="K237" s="113"/>
      <c r="L237" s="113"/>
      <c r="M237" s="113"/>
      <c r="N237" s="113"/>
      <c r="O237" s="113"/>
      <c r="P237" s="113"/>
      <c r="Q237" s="113"/>
      <c r="R237" s="113"/>
      <c r="S237" s="113"/>
      <c r="T237" s="115"/>
      <c r="U237" s="113"/>
      <c r="V237" s="113"/>
      <c r="W237" s="113"/>
    </row>
    <row r="238" ht="15.75" customHeight="1">
      <c r="A238" s="113"/>
      <c r="B238" s="113"/>
      <c r="C238" s="114"/>
      <c r="D238" s="115"/>
      <c r="E238" s="115"/>
      <c r="F238" s="113"/>
      <c r="G238" s="113"/>
      <c r="H238" s="116"/>
      <c r="I238" s="115"/>
      <c r="J238" s="115"/>
      <c r="K238" s="113"/>
      <c r="L238" s="113"/>
      <c r="M238" s="113"/>
      <c r="N238" s="113"/>
      <c r="O238" s="113"/>
      <c r="P238" s="113"/>
      <c r="Q238" s="113"/>
      <c r="R238" s="113"/>
      <c r="S238" s="113"/>
      <c r="T238" s="115"/>
      <c r="U238" s="113"/>
      <c r="V238" s="113"/>
      <c r="W238" s="113"/>
    </row>
    <row r="239" ht="15.75" customHeight="1">
      <c r="A239" s="113"/>
      <c r="B239" s="113"/>
      <c r="C239" s="114"/>
      <c r="D239" s="115"/>
      <c r="E239" s="115"/>
      <c r="F239" s="113"/>
      <c r="G239" s="113"/>
      <c r="H239" s="116"/>
      <c r="I239" s="115"/>
      <c r="J239" s="115"/>
      <c r="K239" s="113"/>
      <c r="L239" s="113"/>
      <c r="M239" s="113"/>
      <c r="N239" s="113"/>
      <c r="O239" s="113"/>
      <c r="P239" s="113"/>
      <c r="Q239" s="113"/>
      <c r="R239" s="113"/>
      <c r="S239" s="113"/>
      <c r="T239" s="115"/>
      <c r="U239" s="113"/>
      <c r="V239" s="113"/>
      <c r="W239" s="113"/>
    </row>
    <row r="240" ht="15.75" customHeight="1">
      <c r="A240" s="113"/>
      <c r="B240" s="113"/>
      <c r="C240" s="114"/>
      <c r="D240" s="115"/>
      <c r="E240" s="115"/>
      <c r="F240" s="113"/>
      <c r="G240" s="113"/>
      <c r="H240" s="116"/>
      <c r="I240" s="115"/>
      <c r="J240" s="115"/>
      <c r="K240" s="113"/>
      <c r="L240" s="113"/>
      <c r="M240" s="113"/>
      <c r="N240" s="113"/>
      <c r="O240" s="113"/>
      <c r="P240" s="113"/>
      <c r="Q240" s="113"/>
      <c r="R240" s="113"/>
      <c r="S240" s="113"/>
      <c r="T240" s="115"/>
      <c r="U240" s="113"/>
      <c r="V240" s="113"/>
      <c r="W240" s="113"/>
    </row>
    <row r="241" ht="15.75" customHeight="1">
      <c r="A241" s="113"/>
      <c r="B241" s="113"/>
      <c r="C241" s="114"/>
      <c r="D241" s="115"/>
      <c r="E241" s="115"/>
      <c r="F241" s="113"/>
      <c r="G241" s="113"/>
      <c r="H241" s="116"/>
      <c r="I241" s="115"/>
      <c r="J241" s="115"/>
      <c r="K241" s="113"/>
      <c r="L241" s="113"/>
      <c r="M241" s="113"/>
      <c r="N241" s="113"/>
      <c r="O241" s="113"/>
      <c r="P241" s="113"/>
      <c r="Q241" s="113"/>
      <c r="R241" s="113"/>
      <c r="S241" s="113"/>
      <c r="T241" s="115"/>
      <c r="U241" s="113"/>
      <c r="V241" s="113"/>
      <c r="W241" s="113"/>
    </row>
    <row r="242" ht="15.75" customHeight="1">
      <c r="A242" s="113"/>
      <c r="B242" s="113"/>
      <c r="C242" s="114"/>
      <c r="D242" s="115"/>
      <c r="E242" s="115"/>
      <c r="F242" s="113"/>
      <c r="G242" s="113"/>
      <c r="H242" s="116"/>
      <c r="I242" s="115"/>
      <c r="J242" s="115"/>
      <c r="K242" s="113"/>
      <c r="L242" s="113"/>
      <c r="M242" s="113"/>
      <c r="N242" s="113"/>
      <c r="O242" s="113"/>
      <c r="P242" s="113"/>
      <c r="Q242" s="113"/>
      <c r="R242" s="113"/>
      <c r="S242" s="113"/>
      <c r="T242" s="115"/>
      <c r="U242" s="113"/>
      <c r="V242" s="113"/>
      <c r="W242" s="113"/>
    </row>
    <row r="243" ht="15.75" customHeight="1">
      <c r="A243" s="113"/>
      <c r="B243" s="113"/>
      <c r="C243" s="114"/>
      <c r="D243" s="115"/>
      <c r="E243" s="115"/>
      <c r="F243" s="113"/>
      <c r="G243" s="113"/>
      <c r="H243" s="116"/>
      <c r="I243" s="115"/>
      <c r="J243" s="115"/>
      <c r="K243" s="113"/>
      <c r="L243" s="113"/>
      <c r="M243" s="113"/>
      <c r="N243" s="113"/>
      <c r="O243" s="113"/>
      <c r="P243" s="113"/>
      <c r="Q243" s="113"/>
      <c r="R243" s="113"/>
      <c r="S243" s="113"/>
      <c r="T243" s="115"/>
      <c r="U243" s="113"/>
      <c r="V243" s="113"/>
      <c r="W243" s="113"/>
    </row>
    <row r="244" ht="15.75" customHeight="1">
      <c r="A244" s="113"/>
      <c r="B244" s="113"/>
      <c r="C244" s="114"/>
      <c r="D244" s="115"/>
      <c r="E244" s="115"/>
      <c r="F244" s="113"/>
      <c r="G244" s="113"/>
      <c r="H244" s="116"/>
      <c r="I244" s="115"/>
      <c r="J244" s="115"/>
      <c r="K244" s="113"/>
      <c r="L244" s="113"/>
      <c r="M244" s="113"/>
      <c r="N244" s="113"/>
      <c r="O244" s="113"/>
      <c r="P244" s="113"/>
      <c r="Q244" s="113"/>
      <c r="R244" s="113"/>
      <c r="S244" s="113"/>
      <c r="T244" s="115"/>
      <c r="U244" s="113"/>
      <c r="V244" s="113"/>
      <c r="W244" s="113"/>
    </row>
    <row r="245" ht="15.75" customHeight="1">
      <c r="A245" s="113"/>
      <c r="B245" s="113"/>
      <c r="C245" s="114"/>
      <c r="D245" s="115"/>
      <c r="E245" s="115"/>
      <c r="F245" s="113"/>
      <c r="G245" s="113"/>
      <c r="H245" s="116"/>
      <c r="I245" s="115"/>
      <c r="J245" s="115"/>
      <c r="K245" s="113"/>
      <c r="L245" s="113"/>
      <c r="M245" s="113"/>
      <c r="N245" s="113"/>
      <c r="O245" s="113"/>
      <c r="P245" s="113"/>
      <c r="Q245" s="113"/>
      <c r="R245" s="113"/>
      <c r="S245" s="113"/>
      <c r="T245" s="115"/>
      <c r="U245" s="113"/>
      <c r="V245" s="113"/>
      <c r="W245" s="113"/>
    </row>
    <row r="246" ht="15.75" customHeight="1">
      <c r="A246" s="113"/>
      <c r="B246" s="113"/>
      <c r="C246" s="114"/>
      <c r="D246" s="115"/>
      <c r="E246" s="115"/>
      <c r="F246" s="113"/>
      <c r="G246" s="113"/>
      <c r="H246" s="116"/>
      <c r="I246" s="115"/>
      <c r="J246" s="115"/>
      <c r="K246" s="113"/>
      <c r="L246" s="113"/>
      <c r="M246" s="113"/>
      <c r="N246" s="113"/>
      <c r="O246" s="113"/>
      <c r="P246" s="113"/>
      <c r="Q246" s="113"/>
      <c r="R246" s="113"/>
      <c r="S246" s="113"/>
      <c r="T246" s="115"/>
      <c r="U246" s="113"/>
      <c r="V246" s="113"/>
      <c r="W246" s="113"/>
    </row>
    <row r="247" ht="15.75" customHeight="1">
      <c r="A247" s="113"/>
      <c r="B247" s="113"/>
      <c r="C247" s="114"/>
      <c r="D247" s="115"/>
      <c r="E247" s="115"/>
      <c r="F247" s="113"/>
      <c r="G247" s="113"/>
      <c r="H247" s="116"/>
      <c r="I247" s="115"/>
      <c r="J247" s="115"/>
      <c r="K247" s="113"/>
      <c r="L247" s="113"/>
      <c r="M247" s="113"/>
      <c r="N247" s="113"/>
      <c r="O247" s="113"/>
      <c r="P247" s="113"/>
      <c r="Q247" s="113"/>
      <c r="R247" s="113"/>
      <c r="S247" s="113"/>
      <c r="T247" s="115"/>
      <c r="U247" s="113"/>
      <c r="V247" s="113"/>
      <c r="W247" s="113"/>
    </row>
    <row r="248" ht="15.75" customHeight="1">
      <c r="A248" s="113"/>
      <c r="B248" s="113"/>
      <c r="C248" s="114"/>
      <c r="D248" s="115"/>
      <c r="E248" s="115"/>
      <c r="F248" s="113"/>
      <c r="G248" s="113"/>
      <c r="H248" s="116"/>
      <c r="I248" s="115"/>
      <c r="J248" s="115"/>
      <c r="K248" s="113"/>
      <c r="L248" s="113"/>
      <c r="M248" s="113"/>
      <c r="N248" s="113"/>
      <c r="O248" s="113"/>
      <c r="P248" s="113"/>
      <c r="Q248" s="113"/>
      <c r="R248" s="113"/>
      <c r="S248" s="113"/>
      <c r="T248" s="115"/>
      <c r="U248" s="113"/>
      <c r="V248" s="113"/>
      <c r="W248" s="113"/>
    </row>
    <row r="249" ht="15.75" customHeight="1">
      <c r="A249" s="113"/>
      <c r="B249" s="113"/>
      <c r="C249" s="114"/>
      <c r="D249" s="115"/>
      <c r="E249" s="115"/>
      <c r="F249" s="113"/>
      <c r="G249" s="113"/>
      <c r="H249" s="116"/>
      <c r="I249" s="115"/>
      <c r="J249" s="115"/>
      <c r="K249" s="113"/>
      <c r="L249" s="113"/>
      <c r="M249" s="113"/>
      <c r="N249" s="113"/>
      <c r="O249" s="113"/>
      <c r="P249" s="113"/>
      <c r="Q249" s="113"/>
      <c r="R249" s="113"/>
      <c r="S249" s="113"/>
      <c r="T249" s="115"/>
      <c r="U249" s="113"/>
      <c r="V249" s="113"/>
      <c r="W249" s="113"/>
    </row>
    <row r="250" ht="15.75" customHeight="1">
      <c r="A250" s="113"/>
      <c r="B250" s="113"/>
      <c r="C250" s="114"/>
      <c r="D250" s="115"/>
      <c r="E250" s="115"/>
      <c r="F250" s="113"/>
      <c r="G250" s="113"/>
      <c r="H250" s="116"/>
      <c r="I250" s="115"/>
      <c r="J250" s="115"/>
      <c r="K250" s="113"/>
      <c r="L250" s="113"/>
      <c r="M250" s="113"/>
      <c r="N250" s="113"/>
      <c r="O250" s="113"/>
      <c r="P250" s="113"/>
      <c r="Q250" s="113"/>
      <c r="R250" s="113"/>
      <c r="S250" s="113"/>
      <c r="T250" s="115"/>
      <c r="U250" s="113"/>
      <c r="V250" s="113"/>
      <c r="W250" s="113"/>
    </row>
    <row r="251" ht="15.75" customHeight="1">
      <c r="A251" s="113"/>
      <c r="B251" s="113"/>
      <c r="C251" s="114"/>
      <c r="D251" s="115"/>
      <c r="E251" s="115"/>
      <c r="F251" s="113"/>
      <c r="G251" s="113"/>
      <c r="H251" s="116"/>
      <c r="I251" s="115"/>
      <c r="J251" s="115"/>
      <c r="K251" s="113"/>
      <c r="L251" s="113"/>
      <c r="M251" s="113"/>
      <c r="N251" s="113"/>
      <c r="O251" s="113"/>
      <c r="P251" s="113"/>
      <c r="Q251" s="113"/>
      <c r="R251" s="113"/>
      <c r="S251" s="113"/>
      <c r="T251" s="115"/>
      <c r="U251" s="113"/>
      <c r="V251" s="113"/>
      <c r="W251" s="113"/>
    </row>
    <row r="252" ht="15.75" customHeight="1">
      <c r="A252" s="113"/>
      <c r="B252" s="113"/>
      <c r="C252" s="114"/>
      <c r="D252" s="115"/>
      <c r="E252" s="115"/>
      <c r="F252" s="113"/>
      <c r="G252" s="113"/>
      <c r="H252" s="116"/>
      <c r="I252" s="115"/>
      <c r="J252" s="115"/>
      <c r="K252" s="113"/>
      <c r="L252" s="113"/>
      <c r="M252" s="113"/>
      <c r="N252" s="113"/>
      <c r="O252" s="113"/>
      <c r="P252" s="113"/>
      <c r="Q252" s="113"/>
      <c r="R252" s="113"/>
      <c r="S252" s="113"/>
      <c r="T252" s="115"/>
      <c r="U252" s="113"/>
      <c r="V252" s="113"/>
      <c r="W252" s="113"/>
    </row>
    <row r="253" ht="15.75" customHeight="1">
      <c r="A253" s="113"/>
      <c r="B253" s="113"/>
      <c r="C253" s="114"/>
      <c r="D253" s="115"/>
      <c r="E253" s="115"/>
      <c r="F253" s="113"/>
      <c r="G253" s="113"/>
      <c r="H253" s="116"/>
      <c r="I253" s="115"/>
      <c r="J253" s="115"/>
      <c r="K253" s="113"/>
      <c r="L253" s="113"/>
      <c r="M253" s="113"/>
      <c r="N253" s="113"/>
      <c r="O253" s="113"/>
      <c r="P253" s="113"/>
      <c r="Q253" s="113"/>
      <c r="R253" s="113"/>
      <c r="S253" s="113"/>
      <c r="T253" s="115"/>
      <c r="U253" s="113"/>
      <c r="V253" s="113"/>
      <c r="W253" s="113"/>
    </row>
    <row r="254" ht="15.75" customHeight="1">
      <c r="A254" s="113"/>
      <c r="B254" s="113"/>
      <c r="C254" s="114"/>
      <c r="D254" s="115"/>
      <c r="E254" s="115"/>
      <c r="F254" s="113"/>
      <c r="G254" s="113"/>
      <c r="H254" s="116"/>
      <c r="I254" s="115"/>
      <c r="J254" s="115"/>
      <c r="K254" s="113"/>
      <c r="L254" s="113"/>
      <c r="M254" s="113"/>
      <c r="N254" s="113"/>
      <c r="O254" s="113"/>
      <c r="P254" s="113"/>
      <c r="Q254" s="113"/>
      <c r="R254" s="113"/>
      <c r="S254" s="113"/>
      <c r="T254" s="115"/>
      <c r="U254" s="113"/>
      <c r="V254" s="113"/>
      <c r="W254" s="113"/>
    </row>
    <row r="255" ht="15.75" customHeight="1">
      <c r="A255" s="113"/>
      <c r="B255" s="113"/>
      <c r="C255" s="114"/>
      <c r="D255" s="115"/>
      <c r="E255" s="115"/>
      <c r="F255" s="113"/>
      <c r="G255" s="113"/>
      <c r="H255" s="116"/>
      <c r="I255" s="115"/>
      <c r="J255" s="115"/>
      <c r="K255" s="113"/>
      <c r="L255" s="113"/>
      <c r="M255" s="113"/>
      <c r="N255" s="113"/>
      <c r="O255" s="113"/>
      <c r="P255" s="113"/>
      <c r="Q255" s="113"/>
      <c r="R255" s="113"/>
      <c r="S255" s="113"/>
      <c r="T255" s="115"/>
      <c r="U255" s="113"/>
      <c r="V255" s="113"/>
      <c r="W255" s="113"/>
    </row>
    <row r="256" ht="15.75" customHeight="1">
      <c r="A256" s="113"/>
      <c r="B256" s="113"/>
      <c r="C256" s="114"/>
      <c r="D256" s="115"/>
      <c r="E256" s="115"/>
      <c r="F256" s="113"/>
      <c r="G256" s="113"/>
      <c r="H256" s="116"/>
      <c r="I256" s="115"/>
      <c r="J256" s="115"/>
      <c r="K256" s="113"/>
      <c r="L256" s="113"/>
      <c r="M256" s="113"/>
      <c r="N256" s="113"/>
      <c r="O256" s="113"/>
      <c r="P256" s="113"/>
      <c r="Q256" s="113"/>
      <c r="R256" s="113"/>
      <c r="S256" s="113"/>
      <c r="T256" s="115"/>
      <c r="U256" s="113"/>
      <c r="V256" s="113"/>
      <c r="W256" s="113"/>
    </row>
    <row r="257" ht="15.75" customHeight="1">
      <c r="A257" s="113"/>
      <c r="B257" s="113"/>
      <c r="C257" s="114"/>
      <c r="D257" s="115"/>
      <c r="E257" s="115"/>
      <c r="F257" s="113"/>
      <c r="G257" s="113"/>
      <c r="H257" s="116"/>
      <c r="I257" s="115"/>
      <c r="J257" s="115"/>
      <c r="K257" s="113"/>
      <c r="L257" s="113"/>
      <c r="M257" s="113"/>
      <c r="N257" s="113"/>
      <c r="O257" s="113"/>
      <c r="P257" s="113"/>
      <c r="Q257" s="113"/>
      <c r="R257" s="113"/>
      <c r="S257" s="113"/>
      <c r="T257" s="115"/>
      <c r="U257" s="113"/>
      <c r="V257" s="113"/>
      <c r="W257" s="113"/>
    </row>
    <row r="258" ht="15.75" customHeight="1">
      <c r="A258" s="113"/>
      <c r="B258" s="113"/>
      <c r="C258" s="114"/>
      <c r="D258" s="115"/>
      <c r="E258" s="115"/>
      <c r="F258" s="113"/>
      <c r="G258" s="113"/>
      <c r="H258" s="116"/>
      <c r="I258" s="115"/>
      <c r="J258" s="115"/>
      <c r="K258" s="113"/>
      <c r="L258" s="113"/>
      <c r="M258" s="113"/>
      <c r="N258" s="113"/>
      <c r="O258" s="113"/>
      <c r="P258" s="113"/>
      <c r="Q258" s="113"/>
      <c r="R258" s="113"/>
      <c r="S258" s="113"/>
      <c r="T258" s="115"/>
      <c r="U258" s="113"/>
      <c r="V258" s="113"/>
      <c r="W258" s="113"/>
    </row>
    <row r="259" ht="15.75" customHeight="1">
      <c r="A259" s="113"/>
      <c r="B259" s="113"/>
      <c r="C259" s="114"/>
      <c r="D259" s="115"/>
      <c r="E259" s="115"/>
      <c r="F259" s="113"/>
      <c r="G259" s="113"/>
      <c r="H259" s="116"/>
      <c r="I259" s="115"/>
      <c r="J259" s="115"/>
      <c r="K259" s="113"/>
      <c r="L259" s="113"/>
      <c r="M259" s="113"/>
      <c r="N259" s="113"/>
      <c r="O259" s="113"/>
      <c r="P259" s="113"/>
      <c r="Q259" s="113"/>
      <c r="R259" s="113"/>
      <c r="S259" s="113"/>
      <c r="T259" s="115"/>
      <c r="U259" s="113"/>
      <c r="V259" s="113"/>
      <c r="W259" s="113"/>
    </row>
    <row r="260" ht="15.75" customHeight="1">
      <c r="A260" s="113"/>
      <c r="B260" s="113"/>
      <c r="C260" s="114"/>
      <c r="D260" s="115"/>
      <c r="E260" s="115"/>
      <c r="F260" s="113"/>
      <c r="G260" s="113"/>
      <c r="H260" s="116"/>
      <c r="I260" s="115"/>
      <c r="J260" s="115"/>
      <c r="K260" s="113"/>
      <c r="L260" s="113"/>
      <c r="M260" s="113"/>
      <c r="N260" s="113"/>
      <c r="O260" s="113"/>
      <c r="P260" s="113"/>
      <c r="Q260" s="113"/>
      <c r="R260" s="113"/>
      <c r="S260" s="113"/>
      <c r="T260" s="115"/>
      <c r="U260" s="113"/>
      <c r="V260" s="113"/>
      <c r="W260" s="113"/>
    </row>
    <row r="261" ht="15.75" customHeight="1">
      <c r="A261" s="113"/>
      <c r="B261" s="113"/>
      <c r="C261" s="114"/>
      <c r="D261" s="115"/>
      <c r="E261" s="115"/>
      <c r="F261" s="113"/>
      <c r="G261" s="113"/>
      <c r="H261" s="116"/>
      <c r="I261" s="115"/>
      <c r="J261" s="115"/>
      <c r="K261" s="113"/>
      <c r="L261" s="113"/>
      <c r="M261" s="113"/>
      <c r="N261" s="113"/>
      <c r="O261" s="113"/>
      <c r="P261" s="113"/>
      <c r="Q261" s="113"/>
      <c r="R261" s="113"/>
      <c r="S261" s="113"/>
      <c r="T261" s="115"/>
      <c r="U261" s="113"/>
      <c r="V261" s="113"/>
      <c r="W261" s="113"/>
    </row>
    <row r="262" ht="15.75" customHeight="1">
      <c r="A262" s="113"/>
      <c r="B262" s="113"/>
      <c r="C262" s="114"/>
      <c r="D262" s="115"/>
      <c r="E262" s="115"/>
      <c r="F262" s="113"/>
      <c r="G262" s="113"/>
      <c r="H262" s="116"/>
      <c r="I262" s="115"/>
      <c r="J262" s="115"/>
      <c r="K262" s="113"/>
      <c r="L262" s="113"/>
      <c r="M262" s="113"/>
      <c r="N262" s="113"/>
      <c r="O262" s="113"/>
      <c r="P262" s="113"/>
      <c r="Q262" s="113"/>
      <c r="R262" s="113"/>
      <c r="S262" s="113"/>
      <c r="T262" s="115"/>
      <c r="U262" s="113"/>
      <c r="V262" s="113"/>
      <c r="W262" s="113"/>
    </row>
    <row r="263" ht="15.75" customHeight="1">
      <c r="A263" s="113"/>
      <c r="B263" s="113"/>
      <c r="C263" s="114"/>
      <c r="D263" s="115"/>
      <c r="E263" s="115"/>
      <c r="F263" s="113"/>
      <c r="G263" s="113"/>
      <c r="H263" s="116"/>
      <c r="I263" s="115"/>
      <c r="J263" s="115"/>
      <c r="K263" s="113"/>
      <c r="L263" s="113"/>
      <c r="M263" s="113"/>
      <c r="N263" s="113"/>
      <c r="O263" s="113"/>
      <c r="P263" s="113"/>
      <c r="Q263" s="113"/>
      <c r="R263" s="113"/>
      <c r="S263" s="113"/>
      <c r="T263" s="115"/>
      <c r="U263" s="113"/>
      <c r="V263" s="113"/>
      <c r="W263" s="113"/>
    </row>
    <row r="264" ht="15.75" customHeight="1">
      <c r="A264" s="113"/>
      <c r="B264" s="113"/>
      <c r="C264" s="114"/>
      <c r="D264" s="115"/>
      <c r="E264" s="115"/>
      <c r="F264" s="113"/>
      <c r="G264" s="113"/>
      <c r="H264" s="116"/>
      <c r="I264" s="115"/>
      <c r="J264" s="115"/>
      <c r="K264" s="113"/>
      <c r="L264" s="113"/>
      <c r="M264" s="113"/>
      <c r="N264" s="113"/>
      <c r="O264" s="113"/>
      <c r="P264" s="113"/>
      <c r="Q264" s="113"/>
      <c r="R264" s="113"/>
      <c r="S264" s="113"/>
      <c r="T264" s="115"/>
      <c r="U264" s="113"/>
      <c r="V264" s="113"/>
      <c r="W264" s="113"/>
    </row>
    <row r="265" ht="15.75" customHeight="1">
      <c r="A265" s="113"/>
      <c r="B265" s="113"/>
      <c r="C265" s="114"/>
      <c r="D265" s="115"/>
      <c r="E265" s="115"/>
      <c r="F265" s="113"/>
      <c r="G265" s="113"/>
      <c r="H265" s="116"/>
      <c r="I265" s="115"/>
      <c r="J265" s="115"/>
      <c r="K265" s="113"/>
      <c r="L265" s="113"/>
      <c r="M265" s="113"/>
      <c r="N265" s="113"/>
      <c r="O265" s="113"/>
      <c r="P265" s="113"/>
      <c r="Q265" s="113"/>
      <c r="R265" s="113"/>
      <c r="S265" s="113"/>
      <c r="T265" s="115"/>
      <c r="U265" s="113"/>
      <c r="V265" s="113"/>
      <c r="W265" s="113"/>
    </row>
    <row r="266" ht="15.75" customHeight="1">
      <c r="A266" s="113"/>
      <c r="B266" s="113"/>
      <c r="C266" s="114"/>
      <c r="D266" s="115"/>
      <c r="E266" s="115"/>
      <c r="F266" s="113"/>
      <c r="G266" s="113"/>
      <c r="H266" s="116"/>
      <c r="I266" s="115"/>
      <c r="J266" s="115"/>
      <c r="K266" s="113"/>
      <c r="L266" s="113"/>
      <c r="M266" s="113"/>
      <c r="N266" s="113"/>
      <c r="O266" s="113"/>
      <c r="P266" s="113"/>
      <c r="Q266" s="113"/>
      <c r="R266" s="113"/>
      <c r="S266" s="113"/>
      <c r="T266" s="115"/>
      <c r="U266" s="113"/>
      <c r="V266" s="113"/>
      <c r="W266" s="113"/>
    </row>
    <row r="267" ht="15.75" customHeight="1">
      <c r="A267" s="113"/>
      <c r="B267" s="113"/>
      <c r="C267" s="114"/>
      <c r="D267" s="115"/>
      <c r="E267" s="115"/>
      <c r="F267" s="113"/>
      <c r="G267" s="113"/>
      <c r="H267" s="116"/>
      <c r="I267" s="115"/>
      <c r="J267" s="115"/>
      <c r="K267" s="113"/>
      <c r="L267" s="113"/>
      <c r="M267" s="113"/>
      <c r="N267" s="113"/>
      <c r="O267" s="113"/>
      <c r="P267" s="113"/>
      <c r="Q267" s="113"/>
      <c r="R267" s="113"/>
      <c r="S267" s="113"/>
      <c r="T267" s="115"/>
      <c r="U267" s="113"/>
      <c r="V267" s="113"/>
      <c r="W267" s="113"/>
    </row>
    <row r="268" ht="15.75" customHeight="1">
      <c r="A268" s="113"/>
      <c r="B268" s="113"/>
      <c r="C268" s="114"/>
      <c r="D268" s="115"/>
      <c r="E268" s="115"/>
      <c r="F268" s="113"/>
      <c r="G268" s="113"/>
      <c r="H268" s="116"/>
      <c r="I268" s="115"/>
      <c r="J268" s="115"/>
      <c r="K268" s="113"/>
      <c r="L268" s="113"/>
      <c r="M268" s="113"/>
      <c r="N268" s="113"/>
      <c r="O268" s="113"/>
      <c r="P268" s="113"/>
      <c r="Q268" s="113"/>
      <c r="R268" s="113"/>
      <c r="S268" s="113"/>
      <c r="T268" s="115"/>
      <c r="U268" s="113"/>
      <c r="V268" s="113"/>
      <c r="W268" s="113"/>
    </row>
    <row r="269" ht="15.75" customHeight="1">
      <c r="A269" s="113"/>
      <c r="B269" s="113"/>
      <c r="C269" s="114"/>
      <c r="D269" s="115"/>
      <c r="E269" s="115"/>
      <c r="F269" s="113"/>
      <c r="G269" s="113"/>
      <c r="H269" s="116"/>
      <c r="I269" s="115"/>
      <c r="J269" s="115"/>
      <c r="K269" s="113"/>
      <c r="L269" s="113"/>
      <c r="M269" s="113"/>
      <c r="N269" s="113"/>
      <c r="O269" s="113"/>
      <c r="P269" s="113"/>
      <c r="Q269" s="113"/>
      <c r="R269" s="113"/>
      <c r="S269" s="113"/>
      <c r="T269" s="115"/>
      <c r="U269" s="113"/>
      <c r="V269" s="113"/>
      <c r="W269" s="113"/>
    </row>
    <row r="270" ht="15.75" customHeight="1">
      <c r="A270" s="113"/>
      <c r="B270" s="113"/>
      <c r="C270" s="114"/>
      <c r="D270" s="115"/>
      <c r="E270" s="115"/>
      <c r="F270" s="113"/>
      <c r="G270" s="113"/>
      <c r="H270" s="116"/>
      <c r="I270" s="115"/>
      <c r="J270" s="115"/>
      <c r="K270" s="113"/>
      <c r="L270" s="113"/>
      <c r="M270" s="113"/>
      <c r="N270" s="113"/>
      <c r="O270" s="113"/>
      <c r="P270" s="113"/>
      <c r="Q270" s="113"/>
      <c r="R270" s="113"/>
      <c r="S270" s="113"/>
      <c r="T270" s="115"/>
      <c r="U270" s="113"/>
      <c r="V270" s="113"/>
      <c r="W270" s="113"/>
    </row>
    <row r="271" ht="15.75" customHeight="1">
      <c r="A271" s="113"/>
      <c r="B271" s="113"/>
      <c r="C271" s="114"/>
      <c r="D271" s="115"/>
      <c r="E271" s="115"/>
      <c r="F271" s="113"/>
      <c r="G271" s="113"/>
      <c r="H271" s="116"/>
      <c r="I271" s="115"/>
      <c r="J271" s="115"/>
      <c r="K271" s="113"/>
      <c r="L271" s="113"/>
      <c r="M271" s="113"/>
      <c r="N271" s="113"/>
      <c r="O271" s="113"/>
      <c r="P271" s="113"/>
      <c r="Q271" s="113"/>
      <c r="R271" s="113"/>
      <c r="S271" s="113"/>
      <c r="T271" s="115"/>
      <c r="U271" s="113"/>
      <c r="V271" s="113"/>
      <c r="W271" s="113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I11:I12"/>
    <mergeCell ref="G13:G14"/>
    <mergeCell ref="H13:H14"/>
    <mergeCell ref="I13:I14"/>
    <mergeCell ref="I15:I16"/>
    <mergeCell ref="B19:C19"/>
    <mergeCell ref="B30:C30"/>
    <mergeCell ref="B47:C47"/>
    <mergeCell ref="F1:F17"/>
    <mergeCell ref="B2:E3"/>
    <mergeCell ref="G2:I3"/>
    <mergeCell ref="B4:E4"/>
    <mergeCell ref="G4:H4"/>
    <mergeCell ref="B5:E5"/>
    <mergeCell ref="B6:E6"/>
    <mergeCell ref="G5:I5"/>
    <mergeCell ref="G6:I6"/>
    <mergeCell ref="B7:B8"/>
    <mergeCell ref="C7:C8"/>
    <mergeCell ref="D7:D8"/>
    <mergeCell ref="E7:E8"/>
    <mergeCell ref="G7:G8"/>
    <mergeCell ref="H7:H8"/>
    <mergeCell ref="I7:I8"/>
    <mergeCell ref="G9:G10"/>
    <mergeCell ref="H9:H10"/>
    <mergeCell ref="I9:I10"/>
    <mergeCell ref="G11:G12"/>
    <mergeCell ref="H11:H12"/>
    <mergeCell ref="G15:G16"/>
    <mergeCell ref="H15:H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6.75"/>
    <col customWidth="1" hidden="1" min="3" max="3" width="14.63"/>
    <col customWidth="1" min="4" max="4" width="16.75"/>
    <col customWidth="1" hidden="1" min="5" max="5" width="22.63"/>
    <col customWidth="1" hidden="1" min="6" max="6" width="25.88"/>
    <col customWidth="1" min="7" max="7" width="18.0"/>
    <col customWidth="1" hidden="1" min="8" max="8" width="20.38"/>
    <col customWidth="1" min="9" max="28" width="16.75"/>
  </cols>
  <sheetData>
    <row r="1" ht="15.75" customHeight="1">
      <c r="A1" s="199" t="s">
        <v>143</v>
      </c>
      <c r="B1" s="199" t="s">
        <v>144</v>
      </c>
      <c r="C1" s="200" t="s">
        <v>145</v>
      </c>
      <c r="D1" s="199" t="s">
        <v>146</v>
      </c>
      <c r="E1" s="199" t="s">
        <v>147</v>
      </c>
      <c r="F1" s="200" t="s">
        <v>148</v>
      </c>
      <c r="G1" s="199" t="s">
        <v>149</v>
      </c>
      <c r="H1" s="200" t="s">
        <v>150</v>
      </c>
      <c r="I1" s="201" t="s">
        <v>96</v>
      </c>
      <c r="J1" s="201" t="s">
        <v>68</v>
      </c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</row>
    <row r="2" ht="15.75" customHeight="1">
      <c r="A2" s="203">
        <v>44410.0</v>
      </c>
      <c r="B2" s="204">
        <f>'AUTO - QUENTE'!B2+'AUTO - FRIO'!B2+'FACE - QUENTE'!B2+'FACE - FRIO'!B2+'INSTA - QUENTE'!B2+'INSTA - FRIO'!B2+'GOOGLE - QUENTE'!B2+'GOOGLE - FRIO'!B2</f>
        <v>0</v>
      </c>
      <c r="C2" s="205">
        <f>'AUTO - QUENTE'!C2+'AUTO - FRIO'!C2+'FACE - QUENTE'!C2+'FACE - FRIO'!C2+'INSTA - QUENTE'!C2+'INSTA - FRIO'!C2+'GOOGLE - QUENTE'!C2+'GOOGLE - FRIO'!C2</f>
        <v>0</v>
      </c>
      <c r="D2" s="206">
        <f>'AUTO - QUENTE'!D2+'AUTO - FRIO'!D2+'FACE - QUENTE'!D2+'FACE - FRIO'!D2+'INSTA - QUENTE'!D2+'INSTA - FRIO'!D2+'GOOGLE - QUENTE'!D2+'GOOGLE - FRIO'!D2</f>
        <v>0</v>
      </c>
      <c r="E2" s="207">
        <f>'AUTO - QUENTE'!E2+'AUTO - FRIO'!E2+'FACE - QUENTE'!E2+'FACE - FRIO'!E2+'INSTA - QUENTE'!E2+'INSTA - FRIO'!E2+'GOOGLE - QUENTE'!E2+'GOOGLE - FRIO'!E2</f>
        <v>0</v>
      </c>
      <c r="F2" s="207" t="str">
        <f>'AUTO - QUENTE'!F2+'AUTO - FRIO'!F2+'FACE - QUENTE'!F2+'FACE - FRIO'!F2+'INSTA - QUENTE'!F2+'INSTA - FRIO'!F2+'GOOGLE - QUENTE'!F2+'GOOGLE - FRIO'!F2</f>
        <v>#DIV/0!</v>
      </c>
      <c r="G2" s="208">
        <f>'AUTO - QUENTE'!G2+'AUTO - FRIO'!G2+'FACE - QUENTE'!G2+'FACE - FRIO'!G2+'INSTA - QUENTE'!G2+'INSTA - FRIO'!G2+'GOOGLE - QUENTE'!G2+'GOOGLE - FRIO'!G2</f>
        <v>0</v>
      </c>
      <c r="H2" s="208" t="str">
        <f>'AUTO - QUENTE'!H2+'AUTO - FRIO'!H2+'FACE - QUENTE'!H2+'FACE - FRIO'!H2+'INSTA - QUENTE'!H2+'INSTA - FRIO'!H2+'GOOGLE - QUENTE'!H2+'GOOGLE - FRIO'!H2</f>
        <v>#DIV/0!</v>
      </c>
      <c r="I2" s="209" t="str">
        <f t="shared" ref="I2:I36" si="1">J2/G2</f>
        <v>#DIV/0!</v>
      </c>
      <c r="J2" s="210">
        <f>'AUTO - QUENTE'!J2+'AUTO - FRIO'!J2+'FACE - QUENTE'!J2+'FACE - FRIO'!J2+'INSTA - QUENTE'!J2+'INSTA - FRIO'!J2+'GOOGLE - QUENTE'!J2+'GOOGLE - FRIO'!J2</f>
        <v>0</v>
      </c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</row>
    <row r="3" ht="15.75" customHeight="1">
      <c r="A3" s="203">
        <v>44411.0</v>
      </c>
      <c r="B3" s="204">
        <f>'AUTO - QUENTE'!B3+'AUTO - FRIO'!B3+'FACE - QUENTE'!B3+'FACE - FRIO'!B3+'INSTA - QUENTE'!B3+'INSTA - FRIO'!B3+'GOOGLE - QUENTE'!B3+'GOOGLE - FRIO'!B3</f>
        <v>0</v>
      </c>
      <c r="C3" s="205" t="str">
        <f>'AUTO - QUENTE'!C3+'[AUTO] - [FRIO]'!C3+'FACE - QUENTE'!C3+'FACE - FRIO'!C3+'INSTA - QUENTE'!C3+'INSTA - FRIO'!C3+'GOOGLE - QUENTE'!C3+'GOOGLE - FRIO'!C3</f>
        <v>#REF!</v>
      </c>
      <c r="D3" s="204">
        <f>'AUTO - QUENTE'!D3+'AUTO - FRIO'!D3+'FACE - QUENTE'!D3+'FACE - FRIO'!D3+'INSTA - QUENTE'!D3+'INSTA - FRIO'!D3+'GOOGLE - QUENTE'!D3+'GOOGLE - FRIO'!D3</f>
        <v>0</v>
      </c>
      <c r="E3" s="207" t="str">
        <f>'AUTO - [QUENTE]'!E3+'AUTO - QUENTE'!E3+'INSTA - [QUENTE]'!E3</f>
        <v>#REF!</v>
      </c>
      <c r="F3" s="211" t="str">
        <f t="shared" ref="F3:F9" si="2">E3/D3</f>
        <v>#REF!</v>
      </c>
      <c r="G3" s="208">
        <f>'AUTO - QUENTE'!G3+'AUTO - FRIO'!G3+'FACE - QUENTE'!G3+'FACE - FRIO'!G3+'INSTA - QUENTE'!G3+'INSTA - FRIO'!G3+'GOOGLE - QUENTE'!G3+'GOOGLE - FRIO'!G3</f>
        <v>0</v>
      </c>
      <c r="H3" s="212" t="str">
        <f t="shared" ref="H3:H9" si="3">G3/E3</f>
        <v>#REF!</v>
      </c>
      <c r="I3" s="209" t="str">
        <f t="shared" si="1"/>
        <v>#DIV/0!</v>
      </c>
      <c r="J3" s="210">
        <f>'AUTO - QUENTE'!J3+'AUTO - FRIO'!J3+'FACE - QUENTE'!J3+'FACE - FRIO'!J3+'INSTA - QUENTE'!J3+'INSTA - FRIO'!J3+'GOOGLE - QUENTE'!J3+'GOOGLE - FRIO'!J3</f>
        <v>0</v>
      </c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</row>
    <row r="4" ht="15.75" customHeight="1">
      <c r="A4" s="203">
        <v>44412.0</v>
      </c>
      <c r="B4" s="204">
        <f>'AUTO - QUENTE'!B4+'AUTO - FRIO'!B4+'FACE - QUENTE'!B4+'FACE - FRIO'!B4+'INSTA - QUENTE'!B4+'INSTA - FRIO'!B4+'GOOGLE - QUENTE'!B4+'GOOGLE - FRIO'!B4</f>
        <v>0</v>
      </c>
      <c r="C4" s="205" t="str">
        <f>'AUTO - QUENTE'!C4+'[AUTO] - [FRIO]'!C4+'FACE - QUENTE'!C4+'FACE - FRIO'!C4+'INSTA - QUENTE'!C4+'INSTA - FRIO'!C4+'GOOGLE - QUENTE'!C4+'GOOGLE - FRIO'!C4</f>
        <v>#REF!</v>
      </c>
      <c r="D4" s="204">
        <f>'AUTO - QUENTE'!D4+'AUTO - FRIO'!D4+'FACE - QUENTE'!D4+'FACE - FRIO'!D4+'INSTA - QUENTE'!D4+'INSTA - FRIO'!D4+'GOOGLE - QUENTE'!D4+'GOOGLE - FRIO'!D4</f>
        <v>0</v>
      </c>
      <c r="E4" s="207" t="str">
        <f>'AUTO - [QUENTE]'!E4+'AUTO - QUENTE'!E4+'INSTA - [QUENTE]'!E4</f>
        <v>#REF!</v>
      </c>
      <c r="F4" s="211" t="str">
        <f t="shared" si="2"/>
        <v>#REF!</v>
      </c>
      <c r="G4" s="213">
        <f>'AUTO - QUENTE'!G4+'AUTO - FRIO'!G4+'FACE - QUENTE'!G4+'FACE - FRIO'!G4+'INSTA - QUENTE'!G4+'INSTA - FRIO'!G4+'GOOGLE - QUENTE'!G4+'GOOGLE - FRIO'!G4</f>
        <v>0</v>
      </c>
      <c r="H4" s="212" t="str">
        <f t="shared" si="3"/>
        <v>#REF!</v>
      </c>
      <c r="I4" s="209" t="str">
        <f t="shared" si="1"/>
        <v>#DIV/0!</v>
      </c>
      <c r="J4" s="210">
        <f>'AUTO - QUENTE'!J4+'AUTO - FRIO'!J4+'FACE - QUENTE'!J4+'FACE - FRIO'!J4+'INSTA - QUENTE'!J4+'INSTA - FRIO'!J4+'GOOGLE - QUENTE'!J4+'GOOGLE - FRIO'!J4</f>
        <v>0</v>
      </c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</row>
    <row r="5" ht="15.75" customHeight="1">
      <c r="A5" s="203">
        <v>44413.0</v>
      </c>
      <c r="B5" s="204">
        <f>'AUTO - QUENTE'!B5+'AUTO - FRIO'!B5+'FACE - QUENTE'!B5+'FACE - FRIO'!B5+'INSTA - QUENTE'!B5+'INSTA - FRIO'!B5+'GOOGLE - QUENTE'!B5+'GOOGLE - FRIO'!B5</f>
        <v>5441</v>
      </c>
      <c r="C5" s="205" t="str">
        <f>'AUTO - QUENTE'!C5+'[AUTO] - [FRIO]'!C5+'FACE - QUENTE'!C5+'FACE - FRIO'!C5+'INSTA - QUENTE'!C5+'INSTA - FRIO'!C5+'GOOGLE - QUENTE'!C5+'GOOGLE - FRIO'!C5</f>
        <v>#REF!</v>
      </c>
      <c r="D5" s="204">
        <f>'AUTO - QUENTE'!D5+'AUTO - FRIO'!D5+'FACE - QUENTE'!D5+'FACE - FRIO'!D5+'INSTA - QUENTE'!D5+'INSTA - FRIO'!D5+'GOOGLE - QUENTE'!D5+'GOOGLE - FRIO'!D5</f>
        <v>11</v>
      </c>
      <c r="E5" s="207" t="str">
        <f>'AUTO - [QUENTE]'!E5+'AUTO - QUENTE'!E5+'INSTA - [QUENTE]'!E5</f>
        <v>#REF!</v>
      </c>
      <c r="F5" s="211" t="str">
        <f t="shared" si="2"/>
        <v>#REF!</v>
      </c>
      <c r="G5" s="213">
        <f>'AUTO - QUENTE'!G5+'AUTO - FRIO'!G5+'FACE - QUENTE'!G5+'FACE - FRIO'!G5+'INSTA - QUENTE'!G5+'INSTA - FRIO'!G5+'GOOGLE - QUENTE'!G5+'GOOGLE - FRIO'!G5</f>
        <v>2</v>
      </c>
      <c r="H5" s="212" t="str">
        <f t="shared" si="3"/>
        <v>#REF!</v>
      </c>
      <c r="I5" s="209">
        <f t="shared" si="1"/>
        <v>17.005</v>
      </c>
      <c r="J5" s="210">
        <f>'AUTO - QUENTE'!J5+'AUTO - FRIO'!J5+'FACE - QUENTE'!J5+'FACE - FRIO'!J5+'INSTA - QUENTE'!J5+'INSTA - FRIO'!J5+'GOOGLE - QUENTE'!J5+'GOOGLE - FRIO'!J5</f>
        <v>34.01</v>
      </c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</row>
    <row r="6" ht="15.75" customHeight="1">
      <c r="A6" s="203">
        <v>44414.0</v>
      </c>
      <c r="B6" s="204">
        <f>'AUTO - QUENTE'!B6+'AUTO - FRIO'!B6+'FACE - QUENTE'!B6+'FACE - FRIO'!B6+'INSTA - QUENTE'!B6+'INSTA - FRIO'!B6+'GOOGLE - QUENTE'!B6+'GOOGLE - FRIO'!B6</f>
        <v>4933</v>
      </c>
      <c r="C6" s="205" t="str">
        <f>'AUTO - QUENTE'!C6+'[AUTO] - [FRIO]'!C6+'FACE - QUENTE'!C6+'FACE - FRIO'!C6+'INSTA - QUENTE'!C6+'INSTA - FRIO'!C6+'GOOGLE - QUENTE'!C6+'GOOGLE - FRIO'!C6</f>
        <v>#REF!</v>
      </c>
      <c r="D6" s="204">
        <f>'AUTO - QUENTE'!D6+'AUTO - FRIO'!D6+'FACE - QUENTE'!D6+'FACE - FRIO'!D6+'INSTA - QUENTE'!D6+'INSTA - FRIO'!D6+'GOOGLE - QUENTE'!D6+'GOOGLE - FRIO'!D6</f>
        <v>11</v>
      </c>
      <c r="E6" s="207" t="str">
        <f>'AUTO - [QUENTE]'!E6+'AUTO - QUENTE'!E6+'INSTA - [QUENTE]'!E6</f>
        <v>#REF!</v>
      </c>
      <c r="F6" s="211" t="str">
        <f t="shared" si="2"/>
        <v>#REF!</v>
      </c>
      <c r="G6" s="213">
        <f>'AUTO - QUENTE'!G6+'AUTO - FRIO'!G6+'FACE - QUENTE'!G6+'FACE - FRIO'!G6+'INSTA - QUENTE'!G6+'INSTA - FRIO'!G6+'GOOGLE - QUENTE'!G6+'GOOGLE - FRIO'!G6</f>
        <v>5</v>
      </c>
      <c r="H6" s="212" t="str">
        <f t="shared" si="3"/>
        <v>#REF!</v>
      </c>
      <c r="I6" s="209">
        <f t="shared" si="1"/>
        <v>13.076</v>
      </c>
      <c r="J6" s="210">
        <f>'AUTO - QUENTE'!J6+'AUTO - FRIO'!J6+'FACE - QUENTE'!J6+'FACE - FRIO'!J6+'INSTA - QUENTE'!J6+'INSTA - FRIO'!J6+'GOOGLE - QUENTE'!J6+'GOOGLE - FRIO'!J6</f>
        <v>65.38</v>
      </c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</row>
    <row r="7" ht="15.75" customHeight="1">
      <c r="A7" s="203">
        <v>44415.0</v>
      </c>
      <c r="B7" s="204">
        <f>'AUTO - QUENTE'!B7+'AUTO - FRIO'!B7+'FACE - QUENTE'!B7+'FACE - FRIO'!B7+'INSTA - QUENTE'!B7+'INSTA - FRIO'!B7+'GOOGLE - QUENTE'!B7+'GOOGLE - FRIO'!B7</f>
        <v>6078</v>
      </c>
      <c r="C7" s="205" t="str">
        <f>'AUTO - QUENTE'!C7+'[AUTO] - [FRIO]'!C7+'FACE - QUENTE'!C7+'FACE - FRIO'!C7+'INSTA - QUENTE'!C7+'INSTA - FRIO'!C7+'GOOGLE - QUENTE'!C7+'GOOGLE - FRIO'!C7</f>
        <v>#REF!</v>
      </c>
      <c r="D7" s="204">
        <f>'AUTO - QUENTE'!D7+'AUTO - FRIO'!D7+'FACE - QUENTE'!D7+'FACE - FRIO'!D7+'INSTA - QUENTE'!D7+'INSTA - FRIO'!D7+'GOOGLE - QUENTE'!D7+'GOOGLE - FRIO'!D7</f>
        <v>29</v>
      </c>
      <c r="E7" s="207" t="str">
        <f>'AUTO - [QUENTE]'!E7+'AUTO - QUENTE'!E7+'INSTA - [QUENTE]'!E7</f>
        <v>#REF!</v>
      </c>
      <c r="F7" s="211" t="str">
        <f t="shared" si="2"/>
        <v>#REF!</v>
      </c>
      <c r="G7" s="213">
        <f>'AUTO - QUENTE'!G7+'AUTO - FRIO'!G7+'FACE - QUENTE'!G7+'FACE - FRIO'!G7+'INSTA - QUENTE'!G7+'INSTA - FRIO'!G7+'GOOGLE - QUENTE'!G7+'GOOGLE - FRIO'!G7</f>
        <v>4</v>
      </c>
      <c r="H7" s="212" t="str">
        <f t="shared" si="3"/>
        <v>#REF!</v>
      </c>
      <c r="I7" s="209">
        <f t="shared" si="1"/>
        <v>17.1925</v>
      </c>
      <c r="J7" s="210">
        <f>'AUTO - QUENTE'!J7+'AUTO - FRIO'!J7+'FACE - QUENTE'!J7+'FACE - FRIO'!J7+'INSTA - QUENTE'!J7+'INSTA - FRIO'!J7+'GOOGLE - QUENTE'!J7+'GOOGLE - FRIO'!J7</f>
        <v>68.77</v>
      </c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</row>
    <row r="8" ht="15.75" customHeight="1">
      <c r="A8" s="203">
        <v>44416.0</v>
      </c>
      <c r="B8" s="204">
        <f>'AUTO - QUENTE'!B8+'AUTO - FRIO'!B8+'FACE - QUENTE'!B8+'FACE - FRIO'!B8+'INSTA - QUENTE'!B8+'INSTA - FRIO'!B8+'GOOGLE - QUENTE'!B8+'GOOGLE - FRIO'!B8</f>
        <v>3151</v>
      </c>
      <c r="C8" s="205" t="str">
        <f>'AUTO - QUENTE'!C8+'[AUTO] - [FRIO]'!C8+'FACE - QUENTE'!C8+'FACE - FRIO'!C8+'INSTA - QUENTE'!C8+'INSTA - FRIO'!C8+'GOOGLE - QUENTE'!C8+'GOOGLE - FRIO'!C8</f>
        <v>#REF!</v>
      </c>
      <c r="D8" s="204">
        <f>'AUTO - QUENTE'!D8+'AUTO - FRIO'!D8+'FACE - QUENTE'!D8+'FACE - FRIO'!D8+'INSTA - QUENTE'!D8+'INSTA - FRIO'!D8+'GOOGLE - QUENTE'!D8+'GOOGLE - FRIO'!D8</f>
        <v>13</v>
      </c>
      <c r="E8" s="207" t="str">
        <f>'AUTO - [QUENTE]'!E8+'AUTO - QUENTE'!E8+'INSTA - [QUENTE]'!E8</f>
        <v>#REF!</v>
      </c>
      <c r="F8" s="211" t="str">
        <f t="shared" si="2"/>
        <v>#REF!</v>
      </c>
      <c r="G8" s="213">
        <f>'AUTO - QUENTE'!G8+'AUTO - FRIO'!G8+'FACE - QUENTE'!G8+'FACE - FRIO'!G8+'INSTA - QUENTE'!G8+'INSTA - FRIO'!G8+'GOOGLE - QUENTE'!G8+'GOOGLE - FRIO'!G8</f>
        <v>4</v>
      </c>
      <c r="H8" s="212" t="str">
        <f t="shared" si="3"/>
        <v>#REF!</v>
      </c>
      <c r="I8" s="209">
        <f t="shared" si="1"/>
        <v>17.12</v>
      </c>
      <c r="J8" s="210">
        <f>'AUTO - QUENTE'!J8+'AUTO - FRIO'!J8+'FACE - QUENTE'!J8+'FACE - FRIO'!J8+'INSTA - QUENTE'!J8+'INSTA - FRIO'!J8+'GOOGLE - QUENTE'!J8+'GOOGLE - FRIO'!J8</f>
        <v>68.48</v>
      </c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</row>
    <row r="9" ht="15.75" customHeight="1">
      <c r="A9" s="203">
        <v>44417.0</v>
      </c>
      <c r="B9" s="204">
        <f>'AUTO - QUENTE'!B9+'AUTO - FRIO'!B9+'FACE - QUENTE'!B9+'FACE - FRIO'!B9+'INSTA - QUENTE'!B9+'INSTA - FRIO'!B9+'GOOGLE - QUENTE'!B9+'GOOGLE - FRIO'!B9</f>
        <v>566</v>
      </c>
      <c r="C9" s="205" t="str">
        <f>'AUTO - QUENTE'!C9+'[AUTO] - [FRIO]'!C9+'FACE - QUENTE'!C9+'FACE - FRIO'!C9+'INSTA - QUENTE'!C9+'INSTA - FRIO'!C9+'GOOGLE - QUENTE'!C9+'GOOGLE - FRIO'!C9</f>
        <v>#REF!</v>
      </c>
      <c r="D9" s="204">
        <f>'AUTO - QUENTE'!D9+'AUTO - FRIO'!D9+'FACE - QUENTE'!D9+'FACE - FRIO'!D9+'INSTA - QUENTE'!D9+'INSTA - FRIO'!D9+'GOOGLE - QUENTE'!D9+'GOOGLE - FRIO'!D9</f>
        <v>11</v>
      </c>
      <c r="E9" s="207" t="str">
        <f>'AUTO - [QUENTE]'!E9+'AUTO - QUENTE'!E9+'INSTA - [QUENTE]'!E9</f>
        <v>#REF!</v>
      </c>
      <c r="F9" s="211" t="str">
        <f t="shared" si="2"/>
        <v>#REF!</v>
      </c>
      <c r="G9" s="208">
        <f>'AUTO - QUENTE'!G9+'AUTO - FRIO'!G9+'FACE - QUENTE'!G9+'FACE - FRIO'!G9+'INSTA - QUENTE'!G9+'INSTA - FRIO'!G9+'GOOGLE - QUENTE'!G9+'GOOGLE - FRIO'!G9</f>
        <v>2</v>
      </c>
      <c r="H9" s="212" t="str">
        <f t="shared" si="3"/>
        <v>#REF!</v>
      </c>
      <c r="I9" s="209">
        <f t="shared" si="1"/>
        <v>14.515</v>
      </c>
      <c r="J9" s="210">
        <f>'AUTO - QUENTE'!J9+'AUTO - FRIO'!J9+'FACE - QUENTE'!J9+'FACE - FRIO'!J9+'INSTA - QUENTE'!J9+'INSTA - FRIO'!J9+'GOOGLE - QUENTE'!J9+'GOOGLE - FRIO'!J9</f>
        <v>29.03</v>
      </c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</row>
    <row r="10" ht="15.75" customHeight="1">
      <c r="A10" s="203">
        <v>44418.0</v>
      </c>
      <c r="B10" s="204">
        <f>'AUTO - QUENTE'!B10+'AUTO - FRIO'!B10+'FACE - QUENTE'!B10+'FACE - FRIO'!B10+'INSTA - QUENTE'!B10+'INSTA - FRIO'!B10+'GOOGLE - QUENTE'!B10+'GOOGLE - FRIO'!B10</f>
        <v>0</v>
      </c>
      <c r="C10" s="205"/>
      <c r="D10" s="204">
        <f>'AUTO - QUENTE'!D10+'AUTO - FRIO'!D10+'FACE - QUENTE'!D10+'FACE - FRIO'!D10+'INSTA - QUENTE'!D10+'INSTA - FRIO'!D10+'GOOGLE - QUENTE'!D10+'GOOGLE - FRIO'!D10</f>
        <v>0</v>
      </c>
      <c r="E10" s="207"/>
      <c r="F10" s="211"/>
      <c r="G10" s="213">
        <f>'AUTO - QUENTE'!G10+'AUTO - FRIO'!G10+'FACE - QUENTE'!G10+'FACE - FRIO'!G10+'INSTA - QUENTE'!G10+'INSTA - FRIO'!G10+'GOOGLE - QUENTE'!G10+'GOOGLE - FRIO'!G10</f>
        <v>0</v>
      </c>
      <c r="H10" s="211"/>
      <c r="I10" s="209" t="str">
        <f t="shared" si="1"/>
        <v>#DIV/0!</v>
      </c>
      <c r="J10" s="210">
        <f>'AUTO - QUENTE'!J10+'AUTO - FRIO'!J10+'FACE - QUENTE'!J10+'FACE - FRIO'!J10+'INSTA - QUENTE'!J10+'INSTA - FRIO'!J10+'GOOGLE - QUENTE'!J10+'GOOGLE - FRIO'!J10</f>
        <v>0</v>
      </c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</row>
    <row r="11" ht="15.75" customHeight="1">
      <c r="A11" s="203">
        <v>44419.0</v>
      </c>
      <c r="B11" s="204">
        <f>'AUTO - QUENTE'!B11+'AUTO - FRIO'!B11+'FACE - QUENTE'!B11+'FACE - FRIO'!B11+'INSTA - QUENTE'!B11+'INSTA - FRIO'!B11+'GOOGLE - QUENTE'!B11+'GOOGLE - FRIO'!B11</f>
        <v>0</v>
      </c>
      <c r="C11" s="205"/>
      <c r="D11" s="206">
        <f>'AUTO - QUENTE'!D11+'AUTO - FRIO'!D11+'FACE - QUENTE'!D11+'FACE - FRIO'!D11+'INSTA - QUENTE'!D11+'INSTA - FRIO'!D11+'GOOGLE - QUENTE'!D11+'GOOGLE - FRIO'!D11</f>
        <v>0</v>
      </c>
      <c r="E11" s="207"/>
      <c r="F11" s="211"/>
      <c r="G11" s="208">
        <f>'AUTO - QUENTE'!G11+'AUTO - FRIO'!G11+'FACE - QUENTE'!G11+'FACE - FRIO'!G11+'INSTA - QUENTE'!G11+'INSTA - FRIO'!G11+'GOOGLE - QUENTE'!G11+'GOOGLE - FRIO'!G11</f>
        <v>0</v>
      </c>
      <c r="H11" s="211"/>
      <c r="I11" s="209" t="str">
        <f t="shared" si="1"/>
        <v>#DIV/0!</v>
      </c>
      <c r="J11" s="210">
        <f>'AUTO - QUENTE'!J11+'AUTO - FRIO'!J11+'FACE - QUENTE'!J11+'FACE - FRIO'!J11+'INSTA - QUENTE'!J11+'INSTA - FRIO'!J11+'GOOGLE - QUENTE'!J11+'GOOGLE - FRIO'!J11</f>
        <v>0</v>
      </c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</row>
    <row r="12" ht="15.75" customHeight="1">
      <c r="A12" s="203">
        <v>44420.0</v>
      </c>
      <c r="B12" s="204">
        <f>'AUTO - QUENTE'!B12+'AUTO - FRIO'!B12+'FACE - QUENTE'!B12+'FACE - FRIO'!B12+'INSTA - QUENTE'!B12+'INSTA - FRIO'!B12+'GOOGLE - QUENTE'!B12+'GOOGLE - FRIO'!B12</f>
        <v>0</v>
      </c>
      <c r="C12" s="205"/>
      <c r="D12" s="204">
        <f>'AUTO - QUENTE'!D12+'AUTO - FRIO'!D12+'FACE - QUENTE'!D12+'FACE - FRIO'!D12+'INSTA - QUENTE'!D12+'INSTA - FRIO'!D12+'GOOGLE - QUENTE'!D12+'GOOGLE - FRIO'!D12</f>
        <v>0</v>
      </c>
      <c r="E12" s="207"/>
      <c r="F12" s="211"/>
      <c r="G12" s="213">
        <f>'AUTO - QUENTE'!G12+'AUTO - FRIO'!G12+'FACE - QUENTE'!G12+'FACE - FRIO'!G12+'INSTA - QUENTE'!G12+'INSTA - FRIO'!G12+'GOOGLE - QUENTE'!G12+'GOOGLE - FRIO'!G12</f>
        <v>0</v>
      </c>
      <c r="H12" s="211"/>
      <c r="I12" s="209" t="str">
        <f t="shared" si="1"/>
        <v>#DIV/0!</v>
      </c>
      <c r="J12" s="210">
        <f>'AUTO - QUENTE'!J12+'AUTO - FRIO'!J12+'FACE - QUENTE'!J12+'FACE - FRIO'!J12+'INSTA - QUENTE'!J12+'INSTA - FRIO'!J12+'GOOGLE - QUENTE'!J12+'GOOGLE - FRIO'!J12</f>
        <v>0</v>
      </c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</row>
    <row r="13" ht="15.75" customHeight="1">
      <c r="A13" s="203">
        <v>44421.0</v>
      </c>
      <c r="B13" s="204">
        <f>'AUTO - QUENTE'!B13+'AUTO - FRIO'!B13+'FACE - QUENTE'!B13+'FACE - FRIO'!B13+'INSTA - QUENTE'!B13+'INSTA - FRIO'!B13+'GOOGLE - QUENTE'!B13+'GOOGLE - FRIO'!B13</f>
        <v>0</v>
      </c>
      <c r="C13" s="205"/>
      <c r="D13" s="204">
        <f>'AUTO - QUENTE'!D13+'AUTO - FRIO'!D13+'FACE - QUENTE'!D13+'FACE - FRIO'!D13+'INSTA - QUENTE'!D13+'INSTA - FRIO'!D13+'GOOGLE - QUENTE'!D13+'GOOGLE - FRIO'!D13</f>
        <v>0</v>
      </c>
      <c r="E13" s="207"/>
      <c r="F13" s="211"/>
      <c r="G13" s="213">
        <f>'AUTO - QUENTE'!G13+'AUTO - FRIO'!G13+'FACE - QUENTE'!G13+'FACE - FRIO'!G13+'INSTA - QUENTE'!G13+'INSTA - FRIO'!G13+'GOOGLE - QUENTE'!G13+'GOOGLE - FRIO'!G13</f>
        <v>0</v>
      </c>
      <c r="H13" s="211"/>
      <c r="I13" s="209" t="str">
        <f t="shared" si="1"/>
        <v>#DIV/0!</v>
      </c>
      <c r="J13" s="210">
        <f>'AUTO - QUENTE'!J13+'AUTO - FRIO'!J13+'FACE - QUENTE'!J13+'FACE - FRIO'!J13+'INSTA - QUENTE'!J13+'INSTA - FRIO'!J13+'GOOGLE - QUENTE'!J13+'GOOGLE - FRIO'!J13</f>
        <v>0</v>
      </c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</row>
    <row r="14" ht="15.75" customHeight="1">
      <c r="A14" s="203">
        <v>44422.0</v>
      </c>
      <c r="B14" s="204">
        <f>'AUTO - QUENTE'!B14+'AUTO - FRIO'!B14+'FACE - QUENTE'!B14+'FACE - FRIO'!B14+'INSTA - QUENTE'!B14+'INSTA - FRIO'!B14+'GOOGLE - QUENTE'!B14+'GOOGLE - FRIO'!B14</f>
        <v>0</v>
      </c>
      <c r="C14" s="205"/>
      <c r="D14" s="204">
        <f>'AUTO - QUENTE'!D14+'AUTO - FRIO'!D14+'FACE - QUENTE'!D14+'FACE - FRIO'!D14+'INSTA - QUENTE'!D14+'INSTA - FRIO'!D14+'GOOGLE - QUENTE'!D14+'GOOGLE - FRIO'!D14</f>
        <v>0</v>
      </c>
      <c r="E14" s="207"/>
      <c r="F14" s="211"/>
      <c r="G14" s="213">
        <f>'AUTO - QUENTE'!G14+'AUTO - FRIO'!G14+'FACE - QUENTE'!G14+'FACE - FRIO'!G14+'INSTA - QUENTE'!G14+'INSTA - FRIO'!G14+'GOOGLE - QUENTE'!G14+'GOOGLE - FRIO'!G14</f>
        <v>0</v>
      </c>
      <c r="H14" s="211"/>
      <c r="I14" s="209" t="str">
        <f t="shared" si="1"/>
        <v>#DIV/0!</v>
      </c>
      <c r="J14" s="210">
        <f>'AUTO - QUENTE'!J14+'AUTO - FRIO'!J14+'FACE - QUENTE'!J14+'FACE - FRIO'!J14+'INSTA - QUENTE'!J14+'INSTA - FRIO'!J14+'GOOGLE - QUENTE'!J14+'GOOGLE - FRIO'!J14</f>
        <v>0</v>
      </c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</row>
    <row r="15" ht="15.75" customHeight="1">
      <c r="A15" s="203">
        <v>44423.0</v>
      </c>
      <c r="B15" s="204">
        <f>'AUTO - QUENTE'!B15+'AUTO - FRIO'!B15+'FACE - QUENTE'!B15+'FACE - FRIO'!B15+'INSTA - QUENTE'!B15+'INSTA - FRIO'!B15+'GOOGLE - QUENTE'!B15+'GOOGLE - FRIO'!B15</f>
        <v>0</v>
      </c>
      <c r="C15" s="205"/>
      <c r="D15" s="204">
        <f>'AUTO - QUENTE'!D15+'AUTO - FRIO'!D15+'FACE - QUENTE'!D15+'FACE - FRIO'!D15+'INSTA - QUENTE'!D15+'INSTA - FRIO'!D15+'GOOGLE - QUENTE'!D15+'GOOGLE - FRIO'!D15</f>
        <v>0</v>
      </c>
      <c r="E15" s="207"/>
      <c r="F15" s="211"/>
      <c r="G15" s="213">
        <f>'AUTO - QUENTE'!G15+'AUTO - FRIO'!G15+'FACE - QUENTE'!G15+'FACE - FRIO'!G15+'INSTA - QUENTE'!G15+'INSTA - FRIO'!G15+'GOOGLE - QUENTE'!G15+'GOOGLE - FRIO'!G15</f>
        <v>0</v>
      </c>
      <c r="H15" s="211"/>
      <c r="I15" s="209" t="str">
        <f t="shared" si="1"/>
        <v>#DIV/0!</v>
      </c>
      <c r="J15" s="210">
        <f>'AUTO - QUENTE'!J15+'AUTO - FRIO'!J15+'FACE - QUENTE'!J15+'FACE - FRIO'!J15+'INSTA - QUENTE'!J15+'INSTA - FRIO'!J15+'GOOGLE - QUENTE'!J15+'GOOGLE - FRIO'!J15</f>
        <v>0</v>
      </c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</row>
    <row r="16" ht="15.75" customHeight="1">
      <c r="A16" s="203">
        <v>44424.0</v>
      </c>
      <c r="B16" s="204">
        <f>'AUTO - QUENTE'!B16+'AUTO - FRIO'!B16+'FACE - QUENTE'!B16+'FACE - FRIO'!B16+'INSTA - QUENTE'!B16+'INSTA - FRIO'!B16+'GOOGLE - QUENTE'!B16+'GOOGLE - FRIO'!B16</f>
        <v>0</v>
      </c>
      <c r="C16" s="205"/>
      <c r="D16" s="204">
        <f>'AUTO - QUENTE'!D16+'AUTO - FRIO'!D16+'FACE - QUENTE'!D16+'FACE - FRIO'!D16+'INSTA - QUENTE'!D16+'INSTA - FRIO'!D16+'GOOGLE - QUENTE'!D16+'GOOGLE - FRIO'!D16</f>
        <v>0</v>
      </c>
      <c r="E16" s="207"/>
      <c r="F16" s="211"/>
      <c r="G16" s="213">
        <f>'AUTO - QUENTE'!G16+'AUTO - FRIO'!G16+'FACE - QUENTE'!G16+'FACE - FRIO'!G16+'INSTA - QUENTE'!G16+'INSTA - FRIO'!G16+'GOOGLE - QUENTE'!G16+'GOOGLE - FRIO'!G16</f>
        <v>0</v>
      </c>
      <c r="H16" s="211"/>
      <c r="I16" s="209" t="str">
        <f t="shared" si="1"/>
        <v>#DIV/0!</v>
      </c>
      <c r="J16" s="210">
        <f>'AUTO - QUENTE'!J16+'AUTO - FRIO'!J16+'FACE - QUENTE'!J16+'FACE - FRIO'!J16+'INSTA - QUENTE'!J16+'INSTA - FRIO'!J16+'GOOGLE - QUENTE'!J16+'GOOGLE - FRIO'!J16</f>
        <v>0</v>
      </c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</row>
    <row r="17" ht="15.75" customHeight="1">
      <c r="A17" s="203">
        <v>44425.0</v>
      </c>
      <c r="B17" s="204">
        <f>'AUTO - QUENTE'!B17+'AUTO - FRIO'!B17+'FACE - QUENTE'!B17+'FACE - FRIO'!B17+'INSTA - QUENTE'!B17+'INSTA - FRIO'!B17+'GOOGLE - QUENTE'!B17+'GOOGLE - FRIO'!B17</f>
        <v>0</v>
      </c>
      <c r="C17" s="205"/>
      <c r="D17" s="204">
        <f>'AUTO - QUENTE'!D17+'AUTO - FRIO'!D17+'FACE - QUENTE'!D17+'FACE - FRIO'!D17+'INSTA - QUENTE'!D17+'INSTA - FRIO'!D17+'GOOGLE - QUENTE'!D17+'GOOGLE - FRIO'!D17</f>
        <v>0</v>
      </c>
      <c r="E17" s="207"/>
      <c r="F17" s="211"/>
      <c r="G17" s="213">
        <f>'AUTO - QUENTE'!G17+'AUTO - FRIO'!G17+'FACE - QUENTE'!G17+'FACE - FRIO'!G17+'INSTA - QUENTE'!G17+'INSTA - FRIO'!G17+'GOOGLE - QUENTE'!G17+'GOOGLE - FRIO'!G17</f>
        <v>0</v>
      </c>
      <c r="H17" s="211"/>
      <c r="I17" s="209" t="str">
        <f t="shared" si="1"/>
        <v>#DIV/0!</v>
      </c>
      <c r="J17" s="210">
        <f>'AUTO - QUENTE'!J17+'AUTO - FRIO'!J17+'FACE - QUENTE'!J17+'FACE - FRIO'!J17+'INSTA - QUENTE'!J17+'INSTA - FRIO'!J17+'GOOGLE - QUENTE'!J17+'GOOGLE - FRIO'!J17</f>
        <v>0</v>
      </c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</row>
    <row r="18" ht="15.75" customHeight="1">
      <c r="A18" s="203">
        <v>44426.0</v>
      </c>
      <c r="B18" s="204">
        <f>'AUTO - QUENTE'!B18+'AUTO - FRIO'!B18+'FACE - QUENTE'!B18+'FACE - FRIO'!B18+'INSTA - QUENTE'!B18+'INSTA - FRIO'!B18+'GOOGLE - QUENTE'!B18+'GOOGLE - FRIO'!B18</f>
        <v>0</v>
      </c>
      <c r="C18" s="205"/>
      <c r="D18" s="204">
        <f>'AUTO - QUENTE'!D18+'AUTO - FRIO'!D18+'FACE - QUENTE'!D18+'FACE - FRIO'!D18+'INSTA - QUENTE'!D18+'INSTA - FRIO'!D18+'GOOGLE - QUENTE'!D18+'GOOGLE - FRIO'!D18</f>
        <v>0</v>
      </c>
      <c r="E18" s="207"/>
      <c r="F18" s="211"/>
      <c r="G18" s="213">
        <f>'AUTO - QUENTE'!G18+'AUTO - FRIO'!G18+'FACE - QUENTE'!G18+'FACE - FRIO'!G18+'INSTA - QUENTE'!G18+'INSTA - FRIO'!G18+'GOOGLE - QUENTE'!G18+'GOOGLE - FRIO'!G18</f>
        <v>0</v>
      </c>
      <c r="H18" s="211"/>
      <c r="I18" s="209" t="str">
        <f t="shared" si="1"/>
        <v>#DIV/0!</v>
      </c>
      <c r="J18" s="210">
        <f>'AUTO - QUENTE'!J18+'AUTO - FRIO'!J18+'FACE - QUENTE'!J18+'FACE - FRIO'!J18+'INSTA - QUENTE'!J18+'INSTA - FRIO'!J18+'GOOGLE - QUENTE'!J18+'GOOGLE - FRIO'!J18</f>
        <v>0</v>
      </c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</row>
    <row r="19" ht="15.75" customHeight="1">
      <c r="A19" s="203">
        <v>44427.0</v>
      </c>
      <c r="B19" s="204">
        <f>'AUTO - QUENTE'!B19+'AUTO - FRIO'!B19+'FACE - QUENTE'!B19+'FACE - FRIO'!B19+'INSTA - QUENTE'!B19+'INSTA - FRIO'!B19+'GOOGLE - QUENTE'!B19+'GOOGLE - FRIO'!B19</f>
        <v>0</v>
      </c>
      <c r="C19" s="205"/>
      <c r="D19" s="204">
        <f>'AUTO - QUENTE'!D19+'AUTO - FRIO'!D19+'FACE - QUENTE'!D19+'FACE - FRIO'!D19+'INSTA - QUENTE'!D19+'INSTA - FRIO'!D19+'GOOGLE - QUENTE'!D19+'GOOGLE - FRIO'!D19</f>
        <v>0</v>
      </c>
      <c r="E19" s="207"/>
      <c r="F19" s="211"/>
      <c r="G19" s="213">
        <f>'AUTO - QUENTE'!G19+'AUTO - FRIO'!G19+'FACE - QUENTE'!G19+'FACE - FRIO'!G19+'INSTA - QUENTE'!G19+'INSTA - FRIO'!G19+'GOOGLE - QUENTE'!G19+'GOOGLE - FRIO'!G19</f>
        <v>0</v>
      </c>
      <c r="H19" s="211"/>
      <c r="I19" s="209" t="str">
        <f t="shared" si="1"/>
        <v>#DIV/0!</v>
      </c>
      <c r="J19" s="210">
        <f>'AUTO - QUENTE'!J19+'AUTO - FRIO'!J19+'FACE - QUENTE'!J19+'FACE - FRIO'!J19+'INSTA - QUENTE'!J19+'INSTA - FRIO'!J19+'GOOGLE - QUENTE'!J19+'GOOGLE - FRIO'!J19</f>
        <v>0</v>
      </c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</row>
    <row r="20" ht="15.75" customHeight="1">
      <c r="A20" s="203">
        <v>44428.0</v>
      </c>
      <c r="B20" s="204">
        <f>'AUTO - QUENTE'!B20+'AUTO - FRIO'!B20+'FACE - QUENTE'!B20+'FACE - FRIO'!B20+'INSTA - QUENTE'!B20+'INSTA - FRIO'!B20+'GOOGLE - QUENTE'!B20+'GOOGLE - FRIO'!B20</f>
        <v>0</v>
      </c>
      <c r="C20" s="205"/>
      <c r="D20" s="204">
        <f>'AUTO - QUENTE'!D20+'AUTO - FRIO'!D20+'FACE - QUENTE'!D20+'FACE - FRIO'!D20+'INSTA - QUENTE'!D20+'INSTA - FRIO'!D20+'GOOGLE - QUENTE'!D20+'GOOGLE - FRIO'!D20</f>
        <v>0</v>
      </c>
      <c r="E20" s="207"/>
      <c r="F20" s="211"/>
      <c r="G20" s="213">
        <f>'AUTO - QUENTE'!G20+'AUTO - FRIO'!G20+'FACE - QUENTE'!G20+'FACE - FRIO'!G20+'INSTA - QUENTE'!G20+'INSTA - FRIO'!G20+'GOOGLE - QUENTE'!G20+'GOOGLE - FRIO'!G20</f>
        <v>0</v>
      </c>
      <c r="H20" s="211"/>
      <c r="I20" s="209" t="str">
        <f t="shared" si="1"/>
        <v>#DIV/0!</v>
      </c>
      <c r="J20" s="210">
        <f>'AUTO - QUENTE'!J20+'AUTO - FRIO'!J20+'FACE - QUENTE'!J20+'FACE - FRIO'!J20+'INSTA - QUENTE'!J20+'INSTA - FRIO'!J20+'GOOGLE - QUENTE'!J20+'GOOGLE - FRIO'!J20</f>
        <v>0</v>
      </c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</row>
    <row r="21" ht="15.75" customHeight="1">
      <c r="A21" s="203">
        <v>44429.0</v>
      </c>
      <c r="B21" s="204">
        <f>'AUTO - QUENTE'!B21+'AUTO - FRIO'!B21+'FACE - QUENTE'!B21+'FACE - FRIO'!B21+'INSTA - QUENTE'!B21+'INSTA - FRIO'!B21+'GOOGLE - QUENTE'!B21+'GOOGLE - FRIO'!B21</f>
        <v>0</v>
      </c>
      <c r="C21" s="205"/>
      <c r="D21" s="204">
        <f>'AUTO - QUENTE'!D21+'AUTO - FRIO'!D21+'FACE - QUENTE'!D21+'FACE - FRIO'!D21+'INSTA - QUENTE'!D21+'INSTA - FRIO'!D21+'GOOGLE - QUENTE'!D21+'GOOGLE - FRIO'!D21</f>
        <v>0</v>
      </c>
      <c r="E21" s="207"/>
      <c r="F21" s="211"/>
      <c r="G21" s="213">
        <f>'AUTO - QUENTE'!G21+'AUTO - FRIO'!G21+'FACE - QUENTE'!G21+'FACE - FRIO'!G21+'INSTA - QUENTE'!G21+'INSTA - FRIO'!G21+'GOOGLE - QUENTE'!G21+'GOOGLE - FRIO'!G21</f>
        <v>0</v>
      </c>
      <c r="H21" s="211"/>
      <c r="I21" s="209" t="str">
        <f t="shared" si="1"/>
        <v>#DIV/0!</v>
      </c>
      <c r="J21" s="210">
        <f>'AUTO - QUENTE'!J21+'AUTO - FRIO'!J21+'FACE - QUENTE'!J21+'FACE - FRIO'!J21+'INSTA - QUENTE'!J21+'INSTA - FRIO'!J21+'GOOGLE - QUENTE'!J21+'GOOGLE - FRIO'!J21</f>
        <v>0</v>
      </c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</row>
    <row r="22" ht="15.75" customHeight="1">
      <c r="A22" s="203">
        <v>44430.0</v>
      </c>
      <c r="B22" s="204">
        <f>'AUTO - QUENTE'!B22+'AUTO - FRIO'!B22+'FACE - QUENTE'!B22+'FACE - FRIO'!B22+'INSTA - QUENTE'!B22+'INSTA - FRIO'!B22+'GOOGLE - QUENTE'!B22+'GOOGLE - FRIO'!B22</f>
        <v>0</v>
      </c>
      <c r="C22" s="205"/>
      <c r="D22" s="204">
        <f>'AUTO - QUENTE'!D22+'AUTO - FRIO'!D22+'FACE - QUENTE'!D22+'FACE - FRIO'!D22+'INSTA - QUENTE'!D22+'INSTA - FRIO'!D22+'GOOGLE - QUENTE'!D22+'GOOGLE - FRIO'!D22</f>
        <v>0</v>
      </c>
      <c r="E22" s="207"/>
      <c r="F22" s="211"/>
      <c r="G22" s="213">
        <f>'AUTO - QUENTE'!G22+'AUTO - FRIO'!G22+'FACE - QUENTE'!G22+'FACE - FRIO'!G22+'INSTA - QUENTE'!G22+'INSTA - FRIO'!G22+'GOOGLE - QUENTE'!G22+'GOOGLE - FRIO'!G22</f>
        <v>0</v>
      </c>
      <c r="H22" s="211"/>
      <c r="I22" s="209" t="str">
        <f t="shared" si="1"/>
        <v>#DIV/0!</v>
      </c>
      <c r="J22" s="210">
        <f>'AUTO - QUENTE'!J22+'AUTO - FRIO'!J22+'FACE - QUENTE'!J22+'FACE - FRIO'!J22+'INSTA - QUENTE'!J22+'INSTA - FRIO'!J22+'GOOGLE - QUENTE'!J22+'GOOGLE - FRIO'!J22</f>
        <v>0</v>
      </c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</row>
    <row r="23" ht="15.75" customHeight="1">
      <c r="A23" s="203">
        <v>44431.0</v>
      </c>
      <c r="B23" s="204">
        <f>'AUTO - QUENTE'!B23+'AUTO - FRIO'!B23+'FACE - QUENTE'!B23+'FACE - FRIO'!B23+'INSTA - QUENTE'!B23+'INSTA - FRIO'!B23+'GOOGLE - QUENTE'!B23+'GOOGLE - FRIO'!B23</f>
        <v>0</v>
      </c>
      <c r="C23" s="205"/>
      <c r="D23" s="204">
        <f>'AUTO - QUENTE'!D23+'AUTO - FRIO'!D23+'FACE - QUENTE'!D23+'FACE - FRIO'!D23+'INSTA - QUENTE'!D23+'INSTA - FRIO'!D23+'GOOGLE - QUENTE'!D23+'GOOGLE - FRIO'!D23</f>
        <v>0</v>
      </c>
      <c r="E23" s="207"/>
      <c r="F23" s="211"/>
      <c r="G23" s="213">
        <f>'AUTO - QUENTE'!G23+'AUTO - FRIO'!G23+'FACE - QUENTE'!G23+'FACE - FRIO'!G23+'INSTA - QUENTE'!G23+'INSTA - FRIO'!G23+'GOOGLE - QUENTE'!G23+'GOOGLE - FRIO'!G23</f>
        <v>0</v>
      </c>
      <c r="H23" s="211"/>
      <c r="I23" s="209" t="str">
        <f t="shared" si="1"/>
        <v>#DIV/0!</v>
      </c>
      <c r="J23" s="210">
        <f>'AUTO - QUENTE'!J23+'AUTO - FRIO'!J23+'FACE - QUENTE'!J23+'FACE - FRIO'!J23+'INSTA - QUENTE'!J23+'INSTA - FRIO'!J23+'GOOGLE - QUENTE'!J23+'GOOGLE - FRIO'!J23</f>
        <v>0</v>
      </c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</row>
    <row r="24" ht="15.75" customHeight="1">
      <c r="A24" s="203">
        <v>44432.0</v>
      </c>
      <c r="B24" s="204">
        <f>'AUTO - QUENTE'!B24+'AUTO - FRIO'!B24+'FACE - QUENTE'!B24+'FACE - FRIO'!B24+'INSTA - QUENTE'!B24+'INSTA - FRIO'!B24+'GOOGLE - QUENTE'!B24+'GOOGLE - FRIO'!B24</f>
        <v>0</v>
      </c>
      <c r="C24" s="205"/>
      <c r="D24" s="204">
        <f>'AUTO - QUENTE'!D24+'AUTO - FRIO'!D24+'FACE - QUENTE'!D24+'FACE - FRIO'!D24+'INSTA - QUENTE'!D24+'INSTA - FRIO'!D24+'GOOGLE - QUENTE'!D24+'GOOGLE - FRIO'!D24</f>
        <v>0</v>
      </c>
      <c r="E24" s="207"/>
      <c r="F24" s="211"/>
      <c r="G24" s="213">
        <f>'AUTO - QUENTE'!G24+'AUTO - FRIO'!G24+'FACE - QUENTE'!G24+'FACE - FRIO'!G24+'INSTA - QUENTE'!G24+'INSTA - FRIO'!G24+'GOOGLE - QUENTE'!G24+'GOOGLE - FRIO'!G24</f>
        <v>0</v>
      </c>
      <c r="H24" s="211"/>
      <c r="I24" s="209" t="str">
        <f t="shared" si="1"/>
        <v>#DIV/0!</v>
      </c>
      <c r="J24" s="210">
        <f>'AUTO - QUENTE'!J24+'AUTO - FRIO'!J24+'FACE - QUENTE'!J24+'FACE - FRIO'!J24+'INSTA - QUENTE'!J24+'INSTA - FRIO'!J24+'GOOGLE - QUENTE'!J24+'GOOGLE - FRIO'!J24</f>
        <v>0</v>
      </c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</row>
    <row r="25" ht="15.75" customHeight="1">
      <c r="A25" s="203">
        <v>44433.0</v>
      </c>
      <c r="B25" s="204">
        <f>'AUTO - QUENTE'!B25+'AUTO - FRIO'!B25+'FACE - QUENTE'!B25+'FACE - FRIO'!B25+'INSTA - QUENTE'!B25+'INSTA - FRIO'!B25+'GOOGLE - QUENTE'!B25+'GOOGLE - FRIO'!B25</f>
        <v>0</v>
      </c>
      <c r="C25" s="205"/>
      <c r="D25" s="204">
        <f>'AUTO - QUENTE'!D25+'AUTO - FRIO'!D25+'FACE - QUENTE'!D25+'FACE - FRIO'!D25+'INSTA - QUENTE'!D25+'INSTA - FRIO'!D25+'GOOGLE - QUENTE'!D25+'GOOGLE - FRIO'!D25</f>
        <v>0</v>
      </c>
      <c r="E25" s="207"/>
      <c r="F25" s="211"/>
      <c r="G25" s="213">
        <f>'AUTO - QUENTE'!G25+'AUTO - FRIO'!G25+'FACE - QUENTE'!G25+'FACE - FRIO'!G25+'INSTA - QUENTE'!G25+'INSTA - FRIO'!G25+'GOOGLE - QUENTE'!G25+'GOOGLE - FRIO'!G25</f>
        <v>0</v>
      </c>
      <c r="H25" s="211"/>
      <c r="I25" s="209" t="str">
        <f t="shared" si="1"/>
        <v>#DIV/0!</v>
      </c>
      <c r="J25" s="210">
        <f>'AUTO - QUENTE'!J25+'AUTO - FRIO'!J25+'FACE - QUENTE'!J25+'FACE - FRIO'!J25+'INSTA - QUENTE'!J25+'INSTA - FRIO'!J25+'GOOGLE - QUENTE'!J25+'GOOGLE - FRIO'!J25</f>
        <v>0</v>
      </c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</row>
    <row r="26" ht="15.75" customHeight="1">
      <c r="A26" s="203">
        <v>44434.0</v>
      </c>
      <c r="B26" s="206">
        <f>'AUTO - QUENTE'!B26+'AUTO - FRIO'!B26+'FACE - QUENTE'!B26+'FACE - FRIO'!B26+'INSTA - QUENTE'!B26+'INSTA - FRIO'!B26+'GOOGLE - QUENTE'!B26+'GOOGLE - FRIO'!B26</f>
        <v>0</v>
      </c>
      <c r="C26" s="205"/>
      <c r="D26" s="206">
        <f>'AUTO - QUENTE'!D26+'AUTO - FRIO'!D26+'FACE - QUENTE'!D26+'FACE - FRIO'!D26+'INSTA - QUENTE'!D26+'INSTA - FRIO'!D26+'GOOGLE - QUENTE'!D26+'GOOGLE - FRIO'!D26</f>
        <v>0</v>
      </c>
      <c r="E26" s="207"/>
      <c r="F26" s="211"/>
      <c r="G26" s="208">
        <f>'AUTO - QUENTE'!G26+'AUTO - FRIO'!G26+'FACE - QUENTE'!G26+'FACE - FRIO'!G26+'INSTA - QUENTE'!G26+'INSTA - FRIO'!G26+'GOOGLE - QUENTE'!G26+'GOOGLE - FRIO'!G26</f>
        <v>0</v>
      </c>
      <c r="H26" s="211"/>
      <c r="I26" s="209" t="str">
        <f t="shared" si="1"/>
        <v>#DIV/0!</v>
      </c>
      <c r="J26" s="210">
        <f>'AUTO - QUENTE'!J26+'AUTO - FRIO'!J26+'FACE - QUENTE'!J26+'FACE - FRIO'!J26+'INSTA - QUENTE'!J26+'INSTA - FRIO'!J26+'GOOGLE - QUENTE'!J26+'GOOGLE - FRIO'!J26</f>
        <v>0</v>
      </c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</row>
    <row r="27" ht="15.75" customHeight="1">
      <c r="A27" s="203">
        <v>44435.0</v>
      </c>
      <c r="B27" s="206">
        <f>'AUTO - QUENTE'!B27+'AUTO - FRIO'!B27+'FACE - QUENTE'!B27+'FACE - FRIO'!B27+'INSTA - QUENTE'!B27+'INSTA - FRIO'!B27+'GOOGLE - QUENTE'!B27+'GOOGLE - FRIO'!B27</f>
        <v>0</v>
      </c>
      <c r="C27" s="205"/>
      <c r="D27" s="206">
        <f>'AUTO - QUENTE'!D27+'AUTO - FRIO'!D27+'FACE - QUENTE'!D27+'FACE - FRIO'!D27+'INSTA - QUENTE'!D27+'INSTA - FRIO'!D27+'GOOGLE - QUENTE'!D27+'GOOGLE - FRIO'!D27</f>
        <v>0</v>
      </c>
      <c r="E27" s="207"/>
      <c r="F27" s="211"/>
      <c r="G27" s="208">
        <f>'AUTO - QUENTE'!G27+'AUTO - FRIO'!G27+'FACE - QUENTE'!G27+'FACE - FRIO'!G27+'INSTA - QUENTE'!G27+'INSTA - FRIO'!G27+'GOOGLE - QUENTE'!G27+'GOOGLE - FRIO'!G27</f>
        <v>0</v>
      </c>
      <c r="H27" s="211"/>
      <c r="I27" s="209" t="str">
        <f t="shared" si="1"/>
        <v>#DIV/0!</v>
      </c>
      <c r="J27" s="210">
        <f>'AUTO - QUENTE'!J27+'AUTO - FRIO'!J27+'FACE - QUENTE'!J27+'FACE - FRIO'!J27+'INSTA - QUENTE'!J27+'INSTA - FRIO'!J27+'GOOGLE - QUENTE'!J27+'GOOGLE - FRIO'!J27</f>
        <v>0</v>
      </c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</row>
    <row r="28" ht="15.75" customHeight="1">
      <c r="A28" s="203">
        <v>44436.0</v>
      </c>
      <c r="B28" s="206">
        <f>'AUTO - QUENTE'!B28+'AUTO - FRIO'!B28+'FACE - QUENTE'!B28+'FACE - FRIO'!B28+'INSTA - QUENTE'!B28+'INSTA - FRIO'!B28+'GOOGLE - QUENTE'!B28+'GOOGLE - FRIO'!B28</f>
        <v>0</v>
      </c>
      <c r="C28" s="205"/>
      <c r="D28" s="206">
        <f>'AUTO - QUENTE'!D28+'AUTO - FRIO'!D28+'FACE - QUENTE'!D28+'FACE - FRIO'!D28+'INSTA - QUENTE'!D28+'INSTA - FRIO'!D28+'GOOGLE - QUENTE'!D28+'GOOGLE - FRIO'!D28</f>
        <v>0</v>
      </c>
      <c r="E28" s="207"/>
      <c r="F28" s="211"/>
      <c r="G28" s="208">
        <f>'AUTO - QUENTE'!G28+'AUTO - FRIO'!G28+'FACE - QUENTE'!G28+'FACE - FRIO'!G28+'INSTA - QUENTE'!G28+'INSTA - FRIO'!G28+'GOOGLE - QUENTE'!G28+'GOOGLE - FRIO'!G28</f>
        <v>0</v>
      </c>
      <c r="H28" s="211"/>
      <c r="I28" s="209" t="str">
        <f t="shared" si="1"/>
        <v>#DIV/0!</v>
      </c>
      <c r="J28" s="210">
        <f>'AUTO - QUENTE'!J28+'AUTO - FRIO'!J28+'FACE - QUENTE'!J28+'FACE - FRIO'!J28+'INSTA - QUENTE'!J28+'INSTA - FRIO'!J28+'GOOGLE - QUENTE'!J28+'GOOGLE - FRIO'!J28</f>
        <v>0</v>
      </c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</row>
    <row r="29" ht="15.75" customHeight="1">
      <c r="A29" s="203">
        <v>44437.0</v>
      </c>
      <c r="B29" s="206">
        <f>'AUTO - QUENTE'!B29+'AUTO - FRIO'!B29+'FACE - QUENTE'!B29+'FACE - FRIO'!B29+'INSTA - QUENTE'!B29+'INSTA - FRIO'!B29+'GOOGLE - QUENTE'!B29+'GOOGLE - FRIO'!B29</f>
        <v>0</v>
      </c>
      <c r="C29" s="205"/>
      <c r="D29" s="206">
        <f>'AUTO - QUENTE'!D29+'AUTO - FRIO'!D29+'FACE - QUENTE'!D29+'FACE - FRIO'!D29+'INSTA - QUENTE'!D29+'INSTA - FRIO'!D29+'GOOGLE - QUENTE'!D29+'GOOGLE - FRIO'!D29</f>
        <v>0</v>
      </c>
      <c r="E29" s="207"/>
      <c r="F29" s="211"/>
      <c r="G29" s="208">
        <f>'AUTO - QUENTE'!G29+'AUTO - FRIO'!G29+'FACE - QUENTE'!G29+'FACE - FRIO'!G29+'INSTA - QUENTE'!G29+'INSTA - FRIO'!G29+'GOOGLE - QUENTE'!G29+'GOOGLE - FRIO'!G29</f>
        <v>0</v>
      </c>
      <c r="H29" s="211"/>
      <c r="I29" s="209" t="str">
        <f t="shared" si="1"/>
        <v>#DIV/0!</v>
      </c>
      <c r="J29" s="210">
        <f>'AUTO - QUENTE'!J29+'AUTO - FRIO'!J29+'FACE - QUENTE'!J29+'FACE - FRIO'!J29+'INSTA - QUENTE'!J29+'INSTA - FRIO'!J29+'GOOGLE - QUENTE'!J29+'GOOGLE - FRIO'!J29</f>
        <v>0</v>
      </c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</row>
    <row r="30" ht="15.75" customHeight="1">
      <c r="A30" s="203">
        <v>44438.0</v>
      </c>
      <c r="B30" s="206">
        <f>'AUTO - QUENTE'!B30+'AUTO - FRIO'!B30+'FACE - QUENTE'!B30+'FACE - FRIO'!B30+'INSTA - QUENTE'!B30+'INSTA - FRIO'!B30+'GOOGLE - QUENTE'!B30+'GOOGLE - FRIO'!B30</f>
        <v>0</v>
      </c>
      <c r="C30" s="205"/>
      <c r="D30" s="206">
        <f>'AUTO - QUENTE'!D30+'AUTO - FRIO'!D30+'FACE - QUENTE'!D30+'FACE - FRIO'!D30+'INSTA - QUENTE'!D30+'INSTA - FRIO'!D30+'GOOGLE - QUENTE'!D30+'GOOGLE - FRIO'!D30</f>
        <v>0</v>
      </c>
      <c r="E30" s="207"/>
      <c r="F30" s="211"/>
      <c r="G30" s="208">
        <f>'AUTO - QUENTE'!G30+'AUTO - FRIO'!G30+'FACE - QUENTE'!G30+'FACE - FRIO'!G30+'INSTA - QUENTE'!G30+'INSTA - FRIO'!G30+'GOOGLE - QUENTE'!G30+'GOOGLE - FRIO'!G30</f>
        <v>0</v>
      </c>
      <c r="H30" s="211"/>
      <c r="I30" s="209" t="str">
        <f t="shared" si="1"/>
        <v>#DIV/0!</v>
      </c>
      <c r="J30" s="210">
        <f>'AUTO - QUENTE'!J30+'AUTO - FRIO'!J30+'FACE - QUENTE'!J30+'FACE - FRIO'!J30+'INSTA - QUENTE'!J30+'INSTA - FRIO'!J30+'GOOGLE - QUENTE'!J30+'GOOGLE - FRIO'!J30</f>
        <v>0</v>
      </c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</row>
    <row r="31" ht="15.75" customHeight="1">
      <c r="A31" s="203">
        <v>44439.0</v>
      </c>
      <c r="B31" s="206">
        <f>'AUTO - QUENTE'!B31+'AUTO - FRIO'!B31+'FACE - QUENTE'!B31+'FACE - FRIO'!B31+'INSTA - QUENTE'!B31+'INSTA - FRIO'!B31+'GOOGLE - QUENTE'!B31+'GOOGLE - FRIO'!B31</f>
        <v>0</v>
      </c>
      <c r="C31" s="205"/>
      <c r="D31" s="206">
        <f>'AUTO - QUENTE'!D31+'AUTO - FRIO'!D31+'FACE - QUENTE'!D31+'FACE - FRIO'!D31+'INSTA - QUENTE'!D31+'INSTA - FRIO'!D31+'GOOGLE - QUENTE'!D31+'GOOGLE - FRIO'!D31</f>
        <v>0</v>
      </c>
      <c r="E31" s="207"/>
      <c r="F31" s="211"/>
      <c r="G31" s="208">
        <f>'AUTO - QUENTE'!G31+'AUTO - FRIO'!G31+'FACE - QUENTE'!G31+'FACE - FRIO'!G31+'INSTA - QUENTE'!G31+'INSTA - FRIO'!G31+'GOOGLE - QUENTE'!G31+'GOOGLE - FRIO'!G31</f>
        <v>0</v>
      </c>
      <c r="H31" s="211"/>
      <c r="I31" s="209" t="str">
        <f t="shared" si="1"/>
        <v>#DIV/0!</v>
      </c>
      <c r="J31" s="210">
        <f>'AUTO - QUENTE'!J31+'AUTO - FRIO'!J31+'FACE - QUENTE'!J31+'FACE - FRIO'!J31+'INSTA - QUENTE'!J31+'INSTA - FRIO'!J31+'GOOGLE - QUENTE'!J31+'GOOGLE - FRIO'!J31</f>
        <v>0</v>
      </c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</row>
    <row r="32" ht="15.75" customHeight="1">
      <c r="A32" s="203">
        <v>44440.0</v>
      </c>
      <c r="B32" s="206">
        <f>'AUTO - QUENTE'!B32+'AUTO - FRIO'!B32+'FACE - QUENTE'!B32+'FACE - FRIO'!B32+'INSTA - QUENTE'!B32+'INSTA - FRIO'!B32+'GOOGLE - QUENTE'!B32+'GOOGLE - FRIO'!B32</f>
        <v>0</v>
      </c>
      <c r="C32" s="205"/>
      <c r="D32" s="206">
        <f>'AUTO - QUENTE'!D32+'AUTO - FRIO'!D32+'FACE - QUENTE'!D32+'FACE - FRIO'!D32+'INSTA - QUENTE'!D32+'INSTA - FRIO'!D32+'GOOGLE - QUENTE'!D32+'GOOGLE - FRIO'!D32</f>
        <v>0</v>
      </c>
      <c r="E32" s="207"/>
      <c r="F32" s="211"/>
      <c r="G32" s="208">
        <f>'AUTO - QUENTE'!G32+'AUTO - FRIO'!G32+'FACE - QUENTE'!G32+'FACE - FRIO'!G32+'INSTA - QUENTE'!G32+'INSTA - FRIO'!G32+'GOOGLE - QUENTE'!G32+'GOOGLE - FRIO'!G32</f>
        <v>0</v>
      </c>
      <c r="H32" s="211"/>
      <c r="I32" s="209" t="str">
        <f t="shared" si="1"/>
        <v>#DIV/0!</v>
      </c>
      <c r="J32" s="210">
        <f>'AUTO - QUENTE'!J32+'AUTO - FRIO'!J32+'FACE - QUENTE'!J32+'FACE - FRIO'!J32+'INSTA - QUENTE'!J32+'INSTA - FRIO'!J32+'GOOGLE - QUENTE'!J32+'GOOGLE - FRIO'!J32</f>
        <v>0</v>
      </c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</row>
    <row r="33" ht="15.75" customHeight="1">
      <c r="A33" s="203">
        <v>44441.0</v>
      </c>
      <c r="B33" s="206">
        <f>'AUTO - QUENTE'!B33+'AUTO - FRIO'!B33+'FACE - QUENTE'!B33+'FACE - FRIO'!B33+'INSTA - QUENTE'!B33+'INSTA - FRIO'!B33+'GOOGLE - QUENTE'!B33+'GOOGLE - FRIO'!B33</f>
        <v>0</v>
      </c>
      <c r="C33" s="205"/>
      <c r="D33" s="206">
        <f>'AUTO - QUENTE'!D33+'AUTO - FRIO'!D33+'FACE - QUENTE'!D33+'FACE - FRIO'!D33+'INSTA - QUENTE'!D33+'INSTA - FRIO'!D33+'GOOGLE - QUENTE'!D33+'GOOGLE - FRIO'!D33</f>
        <v>0</v>
      </c>
      <c r="E33" s="207"/>
      <c r="F33" s="211"/>
      <c r="G33" s="208">
        <f>'AUTO - QUENTE'!G33+'AUTO - FRIO'!G33+'FACE - QUENTE'!G33+'FACE - FRIO'!G33+'INSTA - QUENTE'!G33+'INSTA - FRIO'!G33+'GOOGLE - QUENTE'!G33+'GOOGLE - FRIO'!G33</f>
        <v>0</v>
      </c>
      <c r="H33" s="211"/>
      <c r="I33" s="209" t="str">
        <f t="shared" si="1"/>
        <v>#DIV/0!</v>
      </c>
      <c r="J33" s="210">
        <f>'AUTO - QUENTE'!J33+'AUTO - FRIO'!J33+'FACE - QUENTE'!J33+'FACE - FRIO'!J33+'INSTA - QUENTE'!J33+'INSTA - FRIO'!J33+'GOOGLE - QUENTE'!J33+'GOOGLE - FRIO'!J33</f>
        <v>0</v>
      </c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</row>
    <row r="34" ht="15.75" customHeight="1">
      <c r="A34" s="203">
        <v>44442.0</v>
      </c>
      <c r="B34" s="206">
        <f>'AUTO - QUENTE'!B34+'AUTO - FRIO'!B34+'FACE - QUENTE'!B34+'FACE - FRIO'!B34+'INSTA - QUENTE'!B34+'INSTA - FRIO'!B34+'GOOGLE - QUENTE'!B34+'GOOGLE - FRIO'!B34</f>
        <v>0</v>
      </c>
      <c r="C34" s="205"/>
      <c r="D34" s="206">
        <f>'AUTO - QUENTE'!D34+'AUTO - FRIO'!D34+'FACE - QUENTE'!D34+'FACE - FRIO'!D34+'INSTA - QUENTE'!D34+'INSTA - FRIO'!D34+'GOOGLE - QUENTE'!D34+'GOOGLE - FRIO'!D34</f>
        <v>0</v>
      </c>
      <c r="E34" s="207"/>
      <c r="F34" s="211"/>
      <c r="G34" s="208">
        <f>'AUTO - QUENTE'!G34+'AUTO - FRIO'!G34+'FACE - QUENTE'!G34+'FACE - FRIO'!G34+'INSTA - QUENTE'!G34+'INSTA - FRIO'!G34+'GOOGLE - QUENTE'!G34+'GOOGLE - FRIO'!G34</f>
        <v>0</v>
      </c>
      <c r="H34" s="211"/>
      <c r="I34" s="209" t="str">
        <f t="shared" si="1"/>
        <v>#DIV/0!</v>
      </c>
      <c r="J34" s="210">
        <f>'AUTO - QUENTE'!J34+'AUTO - FRIO'!J34+'FACE - QUENTE'!J34+'FACE - FRIO'!J34+'INSTA - QUENTE'!J34+'INSTA - FRIO'!J34+'GOOGLE - QUENTE'!J34+'GOOGLE - FRIO'!J34</f>
        <v>0</v>
      </c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</row>
    <row r="35" ht="15.75" customHeight="1">
      <c r="A35" s="203">
        <v>44443.0</v>
      </c>
      <c r="B35" s="206">
        <f>'AUTO - QUENTE'!B35+'AUTO - FRIO'!B35+'FACE - QUENTE'!B35+'FACE - FRIO'!B35+'INSTA - QUENTE'!B35+'INSTA - FRIO'!B35+'GOOGLE - QUENTE'!B35+'GOOGLE - FRIO'!B35</f>
        <v>0</v>
      </c>
      <c r="C35" s="205"/>
      <c r="D35" s="206">
        <f>'AUTO - QUENTE'!D35+'AUTO - FRIO'!D35+'FACE - QUENTE'!D35+'FACE - FRIO'!D35+'INSTA - QUENTE'!D35+'INSTA - FRIO'!D35+'GOOGLE - QUENTE'!D35+'GOOGLE - FRIO'!D35</f>
        <v>0</v>
      </c>
      <c r="E35" s="207"/>
      <c r="F35" s="211"/>
      <c r="G35" s="208">
        <f>'AUTO - QUENTE'!G35+'AUTO - FRIO'!G35+'FACE - QUENTE'!G35+'FACE - FRIO'!G35+'INSTA - QUENTE'!G35+'INSTA - FRIO'!G35+'GOOGLE - QUENTE'!G35+'GOOGLE - FRIO'!G35</f>
        <v>0</v>
      </c>
      <c r="H35" s="211"/>
      <c r="I35" s="209" t="str">
        <f t="shared" si="1"/>
        <v>#DIV/0!</v>
      </c>
      <c r="J35" s="210">
        <f>'AUTO - QUENTE'!J35+'AUTO - FRIO'!J35+'FACE - QUENTE'!J35+'FACE - FRIO'!J35+'INSTA - QUENTE'!J35+'INSTA - FRIO'!J35+'GOOGLE - QUENTE'!J35+'GOOGLE - FRIO'!J35</f>
        <v>0</v>
      </c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</row>
    <row r="36" ht="15.75" customHeight="1">
      <c r="A36" s="203">
        <v>44444.0</v>
      </c>
      <c r="B36" s="206">
        <f>'AUTO - QUENTE'!B36+'AUTO - FRIO'!B36+'FACE - QUENTE'!B36+'FACE - FRIO'!B36+'INSTA - QUENTE'!B36+'INSTA - FRIO'!B36+'GOOGLE - QUENTE'!B36+'GOOGLE - FRIO'!B36</f>
        <v>0</v>
      </c>
      <c r="C36" s="205"/>
      <c r="D36" s="206">
        <f>'AUTO - QUENTE'!D36+'AUTO - FRIO'!D36+'FACE - QUENTE'!D36+'FACE - FRIO'!D36+'INSTA - QUENTE'!D36+'INSTA - FRIO'!D36+'GOOGLE - QUENTE'!D36+'GOOGLE - FRIO'!D36</f>
        <v>0</v>
      </c>
      <c r="E36" s="207"/>
      <c r="F36" s="211"/>
      <c r="G36" s="208">
        <f>'AUTO - QUENTE'!G36+'AUTO - FRIO'!G36+'FACE - QUENTE'!G36+'FACE - FRIO'!G36+'INSTA - QUENTE'!G36+'INSTA - FRIO'!G36+'GOOGLE - QUENTE'!G36+'GOOGLE - FRIO'!G36</f>
        <v>0</v>
      </c>
      <c r="H36" s="211"/>
      <c r="I36" s="209" t="str">
        <f t="shared" si="1"/>
        <v>#DIV/0!</v>
      </c>
      <c r="J36" s="210">
        <f>'AUTO - QUENTE'!J36+'AUTO - FRIO'!J36+'FACE - QUENTE'!J36+'FACE - FRIO'!J36+'INSTA - QUENTE'!J36+'INSTA - FRIO'!J36+'GOOGLE - QUENTE'!J36+'GOOGLE - FRIO'!J36</f>
        <v>0</v>
      </c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</row>
    <row r="37" ht="15.75" customHeight="1">
      <c r="A37" s="214" t="s">
        <v>151</v>
      </c>
      <c r="B37" s="215">
        <f>AVERAGE(B2:B36)</f>
        <v>576.2571429</v>
      </c>
      <c r="C37" s="216"/>
      <c r="D37" s="215">
        <f>AVERAGE(D2:D36)</f>
        <v>2.142857143</v>
      </c>
      <c r="E37" s="217"/>
      <c r="F37" s="217"/>
      <c r="G37" s="217">
        <f>AVERAGE(G2:G36)</f>
        <v>0.4857142857</v>
      </c>
      <c r="H37" s="218"/>
      <c r="I37" s="207"/>
      <c r="J37" s="219">
        <f>AVERAGE(J2:J36)</f>
        <v>7.590571429</v>
      </c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</row>
    <row r="38" ht="15.75" customHeight="1">
      <c r="A38" s="214" t="s">
        <v>71</v>
      </c>
      <c r="B38" s="220">
        <f>SUM(B2:B36)</f>
        <v>20169</v>
      </c>
      <c r="C38" s="216"/>
      <c r="D38" s="221">
        <f>SUM(D2:D36)</f>
        <v>75</v>
      </c>
      <c r="E38" s="218"/>
      <c r="F38" s="218"/>
      <c r="G38" s="218">
        <f>SUM(G2:G36)</f>
        <v>17</v>
      </c>
      <c r="H38" s="218"/>
      <c r="I38" s="210">
        <f>J38/G38</f>
        <v>15.62764706</v>
      </c>
      <c r="J38" s="219">
        <f>SUM(J2:J36)</f>
        <v>265.67</v>
      </c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</row>
    <row r="39" ht="15.75" customHeight="1">
      <c r="A39" s="202"/>
      <c r="B39" s="202"/>
      <c r="C39" s="222"/>
      <c r="D39" s="202"/>
      <c r="E39" s="202"/>
      <c r="F39" s="222"/>
      <c r="G39" s="202"/>
      <c r="H39" s="22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</row>
    <row r="40" ht="15.75" customHeight="1">
      <c r="A40" s="202"/>
      <c r="B40" s="202"/>
      <c r="C40" s="222"/>
      <c r="D40" s="202"/>
      <c r="E40" s="202"/>
      <c r="F40" s="222"/>
      <c r="G40" s="202"/>
      <c r="H40" s="22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</row>
    <row r="41" ht="15.75" customHeight="1">
      <c r="A41" s="202"/>
      <c r="B41" s="202"/>
      <c r="C41" s="222"/>
      <c r="D41" s="202"/>
      <c r="E41" s="202"/>
      <c r="F41" s="222"/>
      <c r="G41" s="202"/>
      <c r="H41" s="22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</row>
    <row r="42" ht="15.75" customHeight="1">
      <c r="A42" s="202"/>
      <c r="B42" s="202"/>
      <c r="C42" s="222"/>
      <c r="D42" s="202"/>
      <c r="E42" s="202"/>
      <c r="F42" s="222"/>
      <c r="G42" s="202"/>
      <c r="H42" s="22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</row>
    <row r="43" ht="15.75" customHeight="1">
      <c r="A43" s="202"/>
      <c r="B43" s="202"/>
      <c r="C43" s="222"/>
      <c r="D43" s="202"/>
      <c r="E43" s="202"/>
      <c r="F43" s="222"/>
      <c r="G43" s="202"/>
      <c r="H43" s="22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</row>
    <row r="44" ht="15.75" customHeight="1">
      <c r="A44" s="202"/>
      <c r="B44" s="202"/>
      <c r="C44" s="222"/>
      <c r="D44" s="202"/>
      <c r="E44" s="202"/>
      <c r="F44" s="222"/>
      <c r="G44" s="202"/>
      <c r="H44" s="22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</row>
    <row r="45" ht="15.75" customHeight="1">
      <c r="A45" s="202"/>
      <c r="B45" s="202"/>
      <c r="C45" s="222"/>
      <c r="D45" s="202"/>
      <c r="E45" s="202"/>
      <c r="F45" s="222"/>
      <c r="G45" s="202"/>
      <c r="H45" s="22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</row>
    <row r="46" ht="15.75" customHeight="1">
      <c r="A46" s="202"/>
      <c r="B46" s="202"/>
      <c r="C46" s="222"/>
      <c r="D46" s="202"/>
      <c r="E46" s="202"/>
      <c r="F46" s="222"/>
      <c r="G46" s="202"/>
      <c r="H46" s="22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</row>
    <row r="47" ht="15.75" customHeight="1">
      <c r="A47" s="202"/>
      <c r="B47" s="202"/>
      <c r="C47" s="222"/>
      <c r="D47" s="202"/>
      <c r="E47" s="202"/>
      <c r="F47" s="222"/>
      <c r="G47" s="202"/>
      <c r="H47" s="22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</row>
    <row r="48" ht="15.75" customHeight="1">
      <c r="A48" s="202"/>
      <c r="B48" s="202"/>
      <c r="C48" s="222"/>
      <c r="D48" s="202"/>
      <c r="E48" s="202"/>
      <c r="F48" s="222"/>
      <c r="G48" s="202"/>
      <c r="H48" s="22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</row>
    <row r="49" ht="15.75" customHeight="1">
      <c r="A49" s="202"/>
      <c r="B49" s="202"/>
      <c r="C49" s="222"/>
      <c r="D49" s="202"/>
      <c r="E49" s="202"/>
      <c r="F49" s="222"/>
      <c r="G49" s="202"/>
      <c r="H49" s="22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</row>
    <row r="50" ht="15.75" customHeight="1">
      <c r="A50" s="202"/>
      <c r="B50" s="202"/>
      <c r="C50" s="222"/>
      <c r="D50" s="202"/>
      <c r="E50" s="202"/>
      <c r="F50" s="222"/>
      <c r="G50" s="202"/>
      <c r="H50" s="22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</row>
    <row r="51" ht="15.75" customHeight="1">
      <c r="A51" s="202"/>
      <c r="B51" s="202"/>
      <c r="C51" s="222"/>
      <c r="D51" s="202"/>
      <c r="E51" s="202"/>
      <c r="F51" s="222"/>
      <c r="G51" s="202"/>
      <c r="H51" s="22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</row>
    <row r="52" ht="15.75" customHeight="1">
      <c r="A52" s="202"/>
      <c r="B52" s="202"/>
      <c r="C52" s="222"/>
      <c r="D52" s="202"/>
      <c r="E52" s="202"/>
      <c r="F52" s="222"/>
      <c r="G52" s="202"/>
      <c r="H52" s="22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</row>
    <row r="53" ht="15.75" customHeight="1">
      <c r="A53" s="202"/>
      <c r="B53" s="202"/>
      <c r="C53" s="222"/>
      <c r="D53" s="202"/>
      <c r="E53" s="202"/>
      <c r="F53" s="222"/>
      <c r="G53" s="202"/>
      <c r="H53" s="22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</row>
    <row r="54" ht="15.75" customHeight="1">
      <c r="A54" s="202"/>
      <c r="B54" s="202"/>
      <c r="C54" s="222"/>
      <c r="D54" s="202"/>
      <c r="E54" s="202"/>
      <c r="F54" s="222"/>
      <c r="G54" s="202"/>
      <c r="H54" s="22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</row>
    <row r="55" ht="15.75" customHeight="1">
      <c r="A55" s="202"/>
      <c r="B55" s="202"/>
      <c r="C55" s="222"/>
      <c r="D55" s="202"/>
      <c r="E55" s="202"/>
      <c r="F55" s="222"/>
      <c r="G55" s="202"/>
      <c r="H55" s="22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</row>
    <row r="56" ht="15.75" customHeight="1">
      <c r="A56" s="202"/>
      <c r="B56" s="202"/>
      <c r="C56" s="222"/>
      <c r="D56" s="202"/>
      <c r="E56" s="202"/>
      <c r="F56" s="222"/>
      <c r="G56" s="202"/>
      <c r="H56" s="22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</row>
    <row r="57" ht="15.75" customHeight="1">
      <c r="A57" s="202"/>
      <c r="B57" s="202"/>
      <c r="C57" s="222"/>
      <c r="D57" s="202"/>
      <c r="E57" s="202"/>
      <c r="F57" s="222"/>
      <c r="G57" s="202"/>
      <c r="H57" s="22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</row>
    <row r="58" ht="15.75" customHeight="1">
      <c r="A58" s="202"/>
      <c r="B58" s="202"/>
      <c r="C58" s="222"/>
      <c r="D58" s="202"/>
      <c r="E58" s="202"/>
      <c r="F58" s="222"/>
      <c r="G58" s="202"/>
      <c r="H58" s="22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</row>
    <row r="59" ht="15.75" customHeight="1">
      <c r="A59" s="202"/>
      <c r="B59" s="202"/>
      <c r="C59" s="222"/>
      <c r="D59" s="202"/>
      <c r="E59" s="202"/>
      <c r="F59" s="222"/>
      <c r="G59" s="202"/>
      <c r="H59" s="22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</row>
    <row r="60" ht="15.75" customHeight="1">
      <c r="A60" s="202"/>
      <c r="B60" s="202"/>
      <c r="C60" s="222"/>
      <c r="D60" s="202"/>
      <c r="E60" s="202"/>
      <c r="F60" s="222"/>
      <c r="G60" s="202"/>
      <c r="H60" s="22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</row>
    <row r="61" ht="15.75" customHeight="1">
      <c r="A61" s="202"/>
      <c r="B61" s="202"/>
      <c r="C61" s="222"/>
      <c r="D61" s="202"/>
      <c r="E61" s="202"/>
      <c r="F61" s="222"/>
      <c r="G61" s="202"/>
      <c r="H61" s="22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</row>
    <row r="62" ht="15.75" customHeight="1">
      <c r="A62" s="202"/>
      <c r="B62" s="202"/>
      <c r="C62" s="222"/>
      <c r="D62" s="202"/>
      <c r="E62" s="202"/>
      <c r="F62" s="222"/>
      <c r="G62" s="202"/>
      <c r="H62" s="22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</row>
    <row r="63" ht="15.75" customHeight="1">
      <c r="A63" s="202"/>
      <c r="B63" s="202"/>
      <c r="C63" s="222"/>
      <c r="D63" s="202"/>
      <c r="E63" s="202"/>
      <c r="F63" s="222"/>
      <c r="G63" s="202"/>
      <c r="H63" s="22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</row>
    <row r="64" ht="15.75" customHeight="1">
      <c r="A64" s="202"/>
      <c r="B64" s="202"/>
      <c r="C64" s="222"/>
      <c r="D64" s="202"/>
      <c r="E64" s="202"/>
      <c r="F64" s="222"/>
      <c r="G64" s="202"/>
      <c r="H64" s="22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</row>
    <row r="65" ht="15.75" customHeight="1">
      <c r="A65" s="202"/>
      <c r="B65" s="202"/>
      <c r="C65" s="222"/>
      <c r="D65" s="202"/>
      <c r="E65" s="202"/>
      <c r="F65" s="222"/>
      <c r="G65" s="202"/>
      <c r="H65" s="22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</row>
    <row r="66" ht="15.75" customHeight="1">
      <c r="A66" s="202"/>
      <c r="B66" s="202"/>
      <c r="C66" s="222"/>
      <c r="D66" s="202"/>
      <c r="E66" s="202"/>
      <c r="F66" s="222"/>
      <c r="G66" s="202"/>
      <c r="H66" s="22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</row>
    <row r="67" ht="15.75" customHeight="1">
      <c r="A67" s="202"/>
      <c r="B67" s="202"/>
      <c r="C67" s="222"/>
      <c r="D67" s="202"/>
      <c r="E67" s="202"/>
      <c r="F67" s="222"/>
      <c r="G67" s="202"/>
      <c r="H67" s="22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</row>
    <row r="68" ht="15.75" customHeight="1">
      <c r="A68" s="202"/>
      <c r="B68" s="202"/>
      <c r="C68" s="222"/>
      <c r="D68" s="202"/>
      <c r="E68" s="202"/>
      <c r="F68" s="222"/>
      <c r="G68" s="202"/>
      <c r="H68" s="22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</row>
    <row r="69" ht="15.75" customHeight="1">
      <c r="A69" s="202"/>
      <c r="B69" s="202"/>
      <c r="C69" s="222"/>
      <c r="D69" s="202"/>
      <c r="E69" s="202"/>
      <c r="F69" s="222"/>
      <c r="G69" s="202"/>
      <c r="H69" s="22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</row>
    <row r="70" ht="15.75" customHeight="1">
      <c r="A70" s="202"/>
      <c r="B70" s="202"/>
      <c r="C70" s="222"/>
      <c r="D70" s="202"/>
      <c r="E70" s="202"/>
      <c r="F70" s="222"/>
      <c r="G70" s="202"/>
      <c r="H70" s="22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</row>
    <row r="71" ht="15.75" customHeight="1">
      <c r="A71" s="202"/>
      <c r="B71" s="202"/>
      <c r="C71" s="222"/>
      <c r="D71" s="202"/>
      <c r="E71" s="202"/>
      <c r="F71" s="222"/>
      <c r="G71" s="202"/>
      <c r="H71" s="22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</row>
    <row r="72" ht="15.75" customHeight="1">
      <c r="A72" s="202"/>
      <c r="B72" s="202"/>
      <c r="C72" s="222"/>
      <c r="D72" s="202"/>
      <c r="E72" s="202"/>
      <c r="F72" s="222"/>
      <c r="G72" s="202"/>
      <c r="H72" s="22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</row>
    <row r="73" ht="15.75" customHeight="1">
      <c r="A73" s="202"/>
      <c r="B73" s="202"/>
      <c r="C73" s="222"/>
      <c r="D73" s="202"/>
      <c r="E73" s="202"/>
      <c r="F73" s="222"/>
      <c r="G73" s="202"/>
      <c r="H73" s="22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</row>
    <row r="74" ht="15.75" customHeight="1">
      <c r="A74" s="202"/>
      <c r="B74" s="202"/>
      <c r="C74" s="222"/>
      <c r="D74" s="202"/>
      <c r="E74" s="202"/>
      <c r="F74" s="222"/>
      <c r="G74" s="202"/>
      <c r="H74" s="22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</row>
    <row r="75" ht="15.75" customHeight="1">
      <c r="A75" s="202"/>
      <c r="B75" s="202"/>
      <c r="C75" s="222"/>
      <c r="D75" s="202"/>
      <c r="E75" s="202"/>
      <c r="F75" s="222"/>
      <c r="G75" s="202"/>
      <c r="H75" s="22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</row>
    <row r="76" ht="15.75" customHeight="1">
      <c r="A76" s="202"/>
      <c r="B76" s="202"/>
      <c r="C76" s="222"/>
      <c r="D76" s="202"/>
      <c r="E76" s="202"/>
      <c r="F76" s="222"/>
      <c r="G76" s="202"/>
      <c r="H76" s="22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</row>
    <row r="77" ht="15.75" customHeight="1">
      <c r="A77" s="202"/>
      <c r="B77" s="202"/>
      <c r="C77" s="222"/>
      <c r="D77" s="202"/>
      <c r="E77" s="202"/>
      <c r="F77" s="222"/>
      <c r="G77" s="202"/>
      <c r="H77" s="22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</row>
    <row r="78" ht="15.75" customHeight="1">
      <c r="A78" s="202"/>
      <c r="B78" s="202"/>
      <c r="C78" s="222"/>
      <c r="D78" s="202"/>
      <c r="E78" s="202"/>
      <c r="F78" s="222"/>
      <c r="G78" s="202"/>
      <c r="H78" s="22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</row>
    <row r="79" ht="15.75" customHeight="1">
      <c r="A79" s="202"/>
      <c r="B79" s="202"/>
      <c r="C79" s="222"/>
      <c r="D79" s="202"/>
      <c r="E79" s="202"/>
      <c r="F79" s="222"/>
      <c r="G79" s="202"/>
      <c r="H79" s="22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  <c r="AB79" s="202"/>
    </row>
    <row r="80" ht="15.75" customHeight="1">
      <c r="A80" s="202"/>
      <c r="B80" s="202"/>
      <c r="C80" s="222"/>
      <c r="D80" s="202"/>
      <c r="E80" s="202"/>
      <c r="F80" s="222"/>
      <c r="G80" s="202"/>
      <c r="H80" s="22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</row>
    <row r="81" ht="15.75" customHeight="1">
      <c r="A81" s="202"/>
      <c r="B81" s="202"/>
      <c r="C81" s="222"/>
      <c r="D81" s="202"/>
      <c r="E81" s="202"/>
      <c r="F81" s="222"/>
      <c r="G81" s="202"/>
      <c r="H81" s="22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</row>
    <row r="82" ht="15.75" customHeight="1">
      <c r="A82" s="202"/>
      <c r="B82" s="202"/>
      <c r="C82" s="222"/>
      <c r="D82" s="202"/>
      <c r="E82" s="202"/>
      <c r="F82" s="222"/>
      <c r="G82" s="202"/>
      <c r="H82" s="22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2"/>
    </row>
    <row r="83" ht="15.75" customHeight="1">
      <c r="A83" s="202"/>
      <c r="B83" s="202"/>
      <c r="C83" s="222"/>
      <c r="D83" s="202"/>
      <c r="E83" s="202"/>
      <c r="F83" s="222"/>
      <c r="G83" s="202"/>
      <c r="H83" s="22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  <c r="AB83" s="202"/>
    </row>
    <row r="84" ht="15.75" customHeight="1">
      <c r="A84" s="202"/>
      <c r="B84" s="202"/>
      <c r="C84" s="222"/>
      <c r="D84" s="202"/>
      <c r="E84" s="202"/>
      <c r="F84" s="222"/>
      <c r="G84" s="202"/>
      <c r="H84" s="22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</row>
    <row r="85" ht="15.75" customHeight="1">
      <c r="A85" s="202"/>
      <c r="B85" s="202"/>
      <c r="C85" s="222"/>
      <c r="D85" s="202"/>
      <c r="E85" s="202"/>
      <c r="F85" s="222"/>
      <c r="G85" s="202"/>
      <c r="H85" s="22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  <c r="AB85" s="202"/>
    </row>
    <row r="86" ht="15.75" customHeight="1">
      <c r="A86" s="202"/>
      <c r="B86" s="202"/>
      <c r="C86" s="222"/>
      <c r="D86" s="202"/>
      <c r="E86" s="202"/>
      <c r="F86" s="222"/>
      <c r="G86" s="202"/>
      <c r="H86" s="22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</row>
    <row r="87" ht="15.75" customHeight="1">
      <c r="A87" s="202"/>
      <c r="B87" s="202"/>
      <c r="C87" s="222"/>
      <c r="D87" s="202"/>
      <c r="E87" s="202"/>
      <c r="F87" s="222"/>
      <c r="G87" s="202"/>
      <c r="H87" s="22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</row>
    <row r="88" ht="15.75" customHeight="1">
      <c r="A88" s="202"/>
      <c r="B88" s="202"/>
      <c r="C88" s="222"/>
      <c r="D88" s="202"/>
      <c r="E88" s="202"/>
      <c r="F88" s="222"/>
      <c r="G88" s="202"/>
      <c r="H88" s="22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</row>
    <row r="89" ht="15.75" customHeight="1">
      <c r="A89" s="202"/>
      <c r="B89" s="202"/>
      <c r="C89" s="222"/>
      <c r="D89" s="202"/>
      <c r="E89" s="202"/>
      <c r="F89" s="222"/>
      <c r="G89" s="202"/>
      <c r="H89" s="22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  <c r="AB89" s="202"/>
    </row>
    <row r="90" ht="15.75" customHeight="1">
      <c r="A90" s="202"/>
      <c r="B90" s="202"/>
      <c r="C90" s="222"/>
      <c r="D90" s="202"/>
      <c r="E90" s="202"/>
      <c r="F90" s="222"/>
      <c r="G90" s="202"/>
      <c r="H90" s="22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</row>
    <row r="91" ht="15.75" customHeight="1">
      <c r="A91" s="202"/>
      <c r="B91" s="202"/>
      <c r="C91" s="222"/>
      <c r="D91" s="202"/>
      <c r="E91" s="202"/>
      <c r="F91" s="222"/>
      <c r="G91" s="202"/>
      <c r="H91" s="22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B91" s="202"/>
    </row>
    <row r="92" ht="15.75" customHeight="1">
      <c r="A92" s="202"/>
      <c r="B92" s="202"/>
      <c r="C92" s="222"/>
      <c r="D92" s="202"/>
      <c r="E92" s="202"/>
      <c r="F92" s="222"/>
      <c r="G92" s="202"/>
      <c r="H92" s="22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</row>
    <row r="93" ht="15.75" customHeight="1">
      <c r="A93" s="202"/>
      <c r="B93" s="202"/>
      <c r="C93" s="222"/>
      <c r="D93" s="202"/>
      <c r="E93" s="202"/>
      <c r="F93" s="222"/>
      <c r="G93" s="202"/>
      <c r="H93" s="22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</row>
    <row r="94" ht="15.75" customHeight="1">
      <c r="A94" s="202"/>
      <c r="B94" s="202"/>
      <c r="C94" s="222"/>
      <c r="D94" s="202"/>
      <c r="E94" s="202"/>
      <c r="F94" s="222"/>
      <c r="G94" s="202"/>
      <c r="H94" s="22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</row>
    <row r="95" ht="15.75" customHeight="1">
      <c r="A95" s="202"/>
      <c r="B95" s="202"/>
      <c r="C95" s="222"/>
      <c r="D95" s="202"/>
      <c r="E95" s="202"/>
      <c r="F95" s="222"/>
      <c r="G95" s="202"/>
      <c r="H95" s="22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2"/>
    </row>
    <row r="96" ht="15.75" customHeight="1">
      <c r="A96" s="202"/>
      <c r="B96" s="202"/>
      <c r="C96" s="222"/>
      <c r="D96" s="202"/>
      <c r="E96" s="202"/>
      <c r="F96" s="222"/>
      <c r="G96" s="202"/>
      <c r="H96" s="22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</row>
    <row r="97" ht="15.75" customHeight="1">
      <c r="A97" s="202"/>
      <c r="B97" s="202"/>
      <c r="C97" s="222"/>
      <c r="D97" s="202"/>
      <c r="E97" s="202"/>
      <c r="F97" s="222"/>
      <c r="G97" s="202"/>
      <c r="H97" s="22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2"/>
    </row>
    <row r="98" ht="15.75" customHeight="1">
      <c r="A98" s="202"/>
      <c r="B98" s="202"/>
      <c r="C98" s="222"/>
      <c r="D98" s="202"/>
      <c r="E98" s="202"/>
      <c r="F98" s="222"/>
      <c r="G98" s="202"/>
      <c r="H98" s="22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</row>
    <row r="99" ht="15.75" customHeight="1">
      <c r="A99" s="202"/>
      <c r="B99" s="202"/>
      <c r="C99" s="222"/>
      <c r="D99" s="202"/>
      <c r="E99" s="202"/>
      <c r="F99" s="222"/>
      <c r="G99" s="202"/>
      <c r="H99" s="22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2"/>
    </row>
    <row r="100" ht="15.75" customHeight="1">
      <c r="A100" s="202"/>
      <c r="B100" s="202"/>
      <c r="C100" s="222"/>
      <c r="D100" s="202"/>
      <c r="E100" s="202"/>
      <c r="F100" s="222"/>
      <c r="G100" s="202"/>
      <c r="H100" s="22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</row>
    <row r="101" ht="15.75" customHeight="1">
      <c r="A101" s="202"/>
      <c r="B101" s="202"/>
      <c r="C101" s="222"/>
      <c r="D101" s="202"/>
      <c r="E101" s="202"/>
      <c r="F101" s="222"/>
      <c r="G101" s="202"/>
      <c r="H101" s="22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2"/>
    </row>
    <row r="102" ht="15.75" customHeight="1">
      <c r="A102" s="202"/>
      <c r="B102" s="202"/>
      <c r="C102" s="222"/>
      <c r="D102" s="202"/>
      <c r="E102" s="202"/>
      <c r="F102" s="222"/>
      <c r="G102" s="202"/>
      <c r="H102" s="22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</row>
    <row r="103" ht="15.75" customHeight="1">
      <c r="A103" s="202"/>
      <c r="B103" s="202"/>
      <c r="C103" s="222"/>
      <c r="D103" s="202"/>
      <c r="E103" s="202"/>
      <c r="F103" s="222"/>
      <c r="G103" s="202"/>
      <c r="H103" s="22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  <c r="AB103" s="202"/>
    </row>
    <row r="104" ht="15.75" customHeight="1">
      <c r="A104" s="202"/>
      <c r="B104" s="202"/>
      <c r="C104" s="222"/>
      <c r="D104" s="202"/>
      <c r="E104" s="202"/>
      <c r="F104" s="222"/>
      <c r="G104" s="202"/>
      <c r="H104" s="22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</row>
    <row r="105" ht="15.75" customHeight="1">
      <c r="A105" s="202"/>
      <c r="B105" s="202"/>
      <c r="C105" s="222"/>
      <c r="D105" s="202"/>
      <c r="E105" s="202"/>
      <c r="F105" s="222"/>
      <c r="G105" s="202"/>
      <c r="H105" s="22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  <c r="AB105" s="202"/>
    </row>
    <row r="106" ht="15.75" customHeight="1">
      <c r="A106" s="202"/>
      <c r="B106" s="202"/>
      <c r="C106" s="222"/>
      <c r="D106" s="202"/>
      <c r="E106" s="202"/>
      <c r="F106" s="222"/>
      <c r="G106" s="202"/>
      <c r="H106" s="22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</row>
    <row r="107" ht="15.75" customHeight="1">
      <c r="A107" s="202"/>
      <c r="B107" s="202"/>
      <c r="C107" s="222"/>
      <c r="D107" s="202"/>
      <c r="E107" s="202"/>
      <c r="F107" s="222"/>
      <c r="G107" s="202"/>
      <c r="H107" s="22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  <c r="AB107" s="202"/>
    </row>
    <row r="108" ht="15.75" customHeight="1">
      <c r="A108" s="202"/>
      <c r="B108" s="202"/>
      <c r="C108" s="222"/>
      <c r="D108" s="202"/>
      <c r="E108" s="202"/>
      <c r="F108" s="222"/>
      <c r="G108" s="202"/>
      <c r="H108" s="22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</row>
    <row r="109" ht="15.75" customHeight="1">
      <c r="A109" s="202"/>
      <c r="B109" s="202"/>
      <c r="C109" s="222"/>
      <c r="D109" s="202"/>
      <c r="E109" s="202"/>
      <c r="F109" s="222"/>
      <c r="G109" s="202"/>
      <c r="H109" s="22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  <c r="AB109" s="202"/>
    </row>
    <row r="110" ht="15.75" customHeight="1">
      <c r="A110" s="202"/>
      <c r="B110" s="202"/>
      <c r="C110" s="222"/>
      <c r="D110" s="202"/>
      <c r="E110" s="202"/>
      <c r="F110" s="222"/>
      <c r="G110" s="202"/>
      <c r="H110" s="22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2"/>
    </row>
    <row r="111" ht="15.75" customHeight="1">
      <c r="A111" s="202"/>
      <c r="B111" s="202"/>
      <c r="C111" s="222"/>
      <c r="D111" s="202"/>
      <c r="E111" s="202"/>
      <c r="F111" s="222"/>
      <c r="G111" s="202"/>
      <c r="H111" s="22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  <c r="AA111" s="202"/>
      <c r="AB111" s="202"/>
    </row>
    <row r="112" ht="15.75" customHeight="1">
      <c r="A112" s="202"/>
      <c r="B112" s="202"/>
      <c r="C112" s="222"/>
      <c r="D112" s="202"/>
      <c r="E112" s="202"/>
      <c r="F112" s="222"/>
      <c r="G112" s="202"/>
      <c r="H112" s="22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2"/>
    </row>
    <row r="113" ht="15.75" customHeight="1">
      <c r="A113" s="202"/>
      <c r="B113" s="202"/>
      <c r="C113" s="222"/>
      <c r="D113" s="202"/>
      <c r="E113" s="202"/>
      <c r="F113" s="222"/>
      <c r="G113" s="202"/>
      <c r="H113" s="22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  <c r="AB113" s="202"/>
    </row>
    <row r="114" ht="15.75" customHeight="1">
      <c r="A114" s="202"/>
      <c r="B114" s="202"/>
      <c r="C114" s="222"/>
      <c r="D114" s="202"/>
      <c r="E114" s="202"/>
      <c r="F114" s="222"/>
      <c r="G114" s="202"/>
      <c r="H114" s="22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  <c r="AB114" s="202"/>
    </row>
    <row r="115" ht="15.75" customHeight="1">
      <c r="A115" s="202"/>
      <c r="B115" s="202"/>
      <c r="C115" s="222"/>
      <c r="D115" s="202"/>
      <c r="E115" s="202"/>
      <c r="F115" s="222"/>
      <c r="G115" s="202"/>
      <c r="H115" s="22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  <c r="AB115" s="202"/>
    </row>
    <row r="116" ht="15.75" customHeight="1">
      <c r="A116" s="202"/>
      <c r="B116" s="202"/>
      <c r="C116" s="222"/>
      <c r="D116" s="202"/>
      <c r="E116" s="202"/>
      <c r="F116" s="222"/>
      <c r="G116" s="202"/>
      <c r="H116" s="22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</row>
    <row r="117" ht="15.75" customHeight="1">
      <c r="A117" s="202"/>
      <c r="B117" s="202"/>
      <c r="C117" s="222"/>
      <c r="D117" s="202"/>
      <c r="E117" s="202"/>
      <c r="F117" s="222"/>
      <c r="G117" s="202"/>
      <c r="H117" s="22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  <c r="AB117" s="202"/>
    </row>
    <row r="118" ht="15.75" customHeight="1">
      <c r="A118" s="202"/>
      <c r="B118" s="202"/>
      <c r="C118" s="222"/>
      <c r="D118" s="202"/>
      <c r="E118" s="202"/>
      <c r="F118" s="222"/>
      <c r="G118" s="202"/>
      <c r="H118" s="22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</row>
    <row r="119" ht="15.75" customHeight="1">
      <c r="A119" s="202"/>
      <c r="B119" s="202"/>
      <c r="C119" s="222"/>
      <c r="D119" s="202"/>
      <c r="E119" s="202"/>
      <c r="F119" s="222"/>
      <c r="G119" s="202"/>
      <c r="H119" s="22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  <c r="AB119" s="202"/>
    </row>
    <row r="120" ht="15.75" customHeight="1">
      <c r="A120" s="202"/>
      <c r="B120" s="202"/>
      <c r="C120" s="222"/>
      <c r="D120" s="202"/>
      <c r="E120" s="202"/>
      <c r="F120" s="222"/>
      <c r="G120" s="202"/>
      <c r="H120" s="22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  <c r="AB120" s="202"/>
    </row>
    <row r="121" ht="15.75" customHeight="1">
      <c r="A121" s="202"/>
      <c r="B121" s="202"/>
      <c r="C121" s="222"/>
      <c r="D121" s="202"/>
      <c r="E121" s="202"/>
      <c r="F121" s="222"/>
      <c r="G121" s="202"/>
      <c r="H121" s="22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  <c r="AA121" s="202"/>
      <c r="AB121" s="202"/>
    </row>
    <row r="122" ht="15.75" customHeight="1">
      <c r="A122" s="202"/>
      <c r="B122" s="202"/>
      <c r="C122" s="222"/>
      <c r="D122" s="202"/>
      <c r="E122" s="202"/>
      <c r="F122" s="222"/>
      <c r="G122" s="202"/>
      <c r="H122" s="22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  <c r="AB122" s="202"/>
    </row>
    <row r="123" ht="15.75" customHeight="1">
      <c r="A123" s="202"/>
      <c r="B123" s="202"/>
      <c r="C123" s="222"/>
      <c r="D123" s="202"/>
      <c r="E123" s="202"/>
      <c r="F123" s="222"/>
      <c r="G123" s="202"/>
      <c r="H123" s="22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  <c r="AB123" s="202"/>
    </row>
    <row r="124" ht="15.75" customHeight="1">
      <c r="A124" s="202"/>
      <c r="B124" s="202"/>
      <c r="C124" s="222"/>
      <c r="D124" s="202"/>
      <c r="E124" s="202"/>
      <c r="F124" s="222"/>
      <c r="G124" s="202"/>
      <c r="H124" s="22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  <c r="AB124" s="202"/>
    </row>
    <row r="125" ht="15.75" customHeight="1">
      <c r="A125" s="202"/>
      <c r="B125" s="202"/>
      <c r="C125" s="222"/>
      <c r="D125" s="202"/>
      <c r="E125" s="202"/>
      <c r="F125" s="222"/>
      <c r="G125" s="202"/>
      <c r="H125" s="22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  <c r="AB125" s="202"/>
    </row>
    <row r="126" ht="15.75" customHeight="1">
      <c r="A126" s="202"/>
      <c r="B126" s="202"/>
      <c r="C126" s="222"/>
      <c r="D126" s="202"/>
      <c r="E126" s="202"/>
      <c r="F126" s="222"/>
      <c r="G126" s="202"/>
      <c r="H126" s="22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  <c r="AA126" s="202"/>
      <c r="AB126" s="202"/>
    </row>
    <row r="127" ht="15.75" customHeight="1">
      <c r="A127" s="202"/>
      <c r="B127" s="202"/>
      <c r="C127" s="222"/>
      <c r="D127" s="202"/>
      <c r="E127" s="202"/>
      <c r="F127" s="222"/>
      <c r="G127" s="202"/>
      <c r="H127" s="22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  <c r="AA127" s="202"/>
      <c r="AB127" s="202"/>
    </row>
    <row r="128" ht="15.75" customHeight="1">
      <c r="A128" s="202"/>
      <c r="B128" s="202"/>
      <c r="C128" s="222"/>
      <c r="D128" s="202"/>
      <c r="E128" s="202"/>
      <c r="F128" s="222"/>
      <c r="G128" s="202"/>
      <c r="H128" s="22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  <c r="AA128" s="202"/>
      <c r="AB128" s="202"/>
    </row>
    <row r="129" ht="15.75" customHeight="1">
      <c r="A129" s="202"/>
      <c r="B129" s="202"/>
      <c r="C129" s="222"/>
      <c r="D129" s="202"/>
      <c r="E129" s="202"/>
      <c r="F129" s="222"/>
      <c r="G129" s="202"/>
      <c r="H129" s="22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  <c r="AA129" s="202"/>
      <c r="AB129" s="202"/>
    </row>
    <row r="130" ht="15.75" customHeight="1">
      <c r="A130" s="202"/>
      <c r="B130" s="202"/>
      <c r="C130" s="222"/>
      <c r="D130" s="202"/>
      <c r="E130" s="202"/>
      <c r="F130" s="222"/>
      <c r="G130" s="202"/>
      <c r="H130" s="22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  <c r="AA130" s="202"/>
      <c r="AB130" s="202"/>
    </row>
    <row r="131" ht="15.75" customHeight="1">
      <c r="A131" s="202"/>
      <c r="B131" s="202"/>
      <c r="C131" s="222"/>
      <c r="D131" s="202"/>
      <c r="E131" s="202"/>
      <c r="F131" s="222"/>
      <c r="G131" s="202"/>
      <c r="H131" s="22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  <c r="AA131" s="202"/>
      <c r="AB131" s="202"/>
    </row>
    <row r="132" ht="15.75" customHeight="1">
      <c r="A132" s="202"/>
      <c r="B132" s="202"/>
      <c r="C132" s="222"/>
      <c r="D132" s="202"/>
      <c r="E132" s="202"/>
      <c r="F132" s="222"/>
      <c r="G132" s="202"/>
      <c r="H132" s="22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  <c r="AA132" s="202"/>
      <c r="AB132" s="202"/>
    </row>
    <row r="133" ht="15.75" customHeight="1">
      <c r="A133" s="202"/>
      <c r="B133" s="202"/>
      <c r="C133" s="222"/>
      <c r="D133" s="202"/>
      <c r="E133" s="202"/>
      <c r="F133" s="222"/>
      <c r="G133" s="202"/>
      <c r="H133" s="22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  <c r="AA133" s="202"/>
      <c r="AB133" s="202"/>
    </row>
    <row r="134" ht="15.75" customHeight="1">
      <c r="A134" s="202"/>
      <c r="B134" s="202"/>
      <c r="C134" s="222"/>
      <c r="D134" s="202"/>
      <c r="E134" s="202"/>
      <c r="F134" s="222"/>
      <c r="G134" s="202"/>
      <c r="H134" s="22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  <c r="AA134" s="202"/>
      <c r="AB134" s="202"/>
    </row>
    <row r="135" ht="15.75" customHeight="1">
      <c r="A135" s="202"/>
      <c r="B135" s="202"/>
      <c r="C135" s="222"/>
      <c r="D135" s="202"/>
      <c r="E135" s="202"/>
      <c r="F135" s="222"/>
      <c r="G135" s="202"/>
      <c r="H135" s="22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  <c r="AA135" s="202"/>
      <c r="AB135" s="202"/>
    </row>
    <row r="136" ht="15.75" customHeight="1">
      <c r="A136" s="202"/>
      <c r="B136" s="202"/>
      <c r="C136" s="222"/>
      <c r="D136" s="202"/>
      <c r="E136" s="202"/>
      <c r="F136" s="222"/>
      <c r="G136" s="202"/>
      <c r="H136" s="22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  <c r="AA136" s="202"/>
      <c r="AB136" s="202"/>
    </row>
    <row r="137" ht="15.75" customHeight="1">
      <c r="A137" s="202"/>
      <c r="B137" s="202"/>
      <c r="C137" s="222"/>
      <c r="D137" s="202"/>
      <c r="E137" s="202"/>
      <c r="F137" s="222"/>
      <c r="G137" s="202"/>
      <c r="H137" s="22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  <c r="AA137" s="202"/>
      <c r="AB137" s="202"/>
    </row>
    <row r="138" ht="15.75" customHeight="1">
      <c r="A138" s="202"/>
      <c r="B138" s="202"/>
      <c r="C138" s="222"/>
      <c r="D138" s="202"/>
      <c r="E138" s="202"/>
      <c r="F138" s="222"/>
      <c r="G138" s="202"/>
      <c r="H138" s="22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  <c r="AB138" s="202"/>
    </row>
    <row r="139" ht="15.75" customHeight="1">
      <c r="A139" s="202"/>
      <c r="B139" s="202"/>
      <c r="C139" s="222"/>
      <c r="D139" s="202"/>
      <c r="E139" s="202"/>
      <c r="F139" s="222"/>
      <c r="G139" s="202"/>
      <c r="H139" s="22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  <c r="AB139" s="202"/>
    </row>
    <row r="140" ht="15.75" customHeight="1">
      <c r="A140" s="202"/>
      <c r="B140" s="202"/>
      <c r="C140" s="222"/>
      <c r="D140" s="202"/>
      <c r="E140" s="202"/>
      <c r="F140" s="222"/>
      <c r="G140" s="202"/>
      <c r="H140" s="22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  <c r="AB140" s="202"/>
    </row>
    <row r="141" ht="15.75" customHeight="1">
      <c r="A141" s="202"/>
      <c r="B141" s="202"/>
      <c r="C141" s="222"/>
      <c r="D141" s="202"/>
      <c r="E141" s="202"/>
      <c r="F141" s="222"/>
      <c r="G141" s="202"/>
      <c r="H141" s="22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  <c r="AA141" s="202"/>
      <c r="AB141" s="202"/>
    </row>
    <row r="142" ht="15.75" customHeight="1">
      <c r="A142" s="202"/>
      <c r="B142" s="202"/>
      <c r="C142" s="222"/>
      <c r="D142" s="202"/>
      <c r="E142" s="202"/>
      <c r="F142" s="222"/>
      <c r="G142" s="202"/>
      <c r="H142" s="22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  <c r="AA142" s="202"/>
      <c r="AB142" s="202"/>
    </row>
    <row r="143" ht="15.75" customHeight="1">
      <c r="A143" s="202"/>
      <c r="B143" s="202"/>
      <c r="C143" s="222"/>
      <c r="D143" s="202"/>
      <c r="E143" s="202"/>
      <c r="F143" s="222"/>
      <c r="G143" s="202"/>
      <c r="H143" s="22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  <c r="AB143" s="202"/>
    </row>
    <row r="144" ht="15.75" customHeight="1">
      <c r="A144" s="202"/>
      <c r="B144" s="202"/>
      <c r="C144" s="222"/>
      <c r="D144" s="202"/>
      <c r="E144" s="202"/>
      <c r="F144" s="222"/>
      <c r="G144" s="202"/>
      <c r="H144" s="22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02"/>
      <c r="AB144" s="202"/>
    </row>
    <row r="145" ht="15.75" customHeight="1">
      <c r="A145" s="202"/>
      <c r="B145" s="202"/>
      <c r="C145" s="222"/>
      <c r="D145" s="202"/>
      <c r="E145" s="202"/>
      <c r="F145" s="222"/>
      <c r="G145" s="202"/>
      <c r="H145" s="22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  <c r="AB145" s="202"/>
    </row>
    <row r="146" ht="15.75" customHeight="1">
      <c r="A146" s="202"/>
      <c r="B146" s="202"/>
      <c r="C146" s="222"/>
      <c r="D146" s="202"/>
      <c r="E146" s="202"/>
      <c r="F146" s="222"/>
      <c r="G146" s="202"/>
      <c r="H146" s="22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  <c r="AB146" s="202"/>
    </row>
    <row r="147" ht="15.75" customHeight="1">
      <c r="A147" s="202"/>
      <c r="B147" s="202"/>
      <c r="C147" s="222"/>
      <c r="D147" s="202"/>
      <c r="E147" s="202"/>
      <c r="F147" s="222"/>
      <c r="G147" s="202"/>
      <c r="H147" s="22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  <c r="AB147" s="202"/>
    </row>
    <row r="148" ht="15.75" customHeight="1">
      <c r="A148" s="202"/>
      <c r="B148" s="202"/>
      <c r="C148" s="222"/>
      <c r="D148" s="202"/>
      <c r="E148" s="202"/>
      <c r="F148" s="222"/>
      <c r="G148" s="202"/>
      <c r="H148" s="22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  <c r="AA148" s="202"/>
      <c r="AB148" s="202"/>
    </row>
    <row r="149" ht="15.75" customHeight="1">
      <c r="A149" s="202"/>
      <c r="B149" s="202"/>
      <c r="C149" s="222"/>
      <c r="D149" s="202"/>
      <c r="E149" s="202"/>
      <c r="F149" s="222"/>
      <c r="G149" s="202"/>
      <c r="H149" s="22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  <c r="AA149" s="202"/>
      <c r="AB149" s="202"/>
    </row>
    <row r="150" ht="15.75" customHeight="1">
      <c r="A150" s="202"/>
      <c r="B150" s="202"/>
      <c r="C150" s="222"/>
      <c r="D150" s="202"/>
      <c r="E150" s="202"/>
      <c r="F150" s="222"/>
      <c r="G150" s="202"/>
      <c r="H150" s="22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  <c r="AA150" s="202"/>
      <c r="AB150" s="202"/>
    </row>
    <row r="151" ht="15.75" customHeight="1">
      <c r="A151" s="202"/>
      <c r="B151" s="202"/>
      <c r="C151" s="222"/>
      <c r="D151" s="202"/>
      <c r="E151" s="202"/>
      <c r="F151" s="222"/>
      <c r="G151" s="202"/>
      <c r="H151" s="22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  <c r="AA151" s="202"/>
      <c r="AB151" s="202"/>
    </row>
    <row r="152" ht="15.75" customHeight="1">
      <c r="A152" s="202"/>
      <c r="B152" s="202"/>
      <c r="C152" s="222"/>
      <c r="D152" s="202"/>
      <c r="E152" s="202"/>
      <c r="F152" s="222"/>
      <c r="G152" s="202"/>
      <c r="H152" s="222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  <c r="AA152" s="202"/>
      <c r="AB152" s="202"/>
    </row>
    <row r="153" ht="15.75" customHeight="1">
      <c r="A153" s="202"/>
      <c r="B153" s="202"/>
      <c r="C153" s="222"/>
      <c r="D153" s="202"/>
      <c r="E153" s="202"/>
      <c r="F153" s="222"/>
      <c r="G153" s="202"/>
      <c r="H153" s="222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  <c r="AA153" s="202"/>
      <c r="AB153" s="202"/>
    </row>
    <row r="154" ht="15.75" customHeight="1">
      <c r="A154" s="202"/>
      <c r="B154" s="202"/>
      <c r="C154" s="222"/>
      <c r="D154" s="202"/>
      <c r="E154" s="202"/>
      <c r="F154" s="222"/>
      <c r="G154" s="202"/>
      <c r="H154" s="222"/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  <c r="AA154" s="202"/>
      <c r="AB154" s="202"/>
    </row>
    <row r="155" ht="15.75" customHeight="1">
      <c r="A155" s="202"/>
      <c r="B155" s="202"/>
      <c r="C155" s="222"/>
      <c r="D155" s="202"/>
      <c r="E155" s="202"/>
      <c r="F155" s="222"/>
      <c r="G155" s="202"/>
      <c r="H155" s="222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  <c r="AA155" s="202"/>
      <c r="AB155" s="202"/>
    </row>
    <row r="156" ht="15.75" customHeight="1">
      <c r="A156" s="202"/>
      <c r="B156" s="202"/>
      <c r="C156" s="222"/>
      <c r="D156" s="202"/>
      <c r="E156" s="202"/>
      <c r="F156" s="222"/>
      <c r="G156" s="202"/>
      <c r="H156" s="222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  <c r="AA156" s="202"/>
      <c r="AB156" s="202"/>
    </row>
    <row r="157" ht="15.75" customHeight="1">
      <c r="A157" s="202"/>
      <c r="B157" s="202"/>
      <c r="C157" s="222"/>
      <c r="D157" s="202"/>
      <c r="E157" s="202"/>
      <c r="F157" s="222"/>
      <c r="G157" s="202"/>
      <c r="H157" s="22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  <c r="AA157" s="202"/>
      <c r="AB157" s="202"/>
    </row>
    <row r="158" ht="15.75" customHeight="1">
      <c r="A158" s="202"/>
      <c r="B158" s="202"/>
      <c r="C158" s="222"/>
      <c r="D158" s="202"/>
      <c r="E158" s="202"/>
      <c r="F158" s="222"/>
      <c r="G158" s="202"/>
      <c r="H158" s="22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  <c r="AA158" s="202"/>
      <c r="AB158" s="202"/>
    </row>
    <row r="159" ht="15.75" customHeight="1">
      <c r="A159" s="202"/>
      <c r="B159" s="202"/>
      <c r="C159" s="222"/>
      <c r="D159" s="202"/>
      <c r="E159" s="202"/>
      <c r="F159" s="222"/>
      <c r="G159" s="202"/>
      <c r="H159" s="22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  <c r="AA159" s="202"/>
      <c r="AB159" s="202"/>
    </row>
    <row r="160" ht="15.75" customHeight="1">
      <c r="A160" s="202"/>
      <c r="B160" s="202"/>
      <c r="C160" s="222"/>
      <c r="D160" s="202"/>
      <c r="E160" s="202"/>
      <c r="F160" s="222"/>
      <c r="G160" s="202"/>
      <c r="H160" s="222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  <c r="AA160" s="202"/>
      <c r="AB160" s="202"/>
    </row>
    <row r="161" ht="15.75" customHeight="1">
      <c r="A161" s="202"/>
      <c r="B161" s="202"/>
      <c r="C161" s="222"/>
      <c r="D161" s="202"/>
      <c r="E161" s="202"/>
      <c r="F161" s="222"/>
      <c r="G161" s="202"/>
      <c r="H161" s="22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  <c r="AA161" s="202"/>
      <c r="AB161" s="202"/>
    </row>
    <row r="162" ht="15.75" customHeight="1">
      <c r="A162" s="202"/>
      <c r="B162" s="202"/>
      <c r="C162" s="222"/>
      <c r="D162" s="202"/>
      <c r="E162" s="202"/>
      <c r="F162" s="222"/>
      <c r="G162" s="202"/>
      <c r="H162" s="22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  <c r="AA162" s="202"/>
      <c r="AB162" s="202"/>
    </row>
    <row r="163" ht="15.75" customHeight="1">
      <c r="A163" s="202"/>
      <c r="B163" s="202"/>
      <c r="C163" s="222"/>
      <c r="D163" s="202"/>
      <c r="E163" s="202"/>
      <c r="F163" s="222"/>
      <c r="G163" s="202"/>
      <c r="H163" s="22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  <c r="AA163" s="202"/>
      <c r="AB163" s="202"/>
    </row>
    <row r="164" ht="15.75" customHeight="1">
      <c r="A164" s="202"/>
      <c r="B164" s="202"/>
      <c r="C164" s="222"/>
      <c r="D164" s="202"/>
      <c r="E164" s="202"/>
      <c r="F164" s="222"/>
      <c r="G164" s="202"/>
      <c r="H164" s="22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  <c r="AA164" s="202"/>
      <c r="AB164" s="202"/>
    </row>
    <row r="165" ht="15.75" customHeight="1">
      <c r="A165" s="202"/>
      <c r="B165" s="202"/>
      <c r="C165" s="222"/>
      <c r="D165" s="202"/>
      <c r="E165" s="202"/>
      <c r="F165" s="222"/>
      <c r="G165" s="202"/>
      <c r="H165" s="22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  <c r="AA165" s="202"/>
      <c r="AB165" s="202"/>
    </row>
    <row r="166" ht="15.75" customHeight="1">
      <c r="A166" s="202"/>
      <c r="B166" s="202"/>
      <c r="C166" s="222"/>
      <c r="D166" s="202"/>
      <c r="E166" s="202"/>
      <c r="F166" s="222"/>
      <c r="G166" s="202"/>
      <c r="H166" s="22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  <c r="AA166" s="202"/>
      <c r="AB166" s="202"/>
    </row>
    <row r="167" ht="15.75" customHeight="1">
      <c r="A167" s="202"/>
      <c r="B167" s="202"/>
      <c r="C167" s="222"/>
      <c r="D167" s="202"/>
      <c r="E167" s="202"/>
      <c r="F167" s="222"/>
      <c r="G167" s="202"/>
      <c r="H167" s="222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  <c r="AA167" s="202"/>
      <c r="AB167" s="202"/>
    </row>
    <row r="168" ht="15.75" customHeight="1">
      <c r="A168" s="202"/>
      <c r="B168" s="202"/>
      <c r="C168" s="222"/>
      <c r="D168" s="202"/>
      <c r="E168" s="202"/>
      <c r="F168" s="222"/>
      <c r="G168" s="202"/>
      <c r="H168" s="222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  <c r="AA168" s="202"/>
      <c r="AB168" s="202"/>
    </row>
    <row r="169" ht="15.75" customHeight="1">
      <c r="A169" s="202"/>
      <c r="B169" s="202"/>
      <c r="C169" s="222"/>
      <c r="D169" s="202"/>
      <c r="E169" s="202"/>
      <c r="F169" s="222"/>
      <c r="G169" s="202"/>
      <c r="H169" s="22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  <c r="AA169" s="202"/>
      <c r="AB169" s="202"/>
    </row>
    <row r="170" ht="15.75" customHeight="1">
      <c r="A170" s="202"/>
      <c r="B170" s="202"/>
      <c r="C170" s="222"/>
      <c r="D170" s="202"/>
      <c r="E170" s="202"/>
      <c r="F170" s="222"/>
      <c r="G170" s="202"/>
      <c r="H170" s="22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  <c r="AA170" s="202"/>
      <c r="AB170" s="202"/>
    </row>
    <row r="171" ht="15.75" customHeight="1">
      <c r="A171" s="202"/>
      <c r="B171" s="202"/>
      <c r="C171" s="222"/>
      <c r="D171" s="202"/>
      <c r="E171" s="202"/>
      <c r="F171" s="222"/>
      <c r="G171" s="202"/>
      <c r="H171" s="222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  <c r="AA171" s="202"/>
      <c r="AB171" s="202"/>
    </row>
    <row r="172" ht="15.75" customHeight="1">
      <c r="A172" s="202"/>
      <c r="B172" s="202"/>
      <c r="C172" s="222"/>
      <c r="D172" s="202"/>
      <c r="E172" s="202"/>
      <c r="F172" s="222"/>
      <c r="G172" s="202"/>
      <c r="H172" s="22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  <c r="AA172" s="202"/>
      <c r="AB172" s="202"/>
    </row>
    <row r="173" ht="15.75" customHeight="1">
      <c r="A173" s="202"/>
      <c r="B173" s="202"/>
      <c r="C173" s="222"/>
      <c r="D173" s="202"/>
      <c r="E173" s="202"/>
      <c r="F173" s="222"/>
      <c r="G173" s="202"/>
      <c r="H173" s="22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2"/>
    </row>
    <row r="174" ht="15.75" customHeight="1">
      <c r="A174" s="202"/>
      <c r="B174" s="202"/>
      <c r="C174" s="222"/>
      <c r="D174" s="202"/>
      <c r="E174" s="202"/>
      <c r="F174" s="222"/>
      <c r="G174" s="202"/>
      <c r="H174" s="22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  <c r="AB174" s="202"/>
    </row>
    <row r="175" ht="15.75" customHeight="1">
      <c r="A175" s="202"/>
      <c r="B175" s="202"/>
      <c r="C175" s="222"/>
      <c r="D175" s="202"/>
      <c r="E175" s="202"/>
      <c r="F175" s="222"/>
      <c r="G175" s="202"/>
      <c r="H175" s="22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  <c r="AA175" s="202"/>
      <c r="AB175" s="202"/>
    </row>
    <row r="176" ht="15.75" customHeight="1">
      <c r="A176" s="202"/>
      <c r="B176" s="202"/>
      <c r="C176" s="222"/>
      <c r="D176" s="202"/>
      <c r="E176" s="202"/>
      <c r="F176" s="222"/>
      <c r="G176" s="202"/>
      <c r="H176" s="22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  <c r="AA176" s="202"/>
      <c r="AB176" s="202"/>
    </row>
    <row r="177" ht="15.75" customHeight="1">
      <c r="A177" s="202"/>
      <c r="B177" s="202"/>
      <c r="C177" s="222"/>
      <c r="D177" s="202"/>
      <c r="E177" s="202"/>
      <c r="F177" s="222"/>
      <c r="G177" s="202"/>
      <c r="H177" s="22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  <c r="AA177" s="202"/>
      <c r="AB177" s="202"/>
    </row>
    <row r="178" ht="15.75" customHeight="1">
      <c r="A178" s="202"/>
      <c r="B178" s="202"/>
      <c r="C178" s="222"/>
      <c r="D178" s="202"/>
      <c r="E178" s="202"/>
      <c r="F178" s="222"/>
      <c r="G178" s="202"/>
      <c r="H178" s="22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  <c r="AA178" s="202"/>
      <c r="AB178" s="202"/>
    </row>
    <row r="179" ht="15.75" customHeight="1">
      <c r="A179" s="202"/>
      <c r="B179" s="202"/>
      <c r="C179" s="222"/>
      <c r="D179" s="202"/>
      <c r="E179" s="202"/>
      <c r="F179" s="222"/>
      <c r="G179" s="202"/>
      <c r="H179" s="22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  <c r="AA179" s="202"/>
      <c r="AB179" s="202"/>
    </row>
    <row r="180" ht="15.75" customHeight="1">
      <c r="A180" s="202"/>
      <c r="B180" s="202"/>
      <c r="C180" s="222"/>
      <c r="D180" s="202"/>
      <c r="E180" s="202"/>
      <c r="F180" s="222"/>
      <c r="G180" s="202"/>
      <c r="H180" s="22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  <c r="AA180" s="202"/>
      <c r="AB180" s="202"/>
    </row>
    <row r="181" ht="15.75" customHeight="1">
      <c r="A181" s="202"/>
      <c r="B181" s="202"/>
      <c r="C181" s="222"/>
      <c r="D181" s="202"/>
      <c r="E181" s="202"/>
      <c r="F181" s="222"/>
      <c r="G181" s="202"/>
      <c r="H181" s="22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  <c r="AA181" s="202"/>
      <c r="AB181" s="202"/>
    </row>
    <row r="182" ht="15.75" customHeight="1">
      <c r="A182" s="202"/>
      <c r="B182" s="202"/>
      <c r="C182" s="222"/>
      <c r="D182" s="202"/>
      <c r="E182" s="202"/>
      <c r="F182" s="222"/>
      <c r="G182" s="202"/>
      <c r="H182" s="22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  <c r="AA182" s="202"/>
      <c r="AB182" s="202"/>
    </row>
    <row r="183" ht="15.75" customHeight="1">
      <c r="A183" s="202"/>
      <c r="B183" s="202"/>
      <c r="C183" s="222"/>
      <c r="D183" s="202"/>
      <c r="E183" s="202"/>
      <c r="F183" s="222"/>
      <c r="G183" s="202"/>
      <c r="H183" s="22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  <c r="AA183" s="202"/>
      <c r="AB183" s="202"/>
    </row>
    <row r="184" ht="15.75" customHeight="1">
      <c r="A184" s="202"/>
      <c r="B184" s="202"/>
      <c r="C184" s="222"/>
      <c r="D184" s="202"/>
      <c r="E184" s="202"/>
      <c r="F184" s="222"/>
      <c r="G184" s="202"/>
      <c r="H184" s="22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</row>
    <row r="185" ht="15.75" customHeight="1">
      <c r="A185" s="202"/>
      <c r="B185" s="202"/>
      <c r="C185" s="222"/>
      <c r="D185" s="202"/>
      <c r="E185" s="202"/>
      <c r="F185" s="222"/>
      <c r="G185" s="202"/>
      <c r="H185" s="222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  <c r="AA185" s="202"/>
      <c r="AB185" s="202"/>
    </row>
    <row r="186" ht="15.75" customHeight="1">
      <c r="A186" s="202"/>
      <c r="B186" s="202"/>
      <c r="C186" s="222"/>
      <c r="D186" s="202"/>
      <c r="E186" s="202"/>
      <c r="F186" s="222"/>
      <c r="G186" s="202"/>
      <c r="H186" s="22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  <c r="AA186" s="202"/>
      <c r="AB186" s="202"/>
    </row>
    <row r="187" ht="15.75" customHeight="1">
      <c r="A187" s="202"/>
      <c r="B187" s="202"/>
      <c r="C187" s="222"/>
      <c r="D187" s="202"/>
      <c r="E187" s="202"/>
      <c r="F187" s="222"/>
      <c r="G187" s="202"/>
      <c r="H187" s="222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  <c r="AA187" s="202"/>
      <c r="AB187" s="202"/>
    </row>
    <row r="188" ht="15.75" customHeight="1">
      <c r="A188" s="202"/>
      <c r="B188" s="202"/>
      <c r="C188" s="222"/>
      <c r="D188" s="202"/>
      <c r="E188" s="202"/>
      <c r="F188" s="222"/>
      <c r="G188" s="202"/>
      <c r="H188" s="22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  <c r="AA188" s="202"/>
      <c r="AB188" s="202"/>
    </row>
    <row r="189" ht="15.75" customHeight="1">
      <c r="A189" s="202"/>
      <c r="B189" s="202"/>
      <c r="C189" s="222"/>
      <c r="D189" s="202"/>
      <c r="E189" s="202"/>
      <c r="F189" s="222"/>
      <c r="G189" s="202"/>
      <c r="H189" s="22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  <c r="AA189" s="202"/>
      <c r="AB189" s="202"/>
    </row>
    <row r="190" ht="15.75" customHeight="1">
      <c r="A190" s="202"/>
      <c r="B190" s="202"/>
      <c r="C190" s="222"/>
      <c r="D190" s="202"/>
      <c r="E190" s="202"/>
      <c r="F190" s="222"/>
      <c r="G190" s="202"/>
      <c r="H190" s="22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  <c r="AB190" s="202"/>
    </row>
    <row r="191" ht="15.75" customHeight="1">
      <c r="A191" s="202"/>
      <c r="B191" s="202"/>
      <c r="C191" s="222"/>
      <c r="D191" s="202"/>
      <c r="E191" s="202"/>
      <c r="F191" s="222"/>
      <c r="G191" s="202"/>
      <c r="H191" s="22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  <c r="AA191" s="202"/>
      <c r="AB191" s="202"/>
    </row>
    <row r="192" ht="15.75" customHeight="1">
      <c r="A192" s="202"/>
      <c r="B192" s="202"/>
      <c r="C192" s="222"/>
      <c r="D192" s="202"/>
      <c r="E192" s="202"/>
      <c r="F192" s="222"/>
      <c r="G192" s="202"/>
      <c r="H192" s="22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  <c r="AA192" s="202"/>
      <c r="AB192" s="202"/>
    </row>
    <row r="193" ht="15.75" customHeight="1">
      <c r="A193" s="202"/>
      <c r="B193" s="202"/>
      <c r="C193" s="222"/>
      <c r="D193" s="202"/>
      <c r="E193" s="202"/>
      <c r="F193" s="222"/>
      <c r="G193" s="202"/>
      <c r="H193" s="22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  <c r="AA193" s="202"/>
      <c r="AB193" s="202"/>
    </row>
    <row r="194" ht="15.75" customHeight="1">
      <c r="A194" s="202"/>
      <c r="B194" s="202"/>
      <c r="C194" s="222"/>
      <c r="D194" s="202"/>
      <c r="E194" s="202"/>
      <c r="F194" s="222"/>
      <c r="G194" s="202"/>
      <c r="H194" s="22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  <c r="AA194" s="202"/>
      <c r="AB194" s="202"/>
    </row>
    <row r="195" ht="15.75" customHeight="1">
      <c r="A195" s="202"/>
      <c r="B195" s="202"/>
      <c r="C195" s="222"/>
      <c r="D195" s="202"/>
      <c r="E195" s="202"/>
      <c r="F195" s="222"/>
      <c r="G195" s="202"/>
      <c r="H195" s="22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  <c r="AA195" s="202"/>
      <c r="AB195" s="202"/>
    </row>
    <row r="196" ht="15.75" customHeight="1">
      <c r="A196" s="202"/>
      <c r="B196" s="202"/>
      <c r="C196" s="222"/>
      <c r="D196" s="202"/>
      <c r="E196" s="202"/>
      <c r="F196" s="222"/>
      <c r="G196" s="202"/>
      <c r="H196" s="22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  <c r="AA196" s="202"/>
      <c r="AB196" s="202"/>
    </row>
    <row r="197" ht="15.75" customHeight="1">
      <c r="A197" s="202"/>
      <c r="B197" s="202"/>
      <c r="C197" s="222"/>
      <c r="D197" s="202"/>
      <c r="E197" s="202"/>
      <c r="F197" s="222"/>
      <c r="G197" s="202"/>
      <c r="H197" s="22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  <c r="AA197" s="202"/>
      <c r="AB197" s="202"/>
    </row>
    <row r="198" ht="15.75" customHeight="1">
      <c r="A198" s="202"/>
      <c r="B198" s="202"/>
      <c r="C198" s="222"/>
      <c r="D198" s="202"/>
      <c r="E198" s="202"/>
      <c r="F198" s="222"/>
      <c r="G198" s="202"/>
      <c r="H198" s="22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  <c r="AA198" s="202"/>
      <c r="AB198" s="202"/>
    </row>
    <row r="199" ht="15.75" customHeight="1">
      <c r="A199" s="202"/>
      <c r="B199" s="202"/>
      <c r="C199" s="222"/>
      <c r="D199" s="202"/>
      <c r="E199" s="202"/>
      <c r="F199" s="222"/>
      <c r="G199" s="202"/>
      <c r="H199" s="22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  <c r="AA199" s="202"/>
      <c r="AB199" s="202"/>
    </row>
    <row r="200" ht="15.75" customHeight="1">
      <c r="A200" s="202"/>
      <c r="B200" s="202"/>
      <c r="C200" s="222"/>
      <c r="D200" s="202"/>
      <c r="E200" s="202"/>
      <c r="F200" s="222"/>
      <c r="G200" s="202"/>
      <c r="H200" s="22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  <c r="AA200" s="202"/>
      <c r="AB200" s="202"/>
    </row>
    <row r="201" ht="15.75" customHeight="1">
      <c r="A201" s="202"/>
      <c r="B201" s="202"/>
      <c r="C201" s="222"/>
      <c r="D201" s="202"/>
      <c r="E201" s="202"/>
      <c r="F201" s="222"/>
      <c r="G201" s="202"/>
      <c r="H201" s="22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  <c r="AA201" s="202"/>
      <c r="AB201" s="202"/>
    </row>
    <row r="202" ht="15.75" customHeight="1">
      <c r="A202" s="202"/>
      <c r="B202" s="202"/>
      <c r="C202" s="222"/>
      <c r="D202" s="202"/>
      <c r="E202" s="202"/>
      <c r="F202" s="222"/>
      <c r="G202" s="202"/>
      <c r="H202" s="22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  <c r="AA202" s="202"/>
      <c r="AB202" s="202"/>
    </row>
    <row r="203" ht="15.75" customHeight="1">
      <c r="A203" s="202"/>
      <c r="B203" s="202"/>
      <c r="C203" s="222"/>
      <c r="D203" s="202"/>
      <c r="E203" s="202"/>
      <c r="F203" s="222"/>
      <c r="G203" s="202"/>
      <c r="H203" s="22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  <c r="AA203" s="202"/>
      <c r="AB203" s="202"/>
    </row>
    <row r="204" ht="15.75" customHeight="1">
      <c r="A204" s="202"/>
      <c r="B204" s="202"/>
      <c r="C204" s="222"/>
      <c r="D204" s="202"/>
      <c r="E204" s="202"/>
      <c r="F204" s="222"/>
      <c r="G204" s="202"/>
      <c r="H204" s="22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  <c r="AA204" s="202"/>
      <c r="AB204" s="202"/>
    </row>
    <row r="205" ht="15.75" customHeight="1">
      <c r="A205" s="202"/>
      <c r="B205" s="202"/>
      <c r="C205" s="222"/>
      <c r="D205" s="202"/>
      <c r="E205" s="202"/>
      <c r="F205" s="222"/>
      <c r="G205" s="202"/>
      <c r="H205" s="22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  <c r="AB205" s="202"/>
    </row>
    <row r="206" ht="15.75" customHeight="1">
      <c r="A206" s="202"/>
      <c r="B206" s="202"/>
      <c r="C206" s="222"/>
      <c r="D206" s="202"/>
      <c r="E206" s="202"/>
      <c r="F206" s="222"/>
      <c r="G206" s="202"/>
      <c r="H206" s="22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  <c r="AA206" s="202"/>
      <c r="AB206" s="202"/>
    </row>
    <row r="207" ht="15.75" customHeight="1">
      <c r="A207" s="202"/>
      <c r="B207" s="202"/>
      <c r="C207" s="222"/>
      <c r="D207" s="202"/>
      <c r="E207" s="202"/>
      <c r="F207" s="222"/>
      <c r="G207" s="202"/>
      <c r="H207" s="222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  <c r="AB207" s="202"/>
    </row>
    <row r="208" ht="15.75" customHeight="1">
      <c r="A208" s="202"/>
      <c r="B208" s="202"/>
      <c r="C208" s="222"/>
      <c r="D208" s="202"/>
      <c r="E208" s="202"/>
      <c r="F208" s="222"/>
      <c r="G208" s="202"/>
      <c r="H208" s="22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  <c r="AA208" s="202"/>
      <c r="AB208" s="202"/>
    </row>
    <row r="209" ht="15.75" customHeight="1">
      <c r="A209" s="202"/>
      <c r="B209" s="202"/>
      <c r="C209" s="222"/>
      <c r="D209" s="202"/>
      <c r="E209" s="202"/>
      <c r="F209" s="222"/>
      <c r="G209" s="202"/>
      <c r="H209" s="22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  <c r="AA209" s="202"/>
      <c r="AB209" s="202"/>
    </row>
    <row r="210" ht="15.75" customHeight="1">
      <c r="A210" s="202"/>
      <c r="B210" s="202"/>
      <c r="C210" s="222"/>
      <c r="D210" s="202"/>
      <c r="E210" s="202"/>
      <c r="F210" s="222"/>
      <c r="G210" s="202"/>
      <c r="H210" s="22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  <c r="AA210" s="202"/>
      <c r="AB210" s="202"/>
    </row>
    <row r="211" ht="15.75" customHeight="1">
      <c r="A211" s="202"/>
      <c r="B211" s="202"/>
      <c r="C211" s="222"/>
      <c r="D211" s="202"/>
      <c r="E211" s="202"/>
      <c r="F211" s="222"/>
      <c r="G211" s="202"/>
      <c r="H211" s="222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  <c r="AA211" s="202"/>
      <c r="AB211" s="202"/>
    </row>
    <row r="212" ht="15.75" customHeight="1">
      <c r="A212" s="202"/>
      <c r="B212" s="202"/>
      <c r="C212" s="222"/>
      <c r="D212" s="202"/>
      <c r="E212" s="202"/>
      <c r="F212" s="222"/>
      <c r="G212" s="202"/>
      <c r="H212" s="22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  <c r="AA212" s="202"/>
      <c r="AB212" s="202"/>
    </row>
    <row r="213" ht="15.75" customHeight="1">
      <c r="A213" s="202"/>
      <c r="B213" s="202"/>
      <c r="C213" s="222"/>
      <c r="D213" s="202"/>
      <c r="E213" s="202"/>
      <c r="F213" s="222"/>
      <c r="G213" s="202"/>
      <c r="H213" s="22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  <c r="AA213" s="202"/>
      <c r="AB213" s="202"/>
    </row>
    <row r="214" ht="15.75" customHeight="1">
      <c r="A214" s="202"/>
      <c r="B214" s="202"/>
      <c r="C214" s="222"/>
      <c r="D214" s="202"/>
      <c r="E214" s="202"/>
      <c r="F214" s="222"/>
      <c r="G214" s="202"/>
      <c r="H214" s="222"/>
      <c r="I214" s="202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  <c r="AA214" s="202"/>
      <c r="AB214" s="202"/>
    </row>
    <row r="215" ht="15.75" customHeight="1">
      <c r="A215" s="202"/>
      <c r="B215" s="202"/>
      <c r="C215" s="222"/>
      <c r="D215" s="202"/>
      <c r="E215" s="202"/>
      <c r="F215" s="222"/>
      <c r="G215" s="202"/>
      <c r="H215" s="222"/>
      <c r="I215" s="202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  <c r="AA215" s="202"/>
      <c r="AB215" s="202"/>
    </row>
    <row r="216" ht="15.75" customHeight="1">
      <c r="A216" s="202"/>
      <c r="B216" s="202"/>
      <c r="C216" s="222"/>
      <c r="D216" s="202"/>
      <c r="E216" s="202"/>
      <c r="F216" s="222"/>
      <c r="G216" s="202"/>
      <c r="H216" s="22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  <c r="AB216" s="202"/>
    </row>
    <row r="217" ht="15.75" customHeight="1">
      <c r="A217" s="202"/>
      <c r="B217" s="202"/>
      <c r="C217" s="222"/>
      <c r="D217" s="202"/>
      <c r="E217" s="202"/>
      <c r="F217" s="222"/>
      <c r="G217" s="202"/>
      <c r="H217" s="22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  <c r="AA217" s="202"/>
      <c r="AB217" s="202"/>
    </row>
    <row r="218" ht="15.75" customHeight="1">
      <c r="A218" s="202"/>
      <c r="B218" s="202"/>
      <c r="C218" s="222"/>
      <c r="D218" s="202"/>
      <c r="E218" s="202"/>
      <c r="F218" s="222"/>
      <c r="G218" s="202"/>
      <c r="H218" s="22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  <c r="AA218" s="202"/>
      <c r="AB218" s="202"/>
    </row>
    <row r="219" ht="15.75" customHeight="1">
      <c r="A219" s="202"/>
      <c r="B219" s="202"/>
      <c r="C219" s="222"/>
      <c r="D219" s="202"/>
      <c r="E219" s="202"/>
      <c r="F219" s="222"/>
      <c r="G219" s="202"/>
      <c r="H219" s="22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  <c r="AA219" s="202"/>
      <c r="AB219" s="202"/>
    </row>
    <row r="220" ht="15.75" customHeight="1">
      <c r="A220" s="202"/>
      <c r="B220" s="202"/>
      <c r="C220" s="222"/>
      <c r="D220" s="202"/>
      <c r="E220" s="202"/>
      <c r="F220" s="222"/>
      <c r="G220" s="202"/>
      <c r="H220" s="222"/>
      <c r="I220" s="202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  <c r="AA220" s="202"/>
      <c r="AB220" s="202"/>
    </row>
    <row r="221" ht="15.75" customHeight="1">
      <c r="A221" s="202"/>
      <c r="B221" s="202"/>
      <c r="C221" s="222"/>
      <c r="D221" s="202"/>
      <c r="E221" s="202"/>
      <c r="F221" s="222"/>
      <c r="G221" s="202"/>
      <c r="H221" s="222"/>
      <c r="I221" s="202"/>
      <c r="J221" s="202"/>
      <c r="K221" s="202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  <c r="AA221" s="202"/>
      <c r="AB221" s="202"/>
    </row>
    <row r="222" ht="15.75" customHeight="1">
      <c r="A222" s="202"/>
      <c r="B222" s="202"/>
      <c r="C222" s="222"/>
      <c r="D222" s="202"/>
      <c r="E222" s="202"/>
      <c r="F222" s="222"/>
      <c r="G222" s="202"/>
      <c r="H222" s="222"/>
      <c r="I222" s="202"/>
      <c r="J222" s="202"/>
      <c r="K222" s="202"/>
      <c r="L222" s="202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  <c r="AA222" s="202"/>
      <c r="AB222" s="202"/>
    </row>
    <row r="223" ht="15.75" customHeight="1">
      <c r="A223" s="202"/>
      <c r="B223" s="202"/>
      <c r="C223" s="222"/>
      <c r="D223" s="202"/>
      <c r="E223" s="202"/>
      <c r="F223" s="222"/>
      <c r="G223" s="202"/>
      <c r="H223" s="222"/>
      <c r="I223" s="202"/>
      <c r="J223" s="202"/>
      <c r="K223" s="202"/>
      <c r="L223" s="202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  <c r="AA223" s="202"/>
      <c r="AB223" s="202"/>
    </row>
    <row r="224" ht="15.75" customHeight="1">
      <c r="A224" s="202"/>
      <c r="B224" s="202"/>
      <c r="C224" s="222"/>
      <c r="D224" s="202"/>
      <c r="E224" s="202"/>
      <c r="F224" s="222"/>
      <c r="G224" s="202"/>
      <c r="H224" s="222"/>
      <c r="I224" s="202"/>
      <c r="J224" s="202"/>
      <c r="K224" s="202"/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  <c r="AA224" s="202"/>
      <c r="AB224" s="202"/>
    </row>
    <row r="225" ht="15.75" customHeight="1">
      <c r="A225" s="202"/>
      <c r="B225" s="202"/>
      <c r="C225" s="222"/>
      <c r="D225" s="202"/>
      <c r="E225" s="202"/>
      <c r="F225" s="222"/>
      <c r="G225" s="202"/>
      <c r="H225" s="222"/>
      <c r="I225" s="202"/>
      <c r="J225" s="202"/>
      <c r="K225" s="202"/>
      <c r="L225" s="202"/>
      <c r="M225" s="202"/>
      <c r="N225" s="202"/>
      <c r="O225" s="202"/>
      <c r="P225" s="202"/>
      <c r="Q225" s="202"/>
      <c r="R225" s="202"/>
      <c r="S225" s="202"/>
      <c r="T225" s="202"/>
      <c r="U225" s="202"/>
      <c r="V225" s="202"/>
      <c r="W225" s="202"/>
      <c r="X225" s="202"/>
      <c r="Y225" s="202"/>
      <c r="Z225" s="202"/>
      <c r="AA225" s="202"/>
      <c r="AB225" s="202"/>
    </row>
    <row r="226" ht="15.75" customHeight="1">
      <c r="A226" s="202"/>
      <c r="B226" s="202"/>
      <c r="C226" s="222"/>
      <c r="D226" s="202"/>
      <c r="E226" s="202"/>
      <c r="F226" s="222"/>
      <c r="G226" s="202"/>
      <c r="H226" s="222"/>
      <c r="I226" s="202"/>
      <c r="J226" s="202"/>
      <c r="K226" s="202"/>
      <c r="L226" s="202"/>
      <c r="M226" s="202"/>
      <c r="N226" s="202"/>
      <c r="O226" s="202"/>
      <c r="P226" s="202"/>
      <c r="Q226" s="202"/>
      <c r="R226" s="202"/>
      <c r="S226" s="202"/>
      <c r="T226" s="202"/>
      <c r="U226" s="202"/>
      <c r="V226" s="202"/>
      <c r="W226" s="202"/>
      <c r="X226" s="202"/>
      <c r="Y226" s="202"/>
      <c r="Z226" s="202"/>
      <c r="AA226" s="202"/>
      <c r="AB226" s="202"/>
    </row>
    <row r="227" ht="15.75" customHeight="1">
      <c r="A227" s="202"/>
      <c r="B227" s="202"/>
      <c r="C227" s="222"/>
      <c r="D227" s="202"/>
      <c r="E227" s="202"/>
      <c r="F227" s="222"/>
      <c r="G227" s="202"/>
      <c r="H227" s="222"/>
      <c r="I227" s="202"/>
      <c r="J227" s="202"/>
      <c r="K227" s="202"/>
      <c r="L227" s="202"/>
      <c r="M227" s="202"/>
      <c r="N227" s="202"/>
      <c r="O227" s="202"/>
      <c r="P227" s="202"/>
      <c r="Q227" s="202"/>
      <c r="R227" s="202"/>
      <c r="S227" s="202"/>
      <c r="T227" s="202"/>
      <c r="U227" s="202"/>
      <c r="V227" s="202"/>
      <c r="W227" s="202"/>
      <c r="X227" s="202"/>
      <c r="Y227" s="202"/>
      <c r="Z227" s="202"/>
      <c r="AA227" s="202"/>
      <c r="AB227" s="202"/>
    </row>
    <row r="228" ht="15.75" customHeight="1">
      <c r="A228" s="202"/>
      <c r="B228" s="202"/>
      <c r="C228" s="222"/>
      <c r="D228" s="202"/>
      <c r="E228" s="202"/>
      <c r="F228" s="222"/>
      <c r="G228" s="202"/>
      <c r="H228" s="222"/>
      <c r="I228" s="202"/>
      <c r="J228" s="202"/>
      <c r="K228" s="202"/>
      <c r="L228" s="202"/>
      <c r="M228" s="202"/>
      <c r="N228" s="202"/>
      <c r="O228" s="202"/>
      <c r="P228" s="202"/>
      <c r="Q228" s="202"/>
      <c r="R228" s="202"/>
      <c r="S228" s="202"/>
      <c r="T228" s="202"/>
      <c r="U228" s="202"/>
      <c r="V228" s="202"/>
      <c r="W228" s="202"/>
      <c r="X228" s="202"/>
      <c r="Y228" s="202"/>
      <c r="Z228" s="202"/>
      <c r="AA228" s="202"/>
      <c r="AB228" s="202"/>
    </row>
    <row r="229" ht="15.75" customHeight="1">
      <c r="A229" s="202"/>
      <c r="B229" s="202"/>
      <c r="C229" s="222"/>
      <c r="D229" s="202"/>
      <c r="E229" s="202"/>
      <c r="F229" s="222"/>
      <c r="G229" s="202"/>
      <c r="H229" s="222"/>
      <c r="I229" s="202"/>
      <c r="J229" s="202"/>
      <c r="K229" s="202"/>
      <c r="L229" s="202"/>
      <c r="M229" s="202"/>
      <c r="N229" s="202"/>
      <c r="O229" s="202"/>
      <c r="P229" s="202"/>
      <c r="Q229" s="202"/>
      <c r="R229" s="202"/>
      <c r="S229" s="202"/>
      <c r="T229" s="202"/>
      <c r="U229" s="202"/>
      <c r="V229" s="202"/>
      <c r="W229" s="202"/>
      <c r="X229" s="202"/>
      <c r="Y229" s="202"/>
      <c r="Z229" s="202"/>
      <c r="AA229" s="202"/>
      <c r="AB229" s="202"/>
    </row>
    <row r="230" ht="15.75" customHeight="1">
      <c r="A230" s="202"/>
      <c r="B230" s="202"/>
      <c r="C230" s="222"/>
      <c r="D230" s="202"/>
      <c r="E230" s="202"/>
      <c r="F230" s="222"/>
      <c r="G230" s="202"/>
      <c r="H230" s="222"/>
      <c r="I230" s="202"/>
      <c r="J230" s="202"/>
      <c r="K230" s="202"/>
      <c r="L230" s="202"/>
      <c r="M230" s="202"/>
      <c r="N230" s="202"/>
      <c r="O230" s="202"/>
      <c r="P230" s="202"/>
      <c r="Q230" s="202"/>
      <c r="R230" s="202"/>
      <c r="S230" s="202"/>
      <c r="T230" s="202"/>
      <c r="U230" s="202"/>
      <c r="V230" s="202"/>
      <c r="W230" s="202"/>
      <c r="X230" s="202"/>
      <c r="Y230" s="202"/>
      <c r="Z230" s="202"/>
      <c r="AA230" s="202"/>
      <c r="AB230" s="202"/>
    </row>
    <row r="231" ht="15.75" customHeight="1">
      <c r="A231" s="202"/>
      <c r="B231" s="202"/>
      <c r="C231" s="222"/>
      <c r="D231" s="202"/>
      <c r="E231" s="202"/>
      <c r="F231" s="222"/>
      <c r="G231" s="202"/>
      <c r="H231" s="222"/>
      <c r="I231" s="202"/>
      <c r="J231" s="202"/>
      <c r="K231" s="202"/>
      <c r="L231" s="202"/>
      <c r="M231" s="202"/>
      <c r="N231" s="202"/>
      <c r="O231" s="202"/>
      <c r="P231" s="202"/>
      <c r="Q231" s="202"/>
      <c r="R231" s="202"/>
      <c r="S231" s="202"/>
      <c r="T231" s="202"/>
      <c r="U231" s="202"/>
      <c r="V231" s="202"/>
      <c r="W231" s="202"/>
      <c r="X231" s="202"/>
      <c r="Y231" s="202"/>
      <c r="Z231" s="202"/>
      <c r="AA231" s="202"/>
      <c r="AB231" s="202"/>
    </row>
    <row r="232" ht="15.75" customHeight="1">
      <c r="A232" s="202"/>
      <c r="B232" s="202"/>
      <c r="C232" s="222"/>
      <c r="D232" s="202"/>
      <c r="E232" s="202"/>
      <c r="F232" s="222"/>
      <c r="G232" s="202"/>
      <c r="H232" s="222"/>
      <c r="I232" s="202"/>
      <c r="J232" s="202"/>
      <c r="K232" s="202"/>
      <c r="L232" s="202"/>
      <c r="M232" s="202"/>
      <c r="N232" s="202"/>
      <c r="O232" s="202"/>
      <c r="P232" s="202"/>
      <c r="Q232" s="202"/>
      <c r="R232" s="202"/>
      <c r="S232" s="202"/>
      <c r="T232" s="202"/>
      <c r="U232" s="202"/>
      <c r="V232" s="202"/>
      <c r="W232" s="202"/>
      <c r="X232" s="202"/>
      <c r="Y232" s="202"/>
      <c r="Z232" s="202"/>
      <c r="AA232" s="202"/>
      <c r="AB232" s="202"/>
    </row>
    <row r="233" ht="15.75" customHeight="1">
      <c r="A233" s="202"/>
      <c r="B233" s="202"/>
      <c r="C233" s="222"/>
      <c r="D233" s="202"/>
      <c r="E233" s="202"/>
      <c r="F233" s="222"/>
      <c r="G233" s="202"/>
      <c r="H233" s="222"/>
      <c r="I233" s="202"/>
      <c r="J233" s="202"/>
      <c r="K233" s="202"/>
      <c r="L233" s="202"/>
      <c r="M233" s="202"/>
      <c r="N233" s="202"/>
      <c r="O233" s="202"/>
      <c r="P233" s="202"/>
      <c r="Q233" s="202"/>
      <c r="R233" s="202"/>
      <c r="S233" s="202"/>
      <c r="T233" s="202"/>
      <c r="U233" s="202"/>
      <c r="V233" s="202"/>
      <c r="W233" s="202"/>
      <c r="X233" s="202"/>
      <c r="Y233" s="202"/>
      <c r="Z233" s="202"/>
      <c r="AA233" s="202"/>
      <c r="AB233" s="202"/>
    </row>
    <row r="234" ht="15.75" customHeight="1">
      <c r="A234" s="202"/>
      <c r="B234" s="202"/>
      <c r="C234" s="222"/>
      <c r="D234" s="202"/>
      <c r="E234" s="202"/>
      <c r="F234" s="222"/>
      <c r="G234" s="202"/>
      <c r="H234" s="222"/>
      <c r="I234" s="202"/>
      <c r="J234" s="202"/>
      <c r="K234" s="202"/>
      <c r="L234" s="202"/>
      <c r="M234" s="202"/>
      <c r="N234" s="202"/>
      <c r="O234" s="202"/>
      <c r="P234" s="202"/>
      <c r="Q234" s="202"/>
      <c r="R234" s="202"/>
      <c r="S234" s="202"/>
      <c r="T234" s="202"/>
      <c r="U234" s="202"/>
      <c r="V234" s="202"/>
      <c r="W234" s="202"/>
      <c r="X234" s="202"/>
      <c r="Y234" s="202"/>
      <c r="Z234" s="202"/>
      <c r="AA234" s="202"/>
      <c r="AB234" s="202"/>
    </row>
    <row r="235" ht="15.75" customHeight="1">
      <c r="A235" s="202"/>
      <c r="B235" s="202"/>
      <c r="C235" s="222"/>
      <c r="D235" s="202"/>
      <c r="E235" s="202"/>
      <c r="F235" s="222"/>
      <c r="G235" s="202"/>
      <c r="H235" s="222"/>
      <c r="I235" s="202"/>
      <c r="J235" s="202"/>
      <c r="K235" s="202"/>
      <c r="L235" s="202"/>
      <c r="M235" s="202"/>
      <c r="N235" s="202"/>
      <c r="O235" s="202"/>
      <c r="P235" s="202"/>
      <c r="Q235" s="202"/>
      <c r="R235" s="202"/>
      <c r="S235" s="202"/>
      <c r="T235" s="202"/>
      <c r="U235" s="202"/>
      <c r="V235" s="202"/>
      <c r="W235" s="202"/>
      <c r="X235" s="202"/>
      <c r="Y235" s="202"/>
      <c r="Z235" s="202"/>
      <c r="AA235" s="202"/>
      <c r="AB235" s="202"/>
    </row>
    <row r="236" ht="15.75" customHeight="1">
      <c r="A236" s="202"/>
      <c r="B236" s="202"/>
      <c r="C236" s="222"/>
      <c r="D236" s="202"/>
      <c r="E236" s="202"/>
      <c r="F236" s="222"/>
      <c r="G236" s="202"/>
      <c r="H236" s="222"/>
      <c r="I236" s="202"/>
      <c r="J236" s="202"/>
      <c r="K236" s="202"/>
      <c r="L236" s="202"/>
      <c r="M236" s="202"/>
      <c r="N236" s="202"/>
      <c r="O236" s="202"/>
      <c r="P236" s="202"/>
      <c r="Q236" s="202"/>
      <c r="R236" s="202"/>
      <c r="S236" s="202"/>
      <c r="T236" s="202"/>
      <c r="U236" s="202"/>
      <c r="V236" s="202"/>
      <c r="W236" s="202"/>
      <c r="X236" s="202"/>
      <c r="Y236" s="202"/>
      <c r="Z236" s="202"/>
      <c r="AA236" s="202"/>
      <c r="AB236" s="202"/>
    </row>
    <row r="237" ht="15.75" customHeight="1">
      <c r="A237" s="202"/>
      <c r="B237" s="202"/>
      <c r="C237" s="222"/>
      <c r="D237" s="202"/>
      <c r="E237" s="202"/>
      <c r="F237" s="222"/>
      <c r="G237" s="202"/>
      <c r="H237" s="222"/>
      <c r="I237" s="202"/>
      <c r="J237" s="202"/>
      <c r="K237" s="202"/>
      <c r="L237" s="202"/>
      <c r="M237" s="202"/>
      <c r="N237" s="202"/>
      <c r="O237" s="202"/>
      <c r="P237" s="202"/>
      <c r="Q237" s="202"/>
      <c r="R237" s="202"/>
      <c r="S237" s="202"/>
      <c r="T237" s="202"/>
      <c r="U237" s="202"/>
      <c r="V237" s="202"/>
      <c r="W237" s="202"/>
      <c r="X237" s="202"/>
      <c r="Y237" s="202"/>
      <c r="Z237" s="202"/>
      <c r="AA237" s="202"/>
      <c r="AB237" s="202"/>
    </row>
    <row r="238" ht="15.75" customHeight="1">
      <c r="A238" s="202"/>
      <c r="B238" s="202"/>
      <c r="C238" s="222"/>
      <c r="D238" s="202"/>
      <c r="E238" s="202"/>
      <c r="F238" s="222"/>
      <c r="G238" s="202"/>
      <c r="H238" s="222"/>
      <c r="I238" s="202"/>
      <c r="J238" s="202"/>
      <c r="K238" s="202"/>
      <c r="L238" s="202"/>
      <c r="M238" s="202"/>
      <c r="N238" s="202"/>
      <c r="O238" s="202"/>
      <c r="P238" s="202"/>
      <c r="Q238" s="202"/>
      <c r="R238" s="202"/>
      <c r="S238" s="202"/>
      <c r="T238" s="202"/>
      <c r="U238" s="202"/>
      <c r="V238" s="202"/>
      <c r="W238" s="202"/>
      <c r="X238" s="202"/>
      <c r="Y238" s="202"/>
      <c r="Z238" s="202"/>
      <c r="AA238" s="202"/>
      <c r="AB238" s="202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2.63"/>
    <col customWidth="1" min="3" max="3" width="8.38"/>
    <col customWidth="1" min="4" max="4" width="19.38"/>
    <col customWidth="1" min="5" max="5" width="2.63"/>
    <col customWidth="1" min="6" max="6" width="9.5"/>
    <col customWidth="1" min="7" max="7" width="12.63"/>
    <col customWidth="1" min="8" max="8" width="10.75"/>
    <col customWidth="1" min="9" max="9" width="15.13"/>
    <col customWidth="1" min="10" max="10" width="2.63"/>
    <col customWidth="1" min="11" max="11" width="9.5"/>
    <col customWidth="1" min="12" max="12" width="49.63"/>
  </cols>
  <sheetData>
    <row r="1" ht="15.75" customHeight="1">
      <c r="A1" s="223" t="s">
        <v>143</v>
      </c>
      <c r="B1" s="224" t="s">
        <v>152</v>
      </c>
      <c r="C1" s="225"/>
      <c r="D1" s="96"/>
      <c r="E1" s="226"/>
      <c r="F1" s="227" t="s">
        <v>143</v>
      </c>
      <c r="G1" s="228" t="s">
        <v>153</v>
      </c>
      <c r="H1" s="225"/>
      <c r="I1" s="96"/>
      <c r="J1" s="229"/>
      <c r="K1" s="230"/>
      <c r="L1" s="230"/>
      <c r="M1" s="231"/>
      <c r="N1" s="231"/>
      <c r="O1" s="231"/>
      <c r="P1" s="231"/>
      <c r="Q1" s="231"/>
      <c r="R1" s="231"/>
      <c r="S1" s="231"/>
      <c r="T1" s="231"/>
      <c r="U1" s="231"/>
      <c r="V1" s="231"/>
    </row>
    <row r="2" ht="15.75" customHeight="1">
      <c r="A2" s="223"/>
      <c r="B2" s="232" t="s">
        <v>154</v>
      </c>
      <c r="C2" s="96"/>
      <c r="D2" s="233" t="s">
        <v>155</v>
      </c>
      <c r="E2" s="226"/>
      <c r="F2" s="227"/>
      <c r="G2" s="232" t="s">
        <v>156</v>
      </c>
      <c r="H2" s="96"/>
      <c r="I2" s="233" t="s">
        <v>157</v>
      </c>
      <c r="J2" s="229"/>
      <c r="K2" s="230"/>
      <c r="L2" s="230"/>
      <c r="M2" s="234"/>
      <c r="N2" s="234"/>
      <c r="O2" s="234"/>
      <c r="P2" s="234"/>
      <c r="Q2" s="234"/>
      <c r="R2" s="234"/>
      <c r="S2" s="234"/>
      <c r="T2" s="234"/>
      <c r="U2" s="234"/>
      <c r="V2" s="234"/>
    </row>
    <row r="3" ht="15.75" customHeight="1">
      <c r="A3" s="235">
        <v>44410.0</v>
      </c>
      <c r="B3" s="236"/>
      <c r="C3" s="96"/>
      <c r="D3" s="237"/>
      <c r="E3" s="226"/>
      <c r="F3" s="238">
        <v>44410.0</v>
      </c>
      <c r="G3" s="236"/>
      <c r="H3" s="96"/>
      <c r="I3" s="237"/>
      <c r="J3" s="226"/>
      <c r="K3" s="230"/>
      <c r="L3" s="230"/>
      <c r="M3" s="234"/>
      <c r="N3" s="234"/>
      <c r="O3" s="234"/>
      <c r="P3" s="234"/>
      <c r="Q3" s="234"/>
      <c r="R3" s="234"/>
      <c r="S3" s="234"/>
      <c r="T3" s="234"/>
      <c r="U3" s="234"/>
      <c r="V3" s="234"/>
    </row>
    <row r="4" ht="15.75" customHeight="1">
      <c r="A4" s="235">
        <v>44411.0</v>
      </c>
      <c r="B4" s="236"/>
      <c r="C4" s="96"/>
      <c r="D4" s="239"/>
      <c r="E4" s="226"/>
      <c r="F4" s="238">
        <v>44411.0</v>
      </c>
      <c r="G4" s="236"/>
      <c r="H4" s="96"/>
      <c r="I4" s="239"/>
      <c r="J4" s="226"/>
      <c r="K4" s="230"/>
      <c r="L4" s="230"/>
      <c r="M4" s="231"/>
      <c r="N4" s="231"/>
      <c r="O4" s="231"/>
      <c r="P4" s="231"/>
      <c r="Q4" s="231"/>
      <c r="R4" s="231"/>
      <c r="S4" s="231"/>
      <c r="T4" s="231"/>
      <c r="U4" s="231"/>
      <c r="V4" s="231"/>
    </row>
    <row r="5" ht="15.75" customHeight="1">
      <c r="A5" s="235">
        <v>44412.0</v>
      </c>
      <c r="B5" s="236"/>
      <c r="C5" s="96"/>
      <c r="D5" s="239"/>
      <c r="E5" s="226"/>
      <c r="F5" s="238">
        <v>44412.0</v>
      </c>
      <c r="G5" s="236"/>
      <c r="H5" s="96"/>
      <c r="I5" s="239"/>
      <c r="J5" s="226"/>
      <c r="K5" s="230"/>
      <c r="L5" s="230"/>
      <c r="M5" s="231"/>
      <c r="N5" s="231"/>
      <c r="O5" s="231"/>
      <c r="P5" s="231"/>
      <c r="Q5" s="231"/>
      <c r="R5" s="231"/>
      <c r="S5" s="231"/>
      <c r="T5" s="231"/>
      <c r="U5" s="231"/>
      <c r="V5" s="231"/>
    </row>
    <row r="6" ht="15.75" customHeight="1">
      <c r="A6" s="235">
        <v>44413.0</v>
      </c>
      <c r="B6" s="236"/>
      <c r="C6" s="96"/>
      <c r="D6" s="239"/>
      <c r="E6" s="226"/>
      <c r="F6" s="238">
        <v>44413.0</v>
      </c>
      <c r="G6" s="236"/>
      <c r="H6" s="96"/>
      <c r="I6" s="239"/>
      <c r="J6" s="229"/>
      <c r="K6" s="230"/>
      <c r="L6" s="230"/>
      <c r="M6" s="231"/>
      <c r="N6" s="231"/>
      <c r="O6" s="231"/>
      <c r="P6" s="231"/>
      <c r="Q6" s="231"/>
      <c r="R6" s="231"/>
      <c r="S6" s="231"/>
      <c r="T6" s="231"/>
      <c r="U6" s="231"/>
      <c r="V6" s="231"/>
    </row>
    <row r="7" ht="15.75" customHeight="1">
      <c r="A7" s="235">
        <v>44414.0</v>
      </c>
      <c r="B7" s="236"/>
      <c r="C7" s="96"/>
      <c r="D7" s="239"/>
      <c r="E7" s="226"/>
      <c r="F7" s="238">
        <v>44414.0</v>
      </c>
      <c r="G7" s="236"/>
      <c r="H7" s="96"/>
      <c r="I7" s="239"/>
      <c r="J7" s="226"/>
      <c r="K7" s="230"/>
      <c r="L7" s="230"/>
      <c r="M7" s="234"/>
      <c r="N7" s="234"/>
      <c r="O7" s="234"/>
      <c r="P7" s="234"/>
      <c r="Q7" s="234"/>
      <c r="R7" s="234"/>
      <c r="S7" s="234"/>
      <c r="T7" s="234"/>
      <c r="U7" s="234"/>
      <c r="V7" s="234"/>
    </row>
    <row r="8" ht="15.75" customHeight="1">
      <c r="A8" s="235">
        <v>44415.0</v>
      </c>
      <c r="B8" s="236"/>
      <c r="C8" s="96"/>
      <c r="D8" s="239"/>
      <c r="E8" s="226"/>
      <c r="F8" s="238">
        <v>44415.0</v>
      </c>
      <c r="G8" s="236"/>
      <c r="H8" s="96"/>
      <c r="I8" s="239"/>
      <c r="J8" s="226"/>
      <c r="K8" s="230"/>
      <c r="L8" s="230"/>
      <c r="M8" s="234"/>
      <c r="N8" s="234"/>
      <c r="O8" s="234"/>
      <c r="P8" s="234"/>
      <c r="Q8" s="234"/>
      <c r="R8" s="234"/>
      <c r="S8" s="234"/>
      <c r="T8" s="234"/>
      <c r="U8" s="234"/>
      <c r="V8" s="234"/>
    </row>
    <row r="9" ht="15.75" customHeight="1">
      <c r="A9" s="235">
        <v>44416.0</v>
      </c>
      <c r="B9" s="236"/>
      <c r="C9" s="96"/>
      <c r="D9" s="239"/>
      <c r="E9" s="226"/>
      <c r="F9" s="238">
        <v>44416.0</v>
      </c>
      <c r="G9" s="236"/>
      <c r="H9" s="96"/>
      <c r="I9" s="239"/>
      <c r="J9" s="226"/>
      <c r="K9" s="230"/>
      <c r="L9" s="230"/>
      <c r="M9" s="231"/>
      <c r="N9" s="231"/>
      <c r="O9" s="231"/>
      <c r="P9" s="231"/>
      <c r="Q9" s="231"/>
      <c r="R9" s="231"/>
      <c r="S9" s="231"/>
      <c r="T9" s="231"/>
      <c r="U9" s="231"/>
      <c r="V9" s="231"/>
    </row>
    <row r="10" ht="15.75" customHeight="1">
      <c r="A10" s="235">
        <v>44417.0</v>
      </c>
      <c r="B10" s="236"/>
      <c r="C10" s="96"/>
      <c r="D10" s="239"/>
      <c r="E10" s="226"/>
      <c r="F10" s="238">
        <v>44417.0</v>
      </c>
      <c r="G10" s="236"/>
      <c r="H10" s="96"/>
      <c r="I10" s="239"/>
      <c r="J10" s="226"/>
      <c r="K10" s="230"/>
      <c r="L10" s="230"/>
      <c r="M10" s="231"/>
      <c r="N10" s="231"/>
      <c r="O10" s="231"/>
      <c r="P10" s="231"/>
      <c r="Q10" s="231"/>
      <c r="R10" s="231"/>
      <c r="S10" s="231"/>
      <c r="T10" s="231"/>
      <c r="U10" s="231"/>
      <c r="V10" s="231"/>
    </row>
    <row r="11" ht="15.75" customHeight="1">
      <c r="A11" s="235">
        <v>44418.0</v>
      </c>
      <c r="B11" s="236"/>
      <c r="C11" s="96"/>
      <c r="D11" s="239"/>
      <c r="E11" s="226"/>
      <c r="F11" s="238">
        <v>44418.0</v>
      </c>
      <c r="G11" s="236"/>
      <c r="H11" s="96"/>
      <c r="I11" s="239"/>
      <c r="J11" s="226"/>
      <c r="K11" s="230"/>
      <c r="L11" s="230"/>
      <c r="M11" s="231"/>
      <c r="N11" s="231"/>
      <c r="O11" s="231"/>
      <c r="P11" s="231"/>
      <c r="Q11" s="231"/>
      <c r="R11" s="231"/>
      <c r="S11" s="231"/>
      <c r="T11" s="231"/>
      <c r="U11" s="231"/>
      <c r="V11" s="231"/>
    </row>
    <row r="12" ht="15.75" customHeight="1">
      <c r="A12" s="235">
        <v>44419.0</v>
      </c>
      <c r="B12" s="236"/>
      <c r="C12" s="96"/>
      <c r="D12" s="239"/>
      <c r="E12" s="226"/>
      <c r="F12" s="238">
        <v>44419.0</v>
      </c>
      <c r="G12" s="236"/>
      <c r="H12" s="96"/>
      <c r="I12" s="239"/>
      <c r="J12" s="226"/>
      <c r="K12" s="230"/>
      <c r="L12" s="230"/>
      <c r="M12" s="231"/>
      <c r="N12" s="231"/>
      <c r="O12" s="231"/>
      <c r="P12" s="231"/>
      <c r="Q12" s="231"/>
      <c r="R12" s="231"/>
      <c r="S12" s="231"/>
      <c r="T12" s="231"/>
      <c r="U12" s="231"/>
      <c r="V12" s="231"/>
    </row>
    <row r="13" ht="15.75" customHeight="1">
      <c r="A13" s="235">
        <v>44420.0</v>
      </c>
      <c r="B13" s="236"/>
      <c r="C13" s="96"/>
      <c r="D13" s="239"/>
      <c r="E13" s="226"/>
      <c r="F13" s="238">
        <v>44420.0</v>
      </c>
      <c r="G13" s="236"/>
      <c r="H13" s="96"/>
      <c r="I13" s="239"/>
      <c r="J13" s="226"/>
      <c r="K13" s="230"/>
      <c r="L13" s="230"/>
      <c r="M13" s="231"/>
      <c r="N13" s="231"/>
      <c r="O13" s="231"/>
      <c r="P13" s="231"/>
      <c r="Q13" s="231"/>
      <c r="R13" s="231"/>
      <c r="S13" s="231"/>
      <c r="T13" s="231"/>
      <c r="U13" s="231"/>
      <c r="V13" s="231"/>
    </row>
    <row r="14" ht="15.75" customHeight="1">
      <c r="A14" s="235">
        <v>44421.0</v>
      </c>
      <c r="B14" s="236"/>
      <c r="C14" s="96"/>
      <c r="D14" s="239"/>
      <c r="E14" s="226"/>
      <c r="F14" s="238">
        <v>44421.0</v>
      </c>
      <c r="G14" s="236"/>
      <c r="H14" s="96"/>
      <c r="I14" s="239"/>
      <c r="J14" s="226"/>
      <c r="K14" s="230"/>
      <c r="L14" s="230"/>
      <c r="M14" s="231"/>
      <c r="N14" s="231"/>
      <c r="O14" s="231"/>
      <c r="P14" s="231"/>
      <c r="Q14" s="231"/>
      <c r="R14" s="231"/>
      <c r="S14" s="231"/>
      <c r="T14" s="231"/>
      <c r="U14" s="231"/>
      <c r="V14" s="231"/>
    </row>
    <row r="15" ht="15.75" customHeight="1">
      <c r="A15" s="235">
        <v>44422.0</v>
      </c>
      <c r="B15" s="236"/>
      <c r="C15" s="96"/>
      <c r="D15" s="239"/>
      <c r="E15" s="226"/>
      <c r="F15" s="238">
        <v>44422.0</v>
      </c>
      <c r="G15" s="236"/>
      <c r="H15" s="96"/>
      <c r="I15" s="239"/>
      <c r="J15" s="226"/>
      <c r="K15" s="230"/>
      <c r="L15" s="230"/>
      <c r="M15" s="231"/>
      <c r="N15" s="231"/>
      <c r="O15" s="231"/>
      <c r="P15" s="231"/>
      <c r="Q15" s="231"/>
      <c r="R15" s="231"/>
      <c r="S15" s="231"/>
      <c r="T15" s="231"/>
      <c r="U15" s="231"/>
      <c r="V15" s="231"/>
    </row>
    <row r="16" ht="15.75" customHeight="1">
      <c r="A16" s="235">
        <v>44423.0</v>
      </c>
      <c r="B16" s="236"/>
      <c r="C16" s="96"/>
      <c r="D16" s="239"/>
      <c r="E16" s="226"/>
      <c r="F16" s="238">
        <v>44423.0</v>
      </c>
      <c r="G16" s="236"/>
      <c r="H16" s="96"/>
      <c r="I16" s="239"/>
      <c r="J16" s="226"/>
      <c r="K16" s="230"/>
      <c r="L16" s="230"/>
      <c r="M16" s="231"/>
      <c r="N16" s="231"/>
      <c r="O16" s="231"/>
      <c r="P16" s="231"/>
      <c r="Q16" s="231"/>
      <c r="R16" s="231"/>
      <c r="S16" s="231"/>
      <c r="T16" s="231"/>
      <c r="U16" s="231"/>
      <c r="V16" s="231"/>
    </row>
    <row r="17" ht="15.75" customHeight="1">
      <c r="A17" s="235">
        <v>44424.0</v>
      </c>
      <c r="B17" s="236"/>
      <c r="C17" s="96"/>
      <c r="D17" s="239"/>
      <c r="E17" s="226"/>
      <c r="F17" s="238">
        <v>44424.0</v>
      </c>
      <c r="G17" s="236"/>
      <c r="H17" s="96"/>
      <c r="I17" s="239"/>
      <c r="J17" s="226"/>
      <c r="K17" s="230"/>
      <c r="L17" s="230"/>
      <c r="M17" s="231"/>
      <c r="N17" s="231"/>
      <c r="O17" s="231"/>
      <c r="P17" s="231"/>
      <c r="Q17" s="231"/>
      <c r="R17" s="231"/>
      <c r="S17" s="231"/>
      <c r="T17" s="231"/>
      <c r="U17" s="231"/>
      <c r="V17" s="231"/>
    </row>
    <row r="18" ht="15.75" customHeight="1">
      <c r="A18" s="235">
        <v>44425.0</v>
      </c>
      <c r="B18" s="236"/>
      <c r="C18" s="96"/>
      <c r="D18" s="239"/>
      <c r="E18" s="226"/>
      <c r="F18" s="238">
        <v>44425.0</v>
      </c>
      <c r="G18" s="236"/>
      <c r="H18" s="96"/>
      <c r="I18" s="239"/>
      <c r="J18" s="226"/>
      <c r="K18" s="230"/>
      <c r="L18" s="230"/>
      <c r="M18" s="231"/>
      <c r="N18" s="231"/>
      <c r="O18" s="231"/>
      <c r="P18" s="231"/>
      <c r="Q18" s="231"/>
      <c r="R18" s="231"/>
      <c r="S18" s="231"/>
      <c r="T18" s="231"/>
      <c r="U18" s="231"/>
      <c r="V18" s="231"/>
    </row>
    <row r="19" ht="15.75" customHeight="1">
      <c r="A19" s="235">
        <v>44426.0</v>
      </c>
      <c r="B19" s="236"/>
      <c r="C19" s="96"/>
      <c r="D19" s="239"/>
      <c r="E19" s="226"/>
      <c r="F19" s="238">
        <v>44426.0</v>
      </c>
      <c r="G19" s="236"/>
      <c r="H19" s="96"/>
      <c r="I19" s="239"/>
      <c r="J19" s="240" t="s">
        <v>158</v>
      </c>
      <c r="K19" s="230"/>
      <c r="L19" s="230"/>
      <c r="M19" s="231"/>
      <c r="N19" s="231"/>
      <c r="O19" s="231"/>
      <c r="P19" s="231"/>
      <c r="Q19" s="231"/>
      <c r="R19" s="231"/>
      <c r="S19" s="231"/>
      <c r="T19" s="231"/>
      <c r="U19" s="231"/>
      <c r="V19" s="231"/>
    </row>
    <row r="20" ht="15.75" customHeight="1">
      <c r="A20" s="235">
        <v>44427.0</v>
      </c>
      <c r="B20" s="236"/>
      <c r="C20" s="96"/>
      <c r="D20" s="239"/>
      <c r="E20" s="226"/>
      <c r="F20" s="238">
        <v>44427.0</v>
      </c>
      <c r="G20" s="236"/>
      <c r="H20" s="96"/>
      <c r="I20" s="239"/>
      <c r="J20" s="240"/>
      <c r="K20" s="230"/>
      <c r="L20" s="230"/>
      <c r="M20" s="231"/>
      <c r="N20" s="231"/>
      <c r="O20" s="231"/>
      <c r="P20" s="231"/>
      <c r="Q20" s="231"/>
      <c r="R20" s="231"/>
      <c r="S20" s="231"/>
      <c r="T20" s="231"/>
      <c r="U20" s="231"/>
      <c r="V20" s="231"/>
    </row>
    <row r="21" ht="15.75" customHeight="1">
      <c r="A21" s="235">
        <v>44428.0</v>
      </c>
      <c r="B21" s="236"/>
      <c r="C21" s="96"/>
      <c r="D21" s="239"/>
      <c r="E21" s="226"/>
      <c r="F21" s="238">
        <v>44428.0</v>
      </c>
      <c r="G21" s="236"/>
      <c r="H21" s="96"/>
      <c r="I21" s="239"/>
      <c r="J21" s="240"/>
      <c r="K21" s="230"/>
      <c r="L21" s="230"/>
      <c r="M21" s="231"/>
      <c r="N21" s="241"/>
      <c r="O21" s="231"/>
      <c r="P21" s="231"/>
      <c r="Q21" s="231"/>
      <c r="R21" s="231"/>
      <c r="S21" s="231"/>
      <c r="T21" s="231"/>
      <c r="U21" s="231"/>
      <c r="V21" s="231"/>
    </row>
    <row r="22" ht="15.75" customHeight="1">
      <c r="A22" s="235">
        <v>44429.0</v>
      </c>
      <c r="B22" s="236"/>
      <c r="C22" s="96"/>
      <c r="D22" s="239"/>
      <c r="E22" s="226"/>
      <c r="F22" s="238">
        <v>44429.0</v>
      </c>
      <c r="G22" s="236"/>
      <c r="H22" s="96"/>
      <c r="I22" s="239"/>
      <c r="J22" s="240"/>
      <c r="K22" s="230"/>
      <c r="L22" s="230"/>
      <c r="M22" s="231"/>
      <c r="N22" s="241"/>
      <c r="O22" s="231"/>
      <c r="P22" s="231"/>
      <c r="Q22" s="231"/>
      <c r="R22" s="231"/>
      <c r="S22" s="231"/>
      <c r="T22" s="231"/>
      <c r="U22" s="231"/>
      <c r="V22" s="231"/>
    </row>
    <row r="23" ht="15.75" customHeight="1">
      <c r="A23" s="235">
        <v>44430.0</v>
      </c>
      <c r="B23" s="236"/>
      <c r="C23" s="96"/>
      <c r="D23" s="239"/>
      <c r="E23" s="226"/>
      <c r="F23" s="238">
        <v>44430.0</v>
      </c>
      <c r="G23" s="236"/>
      <c r="H23" s="96"/>
      <c r="I23" s="239"/>
      <c r="J23" s="240"/>
      <c r="K23" s="230"/>
      <c r="L23" s="230"/>
      <c r="M23" s="231"/>
      <c r="N23" s="241"/>
      <c r="O23" s="231"/>
      <c r="P23" s="231"/>
      <c r="Q23" s="231"/>
      <c r="R23" s="231"/>
      <c r="S23" s="231"/>
      <c r="T23" s="231"/>
      <c r="U23" s="231"/>
      <c r="V23" s="231"/>
    </row>
    <row r="24" ht="15.75" customHeight="1">
      <c r="A24" s="235">
        <v>44431.0</v>
      </c>
      <c r="B24" s="236"/>
      <c r="C24" s="96"/>
      <c r="D24" s="239"/>
      <c r="E24" s="226"/>
      <c r="F24" s="238">
        <v>44431.0</v>
      </c>
      <c r="G24" s="236"/>
      <c r="H24" s="96"/>
      <c r="I24" s="239"/>
      <c r="J24" s="240"/>
      <c r="K24" s="230"/>
      <c r="L24" s="230"/>
      <c r="M24" s="231"/>
      <c r="N24" s="241"/>
      <c r="O24" s="231"/>
      <c r="P24" s="231"/>
      <c r="Q24" s="231"/>
      <c r="R24" s="231"/>
      <c r="S24" s="231"/>
      <c r="T24" s="231"/>
      <c r="U24" s="231"/>
      <c r="V24" s="231"/>
    </row>
    <row r="25" ht="15.75" customHeight="1">
      <c r="A25" s="235">
        <v>44432.0</v>
      </c>
      <c r="B25" s="236"/>
      <c r="C25" s="96"/>
      <c r="D25" s="239"/>
      <c r="E25" s="226"/>
      <c r="F25" s="238">
        <v>44432.0</v>
      </c>
      <c r="G25" s="236"/>
      <c r="H25" s="96"/>
      <c r="I25" s="239"/>
      <c r="J25" s="240"/>
      <c r="K25" s="230"/>
      <c r="L25" s="230"/>
      <c r="M25" s="231"/>
      <c r="N25" s="241"/>
      <c r="O25" s="231"/>
      <c r="P25" s="231"/>
      <c r="Q25" s="231"/>
      <c r="R25" s="231"/>
      <c r="S25" s="231"/>
      <c r="T25" s="231"/>
      <c r="U25" s="231"/>
      <c r="V25" s="231"/>
    </row>
    <row r="26" ht="15.75" customHeight="1">
      <c r="A26" s="235">
        <v>44433.0</v>
      </c>
      <c r="B26" s="236"/>
      <c r="C26" s="96"/>
      <c r="D26" s="239"/>
      <c r="E26" s="226"/>
      <c r="F26" s="238">
        <v>44433.0</v>
      </c>
      <c r="G26" s="236"/>
      <c r="H26" s="96"/>
      <c r="I26" s="239"/>
      <c r="J26" s="240"/>
      <c r="K26" s="230"/>
      <c r="L26" s="230"/>
      <c r="M26" s="231"/>
      <c r="N26" s="241"/>
      <c r="O26" s="231"/>
      <c r="P26" s="231"/>
      <c r="Q26" s="231"/>
      <c r="R26" s="231"/>
      <c r="S26" s="231"/>
      <c r="T26" s="231"/>
      <c r="U26" s="231"/>
      <c r="V26" s="231"/>
    </row>
    <row r="27" ht="15.75" customHeight="1">
      <c r="A27" s="235">
        <v>44434.0</v>
      </c>
      <c r="B27" s="236"/>
      <c r="C27" s="96"/>
      <c r="D27" s="239"/>
      <c r="E27" s="226"/>
      <c r="F27" s="238">
        <v>44434.0</v>
      </c>
      <c r="G27" s="236"/>
      <c r="H27" s="96"/>
      <c r="I27" s="239"/>
      <c r="J27" s="240"/>
      <c r="K27" s="230"/>
      <c r="L27" s="230"/>
      <c r="M27" s="231"/>
      <c r="N27" s="241"/>
      <c r="O27" s="231"/>
      <c r="P27" s="231"/>
      <c r="Q27" s="231"/>
      <c r="R27" s="231"/>
      <c r="S27" s="231"/>
      <c r="T27" s="231"/>
      <c r="U27" s="231"/>
      <c r="V27" s="231"/>
    </row>
    <row r="28" ht="15.75" customHeight="1">
      <c r="A28" s="235">
        <v>44435.0</v>
      </c>
      <c r="B28" s="236"/>
      <c r="C28" s="96"/>
      <c r="D28" s="239"/>
      <c r="E28" s="226"/>
      <c r="F28" s="238">
        <v>44435.0</v>
      </c>
      <c r="G28" s="236"/>
      <c r="H28" s="96"/>
      <c r="I28" s="239"/>
      <c r="J28" s="240"/>
      <c r="K28" s="230"/>
      <c r="L28" s="230"/>
      <c r="M28" s="231"/>
      <c r="N28" s="241"/>
      <c r="O28" s="231"/>
      <c r="P28" s="231"/>
      <c r="Q28" s="231"/>
      <c r="R28" s="231"/>
      <c r="S28" s="231"/>
      <c r="T28" s="231"/>
      <c r="U28" s="231"/>
      <c r="V28" s="231"/>
    </row>
    <row r="29" ht="15.75" customHeight="1">
      <c r="A29" s="235">
        <v>44436.0</v>
      </c>
      <c r="B29" s="236"/>
      <c r="C29" s="96"/>
      <c r="D29" s="239"/>
      <c r="E29" s="226"/>
      <c r="F29" s="238">
        <v>44436.0</v>
      </c>
      <c r="G29" s="236"/>
      <c r="H29" s="96"/>
      <c r="I29" s="239"/>
      <c r="J29" s="240"/>
      <c r="K29" s="230"/>
      <c r="L29" s="230"/>
      <c r="M29" s="231"/>
      <c r="N29" s="241"/>
      <c r="O29" s="231"/>
      <c r="P29" s="231"/>
      <c r="Q29" s="231"/>
      <c r="R29" s="231"/>
      <c r="S29" s="231"/>
      <c r="T29" s="231"/>
      <c r="U29" s="231"/>
      <c r="V29" s="231"/>
    </row>
    <row r="30" ht="15.75" customHeight="1">
      <c r="A30" s="235">
        <v>44437.0</v>
      </c>
      <c r="B30" s="236"/>
      <c r="C30" s="96"/>
      <c r="D30" s="239"/>
      <c r="E30" s="226"/>
      <c r="F30" s="238">
        <v>44437.0</v>
      </c>
      <c r="G30" s="236"/>
      <c r="H30" s="96"/>
      <c r="I30" s="239"/>
      <c r="J30" s="242"/>
      <c r="K30" s="230"/>
      <c r="L30" s="230"/>
      <c r="M30" s="231"/>
      <c r="N30" s="241"/>
      <c r="O30" s="231"/>
      <c r="P30" s="231"/>
      <c r="Q30" s="231"/>
      <c r="R30" s="231"/>
      <c r="S30" s="231"/>
      <c r="T30" s="231"/>
      <c r="U30" s="231"/>
      <c r="V30" s="231"/>
    </row>
    <row r="31" ht="15.75" customHeight="1">
      <c r="A31" s="235">
        <v>44438.0</v>
      </c>
      <c r="B31" s="236"/>
      <c r="C31" s="96"/>
      <c r="D31" s="239"/>
      <c r="E31" s="226"/>
      <c r="F31" s="238">
        <v>44438.0</v>
      </c>
      <c r="G31" s="236"/>
      <c r="H31" s="96"/>
      <c r="I31" s="239"/>
      <c r="J31" s="226"/>
      <c r="K31" s="230"/>
      <c r="L31" s="230"/>
      <c r="M31" s="231"/>
      <c r="N31" s="241"/>
      <c r="O31" s="231"/>
      <c r="P31" s="231"/>
      <c r="Q31" s="231"/>
      <c r="R31" s="231"/>
      <c r="S31" s="231"/>
      <c r="T31" s="231"/>
      <c r="U31" s="231"/>
      <c r="V31" s="231"/>
    </row>
    <row r="32" ht="15.75" customHeight="1">
      <c r="A32" s="235">
        <v>44439.0</v>
      </c>
      <c r="B32" s="236"/>
      <c r="C32" s="96"/>
      <c r="D32" s="239"/>
      <c r="E32" s="226"/>
      <c r="F32" s="238">
        <v>44439.0</v>
      </c>
      <c r="G32" s="236"/>
      <c r="H32" s="96"/>
      <c r="I32" s="239"/>
      <c r="J32" s="226"/>
      <c r="K32" s="230"/>
      <c r="L32" s="230"/>
      <c r="M32" s="231"/>
      <c r="N32" s="241"/>
      <c r="O32" s="231"/>
      <c r="P32" s="231"/>
      <c r="Q32" s="231"/>
      <c r="R32" s="231"/>
      <c r="S32" s="231"/>
      <c r="T32" s="231"/>
      <c r="U32" s="231"/>
      <c r="V32" s="231"/>
    </row>
    <row r="33" ht="15.75" customHeight="1">
      <c r="A33" s="235">
        <v>44440.0</v>
      </c>
      <c r="B33" s="236"/>
      <c r="C33" s="96"/>
      <c r="D33" s="239"/>
      <c r="E33" s="226"/>
      <c r="F33" s="238">
        <v>44440.0</v>
      </c>
      <c r="G33" s="236"/>
      <c r="H33" s="96"/>
      <c r="I33" s="239"/>
      <c r="J33" s="226"/>
      <c r="K33" s="230"/>
      <c r="L33" s="230"/>
      <c r="M33" s="231"/>
      <c r="N33" s="241"/>
      <c r="O33" s="231"/>
      <c r="P33" s="231"/>
      <c r="Q33" s="231"/>
      <c r="R33" s="231"/>
      <c r="S33" s="231"/>
      <c r="T33" s="231"/>
      <c r="U33" s="231"/>
      <c r="V33" s="231"/>
    </row>
    <row r="34" ht="15.75" customHeight="1">
      <c r="A34" s="235">
        <v>44441.0</v>
      </c>
      <c r="B34" s="236"/>
      <c r="C34" s="96"/>
      <c r="D34" s="239"/>
      <c r="E34" s="226"/>
      <c r="F34" s="238">
        <v>44441.0</v>
      </c>
      <c r="G34" s="236"/>
      <c r="H34" s="96"/>
      <c r="I34" s="239"/>
      <c r="J34" s="226"/>
      <c r="K34" s="230"/>
      <c r="L34" s="230"/>
      <c r="M34" s="231"/>
      <c r="N34" s="241"/>
      <c r="O34" s="231"/>
      <c r="P34" s="231"/>
      <c r="Q34" s="231"/>
      <c r="R34" s="231"/>
      <c r="S34" s="231"/>
      <c r="T34" s="231"/>
      <c r="U34" s="231"/>
      <c r="V34" s="231"/>
    </row>
    <row r="35" ht="15.75" customHeight="1">
      <c r="A35" s="235">
        <v>44442.0</v>
      </c>
      <c r="B35" s="236"/>
      <c r="C35" s="96"/>
      <c r="D35" s="239"/>
      <c r="E35" s="226"/>
      <c r="F35" s="238">
        <v>44442.0</v>
      </c>
      <c r="G35" s="236"/>
      <c r="H35" s="96"/>
      <c r="I35" s="239"/>
      <c r="J35" s="226"/>
      <c r="K35" s="230"/>
      <c r="L35" s="230"/>
      <c r="M35" s="231"/>
      <c r="N35" s="241"/>
      <c r="O35" s="231"/>
      <c r="P35" s="231"/>
      <c r="Q35" s="231"/>
      <c r="R35" s="231"/>
      <c r="S35" s="231"/>
      <c r="T35" s="231"/>
      <c r="U35" s="231"/>
      <c r="V35" s="231"/>
    </row>
    <row r="36" ht="15.75" customHeight="1">
      <c r="A36" s="243">
        <v>44443.0</v>
      </c>
      <c r="B36" s="236"/>
      <c r="C36" s="96"/>
      <c r="D36" s="239"/>
      <c r="E36" s="226"/>
      <c r="F36" s="238">
        <v>44443.0</v>
      </c>
      <c r="G36" s="236"/>
      <c r="H36" s="96"/>
      <c r="I36" s="239"/>
      <c r="J36" s="226"/>
      <c r="K36" s="230"/>
      <c r="L36" s="230"/>
      <c r="M36" s="231"/>
      <c r="N36" s="241"/>
      <c r="O36" s="231"/>
      <c r="P36" s="231"/>
      <c r="Q36" s="231"/>
      <c r="R36" s="231"/>
      <c r="S36" s="231"/>
      <c r="T36" s="231"/>
      <c r="U36" s="231"/>
      <c r="V36" s="231"/>
    </row>
    <row r="37" ht="15.75" customHeight="1">
      <c r="A37" s="243">
        <v>44444.0</v>
      </c>
      <c r="B37" s="236"/>
      <c r="C37" s="96"/>
      <c r="D37" s="239"/>
      <c r="E37" s="226"/>
      <c r="F37" s="238">
        <v>44444.0</v>
      </c>
      <c r="G37" s="236"/>
      <c r="H37" s="96"/>
      <c r="I37" s="239"/>
      <c r="J37" s="226"/>
      <c r="K37" s="230"/>
      <c r="L37" s="230"/>
      <c r="M37" s="231"/>
      <c r="N37" s="241"/>
      <c r="O37" s="231"/>
      <c r="P37" s="231"/>
      <c r="Q37" s="231"/>
      <c r="R37" s="231"/>
      <c r="S37" s="231"/>
      <c r="T37" s="231"/>
      <c r="U37" s="231"/>
      <c r="V37" s="231"/>
    </row>
    <row r="38" ht="15.75" customHeight="1">
      <c r="A38" s="244" t="s">
        <v>159</v>
      </c>
      <c r="B38" s="236">
        <f>SUM(B3:C37)</f>
        <v>0</v>
      </c>
      <c r="C38" s="96"/>
      <c r="D38" s="239">
        <f>SUM(D3:D37)</f>
        <v>0</v>
      </c>
      <c r="E38" s="226"/>
      <c r="F38" s="227" t="s">
        <v>159</v>
      </c>
      <c r="G38" s="236">
        <f>SUM(G3:H37)</f>
        <v>0</v>
      </c>
      <c r="H38" s="96"/>
      <c r="I38" s="239">
        <f>SUM(I3:J37)</f>
        <v>0</v>
      </c>
      <c r="J38" s="226"/>
      <c r="K38" s="230"/>
      <c r="L38" s="230"/>
      <c r="M38" s="231"/>
      <c r="N38" s="231"/>
      <c r="O38" s="231"/>
      <c r="P38" s="231"/>
      <c r="Q38" s="231"/>
      <c r="R38" s="231"/>
      <c r="S38" s="231"/>
      <c r="T38" s="231"/>
      <c r="U38" s="231"/>
      <c r="V38" s="231"/>
    </row>
    <row r="39" ht="15.75" customHeight="1">
      <c r="A39" s="244" t="s">
        <v>71</v>
      </c>
      <c r="B39" s="236">
        <f>B38+D38</f>
        <v>0</v>
      </c>
      <c r="C39" s="225"/>
      <c r="D39" s="96"/>
      <c r="E39" s="226"/>
      <c r="F39" s="227" t="s">
        <v>71</v>
      </c>
      <c r="G39" s="236">
        <f>G38+I38</f>
        <v>0</v>
      </c>
      <c r="H39" s="225"/>
      <c r="I39" s="96"/>
      <c r="J39" s="226"/>
      <c r="K39" s="230"/>
      <c r="L39" s="230"/>
      <c r="M39" s="231"/>
      <c r="N39" s="231"/>
      <c r="O39" s="231"/>
      <c r="P39" s="231"/>
      <c r="Q39" s="231"/>
      <c r="R39" s="231"/>
      <c r="S39" s="231"/>
      <c r="T39" s="231"/>
      <c r="U39" s="231"/>
      <c r="V39" s="231"/>
    </row>
    <row r="40" ht="15.75" customHeight="1">
      <c r="A40" s="99"/>
      <c r="B40" s="196"/>
      <c r="C40" s="196"/>
      <c r="D40" s="196"/>
      <c r="E40" s="226"/>
      <c r="F40" s="99"/>
      <c r="G40" s="245"/>
      <c r="H40" s="246"/>
      <c r="I40" s="247"/>
      <c r="J40" s="226"/>
      <c r="K40" s="230"/>
      <c r="L40" s="230"/>
      <c r="M40" s="231"/>
      <c r="N40" s="231"/>
      <c r="O40" s="231"/>
      <c r="P40" s="231"/>
      <c r="Q40" s="231"/>
      <c r="R40" s="231"/>
      <c r="S40" s="231"/>
      <c r="T40" s="231"/>
      <c r="U40" s="231"/>
      <c r="V40" s="231"/>
    </row>
    <row r="41" ht="15.75" customHeight="1">
      <c r="A41" s="99"/>
      <c r="B41" s="196"/>
      <c r="C41" s="196"/>
      <c r="D41" s="196"/>
      <c r="E41" s="226"/>
      <c r="F41" s="99"/>
      <c r="G41" s="245"/>
      <c r="H41" s="247"/>
      <c r="I41" s="247"/>
      <c r="J41" s="226"/>
      <c r="K41" s="230"/>
      <c r="L41" s="230"/>
      <c r="M41" s="231"/>
      <c r="N41" s="231"/>
      <c r="O41" s="231"/>
      <c r="P41" s="231"/>
      <c r="Q41" s="231"/>
      <c r="R41" s="231"/>
      <c r="S41" s="231"/>
      <c r="T41" s="231"/>
      <c r="U41" s="231"/>
      <c r="V41" s="231"/>
    </row>
    <row r="42" ht="15.75" customHeight="1">
      <c r="A42" s="99"/>
      <c r="B42" s="196"/>
      <c r="C42" s="196"/>
      <c r="D42" s="196"/>
      <c r="E42" s="226"/>
      <c r="F42" s="99"/>
      <c r="G42" s="245"/>
      <c r="H42" s="247"/>
      <c r="I42" s="247"/>
      <c r="J42" s="226"/>
      <c r="K42" s="230"/>
      <c r="L42" s="230"/>
      <c r="M42" s="231"/>
      <c r="N42" s="231"/>
      <c r="O42" s="231"/>
      <c r="P42" s="231"/>
      <c r="Q42" s="231"/>
      <c r="R42" s="231"/>
      <c r="S42" s="231"/>
      <c r="T42" s="231"/>
      <c r="U42" s="231"/>
      <c r="V42" s="231"/>
    </row>
    <row r="43" ht="15.75" customHeight="1">
      <c r="A43" s="99"/>
      <c r="B43" s="196"/>
      <c r="C43" s="196"/>
      <c r="D43" s="196"/>
      <c r="E43" s="226"/>
      <c r="F43" s="99"/>
      <c r="G43" s="248"/>
      <c r="H43" s="247"/>
      <c r="I43" s="247"/>
      <c r="J43" s="226"/>
      <c r="K43" s="230"/>
      <c r="L43" s="230"/>
      <c r="M43" s="231"/>
      <c r="N43" s="231"/>
      <c r="O43" s="231"/>
      <c r="P43" s="231"/>
      <c r="Q43" s="231"/>
      <c r="R43" s="231"/>
      <c r="S43" s="231"/>
      <c r="T43" s="231"/>
      <c r="U43" s="231"/>
      <c r="V43" s="231"/>
    </row>
    <row r="44" ht="15.75" customHeight="1">
      <c r="A44" s="99"/>
      <c r="B44" s="196"/>
      <c r="C44" s="196"/>
      <c r="D44" s="196"/>
      <c r="E44" s="226"/>
      <c r="F44" s="99"/>
      <c r="G44" s="245"/>
      <c r="H44" s="247"/>
      <c r="I44" s="247"/>
      <c r="J44" s="226"/>
      <c r="K44" s="230"/>
      <c r="L44" s="230"/>
      <c r="M44" s="231"/>
      <c r="N44" s="231"/>
      <c r="O44" s="231"/>
      <c r="P44" s="231"/>
      <c r="Q44" s="231"/>
      <c r="R44" s="231"/>
      <c r="S44" s="231"/>
      <c r="T44" s="231"/>
      <c r="U44" s="231"/>
      <c r="V44" s="231"/>
    </row>
    <row r="45" ht="15.75" customHeight="1">
      <c r="A45" s="99"/>
      <c r="B45" s="196"/>
      <c r="C45" s="196"/>
      <c r="D45" s="196"/>
      <c r="E45" s="226"/>
      <c r="F45" s="99"/>
      <c r="G45" s="245"/>
      <c r="H45" s="247"/>
      <c r="I45" s="247"/>
      <c r="J45" s="226"/>
      <c r="K45" s="230"/>
      <c r="L45" s="230"/>
      <c r="M45" s="241"/>
      <c r="N45" s="231"/>
      <c r="O45" s="231"/>
      <c r="P45" s="231"/>
      <c r="Q45" s="231"/>
      <c r="R45" s="231"/>
      <c r="S45" s="231"/>
      <c r="T45" s="231"/>
      <c r="U45" s="231"/>
      <c r="V45" s="231"/>
    </row>
    <row r="46" ht="15.75" customHeight="1">
      <c r="A46" s="99"/>
      <c r="B46" s="196"/>
      <c r="C46" s="196"/>
      <c r="D46" s="196"/>
      <c r="E46" s="226"/>
      <c r="F46" s="99"/>
      <c r="G46" s="245"/>
      <c r="H46" s="247"/>
      <c r="I46" s="247"/>
      <c r="J46" s="226"/>
      <c r="K46" s="230"/>
      <c r="L46" s="230"/>
      <c r="M46" s="241"/>
      <c r="N46" s="231"/>
      <c r="O46" s="231"/>
      <c r="P46" s="231"/>
      <c r="Q46" s="231"/>
      <c r="R46" s="231"/>
      <c r="S46" s="231"/>
      <c r="T46" s="231"/>
      <c r="U46" s="231"/>
      <c r="V46" s="231"/>
    </row>
    <row r="47" ht="15.75" customHeight="1">
      <c r="A47" s="99"/>
      <c r="B47" s="196"/>
      <c r="C47" s="196"/>
      <c r="D47" s="196"/>
      <c r="E47" s="226"/>
      <c r="F47" s="99"/>
      <c r="G47" s="245"/>
      <c r="H47" s="247"/>
      <c r="I47" s="247"/>
      <c r="J47" s="226"/>
      <c r="K47" s="230"/>
      <c r="L47" s="230"/>
      <c r="M47" s="241"/>
      <c r="N47" s="231"/>
      <c r="O47" s="231"/>
      <c r="P47" s="231"/>
      <c r="Q47" s="231"/>
      <c r="R47" s="231"/>
      <c r="S47" s="231"/>
      <c r="T47" s="231"/>
      <c r="U47" s="231"/>
      <c r="V47" s="231"/>
    </row>
    <row r="48" ht="15.75" customHeight="1">
      <c r="A48" s="99"/>
      <c r="B48" s="196"/>
      <c r="C48" s="196"/>
      <c r="D48" s="196"/>
      <c r="E48" s="226"/>
      <c r="F48" s="99"/>
      <c r="G48" s="245"/>
      <c r="H48" s="247"/>
      <c r="I48" s="247"/>
      <c r="J48" s="226"/>
      <c r="K48" s="230"/>
      <c r="L48" s="230"/>
      <c r="M48" s="241"/>
      <c r="N48" s="231"/>
      <c r="O48" s="231"/>
      <c r="P48" s="231"/>
      <c r="Q48" s="231"/>
      <c r="R48" s="231"/>
      <c r="S48" s="231"/>
      <c r="T48" s="231"/>
      <c r="U48" s="231"/>
      <c r="V48" s="231"/>
    </row>
    <row r="49" ht="15.75" customHeight="1">
      <c r="A49" s="99"/>
      <c r="B49" s="196"/>
      <c r="C49" s="196"/>
      <c r="D49" s="196"/>
      <c r="E49" s="226"/>
      <c r="F49" s="99"/>
      <c r="G49" s="245"/>
      <c r="H49" s="247"/>
      <c r="I49" s="247"/>
      <c r="J49" s="226"/>
      <c r="K49" s="230"/>
      <c r="L49" s="230"/>
      <c r="M49" s="231"/>
      <c r="N49" s="231"/>
      <c r="O49" s="231"/>
      <c r="P49" s="231"/>
      <c r="Q49" s="231"/>
      <c r="R49" s="231"/>
      <c r="S49" s="231"/>
      <c r="T49" s="231"/>
      <c r="U49" s="231"/>
      <c r="V49" s="231"/>
    </row>
    <row r="50" ht="15.75" customHeight="1">
      <c r="A50" s="99"/>
      <c r="B50" s="196"/>
      <c r="C50" s="196"/>
      <c r="D50" s="196"/>
      <c r="E50" s="226"/>
      <c r="F50" s="99"/>
      <c r="G50" s="245"/>
      <c r="H50" s="247"/>
      <c r="I50" s="247"/>
      <c r="J50" s="226"/>
      <c r="K50" s="230"/>
      <c r="L50" s="230"/>
      <c r="M50" s="231"/>
      <c r="N50" s="231"/>
      <c r="O50" s="231"/>
      <c r="P50" s="231"/>
      <c r="Q50" s="231"/>
      <c r="R50" s="231"/>
      <c r="S50" s="231"/>
      <c r="T50" s="231"/>
      <c r="U50" s="231"/>
      <c r="V50" s="231"/>
    </row>
    <row r="51" ht="15.75" customHeight="1">
      <c r="A51" s="99"/>
      <c r="B51" s="196"/>
      <c r="C51" s="196"/>
      <c r="D51" s="196"/>
      <c r="E51" s="226"/>
      <c r="F51" s="99"/>
      <c r="G51" s="245"/>
      <c r="H51" s="247"/>
      <c r="I51" s="247"/>
      <c r="J51" s="226"/>
      <c r="K51" s="230"/>
      <c r="L51" s="230"/>
      <c r="M51" s="231"/>
      <c r="N51" s="231"/>
      <c r="O51" s="231"/>
      <c r="P51" s="231"/>
      <c r="Q51" s="231"/>
      <c r="R51" s="231"/>
      <c r="S51" s="231"/>
      <c r="T51" s="231"/>
      <c r="U51" s="231"/>
      <c r="V51" s="231"/>
    </row>
    <row r="52" ht="15.75" customHeight="1">
      <c r="A52" s="99"/>
      <c r="B52" s="196"/>
      <c r="C52" s="196"/>
      <c r="D52" s="196"/>
      <c r="E52" s="226"/>
      <c r="F52" s="99"/>
      <c r="G52" s="245"/>
      <c r="H52" s="247"/>
      <c r="I52" s="247"/>
      <c r="J52" s="226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1"/>
    </row>
    <row r="53" ht="15.75" customHeight="1">
      <c r="A53" s="99"/>
      <c r="B53" s="196"/>
      <c r="C53" s="196"/>
      <c r="D53" s="196"/>
      <c r="E53" s="226"/>
      <c r="F53" s="99"/>
      <c r="G53" s="245"/>
      <c r="H53" s="247"/>
      <c r="I53" s="247"/>
      <c r="J53" s="226"/>
      <c r="K53" s="230"/>
      <c r="L53" s="230"/>
      <c r="M53" s="231"/>
      <c r="N53" s="231"/>
      <c r="O53" s="231"/>
      <c r="P53" s="231"/>
      <c r="Q53" s="231"/>
      <c r="R53" s="231"/>
      <c r="S53" s="231"/>
      <c r="T53" s="231"/>
      <c r="U53" s="231"/>
      <c r="V53" s="231"/>
    </row>
    <row r="54" ht="15.75" customHeight="1">
      <c r="A54" s="99"/>
      <c r="B54" s="196"/>
      <c r="C54" s="196"/>
      <c r="D54" s="196"/>
      <c r="E54" s="226"/>
      <c r="F54" s="99"/>
      <c r="G54" s="245"/>
      <c r="H54" s="247"/>
      <c r="I54" s="247"/>
      <c r="J54" s="226"/>
      <c r="K54" s="230"/>
      <c r="L54" s="230"/>
      <c r="M54" s="231"/>
      <c r="N54" s="231"/>
      <c r="O54" s="231"/>
      <c r="P54" s="231"/>
      <c r="Q54" s="231"/>
      <c r="R54" s="231"/>
      <c r="S54" s="231"/>
      <c r="T54" s="231"/>
      <c r="U54" s="231"/>
      <c r="V54" s="231"/>
    </row>
    <row r="55" ht="15.75" customHeight="1">
      <c r="A55" s="99"/>
      <c r="B55" s="196"/>
      <c r="C55" s="196"/>
      <c r="D55" s="196"/>
      <c r="E55" s="226"/>
      <c r="F55" s="99"/>
      <c r="G55" s="245"/>
      <c r="H55" s="247"/>
      <c r="I55" s="247"/>
      <c r="J55" s="226"/>
      <c r="K55" s="230"/>
      <c r="L55" s="230"/>
      <c r="M55" s="231"/>
      <c r="N55" s="231"/>
      <c r="O55" s="231"/>
      <c r="P55" s="231"/>
      <c r="Q55" s="231"/>
      <c r="R55" s="231"/>
      <c r="S55" s="231"/>
      <c r="T55" s="231"/>
      <c r="U55" s="231"/>
      <c r="V55" s="231"/>
    </row>
    <row r="56" ht="15.75" customHeight="1">
      <c r="A56" s="99"/>
      <c r="B56" s="196"/>
      <c r="C56" s="196"/>
      <c r="D56" s="196"/>
      <c r="E56" s="226"/>
      <c r="F56" s="99"/>
      <c r="G56" s="245"/>
      <c r="H56" s="247"/>
      <c r="I56" s="247"/>
      <c r="J56" s="226"/>
      <c r="K56" s="230"/>
      <c r="L56" s="230"/>
      <c r="M56" s="231"/>
      <c r="N56" s="231"/>
      <c r="O56" s="231"/>
      <c r="P56" s="231"/>
      <c r="Q56" s="231"/>
      <c r="R56" s="231"/>
      <c r="S56" s="231"/>
      <c r="T56" s="231"/>
      <c r="U56" s="231"/>
      <c r="V56" s="231"/>
    </row>
    <row r="57" ht="15.75" customHeight="1">
      <c r="A57" s="99"/>
      <c r="B57" s="196"/>
      <c r="C57" s="196"/>
      <c r="D57" s="196"/>
      <c r="E57" s="226"/>
      <c r="F57" s="99"/>
      <c r="G57" s="245"/>
      <c r="H57" s="247"/>
      <c r="I57" s="247"/>
      <c r="J57" s="226"/>
      <c r="K57" s="230"/>
      <c r="L57" s="230"/>
      <c r="M57" s="231"/>
      <c r="N57" s="231"/>
      <c r="O57" s="231"/>
      <c r="P57" s="231"/>
      <c r="Q57" s="231"/>
      <c r="R57" s="231"/>
      <c r="S57" s="231"/>
      <c r="T57" s="231"/>
      <c r="U57" s="231"/>
      <c r="V57" s="231"/>
    </row>
    <row r="58" ht="15.75" customHeight="1">
      <c r="A58" s="99"/>
      <c r="B58" s="196"/>
      <c r="C58" s="196"/>
      <c r="D58" s="196"/>
      <c r="E58" s="226"/>
      <c r="F58" s="99"/>
      <c r="G58" s="245"/>
      <c r="H58" s="247"/>
      <c r="I58" s="247"/>
      <c r="J58" s="226"/>
      <c r="K58" s="230"/>
      <c r="L58" s="230"/>
      <c r="M58" s="231"/>
      <c r="N58" s="231"/>
      <c r="O58" s="231"/>
      <c r="P58" s="231"/>
      <c r="Q58" s="231"/>
      <c r="R58" s="231"/>
      <c r="S58" s="231"/>
      <c r="T58" s="231"/>
      <c r="U58" s="231"/>
      <c r="V58" s="231"/>
    </row>
    <row r="59" ht="15.75" customHeight="1">
      <c r="A59" s="99"/>
      <c r="B59" s="196"/>
      <c r="C59" s="196"/>
      <c r="D59" s="196"/>
      <c r="E59" s="226"/>
      <c r="F59" s="99"/>
      <c r="G59" s="245"/>
      <c r="H59" s="247"/>
      <c r="I59" s="247"/>
      <c r="J59" s="226"/>
      <c r="K59" s="230"/>
      <c r="L59" s="230"/>
      <c r="M59" s="231"/>
      <c r="N59" s="231"/>
      <c r="O59" s="231"/>
      <c r="P59" s="231"/>
      <c r="Q59" s="231"/>
      <c r="R59" s="231"/>
      <c r="S59" s="231"/>
      <c r="T59" s="231"/>
      <c r="U59" s="231"/>
      <c r="V59" s="231"/>
    </row>
    <row r="60" ht="15.75" customHeight="1">
      <c r="A60" s="99"/>
      <c r="B60" s="196"/>
      <c r="C60" s="196"/>
      <c r="D60" s="196"/>
      <c r="E60" s="226"/>
      <c r="F60" s="99"/>
      <c r="G60" s="245"/>
      <c r="H60" s="247"/>
      <c r="I60" s="247"/>
      <c r="J60" s="226"/>
      <c r="K60" s="230"/>
      <c r="L60" s="230"/>
      <c r="M60" s="231"/>
      <c r="N60" s="231"/>
      <c r="O60" s="231"/>
      <c r="P60" s="231"/>
      <c r="Q60" s="231"/>
      <c r="R60" s="231"/>
      <c r="S60" s="231"/>
      <c r="T60" s="231"/>
      <c r="U60" s="231"/>
      <c r="V60" s="231"/>
    </row>
    <row r="61" ht="15.75" customHeight="1">
      <c r="A61" s="99"/>
      <c r="B61" s="196"/>
      <c r="C61" s="196"/>
      <c r="D61" s="196"/>
      <c r="E61" s="226"/>
      <c r="F61" s="99"/>
      <c r="G61" s="249"/>
      <c r="H61" s="247"/>
      <c r="I61" s="247"/>
      <c r="J61" s="226"/>
      <c r="K61" s="230"/>
      <c r="L61" s="230"/>
      <c r="M61" s="231"/>
      <c r="N61" s="231"/>
      <c r="O61" s="231"/>
      <c r="P61" s="231"/>
      <c r="Q61" s="231"/>
      <c r="R61" s="231"/>
      <c r="S61" s="231"/>
      <c r="T61" s="231"/>
      <c r="U61" s="231"/>
      <c r="V61" s="231"/>
    </row>
    <row r="62" ht="15.75" customHeight="1">
      <c r="A62" s="99"/>
      <c r="B62" s="196"/>
      <c r="C62" s="196"/>
      <c r="D62" s="196"/>
      <c r="E62" s="226"/>
      <c r="F62" s="99"/>
      <c r="G62" s="245"/>
      <c r="H62" s="247"/>
      <c r="I62" s="247"/>
      <c r="J62" s="226"/>
      <c r="K62" s="230"/>
      <c r="L62" s="230"/>
      <c r="M62" s="231"/>
      <c r="N62" s="231"/>
      <c r="O62" s="231"/>
      <c r="P62" s="231"/>
      <c r="Q62" s="231"/>
      <c r="R62" s="231"/>
      <c r="S62" s="231"/>
      <c r="T62" s="231"/>
      <c r="U62" s="231"/>
      <c r="V62" s="231"/>
    </row>
    <row r="63" ht="15.75" customHeight="1">
      <c r="A63" s="99"/>
      <c r="B63" s="196"/>
      <c r="C63" s="196"/>
      <c r="D63" s="196"/>
      <c r="E63" s="226"/>
      <c r="F63" s="99"/>
      <c r="G63" s="245"/>
      <c r="H63" s="247"/>
      <c r="I63" s="247"/>
      <c r="J63" s="226"/>
      <c r="K63" s="230"/>
      <c r="L63" s="230"/>
      <c r="M63" s="231"/>
      <c r="N63" s="231"/>
      <c r="O63" s="231"/>
      <c r="P63" s="231"/>
      <c r="Q63" s="231"/>
      <c r="R63" s="231"/>
      <c r="S63" s="231"/>
      <c r="T63" s="231"/>
      <c r="U63" s="231"/>
      <c r="V63" s="231"/>
    </row>
    <row r="64" ht="15.75" customHeight="1">
      <c r="A64" s="99"/>
      <c r="B64" s="196"/>
      <c r="C64" s="196"/>
      <c r="D64" s="196"/>
      <c r="E64" s="226"/>
      <c r="F64" s="99"/>
      <c r="G64" s="245"/>
      <c r="H64" s="247"/>
      <c r="I64" s="247"/>
      <c r="J64" s="226"/>
      <c r="K64" s="230"/>
      <c r="L64" s="230"/>
      <c r="M64" s="231"/>
      <c r="N64" s="231"/>
      <c r="O64" s="231"/>
      <c r="P64" s="231"/>
      <c r="Q64" s="231"/>
      <c r="R64" s="231"/>
      <c r="S64" s="231"/>
      <c r="T64" s="231"/>
      <c r="U64" s="231"/>
      <c r="V64" s="231"/>
    </row>
    <row r="65" ht="15.75" customHeight="1">
      <c r="A65" s="99"/>
      <c r="B65" s="196"/>
      <c r="C65" s="196"/>
      <c r="D65" s="196"/>
      <c r="E65" s="226"/>
      <c r="F65" s="99"/>
      <c r="G65" s="245"/>
      <c r="H65" s="247"/>
      <c r="I65" s="247"/>
      <c r="J65" s="226"/>
      <c r="K65" s="230"/>
      <c r="L65" s="230"/>
      <c r="M65" s="231"/>
      <c r="N65" s="231"/>
      <c r="O65" s="231"/>
      <c r="P65" s="231"/>
      <c r="Q65" s="231"/>
      <c r="R65" s="231"/>
      <c r="S65" s="231"/>
      <c r="T65" s="231"/>
      <c r="U65" s="231"/>
      <c r="V65" s="231"/>
    </row>
    <row r="66" ht="15.75" customHeight="1">
      <c r="A66" s="99"/>
      <c r="B66" s="196"/>
      <c r="C66" s="196"/>
      <c r="D66" s="196"/>
      <c r="E66" s="226"/>
      <c r="F66" s="99"/>
      <c r="G66" s="245"/>
      <c r="H66" s="247"/>
      <c r="I66" s="247"/>
      <c r="J66" s="226"/>
      <c r="K66" s="230"/>
      <c r="L66" s="230"/>
      <c r="M66" s="231"/>
      <c r="N66" s="231"/>
      <c r="O66" s="231"/>
      <c r="P66" s="231"/>
      <c r="Q66" s="231"/>
      <c r="R66" s="231"/>
      <c r="S66" s="231"/>
      <c r="T66" s="231"/>
      <c r="U66" s="231"/>
      <c r="V66" s="231"/>
    </row>
    <row r="67" ht="15.75" customHeight="1">
      <c r="A67" s="99"/>
      <c r="B67" s="196"/>
      <c r="C67" s="196"/>
      <c r="D67" s="196"/>
      <c r="E67" s="226"/>
      <c r="F67" s="99"/>
      <c r="G67" s="245"/>
      <c r="H67" s="247"/>
      <c r="I67" s="247"/>
      <c r="J67" s="226"/>
      <c r="K67" s="230"/>
      <c r="L67" s="230"/>
      <c r="M67" s="231"/>
      <c r="N67" s="231"/>
      <c r="O67" s="231"/>
      <c r="P67" s="231"/>
      <c r="Q67" s="231"/>
      <c r="R67" s="231"/>
      <c r="S67" s="231"/>
      <c r="T67" s="231"/>
      <c r="U67" s="231"/>
      <c r="V67" s="231"/>
    </row>
    <row r="68" ht="15.75" customHeight="1">
      <c r="A68" s="99"/>
      <c r="B68" s="196"/>
      <c r="C68" s="196"/>
      <c r="D68" s="196"/>
      <c r="E68" s="226"/>
      <c r="F68" s="99"/>
      <c r="G68" s="245"/>
      <c r="H68" s="247"/>
      <c r="I68" s="247"/>
      <c r="J68" s="226"/>
      <c r="K68" s="230"/>
      <c r="L68" s="230"/>
      <c r="M68" s="231"/>
      <c r="N68" s="231"/>
      <c r="O68" s="231"/>
      <c r="P68" s="231"/>
      <c r="Q68" s="231"/>
      <c r="R68" s="231"/>
      <c r="S68" s="231"/>
      <c r="T68" s="231"/>
      <c r="U68" s="231"/>
      <c r="V68" s="231"/>
    </row>
    <row r="69" ht="15.75" customHeight="1">
      <c r="A69" s="99"/>
      <c r="B69" s="196"/>
      <c r="C69" s="196"/>
      <c r="D69" s="196"/>
      <c r="E69" s="226"/>
      <c r="F69" s="99"/>
      <c r="G69" s="245"/>
      <c r="H69" s="247"/>
      <c r="I69" s="247"/>
      <c r="J69" s="226"/>
      <c r="K69" s="230"/>
      <c r="L69" s="230"/>
      <c r="M69" s="231"/>
      <c r="N69" s="231"/>
      <c r="O69" s="231"/>
      <c r="P69" s="231"/>
      <c r="Q69" s="231"/>
      <c r="R69" s="231"/>
      <c r="S69" s="231"/>
      <c r="T69" s="231"/>
      <c r="U69" s="231"/>
      <c r="V69" s="231"/>
    </row>
    <row r="70" ht="15.75" customHeight="1">
      <c r="A70" s="99"/>
      <c r="B70" s="196"/>
      <c r="C70" s="196"/>
      <c r="D70" s="196"/>
      <c r="E70" s="226"/>
      <c r="F70" s="99"/>
      <c r="G70" s="245"/>
      <c r="H70" s="247"/>
      <c r="I70" s="247"/>
      <c r="J70" s="226"/>
      <c r="K70" s="230"/>
      <c r="L70" s="230"/>
      <c r="M70" s="231"/>
      <c r="N70" s="231"/>
      <c r="O70" s="231"/>
      <c r="P70" s="231"/>
      <c r="Q70" s="231"/>
      <c r="R70" s="231"/>
      <c r="S70" s="231"/>
      <c r="T70" s="231"/>
      <c r="U70" s="231"/>
      <c r="V70" s="231"/>
    </row>
    <row r="71" ht="15.75" customHeight="1">
      <c r="A71" s="99"/>
      <c r="B71" s="196"/>
      <c r="C71" s="196"/>
      <c r="D71" s="196"/>
      <c r="E71" s="226"/>
      <c r="F71" s="99"/>
      <c r="G71" s="245"/>
      <c r="H71" s="247"/>
      <c r="I71" s="247"/>
      <c r="J71" s="226"/>
      <c r="K71" s="230"/>
      <c r="L71" s="230"/>
      <c r="M71" s="231"/>
      <c r="N71" s="231"/>
      <c r="O71" s="231"/>
      <c r="P71" s="231"/>
      <c r="Q71" s="231"/>
      <c r="R71" s="231"/>
      <c r="S71" s="231"/>
      <c r="T71" s="231"/>
      <c r="U71" s="231"/>
      <c r="V71" s="231"/>
    </row>
    <row r="72" ht="15.75" customHeight="1">
      <c r="A72" s="99"/>
      <c r="B72" s="196"/>
      <c r="C72" s="196"/>
      <c r="D72" s="196"/>
      <c r="E72" s="226"/>
      <c r="F72" s="99"/>
      <c r="G72" s="245"/>
      <c r="H72" s="247"/>
      <c r="I72" s="247"/>
      <c r="J72" s="226"/>
      <c r="K72" s="230"/>
      <c r="L72" s="230"/>
      <c r="M72" s="231"/>
      <c r="N72" s="231"/>
      <c r="O72" s="231"/>
      <c r="P72" s="231"/>
      <c r="Q72" s="231"/>
      <c r="R72" s="231"/>
      <c r="S72" s="231"/>
      <c r="T72" s="231"/>
      <c r="U72" s="231"/>
      <c r="V72" s="231"/>
    </row>
    <row r="73" ht="15.75" customHeight="1">
      <c r="A73" s="99"/>
      <c r="B73" s="196"/>
      <c r="C73" s="196"/>
      <c r="D73" s="196"/>
      <c r="E73" s="226"/>
      <c r="F73" s="99"/>
      <c r="G73" s="245"/>
      <c r="H73" s="247"/>
      <c r="I73" s="247"/>
      <c r="J73" s="226"/>
      <c r="K73" s="230"/>
      <c r="L73" s="230"/>
      <c r="M73" s="231"/>
      <c r="N73" s="231"/>
      <c r="O73" s="231"/>
      <c r="P73" s="231"/>
      <c r="Q73" s="231"/>
      <c r="R73" s="231"/>
      <c r="S73" s="231"/>
      <c r="T73" s="231"/>
      <c r="U73" s="231"/>
      <c r="V73" s="231"/>
    </row>
    <row r="74" ht="15.75" customHeight="1">
      <c r="A74" s="99"/>
      <c r="B74" s="196"/>
      <c r="C74" s="196"/>
      <c r="D74" s="196"/>
      <c r="E74" s="226"/>
      <c r="F74" s="99"/>
      <c r="G74" s="245"/>
      <c r="H74" s="247"/>
      <c r="I74" s="247"/>
      <c r="J74" s="226"/>
      <c r="K74" s="230"/>
      <c r="L74" s="230"/>
      <c r="M74" s="231"/>
      <c r="N74" s="231"/>
      <c r="O74" s="231"/>
      <c r="P74" s="231"/>
      <c r="Q74" s="231"/>
      <c r="R74" s="231"/>
      <c r="S74" s="231"/>
      <c r="T74" s="231"/>
      <c r="U74" s="231"/>
      <c r="V74" s="231"/>
    </row>
    <row r="75" ht="15.75" customHeight="1">
      <c r="A75" s="99"/>
      <c r="B75" s="196"/>
      <c r="C75" s="196"/>
      <c r="D75" s="196"/>
      <c r="E75" s="226"/>
      <c r="F75" s="99"/>
      <c r="G75" s="245"/>
      <c r="H75" s="247"/>
      <c r="I75" s="247"/>
      <c r="J75" s="226"/>
      <c r="K75" s="230"/>
      <c r="L75" s="230"/>
      <c r="M75" s="231"/>
      <c r="N75" s="231"/>
      <c r="O75" s="231"/>
      <c r="P75" s="231"/>
      <c r="Q75" s="231"/>
      <c r="R75" s="231"/>
      <c r="S75" s="231"/>
      <c r="T75" s="231"/>
      <c r="U75" s="231"/>
      <c r="V75" s="231"/>
    </row>
    <row r="76" ht="15.75" customHeight="1">
      <c r="A76" s="99"/>
      <c r="B76" s="196"/>
      <c r="C76" s="196"/>
      <c r="D76" s="196"/>
      <c r="E76" s="226"/>
      <c r="F76" s="99"/>
      <c r="G76" s="245"/>
      <c r="H76" s="247"/>
      <c r="I76" s="247"/>
      <c r="J76" s="226"/>
      <c r="K76" s="230"/>
      <c r="L76" s="230"/>
      <c r="M76" s="231"/>
      <c r="N76" s="231"/>
      <c r="O76" s="231"/>
      <c r="P76" s="231"/>
      <c r="Q76" s="231"/>
      <c r="R76" s="231"/>
      <c r="S76" s="231"/>
      <c r="T76" s="231"/>
      <c r="U76" s="231"/>
      <c r="V76" s="231"/>
    </row>
    <row r="77" ht="15.75" customHeight="1">
      <c r="A77" s="99"/>
      <c r="B77" s="196"/>
      <c r="C77" s="196"/>
      <c r="D77" s="196"/>
      <c r="E77" s="226"/>
      <c r="F77" s="99"/>
      <c r="G77" s="245"/>
      <c r="H77" s="247"/>
      <c r="I77" s="247"/>
      <c r="J77" s="226"/>
      <c r="K77" s="230"/>
      <c r="L77" s="230"/>
      <c r="M77" s="231"/>
      <c r="N77" s="231"/>
      <c r="O77" s="231"/>
      <c r="P77" s="231"/>
      <c r="Q77" s="231"/>
      <c r="R77" s="231"/>
      <c r="S77" s="231"/>
      <c r="T77" s="231"/>
      <c r="U77" s="231"/>
      <c r="V77" s="231"/>
    </row>
    <row r="78" ht="15.75" customHeight="1">
      <c r="A78" s="99"/>
      <c r="B78" s="196"/>
      <c r="C78" s="196"/>
      <c r="D78" s="196"/>
      <c r="E78" s="226"/>
      <c r="F78" s="99"/>
      <c r="G78" s="245"/>
      <c r="H78" s="247"/>
      <c r="I78" s="247"/>
      <c r="J78" s="226"/>
      <c r="K78" s="230"/>
      <c r="L78" s="230"/>
      <c r="M78" s="231"/>
      <c r="N78" s="231"/>
      <c r="O78" s="231"/>
      <c r="P78" s="231"/>
      <c r="Q78" s="231"/>
      <c r="R78" s="231"/>
      <c r="S78" s="231"/>
      <c r="T78" s="231"/>
      <c r="U78" s="231"/>
      <c r="V78" s="231"/>
    </row>
    <row r="79" ht="15.75" customHeight="1">
      <c r="A79" s="99"/>
      <c r="B79" s="196"/>
      <c r="C79" s="196"/>
      <c r="D79" s="196"/>
      <c r="E79" s="226"/>
      <c r="F79" s="99"/>
      <c r="G79" s="245"/>
      <c r="H79" s="247"/>
      <c r="I79" s="247"/>
      <c r="J79" s="226"/>
      <c r="K79" s="230"/>
      <c r="L79" s="230"/>
      <c r="M79" s="231"/>
      <c r="N79" s="231"/>
      <c r="O79" s="231"/>
      <c r="P79" s="231"/>
      <c r="Q79" s="231"/>
      <c r="R79" s="231"/>
      <c r="S79" s="231"/>
      <c r="T79" s="231"/>
      <c r="U79" s="231"/>
      <c r="V79" s="231"/>
    </row>
    <row r="80" ht="15.75" customHeight="1">
      <c r="A80" s="99"/>
      <c r="B80" s="196"/>
      <c r="C80" s="196"/>
      <c r="D80" s="196"/>
      <c r="E80" s="226"/>
      <c r="F80" s="99"/>
      <c r="G80" s="245"/>
      <c r="H80" s="247"/>
      <c r="I80" s="247"/>
      <c r="J80" s="226"/>
      <c r="K80" s="230"/>
      <c r="L80" s="230"/>
      <c r="M80" s="231"/>
      <c r="N80" s="231"/>
      <c r="O80" s="231"/>
      <c r="P80" s="231"/>
      <c r="Q80" s="231"/>
      <c r="R80" s="231"/>
      <c r="S80" s="231"/>
      <c r="T80" s="231"/>
      <c r="U80" s="231"/>
      <c r="V80" s="231"/>
    </row>
    <row r="81" ht="15.75" customHeight="1">
      <c r="A81" s="99"/>
      <c r="B81" s="196"/>
      <c r="C81" s="196"/>
      <c r="D81" s="196"/>
      <c r="E81" s="226"/>
      <c r="F81" s="99"/>
      <c r="G81" s="245"/>
      <c r="H81" s="247"/>
      <c r="I81" s="247"/>
      <c r="J81" s="226"/>
      <c r="K81" s="230"/>
      <c r="L81" s="230"/>
      <c r="M81" s="231"/>
      <c r="N81" s="231"/>
      <c r="O81" s="231"/>
      <c r="P81" s="231"/>
      <c r="Q81" s="231"/>
      <c r="R81" s="231"/>
      <c r="S81" s="231"/>
      <c r="T81" s="231"/>
      <c r="U81" s="231"/>
      <c r="V81" s="231"/>
    </row>
    <row r="82" ht="15.75" customHeight="1">
      <c r="A82" s="226"/>
      <c r="B82" s="250"/>
      <c r="C82" s="250"/>
      <c r="D82" s="250"/>
      <c r="E82" s="226"/>
      <c r="F82" s="229"/>
      <c r="G82" s="251"/>
      <c r="H82" s="251"/>
      <c r="I82" s="251"/>
      <c r="J82" s="229"/>
      <c r="K82" s="230"/>
      <c r="L82" s="230"/>
      <c r="M82" s="231"/>
      <c r="N82" s="231"/>
      <c r="O82" s="231"/>
      <c r="P82" s="231"/>
      <c r="Q82" s="231"/>
      <c r="R82" s="231"/>
      <c r="S82" s="231"/>
      <c r="T82" s="231"/>
      <c r="U82" s="231"/>
      <c r="V82" s="231"/>
    </row>
    <row r="83" ht="15.75" customHeight="1">
      <c r="A83" s="226"/>
      <c r="B83" s="250"/>
      <c r="C83" s="250"/>
      <c r="D83" s="250"/>
      <c r="E83" s="226"/>
      <c r="F83" s="229"/>
      <c r="G83" s="251"/>
      <c r="H83" s="251"/>
      <c r="I83" s="251"/>
      <c r="J83" s="229"/>
      <c r="K83" s="230"/>
      <c r="L83" s="230"/>
      <c r="M83" s="231"/>
      <c r="N83" s="231"/>
      <c r="O83" s="231"/>
      <c r="P83" s="231"/>
      <c r="Q83" s="231"/>
      <c r="R83" s="231"/>
      <c r="S83" s="231"/>
      <c r="T83" s="231"/>
      <c r="U83" s="231"/>
      <c r="V83" s="231"/>
    </row>
    <row r="84" ht="15.75" customHeight="1">
      <c r="A84" s="229"/>
      <c r="B84" s="251"/>
      <c r="C84" s="251"/>
      <c r="D84" s="251"/>
      <c r="E84" s="226"/>
      <c r="F84" s="229"/>
      <c r="G84" s="251"/>
      <c r="H84" s="229"/>
      <c r="I84" s="229"/>
      <c r="J84" s="229"/>
      <c r="K84" s="229"/>
      <c r="L84" s="229"/>
      <c r="M84" s="231"/>
      <c r="N84" s="231"/>
      <c r="O84" s="231"/>
      <c r="P84" s="231"/>
      <c r="Q84" s="231"/>
      <c r="R84" s="231"/>
      <c r="S84" s="231"/>
      <c r="T84" s="231"/>
      <c r="U84" s="231"/>
      <c r="V84" s="231"/>
    </row>
    <row r="85" ht="15.75" customHeight="1">
      <c r="A85" s="229"/>
      <c r="B85" s="251"/>
      <c r="C85" s="251"/>
      <c r="D85" s="251"/>
      <c r="E85" s="226"/>
      <c r="F85" s="229"/>
      <c r="G85" s="251"/>
      <c r="H85" s="229"/>
      <c r="I85" s="229"/>
      <c r="J85" s="229"/>
      <c r="K85" s="229"/>
      <c r="L85" s="229"/>
      <c r="M85" s="231"/>
      <c r="N85" s="231"/>
      <c r="O85" s="231"/>
      <c r="P85" s="231"/>
      <c r="Q85" s="231"/>
      <c r="R85" s="231"/>
      <c r="S85" s="231"/>
      <c r="T85" s="231"/>
      <c r="U85" s="231"/>
      <c r="V85" s="231"/>
    </row>
    <row r="86" ht="15.75" customHeight="1">
      <c r="A86" s="229"/>
      <c r="B86" s="251"/>
      <c r="C86" s="251"/>
      <c r="D86" s="251"/>
      <c r="E86" s="226"/>
      <c r="F86" s="229"/>
      <c r="G86" s="251"/>
      <c r="H86" s="229"/>
      <c r="I86" s="229"/>
      <c r="J86" s="229"/>
      <c r="K86" s="229"/>
      <c r="L86" s="252"/>
      <c r="M86" s="231"/>
      <c r="N86" s="231"/>
      <c r="O86" s="231"/>
      <c r="P86" s="231"/>
      <c r="Q86" s="231"/>
      <c r="R86" s="231"/>
      <c r="S86" s="231"/>
      <c r="T86" s="231"/>
      <c r="U86" s="231"/>
      <c r="V86" s="231"/>
    </row>
    <row r="87" ht="15.75" customHeight="1">
      <c r="A87" s="229"/>
      <c r="B87" s="251"/>
      <c r="C87" s="251"/>
      <c r="D87" s="251"/>
      <c r="E87" s="226"/>
      <c r="F87" s="229"/>
      <c r="G87" s="251"/>
      <c r="H87" s="229"/>
      <c r="I87" s="229"/>
      <c r="J87" s="229"/>
      <c r="K87" s="229"/>
      <c r="L87" s="252"/>
      <c r="M87" s="231"/>
      <c r="N87" s="231"/>
      <c r="O87" s="231"/>
      <c r="P87" s="231"/>
      <c r="Q87" s="231"/>
      <c r="R87" s="231"/>
      <c r="S87" s="231"/>
      <c r="T87" s="231"/>
      <c r="U87" s="231"/>
      <c r="V87" s="231"/>
    </row>
    <row r="88" ht="15.75" customHeight="1">
      <c r="A88" s="229"/>
      <c r="B88" s="251"/>
      <c r="C88" s="251"/>
      <c r="D88" s="251"/>
      <c r="E88" s="226"/>
      <c r="F88" s="229"/>
      <c r="G88" s="251"/>
      <c r="H88" s="229"/>
      <c r="I88" s="229"/>
      <c r="J88" s="229"/>
      <c r="K88" s="229"/>
      <c r="L88" s="252"/>
      <c r="M88" s="231"/>
      <c r="N88" s="231"/>
      <c r="O88" s="231"/>
      <c r="P88" s="231"/>
      <c r="Q88" s="231"/>
      <c r="R88" s="231"/>
      <c r="S88" s="231"/>
      <c r="T88" s="231"/>
      <c r="U88" s="231"/>
      <c r="V88" s="231"/>
    </row>
    <row r="89" ht="15.75" customHeight="1">
      <c r="A89" s="229"/>
      <c r="B89" s="251"/>
      <c r="C89" s="251"/>
      <c r="D89" s="251"/>
      <c r="E89" s="226"/>
      <c r="F89" s="229"/>
      <c r="G89" s="251"/>
      <c r="H89" s="229"/>
      <c r="I89" s="229"/>
      <c r="J89" s="229"/>
      <c r="K89" s="229"/>
      <c r="L89" s="252"/>
      <c r="M89" s="231"/>
      <c r="N89" s="231"/>
      <c r="O89" s="231"/>
      <c r="P89" s="231"/>
      <c r="Q89" s="231"/>
      <c r="R89" s="231"/>
      <c r="S89" s="231"/>
      <c r="T89" s="231"/>
      <c r="U89" s="231"/>
      <c r="V89" s="231"/>
    </row>
    <row r="90" ht="15.75" customHeight="1">
      <c r="A90" s="229"/>
      <c r="B90" s="251"/>
      <c r="C90" s="251"/>
      <c r="D90" s="251"/>
      <c r="E90" s="226"/>
      <c r="F90" s="229"/>
      <c r="G90" s="251"/>
      <c r="H90" s="229"/>
      <c r="I90" s="229"/>
      <c r="J90" s="229"/>
      <c r="K90" s="229"/>
      <c r="L90" s="252"/>
      <c r="M90" s="231"/>
      <c r="N90" s="231"/>
      <c r="O90" s="231"/>
      <c r="P90" s="231"/>
      <c r="Q90" s="231"/>
      <c r="R90" s="231"/>
      <c r="S90" s="231"/>
      <c r="T90" s="231"/>
      <c r="U90" s="231"/>
      <c r="V90" s="231"/>
    </row>
    <row r="91" ht="15.75" customHeight="1">
      <c r="A91" s="229"/>
      <c r="B91" s="251"/>
      <c r="C91" s="251"/>
      <c r="D91" s="251"/>
      <c r="E91" s="226"/>
      <c r="F91" s="229"/>
      <c r="G91" s="251"/>
      <c r="H91" s="229"/>
      <c r="I91" s="229"/>
      <c r="J91" s="229"/>
      <c r="K91" s="229"/>
      <c r="L91" s="252"/>
      <c r="M91" s="231"/>
      <c r="N91" s="231"/>
      <c r="O91" s="231"/>
      <c r="P91" s="231"/>
      <c r="Q91" s="231"/>
      <c r="R91" s="231"/>
      <c r="S91" s="231"/>
      <c r="T91" s="231"/>
      <c r="U91" s="231"/>
      <c r="V91" s="231"/>
    </row>
    <row r="92" ht="15.75" customHeight="1">
      <c r="A92" s="229"/>
      <c r="B92" s="251"/>
      <c r="C92" s="251"/>
      <c r="D92" s="251"/>
      <c r="E92" s="226"/>
      <c r="F92" s="229"/>
      <c r="G92" s="251"/>
      <c r="H92" s="229"/>
      <c r="I92" s="229"/>
      <c r="J92" s="229"/>
      <c r="K92" s="229"/>
      <c r="L92" s="253"/>
      <c r="M92" s="231"/>
      <c r="N92" s="231"/>
      <c r="O92" s="231"/>
      <c r="P92" s="231"/>
      <c r="Q92" s="231"/>
      <c r="R92" s="231"/>
      <c r="S92" s="231"/>
      <c r="T92" s="231"/>
      <c r="U92" s="231"/>
      <c r="V92" s="231"/>
    </row>
    <row r="93" ht="15.75" customHeight="1">
      <c r="A93" s="229"/>
      <c r="B93" s="251"/>
      <c r="C93" s="251"/>
      <c r="D93" s="251"/>
      <c r="E93" s="226"/>
      <c r="F93" s="229"/>
      <c r="G93" s="251"/>
      <c r="H93" s="229"/>
      <c r="I93" s="229"/>
      <c r="J93" s="229"/>
      <c r="K93" s="229"/>
      <c r="L93" s="253"/>
      <c r="M93" s="231"/>
      <c r="N93" s="231"/>
      <c r="O93" s="231"/>
      <c r="P93" s="231"/>
      <c r="Q93" s="231"/>
      <c r="R93" s="231"/>
      <c r="S93" s="231"/>
      <c r="T93" s="231"/>
      <c r="U93" s="231"/>
      <c r="V93" s="231"/>
    </row>
    <row r="94" ht="15.75" customHeight="1">
      <c r="A94" s="229"/>
      <c r="B94" s="251"/>
      <c r="C94" s="251"/>
      <c r="D94" s="251"/>
      <c r="E94" s="226"/>
      <c r="F94" s="229"/>
      <c r="G94" s="251"/>
      <c r="H94" s="229"/>
      <c r="I94" s="229"/>
      <c r="J94" s="229"/>
      <c r="K94" s="229"/>
      <c r="L94" s="253"/>
      <c r="M94" s="231"/>
      <c r="N94" s="231"/>
      <c r="O94" s="231"/>
      <c r="P94" s="231"/>
      <c r="Q94" s="231"/>
      <c r="R94" s="231"/>
      <c r="S94" s="231"/>
      <c r="T94" s="231"/>
      <c r="U94" s="231"/>
      <c r="V94" s="231"/>
    </row>
    <row r="95" ht="15.75" customHeight="1">
      <c r="A95" s="229"/>
      <c r="B95" s="251"/>
      <c r="C95" s="251"/>
      <c r="D95" s="251"/>
      <c r="E95" s="226"/>
      <c r="F95" s="229"/>
      <c r="G95" s="251"/>
      <c r="H95" s="229"/>
      <c r="I95" s="229"/>
      <c r="J95" s="229"/>
      <c r="K95" s="229"/>
      <c r="L95" s="253"/>
      <c r="M95" s="231"/>
      <c r="N95" s="231"/>
      <c r="O95" s="231"/>
      <c r="P95" s="231"/>
      <c r="Q95" s="231"/>
      <c r="R95" s="231"/>
      <c r="S95" s="231"/>
      <c r="T95" s="231"/>
      <c r="U95" s="231"/>
      <c r="V95" s="231"/>
    </row>
    <row r="96" ht="15.75" customHeight="1">
      <c r="A96" s="229"/>
      <c r="B96" s="251"/>
      <c r="C96" s="251"/>
      <c r="D96" s="251"/>
      <c r="E96" s="226"/>
      <c r="F96" s="229"/>
      <c r="G96" s="251"/>
      <c r="H96" s="229"/>
      <c r="I96" s="229"/>
      <c r="J96" s="229"/>
      <c r="K96" s="229"/>
      <c r="L96" s="252"/>
      <c r="M96" s="231"/>
      <c r="N96" s="231"/>
      <c r="O96" s="231"/>
      <c r="P96" s="231"/>
      <c r="Q96" s="231"/>
      <c r="R96" s="231"/>
      <c r="S96" s="231"/>
      <c r="T96" s="231"/>
      <c r="U96" s="231"/>
      <c r="V96" s="231"/>
    </row>
    <row r="97" ht="15.75" customHeight="1">
      <c r="A97" s="229"/>
      <c r="B97" s="251"/>
      <c r="C97" s="251"/>
      <c r="D97" s="251"/>
      <c r="E97" s="226"/>
      <c r="F97" s="229"/>
      <c r="G97" s="251"/>
      <c r="H97" s="229"/>
      <c r="I97" s="229"/>
      <c r="J97" s="229"/>
      <c r="K97" s="229"/>
      <c r="L97" s="252"/>
      <c r="M97" s="231"/>
      <c r="N97" s="231"/>
      <c r="O97" s="231"/>
      <c r="P97" s="231"/>
      <c r="Q97" s="231"/>
      <c r="R97" s="231"/>
      <c r="S97" s="231"/>
      <c r="T97" s="231"/>
      <c r="U97" s="231"/>
      <c r="V97" s="231"/>
    </row>
    <row r="98" ht="15.75" customHeight="1">
      <c r="A98" s="229"/>
      <c r="B98" s="251"/>
      <c r="C98" s="251"/>
      <c r="D98" s="251"/>
      <c r="E98" s="226"/>
      <c r="F98" s="229"/>
      <c r="G98" s="251"/>
      <c r="H98" s="229"/>
      <c r="I98" s="229"/>
      <c r="J98" s="229"/>
      <c r="K98" s="229"/>
      <c r="L98" s="253"/>
      <c r="M98" s="231"/>
      <c r="N98" s="231"/>
      <c r="O98" s="231"/>
      <c r="P98" s="231"/>
      <c r="Q98" s="231"/>
      <c r="R98" s="231"/>
      <c r="S98" s="231"/>
      <c r="T98" s="231"/>
      <c r="U98" s="231"/>
      <c r="V98" s="231"/>
    </row>
    <row r="99" ht="15.75" customHeight="1">
      <c r="A99" s="229"/>
      <c r="B99" s="251"/>
      <c r="C99" s="251"/>
      <c r="D99" s="251"/>
      <c r="E99" s="226"/>
      <c r="F99" s="229"/>
      <c r="G99" s="251"/>
      <c r="H99" s="229"/>
      <c r="I99" s="229"/>
      <c r="J99" s="229"/>
      <c r="K99" s="229"/>
      <c r="L99" s="252"/>
      <c r="M99" s="231"/>
      <c r="N99" s="231"/>
      <c r="O99" s="231"/>
      <c r="P99" s="231"/>
      <c r="Q99" s="231"/>
      <c r="R99" s="231"/>
      <c r="S99" s="231"/>
      <c r="T99" s="231"/>
      <c r="U99" s="231"/>
      <c r="V99" s="231"/>
    </row>
    <row r="100" ht="15.75" customHeight="1">
      <c r="A100" s="229"/>
      <c r="B100" s="251"/>
      <c r="C100" s="251"/>
      <c r="D100" s="251"/>
      <c r="E100" s="226"/>
      <c r="F100" s="229"/>
      <c r="G100" s="251"/>
      <c r="H100" s="229"/>
      <c r="I100" s="229"/>
      <c r="J100" s="229"/>
      <c r="K100" s="229"/>
      <c r="L100" s="253"/>
      <c r="M100" s="231"/>
      <c r="N100" s="231"/>
      <c r="O100" s="231"/>
      <c r="P100" s="231"/>
      <c r="Q100" s="231"/>
      <c r="R100" s="231"/>
      <c r="S100" s="231"/>
      <c r="T100" s="231"/>
      <c r="U100" s="231"/>
      <c r="V100" s="231"/>
    </row>
    <row r="101" ht="15.75" customHeight="1">
      <c r="A101" s="231"/>
      <c r="B101" s="254"/>
      <c r="C101" s="254"/>
      <c r="D101" s="254"/>
      <c r="E101" s="231"/>
      <c r="F101" s="231"/>
      <c r="G101" s="255"/>
      <c r="H101" s="231"/>
      <c r="I101" s="231"/>
      <c r="J101" s="231"/>
      <c r="K101" s="231"/>
      <c r="L101" s="231"/>
      <c r="M101" s="231"/>
      <c r="N101" s="231"/>
      <c r="O101" s="231"/>
      <c r="P101" s="231"/>
      <c r="Q101" s="231"/>
      <c r="R101" s="231"/>
      <c r="S101" s="231"/>
      <c r="T101" s="231"/>
      <c r="U101" s="231"/>
      <c r="V101" s="231"/>
    </row>
    <row r="102" ht="15.75" customHeight="1">
      <c r="A102" s="231"/>
      <c r="B102" s="254"/>
      <c r="C102" s="254"/>
      <c r="D102" s="254"/>
      <c r="E102" s="231"/>
      <c r="F102" s="231"/>
      <c r="G102" s="255"/>
      <c r="H102" s="231"/>
      <c r="I102" s="231"/>
      <c r="J102" s="231"/>
      <c r="K102" s="231"/>
      <c r="L102" s="231"/>
      <c r="M102" s="231"/>
      <c r="N102" s="231"/>
      <c r="O102" s="231"/>
      <c r="P102" s="231"/>
      <c r="Q102" s="231"/>
      <c r="R102" s="231"/>
      <c r="S102" s="231"/>
      <c r="T102" s="231"/>
      <c r="U102" s="231"/>
      <c r="V102" s="231"/>
    </row>
    <row r="103" ht="15.75" customHeight="1">
      <c r="A103" s="231"/>
      <c r="B103" s="254"/>
      <c r="C103" s="254"/>
      <c r="D103" s="254"/>
      <c r="E103" s="231"/>
      <c r="F103" s="231"/>
      <c r="G103" s="255"/>
      <c r="H103" s="231"/>
      <c r="I103" s="231"/>
      <c r="J103" s="231"/>
      <c r="K103" s="231"/>
      <c r="L103" s="231"/>
      <c r="M103" s="231"/>
      <c r="N103" s="231"/>
      <c r="O103" s="231"/>
      <c r="P103" s="231"/>
      <c r="Q103" s="231"/>
      <c r="R103" s="231"/>
      <c r="S103" s="231"/>
      <c r="T103" s="231"/>
      <c r="U103" s="231"/>
      <c r="V103" s="231"/>
    </row>
    <row r="104" ht="15.75" customHeight="1">
      <c r="A104" s="231"/>
      <c r="B104" s="254"/>
      <c r="C104" s="254"/>
      <c r="D104" s="254"/>
      <c r="E104" s="231"/>
      <c r="F104" s="231"/>
      <c r="G104" s="255"/>
      <c r="H104" s="231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</row>
    <row r="105" ht="15.75" customHeight="1">
      <c r="A105" s="231"/>
      <c r="B105" s="254"/>
      <c r="C105" s="254"/>
      <c r="D105" s="254"/>
      <c r="E105" s="231"/>
      <c r="F105" s="231"/>
      <c r="G105" s="255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/>
      <c r="U105" s="231"/>
      <c r="V105" s="231"/>
    </row>
    <row r="106" ht="15.75" customHeight="1">
      <c r="A106" s="231"/>
      <c r="B106" s="254"/>
      <c r="C106" s="254"/>
      <c r="D106" s="254"/>
      <c r="E106" s="231"/>
      <c r="F106" s="231"/>
      <c r="G106" s="255"/>
      <c r="H106" s="231"/>
      <c r="I106" s="231"/>
      <c r="J106" s="231"/>
      <c r="K106" s="231"/>
      <c r="L106" s="231"/>
      <c r="M106" s="231"/>
      <c r="N106" s="231"/>
      <c r="O106" s="231"/>
      <c r="P106" s="231"/>
      <c r="Q106" s="231"/>
      <c r="R106" s="231"/>
      <c r="S106" s="231"/>
      <c r="T106" s="231"/>
      <c r="U106" s="231"/>
      <c r="V106" s="231"/>
    </row>
    <row r="107" ht="15.75" customHeight="1">
      <c r="A107" s="231"/>
      <c r="B107" s="254"/>
      <c r="C107" s="254"/>
      <c r="D107" s="254"/>
      <c r="E107" s="231"/>
      <c r="F107" s="231"/>
      <c r="G107" s="255"/>
      <c r="H107" s="231"/>
      <c r="I107" s="231"/>
      <c r="J107" s="231"/>
      <c r="K107" s="231"/>
      <c r="L107" s="231"/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</row>
    <row r="108" ht="15.75" customHeight="1">
      <c r="A108" s="231"/>
      <c r="B108" s="254"/>
      <c r="C108" s="254"/>
      <c r="D108" s="254"/>
      <c r="E108" s="231"/>
      <c r="F108" s="231"/>
      <c r="G108" s="255"/>
      <c r="H108" s="231"/>
      <c r="I108" s="231"/>
      <c r="J108" s="231"/>
      <c r="K108" s="231"/>
      <c r="L108" s="231"/>
      <c r="M108" s="231"/>
      <c r="N108" s="231"/>
      <c r="O108" s="231"/>
      <c r="P108" s="231"/>
      <c r="Q108" s="231"/>
      <c r="R108" s="231"/>
      <c r="S108" s="231"/>
      <c r="T108" s="231"/>
      <c r="U108" s="231"/>
      <c r="V108" s="231"/>
    </row>
    <row r="109" ht="15.75" customHeight="1">
      <c r="A109" s="231"/>
      <c r="B109" s="254"/>
      <c r="C109" s="254"/>
      <c r="D109" s="254"/>
      <c r="E109" s="231"/>
      <c r="F109" s="231"/>
      <c r="G109" s="255"/>
      <c r="H109" s="231"/>
      <c r="I109" s="231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</row>
    <row r="110" ht="15.75" customHeight="1">
      <c r="A110" s="231"/>
      <c r="B110" s="254"/>
      <c r="C110" s="254"/>
      <c r="D110" s="254"/>
      <c r="E110" s="231"/>
      <c r="F110" s="231"/>
      <c r="G110" s="255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</row>
    <row r="111" ht="15.75" customHeight="1">
      <c r="A111" s="231"/>
      <c r="B111" s="254"/>
      <c r="C111" s="254"/>
      <c r="D111" s="254"/>
      <c r="E111" s="231"/>
      <c r="F111" s="231"/>
      <c r="G111" s="255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</row>
    <row r="112" ht="15.75" customHeight="1">
      <c r="A112" s="231"/>
      <c r="B112" s="254"/>
      <c r="C112" s="254"/>
      <c r="D112" s="254"/>
      <c r="E112" s="231"/>
      <c r="F112" s="231"/>
      <c r="G112" s="255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</row>
    <row r="113" ht="15.75" customHeight="1">
      <c r="A113" s="231"/>
      <c r="B113" s="254"/>
      <c r="C113" s="254"/>
      <c r="D113" s="254"/>
      <c r="E113" s="231"/>
      <c r="F113" s="231"/>
      <c r="G113" s="255"/>
      <c r="H113" s="231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</row>
    <row r="114" ht="15.75" customHeight="1">
      <c r="A114" s="231"/>
      <c r="B114" s="254"/>
      <c r="C114" s="254"/>
      <c r="D114" s="254"/>
      <c r="E114" s="231"/>
      <c r="F114" s="231"/>
      <c r="G114" s="255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</row>
    <row r="115" ht="15.75" customHeight="1">
      <c r="A115" s="231"/>
      <c r="B115" s="254"/>
      <c r="C115" s="254"/>
      <c r="D115" s="254"/>
      <c r="E115" s="231"/>
      <c r="F115" s="231"/>
      <c r="G115" s="255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</row>
    <row r="116" ht="15.75" customHeight="1">
      <c r="A116" s="231"/>
      <c r="B116" s="254"/>
      <c r="C116" s="254"/>
      <c r="D116" s="254"/>
      <c r="E116" s="231"/>
      <c r="F116" s="231"/>
      <c r="G116" s="255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</row>
    <row r="117" ht="15.75" customHeight="1">
      <c r="A117" s="231"/>
      <c r="B117" s="254"/>
      <c r="C117" s="254"/>
      <c r="D117" s="254"/>
      <c r="E117" s="231"/>
      <c r="F117" s="231"/>
      <c r="G117" s="255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</row>
    <row r="118" ht="15.75" customHeight="1">
      <c r="A118" s="231"/>
      <c r="B118" s="254"/>
      <c r="C118" s="254"/>
      <c r="D118" s="254"/>
      <c r="E118" s="231"/>
      <c r="F118" s="231"/>
      <c r="G118" s="255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</row>
    <row r="119" ht="15.75" customHeight="1">
      <c r="A119" s="231"/>
      <c r="B119" s="254"/>
      <c r="C119" s="254"/>
      <c r="D119" s="254"/>
      <c r="E119" s="231"/>
      <c r="F119" s="231"/>
      <c r="G119" s="255"/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</row>
    <row r="120" ht="15.75" customHeight="1">
      <c r="A120" s="231"/>
      <c r="B120" s="254"/>
      <c r="C120" s="254"/>
      <c r="D120" s="254"/>
      <c r="E120" s="231"/>
      <c r="F120" s="231"/>
      <c r="G120" s="255"/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</row>
    <row r="121" ht="15.75" customHeight="1">
      <c r="A121" s="231"/>
      <c r="B121" s="254"/>
      <c r="C121" s="254"/>
      <c r="D121" s="254"/>
      <c r="E121" s="231"/>
      <c r="F121" s="231"/>
      <c r="G121" s="255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</row>
    <row r="122" ht="15.75" customHeight="1">
      <c r="A122" s="231"/>
      <c r="B122" s="254"/>
      <c r="C122" s="254"/>
      <c r="D122" s="254"/>
      <c r="E122" s="231"/>
      <c r="F122" s="231"/>
      <c r="G122" s="255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</row>
    <row r="123" ht="15.75" customHeight="1">
      <c r="A123" s="231"/>
      <c r="B123" s="254"/>
      <c r="C123" s="254"/>
      <c r="D123" s="254"/>
      <c r="E123" s="231"/>
      <c r="F123" s="231"/>
      <c r="G123" s="255"/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</row>
    <row r="124" ht="15.75" customHeight="1">
      <c r="A124" s="231"/>
      <c r="B124" s="254"/>
      <c r="C124" s="254"/>
      <c r="D124" s="254"/>
      <c r="E124" s="231"/>
      <c r="F124" s="231"/>
      <c r="G124" s="255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</row>
    <row r="125" ht="15.75" customHeight="1">
      <c r="A125" s="231"/>
      <c r="B125" s="254"/>
      <c r="C125" s="254"/>
      <c r="D125" s="254"/>
      <c r="E125" s="231"/>
      <c r="F125" s="231"/>
      <c r="G125" s="255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</row>
    <row r="126" ht="15.75" customHeight="1">
      <c r="A126" s="231"/>
      <c r="B126" s="254"/>
      <c r="C126" s="254"/>
      <c r="D126" s="254"/>
      <c r="E126" s="231"/>
      <c r="F126" s="231"/>
      <c r="G126" s="255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</row>
    <row r="127" ht="15.75" customHeight="1">
      <c r="A127" s="231"/>
      <c r="B127" s="254"/>
      <c r="C127" s="254"/>
      <c r="D127" s="254"/>
      <c r="E127" s="231"/>
      <c r="F127" s="231"/>
      <c r="G127" s="255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</row>
    <row r="128" ht="15.75" customHeight="1">
      <c r="A128" s="231"/>
      <c r="B128" s="254"/>
      <c r="C128" s="254"/>
      <c r="D128" s="254"/>
      <c r="E128" s="231"/>
      <c r="F128" s="231"/>
      <c r="G128" s="255"/>
      <c r="H128" s="231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</row>
    <row r="129" ht="15.75" customHeight="1">
      <c r="A129" s="231"/>
      <c r="B129" s="254"/>
      <c r="C129" s="254"/>
      <c r="D129" s="254"/>
      <c r="E129" s="231"/>
      <c r="F129" s="231"/>
      <c r="G129" s="255"/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</row>
    <row r="130" ht="15.75" customHeight="1">
      <c r="A130" s="231"/>
      <c r="B130" s="254"/>
      <c r="C130" s="254"/>
      <c r="D130" s="254"/>
      <c r="E130" s="231"/>
      <c r="F130" s="231"/>
      <c r="G130" s="255"/>
      <c r="H130" s="231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</row>
    <row r="131" ht="15.75" customHeight="1">
      <c r="A131" s="231"/>
      <c r="B131" s="254"/>
      <c r="C131" s="254"/>
      <c r="D131" s="254"/>
      <c r="E131" s="231"/>
      <c r="F131" s="231"/>
      <c r="G131" s="255"/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</row>
    <row r="132" ht="15.75" customHeight="1">
      <c r="A132" s="231"/>
      <c r="B132" s="254"/>
      <c r="C132" s="254"/>
      <c r="D132" s="254"/>
      <c r="E132" s="231"/>
      <c r="F132" s="231"/>
      <c r="G132" s="255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</row>
    <row r="133" ht="15.75" customHeight="1">
      <c r="A133" s="231"/>
      <c r="B133" s="254"/>
      <c r="C133" s="254"/>
      <c r="D133" s="254"/>
      <c r="E133" s="231"/>
      <c r="F133" s="231"/>
      <c r="G133" s="255"/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</row>
    <row r="134" ht="15.75" customHeight="1">
      <c r="A134" s="231"/>
      <c r="B134" s="254"/>
      <c r="C134" s="254"/>
      <c r="D134" s="254"/>
      <c r="E134" s="231"/>
      <c r="F134" s="231"/>
      <c r="G134" s="255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</row>
    <row r="135" ht="15.75" customHeight="1">
      <c r="A135" s="231"/>
      <c r="B135" s="254"/>
      <c r="C135" s="254"/>
      <c r="D135" s="254"/>
      <c r="E135" s="231"/>
      <c r="F135" s="231"/>
      <c r="G135" s="255"/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</row>
    <row r="136" ht="15.75" customHeight="1">
      <c r="A136" s="231"/>
      <c r="B136" s="254"/>
      <c r="C136" s="254"/>
      <c r="D136" s="254"/>
      <c r="E136" s="231"/>
      <c r="F136" s="231"/>
      <c r="G136" s="255"/>
      <c r="H136" s="231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</row>
    <row r="137" ht="15.75" customHeight="1">
      <c r="A137" s="231"/>
      <c r="B137" s="254"/>
      <c r="C137" s="254"/>
      <c r="D137" s="254"/>
      <c r="E137" s="231"/>
      <c r="F137" s="231"/>
      <c r="G137" s="255"/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</row>
    <row r="138" ht="15.75" customHeight="1">
      <c r="A138" s="231"/>
      <c r="B138" s="254"/>
      <c r="C138" s="254"/>
      <c r="D138" s="254"/>
      <c r="E138" s="231"/>
      <c r="F138" s="231"/>
      <c r="G138" s="255"/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</row>
    <row r="139" ht="15.75" customHeight="1">
      <c r="A139" s="231"/>
      <c r="B139" s="254"/>
      <c r="C139" s="254"/>
      <c r="D139" s="254"/>
      <c r="E139" s="231"/>
      <c r="F139" s="231"/>
      <c r="G139" s="255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</row>
    <row r="140" ht="15.75" customHeight="1">
      <c r="A140" s="231"/>
      <c r="B140" s="254"/>
      <c r="C140" s="254"/>
      <c r="D140" s="254"/>
      <c r="E140" s="231"/>
      <c r="F140" s="231"/>
      <c r="G140" s="255"/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</row>
    <row r="141" ht="15.75" customHeight="1">
      <c r="A141" s="231"/>
      <c r="B141" s="254"/>
      <c r="C141" s="254"/>
      <c r="D141" s="254"/>
      <c r="E141" s="231"/>
      <c r="F141" s="231"/>
      <c r="G141" s="255"/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</row>
    <row r="142" ht="15.75" customHeight="1">
      <c r="A142" s="231"/>
      <c r="B142" s="254"/>
      <c r="C142" s="254"/>
      <c r="D142" s="254"/>
      <c r="E142" s="231"/>
      <c r="F142" s="231"/>
      <c r="G142" s="255"/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</row>
    <row r="143" ht="15.75" customHeight="1">
      <c r="A143" s="231"/>
      <c r="B143" s="254"/>
      <c r="C143" s="254"/>
      <c r="D143" s="254"/>
      <c r="E143" s="231"/>
      <c r="F143" s="231"/>
      <c r="G143" s="255"/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</row>
    <row r="144" ht="15.75" customHeight="1">
      <c r="A144" s="231"/>
      <c r="B144" s="254"/>
      <c r="C144" s="254"/>
      <c r="D144" s="254"/>
      <c r="E144" s="231"/>
      <c r="F144" s="231"/>
      <c r="G144" s="255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</row>
    <row r="145" ht="15.75" customHeight="1">
      <c r="A145" s="231"/>
      <c r="B145" s="254"/>
      <c r="C145" s="254"/>
      <c r="D145" s="254"/>
      <c r="E145" s="231"/>
      <c r="F145" s="231"/>
      <c r="G145" s="255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</row>
    <row r="146" ht="15.75" customHeight="1">
      <c r="A146" s="231"/>
      <c r="B146" s="254"/>
      <c r="C146" s="254"/>
      <c r="D146" s="254"/>
      <c r="E146" s="231"/>
      <c r="F146" s="231"/>
      <c r="G146" s="255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</row>
    <row r="147" ht="15.75" customHeight="1">
      <c r="A147" s="231"/>
      <c r="B147" s="254"/>
      <c r="C147" s="254"/>
      <c r="D147" s="254"/>
      <c r="E147" s="231"/>
      <c r="F147" s="231"/>
      <c r="G147" s="255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</row>
    <row r="148" ht="15.75" customHeight="1">
      <c r="A148" s="231"/>
      <c r="B148" s="254"/>
      <c r="C148" s="254"/>
      <c r="D148" s="254"/>
      <c r="E148" s="231"/>
      <c r="F148" s="231"/>
      <c r="G148" s="255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</row>
    <row r="149" ht="15.75" customHeight="1">
      <c r="A149" s="231"/>
      <c r="B149" s="254"/>
      <c r="C149" s="254"/>
      <c r="D149" s="254"/>
      <c r="E149" s="231"/>
      <c r="F149" s="231"/>
      <c r="G149" s="255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</row>
    <row r="150" ht="15.75" customHeight="1">
      <c r="A150" s="231"/>
      <c r="B150" s="254"/>
      <c r="C150" s="254"/>
      <c r="D150" s="254"/>
      <c r="E150" s="231"/>
      <c r="F150" s="231"/>
      <c r="G150" s="255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</row>
    <row r="151" ht="15.75" customHeight="1">
      <c r="A151" s="231"/>
      <c r="B151" s="254"/>
      <c r="C151" s="254"/>
      <c r="D151" s="254"/>
      <c r="E151" s="231"/>
      <c r="F151" s="231"/>
      <c r="G151" s="255"/>
      <c r="H151" s="231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</row>
    <row r="152" ht="15.75" customHeight="1">
      <c r="A152" s="231"/>
      <c r="B152" s="254"/>
      <c r="C152" s="254"/>
      <c r="D152" s="254"/>
      <c r="E152" s="231"/>
      <c r="F152" s="231"/>
      <c r="G152" s="255"/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</row>
    <row r="153" ht="15.75" customHeight="1">
      <c r="A153" s="231"/>
      <c r="B153" s="254"/>
      <c r="C153" s="254"/>
      <c r="D153" s="254"/>
      <c r="E153" s="231"/>
      <c r="F153" s="231"/>
      <c r="G153" s="255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</row>
    <row r="154" ht="15.75" customHeight="1">
      <c r="A154" s="231"/>
      <c r="B154" s="254"/>
      <c r="C154" s="254"/>
      <c r="D154" s="254"/>
      <c r="E154" s="231"/>
      <c r="F154" s="231"/>
      <c r="G154" s="255"/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</row>
    <row r="155" ht="15.75" customHeight="1">
      <c r="A155" s="231"/>
      <c r="B155" s="254"/>
      <c r="C155" s="254"/>
      <c r="D155" s="254"/>
      <c r="E155" s="231"/>
      <c r="F155" s="231"/>
      <c r="G155" s="255"/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</row>
    <row r="156" ht="15.75" customHeight="1">
      <c r="A156" s="231"/>
      <c r="B156" s="254"/>
      <c r="C156" s="254"/>
      <c r="D156" s="254"/>
      <c r="E156" s="231"/>
      <c r="F156" s="231"/>
      <c r="G156" s="255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</row>
    <row r="157" ht="15.75" customHeight="1">
      <c r="A157" s="231"/>
      <c r="B157" s="254"/>
      <c r="C157" s="254"/>
      <c r="D157" s="254"/>
      <c r="E157" s="231"/>
      <c r="F157" s="231"/>
      <c r="G157" s="255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</row>
    <row r="158" ht="15.75" customHeight="1">
      <c r="A158" s="231"/>
      <c r="B158" s="254"/>
      <c r="C158" s="254"/>
      <c r="D158" s="254"/>
      <c r="E158" s="231"/>
      <c r="F158" s="231"/>
      <c r="G158" s="255"/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</row>
    <row r="159" ht="15.75" customHeight="1">
      <c r="A159" s="231"/>
      <c r="B159" s="254"/>
      <c r="C159" s="254"/>
      <c r="D159" s="254"/>
      <c r="E159" s="231"/>
      <c r="F159" s="231"/>
      <c r="G159" s="255"/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</row>
    <row r="160" ht="15.75" customHeight="1">
      <c r="A160" s="231"/>
      <c r="B160" s="254"/>
      <c r="C160" s="254"/>
      <c r="D160" s="254"/>
      <c r="E160" s="231"/>
      <c r="F160" s="231"/>
      <c r="G160" s="255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</row>
    <row r="161" ht="15.75" customHeight="1">
      <c r="A161" s="231"/>
      <c r="B161" s="254"/>
      <c r="C161" s="254"/>
      <c r="D161" s="254"/>
      <c r="E161" s="231"/>
      <c r="F161" s="231"/>
      <c r="G161" s="255"/>
      <c r="H161" s="231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</row>
    <row r="162" ht="15.75" customHeight="1">
      <c r="A162" s="231"/>
      <c r="B162" s="254"/>
      <c r="C162" s="254"/>
      <c r="D162" s="254"/>
      <c r="E162" s="231"/>
      <c r="F162" s="231"/>
      <c r="G162" s="255"/>
      <c r="H162" s="231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</row>
    <row r="163" ht="15.75" customHeight="1">
      <c r="A163" s="231"/>
      <c r="B163" s="254"/>
      <c r="C163" s="254"/>
      <c r="D163" s="254"/>
      <c r="E163" s="231"/>
      <c r="F163" s="231"/>
      <c r="G163" s="255"/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</row>
    <row r="164" ht="15.75" customHeight="1">
      <c r="A164" s="231"/>
      <c r="B164" s="254"/>
      <c r="C164" s="254"/>
      <c r="D164" s="254"/>
      <c r="E164" s="231"/>
      <c r="F164" s="231"/>
      <c r="G164" s="255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</row>
    <row r="165" ht="15.75" customHeight="1">
      <c r="A165" s="231"/>
      <c r="B165" s="254"/>
      <c r="C165" s="254"/>
      <c r="D165" s="254"/>
      <c r="E165" s="231"/>
      <c r="F165" s="231"/>
      <c r="G165" s="255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</row>
    <row r="166" ht="15.75" customHeight="1">
      <c r="A166" s="231"/>
      <c r="B166" s="254"/>
      <c r="C166" s="254"/>
      <c r="D166" s="254"/>
      <c r="E166" s="231"/>
      <c r="F166" s="231"/>
      <c r="G166" s="255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</row>
    <row r="167" ht="15.75" customHeight="1">
      <c r="A167" s="231"/>
      <c r="B167" s="254"/>
      <c r="C167" s="254"/>
      <c r="D167" s="254"/>
      <c r="E167" s="231"/>
      <c r="F167" s="231"/>
      <c r="G167" s="255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</row>
    <row r="168" ht="15.75" customHeight="1">
      <c r="A168" s="231"/>
      <c r="B168" s="254"/>
      <c r="C168" s="254"/>
      <c r="D168" s="254"/>
      <c r="E168" s="231"/>
      <c r="F168" s="231"/>
      <c r="G168" s="255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</row>
    <row r="169" ht="15.75" customHeight="1">
      <c r="A169" s="231"/>
      <c r="B169" s="254"/>
      <c r="C169" s="254"/>
      <c r="D169" s="254"/>
      <c r="E169" s="231"/>
      <c r="F169" s="231"/>
      <c r="G169" s="255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</row>
    <row r="170" ht="15.75" customHeight="1">
      <c r="A170" s="231"/>
      <c r="B170" s="254"/>
      <c r="C170" s="254"/>
      <c r="D170" s="254"/>
      <c r="E170" s="231"/>
      <c r="F170" s="231"/>
      <c r="G170" s="255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</row>
    <row r="171" ht="15.75" customHeight="1">
      <c r="A171" s="231"/>
      <c r="B171" s="254"/>
      <c r="C171" s="254"/>
      <c r="D171" s="254"/>
      <c r="E171" s="231"/>
      <c r="F171" s="231"/>
      <c r="G171" s="255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</row>
    <row r="172" ht="15.75" customHeight="1">
      <c r="A172" s="231"/>
      <c r="B172" s="254"/>
      <c r="C172" s="254"/>
      <c r="D172" s="254"/>
      <c r="E172" s="231"/>
      <c r="F172" s="231"/>
      <c r="G172" s="255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</row>
    <row r="173" ht="15.75" customHeight="1">
      <c r="A173" s="231"/>
      <c r="B173" s="254"/>
      <c r="C173" s="254"/>
      <c r="D173" s="254"/>
      <c r="E173" s="231"/>
      <c r="F173" s="231"/>
      <c r="G173" s="255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</row>
    <row r="174" ht="15.75" customHeight="1">
      <c r="A174" s="231"/>
      <c r="B174" s="254"/>
      <c r="C174" s="254"/>
      <c r="D174" s="254"/>
      <c r="E174" s="231"/>
      <c r="F174" s="231"/>
      <c r="G174" s="255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</row>
    <row r="175" ht="15.75" customHeight="1">
      <c r="A175" s="231"/>
      <c r="B175" s="254"/>
      <c r="C175" s="254"/>
      <c r="D175" s="254"/>
      <c r="E175" s="231"/>
      <c r="F175" s="231"/>
      <c r="G175" s="255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</row>
    <row r="176" ht="15.75" customHeight="1">
      <c r="A176" s="231"/>
      <c r="B176" s="254"/>
      <c r="C176" s="254"/>
      <c r="D176" s="254"/>
      <c r="E176" s="231"/>
      <c r="F176" s="231"/>
      <c r="G176" s="255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</row>
    <row r="177" ht="15.75" customHeight="1">
      <c r="A177" s="231"/>
      <c r="B177" s="254"/>
      <c r="C177" s="254"/>
      <c r="D177" s="254"/>
      <c r="E177" s="231"/>
      <c r="F177" s="231"/>
      <c r="G177" s="255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</row>
    <row r="178" ht="15.75" customHeight="1">
      <c r="A178" s="231"/>
      <c r="B178" s="254"/>
      <c r="C178" s="254"/>
      <c r="D178" s="254"/>
      <c r="E178" s="231"/>
      <c r="F178" s="231"/>
      <c r="G178" s="255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</row>
    <row r="179" ht="15.75" customHeight="1">
      <c r="A179" s="231"/>
      <c r="B179" s="254"/>
      <c r="C179" s="254"/>
      <c r="D179" s="254"/>
      <c r="E179" s="231"/>
      <c r="F179" s="231"/>
      <c r="G179" s="255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</row>
    <row r="180" ht="15.75" customHeight="1">
      <c r="A180" s="231"/>
      <c r="B180" s="254"/>
      <c r="C180" s="254"/>
      <c r="D180" s="254"/>
      <c r="E180" s="231"/>
      <c r="F180" s="231"/>
      <c r="G180" s="255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</row>
    <row r="181" ht="15.75" customHeight="1">
      <c r="A181" s="231"/>
      <c r="B181" s="254"/>
      <c r="C181" s="254"/>
      <c r="D181" s="254"/>
      <c r="E181" s="231"/>
      <c r="F181" s="231"/>
      <c r="G181" s="255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</row>
    <row r="182" ht="15.75" customHeight="1">
      <c r="A182" s="231"/>
      <c r="B182" s="254"/>
      <c r="C182" s="254"/>
      <c r="D182" s="254"/>
      <c r="E182" s="231"/>
      <c r="F182" s="231"/>
      <c r="G182" s="255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</row>
    <row r="183" ht="15.75" customHeight="1">
      <c r="A183" s="231"/>
      <c r="B183" s="254"/>
      <c r="C183" s="254"/>
      <c r="D183" s="254"/>
      <c r="E183" s="231"/>
      <c r="F183" s="231"/>
      <c r="G183" s="255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</row>
    <row r="184" ht="15.75" customHeight="1">
      <c r="A184" s="231"/>
      <c r="B184" s="254"/>
      <c r="C184" s="254"/>
      <c r="D184" s="254"/>
      <c r="E184" s="231"/>
      <c r="F184" s="231"/>
      <c r="G184" s="255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</row>
    <row r="185" ht="15.75" customHeight="1">
      <c r="A185" s="231"/>
      <c r="B185" s="254"/>
      <c r="C185" s="254"/>
      <c r="D185" s="254"/>
      <c r="E185" s="231"/>
      <c r="F185" s="231"/>
      <c r="G185" s="255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</row>
    <row r="186" ht="15.75" customHeight="1">
      <c r="A186" s="231"/>
      <c r="B186" s="254"/>
      <c r="C186" s="254"/>
      <c r="D186" s="254"/>
      <c r="E186" s="231"/>
      <c r="F186" s="231"/>
      <c r="G186" s="255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</row>
    <row r="187" ht="15.75" customHeight="1">
      <c r="A187" s="231"/>
      <c r="B187" s="254"/>
      <c r="C187" s="254"/>
      <c r="D187" s="254"/>
      <c r="E187" s="231"/>
      <c r="F187" s="231"/>
      <c r="G187" s="255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</row>
    <row r="188" ht="15.75" customHeight="1">
      <c r="A188" s="231"/>
      <c r="B188" s="254"/>
      <c r="C188" s="254"/>
      <c r="D188" s="254"/>
      <c r="E188" s="231"/>
      <c r="F188" s="231"/>
      <c r="G188" s="255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</row>
    <row r="189" ht="15.75" customHeight="1">
      <c r="A189" s="231"/>
      <c r="B189" s="254"/>
      <c r="C189" s="254"/>
      <c r="D189" s="254"/>
      <c r="E189" s="231"/>
      <c r="F189" s="231"/>
      <c r="G189" s="255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</row>
    <row r="190" ht="15.75" customHeight="1">
      <c r="A190" s="231"/>
      <c r="B190" s="254"/>
      <c r="C190" s="254"/>
      <c r="D190" s="254"/>
      <c r="E190" s="231"/>
      <c r="F190" s="231"/>
      <c r="G190" s="255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</row>
    <row r="191" ht="15.75" customHeight="1">
      <c r="A191" s="231"/>
      <c r="B191" s="254"/>
      <c r="C191" s="254"/>
      <c r="D191" s="254"/>
      <c r="E191" s="231"/>
      <c r="F191" s="231"/>
      <c r="G191" s="255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</row>
    <row r="192" ht="15.75" customHeight="1">
      <c r="A192" s="231"/>
      <c r="B192" s="254"/>
      <c r="C192" s="254"/>
      <c r="D192" s="254"/>
      <c r="E192" s="231"/>
      <c r="F192" s="231"/>
      <c r="G192" s="255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</row>
    <row r="193" ht="15.75" customHeight="1">
      <c r="A193" s="231"/>
      <c r="B193" s="254"/>
      <c r="C193" s="254"/>
      <c r="D193" s="254"/>
      <c r="E193" s="231"/>
      <c r="F193" s="231"/>
      <c r="G193" s="255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</row>
    <row r="194" ht="15.75" customHeight="1">
      <c r="A194" s="231"/>
      <c r="B194" s="254"/>
      <c r="C194" s="254"/>
      <c r="D194" s="254"/>
      <c r="E194" s="231"/>
      <c r="F194" s="231"/>
      <c r="G194" s="255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</row>
    <row r="195" ht="15.75" customHeight="1">
      <c r="A195" s="231"/>
      <c r="B195" s="254"/>
      <c r="C195" s="254"/>
      <c r="D195" s="254"/>
      <c r="E195" s="231"/>
      <c r="F195" s="231"/>
      <c r="G195" s="255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</row>
    <row r="196" ht="15.75" customHeight="1">
      <c r="A196" s="231"/>
      <c r="B196" s="254"/>
      <c r="C196" s="254"/>
      <c r="D196" s="254"/>
      <c r="E196" s="231"/>
      <c r="F196" s="231"/>
      <c r="G196" s="255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</row>
    <row r="197" ht="15.75" customHeight="1">
      <c r="A197" s="231"/>
      <c r="B197" s="254"/>
      <c r="C197" s="254"/>
      <c r="D197" s="254"/>
      <c r="E197" s="231"/>
      <c r="F197" s="231"/>
      <c r="G197" s="255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</row>
    <row r="198" ht="15.75" customHeight="1">
      <c r="A198" s="231"/>
      <c r="B198" s="254"/>
      <c r="C198" s="254"/>
      <c r="D198" s="254"/>
      <c r="E198" s="231"/>
      <c r="F198" s="231"/>
      <c r="G198" s="255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</row>
    <row r="199" ht="15.75" customHeight="1">
      <c r="A199" s="231"/>
      <c r="B199" s="254"/>
      <c r="C199" s="254"/>
      <c r="D199" s="254"/>
      <c r="E199" s="231"/>
      <c r="F199" s="231"/>
      <c r="G199" s="255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</row>
    <row r="200" ht="15.75" customHeight="1">
      <c r="A200" s="231"/>
      <c r="B200" s="254"/>
      <c r="C200" s="254"/>
      <c r="D200" s="254"/>
      <c r="E200" s="231"/>
      <c r="F200" s="231"/>
      <c r="G200" s="255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</row>
    <row r="201" ht="15.75" customHeight="1">
      <c r="A201" s="231"/>
      <c r="B201" s="254"/>
      <c r="C201" s="254"/>
      <c r="D201" s="254"/>
      <c r="E201" s="231"/>
      <c r="F201" s="231"/>
      <c r="G201" s="255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</row>
    <row r="202" ht="15.75" customHeight="1">
      <c r="A202" s="231"/>
      <c r="B202" s="254"/>
      <c r="C202" s="254"/>
      <c r="D202" s="254"/>
      <c r="E202" s="231"/>
      <c r="F202" s="231"/>
      <c r="G202" s="255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</row>
    <row r="203" ht="15.75" customHeight="1">
      <c r="A203" s="231"/>
      <c r="B203" s="254"/>
      <c r="C203" s="254"/>
      <c r="D203" s="254"/>
      <c r="E203" s="231"/>
      <c r="F203" s="231"/>
      <c r="G203" s="255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</row>
    <row r="204" ht="15.75" customHeight="1">
      <c r="A204" s="231"/>
      <c r="B204" s="254"/>
      <c r="C204" s="254"/>
      <c r="D204" s="254"/>
      <c r="E204" s="231"/>
      <c r="F204" s="231"/>
      <c r="G204" s="255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</row>
    <row r="205" ht="15.75" customHeight="1">
      <c r="A205" s="231"/>
      <c r="B205" s="254"/>
      <c r="C205" s="254"/>
      <c r="D205" s="254"/>
      <c r="E205" s="231"/>
      <c r="F205" s="231"/>
      <c r="G205" s="255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</row>
    <row r="206" ht="15.75" customHeight="1">
      <c r="A206" s="231"/>
      <c r="B206" s="254"/>
      <c r="C206" s="254"/>
      <c r="D206" s="254"/>
      <c r="E206" s="231"/>
      <c r="F206" s="231"/>
      <c r="G206" s="255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</row>
    <row r="207" ht="15.75" customHeight="1">
      <c r="A207" s="231"/>
      <c r="B207" s="254"/>
      <c r="C207" s="254"/>
      <c r="D207" s="254"/>
      <c r="E207" s="231"/>
      <c r="F207" s="231"/>
      <c r="G207" s="255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</row>
    <row r="208" ht="15.75" customHeight="1">
      <c r="A208" s="231"/>
      <c r="B208" s="254"/>
      <c r="C208" s="254"/>
      <c r="D208" s="254"/>
      <c r="E208" s="231"/>
      <c r="F208" s="231"/>
      <c r="G208" s="255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</row>
    <row r="209" ht="15.75" customHeight="1">
      <c r="A209" s="231"/>
      <c r="B209" s="254"/>
      <c r="C209" s="254"/>
      <c r="D209" s="254"/>
      <c r="E209" s="231"/>
      <c r="F209" s="231"/>
      <c r="G209" s="255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</row>
    <row r="210" ht="15.75" customHeight="1">
      <c r="A210" s="231"/>
      <c r="B210" s="254"/>
      <c r="C210" s="254"/>
      <c r="D210" s="254"/>
      <c r="E210" s="231"/>
      <c r="F210" s="231"/>
      <c r="G210" s="255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</row>
    <row r="211" ht="15.75" customHeight="1">
      <c r="A211" s="231"/>
      <c r="B211" s="254"/>
      <c r="C211" s="254"/>
      <c r="D211" s="254"/>
      <c r="E211" s="231"/>
      <c r="F211" s="231"/>
      <c r="G211" s="255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</row>
    <row r="212" ht="15.75" customHeight="1">
      <c r="A212" s="231"/>
      <c r="B212" s="254"/>
      <c r="C212" s="254"/>
      <c r="D212" s="254"/>
      <c r="E212" s="231"/>
      <c r="F212" s="231"/>
      <c r="G212" s="255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</row>
    <row r="213" ht="15.75" customHeight="1">
      <c r="A213" s="231"/>
      <c r="B213" s="254"/>
      <c r="C213" s="254"/>
      <c r="D213" s="254"/>
      <c r="E213" s="231"/>
      <c r="F213" s="231"/>
      <c r="G213" s="255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</row>
    <row r="214" ht="15.75" customHeight="1">
      <c r="A214" s="231"/>
      <c r="B214" s="254"/>
      <c r="C214" s="254"/>
      <c r="D214" s="254"/>
      <c r="E214" s="231"/>
      <c r="F214" s="231"/>
      <c r="G214" s="255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</row>
    <row r="215" ht="15.75" customHeight="1">
      <c r="A215" s="231"/>
      <c r="B215" s="254"/>
      <c r="C215" s="254"/>
      <c r="D215" s="254"/>
      <c r="E215" s="231"/>
      <c r="F215" s="231"/>
      <c r="G215" s="255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</row>
    <row r="216" ht="15.75" customHeight="1">
      <c r="A216" s="231"/>
      <c r="B216" s="254"/>
      <c r="C216" s="254"/>
      <c r="D216" s="254"/>
      <c r="E216" s="231"/>
      <c r="F216" s="231"/>
      <c r="G216" s="255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</row>
    <row r="217" ht="15.75" customHeight="1">
      <c r="A217" s="231"/>
      <c r="B217" s="254"/>
      <c r="C217" s="254"/>
      <c r="D217" s="254"/>
      <c r="E217" s="231"/>
      <c r="F217" s="231"/>
      <c r="G217" s="255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</row>
    <row r="218" ht="15.75" customHeight="1">
      <c r="A218" s="231"/>
      <c r="B218" s="254"/>
      <c r="C218" s="254"/>
      <c r="D218" s="254"/>
      <c r="E218" s="231"/>
      <c r="F218" s="231"/>
      <c r="G218" s="255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</row>
    <row r="219" ht="15.75" customHeight="1">
      <c r="A219" s="231"/>
      <c r="B219" s="254"/>
      <c r="C219" s="254"/>
      <c r="D219" s="254"/>
      <c r="E219" s="231"/>
      <c r="F219" s="231"/>
      <c r="G219" s="255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</row>
    <row r="220" ht="15.75" customHeight="1">
      <c r="A220" s="231"/>
      <c r="B220" s="254"/>
      <c r="C220" s="254"/>
      <c r="D220" s="254"/>
      <c r="E220" s="231"/>
      <c r="F220" s="231"/>
      <c r="G220" s="255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</row>
    <row r="221" ht="15.75" customHeight="1">
      <c r="A221" s="231"/>
      <c r="B221" s="254"/>
      <c r="C221" s="254"/>
      <c r="D221" s="254"/>
      <c r="E221" s="231"/>
      <c r="F221" s="231"/>
      <c r="G221" s="255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</row>
    <row r="222" ht="15.75" customHeight="1">
      <c r="A222" s="231"/>
      <c r="B222" s="254"/>
      <c r="C222" s="254"/>
      <c r="D222" s="254"/>
      <c r="E222" s="231"/>
      <c r="F222" s="231"/>
      <c r="G222" s="255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</row>
    <row r="223" ht="15.75" customHeight="1">
      <c r="A223" s="231"/>
      <c r="B223" s="254"/>
      <c r="C223" s="254"/>
      <c r="D223" s="254"/>
      <c r="E223" s="231"/>
      <c r="F223" s="231"/>
      <c r="G223" s="255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</row>
    <row r="224" ht="15.75" customHeight="1">
      <c r="A224" s="231"/>
      <c r="B224" s="254"/>
      <c r="C224" s="254"/>
      <c r="D224" s="254"/>
      <c r="E224" s="231"/>
      <c r="F224" s="231"/>
      <c r="G224" s="255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</row>
    <row r="225" ht="15.75" customHeight="1">
      <c r="A225" s="231"/>
      <c r="B225" s="254"/>
      <c r="C225" s="254"/>
      <c r="D225" s="254"/>
      <c r="E225" s="231"/>
      <c r="F225" s="231"/>
      <c r="G225" s="255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</row>
    <row r="226" ht="15.75" customHeight="1">
      <c r="A226" s="231"/>
      <c r="B226" s="254"/>
      <c r="C226" s="254"/>
      <c r="D226" s="254"/>
      <c r="E226" s="231"/>
      <c r="F226" s="231"/>
      <c r="G226" s="255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</row>
    <row r="227" ht="15.75" customHeight="1">
      <c r="A227" s="231"/>
      <c r="B227" s="254"/>
      <c r="C227" s="254"/>
      <c r="D227" s="254"/>
      <c r="E227" s="231"/>
      <c r="F227" s="231"/>
      <c r="G227" s="255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</row>
    <row r="228" ht="15.75" customHeight="1">
      <c r="A228" s="231"/>
      <c r="B228" s="254"/>
      <c r="C228" s="254"/>
      <c r="D228" s="254"/>
      <c r="E228" s="231"/>
      <c r="F228" s="231"/>
      <c r="G228" s="255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</row>
    <row r="229" ht="15.75" customHeight="1">
      <c r="A229" s="231"/>
      <c r="B229" s="254"/>
      <c r="C229" s="254"/>
      <c r="D229" s="254"/>
      <c r="E229" s="231"/>
      <c r="F229" s="231"/>
      <c r="G229" s="255"/>
      <c r="H229" s="231"/>
      <c r="I229" s="231"/>
      <c r="J229" s="231"/>
      <c r="K229" s="231"/>
      <c r="L229" s="231"/>
      <c r="M229" s="231"/>
      <c r="N229" s="231"/>
      <c r="O229" s="231"/>
      <c r="P229" s="231"/>
      <c r="Q229" s="231"/>
      <c r="R229" s="231"/>
      <c r="S229" s="231"/>
      <c r="T229" s="231"/>
      <c r="U229" s="231"/>
      <c r="V229" s="231"/>
    </row>
    <row r="230" ht="15.75" customHeight="1">
      <c r="A230" s="231"/>
      <c r="B230" s="254"/>
      <c r="C230" s="254"/>
      <c r="D230" s="254"/>
      <c r="E230" s="231"/>
      <c r="F230" s="231"/>
      <c r="G230" s="255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</row>
    <row r="231" ht="15.75" customHeight="1">
      <c r="A231" s="231"/>
      <c r="B231" s="254"/>
      <c r="C231" s="254"/>
      <c r="D231" s="254"/>
      <c r="E231" s="231"/>
      <c r="F231" s="231"/>
      <c r="G231" s="255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</row>
    <row r="232" ht="15.75" customHeight="1">
      <c r="A232" s="231"/>
      <c r="B232" s="254"/>
      <c r="C232" s="254"/>
      <c r="D232" s="254"/>
      <c r="E232" s="231"/>
      <c r="F232" s="231"/>
      <c r="G232" s="255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31"/>
      <c r="U232" s="231"/>
      <c r="V232" s="231"/>
    </row>
    <row r="233" ht="15.75" customHeight="1">
      <c r="A233" s="231"/>
      <c r="B233" s="254"/>
      <c r="C233" s="254"/>
      <c r="D233" s="254"/>
      <c r="E233" s="231"/>
      <c r="F233" s="231"/>
      <c r="G233" s="255"/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/>
    </row>
    <row r="234" ht="15.75" customHeight="1">
      <c r="A234" s="231"/>
      <c r="B234" s="254"/>
      <c r="C234" s="254"/>
      <c r="D234" s="254"/>
      <c r="E234" s="231"/>
      <c r="F234" s="231"/>
      <c r="G234" s="255"/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</row>
    <row r="235" ht="15.75" customHeight="1">
      <c r="A235" s="231"/>
      <c r="B235" s="254"/>
      <c r="C235" s="254"/>
      <c r="D235" s="254"/>
      <c r="E235" s="231"/>
      <c r="F235" s="231"/>
      <c r="G235" s="255"/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</row>
    <row r="236" ht="15.75" customHeight="1">
      <c r="A236" s="231"/>
      <c r="B236" s="254"/>
      <c r="C236" s="254"/>
      <c r="D236" s="254"/>
      <c r="E236" s="231"/>
      <c r="F236" s="231"/>
      <c r="G236" s="255"/>
      <c r="H236" s="231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31"/>
      <c r="T236" s="231"/>
      <c r="U236" s="231"/>
      <c r="V236" s="231"/>
    </row>
    <row r="237" ht="15.75" customHeight="1">
      <c r="A237" s="231"/>
      <c r="B237" s="254"/>
      <c r="C237" s="254"/>
      <c r="D237" s="254"/>
      <c r="E237" s="231"/>
      <c r="F237" s="231"/>
      <c r="G237" s="255"/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</row>
    <row r="238" ht="15.75" customHeight="1">
      <c r="A238" s="231"/>
      <c r="B238" s="254"/>
      <c r="C238" s="254"/>
      <c r="D238" s="254"/>
      <c r="E238" s="231"/>
      <c r="F238" s="231"/>
      <c r="G238" s="255"/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231"/>
      <c r="U238" s="231"/>
      <c r="V238" s="231"/>
    </row>
    <row r="239" ht="15.75" customHeight="1">
      <c r="A239" s="231"/>
      <c r="B239" s="254"/>
      <c r="C239" s="254"/>
      <c r="D239" s="254"/>
      <c r="E239" s="231"/>
      <c r="F239" s="231"/>
      <c r="G239" s="255"/>
      <c r="H239" s="231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31"/>
      <c r="T239" s="231"/>
      <c r="U239" s="231"/>
      <c r="V239" s="23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G26:H26"/>
    <mergeCell ref="G27:H27"/>
    <mergeCell ref="G19:H19"/>
    <mergeCell ref="G20:H20"/>
    <mergeCell ref="G21:H21"/>
    <mergeCell ref="G22:H22"/>
    <mergeCell ref="G23:H23"/>
    <mergeCell ref="G24:H24"/>
    <mergeCell ref="G25:H25"/>
    <mergeCell ref="G29:H29"/>
    <mergeCell ref="G30:H30"/>
    <mergeCell ref="B25:C25"/>
    <mergeCell ref="B26:C26"/>
    <mergeCell ref="B27:C27"/>
    <mergeCell ref="B28:C28"/>
    <mergeCell ref="G28:H28"/>
    <mergeCell ref="B29:C29"/>
    <mergeCell ref="B30:C30"/>
    <mergeCell ref="B31:C31"/>
    <mergeCell ref="G31:H31"/>
    <mergeCell ref="B32:C32"/>
    <mergeCell ref="G32:H32"/>
    <mergeCell ref="B33:C33"/>
    <mergeCell ref="G33:H33"/>
    <mergeCell ref="G34:H34"/>
    <mergeCell ref="G38:H38"/>
    <mergeCell ref="G39:I39"/>
    <mergeCell ref="B34:C34"/>
    <mergeCell ref="B35:C35"/>
    <mergeCell ref="B36:C36"/>
    <mergeCell ref="B37:C37"/>
    <mergeCell ref="G37:H37"/>
    <mergeCell ref="B38:C38"/>
    <mergeCell ref="B39:D39"/>
    <mergeCell ref="B1:D1"/>
    <mergeCell ref="G1:I1"/>
    <mergeCell ref="B2:C2"/>
    <mergeCell ref="G2:H2"/>
    <mergeCell ref="B3:C3"/>
    <mergeCell ref="G3:H3"/>
    <mergeCell ref="G4:H4"/>
    <mergeCell ref="B4:C4"/>
    <mergeCell ref="B5:C5"/>
    <mergeCell ref="B6:C6"/>
    <mergeCell ref="B7:C7"/>
    <mergeCell ref="B8:C8"/>
    <mergeCell ref="B9:C9"/>
    <mergeCell ref="B10:C10"/>
    <mergeCell ref="G5:H5"/>
    <mergeCell ref="G6:H6"/>
    <mergeCell ref="G7:H7"/>
    <mergeCell ref="G8:H8"/>
    <mergeCell ref="G9:H9"/>
    <mergeCell ref="G10:H10"/>
    <mergeCell ref="G11:H11"/>
    <mergeCell ref="B11:C11"/>
    <mergeCell ref="B12:C12"/>
    <mergeCell ref="B13:C13"/>
    <mergeCell ref="B14:C14"/>
    <mergeCell ref="B15:C15"/>
    <mergeCell ref="B16:C16"/>
    <mergeCell ref="B17:C17"/>
    <mergeCell ref="G12:H12"/>
    <mergeCell ref="G13:H13"/>
    <mergeCell ref="G14:H14"/>
    <mergeCell ref="G15:H15"/>
    <mergeCell ref="G16:H16"/>
    <mergeCell ref="G17:H17"/>
    <mergeCell ref="G18:H18"/>
    <mergeCell ref="B18:C18"/>
    <mergeCell ref="B19:C19"/>
    <mergeCell ref="B20:C20"/>
    <mergeCell ref="B21:C21"/>
    <mergeCell ref="B22:C22"/>
    <mergeCell ref="B23:C23"/>
    <mergeCell ref="B24:C24"/>
    <mergeCell ref="G35:H35"/>
    <mergeCell ref="G36:H3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2.63"/>
    <col customWidth="1" min="3" max="3" width="10.75"/>
    <col customWidth="1" min="4" max="4" width="15.13"/>
    <col customWidth="1" min="5" max="5" width="2.63"/>
    <col customWidth="1" min="6" max="6" width="9.5"/>
    <col customWidth="1" min="7" max="7" width="12.63"/>
    <col customWidth="1" min="8" max="8" width="10.75"/>
    <col customWidth="1" min="9" max="9" width="15.13"/>
    <col customWidth="1" min="10" max="10" width="2.63"/>
    <col customWidth="1" min="11" max="11" width="9.5"/>
    <col customWidth="1" min="12" max="12" width="49.63"/>
  </cols>
  <sheetData>
    <row r="1" ht="15.75" customHeight="1">
      <c r="A1" s="179"/>
      <c r="B1" s="256"/>
      <c r="C1" s="256" t="s">
        <v>160</v>
      </c>
      <c r="D1" s="257"/>
      <c r="E1" s="226"/>
      <c r="F1" s="95" t="s">
        <v>161</v>
      </c>
      <c r="G1" s="225"/>
      <c r="H1" s="225"/>
      <c r="I1" s="96"/>
      <c r="J1" s="229"/>
      <c r="K1" s="258" t="s">
        <v>162</v>
      </c>
      <c r="L1" s="259"/>
      <c r="M1" s="231"/>
      <c r="N1" s="231"/>
      <c r="O1" s="231"/>
      <c r="P1" s="231"/>
      <c r="Q1" s="231"/>
      <c r="R1" s="231"/>
      <c r="S1" s="231"/>
      <c r="T1" s="231"/>
      <c r="U1" s="231"/>
      <c r="V1" s="231"/>
    </row>
    <row r="2" ht="15.75" customHeight="1">
      <c r="A2" s="260" t="s">
        <v>163</v>
      </c>
      <c r="B2" s="260" t="s">
        <v>80</v>
      </c>
      <c r="C2" s="260" t="s">
        <v>60</v>
      </c>
      <c r="D2" s="261" t="s">
        <v>68</v>
      </c>
      <c r="E2" s="226"/>
      <c r="F2" s="260" t="s">
        <v>163</v>
      </c>
      <c r="G2" s="261" t="s">
        <v>80</v>
      </c>
      <c r="H2" s="260" t="s">
        <v>60</v>
      </c>
      <c r="I2" s="260" t="s">
        <v>68</v>
      </c>
      <c r="J2" s="229"/>
      <c r="K2" s="262"/>
      <c r="L2" s="88"/>
      <c r="M2" s="234"/>
      <c r="N2" s="234"/>
      <c r="O2" s="234"/>
      <c r="P2" s="234"/>
      <c r="Q2" s="234"/>
      <c r="R2" s="234"/>
      <c r="S2" s="234"/>
      <c r="T2" s="234"/>
      <c r="U2" s="234"/>
      <c r="V2" s="234"/>
    </row>
    <row r="3" ht="15.75" customHeight="1">
      <c r="A3" s="260" t="s">
        <v>164</v>
      </c>
      <c r="B3" s="263"/>
      <c r="C3" s="264" t="str">
        <f t="shared" ref="C3:C81" si="1">D3/B3</f>
        <v>#DIV/0!</v>
      </c>
      <c r="D3" s="237"/>
      <c r="E3" s="226"/>
      <c r="F3" s="260" t="s">
        <v>164</v>
      </c>
      <c r="G3" s="265">
        <v>9.0</v>
      </c>
      <c r="H3" s="266">
        <f t="shared" ref="H3:H20" si="2">I3/G3</f>
        <v>14.00333333</v>
      </c>
      <c r="I3" s="266">
        <v>126.03</v>
      </c>
      <c r="J3" s="226"/>
      <c r="K3" s="260" t="s">
        <v>164</v>
      </c>
      <c r="L3" s="267"/>
      <c r="M3" s="234"/>
      <c r="N3" s="234"/>
      <c r="O3" s="234"/>
      <c r="P3" s="234"/>
      <c r="Q3" s="234"/>
      <c r="R3" s="234"/>
      <c r="S3" s="234"/>
      <c r="T3" s="234"/>
      <c r="U3" s="234"/>
      <c r="V3" s="234"/>
    </row>
    <row r="4" ht="15.75" customHeight="1">
      <c r="A4" s="260" t="s">
        <v>165</v>
      </c>
      <c r="B4" s="268"/>
      <c r="C4" s="239" t="str">
        <f t="shared" si="1"/>
        <v>#DIV/0!</v>
      </c>
      <c r="D4" s="239"/>
      <c r="E4" s="226"/>
      <c r="F4" s="260" t="s">
        <v>165</v>
      </c>
      <c r="G4" s="269">
        <v>4.0</v>
      </c>
      <c r="H4" s="270">
        <f t="shared" si="2"/>
        <v>16.7475</v>
      </c>
      <c r="I4" s="270">
        <v>66.99</v>
      </c>
      <c r="J4" s="226"/>
      <c r="K4" s="260" t="s">
        <v>165</v>
      </c>
      <c r="L4" s="271" t="s">
        <v>166</v>
      </c>
      <c r="M4" s="231"/>
      <c r="N4" s="231"/>
      <c r="O4" s="231"/>
      <c r="P4" s="231"/>
      <c r="Q4" s="231"/>
      <c r="R4" s="231"/>
      <c r="S4" s="231"/>
      <c r="T4" s="231"/>
      <c r="U4" s="231"/>
      <c r="V4" s="231"/>
    </row>
    <row r="5" ht="15.75" customHeight="1">
      <c r="A5" s="260" t="s">
        <v>167</v>
      </c>
      <c r="B5" s="272"/>
      <c r="C5" s="239" t="str">
        <f t="shared" si="1"/>
        <v>#DIV/0!</v>
      </c>
      <c r="D5" s="239"/>
      <c r="E5" s="226"/>
      <c r="F5" s="260" t="s">
        <v>167</v>
      </c>
      <c r="G5" s="265">
        <v>1.0</v>
      </c>
      <c r="H5" s="266">
        <f t="shared" si="2"/>
        <v>16.87</v>
      </c>
      <c r="I5" s="266">
        <v>16.87</v>
      </c>
      <c r="J5" s="226"/>
      <c r="K5" s="260" t="s">
        <v>167</v>
      </c>
      <c r="L5" s="267"/>
      <c r="M5" s="231"/>
      <c r="N5" s="231"/>
      <c r="O5" s="231"/>
      <c r="P5" s="231"/>
      <c r="Q5" s="231"/>
      <c r="R5" s="231"/>
      <c r="S5" s="231"/>
      <c r="T5" s="231"/>
      <c r="U5" s="231"/>
      <c r="V5" s="231"/>
    </row>
    <row r="6" ht="15.75" customHeight="1">
      <c r="A6" s="260" t="s">
        <v>168</v>
      </c>
      <c r="B6" s="268"/>
      <c r="C6" s="239" t="str">
        <f t="shared" si="1"/>
        <v>#DIV/0!</v>
      </c>
      <c r="D6" s="239"/>
      <c r="E6" s="226"/>
      <c r="F6" s="260" t="s">
        <v>168</v>
      </c>
      <c r="G6" s="265"/>
      <c r="H6" s="266" t="str">
        <f t="shared" si="2"/>
        <v>#DIV/0!</v>
      </c>
      <c r="I6" s="266"/>
      <c r="J6" s="229"/>
      <c r="K6" s="260" t="s">
        <v>168</v>
      </c>
      <c r="L6" s="267"/>
      <c r="M6" s="231"/>
      <c r="N6" s="231"/>
      <c r="O6" s="231"/>
      <c r="P6" s="231"/>
      <c r="Q6" s="231"/>
      <c r="R6" s="231"/>
      <c r="S6" s="231"/>
      <c r="T6" s="231"/>
      <c r="U6" s="231"/>
      <c r="V6" s="231"/>
    </row>
    <row r="7" ht="15.75" customHeight="1">
      <c r="A7" s="260" t="s">
        <v>169</v>
      </c>
      <c r="B7" s="268"/>
      <c r="C7" s="239" t="str">
        <f t="shared" si="1"/>
        <v>#DIV/0!</v>
      </c>
      <c r="D7" s="239"/>
      <c r="E7" s="226"/>
      <c r="F7" s="260" t="s">
        <v>169</v>
      </c>
      <c r="G7" s="265"/>
      <c r="H7" s="266" t="str">
        <f t="shared" si="2"/>
        <v>#DIV/0!</v>
      </c>
      <c r="I7" s="266"/>
      <c r="J7" s="226"/>
      <c r="K7" s="260" t="s">
        <v>169</v>
      </c>
      <c r="L7" s="267"/>
      <c r="M7" s="234"/>
      <c r="N7" s="234"/>
      <c r="O7" s="234"/>
      <c r="P7" s="234"/>
      <c r="Q7" s="234"/>
      <c r="R7" s="234"/>
      <c r="S7" s="234"/>
      <c r="T7" s="234"/>
      <c r="U7" s="234"/>
      <c r="V7" s="234"/>
    </row>
    <row r="8" ht="15.75" customHeight="1">
      <c r="A8" s="260" t="s">
        <v>170</v>
      </c>
      <c r="B8" s="268"/>
      <c r="C8" s="239" t="str">
        <f t="shared" si="1"/>
        <v>#DIV/0!</v>
      </c>
      <c r="D8" s="239"/>
      <c r="E8" s="226"/>
      <c r="F8" s="260" t="s">
        <v>170</v>
      </c>
      <c r="G8" s="265"/>
      <c r="H8" s="266" t="str">
        <f t="shared" si="2"/>
        <v>#DIV/0!</v>
      </c>
      <c r="I8" s="266"/>
      <c r="J8" s="226"/>
      <c r="K8" s="260" t="s">
        <v>170</v>
      </c>
      <c r="L8" s="267"/>
      <c r="M8" s="234"/>
      <c r="N8" s="234"/>
      <c r="O8" s="234"/>
      <c r="P8" s="234"/>
      <c r="Q8" s="234"/>
      <c r="R8" s="234"/>
      <c r="S8" s="234"/>
      <c r="T8" s="234"/>
      <c r="U8" s="234"/>
      <c r="V8" s="234"/>
    </row>
    <row r="9" ht="15.75" customHeight="1">
      <c r="A9" s="260" t="s">
        <v>171</v>
      </c>
      <c r="B9" s="273"/>
      <c r="C9" s="239" t="str">
        <f t="shared" si="1"/>
        <v>#DIV/0!</v>
      </c>
      <c r="D9" s="239"/>
      <c r="E9" s="226"/>
      <c r="F9" s="260" t="s">
        <v>171</v>
      </c>
      <c r="G9" s="265"/>
      <c r="H9" s="266" t="str">
        <f t="shared" si="2"/>
        <v>#DIV/0!</v>
      </c>
      <c r="I9" s="266"/>
      <c r="J9" s="226"/>
      <c r="K9" s="260" t="s">
        <v>171</v>
      </c>
      <c r="L9" s="267"/>
      <c r="M9" s="231"/>
      <c r="N9" s="231"/>
      <c r="O9" s="231"/>
      <c r="P9" s="231"/>
      <c r="Q9" s="231"/>
      <c r="R9" s="231"/>
      <c r="S9" s="231"/>
      <c r="T9" s="231"/>
      <c r="U9" s="231"/>
      <c r="V9" s="231"/>
    </row>
    <row r="10" ht="15.75" customHeight="1">
      <c r="A10" s="260" t="s">
        <v>172</v>
      </c>
      <c r="B10" s="274"/>
      <c r="C10" s="264" t="str">
        <f t="shared" si="1"/>
        <v>#DIV/0!</v>
      </c>
      <c r="D10" s="239"/>
      <c r="E10" s="226"/>
      <c r="F10" s="260" t="s">
        <v>172</v>
      </c>
      <c r="G10" s="265"/>
      <c r="H10" s="266" t="str">
        <f t="shared" si="2"/>
        <v>#DIV/0!</v>
      </c>
      <c r="I10" s="266"/>
      <c r="J10" s="226"/>
      <c r="K10" s="260" t="s">
        <v>172</v>
      </c>
      <c r="L10" s="267"/>
      <c r="M10" s="231"/>
      <c r="N10" s="231"/>
      <c r="O10" s="231"/>
      <c r="P10" s="231"/>
      <c r="Q10" s="231"/>
      <c r="R10" s="231"/>
      <c r="S10" s="231"/>
      <c r="T10" s="231"/>
      <c r="U10" s="231"/>
      <c r="V10" s="231"/>
    </row>
    <row r="11" ht="15.75" customHeight="1">
      <c r="A11" s="260" t="s">
        <v>173</v>
      </c>
      <c r="B11" s="274"/>
      <c r="C11" s="264" t="str">
        <f t="shared" si="1"/>
        <v>#DIV/0!</v>
      </c>
      <c r="D11" s="239"/>
      <c r="E11" s="226"/>
      <c r="F11" s="260" t="s">
        <v>173</v>
      </c>
      <c r="G11" s="265"/>
      <c r="H11" s="266" t="str">
        <f t="shared" si="2"/>
        <v>#DIV/0!</v>
      </c>
      <c r="I11" s="266"/>
      <c r="J11" s="226"/>
      <c r="K11" s="260" t="s">
        <v>173</v>
      </c>
      <c r="L11" s="275"/>
      <c r="M11" s="231"/>
      <c r="N11" s="231"/>
      <c r="O11" s="231"/>
      <c r="P11" s="231"/>
      <c r="Q11" s="231"/>
      <c r="R11" s="231"/>
      <c r="S11" s="231"/>
      <c r="T11" s="231"/>
      <c r="U11" s="231"/>
      <c r="V11" s="231"/>
    </row>
    <row r="12" ht="15.75" customHeight="1">
      <c r="A12" s="260" t="s">
        <v>174</v>
      </c>
      <c r="B12" s="274"/>
      <c r="C12" s="264" t="str">
        <f t="shared" si="1"/>
        <v>#DIV/0!</v>
      </c>
      <c r="D12" s="239"/>
      <c r="E12" s="226"/>
      <c r="F12" s="260" t="s">
        <v>174</v>
      </c>
      <c r="G12" s="265"/>
      <c r="H12" s="266" t="str">
        <f t="shared" si="2"/>
        <v>#DIV/0!</v>
      </c>
      <c r="I12" s="266"/>
      <c r="J12" s="226"/>
      <c r="K12" s="260" t="s">
        <v>174</v>
      </c>
      <c r="L12" s="267"/>
      <c r="M12" s="231"/>
      <c r="N12" s="231"/>
      <c r="O12" s="231"/>
      <c r="P12" s="231"/>
      <c r="Q12" s="231"/>
      <c r="R12" s="231"/>
      <c r="S12" s="231"/>
      <c r="T12" s="231"/>
      <c r="U12" s="231"/>
      <c r="V12" s="231"/>
    </row>
    <row r="13" ht="15.75" customHeight="1">
      <c r="A13" s="260" t="s">
        <v>175</v>
      </c>
      <c r="B13" s="268"/>
      <c r="C13" s="239" t="str">
        <f t="shared" si="1"/>
        <v>#DIV/0!</v>
      </c>
      <c r="D13" s="239"/>
      <c r="E13" s="226"/>
      <c r="F13" s="260" t="s">
        <v>175</v>
      </c>
      <c r="G13" s="265"/>
      <c r="H13" s="266" t="str">
        <f t="shared" si="2"/>
        <v>#DIV/0!</v>
      </c>
      <c r="I13" s="266"/>
      <c r="J13" s="226"/>
      <c r="K13" s="260" t="s">
        <v>175</v>
      </c>
      <c r="L13" s="267"/>
      <c r="M13" s="231"/>
      <c r="N13" s="231"/>
      <c r="O13" s="231"/>
      <c r="P13" s="231"/>
      <c r="Q13" s="231"/>
      <c r="R13" s="231"/>
      <c r="S13" s="231"/>
      <c r="T13" s="231"/>
      <c r="U13" s="231"/>
      <c r="V13" s="231"/>
    </row>
    <row r="14" ht="15.75" customHeight="1">
      <c r="A14" s="260" t="s">
        <v>176</v>
      </c>
      <c r="B14" s="274"/>
      <c r="C14" s="264" t="str">
        <f t="shared" si="1"/>
        <v>#DIV/0!</v>
      </c>
      <c r="D14" s="239"/>
      <c r="E14" s="226"/>
      <c r="F14" s="260" t="s">
        <v>176</v>
      </c>
      <c r="G14" s="265"/>
      <c r="H14" s="266" t="str">
        <f t="shared" si="2"/>
        <v>#DIV/0!</v>
      </c>
      <c r="I14" s="266"/>
      <c r="J14" s="226"/>
      <c r="K14" s="260" t="s">
        <v>176</v>
      </c>
      <c r="L14" s="267"/>
      <c r="M14" s="231"/>
      <c r="N14" s="231"/>
      <c r="O14" s="231"/>
      <c r="P14" s="231"/>
      <c r="Q14" s="231"/>
      <c r="R14" s="231"/>
      <c r="S14" s="231"/>
      <c r="T14" s="231"/>
      <c r="U14" s="231"/>
      <c r="V14" s="231"/>
    </row>
    <row r="15" ht="15.75" customHeight="1">
      <c r="A15" s="260" t="s">
        <v>177</v>
      </c>
      <c r="B15" s="272"/>
      <c r="C15" s="239" t="str">
        <f t="shared" si="1"/>
        <v>#DIV/0!</v>
      </c>
      <c r="D15" s="239"/>
      <c r="E15" s="226"/>
      <c r="F15" s="260" t="s">
        <v>177</v>
      </c>
      <c r="G15" s="265"/>
      <c r="H15" s="266" t="str">
        <f t="shared" si="2"/>
        <v>#DIV/0!</v>
      </c>
      <c r="I15" s="266"/>
      <c r="J15" s="226"/>
      <c r="K15" s="260" t="s">
        <v>177</v>
      </c>
      <c r="L15" s="267"/>
      <c r="M15" s="231"/>
      <c r="N15" s="231"/>
      <c r="O15" s="231"/>
      <c r="P15" s="231"/>
      <c r="Q15" s="231"/>
      <c r="R15" s="231"/>
      <c r="S15" s="231"/>
      <c r="T15" s="231"/>
      <c r="U15" s="231"/>
      <c r="V15" s="231"/>
    </row>
    <row r="16" ht="15.75" customHeight="1">
      <c r="A16" s="260" t="s">
        <v>178</v>
      </c>
      <c r="B16" s="268"/>
      <c r="C16" s="239" t="str">
        <f t="shared" si="1"/>
        <v>#DIV/0!</v>
      </c>
      <c r="D16" s="239"/>
      <c r="E16" s="226"/>
      <c r="F16" s="260" t="s">
        <v>178</v>
      </c>
      <c r="G16" s="265"/>
      <c r="H16" s="266" t="str">
        <f t="shared" si="2"/>
        <v>#DIV/0!</v>
      </c>
      <c r="I16" s="266"/>
      <c r="J16" s="226"/>
      <c r="K16" s="260" t="s">
        <v>178</v>
      </c>
      <c r="L16" s="267"/>
      <c r="M16" s="231"/>
      <c r="N16" s="231"/>
      <c r="O16" s="231"/>
      <c r="P16" s="231"/>
      <c r="Q16" s="231"/>
      <c r="R16" s="231"/>
      <c r="S16" s="231"/>
      <c r="T16" s="231"/>
      <c r="U16" s="231"/>
      <c r="V16" s="231"/>
    </row>
    <row r="17" ht="15.75" customHeight="1">
      <c r="A17" s="260" t="s">
        <v>179</v>
      </c>
      <c r="B17" s="268"/>
      <c r="C17" s="239" t="str">
        <f t="shared" si="1"/>
        <v>#DIV/0!</v>
      </c>
      <c r="D17" s="239"/>
      <c r="E17" s="226"/>
      <c r="F17" s="260" t="s">
        <v>179</v>
      </c>
      <c r="G17" s="265"/>
      <c r="H17" s="266" t="str">
        <f t="shared" si="2"/>
        <v>#DIV/0!</v>
      </c>
      <c r="I17" s="266"/>
      <c r="J17" s="226"/>
      <c r="K17" s="260" t="s">
        <v>179</v>
      </c>
      <c r="L17" s="267"/>
      <c r="M17" s="231"/>
      <c r="N17" s="231"/>
      <c r="O17" s="231"/>
      <c r="P17" s="231"/>
      <c r="Q17" s="231"/>
      <c r="R17" s="231"/>
      <c r="S17" s="231"/>
      <c r="T17" s="231"/>
      <c r="U17" s="231"/>
      <c r="V17" s="231"/>
    </row>
    <row r="18" ht="15.75" customHeight="1">
      <c r="A18" s="260" t="s">
        <v>180</v>
      </c>
      <c r="B18" s="268"/>
      <c r="C18" s="239" t="str">
        <f t="shared" si="1"/>
        <v>#DIV/0!</v>
      </c>
      <c r="D18" s="239"/>
      <c r="E18" s="226"/>
      <c r="F18" s="260" t="s">
        <v>180</v>
      </c>
      <c r="G18" s="265"/>
      <c r="H18" s="266" t="str">
        <f t="shared" si="2"/>
        <v>#DIV/0!</v>
      </c>
      <c r="I18" s="266"/>
      <c r="J18" s="226"/>
      <c r="K18" s="260" t="s">
        <v>180</v>
      </c>
      <c r="L18" s="267"/>
      <c r="M18" s="231"/>
      <c r="N18" s="231"/>
      <c r="O18" s="231"/>
      <c r="P18" s="231"/>
      <c r="Q18" s="231"/>
      <c r="R18" s="231"/>
      <c r="S18" s="231"/>
      <c r="T18" s="231"/>
      <c r="U18" s="231"/>
      <c r="V18" s="231"/>
    </row>
    <row r="19" ht="15.75" customHeight="1">
      <c r="A19" s="260" t="s">
        <v>181</v>
      </c>
      <c r="B19" s="268"/>
      <c r="C19" s="239" t="str">
        <f t="shared" si="1"/>
        <v>#DIV/0!</v>
      </c>
      <c r="D19" s="239"/>
      <c r="E19" s="226"/>
      <c r="F19" s="260" t="s">
        <v>181</v>
      </c>
      <c r="G19" s="265"/>
      <c r="H19" s="266" t="str">
        <f t="shared" si="2"/>
        <v>#DIV/0!</v>
      </c>
      <c r="I19" s="266"/>
      <c r="J19" s="240" t="s">
        <v>158</v>
      </c>
      <c r="K19" s="260" t="s">
        <v>181</v>
      </c>
      <c r="L19" s="267"/>
      <c r="M19" s="231"/>
      <c r="N19" s="231"/>
      <c r="O19" s="231"/>
      <c r="P19" s="231"/>
      <c r="Q19" s="231"/>
      <c r="R19" s="231"/>
      <c r="S19" s="231"/>
      <c r="T19" s="231"/>
      <c r="U19" s="231"/>
      <c r="V19" s="231"/>
    </row>
    <row r="20" ht="15.75" customHeight="1">
      <c r="A20" s="260" t="s">
        <v>182</v>
      </c>
      <c r="B20" s="274"/>
      <c r="C20" s="239" t="str">
        <f t="shared" si="1"/>
        <v>#DIV/0!</v>
      </c>
      <c r="D20" s="239"/>
      <c r="E20" s="226"/>
      <c r="F20" s="260" t="s">
        <v>182</v>
      </c>
      <c r="G20" s="265"/>
      <c r="H20" s="266" t="str">
        <f t="shared" si="2"/>
        <v>#DIV/0!</v>
      </c>
      <c r="I20" s="266"/>
      <c r="J20" s="240"/>
      <c r="K20" s="260" t="s">
        <v>182</v>
      </c>
      <c r="L20" s="267"/>
      <c r="M20" s="231"/>
      <c r="N20" s="231"/>
      <c r="O20" s="231"/>
      <c r="P20" s="231"/>
      <c r="Q20" s="231"/>
      <c r="R20" s="231"/>
      <c r="S20" s="231"/>
      <c r="T20" s="231"/>
      <c r="U20" s="231"/>
      <c r="V20" s="231"/>
    </row>
    <row r="21" ht="15.75" customHeight="1">
      <c r="A21" s="260" t="s">
        <v>183</v>
      </c>
      <c r="B21" s="268"/>
      <c r="C21" s="239" t="str">
        <f t="shared" si="1"/>
        <v>#DIV/0!</v>
      </c>
      <c r="D21" s="239"/>
      <c r="E21" s="226"/>
      <c r="F21" s="260" t="s">
        <v>183</v>
      </c>
      <c r="G21" s="265"/>
      <c r="H21" s="266" t="str">
        <f t="shared" ref="H21:H24" si="3">SUM(I21/G21)</f>
        <v>#DIV/0!</v>
      </c>
      <c r="I21" s="266"/>
      <c r="J21" s="240"/>
      <c r="K21" s="260" t="s">
        <v>183</v>
      </c>
      <c r="L21" s="267"/>
      <c r="M21" s="231"/>
      <c r="N21" s="241"/>
      <c r="O21" s="231"/>
      <c r="P21" s="231"/>
      <c r="Q21" s="231"/>
      <c r="R21" s="231"/>
      <c r="S21" s="231"/>
      <c r="T21" s="231"/>
      <c r="U21" s="231"/>
      <c r="V21" s="231"/>
    </row>
    <row r="22" ht="15.75" customHeight="1">
      <c r="A22" s="260" t="s">
        <v>184</v>
      </c>
      <c r="B22" s="268"/>
      <c r="C22" s="239" t="str">
        <f t="shared" si="1"/>
        <v>#DIV/0!</v>
      </c>
      <c r="D22" s="239"/>
      <c r="E22" s="226"/>
      <c r="F22" s="260" t="s">
        <v>184</v>
      </c>
      <c r="G22" s="265"/>
      <c r="H22" s="266" t="str">
        <f t="shared" si="3"/>
        <v>#DIV/0!</v>
      </c>
      <c r="I22" s="266"/>
      <c r="J22" s="240"/>
      <c r="K22" s="260" t="s">
        <v>184</v>
      </c>
      <c r="L22" s="275"/>
      <c r="M22" s="231"/>
      <c r="N22" s="241"/>
      <c r="O22" s="231"/>
      <c r="P22" s="231"/>
      <c r="Q22" s="231"/>
      <c r="R22" s="231"/>
      <c r="S22" s="231"/>
      <c r="T22" s="231"/>
      <c r="U22" s="231"/>
      <c r="V22" s="231"/>
    </row>
    <row r="23" ht="15.75" customHeight="1">
      <c r="A23" s="260" t="s">
        <v>185</v>
      </c>
      <c r="B23" s="268"/>
      <c r="C23" s="239" t="str">
        <f t="shared" si="1"/>
        <v>#DIV/0!</v>
      </c>
      <c r="D23" s="239"/>
      <c r="E23" s="226"/>
      <c r="F23" s="260" t="s">
        <v>185</v>
      </c>
      <c r="G23" s="265"/>
      <c r="H23" s="266" t="str">
        <f t="shared" si="3"/>
        <v>#DIV/0!</v>
      </c>
      <c r="I23" s="266"/>
      <c r="J23" s="240"/>
      <c r="K23" s="260" t="s">
        <v>185</v>
      </c>
      <c r="L23" s="267"/>
      <c r="M23" s="231"/>
      <c r="N23" s="241"/>
      <c r="O23" s="231"/>
      <c r="P23" s="231"/>
      <c r="Q23" s="231"/>
      <c r="R23" s="231"/>
      <c r="S23" s="231"/>
      <c r="T23" s="231"/>
      <c r="U23" s="231"/>
      <c r="V23" s="231"/>
    </row>
    <row r="24" ht="15.75" customHeight="1">
      <c r="A24" s="260" t="s">
        <v>186</v>
      </c>
      <c r="B24" s="268"/>
      <c r="C24" s="239" t="str">
        <f t="shared" si="1"/>
        <v>#DIV/0!</v>
      </c>
      <c r="D24" s="239"/>
      <c r="E24" s="226"/>
      <c r="F24" s="260" t="s">
        <v>186</v>
      </c>
      <c r="G24" s="265"/>
      <c r="H24" s="266" t="str">
        <f t="shared" si="3"/>
        <v>#DIV/0!</v>
      </c>
      <c r="I24" s="266"/>
      <c r="J24" s="240"/>
      <c r="K24" s="260" t="s">
        <v>186</v>
      </c>
      <c r="L24" s="267"/>
      <c r="M24" s="231"/>
      <c r="N24" s="241"/>
      <c r="O24" s="231"/>
      <c r="P24" s="231"/>
      <c r="Q24" s="231"/>
      <c r="R24" s="231"/>
      <c r="S24" s="231"/>
      <c r="T24" s="231"/>
      <c r="U24" s="231"/>
      <c r="V24" s="231"/>
    </row>
    <row r="25" ht="15.75" customHeight="1">
      <c r="A25" s="260" t="s">
        <v>187</v>
      </c>
      <c r="B25" s="268"/>
      <c r="C25" s="239" t="str">
        <f t="shared" si="1"/>
        <v>#DIV/0!</v>
      </c>
      <c r="D25" s="239"/>
      <c r="E25" s="226"/>
      <c r="F25" s="260" t="s">
        <v>187</v>
      </c>
      <c r="G25" s="265"/>
      <c r="H25" s="266" t="str">
        <f t="shared" ref="H25:H41" si="4">I25/G25</f>
        <v>#DIV/0!</v>
      </c>
      <c r="I25" s="266"/>
      <c r="J25" s="240"/>
      <c r="K25" s="260" t="s">
        <v>187</v>
      </c>
      <c r="L25" s="267"/>
      <c r="M25" s="231"/>
      <c r="N25" s="241"/>
      <c r="O25" s="231"/>
      <c r="P25" s="231"/>
      <c r="Q25" s="231"/>
      <c r="R25" s="231"/>
      <c r="S25" s="231"/>
      <c r="T25" s="231"/>
      <c r="U25" s="231"/>
      <c r="V25" s="231"/>
    </row>
    <row r="26" ht="15.75" customHeight="1">
      <c r="A26" s="260" t="s">
        <v>188</v>
      </c>
      <c r="B26" s="274"/>
      <c r="C26" s="239" t="str">
        <f t="shared" si="1"/>
        <v>#DIV/0!</v>
      </c>
      <c r="D26" s="239"/>
      <c r="E26" s="226"/>
      <c r="F26" s="260" t="s">
        <v>188</v>
      </c>
      <c r="G26" s="265"/>
      <c r="H26" s="266" t="str">
        <f t="shared" si="4"/>
        <v>#DIV/0!</v>
      </c>
      <c r="I26" s="266"/>
      <c r="J26" s="240"/>
      <c r="K26" s="260" t="s">
        <v>188</v>
      </c>
      <c r="L26" s="267"/>
      <c r="M26" s="231"/>
      <c r="N26" s="241"/>
      <c r="O26" s="231"/>
      <c r="P26" s="231"/>
      <c r="Q26" s="231"/>
      <c r="R26" s="231"/>
      <c r="S26" s="231"/>
      <c r="T26" s="231"/>
      <c r="U26" s="231"/>
      <c r="V26" s="231"/>
    </row>
    <row r="27" ht="15.75" customHeight="1">
      <c r="A27" s="260" t="s">
        <v>189</v>
      </c>
      <c r="B27" s="274"/>
      <c r="C27" s="239" t="str">
        <f t="shared" si="1"/>
        <v>#DIV/0!</v>
      </c>
      <c r="D27" s="239"/>
      <c r="E27" s="226"/>
      <c r="F27" s="260" t="s">
        <v>189</v>
      </c>
      <c r="G27" s="265"/>
      <c r="H27" s="266" t="str">
        <f t="shared" si="4"/>
        <v>#DIV/0!</v>
      </c>
      <c r="I27" s="266"/>
      <c r="J27" s="240"/>
      <c r="K27" s="260" t="s">
        <v>189</v>
      </c>
      <c r="L27" s="267"/>
      <c r="M27" s="231"/>
      <c r="N27" s="241"/>
      <c r="O27" s="231"/>
      <c r="P27" s="231"/>
      <c r="Q27" s="231"/>
      <c r="R27" s="231"/>
      <c r="S27" s="231"/>
      <c r="T27" s="231"/>
      <c r="U27" s="231"/>
      <c r="V27" s="231"/>
    </row>
    <row r="28" ht="15.75" customHeight="1">
      <c r="A28" s="260" t="s">
        <v>190</v>
      </c>
      <c r="B28" s="268"/>
      <c r="C28" s="239" t="str">
        <f t="shared" si="1"/>
        <v>#DIV/0!</v>
      </c>
      <c r="D28" s="239"/>
      <c r="E28" s="226"/>
      <c r="F28" s="260" t="s">
        <v>190</v>
      </c>
      <c r="G28" s="265"/>
      <c r="H28" s="266" t="str">
        <f t="shared" si="4"/>
        <v>#DIV/0!</v>
      </c>
      <c r="I28" s="266"/>
      <c r="J28" s="240"/>
      <c r="K28" s="260" t="s">
        <v>190</v>
      </c>
      <c r="L28" s="267"/>
      <c r="M28" s="231"/>
      <c r="N28" s="241"/>
      <c r="O28" s="231"/>
      <c r="P28" s="231"/>
      <c r="Q28" s="231"/>
      <c r="R28" s="231"/>
      <c r="S28" s="231"/>
      <c r="T28" s="231"/>
      <c r="U28" s="231"/>
      <c r="V28" s="231"/>
    </row>
    <row r="29" ht="15.75" customHeight="1">
      <c r="A29" s="260" t="s">
        <v>191</v>
      </c>
      <c r="B29" s="274"/>
      <c r="C29" s="239" t="str">
        <f t="shared" si="1"/>
        <v>#DIV/0!</v>
      </c>
      <c r="D29" s="239"/>
      <c r="E29" s="226"/>
      <c r="F29" s="260" t="s">
        <v>191</v>
      </c>
      <c r="G29" s="265"/>
      <c r="H29" s="266" t="str">
        <f t="shared" si="4"/>
        <v>#DIV/0!</v>
      </c>
      <c r="I29" s="266"/>
      <c r="J29" s="240"/>
      <c r="K29" s="260" t="s">
        <v>191</v>
      </c>
      <c r="L29" s="267"/>
      <c r="M29" s="231"/>
      <c r="N29" s="241"/>
      <c r="O29" s="231"/>
      <c r="P29" s="231"/>
      <c r="Q29" s="231"/>
      <c r="R29" s="231"/>
      <c r="S29" s="231"/>
      <c r="T29" s="231"/>
      <c r="U29" s="231"/>
      <c r="V29" s="231"/>
    </row>
    <row r="30" ht="15.75" customHeight="1">
      <c r="A30" s="260" t="s">
        <v>192</v>
      </c>
      <c r="B30" s="268"/>
      <c r="C30" s="239" t="str">
        <f t="shared" si="1"/>
        <v>#DIV/0!</v>
      </c>
      <c r="D30" s="239"/>
      <c r="E30" s="226"/>
      <c r="F30" s="260" t="s">
        <v>192</v>
      </c>
      <c r="G30" s="265"/>
      <c r="H30" s="266" t="str">
        <f t="shared" si="4"/>
        <v>#DIV/0!</v>
      </c>
      <c r="I30" s="266"/>
      <c r="J30" s="242"/>
      <c r="K30" s="260" t="s">
        <v>192</v>
      </c>
      <c r="L30" s="267"/>
      <c r="M30" s="231"/>
      <c r="N30" s="241"/>
      <c r="O30" s="231"/>
      <c r="P30" s="231"/>
      <c r="Q30" s="231"/>
      <c r="R30" s="231"/>
      <c r="S30" s="231"/>
      <c r="T30" s="231"/>
      <c r="U30" s="231"/>
      <c r="V30" s="231"/>
    </row>
    <row r="31" ht="15.75" customHeight="1">
      <c r="A31" s="260" t="s">
        <v>193</v>
      </c>
      <c r="B31" s="268"/>
      <c r="C31" s="239" t="str">
        <f t="shared" si="1"/>
        <v>#DIV/0!</v>
      </c>
      <c r="D31" s="239"/>
      <c r="E31" s="226"/>
      <c r="F31" s="260" t="s">
        <v>193</v>
      </c>
      <c r="G31" s="265"/>
      <c r="H31" s="266" t="str">
        <f t="shared" si="4"/>
        <v>#DIV/0!</v>
      </c>
      <c r="I31" s="266"/>
      <c r="J31" s="226"/>
      <c r="K31" s="260" t="s">
        <v>193</v>
      </c>
      <c r="L31" s="267"/>
      <c r="M31" s="231"/>
      <c r="N31" s="241"/>
      <c r="O31" s="231"/>
      <c r="P31" s="231"/>
      <c r="Q31" s="231"/>
      <c r="R31" s="231"/>
      <c r="S31" s="231"/>
      <c r="T31" s="231"/>
      <c r="U31" s="231"/>
      <c r="V31" s="231"/>
    </row>
    <row r="32" ht="15.75" customHeight="1">
      <c r="A32" s="260" t="s">
        <v>194</v>
      </c>
      <c r="B32" s="268"/>
      <c r="C32" s="239" t="str">
        <f t="shared" si="1"/>
        <v>#DIV/0!</v>
      </c>
      <c r="D32" s="239"/>
      <c r="E32" s="226"/>
      <c r="F32" s="260" t="s">
        <v>194</v>
      </c>
      <c r="G32" s="265"/>
      <c r="H32" s="266" t="str">
        <f t="shared" si="4"/>
        <v>#DIV/0!</v>
      </c>
      <c r="I32" s="266"/>
      <c r="J32" s="226"/>
      <c r="K32" s="260" t="s">
        <v>194</v>
      </c>
      <c r="L32" s="267"/>
      <c r="M32" s="231"/>
      <c r="N32" s="241"/>
      <c r="O32" s="231"/>
      <c r="P32" s="231"/>
      <c r="Q32" s="231"/>
      <c r="R32" s="231"/>
      <c r="S32" s="231"/>
      <c r="T32" s="231"/>
      <c r="U32" s="231"/>
      <c r="V32" s="231"/>
    </row>
    <row r="33" ht="15.75" customHeight="1">
      <c r="A33" s="260" t="s">
        <v>195</v>
      </c>
      <c r="B33" s="276"/>
      <c r="C33" s="239" t="str">
        <f t="shared" si="1"/>
        <v>#DIV/0!</v>
      </c>
      <c r="D33" s="239"/>
      <c r="E33" s="226"/>
      <c r="F33" s="260" t="s">
        <v>195</v>
      </c>
      <c r="G33" s="265"/>
      <c r="H33" s="266" t="str">
        <f t="shared" si="4"/>
        <v>#DIV/0!</v>
      </c>
      <c r="I33" s="266"/>
      <c r="J33" s="226"/>
      <c r="K33" s="260" t="s">
        <v>195</v>
      </c>
      <c r="L33" s="267"/>
      <c r="M33" s="231"/>
      <c r="N33" s="241"/>
      <c r="O33" s="231"/>
      <c r="P33" s="231"/>
      <c r="Q33" s="231"/>
      <c r="R33" s="231"/>
      <c r="S33" s="231"/>
      <c r="T33" s="231"/>
      <c r="U33" s="231"/>
      <c r="V33" s="231"/>
    </row>
    <row r="34" ht="15.75" customHeight="1">
      <c r="A34" s="260" t="s">
        <v>196</v>
      </c>
      <c r="B34" s="272"/>
      <c r="C34" s="239" t="str">
        <f t="shared" si="1"/>
        <v>#DIV/0!</v>
      </c>
      <c r="D34" s="239"/>
      <c r="E34" s="226"/>
      <c r="F34" s="260" t="s">
        <v>196</v>
      </c>
      <c r="G34" s="265"/>
      <c r="H34" s="266" t="str">
        <f t="shared" si="4"/>
        <v>#DIV/0!</v>
      </c>
      <c r="I34" s="266"/>
      <c r="J34" s="226"/>
      <c r="K34" s="260" t="s">
        <v>196</v>
      </c>
      <c r="L34" s="277"/>
      <c r="M34" s="231"/>
      <c r="N34" s="241"/>
      <c r="O34" s="231"/>
      <c r="P34" s="231"/>
      <c r="Q34" s="231"/>
      <c r="R34" s="231"/>
      <c r="S34" s="231"/>
      <c r="T34" s="231"/>
      <c r="U34" s="231"/>
      <c r="V34" s="231"/>
    </row>
    <row r="35" ht="15.75" customHeight="1">
      <c r="A35" s="260" t="s">
        <v>197</v>
      </c>
      <c r="B35" s="268"/>
      <c r="C35" s="239" t="str">
        <f t="shared" si="1"/>
        <v>#DIV/0!</v>
      </c>
      <c r="D35" s="239"/>
      <c r="E35" s="226"/>
      <c r="F35" s="260" t="s">
        <v>197</v>
      </c>
      <c r="G35" s="265"/>
      <c r="H35" s="239" t="str">
        <f t="shared" si="4"/>
        <v>#DIV/0!</v>
      </c>
      <c r="I35" s="266"/>
      <c r="J35" s="226"/>
      <c r="K35" s="260" t="s">
        <v>197</v>
      </c>
      <c r="L35" s="277"/>
      <c r="M35" s="231"/>
      <c r="N35" s="241"/>
      <c r="O35" s="231"/>
      <c r="P35" s="231"/>
      <c r="Q35" s="231"/>
      <c r="R35" s="231"/>
      <c r="S35" s="231"/>
      <c r="T35" s="231"/>
      <c r="U35" s="231"/>
      <c r="V35" s="231"/>
    </row>
    <row r="36" ht="15.75" customHeight="1">
      <c r="A36" s="260" t="s">
        <v>198</v>
      </c>
      <c r="B36" s="272"/>
      <c r="C36" s="239" t="str">
        <f t="shared" si="1"/>
        <v>#DIV/0!</v>
      </c>
      <c r="D36" s="239"/>
      <c r="E36" s="226"/>
      <c r="F36" s="260" t="s">
        <v>198</v>
      </c>
      <c r="G36" s="192"/>
      <c r="H36" s="239" t="str">
        <f t="shared" si="4"/>
        <v>#DIV/0!</v>
      </c>
      <c r="I36" s="266"/>
      <c r="J36" s="226"/>
      <c r="K36" s="260" t="s">
        <v>198</v>
      </c>
      <c r="L36" s="277"/>
      <c r="M36" s="231"/>
      <c r="N36" s="241"/>
      <c r="O36" s="231"/>
      <c r="P36" s="231"/>
      <c r="Q36" s="231"/>
      <c r="R36" s="231"/>
      <c r="S36" s="231"/>
      <c r="T36" s="231"/>
      <c r="U36" s="231"/>
      <c r="V36" s="231"/>
    </row>
    <row r="37" ht="15.75" customHeight="1">
      <c r="A37" s="260" t="s">
        <v>199</v>
      </c>
      <c r="B37" s="272"/>
      <c r="C37" s="239" t="str">
        <f t="shared" si="1"/>
        <v>#DIV/0!</v>
      </c>
      <c r="D37" s="239"/>
      <c r="E37" s="226"/>
      <c r="F37" s="260" t="s">
        <v>199</v>
      </c>
      <c r="G37" s="192"/>
      <c r="H37" s="239" t="str">
        <f t="shared" si="4"/>
        <v>#DIV/0!</v>
      </c>
      <c r="I37" s="266"/>
      <c r="J37" s="226"/>
      <c r="K37" s="260" t="s">
        <v>199</v>
      </c>
      <c r="L37" s="277"/>
      <c r="M37" s="231"/>
      <c r="N37" s="241"/>
      <c r="O37" s="231"/>
      <c r="P37" s="231"/>
      <c r="Q37" s="231"/>
      <c r="R37" s="231"/>
      <c r="S37" s="231"/>
      <c r="T37" s="231"/>
      <c r="U37" s="231"/>
      <c r="V37" s="231"/>
    </row>
    <row r="38" ht="15.75" customHeight="1">
      <c r="A38" s="260" t="s">
        <v>200</v>
      </c>
      <c r="B38" s="265"/>
      <c r="C38" s="239" t="str">
        <f t="shared" si="1"/>
        <v>#DIV/0!</v>
      </c>
      <c r="D38" s="266"/>
      <c r="E38" s="226"/>
      <c r="F38" s="260" t="s">
        <v>200</v>
      </c>
      <c r="G38" s="265"/>
      <c r="H38" s="239" t="str">
        <f t="shared" si="4"/>
        <v>#DIV/0!</v>
      </c>
      <c r="I38" s="266"/>
      <c r="J38" s="226"/>
      <c r="K38" s="260" t="s">
        <v>200</v>
      </c>
      <c r="L38" s="278"/>
      <c r="M38" s="231"/>
      <c r="N38" s="231"/>
      <c r="O38" s="231"/>
      <c r="P38" s="231"/>
      <c r="Q38" s="231"/>
      <c r="R38" s="231"/>
      <c r="S38" s="231"/>
      <c r="T38" s="231"/>
      <c r="U38" s="231"/>
      <c r="V38" s="231"/>
    </row>
    <row r="39" ht="15.75" customHeight="1">
      <c r="A39" s="260" t="s">
        <v>201</v>
      </c>
      <c r="B39" s="265"/>
      <c r="C39" s="239" t="str">
        <f t="shared" si="1"/>
        <v>#DIV/0!</v>
      </c>
      <c r="D39" s="266"/>
      <c r="E39" s="226"/>
      <c r="F39" s="260" t="s">
        <v>201</v>
      </c>
      <c r="G39" s="265"/>
      <c r="H39" s="239" t="str">
        <f t="shared" si="4"/>
        <v>#DIV/0!</v>
      </c>
      <c r="I39" s="266"/>
      <c r="J39" s="226"/>
      <c r="K39" s="260" t="s">
        <v>201</v>
      </c>
      <c r="L39" s="277"/>
      <c r="M39" s="231"/>
      <c r="N39" s="231"/>
      <c r="O39" s="231"/>
      <c r="P39" s="231"/>
      <c r="Q39" s="231"/>
      <c r="R39" s="231"/>
      <c r="S39" s="231"/>
      <c r="T39" s="231"/>
      <c r="U39" s="231"/>
      <c r="V39" s="231"/>
    </row>
    <row r="40" ht="15.75" customHeight="1">
      <c r="A40" s="260" t="s">
        <v>202</v>
      </c>
      <c r="B40" s="265"/>
      <c r="C40" s="239" t="str">
        <f t="shared" si="1"/>
        <v>#DIV/0!</v>
      </c>
      <c r="D40" s="266"/>
      <c r="E40" s="226"/>
      <c r="F40" s="260" t="s">
        <v>202</v>
      </c>
      <c r="G40" s="265"/>
      <c r="H40" s="264" t="str">
        <f t="shared" si="4"/>
        <v>#DIV/0!</v>
      </c>
      <c r="I40" s="266"/>
      <c r="J40" s="226"/>
      <c r="K40" s="260" t="s">
        <v>202</v>
      </c>
      <c r="L40" s="277"/>
      <c r="M40" s="231"/>
      <c r="N40" s="231"/>
      <c r="O40" s="231"/>
      <c r="P40" s="231"/>
      <c r="Q40" s="231"/>
      <c r="R40" s="231"/>
      <c r="S40" s="231"/>
      <c r="T40" s="231"/>
      <c r="U40" s="231"/>
      <c r="V40" s="231"/>
    </row>
    <row r="41" ht="15.75" customHeight="1">
      <c r="A41" s="260" t="s">
        <v>203</v>
      </c>
      <c r="B41" s="279"/>
      <c r="C41" s="239" t="str">
        <f t="shared" si="1"/>
        <v>#DIV/0!</v>
      </c>
      <c r="D41" s="266"/>
      <c r="E41" s="226"/>
      <c r="F41" s="260" t="s">
        <v>203</v>
      </c>
      <c r="G41" s="265"/>
      <c r="H41" s="239" t="str">
        <f t="shared" si="4"/>
        <v>#DIV/0!</v>
      </c>
      <c r="I41" s="266"/>
      <c r="J41" s="226"/>
      <c r="K41" s="260" t="s">
        <v>203</v>
      </c>
      <c r="L41" s="277"/>
      <c r="M41" s="231"/>
      <c r="N41" s="231"/>
      <c r="O41" s="231"/>
      <c r="P41" s="231"/>
      <c r="Q41" s="231"/>
      <c r="R41" s="231"/>
      <c r="S41" s="231"/>
      <c r="T41" s="231"/>
      <c r="U41" s="231"/>
      <c r="V41" s="231"/>
    </row>
    <row r="42" ht="15.75" customHeight="1">
      <c r="A42" s="260" t="s">
        <v>204</v>
      </c>
      <c r="B42" s="265"/>
      <c r="C42" s="239" t="str">
        <f t="shared" si="1"/>
        <v>#DIV/0!</v>
      </c>
      <c r="D42" s="266"/>
      <c r="E42" s="226"/>
      <c r="F42" s="260" t="s">
        <v>204</v>
      </c>
      <c r="G42" s="265"/>
      <c r="H42" s="239" t="str">
        <f>SUM(I42/G42)</f>
        <v>#DIV/0!</v>
      </c>
      <c r="I42" s="266"/>
      <c r="J42" s="226"/>
      <c r="K42" s="260" t="s">
        <v>204</v>
      </c>
      <c r="L42" s="277"/>
      <c r="M42" s="231"/>
      <c r="N42" s="231"/>
      <c r="O42" s="231"/>
      <c r="P42" s="231"/>
      <c r="Q42" s="231"/>
      <c r="R42" s="231"/>
      <c r="S42" s="231"/>
      <c r="T42" s="231"/>
      <c r="U42" s="231"/>
      <c r="V42" s="231"/>
    </row>
    <row r="43" ht="15.75" customHeight="1">
      <c r="A43" s="260" t="s">
        <v>205</v>
      </c>
      <c r="B43" s="266"/>
      <c r="C43" s="239" t="str">
        <f t="shared" si="1"/>
        <v>#DIV/0!</v>
      </c>
      <c r="D43" s="266"/>
      <c r="E43" s="226"/>
      <c r="F43" s="260" t="s">
        <v>205</v>
      </c>
      <c r="G43" s="192"/>
      <c r="H43" s="239" t="str">
        <f t="shared" ref="H43:H46" si="5">I43/G43</f>
        <v>#DIV/0!</v>
      </c>
      <c r="I43" s="266"/>
      <c r="J43" s="226"/>
      <c r="K43" s="260" t="s">
        <v>205</v>
      </c>
      <c r="L43" s="277"/>
      <c r="M43" s="231"/>
      <c r="N43" s="231"/>
      <c r="O43" s="231"/>
      <c r="P43" s="231"/>
      <c r="Q43" s="231"/>
      <c r="R43" s="231"/>
      <c r="S43" s="231"/>
      <c r="T43" s="231"/>
      <c r="U43" s="231"/>
      <c r="V43" s="231"/>
    </row>
    <row r="44" ht="15.75" customHeight="1">
      <c r="A44" s="260" t="s">
        <v>206</v>
      </c>
      <c r="B44" s="280"/>
      <c r="C44" s="239" t="str">
        <f t="shared" si="1"/>
        <v>#DIV/0!</v>
      </c>
      <c r="D44" s="266"/>
      <c r="E44" s="226"/>
      <c r="F44" s="260" t="s">
        <v>206</v>
      </c>
      <c r="G44" s="265"/>
      <c r="H44" s="239" t="str">
        <f t="shared" si="5"/>
        <v>#DIV/0!</v>
      </c>
      <c r="I44" s="266"/>
      <c r="J44" s="226"/>
      <c r="K44" s="260" t="s">
        <v>206</v>
      </c>
      <c r="L44" s="277"/>
      <c r="M44" s="231"/>
      <c r="N44" s="231"/>
      <c r="O44" s="231"/>
      <c r="P44" s="231"/>
      <c r="Q44" s="231"/>
      <c r="R44" s="231"/>
      <c r="S44" s="231"/>
      <c r="T44" s="231"/>
      <c r="U44" s="231"/>
      <c r="V44" s="231"/>
    </row>
    <row r="45" ht="15.75" customHeight="1">
      <c r="A45" s="260" t="s">
        <v>207</v>
      </c>
      <c r="B45" s="265"/>
      <c r="C45" s="239" t="str">
        <f t="shared" si="1"/>
        <v>#DIV/0!</v>
      </c>
      <c r="D45" s="266"/>
      <c r="E45" s="226"/>
      <c r="F45" s="260" t="s">
        <v>207</v>
      </c>
      <c r="G45" s="265"/>
      <c r="H45" s="239" t="str">
        <f t="shared" si="5"/>
        <v>#DIV/0!</v>
      </c>
      <c r="I45" s="266"/>
      <c r="J45" s="226"/>
      <c r="K45" s="260" t="s">
        <v>207</v>
      </c>
      <c r="L45" s="267"/>
      <c r="M45" s="241"/>
      <c r="N45" s="231"/>
      <c r="O45" s="231"/>
      <c r="P45" s="231"/>
      <c r="Q45" s="231"/>
      <c r="R45" s="231"/>
      <c r="S45" s="231"/>
      <c r="T45" s="231"/>
      <c r="U45" s="231"/>
      <c r="V45" s="231"/>
    </row>
    <row r="46" ht="15.75" customHeight="1">
      <c r="A46" s="260" t="s">
        <v>208</v>
      </c>
      <c r="B46" s="265"/>
      <c r="C46" s="239" t="str">
        <f t="shared" si="1"/>
        <v>#DIV/0!</v>
      </c>
      <c r="D46" s="266"/>
      <c r="E46" s="226"/>
      <c r="F46" s="260" t="s">
        <v>208</v>
      </c>
      <c r="G46" s="268"/>
      <c r="H46" s="239" t="str">
        <f t="shared" si="5"/>
        <v>#DIV/0!</v>
      </c>
      <c r="I46" s="266"/>
      <c r="J46" s="226"/>
      <c r="K46" s="260" t="s">
        <v>208</v>
      </c>
      <c r="L46" s="267"/>
      <c r="M46" s="241"/>
      <c r="N46" s="231"/>
      <c r="O46" s="231"/>
      <c r="P46" s="231"/>
      <c r="Q46" s="231"/>
      <c r="R46" s="231"/>
      <c r="S46" s="231"/>
      <c r="T46" s="231"/>
      <c r="U46" s="231"/>
      <c r="V46" s="231"/>
    </row>
    <row r="47" ht="15.75" customHeight="1">
      <c r="A47" s="260" t="s">
        <v>209</v>
      </c>
      <c r="B47" s="265"/>
      <c r="C47" s="239" t="str">
        <f t="shared" si="1"/>
        <v>#DIV/0!</v>
      </c>
      <c r="D47" s="266"/>
      <c r="E47" s="226"/>
      <c r="F47" s="260" t="s">
        <v>209</v>
      </c>
      <c r="G47" s="268"/>
      <c r="H47" s="239" t="str">
        <f>SUM(I47/G47)</f>
        <v>#DIV/0!</v>
      </c>
      <c r="I47" s="266"/>
      <c r="J47" s="226"/>
      <c r="K47" s="260" t="s">
        <v>209</v>
      </c>
      <c r="L47" s="267"/>
      <c r="M47" s="241"/>
      <c r="N47" s="231"/>
      <c r="O47" s="231"/>
      <c r="P47" s="231"/>
      <c r="Q47" s="231"/>
      <c r="R47" s="231"/>
      <c r="S47" s="231"/>
      <c r="T47" s="231"/>
      <c r="U47" s="231"/>
      <c r="V47" s="231"/>
    </row>
    <row r="48" ht="15.75" customHeight="1">
      <c r="A48" s="260" t="s">
        <v>210</v>
      </c>
      <c r="B48" s="265"/>
      <c r="C48" s="239" t="str">
        <f t="shared" si="1"/>
        <v>#DIV/0!</v>
      </c>
      <c r="D48" s="266"/>
      <c r="E48" s="226"/>
      <c r="F48" s="260" t="s">
        <v>210</v>
      </c>
      <c r="G48" s="268"/>
      <c r="H48" s="239" t="str">
        <f>I48/G48</f>
        <v>#DIV/0!</v>
      </c>
      <c r="I48" s="266"/>
      <c r="J48" s="226"/>
      <c r="K48" s="260" t="s">
        <v>210</v>
      </c>
      <c r="L48" s="267"/>
      <c r="M48" s="241"/>
      <c r="N48" s="231"/>
      <c r="O48" s="231"/>
      <c r="P48" s="231"/>
      <c r="Q48" s="231"/>
      <c r="R48" s="231"/>
      <c r="S48" s="231"/>
      <c r="T48" s="231"/>
      <c r="U48" s="231"/>
      <c r="V48" s="231"/>
    </row>
    <row r="49" ht="15.75" customHeight="1">
      <c r="A49" s="260" t="s">
        <v>211</v>
      </c>
      <c r="B49" s="265"/>
      <c r="C49" s="239" t="str">
        <f t="shared" si="1"/>
        <v>#DIV/0!</v>
      </c>
      <c r="D49" s="266"/>
      <c r="E49" s="226"/>
      <c r="F49" s="260" t="s">
        <v>211</v>
      </c>
      <c r="G49" s="268"/>
      <c r="H49" s="239" t="str">
        <f t="shared" ref="H49:H60" si="6">SUM(I49/G49)</f>
        <v>#DIV/0!</v>
      </c>
      <c r="I49" s="266"/>
      <c r="J49" s="226"/>
      <c r="K49" s="260" t="s">
        <v>211</v>
      </c>
      <c r="L49" s="267"/>
      <c r="M49" s="231"/>
      <c r="N49" s="231"/>
      <c r="O49" s="231"/>
      <c r="P49" s="231"/>
      <c r="Q49" s="231"/>
      <c r="R49" s="231"/>
      <c r="S49" s="231"/>
      <c r="T49" s="231"/>
      <c r="U49" s="231"/>
      <c r="V49" s="231"/>
    </row>
    <row r="50" ht="15.75" customHeight="1">
      <c r="A50" s="260" t="s">
        <v>212</v>
      </c>
      <c r="B50" s="265"/>
      <c r="C50" s="239" t="str">
        <f t="shared" si="1"/>
        <v>#DIV/0!</v>
      </c>
      <c r="D50" s="266"/>
      <c r="E50" s="226"/>
      <c r="F50" s="260" t="s">
        <v>212</v>
      </c>
      <c r="G50" s="268"/>
      <c r="H50" s="239" t="str">
        <f t="shared" si="6"/>
        <v>#DIV/0!</v>
      </c>
      <c r="I50" s="266"/>
      <c r="J50" s="226"/>
      <c r="K50" s="260" t="s">
        <v>212</v>
      </c>
      <c r="L50" s="267"/>
      <c r="M50" s="231"/>
      <c r="N50" s="231"/>
      <c r="O50" s="231"/>
      <c r="P50" s="231"/>
      <c r="Q50" s="231"/>
      <c r="R50" s="231"/>
      <c r="S50" s="231"/>
      <c r="T50" s="231"/>
      <c r="U50" s="231"/>
      <c r="V50" s="231"/>
    </row>
    <row r="51" ht="15.75" customHeight="1">
      <c r="A51" s="260" t="s">
        <v>213</v>
      </c>
      <c r="B51" s="265"/>
      <c r="C51" s="239" t="str">
        <f t="shared" si="1"/>
        <v>#DIV/0!</v>
      </c>
      <c r="D51" s="266"/>
      <c r="E51" s="226"/>
      <c r="F51" s="260" t="s">
        <v>213</v>
      </c>
      <c r="G51" s="268"/>
      <c r="H51" s="239" t="str">
        <f t="shared" si="6"/>
        <v>#DIV/0!</v>
      </c>
      <c r="I51" s="266"/>
      <c r="J51" s="226"/>
      <c r="K51" s="260" t="s">
        <v>213</v>
      </c>
      <c r="L51" s="267"/>
      <c r="M51" s="231"/>
      <c r="N51" s="231"/>
      <c r="O51" s="231"/>
      <c r="P51" s="231"/>
      <c r="Q51" s="231"/>
      <c r="R51" s="231"/>
      <c r="S51" s="231"/>
      <c r="T51" s="231"/>
      <c r="U51" s="231"/>
      <c r="V51" s="231"/>
    </row>
    <row r="52" ht="15.75" customHeight="1">
      <c r="A52" s="260" t="s">
        <v>214</v>
      </c>
      <c r="B52" s="265"/>
      <c r="C52" s="239" t="str">
        <f t="shared" si="1"/>
        <v>#DIV/0!</v>
      </c>
      <c r="D52" s="266"/>
      <c r="E52" s="226"/>
      <c r="F52" s="260" t="s">
        <v>214</v>
      </c>
      <c r="G52" s="268"/>
      <c r="H52" s="239" t="str">
        <f t="shared" si="6"/>
        <v>#DIV/0!</v>
      </c>
      <c r="I52" s="266"/>
      <c r="J52" s="226"/>
      <c r="K52" s="260" t="s">
        <v>214</v>
      </c>
      <c r="L52" s="267"/>
      <c r="M52" s="231"/>
      <c r="N52" s="231"/>
      <c r="O52" s="231"/>
      <c r="P52" s="231"/>
      <c r="Q52" s="231"/>
      <c r="R52" s="231"/>
      <c r="S52" s="231"/>
      <c r="T52" s="231"/>
      <c r="U52" s="231"/>
      <c r="V52" s="231"/>
    </row>
    <row r="53" ht="15.75" customHeight="1">
      <c r="A53" s="260" t="s">
        <v>215</v>
      </c>
      <c r="B53" s="265"/>
      <c r="C53" s="239" t="str">
        <f t="shared" si="1"/>
        <v>#DIV/0!</v>
      </c>
      <c r="D53" s="266"/>
      <c r="E53" s="226"/>
      <c r="F53" s="260" t="s">
        <v>215</v>
      </c>
      <c r="G53" s="268"/>
      <c r="H53" s="239" t="str">
        <f t="shared" si="6"/>
        <v>#DIV/0!</v>
      </c>
      <c r="I53" s="266"/>
      <c r="J53" s="226"/>
      <c r="K53" s="260" t="s">
        <v>215</v>
      </c>
      <c r="L53" s="267"/>
      <c r="M53" s="231"/>
      <c r="N53" s="231"/>
      <c r="O53" s="231"/>
      <c r="P53" s="231"/>
      <c r="Q53" s="231"/>
      <c r="R53" s="231"/>
      <c r="S53" s="231"/>
      <c r="T53" s="231"/>
      <c r="U53" s="231"/>
      <c r="V53" s="231"/>
    </row>
    <row r="54" ht="15.75" customHeight="1">
      <c r="A54" s="260" t="s">
        <v>216</v>
      </c>
      <c r="B54" s="265"/>
      <c r="C54" s="239" t="str">
        <f t="shared" si="1"/>
        <v>#DIV/0!</v>
      </c>
      <c r="D54" s="266"/>
      <c r="E54" s="226"/>
      <c r="F54" s="260" t="s">
        <v>216</v>
      </c>
      <c r="G54" s="268"/>
      <c r="H54" s="239" t="str">
        <f t="shared" si="6"/>
        <v>#DIV/0!</v>
      </c>
      <c r="I54" s="266"/>
      <c r="J54" s="226"/>
      <c r="K54" s="260" t="s">
        <v>216</v>
      </c>
      <c r="L54" s="267"/>
      <c r="M54" s="231"/>
      <c r="N54" s="231"/>
      <c r="O54" s="231"/>
      <c r="P54" s="231"/>
      <c r="Q54" s="231"/>
      <c r="R54" s="231"/>
      <c r="S54" s="231"/>
      <c r="T54" s="231"/>
      <c r="U54" s="231"/>
      <c r="V54" s="231"/>
    </row>
    <row r="55" ht="15.75" customHeight="1">
      <c r="A55" s="260" t="s">
        <v>217</v>
      </c>
      <c r="B55" s="265"/>
      <c r="C55" s="239" t="str">
        <f t="shared" si="1"/>
        <v>#DIV/0!</v>
      </c>
      <c r="D55" s="266"/>
      <c r="E55" s="226"/>
      <c r="F55" s="260" t="s">
        <v>217</v>
      </c>
      <c r="G55" s="268"/>
      <c r="H55" s="239" t="str">
        <f t="shared" si="6"/>
        <v>#DIV/0!</v>
      </c>
      <c r="I55" s="266"/>
      <c r="J55" s="226"/>
      <c r="K55" s="260" t="s">
        <v>217</v>
      </c>
      <c r="L55" s="267"/>
      <c r="M55" s="231"/>
      <c r="N55" s="231"/>
      <c r="O55" s="231"/>
      <c r="P55" s="231"/>
      <c r="Q55" s="231"/>
      <c r="R55" s="231"/>
      <c r="S55" s="231"/>
      <c r="T55" s="231"/>
      <c r="U55" s="231"/>
      <c r="V55" s="231"/>
    </row>
    <row r="56" ht="15.75" customHeight="1">
      <c r="A56" s="260" t="s">
        <v>218</v>
      </c>
      <c r="B56" s="265"/>
      <c r="C56" s="239" t="str">
        <f t="shared" si="1"/>
        <v>#DIV/0!</v>
      </c>
      <c r="D56" s="266"/>
      <c r="E56" s="226"/>
      <c r="F56" s="260" t="s">
        <v>218</v>
      </c>
      <c r="G56" s="268"/>
      <c r="H56" s="239" t="str">
        <f t="shared" si="6"/>
        <v>#DIV/0!</v>
      </c>
      <c r="I56" s="266"/>
      <c r="J56" s="226"/>
      <c r="K56" s="260" t="s">
        <v>218</v>
      </c>
      <c r="L56" s="267"/>
      <c r="M56" s="231"/>
      <c r="N56" s="231"/>
      <c r="O56" s="231"/>
      <c r="P56" s="231"/>
      <c r="Q56" s="231"/>
      <c r="R56" s="231"/>
      <c r="S56" s="231"/>
      <c r="T56" s="231"/>
      <c r="U56" s="231"/>
      <c r="V56" s="231"/>
    </row>
    <row r="57" ht="15.75" customHeight="1">
      <c r="A57" s="260" t="s">
        <v>219</v>
      </c>
      <c r="B57" s="265"/>
      <c r="C57" s="239" t="str">
        <f t="shared" si="1"/>
        <v>#DIV/0!</v>
      </c>
      <c r="D57" s="266"/>
      <c r="E57" s="226"/>
      <c r="F57" s="260" t="s">
        <v>219</v>
      </c>
      <c r="G57" s="268"/>
      <c r="H57" s="239" t="str">
        <f t="shared" si="6"/>
        <v>#DIV/0!</v>
      </c>
      <c r="I57" s="266"/>
      <c r="J57" s="226"/>
      <c r="K57" s="260" t="s">
        <v>219</v>
      </c>
      <c r="L57" s="267"/>
      <c r="M57" s="231"/>
      <c r="N57" s="231"/>
      <c r="O57" s="231"/>
      <c r="P57" s="231"/>
      <c r="Q57" s="231"/>
      <c r="R57" s="231"/>
      <c r="S57" s="231"/>
      <c r="T57" s="231"/>
      <c r="U57" s="231"/>
      <c r="V57" s="231"/>
    </row>
    <row r="58" ht="15.75" customHeight="1">
      <c r="A58" s="260" t="s">
        <v>220</v>
      </c>
      <c r="B58" s="265"/>
      <c r="C58" s="239" t="str">
        <f t="shared" si="1"/>
        <v>#DIV/0!</v>
      </c>
      <c r="D58" s="266"/>
      <c r="E58" s="226"/>
      <c r="F58" s="260" t="s">
        <v>220</v>
      </c>
      <c r="G58" s="268"/>
      <c r="H58" s="239" t="str">
        <f t="shared" si="6"/>
        <v>#DIV/0!</v>
      </c>
      <c r="I58" s="266"/>
      <c r="J58" s="226"/>
      <c r="K58" s="260" t="s">
        <v>220</v>
      </c>
      <c r="L58" s="267"/>
      <c r="M58" s="231"/>
      <c r="N58" s="231"/>
      <c r="O58" s="231"/>
      <c r="P58" s="231"/>
      <c r="Q58" s="231"/>
      <c r="R58" s="231"/>
      <c r="S58" s="231"/>
      <c r="T58" s="231"/>
      <c r="U58" s="231"/>
      <c r="V58" s="231"/>
    </row>
    <row r="59" ht="15.75" customHeight="1">
      <c r="A59" s="260" t="s">
        <v>221</v>
      </c>
      <c r="B59" s="265"/>
      <c r="C59" s="239" t="str">
        <f t="shared" si="1"/>
        <v>#DIV/0!</v>
      </c>
      <c r="D59" s="266"/>
      <c r="E59" s="226"/>
      <c r="F59" s="260" t="s">
        <v>221</v>
      </c>
      <c r="G59" s="268"/>
      <c r="H59" s="239" t="str">
        <f t="shared" si="6"/>
        <v>#DIV/0!</v>
      </c>
      <c r="I59" s="266"/>
      <c r="J59" s="226"/>
      <c r="K59" s="260" t="s">
        <v>221</v>
      </c>
      <c r="L59" s="267"/>
      <c r="M59" s="231"/>
      <c r="N59" s="231"/>
      <c r="O59" s="231"/>
      <c r="P59" s="231"/>
      <c r="Q59" s="231"/>
      <c r="R59" s="231"/>
      <c r="S59" s="231"/>
      <c r="T59" s="231"/>
      <c r="U59" s="231"/>
      <c r="V59" s="231"/>
    </row>
    <row r="60" ht="15.75" customHeight="1">
      <c r="A60" s="260" t="s">
        <v>222</v>
      </c>
      <c r="B60" s="265"/>
      <c r="C60" s="239" t="str">
        <f t="shared" si="1"/>
        <v>#DIV/0!</v>
      </c>
      <c r="D60" s="266"/>
      <c r="E60" s="226"/>
      <c r="F60" s="260" t="s">
        <v>222</v>
      </c>
      <c r="G60" s="268"/>
      <c r="H60" s="239" t="str">
        <f t="shared" si="6"/>
        <v>#DIV/0!</v>
      </c>
      <c r="I60" s="266"/>
      <c r="J60" s="226"/>
      <c r="K60" s="260" t="s">
        <v>222</v>
      </c>
      <c r="L60" s="267"/>
      <c r="M60" s="231"/>
      <c r="N60" s="231"/>
      <c r="O60" s="231"/>
      <c r="P60" s="231"/>
      <c r="Q60" s="231"/>
      <c r="R60" s="231"/>
      <c r="S60" s="231"/>
      <c r="T60" s="231"/>
      <c r="U60" s="231"/>
      <c r="V60" s="231"/>
    </row>
    <row r="61" ht="15.75" customHeight="1">
      <c r="A61" s="260" t="s">
        <v>223</v>
      </c>
      <c r="B61" s="265"/>
      <c r="C61" s="239" t="str">
        <f t="shared" si="1"/>
        <v>#DIV/0!</v>
      </c>
      <c r="D61" s="266"/>
      <c r="E61" s="226"/>
      <c r="F61" s="260" t="s">
        <v>223</v>
      </c>
      <c r="G61" s="281"/>
      <c r="H61" s="239" t="str">
        <f>SUM(I61/G60)</f>
        <v>#DIV/0!</v>
      </c>
      <c r="I61" s="266"/>
      <c r="J61" s="226"/>
      <c r="K61" s="260" t="s">
        <v>223</v>
      </c>
      <c r="L61" s="267"/>
      <c r="M61" s="231"/>
      <c r="N61" s="231"/>
      <c r="O61" s="231"/>
      <c r="P61" s="231"/>
      <c r="Q61" s="231"/>
      <c r="R61" s="231"/>
      <c r="S61" s="231"/>
      <c r="T61" s="231"/>
      <c r="U61" s="231"/>
      <c r="V61" s="231"/>
    </row>
    <row r="62" ht="15.75" customHeight="1">
      <c r="A62" s="260" t="s">
        <v>224</v>
      </c>
      <c r="B62" s="265"/>
      <c r="C62" s="239" t="str">
        <f t="shared" si="1"/>
        <v>#DIV/0!</v>
      </c>
      <c r="D62" s="266"/>
      <c r="E62" s="226"/>
      <c r="F62" s="260" t="s">
        <v>224</v>
      </c>
      <c r="G62" s="268"/>
      <c r="H62" s="239" t="str">
        <f t="shared" ref="H62:H81" si="7">SUM(I62/G62)</f>
        <v>#DIV/0!</v>
      </c>
      <c r="I62" s="266"/>
      <c r="J62" s="226"/>
      <c r="K62" s="260" t="s">
        <v>224</v>
      </c>
      <c r="L62" s="267"/>
      <c r="M62" s="231"/>
      <c r="N62" s="231"/>
      <c r="O62" s="231"/>
      <c r="P62" s="231"/>
      <c r="Q62" s="231"/>
      <c r="R62" s="231"/>
      <c r="S62" s="231"/>
      <c r="T62" s="231"/>
      <c r="U62" s="231"/>
      <c r="V62" s="231"/>
    </row>
    <row r="63" ht="15.75" customHeight="1">
      <c r="A63" s="260" t="s">
        <v>225</v>
      </c>
      <c r="B63" s="265"/>
      <c r="C63" s="239" t="str">
        <f t="shared" si="1"/>
        <v>#DIV/0!</v>
      </c>
      <c r="D63" s="266"/>
      <c r="E63" s="226"/>
      <c r="F63" s="260" t="s">
        <v>225</v>
      </c>
      <c r="G63" s="268"/>
      <c r="H63" s="239" t="str">
        <f t="shared" si="7"/>
        <v>#DIV/0!</v>
      </c>
      <c r="I63" s="266"/>
      <c r="J63" s="226"/>
      <c r="K63" s="260" t="s">
        <v>225</v>
      </c>
      <c r="L63" s="267"/>
      <c r="M63" s="231"/>
      <c r="N63" s="231"/>
      <c r="O63" s="231"/>
      <c r="P63" s="231"/>
      <c r="Q63" s="231"/>
      <c r="R63" s="231"/>
      <c r="S63" s="231"/>
      <c r="T63" s="231"/>
      <c r="U63" s="231"/>
      <c r="V63" s="231"/>
    </row>
    <row r="64" ht="15.75" customHeight="1">
      <c r="A64" s="260" t="s">
        <v>226</v>
      </c>
      <c r="B64" s="268"/>
      <c r="C64" s="239" t="str">
        <f t="shared" si="1"/>
        <v>#DIV/0!</v>
      </c>
      <c r="D64" s="239"/>
      <c r="E64" s="226"/>
      <c r="F64" s="260" t="s">
        <v>226</v>
      </c>
      <c r="G64" s="268"/>
      <c r="H64" s="239" t="str">
        <f t="shared" si="7"/>
        <v>#DIV/0!</v>
      </c>
      <c r="I64" s="266"/>
      <c r="J64" s="226"/>
      <c r="K64" s="260" t="s">
        <v>226</v>
      </c>
      <c r="L64" s="267"/>
      <c r="M64" s="231"/>
      <c r="N64" s="231"/>
      <c r="O64" s="231"/>
      <c r="P64" s="231"/>
      <c r="Q64" s="231"/>
      <c r="R64" s="231"/>
      <c r="S64" s="231"/>
      <c r="T64" s="231"/>
      <c r="U64" s="231"/>
      <c r="V64" s="231"/>
    </row>
    <row r="65" ht="15.75" customHeight="1">
      <c r="A65" s="260" t="s">
        <v>227</v>
      </c>
      <c r="B65" s="268"/>
      <c r="C65" s="239" t="str">
        <f t="shared" si="1"/>
        <v>#DIV/0!</v>
      </c>
      <c r="D65" s="239"/>
      <c r="E65" s="226"/>
      <c r="F65" s="260" t="s">
        <v>227</v>
      </c>
      <c r="G65" s="268"/>
      <c r="H65" s="239" t="str">
        <f t="shared" si="7"/>
        <v>#DIV/0!</v>
      </c>
      <c r="I65" s="266"/>
      <c r="J65" s="226"/>
      <c r="K65" s="260" t="s">
        <v>227</v>
      </c>
      <c r="L65" s="267"/>
      <c r="M65" s="231"/>
      <c r="N65" s="231"/>
      <c r="O65" s="231"/>
      <c r="P65" s="231"/>
      <c r="Q65" s="231"/>
      <c r="R65" s="231"/>
      <c r="S65" s="231"/>
      <c r="T65" s="231"/>
      <c r="U65" s="231"/>
      <c r="V65" s="231"/>
    </row>
    <row r="66" ht="15.75" customHeight="1">
      <c r="A66" s="260" t="s">
        <v>228</v>
      </c>
      <c r="B66" s="268"/>
      <c r="C66" s="239" t="str">
        <f t="shared" si="1"/>
        <v>#DIV/0!</v>
      </c>
      <c r="D66" s="239"/>
      <c r="E66" s="226"/>
      <c r="F66" s="260" t="s">
        <v>228</v>
      </c>
      <c r="G66" s="268"/>
      <c r="H66" s="239" t="str">
        <f t="shared" si="7"/>
        <v>#DIV/0!</v>
      </c>
      <c r="I66" s="266"/>
      <c r="J66" s="226"/>
      <c r="K66" s="260" t="s">
        <v>228</v>
      </c>
      <c r="L66" s="267"/>
      <c r="M66" s="231"/>
      <c r="N66" s="231"/>
      <c r="O66" s="231"/>
      <c r="P66" s="231"/>
      <c r="Q66" s="231"/>
      <c r="R66" s="231"/>
      <c r="S66" s="231"/>
      <c r="T66" s="231"/>
      <c r="U66" s="231"/>
      <c r="V66" s="231"/>
    </row>
    <row r="67" ht="15.75" customHeight="1">
      <c r="A67" s="260" t="s">
        <v>229</v>
      </c>
      <c r="B67" s="268"/>
      <c r="C67" s="239" t="str">
        <f t="shared" si="1"/>
        <v>#DIV/0!</v>
      </c>
      <c r="D67" s="239"/>
      <c r="E67" s="226"/>
      <c r="F67" s="260" t="s">
        <v>229</v>
      </c>
      <c r="G67" s="268"/>
      <c r="H67" s="239" t="str">
        <f t="shared" si="7"/>
        <v>#DIV/0!</v>
      </c>
      <c r="I67" s="266"/>
      <c r="J67" s="226"/>
      <c r="K67" s="260" t="s">
        <v>229</v>
      </c>
      <c r="L67" s="267"/>
      <c r="M67" s="231"/>
      <c r="N67" s="231"/>
      <c r="O67" s="231"/>
      <c r="P67" s="231"/>
      <c r="Q67" s="231"/>
      <c r="R67" s="231"/>
      <c r="S67" s="231"/>
      <c r="T67" s="231"/>
      <c r="U67" s="231"/>
      <c r="V67" s="231"/>
    </row>
    <row r="68" ht="15.75" customHeight="1">
      <c r="A68" s="260" t="s">
        <v>230</v>
      </c>
      <c r="B68" s="268"/>
      <c r="C68" s="239" t="str">
        <f t="shared" si="1"/>
        <v>#DIV/0!</v>
      </c>
      <c r="D68" s="239"/>
      <c r="E68" s="226"/>
      <c r="F68" s="260" t="s">
        <v>230</v>
      </c>
      <c r="G68" s="268"/>
      <c r="H68" s="239" t="str">
        <f t="shared" si="7"/>
        <v>#DIV/0!</v>
      </c>
      <c r="I68" s="266"/>
      <c r="J68" s="226"/>
      <c r="K68" s="260" t="s">
        <v>230</v>
      </c>
      <c r="L68" s="267"/>
      <c r="M68" s="231"/>
      <c r="N68" s="231"/>
      <c r="O68" s="231"/>
      <c r="P68" s="231"/>
      <c r="Q68" s="231"/>
      <c r="R68" s="231"/>
      <c r="S68" s="231"/>
      <c r="T68" s="231"/>
      <c r="U68" s="231"/>
      <c r="V68" s="231"/>
    </row>
    <row r="69" ht="15.75" customHeight="1">
      <c r="A69" s="260" t="s">
        <v>231</v>
      </c>
      <c r="B69" s="282"/>
      <c r="C69" s="239" t="str">
        <f t="shared" si="1"/>
        <v>#DIV/0!</v>
      </c>
      <c r="D69" s="283"/>
      <c r="E69" s="226"/>
      <c r="F69" s="260" t="s">
        <v>231</v>
      </c>
      <c r="G69" s="268"/>
      <c r="H69" s="239" t="str">
        <f t="shared" si="7"/>
        <v>#DIV/0!</v>
      </c>
      <c r="I69" s="266"/>
      <c r="J69" s="226"/>
      <c r="K69" s="260" t="s">
        <v>231</v>
      </c>
      <c r="L69" s="267"/>
      <c r="M69" s="231"/>
      <c r="N69" s="231"/>
      <c r="O69" s="231"/>
      <c r="P69" s="231"/>
      <c r="Q69" s="231"/>
      <c r="R69" s="231"/>
      <c r="S69" s="231"/>
      <c r="T69" s="231"/>
      <c r="U69" s="231"/>
      <c r="V69" s="231"/>
    </row>
    <row r="70" ht="15.75" customHeight="1">
      <c r="A70" s="260" t="s">
        <v>232</v>
      </c>
      <c r="B70" s="282"/>
      <c r="C70" s="239" t="str">
        <f t="shared" si="1"/>
        <v>#DIV/0!</v>
      </c>
      <c r="D70" s="283"/>
      <c r="E70" s="226"/>
      <c r="F70" s="260" t="s">
        <v>232</v>
      </c>
      <c r="G70" s="268"/>
      <c r="H70" s="239" t="str">
        <f t="shared" si="7"/>
        <v>#DIV/0!</v>
      </c>
      <c r="I70" s="266"/>
      <c r="J70" s="226"/>
      <c r="K70" s="260" t="s">
        <v>232</v>
      </c>
      <c r="L70" s="267"/>
      <c r="M70" s="231"/>
      <c r="N70" s="231"/>
      <c r="O70" s="231"/>
      <c r="P70" s="231"/>
      <c r="Q70" s="231"/>
      <c r="R70" s="231"/>
      <c r="S70" s="231"/>
      <c r="T70" s="231"/>
      <c r="U70" s="231"/>
      <c r="V70" s="231"/>
    </row>
    <row r="71" ht="15.75" customHeight="1">
      <c r="A71" s="260" t="s">
        <v>233</v>
      </c>
      <c r="B71" s="282"/>
      <c r="C71" s="239" t="str">
        <f t="shared" si="1"/>
        <v>#DIV/0!</v>
      </c>
      <c r="D71" s="283"/>
      <c r="E71" s="226"/>
      <c r="F71" s="260" t="s">
        <v>233</v>
      </c>
      <c r="G71" s="268"/>
      <c r="H71" s="239" t="str">
        <f t="shared" si="7"/>
        <v>#DIV/0!</v>
      </c>
      <c r="I71" s="266"/>
      <c r="J71" s="226"/>
      <c r="K71" s="260" t="s">
        <v>233</v>
      </c>
      <c r="L71" s="267"/>
      <c r="M71" s="231"/>
      <c r="N71" s="231"/>
      <c r="O71" s="231"/>
      <c r="P71" s="231"/>
      <c r="Q71" s="231"/>
      <c r="R71" s="231"/>
      <c r="S71" s="231"/>
      <c r="T71" s="231"/>
      <c r="U71" s="231"/>
      <c r="V71" s="231"/>
    </row>
    <row r="72" ht="15.75" customHeight="1">
      <c r="A72" s="260" t="s">
        <v>234</v>
      </c>
      <c r="B72" s="282"/>
      <c r="C72" s="239" t="str">
        <f t="shared" si="1"/>
        <v>#DIV/0!</v>
      </c>
      <c r="D72" s="283"/>
      <c r="E72" s="226"/>
      <c r="F72" s="260" t="s">
        <v>234</v>
      </c>
      <c r="G72" s="268"/>
      <c r="H72" s="239" t="str">
        <f t="shared" si="7"/>
        <v>#DIV/0!</v>
      </c>
      <c r="I72" s="266"/>
      <c r="J72" s="226"/>
      <c r="K72" s="260" t="s">
        <v>234</v>
      </c>
      <c r="L72" s="267"/>
      <c r="M72" s="231"/>
      <c r="N72" s="231"/>
      <c r="O72" s="231"/>
      <c r="P72" s="231"/>
      <c r="Q72" s="231"/>
      <c r="R72" s="231"/>
      <c r="S72" s="231"/>
      <c r="T72" s="231"/>
      <c r="U72" s="231"/>
      <c r="V72" s="231"/>
    </row>
    <row r="73" ht="15.75" customHeight="1">
      <c r="A73" s="260" t="s">
        <v>235</v>
      </c>
      <c r="B73" s="282"/>
      <c r="C73" s="239" t="str">
        <f t="shared" si="1"/>
        <v>#DIV/0!</v>
      </c>
      <c r="D73" s="283"/>
      <c r="E73" s="226"/>
      <c r="F73" s="260" t="s">
        <v>235</v>
      </c>
      <c r="G73" s="268"/>
      <c r="H73" s="239" t="str">
        <f t="shared" si="7"/>
        <v>#DIV/0!</v>
      </c>
      <c r="I73" s="266"/>
      <c r="J73" s="226"/>
      <c r="K73" s="260" t="s">
        <v>235</v>
      </c>
      <c r="L73" s="267"/>
      <c r="M73" s="231"/>
      <c r="N73" s="231"/>
      <c r="O73" s="231"/>
      <c r="P73" s="231"/>
      <c r="Q73" s="231"/>
      <c r="R73" s="231"/>
      <c r="S73" s="231"/>
      <c r="T73" s="231"/>
      <c r="U73" s="231"/>
      <c r="V73" s="231"/>
    </row>
    <row r="74" ht="15.75" customHeight="1">
      <c r="A74" s="260" t="s">
        <v>236</v>
      </c>
      <c r="B74" s="282"/>
      <c r="C74" s="239" t="str">
        <f t="shared" si="1"/>
        <v>#DIV/0!</v>
      </c>
      <c r="D74" s="283"/>
      <c r="E74" s="226"/>
      <c r="F74" s="260" t="s">
        <v>236</v>
      </c>
      <c r="G74" s="268"/>
      <c r="H74" s="239" t="str">
        <f t="shared" si="7"/>
        <v>#DIV/0!</v>
      </c>
      <c r="I74" s="266"/>
      <c r="J74" s="226"/>
      <c r="K74" s="260" t="s">
        <v>236</v>
      </c>
      <c r="L74" s="267"/>
      <c r="M74" s="231"/>
      <c r="N74" s="231"/>
      <c r="O74" s="231"/>
      <c r="P74" s="231"/>
      <c r="Q74" s="231"/>
      <c r="R74" s="231"/>
      <c r="S74" s="231"/>
      <c r="T74" s="231"/>
      <c r="U74" s="231"/>
      <c r="V74" s="231"/>
    </row>
    <row r="75" ht="15.75" customHeight="1">
      <c r="A75" s="260" t="s">
        <v>237</v>
      </c>
      <c r="B75" s="282"/>
      <c r="C75" s="239" t="str">
        <f t="shared" si="1"/>
        <v>#DIV/0!</v>
      </c>
      <c r="D75" s="283"/>
      <c r="E75" s="226"/>
      <c r="F75" s="260" t="s">
        <v>237</v>
      </c>
      <c r="G75" s="268"/>
      <c r="H75" s="239" t="str">
        <f t="shared" si="7"/>
        <v>#DIV/0!</v>
      </c>
      <c r="I75" s="266"/>
      <c r="J75" s="226"/>
      <c r="K75" s="260" t="s">
        <v>237</v>
      </c>
      <c r="L75" s="267"/>
      <c r="M75" s="231"/>
      <c r="N75" s="231"/>
      <c r="O75" s="231"/>
      <c r="P75" s="231"/>
      <c r="Q75" s="231"/>
      <c r="R75" s="231"/>
      <c r="S75" s="231"/>
      <c r="T75" s="231"/>
      <c r="U75" s="231"/>
      <c r="V75" s="231"/>
    </row>
    <row r="76" ht="15.75" customHeight="1">
      <c r="A76" s="260" t="s">
        <v>238</v>
      </c>
      <c r="B76" s="282"/>
      <c r="C76" s="239" t="str">
        <f t="shared" si="1"/>
        <v>#DIV/0!</v>
      </c>
      <c r="D76" s="283"/>
      <c r="E76" s="226"/>
      <c r="F76" s="260" t="s">
        <v>238</v>
      </c>
      <c r="G76" s="268"/>
      <c r="H76" s="239" t="str">
        <f t="shared" si="7"/>
        <v>#DIV/0!</v>
      </c>
      <c r="I76" s="266"/>
      <c r="J76" s="226"/>
      <c r="K76" s="260" t="s">
        <v>238</v>
      </c>
      <c r="L76" s="267"/>
      <c r="M76" s="231"/>
      <c r="N76" s="231"/>
      <c r="O76" s="231"/>
      <c r="P76" s="231"/>
      <c r="Q76" s="231"/>
      <c r="R76" s="231"/>
      <c r="S76" s="231"/>
      <c r="T76" s="231"/>
      <c r="U76" s="231"/>
      <c r="V76" s="231"/>
    </row>
    <row r="77" ht="15.75" customHeight="1">
      <c r="A77" s="260" t="s">
        <v>239</v>
      </c>
      <c r="B77" s="282"/>
      <c r="C77" s="239" t="str">
        <f t="shared" si="1"/>
        <v>#DIV/0!</v>
      </c>
      <c r="D77" s="283"/>
      <c r="E77" s="226"/>
      <c r="F77" s="260" t="s">
        <v>239</v>
      </c>
      <c r="G77" s="268"/>
      <c r="H77" s="239" t="str">
        <f t="shared" si="7"/>
        <v>#DIV/0!</v>
      </c>
      <c r="I77" s="266"/>
      <c r="J77" s="226"/>
      <c r="K77" s="260" t="s">
        <v>239</v>
      </c>
      <c r="L77" s="267"/>
      <c r="M77" s="231"/>
      <c r="N77" s="231"/>
      <c r="O77" s="231"/>
      <c r="P77" s="231"/>
      <c r="Q77" s="231"/>
      <c r="R77" s="231"/>
      <c r="S77" s="231"/>
      <c r="T77" s="231"/>
      <c r="U77" s="231"/>
      <c r="V77" s="231"/>
    </row>
    <row r="78" ht="15.75" customHeight="1">
      <c r="A78" s="260" t="s">
        <v>240</v>
      </c>
      <c r="B78" s="282"/>
      <c r="C78" s="239" t="str">
        <f t="shared" si="1"/>
        <v>#DIV/0!</v>
      </c>
      <c r="D78" s="283"/>
      <c r="E78" s="226"/>
      <c r="F78" s="260" t="s">
        <v>240</v>
      </c>
      <c r="G78" s="265"/>
      <c r="H78" s="239" t="str">
        <f t="shared" si="7"/>
        <v>#DIV/0!</v>
      </c>
      <c r="I78" s="266"/>
      <c r="J78" s="226"/>
      <c r="K78" s="260" t="s">
        <v>240</v>
      </c>
      <c r="L78" s="267"/>
      <c r="M78" s="231"/>
      <c r="N78" s="231"/>
      <c r="O78" s="231"/>
      <c r="P78" s="231"/>
      <c r="Q78" s="231"/>
      <c r="R78" s="231"/>
      <c r="S78" s="231"/>
      <c r="T78" s="231"/>
      <c r="U78" s="231"/>
      <c r="V78" s="231"/>
    </row>
    <row r="79" ht="15.75" customHeight="1">
      <c r="A79" s="260" t="s">
        <v>241</v>
      </c>
      <c r="B79" s="282"/>
      <c r="C79" s="239" t="str">
        <f t="shared" si="1"/>
        <v>#DIV/0!</v>
      </c>
      <c r="D79" s="283"/>
      <c r="E79" s="226"/>
      <c r="F79" s="260" t="s">
        <v>241</v>
      </c>
      <c r="G79" s="265"/>
      <c r="H79" s="239" t="str">
        <f t="shared" si="7"/>
        <v>#DIV/0!</v>
      </c>
      <c r="I79" s="266"/>
      <c r="J79" s="226"/>
      <c r="K79" s="260" t="s">
        <v>241</v>
      </c>
      <c r="L79" s="267"/>
      <c r="M79" s="231"/>
      <c r="N79" s="231"/>
      <c r="O79" s="231"/>
      <c r="P79" s="231"/>
      <c r="Q79" s="231"/>
      <c r="R79" s="231"/>
      <c r="S79" s="231"/>
      <c r="T79" s="231"/>
      <c r="U79" s="231"/>
      <c r="V79" s="231"/>
    </row>
    <row r="80" ht="15.75" customHeight="1">
      <c r="A80" s="260" t="s">
        <v>242</v>
      </c>
      <c r="B80" s="282"/>
      <c r="C80" s="239" t="str">
        <f t="shared" si="1"/>
        <v>#DIV/0!</v>
      </c>
      <c r="D80" s="283"/>
      <c r="E80" s="226"/>
      <c r="F80" s="260" t="s">
        <v>242</v>
      </c>
      <c r="G80" s="265"/>
      <c r="H80" s="239" t="str">
        <f t="shared" si="7"/>
        <v>#DIV/0!</v>
      </c>
      <c r="I80" s="266"/>
      <c r="J80" s="226"/>
      <c r="K80" s="260" t="s">
        <v>242</v>
      </c>
      <c r="L80" s="267"/>
      <c r="M80" s="231"/>
      <c r="N80" s="231"/>
      <c r="O80" s="231"/>
      <c r="P80" s="231"/>
      <c r="Q80" s="231"/>
      <c r="R80" s="231"/>
      <c r="S80" s="231"/>
      <c r="T80" s="231"/>
      <c r="U80" s="231"/>
      <c r="V80" s="231"/>
    </row>
    <row r="81" ht="15.75" customHeight="1">
      <c r="A81" s="260" t="s">
        <v>243</v>
      </c>
      <c r="B81" s="282"/>
      <c r="C81" s="239" t="str">
        <f t="shared" si="1"/>
        <v>#DIV/0!</v>
      </c>
      <c r="D81" s="283"/>
      <c r="E81" s="226"/>
      <c r="F81" s="260" t="s">
        <v>243</v>
      </c>
      <c r="G81" s="265"/>
      <c r="H81" s="239" t="str">
        <f t="shared" si="7"/>
        <v>#DIV/0!</v>
      </c>
      <c r="I81" s="266"/>
      <c r="J81" s="226"/>
      <c r="K81" s="260" t="s">
        <v>243</v>
      </c>
      <c r="L81" s="267"/>
      <c r="M81" s="231"/>
      <c r="N81" s="231"/>
      <c r="O81" s="231"/>
      <c r="P81" s="231"/>
      <c r="Q81" s="231"/>
      <c r="R81" s="231"/>
      <c r="S81" s="231"/>
      <c r="T81" s="231"/>
      <c r="U81" s="231"/>
      <c r="V81" s="231"/>
    </row>
    <row r="82" ht="15.75" customHeight="1">
      <c r="A82" s="226"/>
      <c r="B82" s="242"/>
      <c r="C82" s="250"/>
      <c r="D82" s="250"/>
      <c r="E82" s="226"/>
      <c r="F82" s="229"/>
      <c r="G82" s="251"/>
      <c r="H82" s="251"/>
      <c r="I82" s="251"/>
      <c r="J82" s="229"/>
      <c r="K82" s="229"/>
      <c r="L82" s="229"/>
      <c r="M82" s="231"/>
      <c r="N82" s="231"/>
      <c r="O82" s="231"/>
      <c r="P82" s="231"/>
      <c r="Q82" s="231"/>
      <c r="R82" s="231"/>
      <c r="S82" s="231"/>
      <c r="T82" s="231"/>
      <c r="U82" s="231"/>
      <c r="V82" s="231"/>
    </row>
    <row r="83" ht="15.75" customHeight="1">
      <c r="A83" s="226"/>
      <c r="B83" s="242"/>
      <c r="C83" s="250"/>
      <c r="D83" s="250"/>
      <c r="E83" s="226"/>
      <c r="F83" s="229"/>
      <c r="G83" s="251"/>
      <c r="H83" s="251"/>
      <c r="I83" s="251"/>
      <c r="J83" s="229"/>
      <c r="K83" s="229"/>
      <c r="L83" s="229"/>
      <c r="M83" s="231"/>
      <c r="N83" s="231"/>
      <c r="O83" s="231"/>
      <c r="P83" s="231"/>
      <c r="Q83" s="231"/>
      <c r="R83" s="231"/>
      <c r="S83" s="231"/>
      <c r="T83" s="231"/>
      <c r="U83" s="231"/>
      <c r="V83" s="231"/>
    </row>
    <row r="84" ht="15.75" customHeight="1">
      <c r="A84" s="229"/>
      <c r="B84" s="240"/>
      <c r="C84" s="251"/>
      <c r="D84" s="251"/>
      <c r="E84" s="226"/>
      <c r="F84" s="229"/>
      <c r="G84" s="251"/>
      <c r="H84" s="229"/>
      <c r="I84" s="229"/>
      <c r="J84" s="229"/>
      <c r="K84" s="229"/>
      <c r="L84" s="229"/>
      <c r="M84" s="231"/>
      <c r="N84" s="231"/>
      <c r="O84" s="231"/>
      <c r="P84" s="231"/>
      <c r="Q84" s="231"/>
      <c r="R84" s="231"/>
      <c r="S84" s="231"/>
      <c r="T84" s="231"/>
      <c r="U84" s="231"/>
      <c r="V84" s="231"/>
    </row>
    <row r="85" ht="15.75" customHeight="1">
      <c r="A85" s="229"/>
      <c r="B85" s="240"/>
      <c r="C85" s="251"/>
      <c r="D85" s="251"/>
      <c r="E85" s="226"/>
      <c r="F85" s="229"/>
      <c r="G85" s="251"/>
      <c r="H85" s="229"/>
      <c r="I85" s="229"/>
      <c r="J85" s="229"/>
      <c r="K85" s="229"/>
      <c r="L85" s="229"/>
      <c r="M85" s="231"/>
      <c r="N85" s="231"/>
      <c r="O85" s="231"/>
      <c r="P85" s="231"/>
      <c r="Q85" s="231"/>
      <c r="R85" s="231"/>
      <c r="S85" s="231"/>
      <c r="T85" s="231"/>
      <c r="U85" s="231"/>
      <c r="V85" s="231"/>
    </row>
    <row r="86" ht="15.75" customHeight="1">
      <c r="A86" s="229"/>
      <c r="B86" s="240"/>
      <c r="C86" s="251"/>
      <c r="D86" s="251"/>
      <c r="E86" s="226"/>
      <c r="F86" s="229"/>
      <c r="G86" s="251"/>
      <c r="H86" s="229"/>
      <c r="I86" s="229"/>
      <c r="J86" s="229"/>
      <c r="K86" s="229"/>
      <c r="L86" s="252"/>
      <c r="M86" s="231"/>
      <c r="N86" s="231"/>
      <c r="O86" s="231"/>
      <c r="P86" s="231"/>
      <c r="Q86" s="231"/>
      <c r="R86" s="231"/>
      <c r="S86" s="231"/>
      <c r="T86" s="231"/>
      <c r="U86" s="231"/>
      <c r="V86" s="231"/>
    </row>
    <row r="87" ht="15.75" customHeight="1">
      <c r="A87" s="229"/>
      <c r="B87" s="240"/>
      <c r="C87" s="251"/>
      <c r="D87" s="251"/>
      <c r="E87" s="226"/>
      <c r="F87" s="229"/>
      <c r="G87" s="251"/>
      <c r="H87" s="229"/>
      <c r="I87" s="229"/>
      <c r="J87" s="229"/>
      <c r="K87" s="229"/>
      <c r="L87" s="252"/>
      <c r="M87" s="231"/>
      <c r="N87" s="231"/>
      <c r="O87" s="231"/>
      <c r="P87" s="231"/>
      <c r="Q87" s="231"/>
      <c r="R87" s="231"/>
      <c r="S87" s="231"/>
      <c r="T87" s="231"/>
      <c r="U87" s="231"/>
      <c r="V87" s="231"/>
    </row>
    <row r="88" ht="15.75" customHeight="1">
      <c r="A88" s="229"/>
      <c r="B88" s="240"/>
      <c r="C88" s="251"/>
      <c r="D88" s="251"/>
      <c r="E88" s="226"/>
      <c r="F88" s="229"/>
      <c r="G88" s="251"/>
      <c r="H88" s="229"/>
      <c r="I88" s="229"/>
      <c r="J88" s="229"/>
      <c r="K88" s="229"/>
      <c r="L88" s="252"/>
      <c r="M88" s="231"/>
      <c r="N88" s="231"/>
      <c r="O88" s="231"/>
      <c r="P88" s="231"/>
      <c r="Q88" s="231"/>
      <c r="R88" s="231"/>
      <c r="S88" s="231"/>
      <c r="T88" s="231"/>
      <c r="U88" s="231"/>
      <c r="V88" s="231"/>
    </row>
    <row r="89" ht="15.75" customHeight="1">
      <c r="A89" s="229"/>
      <c r="B89" s="240"/>
      <c r="C89" s="251"/>
      <c r="D89" s="251"/>
      <c r="E89" s="226"/>
      <c r="F89" s="229"/>
      <c r="G89" s="251"/>
      <c r="H89" s="229"/>
      <c r="I89" s="229"/>
      <c r="J89" s="229"/>
      <c r="K89" s="229"/>
      <c r="L89" s="252"/>
      <c r="M89" s="231"/>
      <c r="N89" s="231"/>
      <c r="O89" s="231"/>
      <c r="P89" s="231"/>
      <c r="Q89" s="231"/>
      <c r="R89" s="231"/>
      <c r="S89" s="231"/>
      <c r="T89" s="231"/>
      <c r="U89" s="231"/>
      <c r="V89" s="231"/>
    </row>
    <row r="90" ht="15.75" customHeight="1">
      <c r="A90" s="229"/>
      <c r="B90" s="240"/>
      <c r="C90" s="251"/>
      <c r="D90" s="251"/>
      <c r="E90" s="226"/>
      <c r="F90" s="229"/>
      <c r="G90" s="251"/>
      <c r="H90" s="229"/>
      <c r="I90" s="229"/>
      <c r="J90" s="229"/>
      <c r="K90" s="229"/>
      <c r="L90" s="252"/>
      <c r="M90" s="231"/>
      <c r="N90" s="231"/>
      <c r="O90" s="231"/>
      <c r="P90" s="231"/>
      <c r="Q90" s="231"/>
      <c r="R90" s="231"/>
      <c r="S90" s="231"/>
      <c r="T90" s="231"/>
      <c r="U90" s="231"/>
      <c r="V90" s="231"/>
    </row>
    <row r="91" ht="15.75" customHeight="1">
      <c r="A91" s="229"/>
      <c r="B91" s="240"/>
      <c r="C91" s="251"/>
      <c r="D91" s="251"/>
      <c r="E91" s="226"/>
      <c r="F91" s="229"/>
      <c r="G91" s="251"/>
      <c r="H91" s="229"/>
      <c r="I91" s="229"/>
      <c r="J91" s="229"/>
      <c r="K91" s="229"/>
      <c r="L91" s="252"/>
      <c r="M91" s="231"/>
      <c r="N91" s="231"/>
      <c r="O91" s="231"/>
      <c r="P91" s="231"/>
      <c r="Q91" s="231"/>
      <c r="R91" s="231"/>
      <c r="S91" s="231"/>
      <c r="T91" s="231"/>
      <c r="U91" s="231"/>
      <c r="V91" s="231"/>
    </row>
    <row r="92" ht="15.75" customHeight="1">
      <c r="A92" s="229"/>
      <c r="B92" s="240"/>
      <c r="C92" s="251"/>
      <c r="D92" s="251"/>
      <c r="E92" s="226"/>
      <c r="F92" s="229"/>
      <c r="G92" s="251"/>
      <c r="H92" s="229"/>
      <c r="I92" s="229"/>
      <c r="J92" s="229"/>
      <c r="K92" s="229"/>
      <c r="L92" s="253"/>
      <c r="M92" s="231"/>
      <c r="N92" s="231"/>
      <c r="O92" s="231"/>
      <c r="P92" s="231"/>
      <c r="Q92" s="231"/>
      <c r="R92" s="231"/>
      <c r="S92" s="231"/>
      <c r="T92" s="231"/>
      <c r="U92" s="231"/>
      <c r="V92" s="231"/>
    </row>
    <row r="93" ht="15.75" customHeight="1">
      <c r="A93" s="229"/>
      <c r="B93" s="240"/>
      <c r="C93" s="251"/>
      <c r="D93" s="251"/>
      <c r="E93" s="226"/>
      <c r="F93" s="229"/>
      <c r="G93" s="251"/>
      <c r="H93" s="229"/>
      <c r="I93" s="229"/>
      <c r="J93" s="229"/>
      <c r="K93" s="229"/>
      <c r="L93" s="253"/>
      <c r="M93" s="231"/>
      <c r="N93" s="231"/>
      <c r="O93" s="231"/>
      <c r="P93" s="231"/>
      <c r="Q93" s="231"/>
      <c r="R93" s="231"/>
      <c r="S93" s="231"/>
      <c r="T93" s="231"/>
      <c r="U93" s="231"/>
      <c r="V93" s="231"/>
    </row>
    <row r="94" ht="15.75" customHeight="1">
      <c r="A94" s="229"/>
      <c r="B94" s="240"/>
      <c r="C94" s="251"/>
      <c r="D94" s="251"/>
      <c r="E94" s="226"/>
      <c r="F94" s="229"/>
      <c r="G94" s="251"/>
      <c r="H94" s="229"/>
      <c r="I94" s="229"/>
      <c r="J94" s="229"/>
      <c r="K94" s="229"/>
      <c r="L94" s="253"/>
      <c r="M94" s="231"/>
      <c r="N94" s="231"/>
      <c r="O94" s="231"/>
      <c r="P94" s="231"/>
      <c r="Q94" s="231"/>
      <c r="R94" s="231"/>
      <c r="S94" s="231"/>
      <c r="T94" s="231"/>
      <c r="U94" s="231"/>
      <c r="V94" s="231"/>
    </row>
    <row r="95" ht="15.75" customHeight="1">
      <c r="A95" s="229"/>
      <c r="B95" s="240"/>
      <c r="C95" s="251"/>
      <c r="D95" s="251"/>
      <c r="E95" s="226"/>
      <c r="F95" s="229"/>
      <c r="G95" s="251"/>
      <c r="H95" s="229"/>
      <c r="I95" s="229"/>
      <c r="J95" s="229"/>
      <c r="K95" s="229"/>
      <c r="L95" s="253"/>
      <c r="M95" s="231"/>
      <c r="N95" s="231"/>
      <c r="O95" s="231"/>
      <c r="P95" s="231"/>
      <c r="Q95" s="231"/>
      <c r="R95" s="231"/>
      <c r="S95" s="231"/>
      <c r="T95" s="231"/>
      <c r="U95" s="231"/>
      <c r="V95" s="231"/>
    </row>
    <row r="96" ht="15.75" customHeight="1">
      <c r="A96" s="229"/>
      <c r="B96" s="240"/>
      <c r="C96" s="251"/>
      <c r="D96" s="251"/>
      <c r="E96" s="226"/>
      <c r="F96" s="229"/>
      <c r="G96" s="251"/>
      <c r="H96" s="229"/>
      <c r="I96" s="229"/>
      <c r="J96" s="229"/>
      <c r="K96" s="229"/>
      <c r="L96" s="252"/>
      <c r="M96" s="231"/>
      <c r="N96" s="231"/>
      <c r="O96" s="231"/>
      <c r="P96" s="231"/>
      <c r="Q96" s="231"/>
      <c r="R96" s="231"/>
      <c r="S96" s="231"/>
      <c r="T96" s="231"/>
      <c r="U96" s="231"/>
      <c r="V96" s="231"/>
    </row>
    <row r="97" ht="15.75" customHeight="1">
      <c r="A97" s="229"/>
      <c r="B97" s="240"/>
      <c r="C97" s="251"/>
      <c r="D97" s="251"/>
      <c r="E97" s="226"/>
      <c r="F97" s="229"/>
      <c r="G97" s="251"/>
      <c r="H97" s="229"/>
      <c r="I97" s="229"/>
      <c r="J97" s="229"/>
      <c r="K97" s="229"/>
      <c r="L97" s="252"/>
      <c r="M97" s="231"/>
      <c r="N97" s="231"/>
      <c r="O97" s="231"/>
      <c r="P97" s="231"/>
      <c r="Q97" s="231"/>
      <c r="R97" s="231"/>
      <c r="S97" s="231"/>
      <c r="T97" s="231"/>
      <c r="U97" s="231"/>
      <c r="V97" s="231"/>
    </row>
    <row r="98" ht="15.75" customHeight="1">
      <c r="A98" s="229"/>
      <c r="B98" s="240"/>
      <c r="C98" s="251"/>
      <c r="D98" s="251"/>
      <c r="E98" s="226"/>
      <c r="F98" s="229"/>
      <c r="G98" s="251"/>
      <c r="H98" s="229"/>
      <c r="I98" s="229"/>
      <c r="J98" s="229"/>
      <c r="K98" s="229"/>
      <c r="L98" s="253"/>
      <c r="M98" s="231"/>
      <c r="N98" s="231"/>
      <c r="O98" s="231"/>
      <c r="P98" s="231"/>
      <c r="Q98" s="231"/>
      <c r="R98" s="231"/>
      <c r="S98" s="231"/>
      <c r="T98" s="231"/>
      <c r="U98" s="231"/>
      <c r="V98" s="231"/>
    </row>
    <row r="99" ht="15.75" customHeight="1">
      <c r="A99" s="229"/>
      <c r="B99" s="240"/>
      <c r="C99" s="251"/>
      <c r="D99" s="251"/>
      <c r="E99" s="226"/>
      <c r="F99" s="229"/>
      <c r="G99" s="251"/>
      <c r="H99" s="229"/>
      <c r="I99" s="229"/>
      <c r="J99" s="229"/>
      <c r="K99" s="229"/>
      <c r="L99" s="252"/>
      <c r="M99" s="231"/>
      <c r="N99" s="231"/>
      <c r="O99" s="231"/>
      <c r="P99" s="231"/>
      <c r="Q99" s="231"/>
      <c r="R99" s="231"/>
      <c r="S99" s="231"/>
      <c r="T99" s="231"/>
      <c r="U99" s="231"/>
      <c r="V99" s="231"/>
    </row>
    <row r="100" ht="15.75" customHeight="1">
      <c r="A100" s="229"/>
      <c r="B100" s="240"/>
      <c r="C100" s="251"/>
      <c r="D100" s="251"/>
      <c r="E100" s="226"/>
      <c r="F100" s="229"/>
      <c r="G100" s="251"/>
      <c r="H100" s="229"/>
      <c r="I100" s="229"/>
      <c r="J100" s="229"/>
      <c r="K100" s="229"/>
      <c r="L100" s="253"/>
      <c r="M100" s="231"/>
      <c r="N100" s="231"/>
      <c r="O100" s="231"/>
      <c r="P100" s="231"/>
      <c r="Q100" s="231"/>
      <c r="R100" s="231"/>
      <c r="S100" s="231"/>
      <c r="T100" s="231"/>
      <c r="U100" s="231"/>
      <c r="V100" s="231"/>
    </row>
    <row r="101" ht="15.75" customHeight="1">
      <c r="A101" s="231"/>
      <c r="B101" s="284"/>
      <c r="C101" s="254"/>
      <c r="D101" s="254"/>
      <c r="E101" s="231"/>
      <c r="F101" s="231"/>
      <c r="G101" s="255"/>
      <c r="H101" s="231"/>
      <c r="I101" s="231"/>
      <c r="J101" s="231"/>
      <c r="K101" s="231"/>
      <c r="L101" s="231"/>
      <c r="M101" s="231"/>
      <c r="N101" s="231"/>
      <c r="O101" s="231"/>
      <c r="P101" s="231"/>
      <c r="Q101" s="231"/>
      <c r="R101" s="231"/>
      <c r="S101" s="231"/>
      <c r="T101" s="231"/>
      <c r="U101" s="231"/>
      <c r="V101" s="231"/>
    </row>
    <row r="102" ht="15.75" customHeight="1">
      <c r="A102" s="231"/>
      <c r="B102" s="284"/>
      <c r="C102" s="254"/>
      <c r="D102" s="254"/>
      <c r="E102" s="231"/>
      <c r="F102" s="231"/>
      <c r="G102" s="255"/>
      <c r="H102" s="231"/>
      <c r="I102" s="231"/>
      <c r="J102" s="231"/>
      <c r="K102" s="231"/>
      <c r="L102" s="231"/>
      <c r="M102" s="231"/>
      <c r="N102" s="231"/>
      <c r="O102" s="231"/>
      <c r="P102" s="231"/>
      <c r="Q102" s="231"/>
      <c r="R102" s="231"/>
      <c r="S102" s="231"/>
      <c r="T102" s="231"/>
      <c r="U102" s="231"/>
      <c r="V102" s="231"/>
    </row>
    <row r="103" ht="15.75" customHeight="1">
      <c r="A103" s="231"/>
      <c r="B103" s="284"/>
      <c r="C103" s="254"/>
      <c r="D103" s="254"/>
      <c r="E103" s="231"/>
      <c r="F103" s="231"/>
      <c r="G103" s="255"/>
      <c r="H103" s="231"/>
      <c r="I103" s="231"/>
      <c r="J103" s="231"/>
      <c r="K103" s="231"/>
      <c r="L103" s="231"/>
      <c r="M103" s="231"/>
      <c r="N103" s="231"/>
      <c r="O103" s="231"/>
      <c r="P103" s="231"/>
      <c r="Q103" s="231"/>
      <c r="R103" s="231"/>
      <c r="S103" s="231"/>
      <c r="T103" s="231"/>
      <c r="U103" s="231"/>
      <c r="V103" s="231"/>
    </row>
    <row r="104" ht="15.75" customHeight="1">
      <c r="A104" s="231"/>
      <c r="B104" s="284"/>
      <c r="C104" s="254"/>
      <c r="D104" s="254"/>
      <c r="E104" s="231"/>
      <c r="F104" s="231"/>
      <c r="G104" s="255"/>
      <c r="H104" s="231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</row>
    <row r="105" ht="15.75" customHeight="1">
      <c r="A105" s="231"/>
      <c r="B105" s="284"/>
      <c r="C105" s="254"/>
      <c r="D105" s="254"/>
      <c r="E105" s="231"/>
      <c r="F105" s="231"/>
      <c r="G105" s="255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/>
      <c r="U105" s="231"/>
      <c r="V105" s="231"/>
    </row>
    <row r="106" ht="15.75" customHeight="1">
      <c r="A106" s="231"/>
      <c r="B106" s="284"/>
      <c r="C106" s="254"/>
      <c r="D106" s="254"/>
      <c r="E106" s="231"/>
      <c r="F106" s="231"/>
      <c r="G106" s="255"/>
      <c r="H106" s="231"/>
      <c r="I106" s="231"/>
      <c r="J106" s="231"/>
      <c r="K106" s="231"/>
      <c r="L106" s="231"/>
      <c r="M106" s="231"/>
      <c r="N106" s="231"/>
      <c r="O106" s="231"/>
      <c r="P106" s="231"/>
      <c r="Q106" s="231"/>
      <c r="R106" s="231"/>
      <c r="S106" s="231"/>
      <c r="T106" s="231"/>
      <c r="U106" s="231"/>
      <c r="V106" s="231"/>
    </row>
    <row r="107" ht="15.75" customHeight="1">
      <c r="A107" s="231"/>
      <c r="B107" s="284"/>
      <c r="C107" s="254"/>
      <c r="D107" s="254"/>
      <c r="E107" s="231"/>
      <c r="F107" s="231"/>
      <c r="G107" s="255"/>
      <c r="H107" s="231"/>
      <c r="I107" s="231"/>
      <c r="J107" s="231"/>
      <c r="K107" s="231"/>
      <c r="L107" s="231"/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</row>
    <row r="108" ht="15.75" customHeight="1">
      <c r="A108" s="231"/>
      <c r="B108" s="284"/>
      <c r="C108" s="254"/>
      <c r="D108" s="254"/>
      <c r="E108" s="231"/>
      <c r="F108" s="231"/>
      <c r="G108" s="255"/>
      <c r="H108" s="231"/>
      <c r="I108" s="231"/>
      <c r="J108" s="231"/>
      <c r="K108" s="231"/>
      <c r="L108" s="231"/>
      <c r="M108" s="231"/>
      <c r="N108" s="231"/>
      <c r="O108" s="231"/>
      <c r="P108" s="231"/>
      <c r="Q108" s="231"/>
      <c r="R108" s="231"/>
      <c r="S108" s="231"/>
      <c r="T108" s="231"/>
      <c r="U108" s="231"/>
      <c r="V108" s="231"/>
    </row>
    <row r="109" ht="15.75" customHeight="1">
      <c r="A109" s="231"/>
      <c r="B109" s="284"/>
      <c r="C109" s="254"/>
      <c r="D109" s="254"/>
      <c r="E109" s="231"/>
      <c r="F109" s="231"/>
      <c r="G109" s="255"/>
      <c r="H109" s="231"/>
      <c r="I109" s="231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</row>
    <row r="110" ht="15.75" customHeight="1">
      <c r="A110" s="231"/>
      <c r="B110" s="284"/>
      <c r="C110" s="254"/>
      <c r="D110" s="254"/>
      <c r="E110" s="231"/>
      <c r="F110" s="231"/>
      <c r="G110" s="255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</row>
    <row r="111" ht="15.75" customHeight="1">
      <c r="A111" s="231"/>
      <c r="B111" s="284"/>
      <c r="C111" s="254"/>
      <c r="D111" s="254"/>
      <c r="E111" s="231"/>
      <c r="F111" s="231"/>
      <c r="G111" s="255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</row>
    <row r="112" ht="15.75" customHeight="1">
      <c r="A112" s="231"/>
      <c r="B112" s="284"/>
      <c r="C112" s="254"/>
      <c r="D112" s="254"/>
      <c r="E112" s="231"/>
      <c r="F112" s="231"/>
      <c r="G112" s="255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</row>
    <row r="113" ht="15.75" customHeight="1">
      <c r="A113" s="231"/>
      <c r="B113" s="284"/>
      <c r="C113" s="254"/>
      <c r="D113" s="254"/>
      <c r="E113" s="231"/>
      <c r="F113" s="231"/>
      <c r="G113" s="255"/>
      <c r="H113" s="231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</row>
    <row r="114" ht="15.75" customHeight="1">
      <c r="A114" s="231"/>
      <c r="B114" s="284"/>
      <c r="C114" s="254"/>
      <c r="D114" s="254"/>
      <c r="E114" s="231"/>
      <c r="F114" s="231"/>
      <c r="G114" s="255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</row>
    <row r="115" ht="15.75" customHeight="1">
      <c r="A115" s="231"/>
      <c r="B115" s="284"/>
      <c r="C115" s="254"/>
      <c r="D115" s="254"/>
      <c r="E115" s="231"/>
      <c r="F115" s="231"/>
      <c r="G115" s="255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</row>
    <row r="116" ht="15.75" customHeight="1">
      <c r="A116" s="231"/>
      <c r="B116" s="284"/>
      <c r="C116" s="254"/>
      <c r="D116" s="254"/>
      <c r="E116" s="231"/>
      <c r="F116" s="231"/>
      <c r="G116" s="255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</row>
    <row r="117" ht="15.75" customHeight="1">
      <c r="A117" s="231"/>
      <c r="B117" s="284"/>
      <c r="C117" s="254"/>
      <c r="D117" s="254"/>
      <c r="E117" s="231"/>
      <c r="F117" s="231"/>
      <c r="G117" s="255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</row>
    <row r="118" ht="15.75" customHeight="1">
      <c r="A118" s="231"/>
      <c r="B118" s="284"/>
      <c r="C118" s="254"/>
      <c r="D118" s="254"/>
      <c r="E118" s="231"/>
      <c r="F118" s="231"/>
      <c r="G118" s="255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</row>
    <row r="119" ht="15.75" customHeight="1">
      <c r="A119" s="231"/>
      <c r="B119" s="284"/>
      <c r="C119" s="254"/>
      <c r="D119" s="254"/>
      <c r="E119" s="231"/>
      <c r="F119" s="231"/>
      <c r="G119" s="255"/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</row>
    <row r="120" ht="15.75" customHeight="1">
      <c r="A120" s="231"/>
      <c r="B120" s="284"/>
      <c r="C120" s="254"/>
      <c r="D120" s="254"/>
      <c r="E120" s="231"/>
      <c r="F120" s="231"/>
      <c r="G120" s="255"/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</row>
    <row r="121" ht="15.75" customHeight="1">
      <c r="A121" s="231"/>
      <c r="B121" s="284"/>
      <c r="C121" s="254"/>
      <c r="D121" s="254"/>
      <c r="E121" s="231"/>
      <c r="F121" s="231"/>
      <c r="G121" s="255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</row>
    <row r="122" ht="15.75" customHeight="1">
      <c r="A122" s="231"/>
      <c r="B122" s="284"/>
      <c r="C122" s="254"/>
      <c r="D122" s="254"/>
      <c r="E122" s="231"/>
      <c r="F122" s="231"/>
      <c r="G122" s="255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</row>
    <row r="123" ht="15.75" customHeight="1">
      <c r="A123" s="231"/>
      <c r="B123" s="284"/>
      <c r="C123" s="254"/>
      <c r="D123" s="254"/>
      <c r="E123" s="231"/>
      <c r="F123" s="231"/>
      <c r="G123" s="255"/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</row>
    <row r="124" ht="15.75" customHeight="1">
      <c r="A124" s="231"/>
      <c r="B124" s="284"/>
      <c r="C124" s="254"/>
      <c r="D124" s="254"/>
      <c r="E124" s="231"/>
      <c r="F124" s="231"/>
      <c r="G124" s="255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</row>
    <row r="125" ht="15.75" customHeight="1">
      <c r="A125" s="231"/>
      <c r="B125" s="284"/>
      <c r="C125" s="254"/>
      <c r="D125" s="254"/>
      <c r="E125" s="231"/>
      <c r="F125" s="231"/>
      <c r="G125" s="255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</row>
    <row r="126" ht="15.75" customHeight="1">
      <c r="A126" s="231"/>
      <c r="B126" s="284"/>
      <c r="C126" s="254"/>
      <c r="D126" s="254"/>
      <c r="E126" s="231"/>
      <c r="F126" s="231"/>
      <c r="G126" s="255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</row>
    <row r="127" ht="15.75" customHeight="1">
      <c r="A127" s="231"/>
      <c r="B127" s="284"/>
      <c r="C127" s="254"/>
      <c r="D127" s="254"/>
      <c r="E127" s="231"/>
      <c r="F127" s="231"/>
      <c r="G127" s="255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</row>
    <row r="128" ht="15.75" customHeight="1">
      <c r="A128" s="231"/>
      <c r="B128" s="284"/>
      <c r="C128" s="254"/>
      <c r="D128" s="254"/>
      <c r="E128" s="231"/>
      <c r="F128" s="231"/>
      <c r="G128" s="255"/>
      <c r="H128" s="231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</row>
    <row r="129" ht="15.75" customHeight="1">
      <c r="A129" s="231"/>
      <c r="B129" s="284"/>
      <c r="C129" s="254"/>
      <c r="D129" s="254"/>
      <c r="E129" s="231"/>
      <c r="F129" s="231"/>
      <c r="G129" s="255"/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</row>
    <row r="130" ht="15.75" customHeight="1">
      <c r="A130" s="231"/>
      <c r="B130" s="284"/>
      <c r="C130" s="254"/>
      <c r="D130" s="254"/>
      <c r="E130" s="231"/>
      <c r="F130" s="231"/>
      <c r="G130" s="255"/>
      <c r="H130" s="231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</row>
    <row r="131" ht="15.75" customHeight="1">
      <c r="A131" s="231"/>
      <c r="B131" s="284"/>
      <c r="C131" s="254"/>
      <c r="D131" s="254"/>
      <c r="E131" s="231"/>
      <c r="F131" s="231"/>
      <c r="G131" s="255"/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</row>
    <row r="132" ht="15.75" customHeight="1">
      <c r="A132" s="231"/>
      <c r="B132" s="284"/>
      <c r="C132" s="254"/>
      <c r="D132" s="254"/>
      <c r="E132" s="231"/>
      <c r="F132" s="231"/>
      <c r="G132" s="255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</row>
    <row r="133" ht="15.75" customHeight="1">
      <c r="A133" s="231"/>
      <c r="B133" s="284"/>
      <c r="C133" s="254"/>
      <c r="D133" s="254"/>
      <c r="E133" s="231"/>
      <c r="F133" s="231"/>
      <c r="G133" s="255"/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</row>
    <row r="134" ht="15.75" customHeight="1">
      <c r="A134" s="231"/>
      <c r="B134" s="284"/>
      <c r="C134" s="254"/>
      <c r="D134" s="254"/>
      <c r="E134" s="231"/>
      <c r="F134" s="231"/>
      <c r="G134" s="255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</row>
    <row r="135" ht="15.75" customHeight="1">
      <c r="A135" s="231"/>
      <c r="B135" s="284"/>
      <c r="C135" s="254"/>
      <c r="D135" s="254"/>
      <c r="E135" s="231"/>
      <c r="F135" s="231"/>
      <c r="G135" s="255"/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</row>
    <row r="136" ht="15.75" customHeight="1">
      <c r="A136" s="231"/>
      <c r="B136" s="284"/>
      <c r="C136" s="254"/>
      <c r="D136" s="254"/>
      <c r="E136" s="231"/>
      <c r="F136" s="231"/>
      <c r="G136" s="255"/>
      <c r="H136" s="231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</row>
    <row r="137" ht="15.75" customHeight="1">
      <c r="A137" s="231"/>
      <c r="B137" s="284"/>
      <c r="C137" s="254"/>
      <c r="D137" s="254"/>
      <c r="E137" s="231"/>
      <c r="F137" s="231"/>
      <c r="G137" s="255"/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</row>
    <row r="138" ht="15.75" customHeight="1">
      <c r="A138" s="231"/>
      <c r="B138" s="284"/>
      <c r="C138" s="254"/>
      <c r="D138" s="254"/>
      <c r="E138" s="231"/>
      <c r="F138" s="231"/>
      <c r="G138" s="255"/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</row>
    <row r="139" ht="15.75" customHeight="1">
      <c r="A139" s="231"/>
      <c r="B139" s="284"/>
      <c r="C139" s="254"/>
      <c r="D139" s="254"/>
      <c r="E139" s="231"/>
      <c r="F139" s="231"/>
      <c r="G139" s="255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</row>
    <row r="140" ht="15.75" customHeight="1">
      <c r="A140" s="231"/>
      <c r="B140" s="284"/>
      <c r="C140" s="254"/>
      <c r="D140" s="254"/>
      <c r="E140" s="231"/>
      <c r="F140" s="231"/>
      <c r="G140" s="255"/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</row>
    <row r="141" ht="15.75" customHeight="1">
      <c r="A141" s="231"/>
      <c r="B141" s="284"/>
      <c r="C141" s="254"/>
      <c r="D141" s="254"/>
      <c r="E141" s="231"/>
      <c r="F141" s="231"/>
      <c r="G141" s="255"/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</row>
    <row r="142" ht="15.75" customHeight="1">
      <c r="A142" s="231"/>
      <c r="B142" s="284"/>
      <c r="C142" s="254"/>
      <c r="D142" s="254"/>
      <c r="E142" s="231"/>
      <c r="F142" s="231"/>
      <c r="G142" s="255"/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</row>
    <row r="143" ht="15.75" customHeight="1">
      <c r="A143" s="231"/>
      <c r="B143" s="284"/>
      <c r="C143" s="254"/>
      <c r="D143" s="254"/>
      <c r="E143" s="231"/>
      <c r="F143" s="231"/>
      <c r="G143" s="255"/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</row>
    <row r="144" ht="15.75" customHeight="1">
      <c r="A144" s="231"/>
      <c r="B144" s="284"/>
      <c r="C144" s="254"/>
      <c r="D144" s="254"/>
      <c r="E144" s="231"/>
      <c r="F144" s="231"/>
      <c r="G144" s="255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</row>
    <row r="145" ht="15.75" customHeight="1">
      <c r="A145" s="231"/>
      <c r="B145" s="284"/>
      <c r="C145" s="254"/>
      <c r="D145" s="254"/>
      <c r="E145" s="231"/>
      <c r="F145" s="231"/>
      <c r="G145" s="255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</row>
    <row r="146" ht="15.75" customHeight="1">
      <c r="A146" s="231"/>
      <c r="B146" s="284"/>
      <c r="C146" s="254"/>
      <c r="D146" s="254"/>
      <c r="E146" s="231"/>
      <c r="F146" s="231"/>
      <c r="G146" s="255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</row>
    <row r="147" ht="15.75" customHeight="1">
      <c r="A147" s="231"/>
      <c r="B147" s="284"/>
      <c r="C147" s="254"/>
      <c r="D147" s="254"/>
      <c r="E147" s="231"/>
      <c r="F147" s="231"/>
      <c r="G147" s="255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</row>
    <row r="148" ht="15.75" customHeight="1">
      <c r="A148" s="231"/>
      <c r="B148" s="284"/>
      <c r="C148" s="254"/>
      <c r="D148" s="254"/>
      <c r="E148" s="231"/>
      <c r="F148" s="231"/>
      <c r="G148" s="255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</row>
    <row r="149" ht="15.75" customHeight="1">
      <c r="A149" s="231"/>
      <c r="B149" s="284"/>
      <c r="C149" s="254"/>
      <c r="D149" s="254"/>
      <c r="E149" s="231"/>
      <c r="F149" s="231"/>
      <c r="G149" s="255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</row>
    <row r="150" ht="15.75" customHeight="1">
      <c r="A150" s="231"/>
      <c r="B150" s="284"/>
      <c r="C150" s="254"/>
      <c r="D150" s="254"/>
      <c r="E150" s="231"/>
      <c r="F150" s="231"/>
      <c r="G150" s="255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</row>
    <row r="151" ht="15.75" customHeight="1">
      <c r="A151" s="231"/>
      <c r="B151" s="284"/>
      <c r="C151" s="254"/>
      <c r="D151" s="254"/>
      <c r="E151" s="231"/>
      <c r="F151" s="231"/>
      <c r="G151" s="255"/>
      <c r="H151" s="231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</row>
    <row r="152" ht="15.75" customHeight="1">
      <c r="A152" s="231"/>
      <c r="B152" s="284"/>
      <c r="C152" s="254"/>
      <c r="D152" s="254"/>
      <c r="E152" s="231"/>
      <c r="F152" s="231"/>
      <c r="G152" s="255"/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</row>
    <row r="153" ht="15.75" customHeight="1">
      <c r="A153" s="231"/>
      <c r="B153" s="284"/>
      <c r="C153" s="254"/>
      <c r="D153" s="254"/>
      <c r="E153" s="231"/>
      <c r="F153" s="231"/>
      <c r="G153" s="255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</row>
    <row r="154" ht="15.75" customHeight="1">
      <c r="A154" s="231"/>
      <c r="B154" s="284"/>
      <c r="C154" s="254"/>
      <c r="D154" s="254"/>
      <c r="E154" s="231"/>
      <c r="F154" s="231"/>
      <c r="G154" s="255"/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</row>
    <row r="155" ht="15.75" customHeight="1">
      <c r="A155" s="231"/>
      <c r="B155" s="284"/>
      <c r="C155" s="254"/>
      <c r="D155" s="254"/>
      <c r="E155" s="231"/>
      <c r="F155" s="231"/>
      <c r="G155" s="255"/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</row>
    <row r="156" ht="15.75" customHeight="1">
      <c r="A156" s="231"/>
      <c r="B156" s="284"/>
      <c r="C156" s="254"/>
      <c r="D156" s="254"/>
      <c r="E156" s="231"/>
      <c r="F156" s="231"/>
      <c r="G156" s="255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</row>
    <row r="157" ht="15.75" customHeight="1">
      <c r="A157" s="231"/>
      <c r="B157" s="284"/>
      <c r="C157" s="254"/>
      <c r="D157" s="254"/>
      <c r="E157" s="231"/>
      <c r="F157" s="231"/>
      <c r="G157" s="255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</row>
    <row r="158" ht="15.75" customHeight="1">
      <c r="A158" s="231"/>
      <c r="B158" s="284"/>
      <c r="C158" s="254"/>
      <c r="D158" s="254"/>
      <c r="E158" s="231"/>
      <c r="F158" s="231"/>
      <c r="G158" s="255"/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</row>
    <row r="159" ht="15.75" customHeight="1">
      <c r="A159" s="231"/>
      <c r="B159" s="284"/>
      <c r="C159" s="254"/>
      <c r="D159" s="254"/>
      <c r="E159" s="231"/>
      <c r="F159" s="231"/>
      <c r="G159" s="255"/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</row>
    <row r="160" ht="15.75" customHeight="1">
      <c r="A160" s="231"/>
      <c r="B160" s="284"/>
      <c r="C160" s="254"/>
      <c r="D160" s="254"/>
      <c r="E160" s="231"/>
      <c r="F160" s="231"/>
      <c r="G160" s="255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</row>
    <row r="161" ht="15.75" customHeight="1">
      <c r="A161" s="231"/>
      <c r="B161" s="284"/>
      <c r="C161" s="254"/>
      <c r="D161" s="254"/>
      <c r="E161" s="231"/>
      <c r="F161" s="231"/>
      <c r="G161" s="255"/>
      <c r="H161" s="231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</row>
    <row r="162" ht="15.75" customHeight="1">
      <c r="A162" s="231"/>
      <c r="B162" s="284"/>
      <c r="C162" s="254"/>
      <c r="D162" s="254"/>
      <c r="E162" s="231"/>
      <c r="F162" s="231"/>
      <c r="G162" s="255"/>
      <c r="H162" s="231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</row>
    <row r="163" ht="15.75" customHeight="1">
      <c r="A163" s="231"/>
      <c r="B163" s="284"/>
      <c r="C163" s="254"/>
      <c r="D163" s="254"/>
      <c r="E163" s="231"/>
      <c r="F163" s="231"/>
      <c r="G163" s="255"/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</row>
    <row r="164" ht="15.75" customHeight="1">
      <c r="A164" s="231"/>
      <c r="B164" s="284"/>
      <c r="C164" s="254"/>
      <c r="D164" s="254"/>
      <c r="E164" s="231"/>
      <c r="F164" s="231"/>
      <c r="G164" s="255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</row>
    <row r="165" ht="15.75" customHeight="1">
      <c r="A165" s="231"/>
      <c r="B165" s="284"/>
      <c r="C165" s="254"/>
      <c r="D165" s="254"/>
      <c r="E165" s="231"/>
      <c r="F165" s="231"/>
      <c r="G165" s="255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</row>
    <row r="166" ht="15.75" customHeight="1">
      <c r="A166" s="231"/>
      <c r="B166" s="284"/>
      <c r="C166" s="254"/>
      <c r="D166" s="254"/>
      <c r="E166" s="231"/>
      <c r="F166" s="231"/>
      <c r="G166" s="255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</row>
    <row r="167" ht="15.75" customHeight="1">
      <c r="A167" s="231"/>
      <c r="B167" s="284"/>
      <c r="C167" s="254"/>
      <c r="D167" s="254"/>
      <c r="E167" s="231"/>
      <c r="F167" s="231"/>
      <c r="G167" s="255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</row>
    <row r="168" ht="15.75" customHeight="1">
      <c r="A168" s="231"/>
      <c r="B168" s="284"/>
      <c r="C168" s="254"/>
      <c r="D168" s="254"/>
      <c r="E168" s="231"/>
      <c r="F168" s="231"/>
      <c r="G168" s="255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</row>
    <row r="169" ht="15.75" customHeight="1">
      <c r="A169" s="231"/>
      <c r="B169" s="284"/>
      <c r="C169" s="254"/>
      <c r="D169" s="254"/>
      <c r="E169" s="231"/>
      <c r="F169" s="231"/>
      <c r="G169" s="255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</row>
    <row r="170" ht="15.75" customHeight="1">
      <c r="A170" s="231"/>
      <c r="B170" s="284"/>
      <c r="C170" s="254"/>
      <c r="D170" s="254"/>
      <c r="E170" s="231"/>
      <c r="F170" s="231"/>
      <c r="G170" s="255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</row>
    <row r="171" ht="15.75" customHeight="1">
      <c r="A171" s="231"/>
      <c r="B171" s="284"/>
      <c r="C171" s="254"/>
      <c r="D171" s="254"/>
      <c r="E171" s="231"/>
      <c r="F171" s="231"/>
      <c r="G171" s="255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</row>
    <row r="172" ht="15.75" customHeight="1">
      <c r="A172" s="231"/>
      <c r="B172" s="284"/>
      <c r="C172" s="254"/>
      <c r="D172" s="254"/>
      <c r="E172" s="231"/>
      <c r="F172" s="231"/>
      <c r="G172" s="255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</row>
    <row r="173" ht="15.75" customHeight="1">
      <c r="A173" s="231"/>
      <c r="B173" s="284"/>
      <c r="C173" s="254"/>
      <c r="D173" s="254"/>
      <c r="E173" s="231"/>
      <c r="F173" s="231"/>
      <c r="G173" s="255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</row>
    <row r="174" ht="15.75" customHeight="1">
      <c r="A174" s="231"/>
      <c r="B174" s="284"/>
      <c r="C174" s="254"/>
      <c r="D174" s="254"/>
      <c r="E174" s="231"/>
      <c r="F174" s="231"/>
      <c r="G174" s="255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</row>
    <row r="175" ht="15.75" customHeight="1">
      <c r="A175" s="231"/>
      <c r="B175" s="284"/>
      <c r="C175" s="254"/>
      <c r="D175" s="254"/>
      <c r="E175" s="231"/>
      <c r="F175" s="231"/>
      <c r="G175" s="255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</row>
    <row r="176" ht="15.75" customHeight="1">
      <c r="A176" s="231"/>
      <c r="B176" s="284"/>
      <c r="C176" s="254"/>
      <c r="D176" s="254"/>
      <c r="E176" s="231"/>
      <c r="F176" s="231"/>
      <c r="G176" s="255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</row>
    <row r="177" ht="15.75" customHeight="1">
      <c r="A177" s="231"/>
      <c r="B177" s="284"/>
      <c r="C177" s="254"/>
      <c r="D177" s="254"/>
      <c r="E177" s="231"/>
      <c r="F177" s="231"/>
      <c r="G177" s="255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</row>
    <row r="178" ht="15.75" customHeight="1">
      <c r="A178" s="231"/>
      <c r="B178" s="284"/>
      <c r="C178" s="254"/>
      <c r="D178" s="254"/>
      <c r="E178" s="231"/>
      <c r="F178" s="231"/>
      <c r="G178" s="255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</row>
    <row r="179" ht="15.75" customHeight="1">
      <c r="A179" s="231"/>
      <c r="B179" s="284"/>
      <c r="C179" s="254"/>
      <c r="D179" s="254"/>
      <c r="E179" s="231"/>
      <c r="F179" s="231"/>
      <c r="G179" s="255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</row>
    <row r="180" ht="15.75" customHeight="1">
      <c r="A180" s="231"/>
      <c r="B180" s="284"/>
      <c r="C180" s="254"/>
      <c r="D180" s="254"/>
      <c r="E180" s="231"/>
      <c r="F180" s="231"/>
      <c r="G180" s="255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</row>
    <row r="181" ht="15.75" customHeight="1">
      <c r="A181" s="231"/>
      <c r="B181" s="284"/>
      <c r="C181" s="254"/>
      <c r="D181" s="254"/>
      <c r="E181" s="231"/>
      <c r="F181" s="231"/>
      <c r="G181" s="255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</row>
    <row r="182" ht="15.75" customHeight="1">
      <c r="A182" s="231"/>
      <c r="B182" s="284"/>
      <c r="C182" s="254"/>
      <c r="D182" s="254"/>
      <c r="E182" s="231"/>
      <c r="F182" s="231"/>
      <c r="G182" s="255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</row>
    <row r="183" ht="15.75" customHeight="1">
      <c r="A183" s="231"/>
      <c r="B183" s="284"/>
      <c r="C183" s="254"/>
      <c r="D183" s="254"/>
      <c r="E183" s="231"/>
      <c r="F183" s="231"/>
      <c r="G183" s="255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</row>
    <row r="184" ht="15.75" customHeight="1">
      <c r="A184" s="231"/>
      <c r="B184" s="284"/>
      <c r="C184" s="254"/>
      <c r="D184" s="254"/>
      <c r="E184" s="231"/>
      <c r="F184" s="231"/>
      <c r="G184" s="255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</row>
    <row r="185" ht="15.75" customHeight="1">
      <c r="A185" s="231"/>
      <c r="B185" s="284"/>
      <c r="C185" s="254"/>
      <c r="D185" s="254"/>
      <c r="E185" s="231"/>
      <c r="F185" s="231"/>
      <c r="G185" s="255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</row>
    <row r="186" ht="15.75" customHeight="1">
      <c r="A186" s="231"/>
      <c r="B186" s="284"/>
      <c r="C186" s="254"/>
      <c r="D186" s="254"/>
      <c r="E186" s="231"/>
      <c r="F186" s="231"/>
      <c r="G186" s="255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</row>
    <row r="187" ht="15.75" customHeight="1">
      <c r="A187" s="231"/>
      <c r="B187" s="284"/>
      <c r="C187" s="254"/>
      <c r="D187" s="254"/>
      <c r="E187" s="231"/>
      <c r="F187" s="231"/>
      <c r="G187" s="255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</row>
    <row r="188" ht="15.75" customHeight="1">
      <c r="A188" s="231"/>
      <c r="B188" s="284"/>
      <c r="C188" s="254"/>
      <c r="D188" s="254"/>
      <c r="E188" s="231"/>
      <c r="F188" s="231"/>
      <c r="G188" s="255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</row>
    <row r="189" ht="15.75" customHeight="1">
      <c r="A189" s="231"/>
      <c r="B189" s="284"/>
      <c r="C189" s="254"/>
      <c r="D189" s="254"/>
      <c r="E189" s="231"/>
      <c r="F189" s="231"/>
      <c r="G189" s="255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</row>
    <row r="190" ht="15.75" customHeight="1">
      <c r="A190" s="231"/>
      <c r="B190" s="284"/>
      <c r="C190" s="254"/>
      <c r="D190" s="254"/>
      <c r="E190" s="231"/>
      <c r="F190" s="231"/>
      <c r="G190" s="255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</row>
    <row r="191" ht="15.75" customHeight="1">
      <c r="A191" s="231"/>
      <c r="B191" s="284"/>
      <c r="C191" s="254"/>
      <c r="D191" s="254"/>
      <c r="E191" s="231"/>
      <c r="F191" s="231"/>
      <c r="G191" s="255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</row>
    <row r="192" ht="15.75" customHeight="1">
      <c r="A192" s="231"/>
      <c r="B192" s="284"/>
      <c r="C192" s="254"/>
      <c r="D192" s="254"/>
      <c r="E192" s="231"/>
      <c r="F192" s="231"/>
      <c r="G192" s="255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</row>
    <row r="193" ht="15.75" customHeight="1">
      <c r="A193" s="231"/>
      <c r="B193" s="284"/>
      <c r="C193" s="254"/>
      <c r="D193" s="254"/>
      <c r="E193" s="231"/>
      <c r="F193" s="231"/>
      <c r="G193" s="255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</row>
    <row r="194" ht="15.75" customHeight="1">
      <c r="A194" s="231"/>
      <c r="B194" s="284"/>
      <c r="C194" s="254"/>
      <c r="D194" s="254"/>
      <c r="E194" s="231"/>
      <c r="F194" s="231"/>
      <c r="G194" s="255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</row>
    <row r="195" ht="15.75" customHeight="1">
      <c r="A195" s="231"/>
      <c r="B195" s="284"/>
      <c r="C195" s="254"/>
      <c r="D195" s="254"/>
      <c r="E195" s="231"/>
      <c r="F195" s="231"/>
      <c r="G195" s="255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</row>
    <row r="196" ht="15.75" customHeight="1">
      <c r="A196" s="231"/>
      <c r="B196" s="284"/>
      <c r="C196" s="254"/>
      <c r="D196" s="254"/>
      <c r="E196" s="231"/>
      <c r="F196" s="231"/>
      <c r="G196" s="255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</row>
    <row r="197" ht="15.75" customHeight="1">
      <c r="A197" s="231"/>
      <c r="B197" s="284"/>
      <c r="C197" s="254"/>
      <c r="D197" s="254"/>
      <c r="E197" s="231"/>
      <c r="F197" s="231"/>
      <c r="G197" s="255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</row>
    <row r="198" ht="15.75" customHeight="1">
      <c r="A198" s="231"/>
      <c r="B198" s="284"/>
      <c r="C198" s="254"/>
      <c r="D198" s="254"/>
      <c r="E198" s="231"/>
      <c r="F198" s="231"/>
      <c r="G198" s="255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</row>
    <row r="199" ht="15.75" customHeight="1">
      <c r="A199" s="231"/>
      <c r="B199" s="284"/>
      <c r="C199" s="254"/>
      <c r="D199" s="254"/>
      <c r="E199" s="231"/>
      <c r="F199" s="231"/>
      <c r="G199" s="255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</row>
    <row r="200" ht="15.75" customHeight="1">
      <c r="A200" s="231"/>
      <c r="B200" s="284"/>
      <c r="C200" s="254"/>
      <c r="D200" s="254"/>
      <c r="E200" s="231"/>
      <c r="F200" s="231"/>
      <c r="G200" s="255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</row>
    <row r="201" ht="15.75" customHeight="1">
      <c r="A201" s="231"/>
      <c r="B201" s="284"/>
      <c r="C201" s="254"/>
      <c r="D201" s="254"/>
      <c r="E201" s="231"/>
      <c r="F201" s="231"/>
      <c r="G201" s="255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</row>
    <row r="202" ht="15.75" customHeight="1">
      <c r="A202" s="231"/>
      <c r="B202" s="284"/>
      <c r="C202" s="254"/>
      <c r="D202" s="254"/>
      <c r="E202" s="231"/>
      <c r="F202" s="231"/>
      <c r="G202" s="255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</row>
    <row r="203" ht="15.75" customHeight="1">
      <c r="A203" s="231"/>
      <c r="B203" s="284"/>
      <c r="C203" s="254"/>
      <c r="D203" s="254"/>
      <c r="E203" s="231"/>
      <c r="F203" s="231"/>
      <c r="G203" s="255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</row>
    <row r="204" ht="15.75" customHeight="1">
      <c r="A204" s="231"/>
      <c r="B204" s="284"/>
      <c r="C204" s="254"/>
      <c r="D204" s="254"/>
      <c r="E204" s="231"/>
      <c r="F204" s="231"/>
      <c r="G204" s="255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</row>
    <row r="205" ht="15.75" customHeight="1">
      <c r="A205" s="231"/>
      <c r="B205" s="284"/>
      <c r="C205" s="254"/>
      <c r="D205" s="254"/>
      <c r="E205" s="231"/>
      <c r="F205" s="231"/>
      <c r="G205" s="255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</row>
    <row r="206" ht="15.75" customHeight="1">
      <c r="A206" s="231"/>
      <c r="B206" s="284"/>
      <c r="C206" s="254"/>
      <c r="D206" s="254"/>
      <c r="E206" s="231"/>
      <c r="F206" s="231"/>
      <c r="G206" s="255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</row>
    <row r="207" ht="15.75" customHeight="1">
      <c r="A207" s="231"/>
      <c r="B207" s="284"/>
      <c r="C207" s="254"/>
      <c r="D207" s="254"/>
      <c r="E207" s="231"/>
      <c r="F207" s="231"/>
      <c r="G207" s="255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</row>
    <row r="208" ht="15.75" customHeight="1">
      <c r="A208" s="231"/>
      <c r="B208" s="284"/>
      <c r="C208" s="254"/>
      <c r="D208" s="254"/>
      <c r="E208" s="231"/>
      <c r="F208" s="231"/>
      <c r="G208" s="255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</row>
    <row r="209" ht="15.75" customHeight="1">
      <c r="A209" s="231"/>
      <c r="B209" s="284"/>
      <c r="C209" s="254"/>
      <c r="D209" s="254"/>
      <c r="E209" s="231"/>
      <c r="F209" s="231"/>
      <c r="G209" s="255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</row>
    <row r="210" ht="15.75" customHeight="1">
      <c r="A210" s="231"/>
      <c r="B210" s="284"/>
      <c r="C210" s="254"/>
      <c r="D210" s="254"/>
      <c r="E210" s="231"/>
      <c r="F210" s="231"/>
      <c r="G210" s="255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</row>
    <row r="211" ht="15.75" customHeight="1">
      <c r="A211" s="231"/>
      <c r="B211" s="284"/>
      <c r="C211" s="254"/>
      <c r="D211" s="254"/>
      <c r="E211" s="231"/>
      <c r="F211" s="231"/>
      <c r="G211" s="255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</row>
    <row r="212" ht="15.75" customHeight="1">
      <c r="A212" s="231"/>
      <c r="B212" s="284"/>
      <c r="C212" s="254"/>
      <c r="D212" s="254"/>
      <c r="E212" s="231"/>
      <c r="F212" s="231"/>
      <c r="G212" s="255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</row>
    <row r="213" ht="15.75" customHeight="1">
      <c r="A213" s="231"/>
      <c r="B213" s="284"/>
      <c r="C213" s="254"/>
      <c r="D213" s="254"/>
      <c r="E213" s="231"/>
      <c r="F213" s="231"/>
      <c r="G213" s="255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</row>
    <row r="214" ht="15.75" customHeight="1">
      <c r="A214" s="231"/>
      <c r="B214" s="284"/>
      <c r="C214" s="254"/>
      <c r="D214" s="254"/>
      <c r="E214" s="231"/>
      <c r="F214" s="231"/>
      <c r="G214" s="255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</row>
    <row r="215" ht="15.75" customHeight="1">
      <c r="A215" s="231"/>
      <c r="B215" s="284"/>
      <c r="C215" s="254"/>
      <c r="D215" s="254"/>
      <c r="E215" s="231"/>
      <c r="F215" s="231"/>
      <c r="G215" s="255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</row>
    <row r="216" ht="15.75" customHeight="1">
      <c r="A216" s="231"/>
      <c r="B216" s="284"/>
      <c r="C216" s="254"/>
      <c r="D216" s="254"/>
      <c r="E216" s="231"/>
      <c r="F216" s="231"/>
      <c r="G216" s="255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</row>
    <row r="217" ht="15.75" customHeight="1">
      <c r="A217" s="231"/>
      <c r="B217" s="284"/>
      <c r="C217" s="254"/>
      <c r="D217" s="254"/>
      <c r="E217" s="231"/>
      <c r="F217" s="231"/>
      <c r="G217" s="255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</row>
    <row r="218" ht="15.75" customHeight="1">
      <c r="A218" s="231"/>
      <c r="B218" s="284"/>
      <c r="C218" s="254"/>
      <c r="D218" s="254"/>
      <c r="E218" s="231"/>
      <c r="F218" s="231"/>
      <c r="G218" s="255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</row>
    <row r="219" ht="15.75" customHeight="1">
      <c r="A219" s="231"/>
      <c r="B219" s="284"/>
      <c r="C219" s="254"/>
      <c r="D219" s="254"/>
      <c r="E219" s="231"/>
      <c r="F219" s="231"/>
      <c r="G219" s="255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</row>
    <row r="220" ht="15.75" customHeight="1">
      <c r="A220" s="231"/>
      <c r="B220" s="284"/>
      <c r="C220" s="254"/>
      <c r="D220" s="254"/>
      <c r="E220" s="231"/>
      <c r="F220" s="231"/>
      <c r="G220" s="255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</row>
    <row r="221" ht="15.75" customHeight="1">
      <c r="A221" s="231"/>
      <c r="B221" s="284"/>
      <c r="C221" s="254"/>
      <c r="D221" s="254"/>
      <c r="E221" s="231"/>
      <c r="F221" s="231"/>
      <c r="G221" s="255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</row>
    <row r="222" ht="15.75" customHeight="1">
      <c r="A222" s="231"/>
      <c r="B222" s="284"/>
      <c r="C222" s="254"/>
      <c r="D222" s="254"/>
      <c r="E222" s="231"/>
      <c r="F222" s="231"/>
      <c r="G222" s="255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</row>
    <row r="223" ht="15.75" customHeight="1">
      <c r="A223" s="231"/>
      <c r="B223" s="284"/>
      <c r="C223" s="254"/>
      <c r="D223" s="254"/>
      <c r="E223" s="231"/>
      <c r="F223" s="231"/>
      <c r="G223" s="255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</row>
    <row r="224" ht="15.75" customHeight="1">
      <c r="A224" s="231"/>
      <c r="B224" s="284"/>
      <c r="C224" s="254"/>
      <c r="D224" s="254"/>
      <c r="E224" s="231"/>
      <c r="F224" s="231"/>
      <c r="G224" s="255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</row>
    <row r="225" ht="15.75" customHeight="1">
      <c r="A225" s="231"/>
      <c r="B225" s="284"/>
      <c r="C225" s="254"/>
      <c r="D225" s="254"/>
      <c r="E225" s="231"/>
      <c r="F225" s="231"/>
      <c r="G225" s="255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</row>
    <row r="226" ht="15.75" customHeight="1">
      <c r="A226" s="231"/>
      <c r="B226" s="284"/>
      <c r="C226" s="254"/>
      <c r="D226" s="254"/>
      <c r="E226" s="231"/>
      <c r="F226" s="231"/>
      <c r="G226" s="255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</row>
    <row r="227" ht="15.75" customHeight="1">
      <c r="A227" s="231"/>
      <c r="B227" s="284"/>
      <c r="C227" s="254"/>
      <c r="D227" s="254"/>
      <c r="E227" s="231"/>
      <c r="F227" s="231"/>
      <c r="G227" s="255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</row>
    <row r="228" ht="15.75" customHeight="1">
      <c r="A228" s="231"/>
      <c r="B228" s="284"/>
      <c r="C228" s="254"/>
      <c r="D228" s="254"/>
      <c r="E228" s="231"/>
      <c r="F228" s="231"/>
      <c r="G228" s="255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</row>
    <row r="229" ht="15.75" customHeight="1">
      <c r="A229" s="231"/>
      <c r="B229" s="284"/>
      <c r="C229" s="254"/>
      <c r="D229" s="254"/>
      <c r="E229" s="231"/>
      <c r="F229" s="231"/>
      <c r="G229" s="255"/>
      <c r="H229" s="231"/>
      <c r="I229" s="231"/>
      <c r="J229" s="231"/>
      <c r="K229" s="231"/>
      <c r="L229" s="231"/>
      <c r="M229" s="231"/>
      <c r="N229" s="231"/>
      <c r="O229" s="231"/>
      <c r="P229" s="231"/>
      <c r="Q229" s="231"/>
      <c r="R229" s="231"/>
      <c r="S229" s="231"/>
      <c r="T229" s="231"/>
      <c r="U229" s="231"/>
      <c r="V229" s="231"/>
    </row>
    <row r="230" ht="15.75" customHeight="1">
      <c r="A230" s="231"/>
      <c r="B230" s="284"/>
      <c r="C230" s="254"/>
      <c r="D230" s="254"/>
      <c r="E230" s="231"/>
      <c r="F230" s="231"/>
      <c r="G230" s="255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</row>
    <row r="231" ht="15.75" customHeight="1">
      <c r="A231" s="231"/>
      <c r="B231" s="284"/>
      <c r="C231" s="254"/>
      <c r="D231" s="254"/>
      <c r="E231" s="231"/>
      <c r="F231" s="231"/>
      <c r="G231" s="255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</row>
    <row r="232" ht="15.75" customHeight="1">
      <c r="A232" s="231"/>
      <c r="B232" s="284"/>
      <c r="C232" s="254"/>
      <c r="D232" s="254"/>
      <c r="E232" s="231"/>
      <c r="F232" s="231"/>
      <c r="G232" s="255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31"/>
      <c r="U232" s="231"/>
      <c r="V232" s="231"/>
    </row>
    <row r="233" ht="15.75" customHeight="1">
      <c r="A233" s="231"/>
      <c r="B233" s="284"/>
      <c r="C233" s="254"/>
      <c r="D233" s="254"/>
      <c r="E233" s="231"/>
      <c r="F233" s="231"/>
      <c r="G233" s="255"/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/>
    </row>
    <row r="234" ht="15.75" customHeight="1">
      <c r="A234" s="231"/>
      <c r="B234" s="284"/>
      <c r="C234" s="254"/>
      <c r="D234" s="254"/>
      <c r="E234" s="231"/>
      <c r="F234" s="231"/>
      <c r="G234" s="255"/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</row>
    <row r="235" ht="15.75" customHeight="1">
      <c r="A235" s="231"/>
      <c r="B235" s="284"/>
      <c r="C235" s="254"/>
      <c r="D235" s="254"/>
      <c r="E235" s="231"/>
      <c r="F235" s="231"/>
      <c r="G235" s="255"/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</row>
    <row r="236" ht="15.75" customHeight="1">
      <c r="A236" s="231"/>
      <c r="B236" s="284"/>
      <c r="C236" s="254"/>
      <c r="D236" s="254"/>
      <c r="E236" s="231"/>
      <c r="F236" s="231"/>
      <c r="G236" s="255"/>
      <c r="H236" s="231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31"/>
      <c r="T236" s="231"/>
      <c r="U236" s="231"/>
      <c r="V236" s="231"/>
    </row>
    <row r="237" ht="15.75" customHeight="1">
      <c r="A237" s="231"/>
      <c r="B237" s="284"/>
      <c r="C237" s="254"/>
      <c r="D237" s="254"/>
      <c r="E237" s="231"/>
      <c r="F237" s="231"/>
      <c r="G237" s="255"/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</row>
    <row r="238" ht="15.75" customHeight="1">
      <c r="A238" s="231"/>
      <c r="B238" s="284"/>
      <c r="C238" s="254"/>
      <c r="D238" s="254"/>
      <c r="E238" s="231"/>
      <c r="F238" s="231"/>
      <c r="G238" s="255"/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231"/>
      <c r="U238" s="231"/>
      <c r="V238" s="231"/>
    </row>
    <row r="239" ht="15.75" customHeight="1">
      <c r="A239" s="231"/>
      <c r="B239" s="284"/>
      <c r="C239" s="254"/>
      <c r="D239" s="254"/>
      <c r="E239" s="231"/>
      <c r="F239" s="231"/>
      <c r="G239" s="255"/>
      <c r="H239" s="231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31"/>
      <c r="T239" s="231"/>
      <c r="U239" s="231"/>
      <c r="V239" s="231"/>
    </row>
    <row r="240" ht="15.75" customHeight="1">
      <c r="A240" s="231"/>
      <c r="B240" s="284"/>
      <c r="C240" s="254"/>
      <c r="D240" s="254"/>
      <c r="E240" s="231"/>
      <c r="F240" s="231"/>
      <c r="G240" s="255"/>
      <c r="H240" s="231"/>
      <c r="I240" s="231"/>
      <c r="J240" s="231"/>
      <c r="K240" s="231"/>
      <c r="L240" s="231"/>
      <c r="M240" s="231"/>
      <c r="N240" s="231"/>
      <c r="O240" s="231"/>
      <c r="P240" s="231"/>
      <c r="Q240" s="231"/>
      <c r="R240" s="231"/>
      <c r="S240" s="231"/>
      <c r="T240" s="231"/>
      <c r="U240" s="231"/>
      <c r="V240" s="231"/>
    </row>
    <row r="241" ht="15.75" customHeight="1">
      <c r="A241" s="231"/>
      <c r="B241" s="284"/>
      <c r="C241" s="254"/>
      <c r="D241" s="254"/>
      <c r="E241" s="231"/>
      <c r="F241" s="231"/>
      <c r="G241" s="255"/>
      <c r="H241" s="231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31"/>
      <c r="T241" s="231"/>
      <c r="U241" s="231"/>
      <c r="V241" s="231"/>
    </row>
    <row r="242" ht="15.75" customHeight="1">
      <c r="A242" s="231"/>
      <c r="B242" s="284"/>
      <c r="C242" s="254"/>
      <c r="D242" s="254"/>
      <c r="E242" s="231"/>
      <c r="F242" s="231"/>
      <c r="G242" s="255"/>
      <c r="H242" s="231"/>
      <c r="I242" s="231"/>
      <c r="J242" s="231"/>
      <c r="K242" s="231"/>
      <c r="L242" s="231"/>
      <c r="M242" s="231"/>
      <c r="N242" s="231"/>
      <c r="O242" s="231"/>
      <c r="P242" s="231"/>
      <c r="Q242" s="231"/>
      <c r="R242" s="231"/>
      <c r="S242" s="231"/>
      <c r="T242" s="231"/>
      <c r="U242" s="231"/>
      <c r="V242" s="231"/>
    </row>
    <row r="243" ht="15.75" customHeight="1">
      <c r="A243" s="231"/>
      <c r="B243" s="284"/>
      <c r="C243" s="254"/>
      <c r="D243" s="254"/>
      <c r="E243" s="231"/>
      <c r="F243" s="231"/>
      <c r="G243" s="255"/>
      <c r="H243" s="231"/>
      <c r="I243" s="231"/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  <c r="U243" s="231"/>
      <c r="V243" s="231"/>
    </row>
    <row r="244" ht="15.75" customHeight="1">
      <c r="A244" s="231"/>
      <c r="B244" s="284"/>
      <c r="C244" s="254"/>
      <c r="D244" s="254"/>
      <c r="E244" s="231"/>
      <c r="F244" s="231"/>
      <c r="G244" s="255"/>
      <c r="H244" s="231"/>
      <c r="I244" s="231"/>
      <c r="J244" s="231"/>
      <c r="K244" s="231"/>
      <c r="L244" s="231"/>
      <c r="M244" s="231"/>
      <c r="N244" s="231"/>
      <c r="O244" s="231"/>
      <c r="P244" s="231"/>
      <c r="Q244" s="231"/>
      <c r="R244" s="231"/>
      <c r="S244" s="231"/>
      <c r="T244" s="231"/>
      <c r="U244" s="231"/>
      <c r="V244" s="231"/>
    </row>
    <row r="245" ht="15.75" customHeight="1">
      <c r="A245" s="231"/>
      <c r="B245" s="284"/>
      <c r="C245" s="254"/>
      <c r="D245" s="254"/>
      <c r="E245" s="231"/>
      <c r="F245" s="231"/>
      <c r="G245" s="255"/>
      <c r="H245" s="231"/>
      <c r="I245" s="231"/>
      <c r="J245" s="231"/>
      <c r="K245" s="231"/>
      <c r="L245" s="231"/>
      <c r="M245" s="231"/>
      <c r="N245" s="231"/>
      <c r="O245" s="231"/>
      <c r="P245" s="231"/>
      <c r="Q245" s="231"/>
      <c r="R245" s="231"/>
      <c r="S245" s="231"/>
      <c r="T245" s="231"/>
      <c r="U245" s="231"/>
      <c r="V245" s="231"/>
    </row>
    <row r="246" ht="15.75" customHeight="1">
      <c r="A246" s="231"/>
      <c r="B246" s="284"/>
      <c r="C246" s="254"/>
      <c r="D246" s="254"/>
      <c r="E246" s="231"/>
      <c r="F246" s="231"/>
      <c r="G246" s="255"/>
      <c r="H246" s="231"/>
      <c r="I246" s="231"/>
      <c r="J246" s="231"/>
      <c r="K246" s="231"/>
      <c r="L246" s="231"/>
      <c r="M246" s="231"/>
      <c r="N246" s="231"/>
      <c r="O246" s="231"/>
      <c r="P246" s="231"/>
      <c r="Q246" s="231"/>
      <c r="R246" s="231"/>
      <c r="S246" s="231"/>
      <c r="T246" s="231"/>
      <c r="U246" s="231"/>
      <c r="V246" s="231"/>
    </row>
    <row r="247" ht="15.75" customHeight="1">
      <c r="A247" s="231"/>
      <c r="B247" s="284"/>
      <c r="C247" s="254"/>
      <c r="D247" s="254"/>
      <c r="E247" s="231"/>
      <c r="F247" s="231"/>
      <c r="G247" s="255"/>
      <c r="H247" s="231"/>
      <c r="I247" s="231"/>
      <c r="J247" s="231"/>
      <c r="K247" s="231"/>
      <c r="L247" s="231"/>
      <c r="M247" s="231"/>
      <c r="N247" s="231"/>
      <c r="O247" s="231"/>
      <c r="P247" s="231"/>
      <c r="Q247" s="231"/>
      <c r="R247" s="231"/>
      <c r="S247" s="231"/>
      <c r="T247" s="231"/>
      <c r="U247" s="231"/>
      <c r="V247" s="231"/>
    </row>
    <row r="248" ht="15.75" customHeight="1">
      <c r="A248" s="231"/>
      <c r="B248" s="284"/>
      <c r="C248" s="254"/>
      <c r="D248" s="254"/>
      <c r="E248" s="231"/>
      <c r="F248" s="231"/>
      <c r="G248" s="255"/>
      <c r="H248" s="231"/>
      <c r="I248" s="231"/>
      <c r="J248" s="231"/>
      <c r="K248" s="231"/>
      <c r="L248" s="231"/>
      <c r="M248" s="231"/>
      <c r="N248" s="231"/>
      <c r="O248" s="231"/>
      <c r="P248" s="231"/>
      <c r="Q248" s="231"/>
      <c r="R248" s="231"/>
      <c r="S248" s="231"/>
      <c r="T248" s="231"/>
      <c r="U248" s="231"/>
      <c r="V248" s="231"/>
    </row>
    <row r="249" ht="15.75" customHeight="1">
      <c r="A249" s="231"/>
      <c r="B249" s="284"/>
      <c r="C249" s="254"/>
      <c r="D249" s="254"/>
      <c r="E249" s="231"/>
      <c r="F249" s="231"/>
      <c r="G249" s="255"/>
      <c r="H249" s="231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</row>
    <row r="250" ht="15.75" customHeight="1">
      <c r="A250" s="231"/>
      <c r="B250" s="284"/>
      <c r="C250" s="254"/>
      <c r="D250" s="254"/>
      <c r="E250" s="231"/>
      <c r="F250" s="231"/>
      <c r="G250" s="255"/>
      <c r="H250" s="231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/>
    </row>
    <row r="251" ht="15.75" customHeight="1">
      <c r="A251" s="231"/>
      <c r="B251" s="284"/>
      <c r="C251" s="254"/>
      <c r="D251" s="254"/>
      <c r="E251" s="231"/>
      <c r="F251" s="231"/>
      <c r="G251" s="255"/>
      <c r="H251" s="231"/>
      <c r="I251" s="231"/>
      <c r="J251" s="231"/>
      <c r="K251" s="231"/>
      <c r="L251" s="231"/>
      <c r="M251" s="231"/>
      <c r="N251" s="231"/>
      <c r="O251" s="231"/>
      <c r="P251" s="231"/>
      <c r="Q251" s="231"/>
      <c r="R251" s="231"/>
      <c r="S251" s="231"/>
      <c r="T251" s="231"/>
      <c r="U251" s="231"/>
      <c r="V251" s="231"/>
    </row>
    <row r="252" ht="15.75" customHeight="1">
      <c r="A252" s="231"/>
      <c r="B252" s="284"/>
      <c r="C252" s="254"/>
      <c r="D252" s="254"/>
      <c r="E252" s="231"/>
      <c r="F252" s="231"/>
      <c r="G252" s="255"/>
      <c r="H252" s="231"/>
      <c r="I252" s="231"/>
      <c r="J252" s="231"/>
      <c r="K252" s="231"/>
      <c r="L252" s="231"/>
      <c r="M252" s="231"/>
      <c r="N252" s="231"/>
      <c r="O252" s="231"/>
      <c r="P252" s="231"/>
      <c r="Q252" s="231"/>
      <c r="R252" s="231"/>
      <c r="S252" s="231"/>
      <c r="T252" s="231"/>
      <c r="U252" s="231"/>
      <c r="V252" s="231"/>
    </row>
    <row r="253" ht="15.75" customHeight="1">
      <c r="A253" s="231"/>
      <c r="B253" s="284"/>
      <c r="C253" s="254"/>
      <c r="D253" s="254"/>
      <c r="E253" s="231"/>
      <c r="F253" s="231"/>
      <c r="G253" s="255"/>
      <c r="H253" s="231"/>
      <c r="I253" s="231"/>
      <c r="J253" s="231"/>
      <c r="K253" s="231"/>
      <c r="L253" s="231"/>
      <c r="M253" s="231"/>
      <c r="N253" s="231"/>
      <c r="O253" s="231"/>
      <c r="P253" s="231"/>
      <c r="Q253" s="231"/>
      <c r="R253" s="231"/>
      <c r="S253" s="231"/>
      <c r="T253" s="231"/>
      <c r="U253" s="231"/>
      <c r="V253" s="231"/>
    </row>
    <row r="254" ht="15.75" customHeight="1">
      <c r="A254" s="231"/>
      <c r="B254" s="284"/>
      <c r="C254" s="254"/>
      <c r="D254" s="254"/>
      <c r="E254" s="231"/>
      <c r="F254" s="231"/>
      <c r="G254" s="255"/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31"/>
      <c r="T254" s="231"/>
      <c r="U254" s="231"/>
      <c r="V254" s="231"/>
    </row>
    <row r="255" ht="15.75" customHeight="1">
      <c r="A255" s="231"/>
      <c r="B255" s="284"/>
      <c r="C255" s="254"/>
      <c r="D255" s="254"/>
      <c r="E255" s="231"/>
      <c r="F255" s="231"/>
      <c r="G255" s="255"/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31"/>
      <c r="T255" s="231"/>
      <c r="U255" s="231"/>
      <c r="V255" s="231"/>
    </row>
    <row r="256" ht="15.75" customHeight="1">
      <c r="A256" s="231"/>
      <c r="B256" s="284"/>
      <c r="C256" s="254"/>
      <c r="D256" s="254"/>
      <c r="E256" s="231"/>
      <c r="F256" s="231"/>
      <c r="G256" s="255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231"/>
      <c r="U256" s="231"/>
      <c r="V256" s="231"/>
    </row>
    <row r="257" ht="15.75" customHeight="1">
      <c r="A257" s="231"/>
      <c r="B257" s="284"/>
      <c r="C257" s="254"/>
      <c r="D257" s="254"/>
      <c r="E257" s="231"/>
      <c r="F257" s="231"/>
      <c r="G257" s="255"/>
      <c r="H257" s="231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31"/>
      <c r="T257" s="231"/>
      <c r="U257" s="231"/>
      <c r="V257" s="231"/>
    </row>
    <row r="258" ht="15.75" customHeight="1">
      <c r="A258" s="231"/>
      <c r="B258" s="284"/>
      <c r="C258" s="254"/>
      <c r="D258" s="254"/>
      <c r="E258" s="231"/>
      <c r="F258" s="231"/>
      <c r="G258" s="255"/>
      <c r="H258" s="231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31"/>
      <c r="T258" s="231"/>
      <c r="U258" s="231"/>
      <c r="V258" s="231"/>
    </row>
    <row r="259" ht="15.75" customHeight="1">
      <c r="A259" s="231"/>
      <c r="B259" s="284"/>
      <c r="C259" s="254"/>
      <c r="D259" s="254"/>
      <c r="E259" s="231"/>
      <c r="F259" s="231"/>
      <c r="G259" s="255"/>
      <c r="H259" s="231"/>
      <c r="I259" s="231"/>
      <c r="J259" s="231"/>
      <c r="K259" s="231"/>
      <c r="L259" s="231"/>
      <c r="M259" s="231"/>
      <c r="N259" s="231"/>
      <c r="O259" s="231"/>
      <c r="P259" s="231"/>
      <c r="Q259" s="231"/>
      <c r="R259" s="231"/>
      <c r="S259" s="231"/>
      <c r="T259" s="231"/>
      <c r="U259" s="231"/>
      <c r="V259" s="231"/>
    </row>
    <row r="260" ht="15.75" customHeight="1">
      <c r="A260" s="231"/>
      <c r="B260" s="284"/>
      <c r="C260" s="254"/>
      <c r="D260" s="254"/>
      <c r="E260" s="231"/>
      <c r="F260" s="231"/>
      <c r="G260" s="255"/>
      <c r="H260" s="231"/>
      <c r="I260" s="231"/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/>
    </row>
    <row r="261" ht="15.75" customHeight="1">
      <c r="A261" s="231"/>
      <c r="B261" s="284"/>
      <c r="C261" s="254"/>
      <c r="D261" s="254"/>
      <c r="E261" s="231"/>
      <c r="F261" s="231"/>
      <c r="G261" s="255"/>
      <c r="H261" s="231"/>
      <c r="I261" s="231"/>
      <c r="J261" s="231"/>
      <c r="K261" s="231"/>
      <c r="L261" s="231"/>
      <c r="M261" s="231"/>
      <c r="N261" s="231"/>
      <c r="O261" s="231"/>
      <c r="P261" s="231"/>
      <c r="Q261" s="231"/>
      <c r="R261" s="231"/>
      <c r="S261" s="231"/>
      <c r="T261" s="231"/>
      <c r="U261" s="231"/>
      <c r="V261" s="231"/>
    </row>
    <row r="262" ht="15.75" customHeight="1">
      <c r="A262" s="231"/>
      <c r="B262" s="284"/>
      <c r="C262" s="254"/>
      <c r="D262" s="254"/>
      <c r="E262" s="231"/>
      <c r="F262" s="231"/>
      <c r="G262" s="255"/>
      <c r="H262" s="231"/>
      <c r="I262" s="231"/>
      <c r="J262" s="231"/>
      <c r="K262" s="231"/>
      <c r="L262" s="231"/>
      <c r="M262" s="231"/>
      <c r="N262" s="231"/>
      <c r="O262" s="231"/>
      <c r="P262" s="231"/>
      <c r="Q262" s="231"/>
      <c r="R262" s="231"/>
      <c r="S262" s="231"/>
      <c r="T262" s="231"/>
      <c r="U262" s="231"/>
      <c r="V262" s="231"/>
    </row>
    <row r="263" ht="15.75" customHeight="1">
      <c r="A263" s="231"/>
      <c r="B263" s="284"/>
      <c r="C263" s="254"/>
      <c r="D263" s="254"/>
      <c r="E263" s="231"/>
      <c r="F263" s="231"/>
      <c r="G263" s="255"/>
      <c r="H263" s="231"/>
      <c r="I263" s="231"/>
      <c r="J263" s="231"/>
      <c r="K263" s="231"/>
      <c r="L263" s="231"/>
      <c r="M263" s="231"/>
      <c r="N263" s="231"/>
      <c r="O263" s="231"/>
      <c r="P263" s="231"/>
      <c r="Q263" s="231"/>
      <c r="R263" s="231"/>
      <c r="S263" s="231"/>
      <c r="T263" s="231"/>
      <c r="U263" s="231"/>
      <c r="V263" s="231"/>
    </row>
    <row r="264" ht="15.75" customHeight="1">
      <c r="A264" s="231"/>
      <c r="B264" s="284"/>
      <c r="C264" s="254"/>
      <c r="D264" s="254"/>
      <c r="E264" s="231"/>
      <c r="F264" s="231"/>
      <c r="G264" s="255"/>
      <c r="H264" s="231"/>
      <c r="I264" s="231"/>
      <c r="J264" s="231"/>
      <c r="K264" s="231"/>
      <c r="L264" s="231"/>
      <c r="M264" s="231"/>
      <c r="N264" s="231"/>
      <c r="O264" s="231"/>
      <c r="P264" s="231"/>
      <c r="Q264" s="231"/>
      <c r="R264" s="231"/>
      <c r="S264" s="231"/>
      <c r="T264" s="231"/>
      <c r="U264" s="231"/>
      <c r="V264" s="231"/>
    </row>
    <row r="265" ht="15.75" customHeight="1">
      <c r="A265" s="231"/>
      <c r="B265" s="284"/>
      <c r="C265" s="254"/>
      <c r="D265" s="254"/>
      <c r="E265" s="231"/>
      <c r="F265" s="231"/>
      <c r="G265" s="255"/>
      <c r="H265" s="231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</row>
    <row r="266" ht="15.75" customHeight="1">
      <c r="A266" s="231"/>
      <c r="B266" s="284"/>
      <c r="C266" s="254"/>
      <c r="D266" s="254"/>
      <c r="E266" s="231"/>
      <c r="F266" s="231"/>
      <c r="G266" s="255"/>
      <c r="H266" s="231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</row>
    <row r="267" ht="15.75" customHeight="1">
      <c r="A267" s="231"/>
      <c r="B267" s="284"/>
      <c r="C267" s="254"/>
      <c r="D267" s="254"/>
      <c r="E267" s="231"/>
      <c r="F267" s="231"/>
      <c r="G267" s="255"/>
      <c r="H267" s="231"/>
      <c r="I267" s="231"/>
      <c r="J267" s="231"/>
      <c r="K267" s="231"/>
      <c r="L267" s="231"/>
      <c r="M267" s="231"/>
      <c r="N267" s="231"/>
      <c r="O267" s="231"/>
      <c r="P267" s="231"/>
      <c r="Q267" s="231"/>
      <c r="R267" s="231"/>
      <c r="S267" s="231"/>
      <c r="T267" s="231"/>
      <c r="U267" s="231"/>
      <c r="V267" s="231"/>
    </row>
    <row r="268" ht="15.75" customHeight="1">
      <c r="A268" s="231"/>
      <c r="B268" s="284"/>
      <c r="C268" s="254"/>
      <c r="D268" s="254"/>
      <c r="E268" s="231"/>
      <c r="F268" s="231"/>
      <c r="G268" s="255"/>
      <c r="H268" s="231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31"/>
      <c r="T268" s="231"/>
      <c r="U268" s="231"/>
      <c r="V268" s="231"/>
    </row>
    <row r="269" ht="15.75" customHeight="1">
      <c r="A269" s="231"/>
      <c r="B269" s="284"/>
      <c r="C269" s="254"/>
      <c r="D269" s="254"/>
      <c r="E269" s="231"/>
      <c r="F269" s="231"/>
      <c r="G269" s="255"/>
      <c r="H269" s="231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  <c r="S269" s="231"/>
      <c r="T269" s="231"/>
      <c r="U269" s="231"/>
      <c r="V269" s="231"/>
    </row>
    <row r="270" ht="15.75" customHeight="1">
      <c r="A270" s="231"/>
      <c r="B270" s="284"/>
      <c r="C270" s="254"/>
      <c r="D270" s="254"/>
      <c r="E270" s="231"/>
      <c r="F270" s="231"/>
      <c r="G270" s="255"/>
      <c r="H270" s="231"/>
      <c r="I270" s="231"/>
      <c r="J270" s="231"/>
      <c r="K270" s="231"/>
      <c r="L270" s="231"/>
      <c r="M270" s="231"/>
      <c r="N270" s="231"/>
      <c r="O270" s="231"/>
      <c r="P270" s="231"/>
      <c r="Q270" s="231"/>
      <c r="R270" s="231"/>
      <c r="S270" s="231"/>
      <c r="T270" s="231"/>
      <c r="U270" s="231"/>
      <c r="V270" s="231"/>
    </row>
    <row r="271" ht="15.75" customHeight="1">
      <c r="A271" s="231"/>
      <c r="B271" s="284"/>
      <c r="C271" s="254"/>
      <c r="D271" s="254"/>
      <c r="E271" s="231"/>
      <c r="F271" s="231"/>
      <c r="G271" s="255"/>
      <c r="H271" s="231"/>
      <c r="I271" s="231"/>
      <c r="J271" s="231"/>
      <c r="K271" s="231"/>
      <c r="L271" s="231"/>
      <c r="M271" s="231"/>
      <c r="N271" s="231"/>
      <c r="O271" s="231"/>
      <c r="P271" s="231"/>
      <c r="Q271" s="231"/>
      <c r="R271" s="231"/>
      <c r="S271" s="231"/>
      <c r="T271" s="231"/>
      <c r="U271" s="231"/>
      <c r="V271" s="231"/>
    </row>
    <row r="272" ht="15.75" customHeight="1">
      <c r="A272" s="231"/>
      <c r="B272" s="284"/>
      <c r="C272" s="254"/>
      <c r="D272" s="254"/>
      <c r="E272" s="231"/>
      <c r="F272" s="231"/>
      <c r="G272" s="255"/>
      <c r="H272" s="231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31"/>
      <c r="T272" s="231"/>
      <c r="U272" s="231"/>
      <c r="V272" s="231"/>
    </row>
    <row r="273" ht="15.75" customHeight="1">
      <c r="A273" s="231"/>
      <c r="B273" s="284"/>
      <c r="C273" s="254"/>
      <c r="D273" s="254"/>
      <c r="E273" s="231"/>
      <c r="F273" s="231"/>
      <c r="G273" s="255"/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231"/>
      <c r="U273" s="231"/>
      <c r="V273" s="231"/>
    </row>
    <row r="274" ht="15.75" customHeight="1">
      <c r="A274" s="231"/>
      <c r="B274" s="284"/>
      <c r="C274" s="254"/>
      <c r="D274" s="254"/>
      <c r="E274" s="231"/>
      <c r="F274" s="231"/>
      <c r="G274" s="255"/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231"/>
      <c r="U274" s="231"/>
      <c r="V274" s="231"/>
    </row>
    <row r="275" ht="15.75" customHeight="1">
      <c r="A275" s="231"/>
      <c r="B275" s="284"/>
      <c r="C275" s="254"/>
      <c r="D275" s="254"/>
      <c r="E275" s="231"/>
      <c r="F275" s="231"/>
      <c r="G275" s="255"/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/>
    </row>
    <row r="276" ht="15.75" customHeight="1">
      <c r="A276" s="231"/>
      <c r="B276" s="284"/>
      <c r="C276" s="254"/>
      <c r="D276" s="254"/>
      <c r="E276" s="231"/>
      <c r="F276" s="231"/>
      <c r="G276" s="255"/>
      <c r="H276" s="231"/>
      <c r="I276" s="231"/>
      <c r="J276" s="231"/>
      <c r="K276" s="231"/>
      <c r="L276" s="231"/>
      <c r="M276" s="231"/>
      <c r="N276" s="231"/>
      <c r="O276" s="231"/>
      <c r="P276" s="231"/>
      <c r="Q276" s="231"/>
      <c r="R276" s="231"/>
      <c r="S276" s="231"/>
      <c r="T276" s="231"/>
      <c r="U276" s="231"/>
      <c r="V276" s="231"/>
    </row>
    <row r="277" ht="15.75" customHeight="1">
      <c r="A277" s="231"/>
      <c r="B277" s="284"/>
      <c r="C277" s="254"/>
      <c r="D277" s="254"/>
      <c r="E277" s="231"/>
      <c r="F277" s="231"/>
      <c r="G277" s="255"/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  <c r="S277" s="231"/>
      <c r="T277" s="231"/>
      <c r="U277" s="231"/>
      <c r="V277" s="231"/>
    </row>
    <row r="278" ht="15.75" customHeight="1">
      <c r="A278" s="231"/>
      <c r="B278" s="284"/>
      <c r="C278" s="254"/>
      <c r="D278" s="254"/>
      <c r="E278" s="231"/>
      <c r="F278" s="231"/>
      <c r="G278" s="255"/>
      <c r="H278" s="231"/>
      <c r="I278" s="231"/>
      <c r="J278" s="231"/>
      <c r="K278" s="231"/>
      <c r="L278" s="231"/>
      <c r="M278" s="231"/>
      <c r="N278" s="231"/>
      <c r="O278" s="231"/>
      <c r="P278" s="231"/>
      <c r="Q278" s="231"/>
      <c r="R278" s="231"/>
      <c r="S278" s="231"/>
      <c r="T278" s="231"/>
      <c r="U278" s="231"/>
      <c r="V278" s="231"/>
    </row>
    <row r="279" ht="15.75" customHeight="1">
      <c r="A279" s="231"/>
      <c r="B279" s="284"/>
      <c r="C279" s="254"/>
      <c r="D279" s="254"/>
      <c r="E279" s="231"/>
      <c r="F279" s="231"/>
      <c r="G279" s="255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</row>
    <row r="280" ht="15.75" customHeight="1">
      <c r="A280" s="231"/>
      <c r="B280" s="284"/>
      <c r="C280" s="254"/>
      <c r="D280" s="254"/>
      <c r="E280" s="231"/>
      <c r="F280" s="231"/>
      <c r="G280" s="255"/>
      <c r="H280" s="231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  <c r="S280" s="231"/>
      <c r="T280" s="231"/>
      <c r="U280" s="231"/>
      <c r="V280" s="231"/>
    </row>
    <row r="281" ht="15.75" customHeight="1">
      <c r="A281" s="231"/>
      <c r="B281" s="284"/>
      <c r="C281" s="254"/>
      <c r="D281" s="254"/>
      <c r="E281" s="231"/>
      <c r="F281" s="231"/>
      <c r="G281" s="255"/>
      <c r="H281" s="231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  <c r="S281" s="231"/>
      <c r="T281" s="231"/>
      <c r="U281" s="231"/>
      <c r="V281" s="231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1:I1"/>
    <mergeCell ref="K1:L2"/>
  </mergeCells>
  <hyperlinks>
    <hyperlink r:id="rId1" ref="L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</cols>
  <sheetData>
    <row r="1" ht="15.75" customHeight="1">
      <c r="A1" s="285" t="s">
        <v>143</v>
      </c>
      <c r="B1" s="285" t="s">
        <v>144</v>
      </c>
      <c r="C1" s="286" t="s">
        <v>145</v>
      </c>
      <c r="D1" s="285" t="s">
        <v>146</v>
      </c>
      <c r="E1" s="285" t="s">
        <v>147</v>
      </c>
      <c r="F1" s="285" t="s">
        <v>244</v>
      </c>
      <c r="G1" s="285" t="s">
        <v>149</v>
      </c>
      <c r="H1" s="285" t="s">
        <v>245</v>
      </c>
      <c r="I1" s="287" t="s">
        <v>96</v>
      </c>
      <c r="J1" s="287" t="s">
        <v>68</v>
      </c>
    </row>
    <row r="2" ht="15.75" customHeight="1">
      <c r="A2" s="288">
        <v>44410.0</v>
      </c>
      <c r="B2" s="289"/>
      <c r="C2" s="290"/>
      <c r="D2" s="291"/>
      <c r="E2" s="291"/>
      <c r="F2" s="290" t="str">
        <f t="shared" ref="F2:F36" si="1">E2/D2</f>
        <v>#DIV/0!</v>
      </c>
      <c r="G2" s="291"/>
      <c r="H2" s="290" t="str">
        <f t="shared" ref="H2:H36" si="2">G2/E2</f>
        <v>#DIV/0!</v>
      </c>
      <c r="I2" s="292" t="str">
        <f t="shared" ref="I2:I36" si="3">J2/G2</f>
        <v>#DIV/0!</v>
      </c>
      <c r="J2" s="293"/>
    </row>
    <row r="3" ht="15.75" customHeight="1">
      <c r="A3" s="288">
        <v>44411.0</v>
      </c>
      <c r="B3" s="289"/>
      <c r="C3" s="290"/>
      <c r="D3" s="291"/>
      <c r="E3" s="291"/>
      <c r="F3" s="290" t="str">
        <f t="shared" si="1"/>
        <v>#DIV/0!</v>
      </c>
      <c r="G3" s="291"/>
      <c r="H3" s="290" t="str">
        <f t="shared" si="2"/>
        <v>#DIV/0!</v>
      </c>
      <c r="I3" s="292" t="str">
        <f t="shared" si="3"/>
        <v>#DIV/0!</v>
      </c>
      <c r="J3" s="293"/>
    </row>
    <row r="4" ht="15.75" customHeight="1">
      <c r="A4" s="288">
        <v>44412.0</v>
      </c>
      <c r="B4" s="291"/>
      <c r="C4" s="290"/>
      <c r="D4" s="291"/>
      <c r="E4" s="291"/>
      <c r="F4" s="290" t="str">
        <f t="shared" si="1"/>
        <v>#DIV/0!</v>
      </c>
      <c r="G4" s="291"/>
      <c r="H4" s="290" t="str">
        <f t="shared" si="2"/>
        <v>#DIV/0!</v>
      </c>
      <c r="I4" s="292" t="str">
        <f t="shared" si="3"/>
        <v>#DIV/0!</v>
      </c>
      <c r="J4" s="293"/>
    </row>
    <row r="5" ht="15.75" customHeight="1">
      <c r="A5" s="288">
        <v>44413.0</v>
      </c>
      <c r="B5" s="289"/>
      <c r="C5" s="290"/>
      <c r="D5" s="294"/>
      <c r="E5" s="291"/>
      <c r="F5" s="290" t="str">
        <f t="shared" si="1"/>
        <v>#DIV/0!</v>
      </c>
      <c r="G5" s="291"/>
      <c r="H5" s="290" t="str">
        <f t="shared" si="2"/>
        <v>#DIV/0!</v>
      </c>
      <c r="I5" s="292" t="str">
        <f t="shared" si="3"/>
        <v>#DIV/0!</v>
      </c>
      <c r="J5" s="293"/>
    </row>
    <row r="6" ht="15.75" customHeight="1">
      <c r="A6" s="288">
        <v>44414.0</v>
      </c>
      <c r="B6" s="291"/>
      <c r="C6" s="290"/>
      <c r="D6" s="291"/>
      <c r="E6" s="291"/>
      <c r="F6" s="290" t="str">
        <f t="shared" si="1"/>
        <v>#DIV/0!</v>
      </c>
      <c r="G6" s="291"/>
      <c r="H6" s="290" t="str">
        <f t="shared" si="2"/>
        <v>#DIV/0!</v>
      </c>
      <c r="I6" s="292" t="str">
        <f t="shared" si="3"/>
        <v>#DIV/0!</v>
      </c>
      <c r="J6" s="293"/>
    </row>
    <row r="7" ht="15.75" customHeight="1">
      <c r="A7" s="288">
        <v>44415.0</v>
      </c>
      <c r="B7" s="291"/>
      <c r="C7" s="290"/>
      <c r="D7" s="291"/>
      <c r="E7" s="291"/>
      <c r="F7" s="290" t="str">
        <f t="shared" si="1"/>
        <v>#DIV/0!</v>
      </c>
      <c r="G7" s="291"/>
      <c r="H7" s="290" t="str">
        <f t="shared" si="2"/>
        <v>#DIV/0!</v>
      </c>
      <c r="I7" s="292" t="str">
        <f t="shared" si="3"/>
        <v>#DIV/0!</v>
      </c>
      <c r="J7" s="293"/>
    </row>
    <row r="8" ht="15.75" customHeight="1">
      <c r="A8" s="288">
        <v>44416.0</v>
      </c>
      <c r="B8" s="291"/>
      <c r="C8" s="290"/>
      <c r="D8" s="291"/>
      <c r="E8" s="291"/>
      <c r="F8" s="290" t="str">
        <f t="shared" si="1"/>
        <v>#DIV/0!</v>
      </c>
      <c r="G8" s="291"/>
      <c r="H8" s="290" t="str">
        <f t="shared" si="2"/>
        <v>#DIV/0!</v>
      </c>
      <c r="I8" s="292" t="str">
        <f t="shared" si="3"/>
        <v>#DIV/0!</v>
      </c>
      <c r="J8" s="293"/>
    </row>
    <row r="9" ht="15.75" customHeight="1">
      <c r="A9" s="288">
        <v>44417.0</v>
      </c>
      <c r="B9" s="291"/>
      <c r="C9" s="290"/>
      <c r="D9" s="291"/>
      <c r="E9" s="291"/>
      <c r="F9" s="290" t="str">
        <f t="shared" si="1"/>
        <v>#DIV/0!</v>
      </c>
      <c r="G9" s="291"/>
      <c r="H9" s="290" t="str">
        <f t="shared" si="2"/>
        <v>#DIV/0!</v>
      </c>
      <c r="I9" s="292" t="str">
        <f t="shared" si="3"/>
        <v>#DIV/0!</v>
      </c>
      <c r="J9" s="293"/>
    </row>
    <row r="10" ht="15.75" customHeight="1">
      <c r="A10" s="288">
        <v>44418.0</v>
      </c>
      <c r="B10" s="291"/>
      <c r="C10" s="290"/>
      <c r="D10" s="291"/>
      <c r="E10" s="291"/>
      <c r="F10" s="290" t="str">
        <f t="shared" si="1"/>
        <v>#DIV/0!</v>
      </c>
      <c r="G10" s="291"/>
      <c r="H10" s="290" t="str">
        <f t="shared" si="2"/>
        <v>#DIV/0!</v>
      </c>
      <c r="I10" s="292" t="str">
        <f t="shared" si="3"/>
        <v>#DIV/0!</v>
      </c>
      <c r="J10" s="293"/>
    </row>
    <row r="11" ht="15.75" customHeight="1">
      <c r="A11" s="288">
        <v>44419.0</v>
      </c>
      <c r="B11" s="291"/>
      <c r="C11" s="290"/>
      <c r="D11" s="291"/>
      <c r="E11" s="291"/>
      <c r="F11" s="290" t="str">
        <f t="shared" si="1"/>
        <v>#DIV/0!</v>
      </c>
      <c r="G11" s="291"/>
      <c r="H11" s="290" t="str">
        <f t="shared" si="2"/>
        <v>#DIV/0!</v>
      </c>
      <c r="I11" s="292" t="str">
        <f t="shared" si="3"/>
        <v>#DIV/0!</v>
      </c>
      <c r="J11" s="293"/>
    </row>
    <row r="12" ht="15.75" customHeight="1">
      <c r="A12" s="288">
        <v>44420.0</v>
      </c>
      <c r="B12" s="291"/>
      <c r="C12" s="290"/>
      <c r="D12" s="291"/>
      <c r="E12" s="291"/>
      <c r="F12" s="290" t="str">
        <f t="shared" si="1"/>
        <v>#DIV/0!</v>
      </c>
      <c r="G12" s="291"/>
      <c r="H12" s="290" t="str">
        <f t="shared" si="2"/>
        <v>#DIV/0!</v>
      </c>
      <c r="I12" s="292" t="str">
        <f t="shared" si="3"/>
        <v>#DIV/0!</v>
      </c>
      <c r="J12" s="293"/>
    </row>
    <row r="13" ht="15.75" customHeight="1">
      <c r="A13" s="288">
        <v>44421.0</v>
      </c>
      <c r="B13" s="291"/>
      <c r="C13" s="290"/>
      <c r="D13" s="291"/>
      <c r="E13" s="291"/>
      <c r="F13" s="290" t="str">
        <f t="shared" si="1"/>
        <v>#DIV/0!</v>
      </c>
      <c r="G13" s="291"/>
      <c r="H13" s="290" t="str">
        <f t="shared" si="2"/>
        <v>#DIV/0!</v>
      </c>
      <c r="I13" s="292" t="str">
        <f t="shared" si="3"/>
        <v>#DIV/0!</v>
      </c>
      <c r="J13" s="293"/>
    </row>
    <row r="14" ht="15.75" customHeight="1">
      <c r="A14" s="288">
        <v>44422.0</v>
      </c>
      <c r="B14" s="291"/>
      <c r="C14" s="290"/>
      <c r="D14" s="291"/>
      <c r="E14" s="291"/>
      <c r="F14" s="290" t="str">
        <f t="shared" si="1"/>
        <v>#DIV/0!</v>
      </c>
      <c r="G14" s="291"/>
      <c r="H14" s="290" t="str">
        <f t="shared" si="2"/>
        <v>#DIV/0!</v>
      </c>
      <c r="I14" s="292" t="str">
        <f t="shared" si="3"/>
        <v>#DIV/0!</v>
      </c>
      <c r="J14" s="293"/>
    </row>
    <row r="15" ht="15.75" customHeight="1">
      <c r="A15" s="288">
        <v>44423.0</v>
      </c>
      <c r="B15" s="291"/>
      <c r="C15" s="290"/>
      <c r="D15" s="291"/>
      <c r="E15" s="291"/>
      <c r="F15" s="290" t="str">
        <f t="shared" si="1"/>
        <v>#DIV/0!</v>
      </c>
      <c r="G15" s="291"/>
      <c r="H15" s="290" t="str">
        <f t="shared" si="2"/>
        <v>#DIV/0!</v>
      </c>
      <c r="I15" s="292" t="str">
        <f t="shared" si="3"/>
        <v>#DIV/0!</v>
      </c>
      <c r="J15" s="293"/>
    </row>
    <row r="16" ht="15.75" customHeight="1">
      <c r="A16" s="288">
        <v>44424.0</v>
      </c>
      <c r="B16" s="291"/>
      <c r="C16" s="290"/>
      <c r="D16" s="291"/>
      <c r="E16" s="291"/>
      <c r="F16" s="290" t="str">
        <f t="shared" si="1"/>
        <v>#DIV/0!</v>
      </c>
      <c r="G16" s="291"/>
      <c r="H16" s="290" t="str">
        <f t="shared" si="2"/>
        <v>#DIV/0!</v>
      </c>
      <c r="I16" s="292" t="str">
        <f t="shared" si="3"/>
        <v>#DIV/0!</v>
      </c>
      <c r="J16" s="293"/>
    </row>
    <row r="17" ht="15.75" customHeight="1">
      <c r="A17" s="288">
        <v>44425.0</v>
      </c>
      <c r="B17" s="291"/>
      <c r="C17" s="290"/>
      <c r="D17" s="291"/>
      <c r="E17" s="291"/>
      <c r="F17" s="290" t="str">
        <f t="shared" si="1"/>
        <v>#DIV/0!</v>
      </c>
      <c r="G17" s="291"/>
      <c r="H17" s="290" t="str">
        <f t="shared" si="2"/>
        <v>#DIV/0!</v>
      </c>
      <c r="I17" s="292" t="str">
        <f t="shared" si="3"/>
        <v>#DIV/0!</v>
      </c>
      <c r="J17" s="293"/>
    </row>
    <row r="18" ht="15.75" customHeight="1">
      <c r="A18" s="288">
        <v>44426.0</v>
      </c>
      <c r="B18" s="291"/>
      <c r="C18" s="290"/>
      <c r="D18" s="291"/>
      <c r="E18" s="291"/>
      <c r="F18" s="290" t="str">
        <f t="shared" si="1"/>
        <v>#DIV/0!</v>
      </c>
      <c r="G18" s="291"/>
      <c r="H18" s="290" t="str">
        <f t="shared" si="2"/>
        <v>#DIV/0!</v>
      </c>
      <c r="I18" s="292" t="str">
        <f t="shared" si="3"/>
        <v>#DIV/0!</v>
      </c>
      <c r="J18" s="293"/>
    </row>
    <row r="19" ht="15.75" customHeight="1">
      <c r="A19" s="288">
        <v>44427.0</v>
      </c>
      <c r="B19" s="291"/>
      <c r="C19" s="290"/>
      <c r="D19" s="291"/>
      <c r="E19" s="291"/>
      <c r="F19" s="290" t="str">
        <f t="shared" si="1"/>
        <v>#DIV/0!</v>
      </c>
      <c r="G19" s="291"/>
      <c r="H19" s="290" t="str">
        <f t="shared" si="2"/>
        <v>#DIV/0!</v>
      </c>
      <c r="I19" s="292" t="str">
        <f t="shared" si="3"/>
        <v>#DIV/0!</v>
      </c>
      <c r="J19" s="293"/>
    </row>
    <row r="20" ht="15.75" customHeight="1">
      <c r="A20" s="288">
        <v>44428.0</v>
      </c>
      <c r="B20" s="291"/>
      <c r="C20" s="290"/>
      <c r="D20" s="291"/>
      <c r="E20" s="291"/>
      <c r="F20" s="290" t="str">
        <f t="shared" si="1"/>
        <v>#DIV/0!</v>
      </c>
      <c r="G20" s="291"/>
      <c r="H20" s="290" t="str">
        <f t="shared" si="2"/>
        <v>#DIV/0!</v>
      </c>
      <c r="I20" s="292" t="str">
        <f t="shared" si="3"/>
        <v>#DIV/0!</v>
      </c>
      <c r="J20" s="293"/>
    </row>
    <row r="21" ht="15.75" customHeight="1">
      <c r="A21" s="288">
        <v>44429.0</v>
      </c>
      <c r="B21" s="291"/>
      <c r="C21" s="290"/>
      <c r="D21" s="291"/>
      <c r="E21" s="291"/>
      <c r="F21" s="290" t="str">
        <f t="shared" si="1"/>
        <v>#DIV/0!</v>
      </c>
      <c r="G21" s="291"/>
      <c r="H21" s="290" t="str">
        <f t="shared" si="2"/>
        <v>#DIV/0!</v>
      </c>
      <c r="I21" s="292" t="str">
        <f t="shared" si="3"/>
        <v>#DIV/0!</v>
      </c>
      <c r="J21" s="293"/>
    </row>
    <row r="22" ht="15.75" customHeight="1">
      <c r="A22" s="288">
        <v>44430.0</v>
      </c>
      <c r="B22" s="291"/>
      <c r="C22" s="290"/>
      <c r="D22" s="291"/>
      <c r="E22" s="291"/>
      <c r="F22" s="290" t="str">
        <f t="shared" si="1"/>
        <v>#DIV/0!</v>
      </c>
      <c r="G22" s="291"/>
      <c r="H22" s="290" t="str">
        <f t="shared" si="2"/>
        <v>#DIV/0!</v>
      </c>
      <c r="I22" s="292" t="str">
        <f t="shared" si="3"/>
        <v>#DIV/0!</v>
      </c>
      <c r="J22" s="293"/>
    </row>
    <row r="23" ht="15.75" customHeight="1">
      <c r="A23" s="288">
        <v>44431.0</v>
      </c>
      <c r="B23" s="291"/>
      <c r="C23" s="290"/>
      <c r="D23" s="291"/>
      <c r="E23" s="291"/>
      <c r="F23" s="290" t="str">
        <f t="shared" si="1"/>
        <v>#DIV/0!</v>
      </c>
      <c r="G23" s="291"/>
      <c r="H23" s="290" t="str">
        <f t="shared" si="2"/>
        <v>#DIV/0!</v>
      </c>
      <c r="I23" s="292" t="str">
        <f t="shared" si="3"/>
        <v>#DIV/0!</v>
      </c>
      <c r="J23" s="293"/>
    </row>
    <row r="24" ht="15.75" customHeight="1">
      <c r="A24" s="288">
        <v>44432.0</v>
      </c>
      <c r="B24" s="291"/>
      <c r="C24" s="290"/>
      <c r="D24" s="291"/>
      <c r="E24" s="291"/>
      <c r="F24" s="290" t="str">
        <f t="shared" si="1"/>
        <v>#DIV/0!</v>
      </c>
      <c r="G24" s="291"/>
      <c r="H24" s="290" t="str">
        <f t="shared" si="2"/>
        <v>#DIV/0!</v>
      </c>
      <c r="I24" s="292" t="str">
        <f t="shared" si="3"/>
        <v>#DIV/0!</v>
      </c>
      <c r="J24" s="293"/>
    </row>
    <row r="25" ht="15.75" customHeight="1">
      <c r="A25" s="288">
        <v>44433.0</v>
      </c>
      <c r="B25" s="291"/>
      <c r="C25" s="290"/>
      <c r="D25" s="291"/>
      <c r="E25" s="291"/>
      <c r="F25" s="290" t="str">
        <f t="shared" si="1"/>
        <v>#DIV/0!</v>
      </c>
      <c r="G25" s="291"/>
      <c r="H25" s="290" t="str">
        <f t="shared" si="2"/>
        <v>#DIV/0!</v>
      </c>
      <c r="I25" s="292" t="str">
        <f t="shared" si="3"/>
        <v>#DIV/0!</v>
      </c>
      <c r="J25" s="293"/>
    </row>
    <row r="26" ht="15.75" customHeight="1">
      <c r="A26" s="288">
        <v>44434.0</v>
      </c>
      <c r="B26" s="291"/>
      <c r="C26" s="290"/>
      <c r="D26" s="291"/>
      <c r="E26" s="291"/>
      <c r="F26" s="290" t="str">
        <f t="shared" si="1"/>
        <v>#DIV/0!</v>
      </c>
      <c r="G26" s="291"/>
      <c r="H26" s="290" t="str">
        <f t="shared" si="2"/>
        <v>#DIV/0!</v>
      </c>
      <c r="I26" s="292" t="str">
        <f t="shared" si="3"/>
        <v>#DIV/0!</v>
      </c>
      <c r="J26" s="293"/>
    </row>
    <row r="27" ht="15.75" customHeight="1">
      <c r="A27" s="288">
        <v>44435.0</v>
      </c>
      <c r="B27" s="291"/>
      <c r="C27" s="290"/>
      <c r="D27" s="291"/>
      <c r="E27" s="291"/>
      <c r="F27" s="290" t="str">
        <f t="shared" si="1"/>
        <v>#DIV/0!</v>
      </c>
      <c r="G27" s="291"/>
      <c r="H27" s="290" t="str">
        <f t="shared" si="2"/>
        <v>#DIV/0!</v>
      </c>
      <c r="I27" s="292" t="str">
        <f t="shared" si="3"/>
        <v>#DIV/0!</v>
      </c>
      <c r="J27" s="293"/>
    </row>
    <row r="28" ht="15.75" customHeight="1">
      <c r="A28" s="288">
        <v>44436.0</v>
      </c>
      <c r="B28" s="291"/>
      <c r="C28" s="290"/>
      <c r="D28" s="291"/>
      <c r="E28" s="291"/>
      <c r="F28" s="290" t="str">
        <f t="shared" si="1"/>
        <v>#DIV/0!</v>
      </c>
      <c r="G28" s="291"/>
      <c r="H28" s="290" t="str">
        <f t="shared" si="2"/>
        <v>#DIV/0!</v>
      </c>
      <c r="I28" s="292" t="str">
        <f t="shared" si="3"/>
        <v>#DIV/0!</v>
      </c>
      <c r="J28" s="293"/>
    </row>
    <row r="29" ht="15.75" customHeight="1">
      <c r="A29" s="288">
        <v>44437.0</v>
      </c>
      <c r="B29" s="291"/>
      <c r="C29" s="290"/>
      <c r="D29" s="291"/>
      <c r="E29" s="291"/>
      <c r="F29" s="290" t="str">
        <f t="shared" si="1"/>
        <v>#DIV/0!</v>
      </c>
      <c r="G29" s="291"/>
      <c r="H29" s="290" t="str">
        <f t="shared" si="2"/>
        <v>#DIV/0!</v>
      </c>
      <c r="I29" s="292" t="str">
        <f t="shared" si="3"/>
        <v>#DIV/0!</v>
      </c>
      <c r="J29" s="293"/>
    </row>
    <row r="30" ht="15.75" customHeight="1">
      <c r="A30" s="288">
        <v>44438.0</v>
      </c>
      <c r="B30" s="291"/>
      <c r="C30" s="290"/>
      <c r="D30" s="291"/>
      <c r="E30" s="291"/>
      <c r="F30" s="290" t="str">
        <f t="shared" si="1"/>
        <v>#DIV/0!</v>
      </c>
      <c r="G30" s="291"/>
      <c r="H30" s="290" t="str">
        <f t="shared" si="2"/>
        <v>#DIV/0!</v>
      </c>
      <c r="I30" s="292" t="str">
        <f t="shared" si="3"/>
        <v>#DIV/0!</v>
      </c>
      <c r="J30" s="293"/>
    </row>
    <row r="31" ht="15.75" customHeight="1">
      <c r="A31" s="288">
        <v>44439.0</v>
      </c>
      <c r="B31" s="291"/>
      <c r="C31" s="290"/>
      <c r="D31" s="291"/>
      <c r="E31" s="291"/>
      <c r="F31" s="290" t="str">
        <f t="shared" si="1"/>
        <v>#DIV/0!</v>
      </c>
      <c r="G31" s="291"/>
      <c r="H31" s="290" t="str">
        <f t="shared" si="2"/>
        <v>#DIV/0!</v>
      </c>
      <c r="I31" s="292" t="str">
        <f t="shared" si="3"/>
        <v>#DIV/0!</v>
      </c>
      <c r="J31" s="293"/>
    </row>
    <row r="32" ht="15.75" customHeight="1">
      <c r="A32" s="288">
        <v>44440.0</v>
      </c>
      <c r="B32" s="291"/>
      <c r="C32" s="290"/>
      <c r="D32" s="291"/>
      <c r="E32" s="291"/>
      <c r="F32" s="290" t="str">
        <f t="shared" si="1"/>
        <v>#DIV/0!</v>
      </c>
      <c r="G32" s="291"/>
      <c r="H32" s="290" t="str">
        <f t="shared" si="2"/>
        <v>#DIV/0!</v>
      </c>
      <c r="I32" s="292" t="str">
        <f t="shared" si="3"/>
        <v>#DIV/0!</v>
      </c>
      <c r="J32" s="293"/>
    </row>
    <row r="33" ht="15.75" customHeight="1">
      <c r="A33" s="288">
        <v>44441.0</v>
      </c>
      <c r="B33" s="291"/>
      <c r="C33" s="290"/>
      <c r="D33" s="291"/>
      <c r="E33" s="291"/>
      <c r="F33" s="290" t="str">
        <f t="shared" si="1"/>
        <v>#DIV/0!</v>
      </c>
      <c r="G33" s="291"/>
      <c r="H33" s="290" t="str">
        <f t="shared" si="2"/>
        <v>#DIV/0!</v>
      </c>
      <c r="I33" s="292" t="str">
        <f t="shared" si="3"/>
        <v>#DIV/0!</v>
      </c>
      <c r="J33" s="293"/>
    </row>
    <row r="34" ht="15.75" customHeight="1">
      <c r="A34" s="288">
        <v>44442.0</v>
      </c>
      <c r="B34" s="291"/>
      <c r="C34" s="290"/>
      <c r="D34" s="291"/>
      <c r="E34" s="291"/>
      <c r="F34" s="290" t="str">
        <f t="shared" si="1"/>
        <v>#DIV/0!</v>
      </c>
      <c r="G34" s="291"/>
      <c r="H34" s="290" t="str">
        <f t="shared" si="2"/>
        <v>#DIV/0!</v>
      </c>
      <c r="I34" s="292" t="str">
        <f t="shared" si="3"/>
        <v>#DIV/0!</v>
      </c>
      <c r="J34" s="293"/>
    </row>
    <row r="35" ht="15.75" customHeight="1">
      <c r="A35" s="288">
        <v>44443.0</v>
      </c>
      <c r="B35" s="291"/>
      <c r="C35" s="290"/>
      <c r="D35" s="291"/>
      <c r="E35" s="291"/>
      <c r="F35" s="290" t="str">
        <f t="shared" si="1"/>
        <v>#DIV/0!</v>
      </c>
      <c r="G35" s="291"/>
      <c r="H35" s="290" t="str">
        <f t="shared" si="2"/>
        <v>#DIV/0!</v>
      </c>
      <c r="I35" s="292" t="str">
        <f t="shared" si="3"/>
        <v>#DIV/0!</v>
      </c>
      <c r="J35" s="293"/>
    </row>
    <row r="36" ht="15.75" customHeight="1">
      <c r="A36" s="288">
        <v>44444.0</v>
      </c>
      <c r="B36" s="291"/>
      <c r="C36" s="290"/>
      <c r="D36" s="291"/>
      <c r="E36" s="291"/>
      <c r="F36" s="290" t="str">
        <f t="shared" si="1"/>
        <v>#DIV/0!</v>
      </c>
      <c r="G36" s="291"/>
      <c r="H36" s="290" t="str">
        <f t="shared" si="2"/>
        <v>#DIV/0!</v>
      </c>
      <c r="I36" s="292" t="str">
        <f t="shared" si="3"/>
        <v>#DIV/0!</v>
      </c>
      <c r="J36" s="293"/>
    </row>
    <row r="37" ht="15.75" customHeight="1">
      <c r="A37" s="291" t="s">
        <v>151</v>
      </c>
      <c r="B37" s="289" t="str">
        <f t="shared" ref="B37:H37" si="4">MEDIAN(B2:B36)</f>
        <v>#NUM!</v>
      </c>
      <c r="C37" s="290" t="str">
        <f t="shared" si="4"/>
        <v>#NUM!</v>
      </c>
      <c r="D37" s="291" t="str">
        <f t="shared" si="4"/>
        <v>#NUM!</v>
      </c>
      <c r="E37" s="291" t="str">
        <f t="shared" si="4"/>
        <v>#NUM!</v>
      </c>
      <c r="F37" s="291" t="str">
        <f t="shared" si="4"/>
        <v>#DIV/0!</v>
      </c>
      <c r="G37" s="291" t="str">
        <f t="shared" si="4"/>
        <v>#NUM!</v>
      </c>
      <c r="H37" s="291" t="str">
        <f t="shared" si="4"/>
        <v>#DIV/0!</v>
      </c>
      <c r="I37" s="292"/>
      <c r="J37" s="293" t="str">
        <f>MEDIAN(J2:J36)</f>
        <v>#NUM!</v>
      </c>
    </row>
    <row r="38" ht="15.75" customHeight="1">
      <c r="A38" s="291" t="s">
        <v>71</v>
      </c>
      <c r="B38" s="289">
        <f>SUM(B2:B36)</f>
        <v>0</v>
      </c>
      <c r="C38" s="290"/>
      <c r="D38" s="291">
        <f t="shared" ref="D38:E38" si="5">SUM(D2:D36)</f>
        <v>0</v>
      </c>
      <c r="E38" s="291">
        <f t="shared" si="5"/>
        <v>0</v>
      </c>
      <c r="F38" s="291" t="str">
        <f>E38/D38</f>
        <v>#DIV/0!</v>
      </c>
      <c r="G38" s="291">
        <f>SUM(G2:G36)</f>
        <v>0</v>
      </c>
      <c r="H38" s="290" t="str">
        <f>G38/E38</f>
        <v>#DIV/0!</v>
      </c>
      <c r="I38" s="292" t="str">
        <f>J38/G38</f>
        <v>#DIV/0!</v>
      </c>
      <c r="J38" s="293">
        <f>SUM(J2:J36)</f>
        <v>0</v>
      </c>
    </row>
    <row r="39" ht="15.75" customHeight="1">
      <c r="A39" s="295"/>
      <c r="B39" s="295"/>
      <c r="C39" s="296"/>
      <c r="D39" s="295"/>
      <c r="E39" s="295"/>
      <c r="F39" s="295"/>
      <c r="G39" s="295"/>
      <c r="H39" s="295"/>
      <c r="I39" s="297"/>
      <c r="J39" s="297"/>
    </row>
    <row r="40" ht="15.75" customHeight="1">
      <c r="A40" s="295"/>
      <c r="B40" s="295"/>
      <c r="C40" s="296"/>
      <c r="D40" s="295"/>
      <c r="E40" s="295"/>
      <c r="F40" s="295"/>
      <c r="G40" s="295"/>
      <c r="H40" s="295"/>
      <c r="I40" s="297"/>
      <c r="J40" s="297"/>
    </row>
    <row r="41" ht="15.75" customHeight="1">
      <c r="A41" s="295"/>
      <c r="B41" s="295"/>
      <c r="C41" s="296"/>
      <c r="D41" s="295"/>
      <c r="E41" s="295"/>
      <c r="F41" s="295"/>
      <c r="G41" s="295"/>
      <c r="H41" s="295"/>
      <c r="I41" s="297"/>
      <c r="J41" s="297"/>
    </row>
    <row r="42" ht="15.75" customHeight="1">
      <c r="A42" s="295"/>
      <c r="B42" s="295"/>
      <c r="C42" s="296"/>
      <c r="D42" s="295"/>
      <c r="E42" s="295"/>
      <c r="F42" s="295"/>
      <c r="G42" s="295"/>
      <c r="H42" s="295"/>
      <c r="I42" s="297"/>
      <c r="J42" s="297"/>
    </row>
    <row r="43" ht="15.75" customHeight="1">
      <c r="A43" s="295"/>
      <c r="B43" s="295"/>
      <c r="C43" s="296"/>
      <c r="D43" s="295"/>
      <c r="E43" s="295"/>
      <c r="F43" s="295"/>
      <c r="G43" s="295"/>
      <c r="H43" s="295"/>
      <c r="I43" s="297"/>
      <c r="J43" s="297"/>
    </row>
    <row r="44" ht="15.75" customHeight="1">
      <c r="A44" s="295"/>
      <c r="B44" s="295"/>
      <c r="C44" s="296"/>
      <c r="D44" s="295"/>
      <c r="E44" s="295"/>
      <c r="F44" s="295"/>
      <c r="G44" s="295"/>
      <c r="H44" s="295"/>
      <c r="I44" s="297"/>
      <c r="J44" s="297"/>
    </row>
    <row r="45" ht="15.75" customHeight="1">
      <c r="A45" s="295"/>
      <c r="B45" s="295"/>
      <c r="C45" s="296"/>
      <c r="D45" s="295"/>
      <c r="E45" s="295"/>
      <c r="F45" s="295"/>
      <c r="G45" s="295"/>
      <c r="H45" s="295"/>
      <c r="I45" s="297"/>
      <c r="J45" s="297"/>
    </row>
    <row r="46" ht="15.75" customHeight="1">
      <c r="A46" s="295"/>
      <c r="B46" s="295"/>
      <c r="C46" s="296"/>
      <c r="D46" s="295"/>
      <c r="E46" s="295"/>
      <c r="F46" s="295"/>
      <c r="G46" s="295"/>
      <c r="H46" s="295"/>
      <c r="I46" s="297"/>
      <c r="J46" s="297"/>
    </row>
    <row r="47" ht="15.75" customHeight="1">
      <c r="A47" s="295"/>
      <c r="B47" s="295"/>
      <c r="C47" s="296"/>
      <c r="D47" s="295"/>
      <c r="E47" s="295"/>
      <c r="F47" s="295"/>
      <c r="G47" s="295"/>
      <c r="H47" s="295"/>
      <c r="I47" s="297"/>
      <c r="J47" s="297"/>
    </row>
    <row r="48" ht="15.75" customHeight="1">
      <c r="A48" s="295"/>
      <c r="B48" s="295"/>
      <c r="C48" s="296"/>
      <c r="D48" s="295"/>
      <c r="E48" s="295"/>
      <c r="F48" s="295"/>
      <c r="G48" s="295"/>
      <c r="H48" s="295"/>
      <c r="I48" s="297"/>
      <c r="J48" s="297"/>
    </row>
    <row r="49" ht="15.75" customHeight="1">
      <c r="A49" s="295"/>
      <c r="B49" s="295"/>
      <c r="C49" s="296"/>
      <c r="D49" s="295"/>
      <c r="E49" s="295"/>
      <c r="F49" s="295"/>
      <c r="G49" s="295"/>
      <c r="H49" s="295"/>
      <c r="I49" s="297"/>
      <c r="J49" s="297"/>
    </row>
    <row r="50" ht="15.75" customHeight="1">
      <c r="A50" s="295"/>
      <c r="B50" s="295"/>
      <c r="C50" s="296"/>
      <c r="D50" s="295"/>
      <c r="E50" s="295"/>
      <c r="F50" s="295"/>
      <c r="G50" s="295"/>
      <c r="H50" s="295"/>
      <c r="I50" s="297"/>
      <c r="J50" s="297"/>
    </row>
    <row r="51" ht="15.75" customHeight="1">
      <c r="A51" s="295"/>
      <c r="B51" s="295"/>
      <c r="C51" s="296"/>
      <c r="D51" s="295"/>
      <c r="E51" s="295"/>
      <c r="F51" s="295"/>
      <c r="G51" s="295"/>
      <c r="H51" s="295"/>
      <c r="I51" s="297"/>
      <c r="J51" s="297"/>
    </row>
    <row r="52" ht="15.75" customHeight="1">
      <c r="A52" s="295"/>
      <c r="B52" s="295"/>
      <c r="C52" s="296"/>
      <c r="D52" s="295"/>
      <c r="E52" s="295"/>
      <c r="F52" s="295"/>
      <c r="G52" s="295"/>
      <c r="H52" s="295"/>
      <c r="I52" s="297"/>
      <c r="J52" s="297"/>
    </row>
    <row r="53" ht="15.75" customHeight="1">
      <c r="A53" s="295"/>
      <c r="B53" s="295"/>
      <c r="C53" s="296"/>
      <c r="D53" s="295"/>
      <c r="E53" s="295"/>
      <c r="F53" s="295"/>
      <c r="G53" s="295"/>
      <c r="H53" s="295"/>
      <c r="I53" s="297"/>
      <c r="J53" s="297"/>
    </row>
    <row r="54" ht="15.75" customHeight="1">
      <c r="A54" s="295"/>
      <c r="B54" s="295"/>
      <c r="C54" s="296"/>
      <c r="D54" s="295"/>
      <c r="E54" s="295"/>
      <c r="F54" s="295"/>
      <c r="G54" s="295"/>
      <c r="H54" s="295"/>
      <c r="I54" s="297"/>
      <c r="J54" s="297"/>
    </row>
    <row r="55" ht="15.75" customHeight="1">
      <c r="A55" s="295"/>
      <c r="B55" s="295"/>
      <c r="C55" s="296"/>
      <c r="D55" s="295"/>
      <c r="E55" s="295"/>
      <c r="F55" s="295"/>
      <c r="G55" s="295"/>
      <c r="H55" s="295"/>
      <c r="I55" s="297"/>
      <c r="J55" s="297"/>
    </row>
    <row r="56" ht="15.75" customHeight="1">
      <c r="A56" s="295"/>
      <c r="B56" s="295"/>
      <c r="C56" s="296"/>
      <c r="D56" s="295"/>
      <c r="E56" s="295"/>
      <c r="F56" s="295"/>
      <c r="G56" s="295"/>
      <c r="H56" s="295"/>
      <c r="I56" s="297"/>
      <c r="J56" s="297"/>
    </row>
    <row r="57" ht="15.75" customHeight="1">
      <c r="A57" s="295"/>
      <c r="B57" s="295"/>
      <c r="C57" s="296"/>
      <c r="D57" s="295"/>
      <c r="E57" s="295"/>
      <c r="F57" s="295"/>
      <c r="G57" s="295"/>
      <c r="H57" s="295"/>
      <c r="I57" s="297"/>
      <c r="J57" s="297"/>
    </row>
    <row r="58" ht="15.75" customHeight="1">
      <c r="A58" s="295"/>
      <c r="B58" s="295"/>
      <c r="C58" s="296"/>
      <c r="D58" s="295"/>
      <c r="E58" s="295"/>
      <c r="F58" s="295"/>
      <c r="G58" s="295"/>
      <c r="H58" s="295"/>
      <c r="I58" s="297"/>
      <c r="J58" s="297"/>
    </row>
    <row r="59" ht="15.75" customHeight="1">
      <c r="A59" s="295"/>
      <c r="B59" s="295"/>
      <c r="C59" s="296"/>
      <c r="D59" s="295"/>
      <c r="E59" s="295"/>
      <c r="F59" s="295"/>
      <c r="G59" s="295"/>
      <c r="H59" s="295"/>
      <c r="I59" s="297"/>
      <c r="J59" s="297"/>
    </row>
    <row r="60" ht="15.75" customHeight="1">
      <c r="A60" s="295"/>
      <c r="B60" s="295"/>
      <c r="C60" s="296"/>
      <c r="D60" s="295"/>
      <c r="E60" s="295"/>
      <c r="F60" s="295"/>
      <c r="G60" s="295"/>
      <c r="H60" s="295"/>
      <c r="I60" s="297"/>
      <c r="J60" s="297"/>
    </row>
    <row r="61" ht="15.75" customHeight="1">
      <c r="A61" s="295"/>
      <c r="B61" s="295"/>
      <c r="C61" s="296"/>
      <c r="D61" s="295"/>
      <c r="E61" s="295"/>
      <c r="F61" s="295"/>
      <c r="G61" s="295"/>
      <c r="H61" s="295"/>
      <c r="I61" s="297"/>
      <c r="J61" s="297"/>
    </row>
    <row r="62" ht="15.75" customHeight="1">
      <c r="A62" s="295"/>
      <c r="B62" s="295"/>
      <c r="C62" s="296"/>
      <c r="D62" s="295"/>
      <c r="E62" s="295"/>
      <c r="F62" s="295"/>
      <c r="G62" s="295"/>
      <c r="H62" s="295"/>
      <c r="I62" s="297"/>
      <c r="J62" s="297"/>
    </row>
    <row r="63" ht="15.75" customHeight="1">
      <c r="A63" s="295"/>
      <c r="B63" s="295"/>
      <c r="C63" s="296"/>
      <c r="D63" s="295"/>
      <c r="E63" s="295"/>
      <c r="F63" s="295"/>
      <c r="G63" s="295"/>
      <c r="H63" s="295"/>
      <c r="I63" s="297"/>
      <c r="J63" s="297"/>
    </row>
    <row r="64" ht="15.75" customHeight="1">
      <c r="A64" s="295"/>
      <c r="B64" s="295"/>
      <c r="C64" s="296"/>
      <c r="D64" s="295"/>
      <c r="E64" s="295"/>
      <c r="F64" s="295"/>
      <c r="G64" s="295"/>
      <c r="H64" s="295"/>
      <c r="I64" s="297"/>
      <c r="J64" s="297"/>
    </row>
    <row r="65" ht="15.75" customHeight="1">
      <c r="A65" s="295"/>
      <c r="B65" s="295"/>
      <c r="C65" s="296"/>
      <c r="D65" s="295"/>
      <c r="E65" s="295"/>
      <c r="F65" s="295"/>
      <c r="G65" s="295"/>
      <c r="H65" s="295"/>
      <c r="I65" s="297"/>
      <c r="J65" s="297"/>
    </row>
    <row r="66" ht="15.75" customHeight="1">
      <c r="A66" s="295"/>
      <c r="B66" s="295"/>
      <c r="C66" s="296"/>
      <c r="D66" s="295"/>
      <c r="E66" s="295"/>
      <c r="F66" s="295"/>
      <c r="G66" s="295"/>
      <c r="H66" s="295"/>
      <c r="I66" s="297"/>
      <c r="J66" s="297"/>
    </row>
    <row r="67" ht="15.75" customHeight="1">
      <c r="A67" s="295"/>
      <c r="B67" s="295"/>
      <c r="C67" s="296"/>
      <c r="D67" s="295"/>
      <c r="E67" s="295"/>
      <c r="F67" s="295"/>
      <c r="G67" s="295"/>
      <c r="H67" s="295"/>
      <c r="I67" s="297"/>
      <c r="J67" s="297"/>
    </row>
    <row r="68" ht="15.75" customHeight="1">
      <c r="A68" s="295"/>
      <c r="B68" s="295"/>
      <c r="C68" s="296"/>
      <c r="D68" s="295"/>
      <c r="E68" s="295"/>
      <c r="F68" s="295"/>
      <c r="G68" s="295"/>
      <c r="H68" s="295"/>
      <c r="I68" s="297"/>
      <c r="J68" s="297"/>
    </row>
    <row r="69" ht="15.75" customHeight="1">
      <c r="A69" s="295"/>
      <c r="B69" s="295"/>
      <c r="C69" s="296"/>
      <c r="D69" s="295"/>
      <c r="E69" s="295"/>
      <c r="F69" s="295"/>
      <c r="G69" s="295"/>
      <c r="H69" s="295"/>
      <c r="I69" s="297"/>
      <c r="J69" s="297"/>
    </row>
    <row r="70" ht="15.75" customHeight="1">
      <c r="A70" s="295"/>
      <c r="B70" s="295"/>
      <c r="C70" s="296"/>
      <c r="D70" s="295"/>
      <c r="E70" s="295"/>
      <c r="F70" s="295"/>
      <c r="G70" s="295"/>
      <c r="H70" s="295"/>
      <c r="I70" s="297"/>
      <c r="J70" s="297"/>
    </row>
    <row r="71" ht="15.75" customHeight="1">
      <c r="A71" s="295"/>
      <c r="B71" s="295"/>
      <c r="C71" s="296"/>
      <c r="D71" s="295"/>
      <c r="E71" s="295"/>
      <c r="F71" s="295"/>
      <c r="G71" s="295"/>
      <c r="H71" s="295"/>
      <c r="I71" s="297"/>
      <c r="J71" s="297"/>
    </row>
    <row r="72" ht="15.75" customHeight="1">
      <c r="A72" s="295"/>
      <c r="B72" s="295"/>
      <c r="C72" s="296"/>
      <c r="D72" s="295"/>
      <c r="E72" s="295"/>
      <c r="F72" s="295"/>
      <c r="G72" s="295"/>
      <c r="H72" s="295"/>
      <c r="I72" s="297"/>
      <c r="J72" s="297"/>
    </row>
    <row r="73" ht="15.75" customHeight="1">
      <c r="A73" s="295"/>
      <c r="B73" s="295"/>
      <c r="C73" s="296"/>
      <c r="D73" s="295"/>
      <c r="E73" s="295"/>
      <c r="F73" s="295"/>
      <c r="G73" s="295"/>
      <c r="H73" s="295"/>
      <c r="I73" s="297"/>
      <c r="J73" s="297"/>
    </row>
    <row r="74" ht="15.75" customHeight="1">
      <c r="A74" s="295"/>
      <c r="B74" s="295"/>
      <c r="C74" s="296"/>
      <c r="D74" s="295"/>
      <c r="E74" s="295"/>
      <c r="F74" s="295"/>
      <c r="G74" s="295"/>
      <c r="H74" s="295"/>
      <c r="I74" s="297"/>
      <c r="J74" s="297"/>
    </row>
    <row r="75" ht="15.75" customHeight="1">
      <c r="A75" s="295"/>
      <c r="B75" s="295"/>
      <c r="C75" s="296"/>
      <c r="D75" s="295"/>
      <c r="E75" s="295"/>
      <c r="F75" s="295"/>
      <c r="G75" s="295"/>
      <c r="H75" s="295"/>
      <c r="I75" s="297"/>
      <c r="J75" s="297"/>
    </row>
    <row r="76" ht="15.75" customHeight="1">
      <c r="A76" s="295"/>
      <c r="B76" s="295"/>
      <c r="C76" s="296"/>
      <c r="D76" s="295"/>
      <c r="E76" s="295"/>
      <c r="F76" s="295"/>
      <c r="G76" s="295"/>
      <c r="H76" s="295"/>
      <c r="I76" s="297"/>
      <c r="J76" s="297"/>
    </row>
    <row r="77" ht="15.75" customHeight="1">
      <c r="A77" s="295"/>
      <c r="B77" s="295"/>
      <c r="C77" s="296"/>
      <c r="D77" s="295"/>
      <c r="E77" s="295"/>
      <c r="F77" s="295"/>
      <c r="G77" s="295"/>
      <c r="H77" s="295"/>
      <c r="I77" s="297"/>
      <c r="J77" s="297"/>
    </row>
    <row r="78" ht="15.75" customHeight="1">
      <c r="A78" s="295"/>
      <c r="B78" s="295"/>
      <c r="C78" s="296"/>
      <c r="D78" s="295"/>
      <c r="E78" s="295"/>
      <c r="F78" s="295"/>
      <c r="G78" s="295"/>
      <c r="H78" s="295"/>
      <c r="I78" s="297"/>
      <c r="J78" s="297"/>
    </row>
    <row r="79" ht="15.75" customHeight="1">
      <c r="A79" s="295"/>
      <c r="B79" s="295"/>
      <c r="C79" s="296"/>
      <c r="D79" s="295"/>
      <c r="E79" s="295"/>
      <c r="F79" s="295"/>
      <c r="G79" s="295"/>
      <c r="H79" s="295"/>
      <c r="I79" s="297"/>
      <c r="J79" s="297"/>
    </row>
    <row r="80" ht="15.75" customHeight="1">
      <c r="A80" s="295"/>
      <c r="B80" s="295"/>
      <c r="C80" s="296"/>
      <c r="D80" s="295"/>
      <c r="E80" s="295"/>
      <c r="F80" s="295"/>
      <c r="G80" s="295"/>
      <c r="H80" s="295"/>
      <c r="I80" s="297"/>
      <c r="J80" s="297"/>
    </row>
    <row r="81" ht="15.75" customHeight="1">
      <c r="A81" s="295"/>
      <c r="B81" s="295"/>
      <c r="C81" s="296"/>
      <c r="D81" s="295"/>
      <c r="E81" s="295"/>
      <c r="F81" s="295"/>
      <c r="G81" s="295"/>
      <c r="H81" s="295"/>
      <c r="I81" s="297"/>
      <c r="J81" s="297"/>
    </row>
    <row r="82" ht="15.75" customHeight="1">
      <c r="A82" s="295"/>
      <c r="B82" s="295"/>
      <c r="C82" s="296"/>
      <c r="D82" s="295"/>
      <c r="E82" s="295"/>
      <c r="F82" s="295"/>
      <c r="G82" s="295"/>
      <c r="H82" s="295"/>
      <c r="I82" s="297"/>
      <c r="J82" s="297"/>
    </row>
    <row r="83" ht="15.75" customHeight="1">
      <c r="A83" s="295"/>
      <c r="B83" s="295"/>
      <c r="C83" s="296"/>
      <c r="D83" s="295"/>
      <c r="E83" s="295"/>
      <c r="F83" s="295"/>
      <c r="G83" s="295"/>
      <c r="H83" s="295"/>
      <c r="I83" s="297"/>
      <c r="J83" s="297"/>
    </row>
    <row r="84" ht="15.75" customHeight="1">
      <c r="A84" s="295"/>
      <c r="B84" s="295"/>
      <c r="C84" s="296"/>
      <c r="D84" s="295"/>
      <c r="E84" s="295"/>
      <c r="F84" s="295"/>
      <c r="G84" s="295"/>
      <c r="H84" s="295"/>
      <c r="I84" s="297"/>
      <c r="J84" s="297"/>
    </row>
    <row r="85" ht="15.75" customHeight="1">
      <c r="A85" s="295"/>
      <c r="B85" s="295"/>
      <c r="C85" s="296"/>
      <c r="D85" s="295"/>
      <c r="E85" s="295"/>
      <c r="F85" s="295"/>
      <c r="G85" s="295"/>
      <c r="H85" s="295"/>
      <c r="I85" s="297"/>
      <c r="J85" s="297"/>
    </row>
    <row r="86" ht="15.75" customHeight="1">
      <c r="A86" s="295"/>
      <c r="B86" s="295"/>
      <c r="C86" s="296"/>
      <c r="D86" s="295"/>
      <c r="E86" s="295"/>
      <c r="F86" s="295"/>
      <c r="G86" s="295"/>
      <c r="H86" s="295"/>
      <c r="I86" s="297"/>
      <c r="J86" s="297"/>
    </row>
    <row r="87" ht="15.75" customHeight="1">
      <c r="A87" s="295"/>
      <c r="B87" s="295"/>
      <c r="C87" s="296"/>
      <c r="D87" s="295"/>
      <c r="E87" s="295"/>
      <c r="F87" s="295"/>
      <c r="G87" s="295"/>
      <c r="H87" s="295"/>
      <c r="I87" s="297"/>
      <c r="J87" s="297"/>
    </row>
    <row r="88" ht="15.75" customHeight="1">
      <c r="A88" s="295"/>
      <c r="B88" s="295"/>
      <c r="C88" s="296"/>
      <c r="D88" s="295"/>
      <c r="E88" s="295"/>
      <c r="F88" s="295"/>
      <c r="G88" s="295"/>
      <c r="H88" s="295"/>
      <c r="I88" s="297"/>
      <c r="J88" s="297"/>
    </row>
    <row r="89" ht="15.75" customHeight="1">
      <c r="A89" s="295"/>
      <c r="B89" s="295"/>
      <c r="C89" s="296"/>
      <c r="D89" s="295"/>
      <c r="E89" s="295"/>
      <c r="F89" s="295"/>
      <c r="G89" s="295"/>
      <c r="H89" s="295"/>
      <c r="I89" s="297"/>
      <c r="J89" s="297"/>
    </row>
    <row r="90" ht="15.75" customHeight="1">
      <c r="A90" s="295"/>
      <c r="B90" s="295"/>
      <c r="C90" s="296"/>
      <c r="D90" s="295"/>
      <c r="E90" s="295"/>
      <c r="F90" s="295"/>
      <c r="G90" s="295"/>
      <c r="H90" s="295"/>
      <c r="I90" s="297"/>
      <c r="J90" s="297"/>
    </row>
    <row r="91" ht="15.75" customHeight="1">
      <c r="A91" s="295"/>
      <c r="B91" s="295"/>
      <c r="C91" s="296"/>
      <c r="D91" s="295"/>
      <c r="E91" s="295"/>
      <c r="F91" s="295"/>
      <c r="G91" s="295"/>
      <c r="H91" s="295"/>
      <c r="I91" s="297"/>
      <c r="J91" s="297"/>
    </row>
    <row r="92" ht="15.75" customHeight="1">
      <c r="A92" s="295"/>
      <c r="B92" s="295"/>
      <c r="C92" s="296"/>
      <c r="D92" s="295"/>
      <c r="E92" s="295"/>
      <c r="F92" s="295"/>
      <c r="G92" s="295"/>
      <c r="H92" s="295"/>
      <c r="I92" s="297"/>
      <c r="J92" s="297"/>
    </row>
    <row r="93" ht="15.75" customHeight="1">
      <c r="A93" s="295"/>
      <c r="B93" s="295"/>
      <c r="C93" s="296"/>
      <c r="D93" s="295"/>
      <c r="E93" s="295"/>
      <c r="F93" s="295"/>
      <c r="G93" s="295"/>
      <c r="H93" s="295"/>
      <c r="I93" s="297"/>
      <c r="J93" s="297"/>
    </row>
    <row r="94" ht="15.75" customHeight="1">
      <c r="A94" s="295"/>
      <c r="B94" s="295"/>
      <c r="C94" s="296"/>
      <c r="D94" s="295"/>
      <c r="E94" s="295"/>
      <c r="F94" s="295"/>
      <c r="G94" s="295"/>
      <c r="H94" s="295"/>
      <c r="I94" s="297"/>
      <c r="J94" s="297"/>
    </row>
    <row r="95" ht="15.75" customHeight="1">
      <c r="A95" s="295"/>
      <c r="B95" s="295"/>
      <c r="C95" s="296"/>
      <c r="D95" s="295"/>
      <c r="E95" s="295"/>
      <c r="F95" s="295"/>
      <c r="G95" s="295"/>
      <c r="H95" s="295"/>
      <c r="I95" s="297"/>
      <c r="J95" s="297"/>
    </row>
    <row r="96" ht="15.75" customHeight="1">
      <c r="A96" s="295"/>
      <c r="B96" s="295"/>
      <c r="C96" s="296"/>
      <c r="D96" s="295"/>
      <c r="E96" s="295"/>
      <c r="F96" s="295"/>
      <c r="G96" s="295"/>
      <c r="H96" s="295"/>
      <c r="I96" s="297"/>
      <c r="J96" s="297"/>
    </row>
    <row r="97" ht="15.75" customHeight="1">
      <c r="A97" s="295"/>
      <c r="B97" s="295"/>
      <c r="C97" s="296"/>
      <c r="D97" s="295"/>
      <c r="E97" s="295"/>
      <c r="F97" s="295"/>
      <c r="G97" s="295"/>
      <c r="H97" s="295"/>
      <c r="I97" s="297"/>
      <c r="J97" s="297"/>
    </row>
    <row r="98" ht="15.75" customHeight="1">
      <c r="A98" s="295"/>
      <c r="B98" s="295"/>
      <c r="C98" s="296"/>
      <c r="D98" s="295"/>
      <c r="E98" s="295"/>
      <c r="F98" s="295"/>
      <c r="G98" s="295"/>
      <c r="H98" s="295"/>
      <c r="I98" s="297"/>
      <c r="J98" s="297"/>
    </row>
    <row r="99" ht="15.75" customHeight="1">
      <c r="A99" s="295"/>
      <c r="B99" s="295"/>
      <c r="C99" s="296"/>
      <c r="D99" s="295"/>
      <c r="E99" s="295"/>
      <c r="F99" s="295"/>
      <c r="G99" s="295"/>
      <c r="H99" s="295"/>
      <c r="I99" s="297"/>
      <c r="J99" s="297"/>
    </row>
    <row r="100" ht="15.75" customHeight="1">
      <c r="A100" s="295"/>
      <c r="B100" s="295"/>
      <c r="C100" s="296"/>
      <c r="D100" s="295"/>
      <c r="E100" s="295"/>
      <c r="F100" s="295"/>
      <c r="G100" s="295"/>
      <c r="H100" s="295"/>
      <c r="I100" s="297"/>
      <c r="J100" s="297"/>
    </row>
    <row r="101" ht="15.75" customHeight="1">
      <c r="A101" s="295"/>
      <c r="B101" s="295"/>
      <c r="C101" s="296"/>
      <c r="D101" s="295"/>
      <c r="E101" s="295"/>
      <c r="F101" s="295"/>
      <c r="G101" s="295"/>
      <c r="H101" s="295"/>
      <c r="I101" s="297"/>
      <c r="J101" s="297"/>
    </row>
    <row r="102" ht="15.75" customHeight="1">
      <c r="A102" s="295"/>
      <c r="B102" s="295"/>
      <c r="C102" s="296"/>
      <c r="D102" s="295"/>
      <c r="E102" s="295"/>
      <c r="F102" s="295"/>
      <c r="G102" s="295"/>
      <c r="H102" s="295"/>
      <c r="I102" s="297"/>
      <c r="J102" s="297"/>
    </row>
    <row r="103" ht="15.75" customHeight="1">
      <c r="A103" s="295"/>
      <c r="B103" s="295"/>
      <c r="C103" s="296"/>
      <c r="D103" s="295"/>
      <c r="E103" s="295"/>
      <c r="F103" s="295"/>
      <c r="G103" s="295"/>
      <c r="H103" s="295"/>
      <c r="I103" s="297"/>
      <c r="J103" s="297"/>
    </row>
    <row r="104" ht="15.75" customHeight="1">
      <c r="A104" s="295"/>
      <c r="B104" s="295"/>
      <c r="C104" s="296"/>
      <c r="D104" s="295"/>
      <c r="E104" s="295"/>
      <c r="F104" s="295"/>
      <c r="G104" s="295"/>
      <c r="H104" s="295"/>
      <c r="I104" s="297"/>
      <c r="J104" s="297"/>
    </row>
    <row r="105" ht="15.75" customHeight="1">
      <c r="A105" s="295"/>
      <c r="B105" s="295"/>
      <c r="C105" s="296"/>
      <c r="D105" s="295"/>
      <c r="E105" s="295"/>
      <c r="F105" s="295"/>
      <c r="G105" s="295"/>
      <c r="H105" s="295"/>
      <c r="I105" s="297"/>
      <c r="J105" s="297"/>
    </row>
    <row r="106" ht="15.75" customHeight="1">
      <c r="A106" s="295"/>
      <c r="B106" s="295"/>
      <c r="C106" s="296"/>
      <c r="D106" s="295"/>
      <c r="E106" s="295"/>
      <c r="F106" s="295"/>
      <c r="G106" s="295"/>
      <c r="H106" s="295"/>
      <c r="I106" s="297"/>
      <c r="J106" s="297"/>
    </row>
    <row r="107" ht="15.75" customHeight="1">
      <c r="A107" s="295"/>
      <c r="B107" s="295"/>
      <c r="C107" s="296"/>
      <c r="D107" s="295"/>
      <c r="E107" s="295"/>
      <c r="F107" s="295"/>
      <c r="G107" s="295"/>
      <c r="H107" s="295"/>
      <c r="I107" s="297"/>
      <c r="J107" s="297"/>
    </row>
    <row r="108" ht="15.75" customHeight="1">
      <c r="A108" s="295"/>
      <c r="B108" s="295"/>
      <c r="C108" s="296"/>
      <c r="D108" s="295"/>
      <c r="E108" s="295"/>
      <c r="F108" s="295"/>
      <c r="G108" s="295"/>
      <c r="H108" s="295"/>
      <c r="I108" s="297"/>
      <c r="J108" s="297"/>
    </row>
    <row r="109" ht="15.75" customHeight="1">
      <c r="A109" s="295"/>
      <c r="B109" s="295"/>
      <c r="C109" s="296"/>
      <c r="D109" s="295"/>
      <c r="E109" s="295"/>
      <c r="F109" s="295"/>
      <c r="G109" s="295"/>
      <c r="H109" s="295"/>
      <c r="I109" s="297"/>
      <c r="J109" s="297"/>
    </row>
    <row r="110" ht="15.75" customHeight="1">
      <c r="A110" s="295"/>
      <c r="B110" s="295"/>
      <c r="C110" s="296"/>
      <c r="D110" s="295"/>
      <c r="E110" s="295"/>
      <c r="F110" s="295"/>
      <c r="G110" s="295"/>
      <c r="H110" s="295"/>
      <c r="I110" s="297"/>
      <c r="J110" s="297"/>
    </row>
    <row r="111" ht="15.75" customHeight="1">
      <c r="A111" s="295"/>
      <c r="B111" s="295"/>
      <c r="C111" s="296"/>
      <c r="D111" s="295"/>
      <c r="E111" s="295"/>
      <c r="F111" s="295"/>
      <c r="G111" s="295"/>
      <c r="H111" s="295"/>
      <c r="I111" s="297"/>
      <c r="J111" s="297"/>
    </row>
    <row r="112" ht="15.75" customHeight="1">
      <c r="A112" s="295"/>
      <c r="B112" s="295"/>
      <c r="C112" s="296"/>
      <c r="D112" s="295"/>
      <c r="E112" s="295"/>
      <c r="F112" s="295"/>
      <c r="G112" s="295"/>
      <c r="H112" s="295"/>
      <c r="I112" s="297"/>
      <c r="J112" s="297"/>
    </row>
    <row r="113" ht="15.75" customHeight="1">
      <c r="A113" s="295"/>
      <c r="B113" s="295"/>
      <c r="C113" s="296"/>
      <c r="D113" s="295"/>
      <c r="E113" s="295"/>
      <c r="F113" s="295"/>
      <c r="G113" s="295"/>
      <c r="H113" s="295"/>
      <c r="I113" s="297"/>
      <c r="J113" s="297"/>
    </row>
    <row r="114" ht="15.75" customHeight="1">
      <c r="A114" s="295"/>
      <c r="B114" s="295"/>
      <c r="C114" s="296"/>
      <c r="D114" s="295"/>
      <c r="E114" s="295"/>
      <c r="F114" s="295"/>
      <c r="G114" s="295"/>
      <c r="H114" s="295"/>
      <c r="I114" s="297"/>
      <c r="J114" s="297"/>
    </row>
    <row r="115" ht="15.75" customHeight="1">
      <c r="A115" s="295"/>
      <c r="B115" s="295"/>
      <c r="C115" s="296"/>
      <c r="D115" s="295"/>
      <c r="E115" s="295"/>
      <c r="F115" s="295"/>
      <c r="G115" s="295"/>
      <c r="H115" s="295"/>
      <c r="I115" s="297"/>
      <c r="J115" s="297"/>
    </row>
    <row r="116" ht="15.75" customHeight="1">
      <c r="A116" s="295"/>
      <c r="B116" s="295"/>
      <c r="C116" s="296"/>
      <c r="D116" s="295"/>
      <c r="E116" s="295"/>
      <c r="F116" s="295"/>
      <c r="G116" s="295"/>
      <c r="H116" s="295"/>
      <c r="I116" s="297"/>
      <c r="J116" s="297"/>
    </row>
    <row r="117" ht="15.75" customHeight="1">
      <c r="A117" s="295"/>
      <c r="B117" s="295"/>
      <c r="C117" s="296"/>
      <c r="D117" s="295"/>
      <c r="E117" s="295"/>
      <c r="F117" s="295"/>
      <c r="G117" s="295"/>
      <c r="H117" s="295"/>
      <c r="I117" s="297"/>
      <c r="J117" s="297"/>
    </row>
    <row r="118" ht="15.75" customHeight="1">
      <c r="A118" s="295"/>
      <c r="B118" s="295"/>
      <c r="C118" s="296"/>
      <c r="D118" s="295"/>
      <c r="E118" s="295"/>
      <c r="F118" s="295"/>
      <c r="G118" s="295"/>
      <c r="H118" s="295"/>
      <c r="I118" s="297"/>
      <c r="J118" s="297"/>
    </row>
    <row r="119" ht="15.75" customHeight="1">
      <c r="A119" s="295"/>
      <c r="B119" s="295"/>
      <c r="C119" s="296"/>
      <c r="D119" s="295"/>
      <c r="E119" s="295"/>
      <c r="F119" s="295"/>
      <c r="G119" s="295"/>
      <c r="H119" s="295"/>
      <c r="I119" s="297"/>
      <c r="J119" s="297"/>
    </row>
    <row r="120" ht="15.75" customHeight="1">
      <c r="A120" s="295"/>
      <c r="B120" s="295"/>
      <c r="C120" s="296"/>
      <c r="D120" s="295"/>
      <c r="E120" s="295"/>
      <c r="F120" s="295"/>
      <c r="G120" s="295"/>
      <c r="H120" s="295"/>
      <c r="I120" s="297"/>
      <c r="J120" s="297"/>
    </row>
    <row r="121" ht="15.75" customHeight="1">
      <c r="A121" s="295"/>
      <c r="B121" s="295"/>
      <c r="C121" s="296"/>
      <c r="D121" s="295"/>
      <c r="E121" s="295"/>
      <c r="F121" s="295"/>
      <c r="G121" s="295"/>
      <c r="H121" s="295"/>
      <c r="I121" s="297"/>
      <c r="J121" s="297"/>
    </row>
    <row r="122" ht="15.75" customHeight="1">
      <c r="A122" s="295"/>
      <c r="B122" s="295"/>
      <c r="C122" s="296"/>
      <c r="D122" s="295"/>
      <c r="E122" s="295"/>
      <c r="F122" s="295"/>
      <c r="G122" s="295"/>
      <c r="H122" s="295"/>
      <c r="I122" s="297"/>
      <c r="J122" s="297"/>
    </row>
    <row r="123" ht="15.75" customHeight="1">
      <c r="A123" s="295"/>
      <c r="B123" s="295"/>
      <c r="C123" s="296"/>
      <c r="D123" s="295"/>
      <c r="E123" s="295"/>
      <c r="F123" s="295"/>
      <c r="G123" s="295"/>
      <c r="H123" s="295"/>
      <c r="I123" s="297"/>
      <c r="J123" s="297"/>
    </row>
    <row r="124" ht="15.75" customHeight="1">
      <c r="A124" s="295"/>
      <c r="B124" s="295"/>
      <c r="C124" s="296"/>
      <c r="D124" s="295"/>
      <c r="E124" s="295"/>
      <c r="F124" s="295"/>
      <c r="G124" s="295"/>
      <c r="H124" s="295"/>
      <c r="I124" s="297"/>
      <c r="J124" s="297"/>
    </row>
    <row r="125" ht="15.75" customHeight="1">
      <c r="A125" s="295"/>
      <c r="B125" s="295"/>
      <c r="C125" s="296"/>
      <c r="D125" s="295"/>
      <c r="E125" s="295"/>
      <c r="F125" s="295"/>
      <c r="G125" s="295"/>
      <c r="H125" s="295"/>
      <c r="I125" s="297"/>
      <c r="J125" s="297"/>
    </row>
    <row r="126" ht="15.75" customHeight="1">
      <c r="A126" s="295"/>
      <c r="B126" s="295"/>
      <c r="C126" s="296"/>
      <c r="D126" s="295"/>
      <c r="E126" s="295"/>
      <c r="F126" s="295"/>
      <c r="G126" s="295"/>
      <c r="H126" s="295"/>
      <c r="I126" s="297"/>
      <c r="J126" s="297"/>
    </row>
    <row r="127" ht="15.75" customHeight="1">
      <c r="A127" s="295"/>
      <c r="B127" s="295"/>
      <c r="C127" s="296"/>
      <c r="D127" s="295"/>
      <c r="E127" s="295"/>
      <c r="F127" s="295"/>
      <c r="G127" s="295"/>
      <c r="H127" s="295"/>
      <c r="I127" s="297"/>
      <c r="J127" s="297"/>
    </row>
    <row r="128" ht="15.75" customHeight="1">
      <c r="A128" s="295"/>
      <c r="B128" s="295"/>
      <c r="C128" s="296"/>
      <c r="D128" s="295"/>
      <c r="E128" s="295"/>
      <c r="F128" s="295"/>
      <c r="G128" s="295"/>
      <c r="H128" s="295"/>
      <c r="I128" s="297"/>
      <c r="J128" s="297"/>
    </row>
    <row r="129" ht="15.75" customHeight="1">
      <c r="A129" s="295"/>
      <c r="B129" s="295"/>
      <c r="C129" s="296"/>
      <c r="D129" s="295"/>
      <c r="E129" s="295"/>
      <c r="F129" s="295"/>
      <c r="G129" s="295"/>
      <c r="H129" s="295"/>
      <c r="I129" s="297"/>
      <c r="J129" s="297"/>
    </row>
    <row r="130" ht="15.75" customHeight="1">
      <c r="A130" s="295"/>
      <c r="B130" s="295"/>
      <c r="C130" s="296"/>
      <c r="D130" s="295"/>
      <c r="E130" s="295"/>
      <c r="F130" s="295"/>
      <c r="G130" s="295"/>
      <c r="H130" s="295"/>
      <c r="I130" s="297"/>
      <c r="J130" s="297"/>
    </row>
    <row r="131" ht="15.75" customHeight="1">
      <c r="A131" s="295"/>
      <c r="B131" s="295"/>
      <c r="C131" s="296"/>
      <c r="D131" s="295"/>
      <c r="E131" s="295"/>
      <c r="F131" s="295"/>
      <c r="G131" s="295"/>
      <c r="H131" s="295"/>
      <c r="I131" s="297"/>
      <c r="J131" s="297"/>
    </row>
    <row r="132" ht="15.75" customHeight="1">
      <c r="A132" s="295"/>
      <c r="B132" s="295"/>
      <c r="C132" s="296"/>
      <c r="D132" s="295"/>
      <c r="E132" s="295"/>
      <c r="F132" s="295"/>
      <c r="G132" s="295"/>
      <c r="H132" s="295"/>
      <c r="I132" s="297"/>
      <c r="J132" s="297"/>
    </row>
    <row r="133" ht="15.75" customHeight="1">
      <c r="A133" s="295"/>
      <c r="B133" s="295"/>
      <c r="C133" s="296"/>
      <c r="D133" s="295"/>
      <c r="E133" s="295"/>
      <c r="F133" s="295"/>
      <c r="G133" s="295"/>
      <c r="H133" s="295"/>
      <c r="I133" s="297"/>
      <c r="J133" s="297"/>
    </row>
    <row r="134" ht="15.75" customHeight="1">
      <c r="A134" s="295"/>
      <c r="B134" s="295"/>
      <c r="C134" s="296"/>
      <c r="D134" s="295"/>
      <c r="E134" s="295"/>
      <c r="F134" s="295"/>
      <c r="G134" s="295"/>
      <c r="H134" s="295"/>
      <c r="I134" s="297"/>
      <c r="J134" s="297"/>
    </row>
    <row r="135" ht="15.75" customHeight="1">
      <c r="A135" s="295"/>
      <c r="B135" s="295"/>
      <c r="C135" s="296"/>
      <c r="D135" s="295"/>
      <c r="E135" s="295"/>
      <c r="F135" s="295"/>
      <c r="G135" s="295"/>
      <c r="H135" s="295"/>
      <c r="I135" s="297"/>
      <c r="J135" s="297"/>
    </row>
    <row r="136" ht="15.75" customHeight="1">
      <c r="A136" s="295"/>
      <c r="B136" s="295"/>
      <c r="C136" s="296"/>
      <c r="D136" s="295"/>
      <c r="E136" s="295"/>
      <c r="F136" s="295"/>
      <c r="G136" s="295"/>
      <c r="H136" s="295"/>
      <c r="I136" s="297"/>
      <c r="J136" s="297"/>
    </row>
    <row r="137" ht="15.75" customHeight="1">
      <c r="A137" s="295"/>
      <c r="B137" s="295"/>
      <c r="C137" s="296"/>
      <c r="D137" s="295"/>
      <c r="E137" s="295"/>
      <c r="F137" s="295"/>
      <c r="G137" s="295"/>
      <c r="H137" s="295"/>
      <c r="I137" s="297"/>
      <c r="J137" s="297"/>
    </row>
    <row r="138" ht="15.75" customHeight="1">
      <c r="A138" s="295"/>
      <c r="B138" s="295"/>
      <c r="C138" s="296"/>
      <c r="D138" s="295"/>
      <c r="E138" s="295"/>
      <c r="F138" s="295"/>
      <c r="G138" s="295"/>
      <c r="H138" s="295"/>
      <c r="I138" s="297"/>
      <c r="J138" s="297"/>
    </row>
    <row r="139" ht="15.75" customHeight="1">
      <c r="A139" s="295"/>
      <c r="B139" s="295"/>
      <c r="C139" s="296"/>
      <c r="D139" s="295"/>
      <c r="E139" s="295"/>
      <c r="F139" s="295"/>
      <c r="G139" s="295"/>
      <c r="H139" s="295"/>
      <c r="I139" s="297"/>
      <c r="J139" s="297"/>
    </row>
    <row r="140" ht="15.75" customHeight="1">
      <c r="A140" s="295"/>
      <c r="B140" s="295"/>
      <c r="C140" s="296"/>
      <c r="D140" s="295"/>
      <c r="E140" s="295"/>
      <c r="F140" s="295"/>
      <c r="G140" s="295"/>
      <c r="H140" s="295"/>
      <c r="I140" s="297"/>
      <c r="J140" s="297"/>
    </row>
    <row r="141" ht="15.75" customHeight="1">
      <c r="A141" s="295"/>
      <c r="B141" s="295"/>
      <c r="C141" s="296"/>
      <c r="D141" s="295"/>
      <c r="E141" s="295"/>
      <c r="F141" s="295"/>
      <c r="G141" s="295"/>
      <c r="H141" s="295"/>
      <c r="I141" s="297"/>
      <c r="J141" s="297"/>
    </row>
    <row r="142" ht="15.75" customHeight="1">
      <c r="A142" s="295"/>
      <c r="B142" s="295"/>
      <c r="C142" s="296"/>
      <c r="D142" s="295"/>
      <c r="E142" s="295"/>
      <c r="F142" s="295"/>
      <c r="G142" s="295"/>
      <c r="H142" s="295"/>
      <c r="I142" s="297"/>
      <c r="J142" s="297"/>
    </row>
    <row r="143" ht="15.75" customHeight="1">
      <c r="A143" s="295"/>
      <c r="B143" s="295"/>
      <c r="C143" s="296"/>
      <c r="D143" s="295"/>
      <c r="E143" s="295"/>
      <c r="F143" s="295"/>
      <c r="G143" s="295"/>
      <c r="H143" s="295"/>
      <c r="I143" s="297"/>
      <c r="J143" s="297"/>
    </row>
    <row r="144" ht="15.75" customHeight="1">
      <c r="A144" s="295"/>
      <c r="B144" s="295"/>
      <c r="C144" s="296"/>
      <c r="D144" s="295"/>
      <c r="E144" s="295"/>
      <c r="F144" s="295"/>
      <c r="G144" s="295"/>
      <c r="H144" s="295"/>
      <c r="I144" s="297"/>
      <c r="J144" s="297"/>
    </row>
    <row r="145" ht="15.75" customHeight="1">
      <c r="A145" s="295"/>
      <c r="B145" s="295"/>
      <c r="C145" s="296"/>
      <c r="D145" s="295"/>
      <c r="E145" s="295"/>
      <c r="F145" s="295"/>
      <c r="G145" s="295"/>
      <c r="H145" s="295"/>
      <c r="I145" s="297"/>
      <c r="J145" s="297"/>
    </row>
    <row r="146" ht="15.75" customHeight="1">
      <c r="A146" s="295"/>
      <c r="B146" s="295"/>
      <c r="C146" s="296"/>
      <c r="D146" s="295"/>
      <c r="E146" s="295"/>
      <c r="F146" s="295"/>
      <c r="G146" s="295"/>
      <c r="H146" s="295"/>
      <c r="I146" s="297"/>
      <c r="J146" s="297"/>
    </row>
    <row r="147" ht="15.75" customHeight="1">
      <c r="A147" s="295"/>
      <c r="B147" s="295"/>
      <c r="C147" s="296"/>
      <c r="D147" s="295"/>
      <c r="E147" s="295"/>
      <c r="F147" s="295"/>
      <c r="G147" s="295"/>
      <c r="H147" s="295"/>
      <c r="I147" s="297"/>
      <c r="J147" s="297"/>
    </row>
    <row r="148" ht="15.75" customHeight="1">
      <c r="A148" s="295"/>
      <c r="B148" s="295"/>
      <c r="C148" s="296"/>
      <c r="D148" s="295"/>
      <c r="E148" s="295"/>
      <c r="F148" s="295"/>
      <c r="G148" s="295"/>
      <c r="H148" s="295"/>
      <c r="I148" s="297"/>
      <c r="J148" s="297"/>
    </row>
    <row r="149" ht="15.75" customHeight="1">
      <c r="A149" s="295"/>
      <c r="B149" s="295"/>
      <c r="C149" s="296"/>
      <c r="D149" s="295"/>
      <c r="E149" s="295"/>
      <c r="F149" s="295"/>
      <c r="G149" s="295"/>
      <c r="H149" s="295"/>
      <c r="I149" s="297"/>
      <c r="J149" s="297"/>
    </row>
    <row r="150" ht="15.75" customHeight="1">
      <c r="A150" s="295"/>
      <c r="B150" s="295"/>
      <c r="C150" s="296"/>
      <c r="D150" s="295"/>
      <c r="E150" s="295"/>
      <c r="F150" s="295"/>
      <c r="G150" s="295"/>
      <c r="H150" s="295"/>
      <c r="I150" s="297"/>
      <c r="J150" s="297"/>
    </row>
    <row r="151" ht="15.75" customHeight="1">
      <c r="A151" s="295"/>
      <c r="B151" s="295"/>
      <c r="C151" s="296"/>
      <c r="D151" s="295"/>
      <c r="E151" s="295"/>
      <c r="F151" s="295"/>
      <c r="G151" s="295"/>
      <c r="H151" s="295"/>
      <c r="I151" s="297"/>
      <c r="J151" s="297"/>
    </row>
    <row r="152" ht="15.75" customHeight="1">
      <c r="A152" s="295"/>
      <c r="B152" s="295"/>
      <c r="C152" s="296"/>
      <c r="D152" s="295"/>
      <c r="E152" s="295"/>
      <c r="F152" s="295"/>
      <c r="G152" s="295"/>
      <c r="H152" s="295"/>
      <c r="I152" s="297"/>
      <c r="J152" s="297"/>
    </row>
    <row r="153" ht="15.75" customHeight="1">
      <c r="A153" s="295"/>
      <c r="B153" s="295"/>
      <c r="C153" s="296"/>
      <c r="D153" s="295"/>
      <c r="E153" s="295"/>
      <c r="F153" s="295"/>
      <c r="G153" s="295"/>
      <c r="H153" s="295"/>
      <c r="I153" s="297"/>
      <c r="J153" s="297"/>
    </row>
    <row r="154" ht="15.75" customHeight="1">
      <c r="A154" s="295"/>
      <c r="B154" s="295"/>
      <c r="C154" s="296"/>
      <c r="D154" s="295"/>
      <c r="E154" s="295"/>
      <c r="F154" s="295"/>
      <c r="G154" s="295"/>
      <c r="H154" s="295"/>
      <c r="I154" s="297"/>
      <c r="J154" s="297"/>
    </row>
    <row r="155" ht="15.75" customHeight="1">
      <c r="A155" s="295"/>
      <c r="B155" s="295"/>
      <c r="C155" s="296"/>
      <c r="D155" s="295"/>
      <c r="E155" s="295"/>
      <c r="F155" s="295"/>
      <c r="G155" s="295"/>
      <c r="H155" s="295"/>
      <c r="I155" s="297"/>
      <c r="J155" s="297"/>
    </row>
    <row r="156" ht="15.75" customHeight="1">
      <c r="A156" s="295"/>
      <c r="B156" s="295"/>
      <c r="C156" s="296"/>
      <c r="D156" s="295"/>
      <c r="E156" s="295"/>
      <c r="F156" s="295"/>
      <c r="G156" s="295"/>
      <c r="H156" s="295"/>
      <c r="I156" s="297"/>
      <c r="J156" s="297"/>
    </row>
    <row r="157" ht="15.75" customHeight="1">
      <c r="A157" s="295"/>
      <c r="B157" s="295"/>
      <c r="C157" s="296"/>
      <c r="D157" s="295"/>
      <c r="E157" s="295"/>
      <c r="F157" s="295"/>
      <c r="G157" s="295"/>
      <c r="H157" s="295"/>
      <c r="I157" s="297"/>
      <c r="J157" s="297"/>
    </row>
    <row r="158" ht="15.75" customHeight="1">
      <c r="A158" s="295"/>
      <c r="B158" s="295"/>
      <c r="C158" s="296"/>
      <c r="D158" s="295"/>
      <c r="E158" s="295"/>
      <c r="F158" s="295"/>
      <c r="G158" s="295"/>
      <c r="H158" s="295"/>
      <c r="I158" s="297"/>
      <c r="J158" s="297"/>
    </row>
    <row r="159" ht="15.75" customHeight="1">
      <c r="A159" s="295"/>
      <c r="B159" s="295"/>
      <c r="C159" s="296"/>
      <c r="D159" s="295"/>
      <c r="E159" s="295"/>
      <c r="F159" s="295"/>
      <c r="G159" s="295"/>
      <c r="H159" s="295"/>
      <c r="I159" s="297"/>
      <c r="J159" s="297"/>
    </row>
    <row r="160" ht="15.75" customHeight="1">
      <c r="A160" s="295"/>
      <c r="B160" s="295"/>
      <c r="C160" s="296"/>
      <c r="D160" s="295"/>
      <c r="E160" s="295"/>
      <c r="F160" s="295"/>
      <c r="G160" s="295"/>
      <c r="H160" s="295"/>
      <c r="I160" s="297"/>
      <c r="J160" s="297"/>
    </row>
    <row r="161" ht="15.75" customHeight="1">
      <c r="A161" s="295"/>
      <c r="B161" s="295"/>
      <c r="C161" s="296"/>
      <c r="D161" s="295"/>
      <c r="E161" s="295"/>
      <c r="F161" s="295"/>
      <c r="G161" s="295"/>
      <c r="H161" s="295"/>
      <c r="I161" s="297"/>
      <c r="J161" s="297"/>
    </row>
    <row r="162" ht="15.75" customHeight="1">
      <c r="A162" s="295"/>
      <c r="B162" s="295"/>
      <c r="C162" s="296"/>
      <c r="D162" s="295"/>
      <c r="E162" s="295"/>
      <c r="F162" s="295"/>
      <c r="G162" s="295"/>
      <c r="H162" s="295"/>
      <c r="I162" s="297"/>
      <c r="J162" s="297"/>
    </row>
    <row r="163" ht="15.75" customHeight="1">
      <c r="A163" s="295"/>
      <c r="B163" s="295"/>
      <c r="C163" s="296"/>
      <c r="D163" s="295"/>
      <c r="E163" s="295"/>
      <c r="F163" s="295"/>
      <c r="G163" s="295"/>
      <c r="H163" s="295"/>
      <c r="I163" s="297"/>
      <c r="J163" s="297"/>
    </row>
    <row r="164" ht="15.75" customHeight="1">
      <c r="A164" s="295"/>
      <c r="B164" s="295"/>
      <c r="C164" s="296"/>
      <c r="D164" s="295"/>
      <c r="E164" s="295"/>
      <c r="F164" s="295"/>
      <c r="G164" s="295"/>
      <c r="H164" s="295"/>
      <c r="I164" s="297"/>
      <c r="J164" s="297"/>
    </row>
    <row r="165" ht="15.75" customHeight="1">
      <c r="A165" s="295"/>
      <c r="B165" s="295"/>
      <c r="C165" s="296"/>
      <c r="D165" s="295"/>
      <c r="E165" s="295"/>
      <c r="F165" s="295"/>
      <c r="G165" s="295"/>
      <c r="H165" s="295"/>
      <c r="I165" s="297"/>
      <c r="J165" s="297"/>
    </row>
    <row r="166" ht="15.75" customHeight="1">
      <c r="A166" s="295"/>
      <c r="B166" s="295"/>
      <c r="C166" s="296"/>
      <c r="D166" s="295"/>
      <c r="E166" s="295"/>
      <c r="F166" s="295"/>
      <c r="G166" s="295"/>
      <c r="H166" s="295"/>
      <c r="I166" s="297"/>
      <c r="J166" s="297"/>
    </row>
    <row r="167" ht="15.75" customHeight="1">
      <c r="A167" s="295"/>
      <c r="B167" s="295"/>
      <c r="C167" s="296"/>
      <c r="D167" s="295"/>
      <c r="E167" s="295"/>
      <c r="F167" s="295"/>
      <c r="G167" s="295"/>
      <c r="H167" s="295"/>
      <c r="I167" s="297"/>
      <c r="J167" s="297"/>
    </row>
    <row r="168" ht="15.75" customHeight="1">
      <c r="A168" s="295"/>
      <c r="B168" s="295"/>
      <c r="C168" s="296"/>
      <c r="D168" s="295"/>
      <c r="E168" s="295"/>
      <c r="F168" s="295"/>
      <c r="G168" s="295"/>
      <c r="H168" s="295"/>
      <c r="I168" s="297"/>
      <c r="J168" s="297"/>
    </row>
    <row r="169" ht="15.75" customHeight="1">
      <c r="A169" s="295"/>
      <c r="B169" s="295"/>
      <c r="C169" s="296"/>
      <c r="D169" s="295"/>
      <c r="E169" s="295"/>
      <c r="F169" s="295"/>
      <c r="G169" s="295"/>
      <c r="H169" s="295"/>
      <c r="I169" s="297"/>
      <c r="J169" s="297"/>
    </row>
    <row r="170" ht="15.75" customHeight="1">
      <c r="A170" s="295"/>
      <c r="B170" s="295"/>
      <c r="C170" s="296"/>
      <c r="D170" s="295"/>
      <c r="E170" s="295"/>
      <c r="F170" s="295"/>
      <c r="G170" s="295"/>
      <c r="H170" s="295"/>
      <c r="I170" s="297"/>
      <c r="J170" s="297"/>
    </row>
    <row r="171" ht="15.75" customHeight="1">
      <c r="A171" s="295"/>
      <c r="B171" s="295"/>
      <c r="C171" s="296"/>
      <c r="D171" s="295"/>
      <c r="E171" s="295"/>
      <c r="F171" s="295"/>
      <c r="G171" s="295"/>
      <c r="H171" s="295"/>
      <c r="I171" s="297"/>
      <c r="J171" s="297"/>
    </row>
    <row r="172" ht="15.75" customHeight="1">
      <c r="A172" s="295"/>
      <c r="B172" s="295"/>
      <c r="C172" s="296"/>
      <c r="D172" s="295"/>
      <c r="E172" s="295"/>
      <c r="F172" s="295"/>
      <c r="G172" s="295"/>
      <c r="H172" s="295"/>
      <c r="I172" s="297"/>
      <c r="J172" s="297"/>
    </row>
    <row r="173" ht="15.75" customHeight="1">
      <c r="A173" s="295"/>
      <c r="B173" s="295"/>
      <c r="C173" s="296"/>
      <c r="D173" s="295"/>
      <c r="E173" s="295"/>
      <c r="F173" s="295"/>
      <c r="G173" s="295"/>
      <c r="H173" s="295"/>
      <c r="I173" s="297"/>
      <c r="J173" s="297"/>
    </row>
    <row r="174" ht="15.75" customHeight="1">
      <c r="A174" s="295"/>
      <c r="B174" s="295"/>
      <c r="C174" s="296"/>
      <c r="D174" s="295"/>
      <c r="E174" s="295"/>
      <c r="F174" s="295"/>
      <c r="G174" s="295"/>
      <c r="H174" s="295"/>
      <c r="I174" s="297"/>
      <c r="J174" s="297"/>
    </row>
    <row r="175" ht="15.75" customHeight="1">
      <c r="A175" s="295"/>
      <c r="B175" s="295"/>
      <c r="C175" s="296"/>
      <c r="D175" s="295"/>
      <c r="E175" s="295"/>
      <c r="F175" s="295"/>
      <c r="G175" s="295"/>
      <c r="H175" s="295"/>
      <c r="I175" s="297"/>
      <c r="J175" s="297"/>
    </row>
    <row r="176" ht="15.75" customHeight="1">
      <c r="A176" s="295"/>
      <c r="B176" s="295"/>
      <c r="C176" s="296"/>
      <c r="D176" s="295"/>
      <c r="E176" s="295"/>
      <c r="F176" s="295"/>
      <c r="G176" s="295"/>
      <c r="H176" s="295"/>
      <c r="I176" s="297"/>
      <c r="J176" s="297"/>
    </row>
    <row r="177" ht="15.75" customHeight="1">
      <c r="A177" s="295"/>
      <c r="B177" s="295"/>
      <c r="C177" s="296"/>
      <c r="D177" s="295"/>
      <c r="E177" s="295"/>
      <c r="F177" s="295"/>
      <c r="G177" s="295"/>
      <c r="H177" s="295"/>
      <c r="I177" s="297"/>
      <c r="J177" s="297"/>
    </row>
    <row r="178" ht="15.75" customHeight="1">
      <c r="A178" s="295"/>
      <c r="B178" s="295"/>
      <c r="C178" s="296"/>
      <c r="D178" s="295"/>
      <c r="E178" s="295"/>
      <c r="F178" s="295"/>
      <c r="G178" s="295"/>
      <c r="H178" s="295"/>
      <c r="I178" s="297"/>
      <c r="J178" s="297"/>
    </row>
    <row r="179" ht="15.75" customHeight="1">
      <c r="A179" s="295"/>
      <c r="B179" s="295"/>
      <c r="C179" s="296"/>
      <c r="D179" s="295"/>
      <c r="E179" s="295"/>
      <c r="F179" s="295"/>
      <c r="G179" s="295"/>
      <c r="H179" s="295"/>
      <c r="I179" s="297"/>
      <c r="J179" s="297"/>
    </row>
    <row r="180" ht="15.75" customHeight="1">
      <c r="A180" s="295"/>
      <c r="B180" s="295"/>
      <c r="C180" s="296"/>
      <c r="D180" s="295"/>
      <c r="E180" s="295"/>
      <c r="F180" s="295"/>
      <c r="G180" s="295"/>
      <c r="H180" s="295"/>
      <c r="I180" s="297"/>
      <c r="J180" s="297"/>
    </row>
    <row r="181" ht="15.75" customHeight="1">
      <c r="A181" s="295"/>
      <c r="B181" s="295"/>
      <c r="C181" s="296"/>
      <c r="D181" s="295"/>
      <c r="E181" s="295"/>
      <c r="F181" s="295"/>
      <c r="G181" s="295"/>
      <c r="H181" s="295"/>
      <c r="I181" s="297"/>
      <c r="J181" s="297"/>
    </row>
    <row r="182" ht="15.75" customHeight="1">
      <c r="A182" s="295"/>
      <c r="B182" s="295"/>
      <c r="C182" s="296"/>
      <c r="D182" s="295"/>
      <c r="E182" s="295"/>
      <c r="F182" s="295"/>
      <c r="G182" s="295"/>
      <c r="H182" s="295"/>
      <c r="I182" s="297"/>
      <c r="J182" s="297"/>
    </row>
    <row r="183" ht="15.75" customHeight="1">
      <c r="A183" s="295"/>
      <c r="B183" s="295"/>
      <c r="C183" s="296"/>
      <c r="D183" s="295"/>
      <c r="E183" s="295"/>
      <c r="F183" s="295"/>
      <c r="G183" s="295"/>
      <c r="H183" s="295"/>
      <c r="I183" s="297"/>
      <c r="J183" s="297"/>
    </row>
    <row r="184" ht="15.75" customHeight="1">
      <c r="A184" s="295"/>
      <c r="B184" s="295"/>
      <c r="C184" s="296"/>
      <c r="D184" s="295"/>
      <c r="E184" s="295"/>
      <c r="F184" s="295"/>
      <c r="G184" s="295"/>
      <c r="H184" s="295"/>
      <c r="I184" s="297"/>
      <c r="J184" s="297"/>
    </row>
    <row r="185" ht="15.75" customHeight="1">
      <c r="A185" s="295"/>
      <c r="B185" s="295"/>
      <c r="C185" s="296"/>
      <c r="D185" s="295"/>
      <c r="E185" s="295"/>
      <c r="F185" s="295"/>
      <c r="G185" s="295"/>
      <c r="H185" s="295"/>
      <c r="I185" s="297"/>
      <c r="J185" s="297"/>
    </row>
    <row r="186" ht="15.75" customHeight="1">
      <c r="A186" s="295"/>
      <c r="B186" s="295"/>
      <c r="C186" s="296"/>
      <c r="D186" s="295"/>
      <c r="E186" s="295"/>
      <c r="F186" s="295"/>
      <c r="G186" s="295"/>
      <c r="H186" s="295"/>
      <c r="I186" s="297"/>
      <c r="J186" s="297"/>
    </row>
    <row r="187" ht="15.75" customHeight="1">
      <c r="A187" s="295"/>
      <c r="B187" s="295"/>
      <c r="C187" s="296"/>
      <c r="D187" s="295"/>
      <c r="E187" s="295"/>
      <c r="F187" s="295"/>
      <c r="G187" s="295"/>
      <c r="H187" s="295"/>
      <c r="I187" s="297"/>
      <c r="J187" s="297"/>
    </row>
    <row r="188" ht="15.75" customHeight="1">
      <c r="A188" s="295"/>
      <c r="B188" s="295"/>
      <c r="C188" s="296"/>
      <c r="D188" s="295"/>
      <c r="E188" s="295"/>
      <c r="F188" s="295"/>
      <c r="G188" s="295"/>
      <c r="H188" s="295"/>
      <c r="I188" s="297"/>
      <c r="J188" s="297"/>
    </row>
    <row r="189" ht="15.75" customHeight="1">
      <c r="A189" s="295"/>
      <c r="B189" s="295"/>
      <c r="C189" s="296"/>
      <c r="D189" s="295"/>
      <c r="E189" s="295"/>
      <c r="F189" s="295"/>
      <c r="G189" s="295"/>
      <c r="H189" s="295"/>
      <c r="I189" s="297"/>
      <c r="J189" s="297"/>
    </row>
    <row r="190" ht="15.75" customHeight="1">
      <c r="A190" s="295"/>
      <c r="B190" s="295"/>
      <c r="C190" s="296"/>
      <c r="D190" s="295"/>
      <c r="E190" s="295"/>
      <c r="F190" s="295"/>
      <c r="G190" s="295"/>
      <c r="H190" s="295"/>
      <c r="I190" s="297"/>
      <c r="J190" s="297"/>
    </row>
    <row r="191" ht="15.75" customHeight="1">
      <c r="A191" s="295"/>
      <c r="B191" s="295"/>
      <c r="C191" s="296"/>
      <c r="D191" s="295"/>
      <c r="E191" s="295"/>
      <c r="F191" s="295"/>
      <c r="G191" s="295"/>
      <c r="H191" s="295"/>
      <c r="I191" s="297"/>
      <c r="J191" s="297"/>
    </row>
    <row r="192" ht="15.75" customHeight="1">
      <c r="A192" s="295"/>
      <c r="B192" s="295"/>
      <c r="C192" s="296"/>
      <c r="D192" s="295"/>
      <c r="E192" s="295"/>
      <c r="F192" s="295"/>
      <c r="G192" s="295"/>
      <c r="H192" s="295"/>
      <c r="I192" s="297"/>
      <c r="J192" s="297"/>
    </row>
    <row r="193" ht="15.75" customHeight="1">
      <c r="A193" s="295"/>
      <c r="B193" s="295"/>
      <c r="C193" s="296"/>
      <c r="D193" s="295"/>
      <c r="E193" s="295"/>
      <c r="F193" s="295"/>
      <c r="G193" s="295"/>
      <c r="H193" s="295"/>
      <c r="I193" s="297"/>
      <c r="J193" s="297"/>
    </row>
    <row r="194" ht="15.75" customHeight="1">
      <c r="A194" s="295"/>
      <c r="B194" s="295"/>
      <c r="C194" s="296"/>
      <c r="D194" s="295"/>
      <c r="E194" s="295"/>
      <c r="F194" s="295"/>
      <c r="G194" s="295"/>
      <c r="H194" s="295"/>
      <c r="I194" s="297"/>
      <c r="J194" s="297"/>
    </row>
    <row r="195" ht="15.75" customHeight="1">
      <c r="A195" s="295"/>
      <c r="B195" s="295"/>
      <c r="C195" s="296"/>
      <c r="D195" s="295"/>
      <c r="E195" s="295"/>
      <c r="F195" s="295"/>
      <c r="G195" s="295"/>
      <c r="H195" s="295"/>
      <c r="I195" s="297"/>
      <c r="J195" s="297"/>
    </row>
    <row r="196" ht="15.75" customHeight="1">
      <c r="A196" s="295"/>
      <c r="B196" s="295"/>
      <c r="C196" s="296"/>
      <c r="D196" s="295"/>
      <c r="E196" s="295"/>
      <c r="F196" s="295"/>
      <c r="G196" s="295"/>
      <c r="H196" s="295"/>
      <c r="I196" s="297"/>
      <c r="J196" s="297"/>
    </row>
    <row r="197" ht="15.75" customHeight="1">
      <c r="A197" s="295"/>
      <c r="B197" s="295"/>
      <c r="C197" s="296"/>
      <c r="D197" s="295"/>
      <c r="E197" s="295"/>
      <c r="F197" s="295"/>
      <c r="G197" s="295"/>
      <c r="H197" s="295"/>
      <c r="I197" s="297"/>
      <c r="J197" s="297"/>
    </row>
    <row r="198" ht="15.75" customHeight="1">
      <c r="A198" s="295"/>
      <c r="B198" s="295"/>
      <c r="C198" s="296"/>
      <c r="D198" s="295"/>
      <c r="E198" s="295"/>
      <c r="F198" s="295"/>
      <c r="G198" s="295"/>
      <c r="H198" s="295"/>
      <c r="I198" s="297"/>
      <c r="J198" s="297"/>
    </row>
    <row r="199" ht="15.75" customHeight="1">
      <c r="A199" s="295"/>
      <c r="B199" s="295"/>
      <c r="C199" s="296"/>
      <c r="D199" s="295"/>
      <c r="E199" s="295"/>
      <c r="F199" s="295"/>
      <c r="G199" s="295"/>
      <c r="H199" s="295"/>
      <c r="I199" s="297"/>
      <c r="J199" s="297"/>
    </row>
    <row r="200" ht="15.75" customHeight="1">
      <c r="A200" s="295"/>
      <c r="B200" s="295"/>
      <c r="C200" s="296"/>
      <c r="D200" s="295"/>
      <c r="E200" s="295"/>
      <c r="F200" s="295"/>
      <c r="G200" s="295"/>
      <c r="H200" s="295"/>
      <c r="I200" s="297"/>
      <c r="J200" s="297"/>
    </row>
    <row r="201" ht="15.75" customHeight="1">
      <c r="A201" s="295"/>
      <c r="B201" s="295"/>
      <c r="C201" s="296"/>
      <c r="D201" s="295"/>
      <c r="E201" s="295"/>
      <c r="F201" s="295"/>
      <c r="G201" s="295"/>
      <c r="H201" s="295"/>
      <c r="I201" s="297"/>
      <c r="J201" s="297"/>
    </row>
    <row r="202" ht="15.75" customHeight="1">
      <c r="A202" s="295"/>
      <c r="B202" s="295"/>
      <c r="C202" s="296"/>
      <c r="D202" s="295"/>
      <c r="E202" s="295"/>
      <c r="F202" s="295"/>
      <c r="G202" s="295"/>
      <c r="H202" s="295"/>
      <c r="I202" s="297"/>
      <c r="J202" s="297"/>
    </row>
    <row r="203" ht="15.75" customHeight="1">
      <c r="A203" s="295"/>
      <c r="B203" s="295"/>
      <c r="C203" s="296"/>
      <c r="D203" s="295"/>
      <c r="E203" s="295"/>
      <c r="F203" s="295"/>
      <c r="G203" s="295"/>
      <c r="H203" s="295"/>
      <c r="I203" s="297"/>
      <c r="J203" s="297"/>
    </row>
    <row r="204" ht="15.75" customHeight="1">
      <c r="A204" s="295"/>
      <c r="B204" s="295"/>
      <c r="C204" s="296"/>
      <c r="D204" s="295"/>
      <c r="E204" s="295"/>
      <c r="F204" s="295"/>
      <c r="G204" s="295"/>
      <c r="H204" s="295"/>
      <c r="I204" s="297"/>
      <c r="J204" s="297"/>
    </row>
    <row r="205" ht="15.75" customHeight="1">
      <c r="A205" s="295"/>
      <c r="B205" s="295"/>
      <c r="C205" s="296"/>
      <c r="D205" s="295"/>
      <c r="E205" s="295"/>
      <c r="F205" s="295"/>
      <c r="G205" s="295"/>
      <c r="H205" s="295"/>
      <c r="I205" s="297"/>
      <c r="J205" s="297"/>
    </row>
    <row r="206" ht="15.75" customHeight="1">
      <c r="A206" s="295"/>
      <c r="B206" s="295"/>
      <c r="C206" s="296"/>
      <c r="D206" s="295"/>
      <c r="E206" s="295"/>
      <c r="F206" s="295"/>
      <c r="G206" s="295"/>
      <c r="H206" s="295"/>
      <c r="I206" s="297"/>
      <c r="J206" s="297"/>
    </row>
    <row r="207" ht="15.75" customHeight="1">
      <c r="A207" s="295"/>
      <c r="B207" s="295"/>
      <c r="C207" s="296"/>
      <c r="D207" s="295"/>
      <c r="E207" s="295"/>
      <c r="F207" s="295"/>
      <c r="G207" s="295"/>
      <c r="H207" s="295"/>
      <c r="I207" s="297"/>
      <c r="J207" s="297"/>
    </row>
    <row r="208" ht="15.75" customHeight="1">
      <c r="A208" s="295"/>
      <c r="B208" s="295"/>
      <c r="C208" s="296"/>
      <c r="D208" s="295"/>
      <c r="E208" s="295"/>
      <c r="F208" s="295"/>
      <c r="G208" s="295"/>
      <c r="H208" s="295"/>
      <c r="I208" s="297"/>
      <c r="J208" s="297"/>
    </row>
    <row r="209" ht="15.75" customHeight="1">
      <c r="A209" s="295"/>
      <c r="B209" s="295"/>
      <c r="C209" s="296"/>
      <c r="D209" s="295"/>
      <c r="E209" s="295"/>
      <c r="F209" s="295"/>
      <c r="G209" s="295"/>
      <c r="H209" s="295"/>
      <c r="I209" s="297"/>
      <c r="J209" s="297"/>
    </row>
    <row r="210" ht="15.75" customHeight="1">
      <c r="A210" s="295"/>
      <c r="B210" s="295"/>
      <c r="C210" s="296"/>
      <c r="D210" s="295"/>
      <c r="E210" s="295"/>
      <c r="F210" s="295"/>
      <c r="G210" s="295"/>
      <c r="H210" s="295"/>
      <c r="I210" s="297"/>
      <c r="J210" s="297"/>
    </row>
    <row r="211" ht="15.75" customHeight="1">
      <c r="A211" s="295"/>
      <c r="B211" s="295"/>
      <c r="C211" s="296"/>
      <c r="D211" s="295"/>
      <c r="E211" s="295"/>
      <c r="F211" s="295"/>
      <c r="G211" s="295"/>
      <c r="H211" s="295"/>
      <c r="I211" s="297"/>
      <c r="J211" s="297"/>
    </row>
    <row r="212" ht="15.75" customHeight="1">
      <c r="A212" s="295"/>
      <c r="B212" s="295"/>
      <c r="C212" s="296"/>
      <c r="D212" s="295"/>
      <c r="E212" s="295"/>
      <c r="F212" s="295"/>
      <c r="G212" s="295"/>
      <c r="H212" s="295"/>
      <c r="I212" s="297"/>
      <c r="J212" s="297"/>
    </row>
    <row r="213" ht="15.75" customHeight="1">
      <c r="A213" s="295"/>
      <c r="B213" s="295"/>
      <c r="C213" s="296"/>
      <c r="D213" s="295"/>
      <c r="E213" s="295"/>
      <c r="F213" s="295"/>
      <c r="G213" s="295"/>
      <c r="H213" s="295"/>
      <c r="I213" s="297"/>
      <c r="J213" s="297"/>
    </row>
    <row r="214" ht="15.75" customHeight="1">
      <c r="A214" s="295"/>
      <c r="B214" s="295"/>
      <c r="C214" s="296"/>
      <c r="D214" s="295"/>
      <c r="E214" s="295"/>
      <c r="F214" s="295"/>
      <c r="G214" s="295"/>
      <c r="H214" s="295"/>
      <c r="I214" s="297"/>
      <c r="J214" s="297"/>
    </row>
    <row r="215" ht="15.75" customHeight="1">
      <c r="A215" s="295"/>
      <c r="B215" s="295"/>
      <c r="C215" s="296"/>
      <c r="D215" s="295"/>
      <c r="E215" s="295"/>
      <c r="F215" s="295"/>
      <c r="G215" s="295"/>
      <c r="H215" s="295"/>
      <c r="I215" s="297"/>
      <c r="J215" s="297"/>
    </row>
    <row r="216" ht="15.75" customHeight="1">
      <c r="A216" s="295"/>
      <c r="B216" s="295"/>
      <c r="C216" s="296"/>
      <c r="D216" s="295"/>
      <c r="E216" s="295"/>
      <c r="F216" s="295"/>
      <c r="G216" s="295"/>
      <c r="H216" s="295"/>
      <c r="I216" s="297"/>
      <c r="J216" s="297"/>
    </row>
    <row r="217" ht="15.75" customHeight="1">
      <c r="A217" s="295"/>
      <c r="B217" s="295"/>
      <c r="C217" s="296"/>
      <c r="D217" s="295"/>
      <c r="E217" s="295"/>
      <c r="F217" s="295"/>
      <c r="G217" s="295"/>
      <c r="H217" s="295"/>
      <c r="I217" s="297"/>
      <c r="J217" s="297"/>
    </row>
    <row r="218" ht="15.75" customHeight="1">
      <c r="A218" s="295"/>
      <c r="B218" s="295"/>
      <c r="C218" s="296"/>
      <c r="D218" s="295"/>
      <c r="E218" s="295"/>
      <c r="F218" s="295"/>
      <c r="G218" s="295"/>
      <c r="H218" s="295"/>
      <c r="I218" s="297"/>
      <c r="J218" s="297"/>
    </row>
    <row r="219" ht="15.75" customHeight="1">
      <c r="A219" s="295"/>
      <c r="B219" s="295"/>
      <c r="C219" s="296"/>
      <c r="D219" s="295"/>
      <c r="E219" s="295"/>
      <c r="F219" s="295"/>
      <c r="G219" s="295"/>
      <c r="H219" s="295"/>
      <c r="I219" s="297"/>
      <c r="J219" s="297"/>
    </row>
    <row r="220" ht="15.75" customHeight="1">
      <c r="A220" s="295"/>
      <c r="B220" s="295"/>
      <c r="C220" s="296"/>
      <c r="D220" s="295"/>
      <c r="E220" s="295"/>
      <c r="F220" s="295"/>
      <c r="G220" s="295"/>
      <c r="H220" s="295"/>
      <c r="I220" s="297"/>
      <c r="J220" s="297"/>
    </row>
    <row r="221" ht="15.75" customHeight="1">
      <c r="A221" s="295"/>
      <c r="B221" s="295"/>
      <c r="C221" s="296"/>
      <c r="D221" s="295"/>
      <c r="E221" s="295"/>
      <c r="F221" s="295"/>
      <c r="G221" s="295"/>
      <c r="H221" s="295"/>
      <c r="I221" s="297"/>
      <c r="J221" s="297"/>
    </row>
    <row r="222" ht="15.75" customHeight="1">
      <c r="A222" s="295"/>
      <c r="B222" s="295"/>
      <c r="C222" s="296"/>
      <c r="D222" s="295"/>
      <c r="E222" s="295"/>
      <c r="F222" s="295"/>
      <c r="G222" s="295"/>
      <c r="H222" s="295"/>
      <c r="I222" s="297"/>
      <c r="J222" s="297"/>
    </row>
    <row r="223" ht="15.75" customHeight="1">
      <c r="A223" s="295"/>
      <c r="B223" s="295"/>
      <c r="C223" s="296"/>
      <c r="D223" s="295"/>
      <c r="E223" s="295"/>
      <c r="F223" s="295"/>
      <c r="G223" s="295"/>
      <c r="H223" s="295"/>
      <c r="I223" s="297"/>
      <c r="J223" s="297"/>
    </row>
    <row r="224" ht="15.75" customHeight="1">
      <c r="A224" s="295"/>
      <c r="B224" s="295"/>
      <c r="C224" s="296"/>
      <c r="D224" s="295"/>
      <c r="E224" s="295"/>
      <c r="F224" s="295"/>
      <c r="G224" s="295"/>
      <c r="H224" s="295"/>
      <c r="I224" s="297"/>
      <c r="J224" s="297"/>
    </row>
    <row r="225" ht="15.75" customHeight="1">
      <c r="A225" s="295"/>
      <c r="B225" s="295"/>
      <c r="C225" s="296"/>
      <c r="D225" s="295"/>
      <c r="E225" s="295"/>
      <c r="F225" s="295"/>
      <c r="G225" s="295"/>
      <c r="H225" s="295"/>
      <c r="I225" s="297"/>
      <c r="J225" s="297"/>
    </row>
    <row r="226" ht="15.75" customHeight="1">
      <c r="A226" s="295"/>
      <c r="B226" s="295"/>
      <c r="C226" s="296"/>
      <c r="D226" s="295"/>
      <c r="E226" s="295"/>
      <c r="F226" s="295"/>
      <c r="G226" s="295"/>
      <c r="H226" s="295"/>
      <c r="I226" s="297"/>
      <c r="J226" s="297"/>
    </row>
    <row r="227" ht="15.75" customHeight="1">
      <c r="A227" s="295"/>
      <c r="B227" s="295"/>
      <c r="C227" s="296"/>
      <c r="D227" s="295"/>
      <c r="E227" s="295"/>
      <c r="F227" s="295"/>
      <c r="G227" s="295"/>
      <c r="H227" s="295"/>
      <c r="I227" s="297"/>
      <c r="J227" s="297"/>
    </row>
    <row r="228" ht="15.75" customHeight="1">
      <c r="A228" s="295"/>
      <c r="B228" s="295"/>
      <c r="C228" s="296"/>
      <c r="D228" s="295"/>
      <c r="E228" s="295"/>
      <c r="F228" s="295"/>
      <c r="G228" s="295"/>
      <c r="H228" s="295"/>
      <c r="I228" s="297"/>
      <c r="J228" s="297"/>
    </row>
    <row r="229" ht="15.75" customHeight="1">
      <c r="A229" s="295"/>
      <c r="B229" s="295"/>
      <c r="C229" s="296"/>
      <c r="D229" s="295"/>
      <c r="E229" s="295"/>
      <c r="F229" s="295"/>
      <c r="G229" s="295"/>
      <c r="H229" s="295"/>
      <c r="I229" s="297"/>
      <c r="J229" s="297"/>
    </row>
    <row r="230" ht="15.75" customHeight="1">
      <c r="A230" s="295"/>
      <c r="B230" s="295"/>
      <c r="C230" s="296"/>
      <c r="D230" s="295"/>
      <c r="E230" s="295"/>
      <c r="F230" s="295"/>
      <c r="G230" s="295"/>
      <c r="H230" s="295"/>
      <c r="I230" s="297"/>
      <c r="J230" s="297"/>
    </row>
    <row r="231" ht="15.75" customHeight="1">
      <c r="A231" s="295"/>
      <c r="B231" s="295"/>
      <c r="C231" s="296"/>
      <c r="D231" s="295"/>
      <c r="E231" s="295"/>
      <c r="F231" s="295"/>
      <c r="G231" s="295"/>
      <c r="H231" s="295"/>
      <c r="I231" s="297"/>
      <c r="J231" s="297"/>
    </row>
    <row r="232" ht="15.75" customHeight="1">
      <c r="A232" s="295"/>
      <c r="B232" s="295"/>
      <c r="C232" s="296"/>
      <c r="D232" s="295"/>
      <c r="E232" s="295"/>
      <c r="F232" s="295"/>
      <c r="G232" s="295"/>
      <c r="H232" s="295"/>
      <c r="I232" s="297"/>
      <c r="J232" s="297"/>
    </row>
    <row r="233" ht="15.75" customHeight="1">
      <c r="A233" s="295"/>
      <c r="B233" s="295"/>
      <c r="C233" s="296"/>
      <c r="D233" s="295"/>
      <c r="E233" s="295"/>
      <c r="F233" s="295"/>
      <c r="G233" s="295"/>
      <c r="H233" s="295"/>
      <c r="I233" s="297"/>
      <c r="J233" s="297"/>
    </row>
    <row r="234" ht="15.75" customHeight="1">
      <c r="A234" s="295"/>
      <c r="B234" s="295"/>
      <c r="C234" s="296"/>
      <c r="D234" s="295"/>
      <c r="E234" s="295"/>
      <c r="F234" s="295"/>
      <c r="G234" s="295"/>
      <c r="H234" s="295"/>
      <c r="I234" s="297"/>
      <c r="J234" s="297"/>
    </row>
    <row r="235" ht="15.75" customHeight="1">
      <c r="A235" s="295"/>
      <c r="B235" s="295"/>
      <c r="C235" s="296"/>
      <c r="D235" s="295"/>
      <c r="E235" s="295"/>
      <c r="F235" s="295"/>
      <c r="G235" s="295"/>
      <c r="H235" s="295"/>
      <c r="I235" s="297"/>
      <c r="J235" s="297"/>
    </row>
    <row r="236" ht="15.75" customHeight="1">
      <c r="A236" s="295"/>
      <c r="B236" s="295"/>
      <c r="C236" s="296"/>
      <c r="D236" s="295"/>
      <c r="E236" s="295"/>
      <c r="F236" s="295"/>
      <c r="G236" s="295"/>
      <c r="H236" s="295"/>
      <c r="I236" s="297"/>
      <c r="J236" s="297"/>
    </row>
    <row r="237" ht="15.75" customHeight="1">
      <c r="A237" s="295"/>
      <c r="B237" s="295"/>
      <c r="C237" s="296"/>
      <c r="D237" s="295"/>
      <c r="E237" s="295"/>
      <c r="F237" s="295"/>
      <c r="G237" s="295"/>
      <c r="H237" s="295"/>
      <c r="I237" s="297"/>
      <c r="J237" s="297"/>
    </row>
    <row r="238" ht="15.75" customHeight="1">
      <c r="A238" s="295"/>
      <c r="B238" s="295"/>
      <c r="C238" s="296"/>
      <c r="D238" s="295"/>
      <c r="E238" s="295"/>
      <c r="F238" s="295"/>
      <c r="G238" s="295"/>
      <c r="H238" s="295"/>
      <c r="I238" s="297"/>
      <c r="J238" s="29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</cols>
  <sheetData>
    <row r="1" ht="15.75" customHeight="1">
      <c r="A1" s="285" t="s">
        <v>143</v>
      </c>
      <c r="B1" s="285" t="s">
        <v>144</v>
      </c>
      <c r="C1" s="298" t="s">
        <v>145</v>
      </c>
      <c r="D1" s="285" t="s">
        <v>146</v>
      </c>
      <c r="E1" s="285" t="s">
        <v>147</v>
      </c>
      <c r="F1" s="285" t="s">
        <v>244</v>
      </c>
      <c r="G1" s="285" t="s">
        <v>149</v>
      </c>
      <c r="H1" s="285" t="s">
        <v>245</v>
      </c>
      <c r="I1" s="287" t="s">
        <v>96</v>
      </c>
      <c r="J1" s="287" t="s">
        <v>68</v>
      </c>
    </row>
    <row r="2" ht="15.75" customHeight="1">
      <c r="A2" s="288">
        <v>44410.0</v>
      </c>
      <c r="B2" s="289"/>
      <c r="C2" s="299"/>
      <c r="D2" s="291"/>
      <c r="E2" s="291"/>
      <c r="F2" s="290" t="str">
        <f t="shared" ref="F2:F36" si="1">E2/D2</f>
        <v>#DIV/0!</v>
      </c>
      <c r="G2" s="291"/>
      <c r="H2" s="290" t="str">
        <f t="shared" ref="H2:H36" si="2">G2/E2</f>
        <v>#DIV/0!</v>
      </c>
      <c r="I2" s="292" t="str">
        <f t="shared" ref="I2:I36" si="3">J2/G2</f>
        <v>#DIV/0!</v>
      </c>
      <c r="J2" s="293"/>
    </row>
    <row r="3" ht="15.75" customHeight="1">
      <c r="A3" s="288">
        <v>44411.0</v>
      </c>
      <c r="B3" s="289"/>
      <c r="C3" s="299"/>
      <c r="D3" s="291"/>
      <c r="E3" s="291"/>
      <c r="F3" s="290" t="str">
        <f t="shared" si="1"/>
        <v>#DIV/0!</v>
      </c>
      <c r="G3" s="291"/>
      <c r="H3" s="290" t="str">
        <f t="shared" si="2"/>
        <v>#DIV/0!</v>
      </c>
      <c r="I3" s="292" t="str">
        <f t="shared" si="3"/>
        <v>#DIV/0!</v>
      </c>
      <c r="J3" s="293"/>
    </row>
    <row r="4" ht="15.75" customHeight="1">
      <c r="A4" s="288">
        <v>44412.0</v>
      </c>
      <c r="B4" s="291"/>
      <c r="C4" s="299"/>
      <c r="D4" s="291"/>
      <c r="E4" s="291"/>
      <c r="F4" s="290" t="str">
        <f t="shared" si="1"/>
        <v>#DIV/0!</v>
      </c>
      <c r="G4" s="291"/>
      <c r="H4" s="290" t="str">
        <f t="shared" si="2"/>
        <v>#DIV/0!</v>
      </c>
      <c r="I4" s="292" t="str">
        <f t="shared" si="3"/>
        <v>#DIV/0!</v>
      </c>
      <c r="J4" s="293"/>
    </row>
    <row r="5" ht="15.75" customHeight="1">
      <c r="A5" s="288">
        <v>44413.0</v>
      </c>
      <c r="B5" s="291"/>
      <c r="C5" s="299"/>
      <c r="D5" s="291"/>
      <c r="E5" s="291"/>
      <c r="F5" s="290" t="str">
        <f t="shared" si="1"/>
        <v>#DIV/0!</v>
      </c>
      <c r="G5" s="291"/>
      <c r="H5" s="290" t="str">
        <f t="shared" si="2"/>
        <v>#DIV/0!</v>
      </c>
      <c r="I5" s="292" t="str">
        <f t="shared" si="3"/>
        <v>#DIV/0!</v>
      </c>
      <c r="J5" s="293"/>
    </row>
    <row r="6" ht="15.75" customHeight="1">
      <c r="A6" s="288">
        <v>44414.0</v>
      </c>
      <c r="B6" s="291"/>
      <c r="C6" s="299"/>
      <c r="D6" s="291"/>
      <c r="E6" s="291"/>
      <c r="F6" s="290" t="str">
        <f t="shared" si="1"/>
        <v>#DIV/0!</v>
      </c>
      <c r="G6" s="291"/>
      <c r="H6" s="290" t="str">
        <f t="shared" si="2"/>
        <v>#DIV/0!</v>
      </c>
      <c r="I6" s="292" t="str">
        <f t="shared" si="3"/>
        <v>#DIV/0!</v>
      </c>
      <c r="J6" s="293"/>
    </row>
    <row r="7" ht="15.75" customHeight="1">
      <c r="A7" s="288">
        <v>44415.0</v>
      </c>
      <c r="B7" s="291"/>
      <c r="C7" s="299"/>
      <c r="D7" s="291"/>
      <c r="E7" s="291"/>
      <c r="F7" s="290" t="str">
        <f t="shared" si="1"/>
        <v>#DIV/0!</v>
      </c>
      <c r="G7" s="291"/>
      <c r="H7" s="290" t="str">
        <f t="shared" si="2"/>
        <v>#DIV/0!</v>
      </c>
      <c r="I7" s="292" t="str">
        <f t="shared" si="3"/>
        <v>#DIV/0!</v>
      </c>
      <c r="J7" s="293"/>
    </row>
    <row r="8" ht="15.75" customHeight="1">
      <c r="A8" s="288">
        <v>44416.0</v>
      </c>
      <c r="B8" s="291"/>
      <c r="C8" s="299"/>
      <c r="D8" s="291"/>
      <c r="E8" s="291"/>
      <c r="F8" s="290" t="str">
        <f t="shared" si="1"/>
        <v>#DIV/0!</v>
      </c>
      <c r="G8" s="291"/>
      <c r="H8" s="290" t="str">
        <f t="shared" si="2"/>
        <v>#DIV/0!</v>
      </c>
      <c r="I8" s="292" t="str">
        <f t="shared" si="3"/>
        <v>#DIV/0!</v>
      </c>
      <c r="J8" s="293"/>
    </row>
    <row r="9" ht="15.75" customHeight="1">
      <c r="A9" s="288">
        <v>44417.0</v>
      </c>
      <c r="B9" s="291"/>
      <c r="C9" s="299"/>
      <c r="D9" s="291"/>
      <c r="E9" s="291"/>
      <c r="F9" s="290" t="str">
        <f t="shared" si="1"/>
        <v>#DIV/0!</v>
      </c>
      <c r="G9" s="291"/>
      <c r="H9" s="290" t="str">
        <f t="shared" si="2"/>
        <v>#DIV/0!</v>
      </c>
      <c r="I9" s="292" t="str">
        <f t="shared" si="3"/>
        <v>#DIV/0!</v>
      </c>
      <c r="J9" s="293"/>
    </row>
    <row r="10" ht="15.75" customHeight="1">
      <c r="A10" s="288">
        <v>44418.0</v>
      </c>
      <c r="B10" s="291"/>
      <c r="C10" s="299"/>
      <c r="D10" s="291"/>
      <c r="E10" s="291"/>
      <c r="F10" s="290" t="str">
        <f t="shared" si="1"/>
        <v>#DIV/0!</v>
      </c>
      <c r="G10" s="291"/>
      <c r="H10" s="290" t="str">
        <f t="shared" si="2"/>
        <v>#DIV/0!</v>
      </c>
      <c r="I10" s="292" t="str">
        <f t="shared" si="3"/>
        <v>#DIV/0!</v>
      </c>
      <c r="J10" s="293"/>
    </row>
    <row r="11" ht="15.75" customHeight="1">
      <c r="A11" s="288">
        <v>44419.0</v>
      </c>
      <c r="B11" s="291"/>
      <c r="C11" s="299"/>
      <c r="D11" s="291"/>
      <c r="E11" s="291"/>
      <c r="F11" s="290" t="str">
        <f t="shared" si="1"/>
        <v>#DIV/0!</v>
      </c>
      <c r="G11" s="291"/>
      <c r="H11" s="290" t="str">
        <f t="shared" si="2"/>
        <v>#DIV/0!</v>
      </c>
      <c r="I11" s="292" t="str">
        <f t="shared" si="3"/>
        <v>#DIV/0!</v>
      </c>
      <c r="J11" s="293"/>
    </row>
    <row r="12" ht="15.75" customHeight="1">
      <c r="A12" s="288">
        <v>44420.0</v>
      </c>
      <c r="B12" s="291"/>
      <c r="C12" s="299"/>
      <c r="D12" s="291"/>
      <c r="E12" s="291"/>
      <c r="F12" s="290" t="str">
        <f t="shared" si="1"/>
        <v>#DIV/0!</v>
      </c>
      <c r="G12" s="291"/>
      <c r="H12" s="290" t="str">
        <f t="shared" si="2"/>
        <v>#DIV/0!</v>
      </c>
      <c r="I12" s="292" t="str">
        <f t="shared" si="3"/>
        <v>#DIV/0!</v>
      </c>
      <c r="J12" s="293"/>
    </row>
    <row r="13" ht="15.75" customHeight="1">
      <c r="A13" s="288">
        <v>44421.0</v>
      </c>
      <c r="B13" s="291"/>
      <c r="C13" s="299"/>
      <c r="D13" s="291"/>
      <c r="E13" s="291"/>
      <c r="F13" s="290" t="str">
        <f t="shared" si="1"/>
        <v>#DIV/0!</v>
      </c>
      <c r="G13" s="291"/>
      <c r="H13" s="290" t="str">
        <f t="shared" si="2"/>
        <v>#DIV/0!</v>
      </c>
      <c r="I13" s="292" t="str">
        <f t="shared" si="3"/>
        <v>#DIV/0!</v>
      </c>
      <c r="J13" s="293"/>
    </row>
    <row r="14" ht="15.75" customHeight="1">
      <c r="A14" s="288">
        <v>44422.0</v>
      </c>
      <c r="B14" s="291"/>
      <c r="C14" s="299"/>
      <c r="D14" s="291"/>
      <c r="E14" s="291"/>
      <c r="F14" s="290" t="str">
        <f t="shared" si="1"/>
        <v>#DIV/0!</v>
      </c>
      <c r="G14" s="291"/>
      <c r="H14" s="290" t="str">
        <f t="shared" si="2"/>
        <v>#DIV/0!</v>
      </c>
      <c r="I14" s="292" t="str">
        <f t="shared" si="3"/>
        <v>#DIV/0!</v>
      </c>
      <c r="J14" s="293"/>
    </row>
    <row r="15" ht="15.75" customHeight="1">
      <c r="A15" s="288">
        <v>44423.0</v>
      </c>
      <c r="B15" s="291"/>
      <c r="C15" s="299"/>
      <c r="D15" s="291"/>
      <c r="E15" s="291"/>
      <c r="F15" s="290" t="str">
        <f t="shared" si="1"/>
        <v>#DIV/0!</v>
      </c>
      <c r="G15" s="291"/>
      <c r="H15" s="290" t="str">
        <f t="shared" si="2"/>
        <v>#DIV/0!</v>
      </c>
      <c r="I15" s="292" t="str">
        <f t="shared" si="3"/>
        <v>#DIV/0!</v>
      </c>
      <c r="J15" s="293"/>
    </row>
    <row r="16" ht="15.75" customHeight="1">
      <c r="A16" s="288">
        <v>44424.0</v>
      </c>
      <c r="B16" s="291"/>
      <c r="C16" s="299"/>
      <c r="D16" s="291"/>
      <c r="E16" s="291"/>
      <c r="F16" s="290" t="str">
        <f t="shared" si="1"/>
        <v>#DIV/0!</v>
      </c>
      <c r="G16" s="291"/>
      <c r="H16" s="290" t="str">
        <f t="shared" si="2"/>
        <v>#DIV/0!</v>
      </c>
      <c r="I16" s="292" t="str">
        <f t="shared" si="3"/>
        <v>#DIV/0!</v>
      </c>
      <c r="J16" s="293"/>
    </row>
    <row r="17" ht="15.75" customHeight="1">
      <c r="A17" s="288">
        <v>44425.0</v>
      </c>
      <c r="B17" s="291"/>
      <c r="C17" s="299"/>
      <c r="D17" s="291"/>
      <c r="E17" s="291"/>
      <c r="F17" s="290" t="str">
        <f t="shared" si="1"/>
        <v>#DIV/0!</v>
      </c>
      <c r="G17" s="291"/>
      <c r="H17" s="290" t="str">
        <f t="shared" si="2"/>
        <v>#DIV/0!</v>
      </c>
      <c r="I17" s="292" t="str">
        <f t="shared" si="3"/>
        <v>#DIV/0!</v>
      </c>
      <c r="J17" s="293"/>
    </row>
    <row r="18" ht="15.75" customHeight="1">
      <c r="A18" s="288">
        <v>44426.0</v>
      </c>
      <c r="B18" s="291"/>
      <c r="C18" s="299"/>
      <c r="D18" s="291"/>
      <c r="E18" s="291"/>
      <c r="F18" s="290" t="str">
        <f t="shared" si="1"/>
        <v>#DIV/0!</v>
      </c>
      <c r="G18" s="291"/>
      <c r="H18" s="290" t="str">
        <f t="shared" si="2"/>
        <v>#DIV/0!</v>
      </c>
      <c r="I18" s="292" t="str">
        <f t="shared" si="3"/>
        <v>#DIV/0!</v>
      </c>
      <c r="J18" s="293"/>
    </row>
    <row r="19" ht="15.75" customHeight="1">
      <c r="A19" s="288">
        <v>44427.0</v>
      </c>
      <c r="B19" s="291"/>
      <c r="C19" s="299"/>
      <c r="D19" s="291"/>
      <c r="E19" s="291"/>
      <c r="F19" s="290" t="str">
        <f t="shared" si="1"/>
        <v>#DIV/0!</v>
      </c>
      <c r="G19" s="291"/>
      <c r="H19" s="290" t="str">
        <f t="shared" si="2"/>
        <v>#DIV/0!</v>
      </c>
      <c r="I19" s="292" t="str">
        <f t="shared" si="3"/>
        <v>#DIV/0!</v>
      </c>
      <c r="J19" s="293"/>
    </row>
    <row r="20" ht="15.75" customHeight="1">
      <c r="A20" s="288">
        <v>44428.0</v>
      </c>
      <c r="B20" s="291"/>
      <c r="C20" s="299"/>
      <c r="D20" s="291"/>
      <c r="E20" s="291"/>
      <c r="F20" s="290" t="str">
        <f t="shared" si="1"/>
        <v>#DIV/0!</v>
      </c>
      <c r="G20" s="291"/>
      <c r="H20" s="290" t="str">
        <f t="shared" si="2"/>
        <v>#DIV/0!</v>
      </c>
      <c r="I20" s="292" t="str">
        <f t="shared" si="3"/>
        <v>#DIV/0!</v>
      </c>
      <c r="J20" s="293"/>
    </row>
    <row r="21" ht="15.75" customHeight="1">
      <c r="A21" s="288">
        <v>44429.0</v>
      </c>
      <c r="B21" s="291"/>
      <c r="C21" s="299"/>
      <c r="D21" s="291"/>
      <c r="E21" s="291"/>
      <c r="F21" s="290" t="str">
        <f t="shared" si="1"/>
        <v>#DIV/0!</v>
      </c>
      <c r="G21" s="291"/>
      <c r="H21" s="290" t="str">
        <f t="shared" si="2"/>
        <v>#DIV/0!</v>
      </c>
      <c r="I21" s="292" t="str">
        <f t="shared" si="3"/>
        <v>#DIV/0!</v>
      </c>
      <c r="J21" s="293"/>
    </row>
    <row r="22" ht="15.75" customHeight="1">
      <c r="A22" s="288">
        <v>44430.0</v>
      </c>
      <c r="B22" s="291"/>
      <c r="C22" s="299"/>
      <c r="D22" s="291"/>
      <c r="E22" s="291"/>
      <c r="F22" s="290" t="str">
        <f t="shared" si="1"/>
        <v>#DIV/0!</v>
      </c>
      <c r="G22" s="291"/>
      <c r="H22" s="290" t="str">
        <f t="shared" si="2"/>
        <v>#DIV/0!</v>
      </c>
      <c r="I22" s="292" t="str">
        <f t="shared" si="3"/>
        <v>#DIV/0!</v>
      </c>
      <c r="J22" s="293"/>
    </row>
    <row r="23" ht="15.75" customHeight="1">
      <c r="A23" s="288">
        <v>44431.0</v>
      </c>
      <c r="B23" s="291"/>
      <c r="C23" s="299"/>
      <c r="D23" s="291"/>
      <c r="E23" s="291"/>
      <c r="F23" s="290" t="str">
        <f t="shared" si="1"/>
        <v>#DIV/0!</v>
      </c>
      <c r="G23" s="291"/>
      <c r="H23" s="290" t="str">
        <f t="shared" si="2"/>
        <v>#DIV/0!</v>
      </c>
      <c r="I23" s="292" t="str">
        <f t="shared" si="3"/>
        <v>#DIV/0!</v>
      </c>
      <c r="J23" s="293"/>
    </row>
    <row r="24" ht="15.75" customHeight="1">
      <c r="A24" s="288">
        <v>44432.0</v>
      </c>
      <c r="B24" s="291"/>
      <c r="C24" s="299"/>
      <c r="D24" s="291"/>
      <c r="E24" s="291"/>
      <c r="F24" s="290" t="str">
        <f t="shared" si="1"/>
        <v>#DIV/0!</v>
      </c>
      <c r="G24" s="291"/>
      <c r="H24" s="290" t="str">
        <f t="shared" si="2"/>
        <v>#DIV/0!</v>
      </c>
      <c r="I24" s="292" t="str">
        <f t="shared" si="3"/>
        <v>#DIV/0!</v>
      </c>
      <c r="J24" s="293"/>
    </row>
    <row r="25" ht="15.75" customHeight="1">
      <c r="A25" s="288">
        <v>44433.0</v>
      </c>
      <c r="B25" s="291"/>
      <c r="C25" s="299"/>
      <c r="D25" s="291"/>
      <c r="E25" s="291"/>
      <c r="F25" s="290" t="str">
        <f t="shared" si="1"/>
        <v>#DIV/0!</v>
      </c>
      <c r="G25" s="291"/>
      <c r="H25" s="290" t="str">
        <f t="shared" si="2"/>
        <v>#DIV/0!</v>
      </c>
      <c r="I25" s="292" t="str">
        <f t="shared" si="3"/>
        <v>#DIV/0!</v>
      </c>
      <c r="J25" s="293"/>
    </row>
    <row r="26" ht="15.75" customHeight="1">
      <c r="A26" s="288">
        <v>44434.0</v>
      </c>
      <c r="B26" s="291"/>
      <c r="C26" s="299"/>
      <c r="D26" s="291"/>
      <c r="E26" s="291"/>
      <c r="F26" s="290" t="str">
        <f t="shared" si="1"/>
        <v>#DIV/0!</v>
      </c>
      <c r="G26" s="291"/>
      <c r="H26" s="290" t="str">
        <f t="shared" si="2"/>
        <v>#DIV/0!</v>
      </c>
      <c r="I26" s="292" t="str">
        <f t="shared" si="3"/>
        <v>#DIV/0!</v>
      </c>
      <c r="J26" s="293"/>
    </row>
    <row r="27" ht="15.75" customHeight="1">
      <c r="A27" s="288">
        <v>44435.0</v>
      </c>
      <c r="B27" s="291"/>
      <c r="C27" s="299"/>
      <c r="D27" s="291"/>
      <c r="E27" s="291"/>
      <c r="F27" s="290" t="str">
        <f t="shared" si="1"/>
        <v>#DIV/0!</v>
      </c>
      <c r="G27" s="291"/>
      <c r="H27" s="290" t="str">
        <f t="shared" si="2"/>
        <v>#DIV/0!</v>
      </c>
      <c r="I27" s="292" t="str">
        <f t="shared" si="3"/>
        <v>#DIV/0!</v>
      </c>
      <c r="J27" s="293"/>
    </row>
    <row r="28" ht="15.75" customHeight="1">
      <c r="A28" s="288">
        <v>44436.0</v>
      </c>
      <c r="B28" s="291"/>
      <c r="C28" s="299"/>
      <c r="D28" s="291"/>
      <c r="E28" s="291"/>
      <c r="F28" s="290" t="str">
        <f t="shared" si="1"/>
        <v>#DIV/0!</v>
      </c>
      <c r="G28" s="291"/>
      <c r="H28" s="290" t="str">
        <f t="shared" si="2"/>
        <v>#DIV/0!</v>
      </c>
      <c r="I28" s="292" t="str">
        <f t="shared" si="3"/>
        <v>#DIV/0!</v>
      </c>
      <c r="J28" s="293"/>
    </row>
    <row r="29" ht="15.75" customHeight="1">
      <c r="A29" s="288">
        <v>44437.0</v>
      </c>
      <c r="B29" s="291"/>
      <c r="C29" s="299"/>
      <c r="D29" s="291"/>
      <c r="E29" s="291"/>
      <c r="F29" s="290" t="str">
        <f t="shared" si="1"/>
        <v>#DIV/0!</v>
      </c>
      <c r="G29" s="291"/>
      <c r="H29" s="290" t="str">
        <f t="shared" si="2"/>
        <v>#DIV/0!</v>
      </c>
      <c r="I29" s="292" t="str">
        <f t="shared" si="3"/>
        <v>#DIV/0!</v>
      </c>
      <c r="J29" s="293"/>
    </row>
    <row r="30" ht="15.75" customHeight="1">
      <c r="A30" s="288">
        <v>44438.0</v>
      </c>
      <c r="B30" s="291"/>
      <c r="C30" s="299"/>
      <c r="D30" s="291"/>
      <c r="E30" s="291"/>
      <c r="F30" s="290" t="str">
        <f t="shared" si="1"/>
        <v>#DIV/0!</v>
      </c>
      <c r="G30" s="291"/>
      <c r="H30" s="290" t="str">
        <f t="shared" si="2"/>
        <v>#DIV/0!</v>
      </c>
      <c r="I30" s="292" t="str">
        <f t="shared" si="3"/>
        <v>#DIV/0!</v>
      </c>
      <c r="J30" s="293"/>
    </row>
    <row r="31" ht="15.75" customHeight="1">
      <c r="A31" s="288">
        <v>44439.0</v>
      </c>
      <c r="B31" s="291"/>
      <c r="C31" s="299"/>
      <c r="D31" s="291"/>
      <c r="E31" s="291"/>
      <c r="F31" s="290" t="str">
        <f t="shared" si="1"/>
        <v>#DIV/0!</v>
      </c>
      <c r="G31" s="291"/>
      <c r="H31" s="290" t="str">
        <f t="shared" si="2"/>
        <v>#DIV/0!</v>
      </c>
      <c r="I31" s="292" t="str">
        <f t="shared" si="3"/>
        <v>#DIV/0!</v>
      </c>
      <c r="J31" s="293"/>
    </row>
    <row r="32" ht="15.75" customHeight="1">
      <c r="A32" s="288">
        <v>44440.0</v>
      </c>
      <c r="B32" s="291"/>
      <c r="C32" s="299"/>
      <c r="D32" s="291"/>
      <c r="E32" s="291"/>
      <c r="F32" s="290" t="str">
        <f t="shared" si="1"/>
        <v>#DIV/0!</v>
      </c>
      <c r="G32" s="291"/>
      <c r="H32" s="290" t="str">
        <f t="shared" si="2"/>
        <v>#DIV/0!</v>
      </c>
      <c r="I32" s="292" t="str">
        <f t="shared" si="3"/>
        <v>#DIV/0!</v>
      </c>
      <c r="J32" s="293"/>
    </row>
    <row r="33" ht="15.75" customHeight="1">
      <c r="A33" s="288">
        <v>44441.0</v>
      </c>
      <c r="B33" s="291"/>
      <c r="C33" s="299"/>
      <c r="D33" s="291"/>
      <c r="E33" s="291"/>
      <c r="F33" s="290" t="str">
        <f t="shared" si="1"/>
        <v>#DIV/0!</v>
      </c>
      <c r="G33" s="291"/>
      <c r="H33" s="290" t="str">
        <f t="shared" si="2"/>
        <v>#DIV/0!</v>
      </c>
      <c r="I33" s="292" t="str">
        <f t="shared" si="3"/>
        <v>#DIV/0!</v>
      </c>
      <c r="J33" s="293"/>
    </row>
    <row r="34" ht="15.75" customHeight="1">
      <c r="A34" s="288">
        <v>44442.0</v>
      </c>
      <c r="B34" s="291"/>
      <c r="C34" s="299"/>
      <c r="D34" s="291"/>
      <c r="E34" s="291"/>
      <c r="F34" s="290" t="str">
        <f t="shared" si="1"/>
        <v>#DIV/0!</v>
      </c>
      <c r="G34" s="291"/>
      <c r="H34" s="290" t="str">
        <f t="shared" si="2"/>
        <v>#DIV/0!</v>
      </c>
      <c r="I34" s="292" t="str">
        <f t="shared" si="3"/>
        <v>#DIV/0!</v>
      </c>
      <c r="J34" s="293"/>
    </row>
    <row r="35" ht="15.75" customHeight="1">
      <c r="A35" s="288">
        <v>44443.0</v>
      </c>
      <c r="B35" s="291"/>
      <c r="C35" s="299"/>
      <c r="D35" s="291"/>
      <c r="E35" s="291"/>
      <c r="F35" s="290" t="str">
        <f t="shared" si="1"/>
        <v>#DIV/0!</v>
      </c>
      <c r="G35" s="291"/>
      <c r="H35" s="290" t="str">
        <f t="shared" si="2"/>
        <v>#DIV/0!</v>
      </c>
      <c r="I35" s="292" t="str">
        <f t="shared" si="3"/>
        <v>#DIV/0!</v>
      </c>
      <c r="J35" s="293"/>
    </row>
    <row r="36" ht="15.75" customHeight="1">
      <c r="A36" s="288">
        <v>44444.0</v>
      </c>
      <c r="B36" s="291"/>
      <c r="C36" s="299"/>
      <c r="D36" s="291"/>
      <c r="E36" s="291"/>
      <c r="F36" s="290" t="str">
        <f t="shared" si="1"/>
        <v>#DIV/0!</v>
      </c>
      <c r="G36" s="291"/>
      <c r="H36" s="290" t="str">
        <f t="shared" si="2"/>
        <v>#DIV/0!</v>
      </c>
      <c r="I36" s="292" t="str">
        <f t="shared" si="3"/>
        <v>#DIV/0!</v>
      </c>
      <c r="J36" s="293"/>
    </row>
    <row r="37" ht="15.75" customHeight="1">
      <c r="A37" s="291" t="s">
        <v>151</v>
      </c>
      <c r="B37" s="289" t="str">
        <f t="shared" ref="B37:H37" si="4">MEDIAN(B2:B36)</f>
        <v>#NUM!</v>
      </c>
      <c r="C37" s="299" t="str">
        <f t="shared" si="4"/>
        <v>#NUM!</v>
      </c>
      <c r="D37" s="291" t="str">
        <f t="shared" si="4"/>
        <v>#NUM!</v>
      </c>
      <c r="E37" s="291" t="str">
        <f t="shared" si="4"/>
        <v>#NUM!</v>
      </c>
      <c r="F37" s="291" t="str">
        <f t="shared" si="4"/>
        <v>#DIV/0!</v>
      </c>
      <c r="G37" s="291" t="str">
        <f t="shared" si="4"/>
        <v>#NUM!</v>
      </c>
      <c r="H37" s="291" t="str">
        <f t="shared" si="4"/>
        <v>#DIV/0!</v>
      </c>
      <c r="I37" s="292"/>
      <c r="J37" s="293" t="str">
        <f>MEDIAN(J2:J36)</f>
        <v>#NUM!</v>
      </c>
    </row>
    <row r="38" ht="15.75" customHeight="1">
      <c r="A38" s="291" t="s">
        <v>71</v>
      </c>
      <c r="B38" s="289">
        <f>SUM(B2:B36)</f>
        <v>0</v>
      </c>
      <c r="C38" s="299"/>
      <c r="D38" s="291">
        <f t="shared" ref="D38:E38" si="5">SUM(D2:D36)</f>
        <v>0</v>
      </c>
      <c r="E38" s="291">
        <f t="shared" si="5"/>
        <v>0</v>
      </c>
      <c r="F38" s="291" t="str">
        <f>E38/D38</f>
        <v>#DIV/0!</v>
      </c>
      <c r="G38" s="291">
        <f>SUM(G2:G36)</f>
        <v>0</v>
      </c>
      <c r="H38" s="290" t="str">
        <f>G38/E38</f>
        <v>#DIV/0!</v>
      </c>
      <c r="I38" s="292" t="str">
        <f>J38/G38</f>
        <v>#DIV/0!</v>
      </c>
      <c r="J38" s="293">
        <f>SUM(J2:J36)</f>
        <v>0</v>
      </c>
    </row>
    <row r="39" ht="15.75" customHeight="1">
      <c r="A39" s="295"/>
      <c r="B39" s="295"/>
      <c r="C39" s="300"/>
      <c r="D39" s="295"/>
      <c r="E39" s="295"/>
      <c r="F39" s="295"/>
      <c r="G39" s="295"/>
      <c r="H39" s="295"/>
      <c r="I39" s="297"/>
      <c r="J39" s="297"/>
    </row>
    <row r="40" ht="15.75" customHeight="1">
      <c r="A40" s="295"/>
      <c r="B40" s="295"/>
      <c r="C40" s="300"/>
      <c r="D40" s="295"/>
      <c r="E40" s="295"/>
      <c r="F40" s="295"/>
      <c r="G40" s="295"/>
      <c r="H40" s="295"/>
      <c r="I40" s="297"/>
      <c r="J40" s="297"/>
    </row>
    <row r="41" ht="15.75" customHeight="1">
      <c r="A41" s="295"/>
      <c r="B41" s="295"/>
      <c r="C41" s="300"/>
      <c r="D41" s="295"/>
      <c r="E41" s="295"/>
      <c r="F41" s="295"/>
      <c r="G41" s="295"/>
      <c r="H41" s="295"/>
      <c r="I41" s="297"/>
      <c r="J41" s="297"/>
    </row>
    <row r="42" ht="15.75" customHeight="1">
      <c r="A42" s="295"/>
      <c r="B42" s="295"/>
      <c r="C42" s="300"/>
      <c r="D42" s="295"/>
      <c r="E42" s="295"/>
      <c r="F42" s="295"/>
      <c r="G42" s="295"/>
      <c r="H42" s="295"/>
      <c r="I42" s="297"/>
      <c r="J42" s="297"/>
    </row>
    <row r="43" ht="15.75" customHeight="1">
      <c r="A43" s="295"/>
      <c r="B43" s="295"/>
      <c r="C43" s="300"/>
      <c r="D43" s="295"/>
      <c r="E43" s="295"/>
      <c r="F43" s="295"/>
      <c r="G43" s="295"/>
      <c r="H43" s="295"/>
      <c r="I43" s="297"/>
      <c r="J43" s="297"/>
    </row>
    <row r="44" ht="15.75" customHeight="1">
      <c r="A44" s="295"/>
      <c r="B44" s="295"/>
      <c r="C44" s="300"/>
      <c r="D44" s="295"/>
      <c r="E44" s="295"/>
      <c r="F44" s="295"/>
      <c r="G44" s="295"/>
      <c r="H44" s="295"/>
      <c r="I44" s="297"/>
      <c r="J44" s="297"/>
    </row>
    <row r="45" ht="15.75" customHeight="1">
      <c r="A45" s="295"/>
      <c r="B45" s="295"/>
      <c r="C45" s="300"/>
      <c r="D45" s="295"/>
      <c r="E45" s="295"/>
      <c r="F45" s="295"/>
      <c r="G45" s="295"/>
      <c r="H45" s="295"/>
      <c r="I45" s="297"/>
      <c r="J45" s="297"/>
    </row>
    <row r="46" ht="15.75" customHeight="1">
      <c r="A46" s="295"/>
      <c r="B46" s="295"/>
      <c r="C46" s="300"/>
      <c r="D46" s="295"/>
      <c r="E46" s="295"/>
      <c r="F46" s="295"/>
      <c r="G46" s="295"/>
      <c r="H46" s="295"/>
      <c r="I46" s="297"/>
      <c r="J46" s="297"/>
    </row>
    <row r="47" ht="15.75" customHeight="1">
      <c r="A47" s="295"/>
      <c r="B47" s="295"/>
      <c r="C47" s="300"/>
      <c r="D47" s="295"/>
      <c r="E47" s="295"/>
      <c r="F47" s="295"/>
      <c r="G47" s="295"/>
      <c r="H47" s="295"/>
      <c r="I47" s="297"/>
      <c r="J47" s="297"/>
    </row>
    <row r="48" ht="15.75" customHeight="1">
      <c r="A48" s="295"/>
      <c r="B48" s="295"/>
      <c r="C48" s="300"/>
      <c r="D48" s="295"/>
      <c r="E48" s="295"/>
      <c r="F48" s="295"/>
      <c r="G48" s="295"/>
      <c r="H48" s="295"/>
      <c r="I48" s="297"/>
      <c r="J48" s="297"/>
    </row>
    <row r="49" ht="15.75" customHeight="1">
      <c r="A49" s="295"/>
      <c r="B49" s="295"/>
      <c r="C49" s="300"/>
      <c r="D49" s="295"/>
      <c r="E49" s="295"/>
      <c r="F49" s="295"/>
      <c r="G49" s="295"/>
      <c r="H49" s="295"/>
      <c r="I49" s="297"/>
      <c r="J49" s="297"/>
    </row>
    <row r="50" ht="15.75" customHeight="1">
      <c r="A50" s="295"/>
      <c r="B50" s="295"/>
      <c r="C50" s="300"/>
      <c r="D50" s="295"/>
      <c r="E50" s="295"/>
      <c r="F50" s="295"/>
      <c r="G50" s="295"/>
      <c r="H50" s="295"/>
      <c r="I50" s="297"/>
      <c r="J50" s="297"/>
    </row>
    <row r="51" ht="15.75" customHeight="1">
      <c r="A51" s="295"/>
      <c r="B51" s="295"/>
      <c r="C51" s="300"/>
      <c r="D51" s="295"/>
      <c r="E51" s="295"/>
      <c r="F51" s="295"/>
      <c r="G51" s="295"/>
      <c r="H51" s="295"/>
      <c r="I51" s="297"/>
      <c r="J51" s="297"/>
    </row>
    <row r="52" ht="15.75" customHeight="1">
      <c r="A52" s="295"/>
      <c r="B52" s="295"/>
      <c r="C52" s="300"/>
      <c r="D52" s="295"/>
      <c r="E52" s="295"/>
      <c r="F52" s="295"/>
      <c r="G52" s="295"/>
      <c r="H52" s="295"/>
      <c r="I52" s="297"/>
      <c r="J52" s="297"/>
    </row>
    <row r="53" ht="15.75" customHeight="1">
      <c r="A53" s="295"/>
      <c r="B53" s="295"/>
      <c r="C53" s="300"/>
      <c r="D53" s="295"/>
      <c r="E53" s="295"/>
      <c r="F53" s="295"/>
      <c r="G53" s="295"/>
      <c r="H53" s="295"/>
      <c r="I53" s="297"/>
      <c r="J53" s="297"/>
    </row>
    <row r="54" ht="15.75" customHeight="1">
      <c r="A54" s="295"/>
      <c r="B54" s="295"/>
      <c r="C54" s="300"/>
      <c r="D54" s="295"/>
      <c r="E54" s="295"/>
      <c r="F54" s="295"/>
      <c r="G54" s="295"/>
      <c r="H54" s="295"/>
      <c r="I54" s="297"/>
      <c r="J54" s="297"/>
    </row>
    <row r="55" ht="15.75" customHeight="1">
      <c r="A55" s="295"/>
      <c r="B55" s="295"/>
      <c r="C55" s="300"/>
      <c r="D55" s="295"/>
      <c r="E55" s="295"/>
      <c r="F55" s="295"/>
      <c r="G55" s="295"/>
      <c r="H55" s="295"/>
      <c r="I55" s="297"/>
      <c r="J55" s="297"/>
    </row>
    <row r="56" ht="15.75" customHeight="1">
      <c r="A56" s="295"/>
      <c r="B56" s="295"/>
      <c r="C56" s="300"/>
      <c r="D56" s="295"/>
      <c r="E56" s="295"/>
      <c r="F56" s="295"/>
      <c r="G56" s="295"/>
      <c r="H56" s="295"/>
      <c r="I56" s="297"/>
      <c r="J56" s="297"/>
    </row>
    <row r="57" ht="15.75" customHeight="1">
      <c r="A57" s="295"/>
      <c r="B57" s="295"/>
      <c r="C57" s="300"/>
      <c r="D57" s="295"/>
      <c r="E57" s="295"/>
      <c r="F57" s="295"/>
      <c r="G57" s="295"/>
      <c r="H57" s="295"/>
      <c r="I57" s="297"/>
      <c r="J57" s="297"/>
    </row>
    <row r="58" ht="15.75" customHeight="1">
      <c r="A58" s="295"/>
      <c r="B58" s="295"/>
      <c r="C58" s="300"/>
      <c r="D58" s="295"/>
      <c r="E58" s="295"/>
      <c r="F58" s="295"/>
      <c r="G58" s="295"/>
      <c r="H58" s="295"/>
      <c r="I58" s="297"/>
      <c r="J58" s="297"/>
    </row>
    <row r="59" ht="15.75" customHeight="1">
      <c r="A59" s="295"/>
      <c r="B59" s="295"/>
      <c r="C59" s="300"/>
      <c r="D59" s="295"/>
      <c r="E59" s="295"/>
      <c r="F59" s="295"/>
      <c r="G59" s="295"/>
      <c r="H59" s="295"/>
      <c r="I59" s="297"/>
      <c r="J59" s="297"/>
    </row>
    <row r="60" ht="15.75" customHeight="1">
      <c r="A60" s="295"/>
      <c r="B60" s="295"/>
      <c r="C60" s="300"/>
      <c r="D60" s="295"/>
      <c r="E60" s="295"/>
      <c r="F60" s="295"/>
      <c r="G60" s="295"/>
      <c r="H60" s="295"/>
      <c r="I60" s="297"/>
      <c r="J60" s="297"/>
    </row>
    <row r="61" ht="15.75" customHeight="1">
      <c r="A61" s="295"/>
      <c r="B61" s="295"/>
      <c r="C61" s="300"/>
      <c r="D61" s="295"/>
      <c r="E61" s="295"/>
      <c r="F61" s="295"/>
      <c r="G61" s="295"/>
      <c r="H61" s="295"/>
      <c r="I61" s="297"/>
      <c r="J61" s="297"/>
    </row>
    <row r="62" ht="15.75" customHeight="1">
      <c r="A62" s="295"/>
      <c r="B62" s="295"/>
      <c r="C62" s="300"/>
      <c r="D62" s="295"/>
      <c r="E62" s="295"/>
      <c r="F62" s="295"/>
      <c r="G62" s="295"/>
      <c r="H62" s="295"/>
      <c r="I62" s="297"/>
      <c r="J62" s="297"/>
    </row>
    <row r="63" ht="15.75" customHeight="1">
      <c r="A63" s="295"/>
      <c r="B63" s="295"/>
      <c r="C63" s="300"/>
      <c r="D63" s="295"/>
      <c r="E63" s="295"/>
      <c r="F63" s="295"/>
      <c r="G63" s="295"/>
      <c r="H63" s="295"/>
      <c r="I63" s="297"/>
      <c r="J63" s="297"/>
    </row>
    <row r="64" ht="15.75" customHeight="1">
      <c r="A64" s="295"/>
      <c r="B64" s="295"/>
      <c r="C64" s="300"/>
      <c r="D64" s="295"/>
      <c r="E64" s="295"/>
      <c r="F64" s="295"/>
      <c r="G64" s="295"/>
      <c r="H64" s="295"/>
      <c r="I64" s="297"/>
      <c r="J64" s="297"/>
    </row>
    <row r="65" ht="15.75" customHeight="1">
      <c r="A65" s="295"/>
      <c r="B65" s="295"/>
      <c r="C65" s="300"/>
      <c r="D65" s="295"/>
      <c r="E65" s="295"/>
      <c r="F65" s="295"/>
      <c r="G65" s="295"/>
      <c r="H65" s="295"/>
      <c r="I65" s="297"/>
      <c r="J65" s="297"/>
    </row>
    <row r="66" ht="15.75" customHeight="1">
      <c r="A66" s="295"/>
      <c r="B66" s="295"/>
      <c r="C66" s="300"/>
      <c r="D66" s="295"/>
      <c r="E66" s="295"/>
      <c r="F66" s="295"/>
      <c r="G66" s="295"/>
      <c r="H66" s="295"/>
      <c r="I66" s="297"/>
      <c r="J66" s="297"/>
    </row>
    <row r="67" ht="15.75" customHeight="1">
      <c r="A67" s="295"/>
      <c r="B67" s="295"/>
      <c r="C67" s="300"/>
      <c r="D67" s="295"/>
      <c r="E67" s="295"/>
      <c r="F67" s="295"/>
      <c r="G67" s="295"/>
      <c r="H67" s="295"/>
      <c r="I67" s="297"/>
      <c r="J67" s="297"/>
    </row>
    <row r="68" ht="15.75" customHeight="1">
      <c r="A68" s="295"/>
      <c r="B68" s="295"/>
      <c r="C68" s="300"/>
      <c r="D68" s="295"/>
      <c r="E68" s="295"/>
      <c r="F68" s="295"/>
      <c r="G68" s="295"/>
      <c r="H68" s="295"/>
      <c r="I68" s="297"/>
      <c r="J68" s="297"/>
    </row>
    <row r="69" ht="15.75" customHeight="1">
      <c r="A69" s="295"/>
      <c r="B69" s="295"/>
      <c r="C69" s="300"/>
      <c r="D69" s="295"/>
      <c r="E69" s="295"/>
      <c r="F69" s="295"/>
      <c r="G69" s="295"/>
      <c r="H69" s="295"/>
      <c r="I69" s="297"/>
      <c r="J69" s="297"/>
    </row>
    <row r="70" ht="15.75" customHeight="1">
      <c r="A70" s="295"/>
      <c r="B70" s="295"/>
      <c r="C70" s="300"/>
      <c r="D70" s="295"/>
      <c r="E70" s="295"/>
      <c r="F70" s="295"/>
      <c r="G70" s="295"/>
      <c r="H70" s="295"/>
      <c r="I70" s="297"/>
      <c r="J70" s="297"/>
    </row>
    <row r="71" ht="15.75" customHeight="1">
      <c r="A71" s="295"/>
      <c r="B71" s="295"/>
      <c r="C71" s="300"/>
      <c r="D71" s="295"/>
      <c r="E71" s="295"/>
      <c r="F71" s="295"/>
      <c r="G71" s="295"/>
      <c r="H71" s="295"/>
      <c r="I71" s="297"/>
      <c r="J71" s="297"/>
    </row>
    <row r="72" ht="15.75" customHeight="1">
      <c r="A72" s="295"/>
      <c r="B72" s="295"/>
      <c r="C72" s="300"/>
      <c r="D72" s="295"/>
      <c r="E72" s="295"/>
      <c r="F72" s="295"/>
      <c r="G72" s="295"/>
      <c r="H72" s="295"/>
      <c r="I72" s="297"/>
      <c r="J72" s="297"/>
    </row>
    <row r="73" ht="15.75" customHeight="1">
      <c r="A73" s="295"/>
      <c r="B73" s="295"/>
      <c r="C73" s="300"/>
      <c r="D73" s="295"/>
      <c r="E73" s="295"/>
      <c r="F73" s="295"/>
      <c r="G73" s="295"/>
      <c r="H73" s="295"/>
      <c r="I73" s="297"/>
      <c r="J73" s="297"/>
    </row>
    <row r="74" ht="15.75" customHeight="1">
      <c r="A74" s="295"/>
      <c r="B74" s="295"/>
      <c r="C74" s="300"/>
      <c r="D74" s="295"/>
      <c r="E74" s="295"/>
      <c r="F74" s="295"/>
      <c r="G74" s="295"/>
      <c r="H74" s="295"/>
      <c r="I74" s="297"/>
      <c r="J74" s="297"/>
    </row>
    <row r="75" ht="15.75" customHeight="1">
      <c r="A75" s="295"/>
      <c r="B75" s="295"/>
      <c r="C75" s="300"/>
      <c r="D75" s="295"/>
      <c r="E75" s="295"/>
      <c r="F75" s="295"/>
      <c r="G75" s="295"/>
      <c r="H75" s="295"/>
      <c r="I75" s="297"/>
      <c r="J75" s="297"/>
    </row>
    <row r="76" ht="15.75" customHeight="1">
      <c r="A76" s="295"/>
      <c r="B76" s="295"/>
      <c r="C76" s="300"/>
      <c r="D76" s="295"/>
      <c r="E76" s="295"/>
      <c r="F76" s="295"/>
      <c r="G76" s="295"/>
      <c r="H76" s="295"/>
      <c r="I76" s="297"/>
      <c r="J76" s="297"/>
    </row>
    <row r="77" ht="15.75" customHeight="1">
      <c r="A77" s="295"/>
      <c r="B77" s="295"/>
      <c r="C77" s="300"/>
      <c r="D77" s="295"/>
      <c r="E77" s="295"/>
      <c r="F77" s="295"/>
      <c r="G77" s="295"/>
      <c r="H77" s="295"/>
      <c r="I77" s="297"/>
      <c r="J77" s="297"/>
    </row>
    <row r="78" ht="15.75" customHeight="1">
      <c r="A78" s="295"/>
      <c r="B78" s="295"/>
      <c r="C78" s="300"/>
      <c r="D78" s="295"/>
      <c r="E78" s="295"/>
      <c r="F78" s="295"/>
      <c r="G78" s="295"/>
      <c r="H78" s="295"/>
      <c r="I78" s="297"/>
      <c r="J78" s="297"/>
    </row>
    <row r="79" ht="15.75" customHeight="1">
      <c r="A79" s="295"/>
      <c r="B79" s="295"/>
      <c r="C79" s="300"/>
      <c r="D79" s="295"/>
      <c r="E79" s="295"/>
      <c r="F79" s="295"/>
      <c r="G79" s="295"/>
      <c r="H79" s="295"/>
      <c r="I79" s="297"/>
      <c r="J79" s="297"/>
    </row>
    <row r="80" ht="15.75" customHeight="1">
      <c r="A80" s="295"/>
      <c r="B80" s="295"/>
      <c r="C80" s="300"/>
      <c r="D80" s="295"/>
      <c r="E80" s="295"/>
      <c r="F80" s="295"/>
      <c r="G80" s="295"/>
      <c r="H80" s="295"/>
      <c r="I80" s="297"/>
      <c r="J80" s="297"/>
    </row>
    <row r="81" ht="15.75" customHeight="1">
      <c r="A81" s="295"/>
      <c r="B81" s="295"/>
      <c r="C81" s="300"/>
      <c r="D81" s="295"/>
      <c r="E81" s="295"/>
      <c r="F81" s="295"/>
      <c r="G81" s="295"/>
      <c r="H81" s="295"/>
      <c r="I81" s="297"/>
      <c r="J81" s="297"/>
    </row>
    <row r="82" ht="15.75" customHeight="1">
      <c r="A82" s="295"/>
      <c r="B82" s="295"/>
      <c r="C82" s="300"/>
      <c r="D82" s="295"/>
      <c r="E82" s="295"/>
      <c r="F82" s="295"/>
      <c r="G82" s="295"/>
      <c r="H82" s="295"/>
      <c r="I82" s="297"/>
      <c r="J82" s="297"/>
    </row>
    <row r="83" ht="15.75" customHeight="1">
      <c r="A83" s="295"/>
      <c r="B83" s="295"/>
      <c r="C83" s="300"/>
      <c r="D83" s="295"/>
      <c r="E83" s="295"/>
      <c r="F83" s="295"/>
      <c r="G83" s="295"/>
      <c r="H83" s="295"/>
      <c r="I83" s="297"/>
      <c r="J83" s="297"/>
    </row>
    <row r="84" ht="15.75" customHeight="1">
      <c r="A84" s="295"/>
      <c r="B84" s="295"/>
      <c r="C84" s="300"/>
      <c r="D84" s="295"/>
      <c r="E84" s="295"/>
      <c r="F84" s="295"/>
      <c r="G84" s="295"/>
      <c r="H84" s="295"/>
      <c r="I84" s="297"/>
      <c r="J84" s="297"/>
    </row>
    <row r="85" ht="15.75" customHeight="1">
      <c r="A85" s="295"/>
      <c r="B85" s="295"/>
      <c r="C85" s="300"/>
      <c r="D85" s="295"/>
      <c r="E85" s="295"/>
      <c r="F85" s="295"/>
      <c r="G85" s="295"/>
      <c r="H85" s="295"/>
      <c r="I85" s="297"/>
      <c r="J85" s="297"/>
    </row>
    <row r="86" ht="15.75" customHeight="1">
      <c r="A86" s="295"/>
      <c r="B86" s="295"/>
      <c r="C86" s="300"/>
      <c r="D86" s="295"/>
      <c r="E86" s="295"/>
      <c r="F86" s="295"/>
      <c r="G86" s="295"/>
      <c r="H86" s="295"/>
      <c r="I86" s="297"/>
      <c r="J86" s="297"/>
    </row>
    <row r="87" ht="15.75" customHeight="1">
      <c r="A87" s="295"/>
      <c r="B87" s="295"/>
      <c r="C87" s="300"/>
      <c r="D87" s="295"/>
      <c r="E87" s="295"/>
      <c r="F87" s="295"/>
      <c r="G87" s="295"/>
      <c r="H87" s="295"/>
      <c r="I87" s="297"/>
      <c r="J87" s="297"/>
    </row>
    <row r="88" ht="15.75" customHeight="1">
      <c r="A88" s="295"/>
      <c r="B88" s="295"/>
      <c r="C88" s="300"/>
      <c r="D88" s="295"/>
      <c r="E88" s="295"/>
      <c r="F88" s="295"/>
      <c r="G88" s="295"/>
      <c r="H88" s="295"/>
      <c r="I88" s="297"/>
      <c r="J88" s="297"/>
    </row>
    <row r="89" ht="15.75" customHeight="1">
      <c r="A89" s="295"/>
      <c r="B89" s="295"/>
      <c r="C89" s="300"/>
      <c r="D89" s="295"/>
      <c r="E89" s="295"/>
      <c r="F89" s="295"/>
      <c r="G89" s="295"/>
      <c r="H89" s="295"/>
      <c r="I89" s="297"/>
      <c r="J89" s="297"/>
    </row>
    <row r="90" ht="15.75" customHeight="1">
      <c r="A90" s="295"/>
      <c r="B90" s="295"/>
      <c r="C90" s="300"/>
      <c r="D90" s="295"/>
      <c r="E90" s="295"/>
      <c r="F90" s="295"/>
      <c r="G90" s="295"/>
      <c r="H90" s="295"/>
      <c r="I90" s="297"/>
      <c r="J90" s="297"/>
    </row>
    <row r="91" ht="15.75" customHeight="1">
      <c r="A91" s="295"/>
      <c r="B91" s="295"/>
      <c r="C91" s="300"/>
      <c r="D91" s="295"/>
      <c r="E91" s="295"/>
      <c r="F91" s="295"/>
      <c r="G91" s="295"/>
      <c r="H91" s="295"/>
      <c r="I91" s="297"/>
      <c r="J91" s="297"/>
    </row>
    <row r="92" ht="15.75" customHeight="1">
      <c r="A92" s="295"/>
      <c r="B92" s="295"/>
      <c r="C92" s="300"/>
      <c r="D92" s="295"/>
      <c r="E92" s="295"/>
      <c r="F92" s="295"/>
      <c r="G92" s="295"/>
      <c r="H92" s="295"/>
      <c r="I92" s="297"/>
      <c r="J92" s="297"/>
    </row>
    <row r="93" ht="15.75" customHeight="1">
      <c r="A93" s="295"/>
      <c r="B93" s="295"/>
      <c r="C93" s="300"/>
      <c r="D93" s="295"/>
      <c r="E93" s="295"/>
      <c r="F93" s="295"/>
      <c r="G93" s="295"/>
      <c r="H93" s="295"/>
      <c r="I93" s="297"/>
      <c r="J93" s="297"/>
    </row>
    <row r="94" ht="15.75" customHeight="1">
      <c r="A94" s="295"/>
      <c r="B94" s="295"/>
      <c r="C94" s="300"/>
      <c r="D94" s="295"/>
      <c r="E94" s="295"/>
      <c r="F94" s="295"/>
      <c r="G94" s="295"/>
      <c r="H94" s="295"/>
      <c r="I94" s="297"/>
      <c r="J94" s="297"/>
    </row>
    <row r="95" ht="15.75" customHeight="1">
      <c r="A95" s="295"/>
      <c r="B95" s="295"/>
      <c r="C95" s="300"/>
      <c r="D95" s="295"/>
      <c r="E95" s="295"/>
      <c r="F95" s="295"/>
      <c r="G95" s="295"/>
      <c r="H95" s="295"/>
      <c r="I95" s="297"/>
      <c r="J95" s="297"/>
    </row>
    <row r="96" ht="15.75" customHeight="1">
      <c r="A96" s="295"/>
      <c r="B96" s="295"/>
      <c r="C96" s="300"/>
      <c r="D96" s="295"/>
      <c r="E96" s="295"/>
      <c r="F96" s="295"/>
      <c r="G96" s="295"/>
      <c r="H96" s="295"/>
      <c r="I96" s="297"/>
      <c r="J96" s="297"/>
    </row>
    <row r="97" ht="15.75" customHeight="1">
      <c r="A97" s="295"/>
      <c r="B97" s="295"/>
      <c r="C97" s="300"/>
      <c r="D97" s="295"/>
      <c r="E97" s="295"/>
      <c r="F97" s="295"/>
      <c r="G97" s="295"/>
      <c r="H97" s="295"/>
      <c r="I97" s="297"/>
      <c r="J97" s="297"/>
    </row>
    <row r="98" ht="15.75" customHeight="1">
      <c r="A98" s="295"/>
      <c r="B98" s="295"/>
      <c r="C98" s="300"/>
      <c r="D98" s="295"/>
      <c r="E98" s="295"/>
      <c r="F98" s="295"/>
      <c r="G98" s="295"/>
      <c r="H98" s="295"/>
      <c r="I98" s="297"/>
      <c r="J98" s="297"/>
    </row>
    <row r="99" ht="15.75" customHeight="1">
      <c r="A99" s="295"/>
      <c r="B99" s="295"/>
      <c r="C99" s="300"/>
      <c r="D99" s="295"/>
      <c r="E99" s="295"/>
      <c r="F99" s="295"/>
      <c r="G99" s="295"/>
      <c r="H99" s="295"/>
      <c r="I99" s="297"/>
      <c r="J99" s="297"/>
    </row>
    <row r="100" ht="15.75" customHeight="1">
      <c r="A100" s="295"/>
      <c r="B100" s="295"/>
      <c r="C100" s="300"/>
      <c r="D100" s="295"/>
      <c r="E100" s="295"/>
      <c r="F100" s="295"/>
      <c r="G100" s="295"/>
      <c r="H100" s="295"/>
      <c r="I100" s="297"/>
      <c r="J100" s="297"/>
    </row>
    <row r="101" ht="15.75" customHeight="1">
      <c r="A101" s="295"/>
      <c r="B101" s="295"/>
      <c r="C101" s="300"/>
      <c r="D101" s="295"/>
      <c r="E101" s="295"/>
      <c r="F101" s="295"/>
      <c r="G101" s="295"/>
      <c r="H101" s="295"/>
      <c r="I101" s="297"/>
      <c r="J101" s="297"/>
    </row>
    <row r="102" ht="15.75" customHeight="1">
      <c r="A102" s="295"/>
      <c r="B102" s="295"/>
      <c r="C102" s="300"/>
      <c r="D102" s="295"/>
      <c r="E102" s="295"/>
      <c r="F102" s="295"/>
      <c r="G102" s="295"/>
      <c r="H102" s="295"/>
      <c r="I102" s="297"/>
      <c r="J102" s="297"/>
    </row>
    <row r="103" ht="15.75" customHeight="1">
      <c r="A103" s="295"/>
      <c r="B103" s="295"/>
      <c r="C103" s="300"/>
      <c r="D103" s="295"/>
      <c r="E103" s="295"/>
      <c r="F103" s="295"/>
      <c r="G103" s="295"/>
      <c r="H103" s="295"/>
      <c r="I103" s="297"/>
      <c r="J103" s="297"/>
    </row>
    <row r="104" ht="15.75" customHeight="1">
      <c r="A104" s="295"/>
      <c r="B104" s="295"/>
      <c r="C104" s="300"/>
      <c r="D104" s="295"/>
      <c r="E104" s="295"/>
      <c r="F104" s="295"/>
      <c r="G104" s="295"/>
      <c r="H104" s="295"/>
      <c r="I104" s="297"/>
      <c r="J104" s="297"/>
    </row>
    <row r="105" ht="15.75" customHeight="1">
      <c r="A105" s="295"/>
      <c r="B105" s="295"/>
      <c r="C105" s="300"/>
      <c r="D105" s="295"/>
      <c r="E105" s="295"/>
      <c r="F105" s="295"/>
      <c r="G105" s="295"/>
      <c r="H105" s="295"/>
      <c r="I105" s="297"/>
      <c r="J105" s="297"/>
    </row>
    <row r="106" ht="15.75" customHeight="1">
      <c r="A106" s="295"/>
      <c r="B106" s="295"/>
      <c r="C106" s="300"/>
      <c r="D106" s="295"/>
      <c r="E106" s="295"/>
      <c r="F106" s="295"/>
      <c r="G106" s="295"/>
      <c r="H106" s="295"/>
      <c r="I106" s="297"/>
      <c r="J106" s="297"/>
    </row>
    <row r="107" ht="15.75" customHeight="1">
      <c r="A107" s="295"/>
      <c r="B107" s="295"/>
      <c r="C107" s="300"/>
      <c r="D107" s="295"/>
      <c r="E107" s="295"/>
      <c r="F107" s="295"/>
      <c r="G107" s="295"/>
      <c r="H107" s="295"/>
      <c r="I107" s="297"/>
      <c r="J107" s="297"/>
    </row>
    <row r="108" ht="15.75" customHeight="1">
      <c r="A108" s="295"/>
      <c r="B108" s="295"/>
      <c r="C108" s="300"/>
      <c r="D108" s="295"/>
      <c r="E108" s="295"/>
      <c r="F108" s="295"/>
      <c r="G108" s="295"/>
      <c r="H108" s="295"/>
      <c r="I108" s="297"/>
      <c r="J108" s="297"/>
    </row>
    <row r="109" ht="15.75" customHeight="1">
      <c r="A109" s="295"/>
      <c r="B109" s="295"/>
      <c r="C109" s="300"/>
      <c r="D109" s="295"/>
      <c r="E109" s="295"/>
      <c r="F109" s="295"/>
      <c r="G109" s="295"/>
      <c r="H109" s="295"/>
      <c r="I109" s="297"/>
      <c r="J109" s="297"/>
    </row>
    <row r="110" ht="15.75" customHeight="1">
      <c r="A110" s="295"/>
      <c r="B110" s="295"/>
      <c r="C110" s="300"/>
      <c r="D110" s="295"/>
      <c r="E110" s="295"/>
      <c r="F110" s="295"/>
      <c r="G110" s="295"/>
      <c r="H110" s="295"/>
      <c r="I110" s="297"/>
      <c r="J110" s="297"/>
    </row>
    <row r="111" ht="15.75" customHeight="1">
      <c r="A111" s="295"/>
      <c r="B111" s="295"/>
      <c r="C111" s="300"/>
      <c r="D111" s="295"/>
      <c r="E111" s="295"/>
      <c r="F111" s="295"/>
      <c r="G111" s="295"/>
      <c r="H111" s="295"/>
      <c r="I111" s="297"/>
      <c r="J111" s="297"/>
    </row>
    <row r="112" ht="15.75" customHeight="1">
      <c r="A112" s="295"/>
      <c r="B112" s="295"/>
      <c r="C112" s="300"/>
      <c r="D112" s="295"/>
      <c r="E112" s="295"/>
      <c r="F112" s="295"/>
      <c r="G112" s="295"/>
      <c r="H112" s="295"/>
      <c r="I112" s="297"/>
      <c r="J112" s="297"/>
    </row>
    <row r="113" ht="15.75" customHeight="1">
      <c r="A113" s="295"/>
      <c r="B113" s="295"/>
      <c r="C113" s="300"/>
      <c r="D113" s="295"/>
      <c r="E113" s="295"/>
      <c r="F113" s="295"/>
      <c r="G113" s="295"/>
      <c r="H113" s="295"/>
      <c r="I113" s="297"/>
      <c r="J113" s="297"/>
    </row>
    <row r="114" ht="15.75" customHeight="1">
      <c r="A114" s="295"/>
      <c r="B114" s="295"/>
      <c r="C114" s="300"/>
      <c r="D114" s="295"/>
      <c r="E114" s="295"/>
      <c r="F114" s="295"/>
      <c r="G114" s="295"/>
      <c r="H114" s="295"/>
      <c r="I114" s="297"/>
      <c r="J114" s="297"/>
    </row>
    <row r="115" ht="15.75" customHeight="1">
      <c r="A115" s="295"/>
      <c r="B115" s="295"/>
      <c r="C115" s="300"/>
      <c r="D115" s="295"/>
      <c r="E115" s="295"/>
      <c r="F115" s="295"/>
      <c r="G115" s="295"/>
      <c r="H115" s="295"/>
      <c r="I115" s="297"/>
      <c r="J115" s="297"/>
    </row>
    <row r="116" ht="15.75" customHeight="1">
      <c r="A116" s="295"/>
      <c r="B116" s="295"/>
      <c r="C116" s="300"/>
      <c r="D116" s="295"/>
      <c r="E116" s="295"/>
      <c r="F116" s="295"/>
      <c r="G116" s="295"/>
      <c r="H116" s="295"/>
      <c r="I116" s="297"/>
      <c r="J116" s="297"/>
    </row>
    <row r="117" ht="15.75" customHeight="1">
      <c r="A117" s="295"/>
      <c r="B117" s="295"/>
      <c r="C117" s="300"/>
      <c r="D117" s="295"/>
      <c r="E117" s="295"/>
      <c r="F117" s="295"/>
      <c r="G117" s="295"/>
      <c r="H117" s="295"/>
      <c r="I117" s="297"/>
      <c r="J117" s="297"/>
    </row>
    <row r="118" ht="15.75" customHeight="1">
      <c r="A118" s="295"/>
      <c r="B118" s="295"/>
      <c r="C118" s="300"/>
      <c r="D118" s="295"/>
      <c r="E118" s="295"/>
      <c r="F118" s="295"/>
      <c r="G118" s="295"/>
      <c r="H118" s="295"/>
      <c r="I118" s="297"/>
      <c r="J118" s="297"/>
    </row>
    <row r="119" ht="15.75" customHeight="1">
      <c r="A119" s="295"/>
      <c r="B119" s="295"/>
      <c r="C119" s="300"/>
      <c r="D119" s="295"/>
      <c r="E119" s="295"/>
      <c r="F119" s="295"/>
      <c r="G119" s="295"/>
      <c r="H119" s="295"/>
      <c r="I119" s="297"/>
      <c r="J119" s="297"/>
    </row>
    <row r="120" ht="15.75" customHeight="1">
      <c r="A120" s="295"/>
      <c r="B120" s="295"/>
      <c r="C120" s="300"/>
      <c r="D120" s="295"/>
      <c r="E120" s="295"/>
      <c r="F120" s="295"/>
      <c r="G120" s="295"/>
      <c r="H120" s="295"/>
      <c r="I120" s="297"/>
      <c r="J120" s="297"/>
    </row>
    <row r="121" ht="15.75" customHeight="1">
      <c r="A121" s="295"/>
      <c r="B121" s="295"/>
      <c r="C121" s="300"/>
      <c r="D121" s="295"/>
      <c r="E121" s="295"/>
      <c r="F121" s="295"/>
      <c r="G121" s="295"/>
      <c r="H121" s="295"/>
      <c r="I121" s="297"/>
      <c r="J121" s="297"/>
    </row>
    <row r="122" ht="15.75" customHeight="1">
      <c r="A122" s="295"/>
      <c r="B122" s="295"/>
      <c r="C122" s="300"/>
      <c r="D122" s="295"/>
      <c r="E122" s="295"/>
      <c r="F122" s="295"/>
      <c r="G122" s="295"/>
      <c r="H122" s="295"/>
      <c r="I122" s="297"/>
      <c r="J122" s="297"/>
    </row>
    <row r="123" ht="15.75" customHeight="1">
      <c r="A123" s="295"/>
      <c r="B123" s="295"/>
      <c r="C123" s="300"/>
      <c r="D123" s="295"/>
      <c r="E123" s="295"/>
      <c r="F123" s="295"/>
      <c r="G123" s="295"/>
      <c r="H123" s="295"/>
      <c r="I123" s="297"/>
      <c r="J123" s="297"/>
    </row>
    <row r="124" ht="15.75" customHeight="1">
      <c r="A124" s="295"/>
      <c r="B124" s="295"/>
      <c r="C124" s="300"/>
      <c r="D124" s="295"/>
      <c r="E124" s="295"/>
      <c r="F124" s="295"/>
      <c r="G124" s="295"/>
      <c r="H124" s="295"/>
      <c r="I124" s="297"/>
      <c r="J124" s="297"/>
    </row>
    <row r="125" ht="15.75" customHeight="1">
      <c r="A125" s="295"/>
      <c r="B125" s="295"/>
      <c r="C125" s="300"/>
      <c r="D125" s="295"/>
      <c r="E125" s="295"/>
      <c r="F125" s="295"/>
      <c r="G125" s="295"/>
      <c r="H125" s="295"/>
      <c r="I125" s="297"/>
      <c r="J125" s="297"/>
    </row>
    <row r="126" ht="15.75" customHeight="1">
      <c r="A126" s="295"/>
      <c r="B126" s="295"/>
      <c r="C126" s="300"/>
      <c r="D126" s="295"/>
      <c r="E126" s="295"/>
      <c r="F126" s="295"/>
      <c r="G126" s="295"/>
      <c r="H126" s="295"/>
      <c r="I126" s="297"/>
      <c r="J126" s="297"/>
    </row>
    <row r="127" ht="15.75" customHeight="1">
      <c r="A127" s="295"/>
      <c r="B127" s="295"/>
      <c r="C127" s="300"/>
      <c r="D127" s="295"/>
      <c r="E127" s="295"/>
      <c r="F127" s="295"/>
      <c r="G127" s="295"/>
      <c r="H127" s="295"/>
      <c r="I127" s="297"/>
      <c r="J127" s="297"/>
    </row>
    <row r="128" ht="15.75" customHeight="1">
      <c r="A128" s="295"/>
      <c r="B128" s="295"/>
      <c r="C128" s="300"/>
      <c r="D128" s="295"/>
      <c r="E128" s="295"/>
      <c r="F128" s="295"/>
      <c r="G128" s="295"/>
      <c r="H128" s="295"/>
      <c r="I128" s="297"/>
      <c r="J128" s="297"/>
    </row>
    <row r="129" ht="15.75" customHeight="1">
      <c r="A129" s="295"/>
      <c r="B129" s="295"/>
      <c r="C129" s="300"/>
      <c r="D129" s="295"/>
      <c r="E129" s="295"/>
      <c r="F129" s="295"/>
      <c r="G129" s="295"/>
      <c r="H129" s="295"/>
      <c r="I129" s="297"/>
      <c r="J129" s="297"/>
    </row>
    <row r="130" ht="15.75" customHeight="1">
      <c r="A130" s="295"/>
      <c r="B130" s="295"/>
      <c r="C130" s="300"/>
      <c r="D130" s="295"/>
      <c r="E130" s="295"/>
      <c r="F130" s="295"/>
      <c r="G130" s="295"/>
      <c r="H130" s="295"/>
      <c r="I130" s="297"/>
      <c r="J130" s="297"/>
    </row>
    <row r="131" ht="15.75" customHeight="1">
      <c r="A131" s="295"/>
      <c r="B131" s="295"/>
      <c r="C131" s="300"/>
      <c r="D131" s="295"/>
      <c r="E131" s="295"/>
      <c r="F131" s="295"/>
      <c r="G131" s="295"/>
      <c r="H131" s="295"/>
      <c r="I131" s="297"/>
      <c r="J131" s="297"/>
    </row>
    <row r="132" ht="15.75" customHeight="1">
      <c r="A132" s="295"/>
      <c r="B132" s="295"/>
      <c r="C132" s="300"/>
      <c r="D132" s="295"/>
      <c r="E132" s="295"/>
      <c r="F132" s="295"/>
      <c r="G132" s="295"/>
      <c r="H132" s="295"/>
      <c r="I132" s="297"/>
      <c r="J132" s="297"/>
    </row>
    <row r="133" ht="15.75" customHeight="1">
      <c r="A133" s="295"/>
      <c r="B133" s="295"/>
      <c r="C133" s="300"/>
      <c r="D133" s="295"/>
      <c r="E133" s="295"/>
      <c r="F133" s="295"/>
      <c r="G133" s="295"/>
      <c r="H133" s="295"/>
      <c r="I133" s="297"/>
      <c r="J133" s="297"/>
    </row>
    <row r="134" ht="15.75" customHeight="1">
      <c r="A134" s="295"/>
      <c r="B134" s="295"/>
      <c r="C134" s="300"/>
      <c r="D134" s="295"/>
      <c r="E134" s="295"/>
      <c r="F134" s="295"/>
      <c r="G134" s="295"/>
      <c r="H134" s="295"/>
      <c r="I134" s="297"/>
      <c r="J134" s="297"/>
    </row>
    <row r="135" ht="15.75" customHeight="1">
      <c r="A135" s="295"/>
      <c r="B135" s="295"/>
      <c r="C135" s="300"/>
      <c r="D135" s="295"/>
      <c r="E135" s="295"/>
      <c r="F135" s="295"/>
      <c r="G135" s="295"/>
      <c r="H135" s="295"/>
      <c r="I135" s="297"/>
      <c r="J135" s="297"/>
    </row>
    <row r="136" ht="15.75" customHeight="1">
      <c r="A136" s="295"/>
      <c r="B136" s="295"/>
      <c r="C136" s="300"/>
      <c r="D136" s="295"/>
      <c r="E136" s="295"/>
      <c r="F136" s="295"/>
      <c r="G136" s="295"/>
      <c r="H136" s="295"/>
      <c r="I136" s="297"/>
      <c r="J136" s="297"/>
    </row>
    <row r="137" ht="15.75" customHeight="1">
      <c r="A137" s="295"/>
      <c r="B137" s="295"/>
      <c r="C137" s="300"/>
      <c r="D137" s="295"/>
      <c r="E137" s="295"/>
      <c r="F137" s="295"/>
      <c r="G137" s="295"/>
      <c r="H137" s="295"/>
      <c r="I137" s="297"/>
      <c r="J137" s="297"/>
    </row>
    <row r="138" ht="15.75" customHeight="1">
      <c r="A138" s="295"/>
      <c r="B138" s="295"/>
      <c r="C138" s="300"/>
      <c r="D138" s="295"/>
      <c r="E138" s="295"/>
      <c r="F138" s="295"/>
      <c r="G138" s="295"/>
      <c r="H138" s="295"/>
      <c r="I138" s="297"/>
      <c r="J138" s="297"/>
    </row>
    <row r="139" ht="15.75" customHeight="1">
      <c r="A139" s="295"/>
      <c r="B139" s="295"/>
      <c r="C139" s="300"/>
      <c r="D139" s="295"/>
      <c r="E139" s="295"/>
      <c r="F139" s="295"/>
      <c r="G139" s="295"/>
      <c r="H139" s="295"/>
      <c r="I139" s="297"/>
      <c r="J139" s="297"/>
    </row>
    <row r="140" ht="15.75" customHeight="1">
      <c r="A140" s="295"/>
      <c r="B140" s="295"/>
      <c r="C140" s="300"/>
      <c r="D140" s="295"/>
      <c r="E140" s="295"/>
      <c r="F140" s="295"/>
      <c r="G140" s="295"/>
      <c r="H140" s="295"/>
      <c r="I140" s="297"/>
      <c r="J140" s="297"/>
    </row>
    <row r="141" ht="15.75" customHeight="1">
      <c r="A141" s="295"/>
      <c r="B141" s="295"/>
      <c r="C141" s="300"/>
      <c r="D141" s="295"/>
      <c r="E141" s="295"/>
      <c r="F141" s="295"/>
      <c r="G141" s="295"/>
      <c r="H141" s="295"/>
      <c r="I141" s="297"/>
      <c r="J141" s="297"/>
    </row>
    <row r="142" ht="15.75" customHeight="1">
      <c r="A142" s="295"/>
      <c r="B142" s="295"/>
      <c r="C142" s="300"/>
      <c r="D142" s="295"/>
      <c r="E142" s="295"/>
      <c r="F142" s="295"/>
      <c r="G142" s="295"/>
      <c r="H142" s="295"/>
      <c r="I142" s="297"/>
      <c r="J142" s="297"/>
    </row>
    <row r="143" ht="15.75" customHeight="1">
      <c r="A143" s="295"/>
      <c r="B143" s="295"/>
      <c r="C143" s="300"/>
      <c r="D143" s="295"/>
      <c r="E143" s="295"/>
      <c r="F143" s="295"/>
      <c r="G143" s="295"/>
      <c r="H143" s="295"/>
      <c r="I143" s="297"/>
      <c r="J143" s="297"/>
    </row>
    <row r="144" ht="15.75" customHeight="1">
      <c r="A144" s="295"/>
      <c r="B144" s="295"/>
      <c r="C144" s="300"/>
      <c r="D144" s="295"/>
      <c r="E144" s="295"/>
      <c r="F144" s="295"/>
      <c r="G144" s="295"/>
      <c r="H144" s="295"/>
      <c r="I144" s="297"/>
      <c r="J144" s="297"/>
    </row>
    <row r="145" ht="15.75" customHeight="1">
      <c r="A145" s="295"/>
      <c r="B145" s="295"/>
      <c r="C145" s="300"/>
      <c r="D145" s="295"/>
      <c r="E145" s="295"/>
      <c r="F145" s="295"/>
      <c r="G145" s="295"/>
      <c r="H145" s="295"/>
      <c r="I145" s="297"/>
      <c r="J145" s="297"/>
    </row>
    <row r="146" ht="15.75" customHeight="1">
      <c r="A146" s="295"/>
      <c r="B146" s="295"/>
      <c r="C146" s="300"/>
      <c r="D146" s="295"/>
      <c r="E146" s="295"/>
      <c r="F146" s="295"/>
      <c r="G146" s="295"/>
      <c r="H146" s="295"/>
      <c r="I146" s="297"/>
      <c r="J146" s="297"/>
    </row>
    <row r="147" ht="15.75" customHeight="1">
      <c r="A147" s="295"/>
      <c r="B147" s="295"/>
      <c r="C147" s="300"/>
      <c r="D147" s="295"/>
      <c r="E147" s="295"/>
      <c r="F147" s="295"/>
      <c r="G147" s="295"/>
      <c r="H147" s="295"/>
      <c r="I147" s="297"/>
      <c r="J147" s="297"/>
    </row>
    <row r="148" ht="15.75" customHeight="1">
      <c r="A148" s="295"/>
      <c r="B148" s="295"/>
      <c r="C148" s="300"/>
      <c r="D148" s="295"/>
      <c r="E148" s="295"/>
      <c r="F148" s="295"/>
      <c r="G148" s="295"/>
      <c r="H148" s="295"/>
      <c r="I148" s="297"/>
      <c r="J148" s="297"/>
    </row>
    <row r="149" ht="15.75" customHeight="1">
      <c r="A149" s="295"/>
      <c r="B149" s="295"/>
      <c r="C149" s="300"/>
      <c r="D149" s="295"/>
      <c r="E149" s="295"/>
      <c r="F149" s="295"/>
      <c r="G149" s="295"/>
      <c r="H149" s="295"/>
      <c r="I149" s="297"/>
      <c r="J149" s="297"/>
    </row>
    <row r="150" ht="15.75" customHeight="1">
      <c r="A150" s="295"/>
      <c r="B150" s="295"/>
      <c r="C150" s="300"/>
      <c r="D150" s="295"/>
      <c r="E150" s="295"/>
      <c r="F150" s="295"/>
      <c r="G150" s="295"/>
      <c r="H150" s="295"/>
      <c r="I150" s="297"/>
      <c r="J150" s="297"/>
    </row>
    <row r="151" ht="15.75" customHeight="1">
      <c r="A151" s="295"/>
      <c r="B151" s="295"/>
      <c r="C151" s="300"/>
      <c r="D151" s="295"/>
      <c r="E151" s="295"/>
      <c r="F151" s="295"/>
      <c r="G151" s="295"/>
      <c r="H151" s="295"/>
      <c r="I151" s="297"/>
      <c r="J151" s="297"/>
    </row>
    <row r="152" ht="15.75" customHeight="1">
      <c r="A152" s="295"/>
      <c r="B152" s="295"/>
      <c r="C152" s="300"/>
      <c r="D152" s="295"/>
      <c r="E152" s="295"/>
      <c r="F152" s="295"/>
      <c r="G152" s="295"/>
      <c r="H152" s="295"/>
      <c r="I152" s="297"/>
      <c r="J152" s="297"/>
    </row>
    <row r="153" ht="15.75" customHeight="1">
      <c r="A153" s="295"/>
      <c r="B153" s="295"/>
      <c r="C153" s="300"/>
      <c r="D153" s="295"/>
      <c r="E153" s="295"/>
      <c r="F153" s="295"/>
      <c r="G153" s="295"/>
      <c r="H153" s="295"/>
      <c r="I153" s="297"/>
      <c r="J153" s="297"/>
    </row>
    <row r="154" ht="15.75" customHeight="1">
      <c r="A154" s="295"/>
      <c r="B154" s="295"/>
      <c r="C154" s="300"/>
      <c r="D154" s="295"/>
      <c r="E154" s="295"/>
      <c r="F154" s="295"/>
      <c r="G154" s="295"/>
      <c r="H154" s="295"/>
      <c r="I154" s="297"/>
      <c r="J154" s="297"/>
    </row>
    <row r="155" ht="15.75" customHeight="1">
      <c r="A155" s="295"/>
      <c r="B155" s="295"/>
      <c r="C155" s="300"/>
      <c r="D155" s="295"/>
      <c r="E155" s="295"/>
      <c r="F155" s="295"/>
      <c r="G155" s="295"/>
      <c r="H155" s="295"/>
      <c r="I155" s="297"/>
      <c r="J155" s="297"/>
    </row>
    <row r="156" ht="15.75" customHeight="1">
      <c r="A156" s="295"/>
      <c r="B156" s="295"/>
      <c r="C156" s="300"/>
      <c r="D156" s="295"/>
      <c r="E156" s="295"/>
      <c r="F156" s="295"/>
      <c r="G156" s="295"/>
      <c r="H156" s="295"/>
      <c r="I156" s="297"/>
      <c r="J156" s="297"/>
    </row>
    <row r="157" ht="15.75" customHeight="1">
      <c r="A157" s="295"/>
      <c r="B157" s="295"/>
      <c r="C157" s="300"/>
      <c r="D157" s="295"/>
      <c r="E157" s="295"/>
      <c r="F157" s="295"/>
      <c r="G157" s="295"/>
      <c r="H157" s="295"/>
      <c r="I157" s="297"/>
      <c r="J157" s="297"/>
    </row>
    <row r="158" ht="15.75" customHeight="1">
      <c r="A158" s="295"/>
      <c r="B158" s="295"/>
      <c r="C158" s="300"/>
      <c r="D158" s="295"/>
      <c r="E158" s="295"/>
      <c r="F158" s="295"/>
      <c r="G158" s="295"/>
      <c r="H158" s="295"/>
      <c r="I158" s="297"/>
      <c r="J158" s="297"/>
    </row>
    <row r="159" ht="15.75" customHeight="1">
      <c r="A159" s="295"/>
      <c r="B159" s="295"/>
      <c r="C159" s="300"/>
      <c r="D159" s="295"/>
      <c r="E159" s="295"/>
      <c r="F159" s="295"/>
      <c r="G159" s="295"/>
      <c r="H159" s="295"/>
      <c r="I159" s="297"/>
      <c r="J159" s="297"/>
    </row>
    <row r="160" ht="15.75" customHeight="1">
      <c r="A160" s="295"/>
      <c r="B160" s="295"/>
      <c r="C160" s="300"/>
      <c r="D160" s="295"/>
      <c r="E160" s="295"/>
      <c r="F160" s="295"/>
      <c r="G160" s="295"/>
      <c r="H160" s="295"/>
      <c r="I160" s="297"/>
      <c r="J160" s="297"/>
    </row>
    <row r="161" ht="15.75" customHeight="1">
      <c r="A161" s="295"/>
      <c r="B161" s="295"/>
      <c r="C161" s="300"/>
      <c r="D161" s="295"/>
      <c r="E161" s="295"/>
      <c r="F161" s="295"/>
      <c r="G161" s="295"/>
      <c r="H161" s="295"/>
      <c r="I161" s="297"/>
      <c r="J161" s="297"/>
    </row>
    <row r="162" ht="15.75" customHeight="1">
      <c r="A162" s="295"/>
      <c r="B162" s="295"/>
      <c r="C162" s="300"/>
      <c r="D162" s="295"/>
      <c r="E162" s="295"/>
      <c r="F162" s="295"/>
      <c r="G162" s="295"/>
      <c r="H162" s="295"/>
      <c r="I162" s="297"/>
      <c r="J162" s="297"/>
    </row>
    <row r="163" ht="15.75" customHeight="1">
      <c r="A163" s="295"/>
      <c r="B163" s="295"/>
      <c r="C163" s="300"/>
      <c r="D163" s="295"/>
      <c r="E163" s="295"/>
      <c r="F163" s="295"/>
      <c r="G163" s="295"/>
      <c r="H163" s="295"/>
      <c r="I163" s="297"/>
      <c r="J163" s="297"/>
    </row>
    <row r="164" ht="15.75" customHeight="1">
      <c r="A164" s="295"/>
      <c r="B164" s="295"/>
      <c r="C164" s="300"/>
      <c r="D164" s="295"/>
      <c r="E164" s="295"/>
      <c r="F164" s="295"/>
      <c r="G164" s="295"/>
      <c r="H164" s="295"/>
      <c r="I164" s="297"/>
      <c r="J164" s="297"/>
    </row>
    <row r="165" ht="15.75" customHeight="1">
      <c r="A165" s="295"/>
      <c r="B165" s="295"/>
      <c r="C165" s="300"/>
      <c r="D165" s="295"/>
      <c r="E165" s="295"/>
      <c r="F165" s="295"/>
      <c r="G165" s="295"/>
      <c r="H165" s="295"/>
      <c r="I165" s="297"/>
      <c r="J165" s="297"/>
    </row>
    <row r="166" ht="15.75" customHeight="1">
      <c r="A166" s="295"/>
      <c r="B166" s="295"/>
      <c r="C166" s="300"/>
      <c r="D166" s="295"/>
      <c r="E166" s="295"/>
      <c r="F166" s="295"/>
      <c r="G166" s="295"/>
      <c r="H166" s="295"/>
      <c r="I166" s="297"/>
      <c r="J166" s="297"/>
    </row>
    <row r="167" ht="15.75" customHeight="1">
      <c r="A167" s="295"/>
      <c r="B167" s="295"/>
      <c r="C167" s="300"/>
      <c r="D167" s="295"/>
      <c r="E167" s="295"/>
      <c r="F167" s="295"/>
      <c r="G167" s="295"/>
      <c r="H167" s="295"/>
      <c r="I167" s="297"/>
      <c r="J167" s="297"/>
    </row>
    <row r="168" ht="15.75" customHeight="1">
      <c r="A168" s="295"/>
      <c r="B168" s="295"/>
      <c r="C168" s="300"/>
      <c r="D168" s="295"/>
      <c r="E168" s="295"/>
      <c r="F168" s="295"/>
      <c r="G168" s="295"/>
      <c r="H168" s="295"/>
      <c r="I168" s="297"/>
      <c r="J168" s="297"/>
    </row>
    <row r="169" ht="15.75" customHeight="1">
      <c r="A169" s="295"/>
      <c r="B169" s="295"/>
      <c r="C169" s="300"/>
      <c r="D169" s="295"/>
      <c r="E169" s="295"/>
      <c r="F169" s="295"/>
      <c r="G169" s="295"/>
      <c r="H169" s="295"/>
      <c r="I169" s="297"/>
      <c r="J169" s="297"/>
    </row>
    <row r="170" ht="15.75" customHeight="1">
      <c r="A170" s="295"/>
      <c r="B170" s="295"/>
      <c r="C170" s="300"/>
      <c r="D170" s="295"/>
      <c r="E170" s="295"/>
      <c r="F170" s="295"/>
      <c r="G170" s="295"/>
      <c r="H170" s="295"/>
      <c r="I170" s="297"/>
      <c r="J170" s="297"/>
    </row>
    <row r="171" ht="15.75" customHeight="1">
      <c r="A171" s="295"/>
      <c r="B171" s="295"/>
      <c r="C171" s="300"/>
      <c r="D171" s="295"/>
      <c r="E171" s="295"/>
      <c r="F171" s="295"/>
      <c r="G171" s="295"/>
      <c r="H171" s="295"/>
      <c r="I171" s="297"/>
      <c r="J171" s="297"/>
    </row>
    <row r="172" ht="15.75" customHeight="1">
      <c r="A172" s="295"/>
      <c r="B172" s="295"/>
      <c r="C172" s="300"/>
      <c r="D172" s="295"/>
      <c r="E172" s="295"/>
      <c r="F172" s="295"/>
      <c r="G172" s="295"/>
      <c r="H172" s="295"/>
      <c r="I172" s="297"/>
      <c r="J172" s="297"/>
    </row>
    <row r="173" ht="15.75" customHeight="1">
      <c r="A173" s="295"/>
      <c r="B173" s="295"/>
      <c r="C173" s="300"/>
      <c r="D173" s="295"/>
      <c r="E173" s="295"/>
      <c r="F173" s="295"/>
      <c r="G173" s="295"/>
      <c r="H173" s="295"/>
      <c r="I173" s="297"/>
      <c r="J173" s="297"/>
    </row>
    <row r="174" ht="15.75" customHeight="1">
      <c r="A174" s="295"/>
      <c r="B174" s="295"/>
      <c r="C174" s="300"/>
      <c r="D174" s="295"/>
      <c r="E174" s="295"/>
      <c r="F174" s="295"/>
      <c r="G174" s="295"/>
      <c r="H174" s="295"/>
      <c r="I174" s="297"/>
      <c r="J174" s="297"/>
    </row>
    <row r="175" ht="15.75" customHeight="1">
      <c r="A175" s="295"/>
      <c r="B175" s="295"/>
      <c r="C175" s="300"/>
      <c r="D175" s="295"/>
      <c r="E175" s="295"/>
      <c r="F175" s="295"/>
      <c r="G175" s="295"/>
      <c r="H175" s="295"/>
      <c r="I175" s="297"/>
      <c r="J175" s="297"/>
    </row>
    <row r="176" ht="15.75" customHeight="1">
      <c r="A176" s="295"/>
      <c r="B176" s="295"/>
      <c r="C176" s="300"/>
      <c r="D176" s="295"/>
      <c r="E176" s="295"/>
      <c r="F176" s="295"/>
      <c r="G176" s="295"/>
      <c r="H176" s="295"/>
      <c r="I176" s="297"/>
      <c r="J176" s="297"/>
    </row>
    <row r="177" ht="15.75" customHeight="1">
      <c r="A177" s="295"/>
      <c r="B177" s="295"/>
      <c r="C177" s="300"/>
      <c r="D177" s="295"/>
      <c r="E177" s="295"/>
      <c r="F177" s="295"/>
      <c r="G177" s="295"/>
      <c r="H177" s="295"/>
      <c r="I177" s="297"/>
      <c r="J177" s="297"/>
    </row>
    <row r="178" ht="15.75" customHeight="1">
      <c r="A178" s="295"/>
      <c r="B178" s="295"/>
      <c r="C178" s="300"/>
      <c r="D178" s="295"/>
      <c r="E178" s="295"/>
      <c r="F178" s="295"/>
      <c r="G178" s="295"/>
      <c r="H178" s="295"/>
      <c r="I178" s="297"/>
      <c r="J178" s="297"/>
    </row>
    <row r="179" ht="15.75" customHeight="1">
      <c r="A179" s="295"/>
      <c r="B179" s="295"/>
      <c r="C179" s="300"/>
      <c r="D179" s="295"/>
      <c r="E179" s="295"/>
      <c r="F179" s="295"/>
      <c r="G179" s="295"/>
      <c r="H179" s="295"/>
      <c r="I179" s="297"/>
      <c r="J179" s="297"/>
    </row>
    <row r="180" ht="15.75" customHeight="1">
      <c r="A180" s="295"/>
      <c r="B180" s="295"/>
      <c r="C180" s="300"/>
      <c r="D180" s="295"/>
      <c r="E180" s="295"/>
      <c r="F180" s="295"/>
      <c r="G180" s="295"/>
      <c r="H180" s="295"/>
      <c r="I180" s="297"/>
      <c r="J180" s="297"/>
    </row>
    <row r="181" ht="15.75" customHeight="1">
      <c r="A181" s="295"/>
      <c r="B181" s="295"/>
      <c r="C181" s="300"/>
      <c r="D181" s="295"/>
      <c r="E181" s="295"/>
      <c r="F181" s="295"/>
      <c r="G181" s="295"/>
      <c r="H181" s="295"/>
      <c r="I181" s="297"/>
      <c r="J181" s="297"/>
    </row>
    <row r="182" ht="15.75" customHeight="1">
      <c r="A182" s="295"/>
      <c r="B182" s="295"/>
      <c r="C182" s="300"/>
      <c r="D182" s="295"/>
      <c r="E182" s="295"/>
      <c r="F182" s="295"/>
      <c r="G182" s="295"/>
      <c r="H182" s="295"/>
      <c r="I182" s="297"/>
      <c r="J182" s="297"/>
    </row>
    <row r="183" ht="15.75" customHeight="1">
      <c r="A183" s="295"/>
      <c r="B183" s="295"/>
      <c r="C183" s="300"/>
      <c r="D183" s="295"/>
      <c r="E183" s="295"/>
      <c r="F183" s="295"/>
      <c r="G183" s="295"/>
      <c r="H183" s="295"/>
      <c r="I183" s="297"/>
      <c r="J183" s="297"/>
    </row>
    <row r="184" ht="15.75" customHeight="1">
      <c r="A184" s="295"/>
      <c r="B184" s="295"/>
      <c r="C184" s="300"/>
      <c r="D184" s="295"/>
      <c r="E184" s="295"/>
      <c r="F184" s="295"/>
      <c r="G184" s="295"/>
      <c r="H184" s="295"/>
      <c r="I184" s="297"/>
      <c r="J184" s="297"/>
    </row>
    <row r="185" ht="15.75" customHeight="1">
      <c r="A185" s="295"/>
      <c r="B185" s="295"/>
      <c r="C185" s="300"/>
      <c r="D185" s="295"/>
      <c r="E185" s="295"/>
      <c r="F185" s="295"/>
      <c r="G185" s="295"/>
      <c r="H185" s="295"/>
      <c r="I185" s="297"/>
      <c r="J185" s="297"/>
    </row>
    <row r="186" ht="15.75" customHeight="1">
      <c r="A186" s="295"/>
      <c r="B186" s="295"/>
      <c r="C186" s="300"/>
      <c r="D186" s="295"/>
      <c r="E186" s="295"/>
      <c r="F186" s="295"/>
      <c r="G186" s="295"/>
      <c r="H186" s="295"/>
      <c r="I186" s="297"/>
      <c r="J186" s="297"/>
    </row>
    <row r="187" ht="15.75" customHeight="1">
      <c r="A187" s="295"/>
      <c r="B187" s="295"/>
      <c r="C187" s="300"/>
      <c r="D187" s="295"/>
      <c r="E187" s="295"/>
      <c r="F187" s="295"/>
      <c r="G187" s="295"/>
      <c r="H187" s="295"/>
      <c r="I187" s="297"/>
      <c r="J187" s="297"/>
    </row>
    <row r="188" ht="15.75" customHeight="1">
      <c r="A188" s="295"/>
      <c r="B188" s="295"/>
      <c r="C188" s="300"/>
      <c r="D188" s="295"/>
      <c r="E188" s="295"/>
      <c r="F188" s="295"/>
      <c r="G188" s="295"/>
      <c r="H188" s="295"/>
      <c r="I188" s="297"/>
      <c r="J188" s="297"/>
    </row>
    <row r="189" ht="15.75" customHeight="1">
      <c r="A189" s="295"/>
      <c r="B189" s="295"/>
      <c r="C189" s="300"/>
      <c r="D189" s="295"/>
      <c r="E189" s="295"/>
      <c r="F189" s="295"/>
      <c r="G189" s="295"/>
      <c r="H189" s="295"/>
      <c r="I189" s="297"/>
      <c r="J189" s="297"/>
    </row>
    <row r="190" ht="15.75" customHeight="1">
      <c r="A190" s="295"/>
      <c r="B190" s="295"/>
      <c r="C190" s="300"/>
      <c r="D190" s="295"/>
      <c r="E190" s="295"/>
      <c r="F190" s="295"/>
      <c r="G190" s="295"/>
      <c r="H190" s="295"/>
      <c r="I190" s="297"/>
      <c r="J190" s="297"/>
    </row>
    <row r="191" ht="15.75" customHeight="1">
      <c r="A191" s="295"/>
      <c r="B191" s="295"/>
      <c r="C191" s="300"/>
      <c r="D191" s="295"/>
      <c r="E191" s="295"/>
      <c r="F191" s="295"/>
      <c r="G191" s="295"/>
      <c r="H191" s="295"/>
      <c r="I191" s="297"/>
      <c r="J191" s="297"/>
    </row>
    <row r="192" ht="15.75" customHeight="1">
      <c r="A192" s="295"/>
      <c r="B192" s="295"/>
      <c r="C192" s="300"/>
      <c r="D192" s="295"/>
      <c r="E192" s="295"/>
      <c r="F192" s="295"/>
      <c r="G192" s="295"/>
      <c r="H192" s="295"/>
      <c r="I192" s="297"/>
      <c r="J192" s="297"/>
    </row>
    <row r="193" ht="15.75" customHeight="1">
      <c r="A193" s="295"/>
      <c r="B193" s="295"/>
      <c r="C193" s="300"/>
      <c r="D193" s="295"/>
      <c r="E193" s="295"/>
      <c r="F193" s="295"/>
      <c r="G193" s="295"/>
      <c r="H193" s="295"/>
      <c r="I193" s="297"/>
      <c r="J193" s="297"/>
    </row>
    <row r="194" ht="15.75" customHeight="1">
      <c r="A194" s="295"/>
      <c r="B194" s="295"/>
      <c r="C194" s="300"/>
      <c r="D194" s="295"/>
      <c r="E194" s="295"/>
      <c r="F194" s="295"/>
      <c r="G194" s="295"/>
      <c r="H194" s="295"/>
      <c r="I194" s="297"/>
      <c r="J194" s="297"/>
    </row>
    <row r="195" ht="15.75" customHeight="1">
      <c r="A195" s="295"/>
      <c r="B195" s="295"/>
      <c r="C195" s="300"/>
      <c r="D195" s="295"/>
      <c r="E195" s="295"/>
      <c r="F195" s="295"/>
      <c r="G195" s="295"/>
      <c r="H195" s="295"/>
      <c r="I195" s="297"/>
      <c r="J195" s="297"/>
    </row>
    <row r="196" ht="15.75" customHeight="1">
      <c r="A196" s="295"/>
      <c r="B196" s="295"/>
      <c r="C196" s="300"/>
      <c r="D196" s="295"/>
      <c r="E196" s="295"/>
      <c r="F196" s="295"/>
      <c r="G196" s="295"/>
      <c r="H196" s="295"/>
      <c r="I196" s="297"/>
      <c r="J196" s="297"/>
    </row>
    <row r="197" ht="15.75" customHeight="1">
      <c r="A197" s="295"/>
      <c r="B197" s="295"/>
      <c r="C197" s="300"/>
      <c r="D197" s="295"/>
      <c r="E197" s="295"/>
      <c r="F197" s="295"/>
      <c r="G197" s="295"/>
      <c r="H197" s="295"/>
      <c r="I197" s="297"/>
      <c r="J197" s="297"/>
    </row>
    <row r="198" ht="15.75" customHeight="1">
      <c r="A198" s="295"/>
      <c r="B198" s="295"/>
      <c r="C198" s="300"/>
      <c r="D198" s="295"/>
      <c r="E198" s="295"/>
      <c r="F198" s="295"/>
      <c r="G198" s="295"/>
      <c r="H198" s="295"/>
      <c r="I198" s="297"/>
      <c r="J198" s="297"/>
    </row>
    <row r="199" ht="15.75" customHeight="1">
      <c r="A199" s="295"/>
      <c r="B199" s="295"/>
      <c r="C199" s="300"/>
      <c r="D199" s="295"/>
      <c r="E199" s="295"/>
      <c r="F199" s="295"/>
      <c r="G199" s="295"/>
      <c r="H199" s="295"/>
      <c r="I199" s="297"/>
      <c r="J199" s="297"/>
    </row>
    <row r="200" ht="15.75" customHeight="1">
      <c r="A200" s="295"/>
      <c r="B200" s="295"/>
      <c r="C200" s="300"/>
      <c r="D200" s="295"/>
      <c r="E200" s="295"/>
      <c r="F200" s="295"/>
      <c r="G200" s="295"/>
      <c r="H200" s="295"/>
      <c r="I200" s="297"/>
      <c r="J200" s="297"/>
    </row>
    <row r="201" ht="15.75" customHeight="1">
      <c r="A201" s="295"/>
      <c r="B201" s="295"/>
      <c r="C201" s="300"/>
      <c r="D201" s="295"/>
      <c r="E201" s="295"/>
      <c r="F201" s="295"/>
      <c r="G201" s="295"/>
      <c r="H201" s="295"/>
      <c r="I201" s="297"/>
      <c r="J201" s="297"/>
    </row>
    <row r="202" ht="15.75" customHeight="1">
      <c r="A202" s="295"/>
      <c r="B202" s="295"/>
      <c r="C202" s="300"/>
      <c r="D202" s="295"/>
      <c r="E202" s="295"/>
      <c r="F202" s="295"/>
      <c r="G202" s="295"/>
      <c r="H202" s="295"/>
      <c r="I202" s="297"/>
      <c r="J202" s="297"/>
    </row>
    <row r="203" ht="15.75" customHeight="1">
      <c r="A203" s="295"/>
      <c r="B203" s="295"/>
      <c r="C203" s="300"/>
      <c r="D203" s="295"/>
      <c r="E203" s="295"/>
      <c r="F203" s="295"/>
      <c r="G203" s="295"/>
      <c r="H203" s="295"/>
      <c r="I203" s="297"/>
      <c r="J203" s="297"/>
    </row>
    <row r="204" ht="15.75" customHeight="1">
      <c r="A204" s="295"/>
      <c r="B204" s="295"/>
      <c r="C204" s="300"/>
      <c r="D204" s="295"/>
      <c r="E204" s="295"/>
      <c r="F204" s="295"/>
      <c r="G204" s="295"/>
      <c r="H204" s="295"/>
      <c r="I204" s="297"/>
      <c r="J204" s="297"/>
    </row>
    <row r="205" ht="15.75" customHeight="1">
      <c r="A205" s="295"/>
      <c r="B205" s="295"/>
      <c r="C205" s="300"/>
      <c r="D205" s="295"/>
      <c r="E205" s="295"/>
      <c r="F205" s="295"/>
      <c r="G205" s="295"/>
      <c r="H205" s="295"/>
      <c r="I205" s="297"/>
      <c r="J205" s="297"/>
    </row>
    <row r="206" ht="15.75" customHeight="1">
      <c r="A206" s="295"/>
      <c r="B206" s="295"/>
      <c r="C206" s="300"/>
      <c r="D206" s="295"/>
      <c r="E206" s="295"/>
      <c r="F206" s="295"/>
      <c r="G206" s="295"/>
      <c r="H206" s="295"/>
      <c r="I206" s="297"/>
      <c r="J206" s="297"/>
    </row>
    <row r="207" ht="15.75" customHeight="1">
      <c r="A207" s="295"/>
      <c r="B207" s="295"/>
      <c r="C207" s="300"/>
      <c r="D207" s="295"/>
      <c r="E207" s="295"/>
      <c r="F207" s="295"/>
      <c r="G207" s="295"/>
      <c r="H207" s="295"/>
      <c r="I207" s="297"/>
      <c r="J207" s="297"/>
    </row>
    <row r="208" ht="15.75" customHeight="1">
      <c r="A208" s="295"/>
      <c r="B208" s="295"/>
      <c r="C208" s="300"/>
      <c r="D208" s="295"/>
      <c r="E208" s="295"/>
      <c r="F208" s="295"/>
      <c r="G208" s="295"/>
      <c r="H208" s="295"/>
      <c r="I208" s="297"/>
      <c r="J208" s="297"/>
    </row>
    <row r="209" ht="15.75" customHeight="1">
      <c r="A209" s="295"/>
      <c r="B209" s="295"/>
      <c r="C209" s="300"/>
      <c r="D209" s="295"/>
      <c r="E209" s="295"/>
      <c r="F209" s="295"/>
      <c r="G209" s="295"/>
      <c r="H209" s="295"/>
      <c r="I209" s="297"/>
      <c r="J209" s="297"/>
    </row>
    <row r="210" ht="15.75" customHeight="1">
      <c r="A210" s="295"/>
      <c r="B210" s="295"/>
      <c r="C210" s="300"/>
      <c r="D210" s="295"/>
      <c r="E210" s="295"/>
      <c r="F210" s="295"/>
      <c r="G210" s="295"/>
      <c r="H210" s="295"/>
      <c r="I210" s="297"/>
      <c r="J210" s="297"/>
    </row>
    <row r="211" ht="15.75" customHeight="1">
      <c r="A211" s="295"/>
      <c r="B211" s="295"/>
      <c r="C211" s="300"/>
      <c r="D211" s="295"/>
      <c r="E211" s="295"/>
      <c r="F211" s="295"/>
      <c r="G211" s="295"/>
      <c r="H211" s="295"/>
      <c r="I211" s="297"/>
      <c r="J211" s="297"/>
    </row>
    <row r="212" ht="15.75" customHeight="1">
      <c r="A212" s="295"/>
      <c r="B212" s="295"/>
      <c r="C212" s="300"/>
      <c r="D212" s="295"/>
      <c r="E212" s="295"/>
      <c r="F212" s="295"/>
      <c r="G212" s="295"/>
      <c r="H212" s="295"/>
      <c r="I212" s="297"/>
      <c r="J212" s="297"/>
    </row>
    <row r="213" ht="15.75" customHeight="1">
      <c r="A213" s="295"/>
      <c r="B213" s="295"/>
      <c r="C213" s="300"/>
      <c r="D213" s="295"/>
      <c r="E213" s="295"/>
      <c r="F213" s="295"/>
      <c r="G213" s="295"/>
      <c r="H213" s="295"/>
      <c r="I213" s="297"/>
      <c r="J213" s="297"/>
    </row>
    <row r="214" ht="15.75" customHeight="1">
      <c r="A214" s="295"/>
      <c r="B214" s="295"/>
      <c r="C214" s="300"/>
      <c r="D214" s="295"/>
      <c r="E214" s="295"/>
      <c r="F214" s="295"/>
      <c r="G214" s="295"/>
      <c r="H214" s="295"/>
      <c r="I214" s="297"/>
      <c r="J214" s="297"/>
    </row>
    <row r="215" ht="15.75" customHeight="1">
      <c r="A215" s="295"/>
      <c r="B215" s="295"/>
      <c r="C215" s="300"/>
      <c r="D215" s="295"/>
      <c r="E215" s="295"/>
      <c r="F215" s="295"/>
      <c r="G215" s="295"/>
      <c r="H215" s="295"/>
      <c r="I215" s="297"/>
      <c r="J215" s="297"/>
    </row>
    <row r="216" ht="15.75" customHeight="1">
      <c r="A216" s="295"/>
      <c r="B216" s="295"/>
      <c r="C216" s="300"/>
      <c r="D216" s="295"/>
      <c r="E216" s="295"/>
      <c r="F216" s="295"/>
      <c r="G216" s="295"/>
      <c r="H216" s="295"/>
      <c r="I216" s="297"/>
      <c r="J216" s="297"/>
    </row>
    <row r="217" ht="15.75" customHeight="1">
      <c r="A217" s="295"/>
      <c r="B217" s="295"/>
      <c r="C217" s="300"/>
      <c r="D217" s="295"/>
      <c r="E217" s="295"/>
      <c r="F217" s="295"/>
      <c r="G217" s="295"/>
      <c r="H217" s="295"/>
      <c r="I217" s="297"/>
      <c r="J217" s="297"/>
    </row>
    <row r="218" ht="15.75" customHeight="1">
      <c r="A218" s="295"/>
      <c r="B218" s="295"/>
      <c r="C218" s="300"/>
      <c r="D218" s="295"/>
      <c r="E218" s="295"/>
      <c r="F218" s="295"/>
      <c r="G218" s="295"/>
      <c r="H218" s="295"/>
      <c r="I218" s="297"/>
      <c r="J218" s="297"/>
    </row>
    <row r="219" ht="15.75" customHeight="1">
      <c r="A219" s="295"/>
      <c r="B219" s="295"/>
      <c r="C219" s="300"/>
      <c r="D219" s="295"/>
      <c r="E219" s="295"/>
      <c r="F219" s="295"/>
      <c r="G219" s="295"/>
      <c r="H219" s="295"/>
      <c r="I219" s="297"/>
      <c r="J219" s="297"/>
    </row>
    <row r="220" ht="15.75" customHeight="1">
      <c r="A220" s="295"/>
      <c r="B220" s="295"/>
      <c r="C220" s="300"/>
      <c r="D220" s="295"/>
      <c r="E220" s="295"/>
      <c r="F220" s="295"/>
      <c r="G220" s="295"/>
      <c r="H220" s="295"/>
      <c r="I220" s="297"/>
      <c r="J220" s="297"/>
    </row>
    <row r="221" ht="15.75" customHeight="1">
      <c r="A221" s="295"/>
      <c r="B221" s="295"/>
      <c r="C221" s="300"/>
      <c r="D221" s="295"/>
      <c r="E221" s="295"/>
      <c r="F221" s="295"/>
      <c r="G221" s="295"/>
      <c r="H221" s="295"/>
      <c r="I221" s="297"/>
      <c r="J221" s="297"/>
    </row>
    <row r="222" ht="15.75" customHeight="1">
      <c r="A222" s="295"/>
      <c r="B222" s="295"/>
      <c r="C222" s="300"/>
      <c r="D222" s="295"/>
      <c r="E222" s="295"/>
      <c r="F222" s="295"/>
      <c r="G222" s="295"/>
      <c r="H222" s="295"/>
      <c r="I222" s="297"/>
      <c r="J222" s="297"/>
    </row>
    <row r="223" ht="15.75" customHeight="1">
      <c r="A223" s="295"/>
      <c r="B223" s="295"/>
      <c r="C223" s="300"/>
      <c r="D223" s="295"/>
      <c r="E223" s="295"/>
      <c r="F223" s="295"/>
      <c r="G223" s="295"/>
      <c r="H223" s="295"/>
      <c r="I223" s="297"/>
      <c r="J223" s="297"/>
    </row>
    <row r="224" ht="15.75" customHeight="1">
      <c r="A224" s="295"/>
      <c r="B224" s="295"/>
      <c r="C224" s="300"/>
      <c r="D224" s="295"/>
      <c r="E224" s="295"/>
      <c r="F224" s="295"/>
      <c r="G224" s="295"/>
      <c r="H224" s="295"/>
      <c r="I224" s="297"/>
      <c r="J224" s="297"/>
    </row>
    <row r="225" ht="15.75" customHeight="1">
      <c r="A225" s="295"/>
      <c r="B225" s="295"/>
      <c r="C225" s="300"/>
      <c r="D225" s="295"/>
      <c r="E225" s="295"/>
      <c r="F225" s="295"/>
      <c r="G225" s="295"/>
      <c r="H225" s="295"/>
      <c r="I225" s="297"/>
      <c r="J225" s="297"/>
    </row>
    <row r="226" ht="15.75" customHeight="1">
      <c r="A226" s="295"/>
      <c r="B226" s="295"/>
      <c r="C226" s="300"/>
      <c r="D226" s="295"/>
      <c r="E226" s="295"/>
      <c r="F226" s="295"/>
      <c r="G226" s="295"/>
      <c r="H226" s="295"/>
      <c r="I226" s="297"/>
      <c r="J226" s="297"/>
    </row>
    <row r="227" ht="15.75" customHeight="1">
      <c r="A227" s="295"/>
      <c r="B227" s="295"/>
      <c r="C227" s="300"/>
      <c r="D227" s="295"/>
      <c r="E227" s="295"/>
      <c r="F227" s="295"/>
      <c r="G227" s="295"/>
      <c r="H227" s="295"/>
      <c r="I227" s="297"/>
      <c r="J227" s="297"/>
    </row>
    <row r="228" ht="15.75" customHeight="1">
      <c r="A228" s="295"/>
      <c r="B228" s="295"/>
      <c r="C228" s="300"/>
      <c r="D228" s="295"/>
      <c r="E228" s="295"/>
      <c r="F228" s="295"/>
      <c r="G228" s="295"/>
      <c r="H228" s="295"/>
      <c r="I228" s="297"/>
      <c r="J228" s="297"/>
    </row>
    <row r="229" ht="15.75" customHeight="1">
      <c r="A229" s="295"/>
      <c r="B229" s="295"/>
      <c r="C229" s="300"/>
      <c r="D229" s="295"/>
      <c r="E229" s="295"/>
      <c r="F229" s="295"/>
      <c r="G229" s="295"/>
      <c r="H229" s="295"/>
      <c r="I229" s="297"/>
      <c r="J229" s="297"/>
    </row>
    <row r="230" ht="15.75" customHeight="1">
      <c r="A230" s="295"/>
      <c r="B230" s="295"/>
      <c r="C230" s="300"/>
      <c r="D230" s="295"/>
      <c r="E230" s="295"/>
      <c r="F230" s="295"/>
      <c r="G230" s="295"/>
      <c r="H230" s="295"/>
      <c r="I230" s="297"/>
      <c r="J230" s="297"/>
    </row>
    <row r="231" ht="15.75" customHeight="1">
      <c r="A231" s="295"/>
      <c r="B231" s="295"/>
      <c r="C231" s="300"/>
      <c r="D231" s="295"/>
      <c r="E231" s="295"/>
      <c r="F231" s="295"/>
      <c r="G231" s="295"/>
      <c r="H231" s="295"/>
      <c r="I231" s="297"/>
      <c r="J231" s="297"/>
    </row>
    <row r="232" ht="15.75" customHeight="1">
      <c r="A232" s="295"/>
      <c r="B232" s="295"/>
      <c r="C232" s="300"/>
      <c r="D232" s="295"/>
      <c r="E232" s="295"/>
      <c r="F232" s="295"/>
      <c r="G232" s="295"/>
      <c r="H232" s="295"/>
      <c r="I232" s="297"/>
      <c r="J232" s="297"/>
    </row>
    <row r="233" ht="15.75" customHeight="1">
      <c r="A233" s="295"/>
      <c r="B233" s="295"/>
      <c r="C233" s="300"/>
      <c r="D233" s="295"/>
      <c r="E233" s="295"/>
      <c r="F233" s="295"/>
      <c r="G233" s="295"/>
      <c r="H233" s="295"/>
      <c r="I233" s="297"/>
      <c r="J233" s="297"/>
    </row>
    <row r="234" ht="15.75" customHeight="1">
      <c r="A234" s="295"/>
      <c r="B234" s="295"/>
      <c r="C234" s="300"/>
      <c r="D234" s="295"/>
      <c r="E234" s="295"/>
      <c r="F234" s="295"/>
      <c r="G234" s="295"/>
      <c r="H234" s="295"/>
      <c r="I234" s="297"/>
      <c r="J234" s="297"/>
    </row>
    <row r="235" ht="15.75" customHeight="1">
      <c r="A235" s="295"/>
      <c r="B235" s="295"/>
      <c r="C235" s="300"/>
      <c r="D235" s="295"/>
      <c r="E235" s="295"/>
      <c r="F235" s="295"/>
      <c r="G235" s="295"/>
      <c r="H235" s="295"/>
      <c r="I235" s="297"/>
      <c r="J235" s="297"/>
    </row>
    <row r="236" ht="15.75" customHeight="1">
      <c r="A236" s="295"/>
      <c r="B236" s="295"/>
      <c r="C236" s="300"/>
      <c r="D236" s="295"/>
      <c r="E236" s="295"/>
      <c r="F236" s="295"/>
      <c r="G236" s="295"/>
      <c r="H236" s="295"/>
      <c r="I236" s="297"/>
      <c r="J236" s="297"/>
    </row>
    <row r="237" ht="15.75" customHeight="1">
      <c r="A237" s="295"/>
      <c r="B237" s="295"/>
      <c r="C237" s="300"/>
      <c r="D237" s="295"/>
      <c r="E237" s="295"/>
      <c r="F237" s="295"/>
      <c r="G237" s="295"/>
      <c r="H237" s="295"/>
      <c r="I237" s="297"/>
      <c r="J237" s="297"/>
    </row>
    <row r="238" ht="15.75" customHeight="1">
      <c r="A238" s="295"/>
      <c r="B238" s="295"/>
      <c r="C238" s="300"/>
      <c r="D238" s="295"/>
      <c r="E238" s="295"/>
      <c r="F238" s="295"/>
      <c r="G238" s="295"/>
      <c r="H238" s="295"/>
      <c r="I238" s="297"/>
      <c r="J238" s="29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</cols>
  <sheetData>
    <row r="1" ht="15.75" customHeight="1">
      <c r="A1" s="285" t="s">
        <v>143</v>
      </c>
      <c r="B1" s="285" t="s">
        <v>144</v>
      </c>
      <c r="C1" s="286" t="s">
        <v>145</v>
      </c>
      <c r="D1" s="285" t="s">
        <v>146</v>
      </c>
      <c r="E1" s="285" t="s">
        <v>147</v>
      </c>
      <c r="F1" s="285" t="s">
        <v>244</v>
      </c>
      <c r="G1" s="285" t="s">
        <v>149</v>
      </c>
      <c r="H1" s="285" t="s">
        <v>245</v>
      </c>
      <c r="I1" s="287" t="s">
        <v>96</v>
      </c>
      <c r="J1" s="287" t="s">
        <v>68</v>
      </c>
    </row>
    <row r="2" ht="15.75" customHeight="1">
      <c r="A2" s="288">
        <v>44410.0</v>
      </c>
      <c r="B2" s="289"/>
      <c r="C2" s="290"/>
      <c r="D2" s="291"/>
      <c r="E2" s="291"/>
      <c r="F2" s="290" t="str">
        <f t="shared" ref="F2:F36" si="1">E2/D2</f>
        <v>#DIV/0!</v>
      </c>
      <c r="G2" s="291"/>
      <c r="H2" s="290" t="str">
        <f t="shared" ref="H2:H36" si="2">G2/E2</f>
        <v>#DIV/0!</v>
      </c>
      <c r="I2" s="292" t="str">
        <f t="shared" ref="I2:I36" si="3">J2/G2</f>
        <v>#DIV/0!</v>
      </c>
      <c r="J2" s="293"/>
    </row>
    <row r="3" ht="15.75" customHeight="1">
      <c r="A3" s="288">
        <v>44411.0</v>
      </c>
      <c r="B3" s="289"/>
      <c r="C3" s="290"/>
      <c r="D3" s="291"/>
      <c r="E3" s="291"/>
      <c r="F3" s="290" t="str">
        <f t="shared" si="1"/>
        <v>#DIV/0!</v>
      </c>
      <c r="G3" s="291"/>
      <c r="H3" s="290" t="str">
        <f t="shared" si="2"/>
        <v>#DIV/0!</v>
      </c>
      <c r="I3" s="292" t="str">
        <f t="shared" si="3"/>
        <v>#DIV/0!</v>
      </c>
      <c r="J3" s="293"/>
    </row>
    <row r="4" ht="15.75" customHeight="1">
      <c r="A4" s="288">
        <v>44412.0</v>
      </c>
      <c r="B4" s="291"/>
      <c r="C4" s="290"/>
      <c r="D4" s="291"/>
      <c r="E4" s="291"/>
      <c r="F4" s="290" t="str">
        <f t="shared" si="1"/>
        <v>#DIV/0!</v>
      </c>
      <c r="G4" s="291"/>
      <c r="H4" s="290" t="str">
        <f t="shared" si="2"/>
        <v>#DIV/0!</v>
      </c>
      <c r="I4" s="292" t="str">
        <f t="shared" si="3"/>
        <v>#DIV/0!</v>
      </c>
      <c r="J4" s="293"/>
    </row>
    <row r="5" ht="15.75" customHeight="1">
      <c r="A5" s="288">
        <v>44413.0</v>
      </c>
      <c r="B5" s="291"/>
      <c r="C5" s="290"/>
      <c r="D5" s="291"/>
      <c r="E5" s="291"/>
      <c r="F5" s="290" t="str">
        <f t="shared" si="1"/>
        <v>#DIV/0!</v>
      </c>
      <c r="G5" s="291"/>
      <c r="H5" s="290" t="str">
        <f t="shared" si="2"/>
        <v>#DIV/0!</v>
      </c>
      <c r="I5" s="292" t="str">
        <f t="shared" si="3"/>
        <v>#DIV/0!</v>
      </c>
      <c r="J5" s="293"/>
    </row>
    <row r="6" ht="15.75" customHeight="1">
      <c r="A6" s="288">
        <v>44414.0</v>
      </c>
      <c r="B6" s="291"/>
      <c r="C6" s="290"/>
      <c r="D6" s="291"/>
      <c r="E6" s="291"/>
      <c r="F6" s="290" t="str">
        <f t="shared" si="1"/>
        <v>#DIV/0!</v>
      </c>
      <c r="G6" s="291"/>
      <c r="H6" s="290" t="str">
        <f t="shared" si="2"/>
        <v>#DIV/0!</v>
      </c>
      <c r="I6" s="292" t="str">
        <f t="shared" si="3"/>
        <v>#DIV/0!</v>
      </c>
      <c r="J6" s="293"/>
    </row>
    <row r="7" ht="15.75" customHeight="1">
      <c r="A7" s="288">
        <v>44415.0</v>
      </c>
      <c r="B7" s="291"/>
      <c r="C7" s="290"/>
      <c r="D7" s="291"/>
      <c r="E7" s="291"/>
      <c r="F7" s="290" t="str">
        <f t="shared" si="1"/>
        <v>#DIV/0!</v>
      </c>
      <c r="G7" s="291"/>
      <c r="H7" s="290" t="str">
        <f t="shared" si="2"/>
        <v>#DIV/0!</v>
      </c>
      <c r="I7" s="292" t="str">
        <f t="shared" si="3"/>
        <v>#DIV/0!</v>
      </c>
      <c r="J7" s="293"/>
    </row>
    <row r="8" ht="15.75" customHeight="1">
      <c r="A8" s="288">
        <v>44416.0</v>
      </c>
      <c r="B8" s="291"/>
      <c r="C8" s="290"/>
      <c r="D8" s="291"/>
      <c r="E8" s="291"/>
      <c r="F8" s="290" t="str">
        <f t="shared" si="1"/>
        <v>#DIV/0!</v>
      </c>
      <c r="G8" s="291"/>
      <c r="H8" s="290" t="str">
        <f t="shared" si="2"/>
        <v>#DIV/0!</v>
      </c>
      <c r="I8" s="292" t="str">
        <f t="shared" si="3"/>
        <v>#DIV/0!</v>
      </c>
      <c r="J8" s="293"/>
    </row>
    <row r="9" ht="15.75" customHeight="1">
      <c r="A9" s="288">
        <v>44417.0</v>
      </c>
      <c r="B9" s="291"/>
      <c r="C9" s="290"/>
      <c r="D9" s="291"/>
      <c r="E9" s="291"/>
      <c r="F9" s="290" t="str">
        <f t="shared" si="1"/>
        <v>#DIV/0!</v>
      </c>
      <c r="G9" s="291"/>
      <c r="H9" s="290" t="str">
        <f t="shared" si="2"/>
        <v>#DIV/0!</v>
      </c>
      <c r="I9" s="292" t="str">
        <f t="shared" si="3"/>
        <v>#DIV/0!</v>
      </c>
      <c r="J9" s="293"/>
    </row>
    <row r="10" ht="15.75" customHeight="1">
      <c r="A10" s="288">
        <v>44418.0</v>
      </c>
      <c r="B10" s="291"/>
      <c r="C10" s="290"/>
      <c r="D10" s="291"/>
      <c r="E10" s="291"/>
      <c r="F10" s="290" t="str">
        <f t="shared" si="1"/>
        <v>#DIV/0!</v>
      </c>
      <c r="G10" s="291"/>
      <c r="H10" s="290" t="str">
        <f t="shared" si="2"/>
        <v>#DIV/0!</v>
      </c>
      <c r="I10" s="292" t="str">
        <f t="shared" si="3"/>
        <v>#DIV/0!</v>
      </c>
      <c r="J10" s="293"/>
    </row>
    <row r="11" ht="15.75" customHeight="1">
      <c r="A11" s="288">
        <v>44419.0</v>
      </c>
      <c r="B11" s="291"/>
      <c r="C11" s="290"/>
      <c r="D11" s="291"/>
      <c r="E11" s="291"/>
      <c r="F11" s="290" t="str">
        <f t="shared" si="1"/>
        <v>#DIV/0!</v>
      </c>
      <c r="G11" s="291"/>
      <c r="H11" s="290" t="str">
        <f t="shared" si="2"/>
        <v>#DIV/0!</v>
      </c>
      <c r="I11" s="292" t="str">
        <f t="shared" si="3"/>
        <v>#DIV/0!</v>
      </c>
      <c r="J11" s="293"/>
    </row>
    <row r="12" ht="15.75" customHeight="1">
      <c r="A12" s="288">
        <v>44420.0</v>
      </c>
      <c r="B12" s="291"/>
      <c r="C12" s="290"/>
      <c r="D12" s="291"/>
      <c r="E12" s="291"/>
      <c r="F12" s="290" t="str">
        <f t="shared" si="1"/>
        <v>#DIV/0!</v>
      </c>
      <c r="G12" s="291"/>
      <c r="H12" s="290" t="str">
        <f t="shared" si="2"/>
        <v>#DIV/0!</v>
      </c>
      <c r="I12" s="292" t="str">
        <f t="shared" si="3"/>
        <v>#DIV/0!</v>
      </c>
      <c r="J12" s="293"/>
    </row>
    <row r="13" ht="15.75" customHeight="1">
      <c r="A13" s="288">
        <v>44421.0</v>
      </c>
      <c r="B13" s="291"/>
      <c r="C13" s="290"/>
      <c r="D13" s="291"/>
      <c r="E13" s="291"/>
      <c r="F13" s="290" t="str">
        <f t="shared" si="1"/>
        <v>#DIV/0!</v>
      </c>
      <c r="G13" s="291"/>
      <c r="H13" s="290" t="str">
        <f t="shared" si="2"/>
        <v>#DIV/0!</v>
      </c>
      <c r="I13" s="292" t="str">
        <f t="shared" si="3"/>
        <v>#DIV/0!</v>
      </c>
      <c r="J13" s="293"/>
    </row>
    <row r="14" ht="15.75" customHeight="1">
      <c r="A14" s="288">
        <v>44422.0</v>
      </c>
      <c r="B14" s="291"/>
      <c r="C14" s="290"/>
      <c r="D14" s="291"/>
      <c r="E14" s="291"/>
      <c r="F14" s="290" t="str">
        <f t="shared" si="1"/>
        <v>#DIV/0!</v>
      </c>
      <c r="G14" s="291"/>
      <c r="H14" s="290" t="str">
        <f t="shared" si="2"/>
        <v>#DIV/0!</v>
      </c>
      <c r="I14" s="292" t="str">
        <f t="shared" si="3"/>
        <v>#DIV/0!</v>
      </c>
      <c r="J14" s="293"/>
    </row>
    <row r="15" ht="15.75" customHeight="1">
      <c r="A15" s="288">
        <v>44423.0</v>
      </c>
      <c r="B15" s="291"/>
      <c r="C15" s="290"/>
      <c r="D15" s="291"/>
      <c r="E15" s="291"/>
      <c r="F15" s="290" t="str">
        <f t="shared" si="1"/>
        <v>#DIV/0!</v>
      </c>
      <c r="G15" s="291"/>
      <c r="H15" s="290" t="str">
        <f t="shared" si="2"/>
        <v>#DIV/0!</v>
      </c>
      <c r="I15" s="292" t="str">
        <f t="shared" si="3"/>
        <v>#DIV/0!</v>
      </c>
      <c r="J15" s="293"/>
    </row>
    <row r="16" ht="15.75" customHeight="1">
      <c r="A16" s="288">
        <v>44424.0</v>
      </c>
      <c r="B16" s="291"/>
      <c r="C16" s="290"/>
      <c r="D16" s="291"/>
      <c r="E16" s="291"/>
      <c r="F16" s="290" t="str">
        <f t="shared" si="1"/>
        <v>#DIV/0!</v>
      </c>
      <c r="G16" s="291"/>
      <c r="H16" s="290" t="str">
        <f t="shared" si="2"/>
        <v>#DIV/0!</v>
      </c>
      <c r="I16" s="292" t="str">
        <f t="shared" si="3"/>
        <v>#DIV/0!</v>
      </c>
      <c r="J16" s="293"/>
    </row>
    <row r="17" ht="15.75" customHeight="1">
      <c r="A17" s="288">
        <v>44425.0</v>
      </c>
      <c r="B17" s="291"/>
      <c r="C17" s="290"/>
      <c r="D17" s="291"/>
      <c r="E17" s="291"/>
      <c r="F17" s="290" t="str">
        <f t="shared" si="1"/>
        <v>#DIV/0!</v>
      </c>
      <c r="G17" s="291"/>
      <c r="H17" s="290" t="str">
        <f t="shared" si="2"/>
        <v>#DIV/0!</v>
      </c>
      <c r="I17" s="292" t="str">
        <f t="shared" si="3"/>
        <v>#DIV/0!</v>
      </c>
      <c r="J17" s="293"/>
    </row>
    <row r="18" ht="15.75" customHeight="1">
      <c r="A18" s="288">
        <v>44426.0</v>
      </c>
      <c r="B18" s="291"/>
      <c r="C18" s="290"/>
      <c r="D18" s="291"/>
      <c r="E18" s="291"/>
      <c r="F18" s="290" t="str">
        <f t="shared" si="1"/>
        <v>#DIV/0!</v>
      </c>
      <c r="G18" s="291"/>
      <c r="H18" s="290" t="str">
        <f t="shared" si="2"/>
        <v>#DIV/0!</v>
      </c>
      <c r="I18" s="292" t="str">
        <f t="shared" si="3"/>
        <v>#DIV/0!</v>
      </c>
      <c r="J18" s="293"/>
    </row>
    <row r="19" ht="15.75" customHeight="1">
      <c r="A19" s="288">
        <v>44427.0</v>
      </c>
      <c r="B19" s="291"/>
      <c r="C19" s="290"/>
      <c r="D19" s="291"/>
      <c r="E19" s="291"/>
      <c r="F19" s="290" t="str">
        <f t="shared" si="1"/>
        <v>#DIV/0!</v>
      </c>
      <c r="G19" s="291"/>
      <c r="H19" s="290" t="str">
        <f t="shared" si="2"/>
        <v>#DIV/0!</v>
      </c>
      <c r="I19" s="292" t="str">
        <f t="shared" si="3"/>
        <v>#DIV/0!</v>
      </c>
      <c r="J19" s="293"/>
    </row>
    <row r="20" ht="15.75" customHeight="1">
      <c r="A20" s="288">
        <v>44428.0</v>
      </c>
      <c r="B20" s="291"/>
      <c r="C20" s="290"/>
      <c r="D20" s="291"/>
      <c r="E20" s="291"/>
      <c r="F20" s="290" t="str">
        <f t="shared" si="1"/>
        <v>#DIV/0!</v>
      </c>
      <c r="G20" s="291"/>
      <c r="H20" s="290" t="str">
        <f t="shared" si="2"/>
        <v>#DIV/0!</v>
      </c>
      <c r="I20" s="292" t="str">
        <f t="shared" si="3"/>
        <v>#DIV/0!</v>
      </c>
      <c r="J20" s="293"/>
    </row>
    <row r="21" ht="15.75" customHeight="1">
      <c r="A21" s="288">
        <v>44429.0</v>
      </c>
      <c r="B21" s="291"/>
      <c r="C21" s="290"/>
      <c r="D21" s="291"/>
      <c r="E21" s="291"/>
      <c r="F21" s="290" t="str">
        <f t="shared" si="1"/>
        <v>#DIV/0!</v>
      </c>
      <c r="G21" s="291"/>
      <c r="H21" s="290" t="str">
        <f t="shared" si="2"/>
        <v>#DIV/0!</v>
      </c>
      <c r="I21" s="292" t="str">
        <f t="shared" si="3"/>
        <v>#DIV/0!</v>
      </c>
      <c r="J21" s="293"/>
    </row>
    <row r="22" ht="15.75" customHeight="1">
      <c r="A22" s="288">
        <v>44430.0</v>
      </c>
      <c r="B22" s="291"/>
      <c r="C22" s="290"/>
      <c r="D22" s="291"/>
      <c r="E22" s="291"/>
      <c r="F22" s="290" t="str">
        <f t="shared" si="1"/>
        <v>#DIV/0!</v>
      </c>
      <c r="G22" s="291"/>
      <c r="H22" s="290" t="str">
        <f t="shared" si="2"/>
        <v>#DIV/0!</v>
      </c>
      <c r="I22" s="292" t="str">
        <f t="shared" si="3"/>
        <v>#DIV/0!</v>
      </c>
      <c r="J22" s="293"/>
    </row>
    <row r="23" ht="15.75" customHeight="1">
      <c r="A23" s="288">
        <v>44431.0</v>
      </c>
      <c r="B23" s="291"/>
      <c r="C23" s="290"/>
      <c r="D23" s="291"/>
      <c r="E23" s="291"/>
      <c r="F23" s="290" t="str">
        <f t="shared" si="1"/>
        <v>#DIV/0!</v>
      </c>
      <c r="G23" s="291"/>
      <c r="H23" s="290" t="str">
        <f t="shared" si="2"/>
        <v>#DIV/0!</v>
      </c>
      <c r="I23" s="292" t="str">
        <f t="shared" si="3"/>
        <v>#DIV/0!</v>
      </c>
      <c r="J23" s="293"/>
    </row>
    <row r="24" ht="15.75" customHeight="1">
      <c r="A24" s="288">
        <v>44432.0</v>
      </c>
      <c r="B24" s="291"/>
      <c r="C24" s="290"/>
      <c r="D24" s="291"/>
      <c r="E24" s="291"/>
      <c r="F24" s="290" t="str">
        <f t="shared" si="1"/>
        <v>#DIV/0!</v>
      </c>
      <c r="G24" s="291"/>
      <c r="H24" s="290" t="str">
        <f t="shared" si="2"/>
        <v>#DIV/0!</v>
      </c>
      <c r="I24" s="292" t="str">
        <f t="shared" si="3"/>
        <v>#DIV/0!</v>
      </c>
      <c r="J24" s="293"/>
    </row>
    <row r="25" ht="15.75" customHeight="1">
      <c r="A25" s="288">
        <v>44433.0</v>
      </c>
      <c r="B25" s="291"/>
      <c r="C25" s="290"/>
      <c r="D25" s="291"/>
      <c r="E25" s="291"/>
      <c r="F25" s="290" t="str">
        <f t="shared" si="1"/>
        <v>#DIV/0!</v>
      </c>
      <c r="G25" s="291"/>
      <c r="H25" s="290" t="str">
        <f t="shared" si="2"/>
        <v>#DIV/0!</v>
      </c>
      <c r="I25" s="292" t="str">
        <f t="shared" si="3"/>
        <v>#DIV/0!</v>
      </c>
      <c r="J25" s="293"/>
    </row>
    <row r="26" ht="15.75" customHeight="1">
      <c r="A26" s="288">
        <v>44434.0</v>
      </c>
      <c r="B26" s="291"/>
      <c r="C26" s="290"/>
      <c r="D26" s="291"/>
      <c r="E26" s="291"/>
      <c r="F26" s="290" t="str">
        <f t="shared" si="1"/>
        <v>#DIV/0!</v>
      </c>
      <c r="G26" s="291"/>
      <c r="H26" s="290" t="str">
        <f t="shared" si="2"/>
        <v>#DIV/0!</v>
      </c>
      <c r="I26" s="292" t="str">
        <f t="shared" si="3"/>
        <v>#DIV/0!</v>
      </c>
      <c r="J26" s="293"/>
    </row>
    <row r="27" ht="15.75" customHeight="1">
      <c r="A27" s="288">
        <v>44435.0</v>
      </c>
      <c r="B27" s="291"/>
      <c r="C27" s="290"/>
      <c r="D27" s="291"/>
      <c r="E27" s="291"/>
      <c r="F27" s="290" t="str">
        <f t="shared" si="1"/>
        <v>#DIV/0!</v>
      </c>
      <c r="G27" s="291"/>
      <c r="H27" s="290" t="str">
        <f t="shared" si="2"/>
        <v>#DIV/0!</v>
      </c>
      <c r="I27" s="292" t="str">
        <f t="shared" si="3"/>
        <v>#DIV/0!</v>
      </c>
      <c r="J27" s="293"/>
    </row>
    <row r="28" ht="15.75" customHeight="1">
      <c r="A28" s="288">
        <v>44436.0</v>
      </c>
      <c r="B28" s="291"/>
      <c r="C28" s="290"/>
      <c r="D28" s="291"/>
      <c r="E28" s="291"/>
      <c r="F28" s="290" t="str">
        <f t="shared" si="1"/>
        <v>#DIV/0!</v>
      </c>
      <c r="G28" s="291"/>
      <c r="H28" s="290" t="str">
        <f t="shared" si="2"/>
        <v>#DIV/0!</v>
      </c>
      <c r="I28" s="292" t="str">
        <f t="shared" si="3"/>
        <v>#DIV/0!</v>
      </c>
      <c r="J28" s="293"/>
    </row>
    <row r="29" ht="15.75" customHeight="1">
      <c r="A29" s="288">
        <v>44437.0</v>
      </c>
      <c r="B29" s="291"/>
      <c r="C29" s="290"/>
      <c r="D29" s="291"/>
      <c r="E29" s="291"/>
      <c r="F29" s="290" t="str">
        <f t="shared" si="1"/>
        <v>#DIV/0!</v>
      </c>
      <c r="G29" s="291"/>
      <c r="H29" s="290" t="str">
        <f t="shared" si="2"/>
        <v>#DIV/0!</v>
      </c>
      <c r="I29" s="292" t="str">
        <f t="shared" si="3"/>
        <v>#DIV/0!</v>
      </c>
      <c r="J29" s="293"/>
    </row>
    <row r="30" ht="15.75" customHeight="1">
      <c r="A30" s="288">
        <v>44438.0</v>
      </c>
      <c r="B30" s="291"/>
      <c r="C30" s="290"/>
      <c r="D30" s="291"/>
      <c r="E30" s="291"/>
      <c r="F30" s="290" t="str">
        <f t="shared" si="1"/>
        <v>#DIV/0!</v>
      </c>
      <c r="G30" s="291"/>
      <c r="H30" s="290" t="str">
        <f t="shared" si="2"/>
        <v>#DIV/0!</v>
      </c>
      <c r="I30" s="292" t="str">
        <f t="shared" si="3"/>
        <v>#DIV/0!</v>
      </c>
      <c r="J30" s="293"/>
    </row>
    <row r="31" ht="15.75" customHeight="1">
      <c r="A31" s="288">
        <v>44439.0</v>
      </c>
      <c r="B31" s="291"/>
      <c r="C31" s="290"/>
      <c r="D31" s="291"/>
      <c r="E31" s="291"/>
      <c r="F31" s="290" t="str">
        <f t="shared" si="1"/>
        <v>#DIV/0!</v>
      </c>
      <c r="G31" s="291"/>
      <c r="H31" s="290" t="str">
        <f t="shared" si="2"/>
        <v>#DIV/0!</v>
      </c>
      <c r="I31" s="292" t="str">
        <f t="shared" si="3"/>
        <v>#DIV/0!</v>
      </c>
      <c r="J31" s="293"/>
    </row>
    <row r="32" ht="15.75" customHeight="1">
      <c r="A32" s="288">
        <v>44440.0</v>
      </c>
      <c r="B32" s="291"/>
      <c r="C32" s="290"/>
      <c r="D32" s="291"/>
      <c r="E32" s="291"/>
      <c r="F32" s="290" t="str">
        <f t="shared" si="1"/>
        <v>#DIV/0!</v>
      </c>
      <c r="G32" s="291"/>
      <c r="H32" s="290" t="str">
        <f t="shared" si="2"/>
        <v>#DIV/0!</v>
      </c>
      <c r="I32" s="292" t="str">
        <f t="shared" si="3"/>
        <v>#DIV/0!</v>
      </c>
      <c r="J32" s="293"/>
    </row>
    <row r="33" ht="15.75" customHeight="1">
      <c r="A33" s="288">
        <v>44441.0</v>
      </c>
      <c r="B33" s="291"/>
      <c r="C33" s="290"/>
      <c r="D33" s="291"/>
      <c r="E33" s="291"/>
      <c r="F33" s="290" t="str">
        <f t="shared" si="1"/>
        <v>#DIV/0!</v>
      </c>
      <c r="G33" s="291"/>
      <c r="H33" s="290" t="str">
        <f t="shared" si="2"/>
        <v>#DIV/0!</v>
      </c>
      <c r="I33" s="292" t="str">
        <f t="shared" si="3"/>
        <v>#DIV/0!</v>
      </c>
      <c r="J33" s="293"/>
    </row>
    <row r="34" ht="15.75" customHeight="1">
      <c r="A34" s="288">
        <v>44442.0</v>
      </c>
      <c r="B34" s="291"/>
      <c r="C34" s="290"/>
      <c r="D34" s="291"/>
      <c r="E34" s="291"/>
      <c r="F34" s="290" t="str">
        <f t="shared" si="1"/>
        <v>#DIV/0!</v>
      </c>
      <c r="G34" s="291"/>
      <c r="H34" s="290" t="str">
        <f t="shared" si="2"/>
        <v>#DIV/0!</v>
      </c>
      <c r="I34" s="292" t="str">
        <f t="shared" si="3"/>
        <v>#DIV/0!</v>
      </c>
      <c r="J34" s="293"/>
    </row>
    <row r="35" ht="15.75" customHeight="1">
      <c r="A35" s="288">
        <v>44443.0</v>
      </c>
      <c r="B35" s="291"/>
      <c r="C35" s="290"/>
      <c r="D35" s="291"/>
      <c r="E35" s="291"/>
      <c r="F35" s="290" t="str">
        <f t="shared" si="1"/>
        <v>#DIV/0!</v>
      </c>
      <c r="G35" s="291"/>
      <c r="H35" s="290" t="str">
        <f t="shared" si="2"/>
        <v>#DIV/0!</v>
      </c>
      <c r="I35" s="292" t="str">
        <f t="shared" si="3"/>
        <v>#DIV/0!</v>
      </c>
      <c r="J35" s="293"/>
    </row>
    <row r="36" ht="15.75" customHeight="1">
      <c r="A36" s="288">
        <v>44444.0</v>
      </c>
      <c r="B36" s="291"/>
      <c r="C36" s="290"/>
      <c r="D36" s="291"/>
      <c r="E36" s="291"/>
      <c r="F36" s="290" t="str">
        <f t="shared" si="1"/>
        <v>#DIV/0!</v>
      </c>
      <c r="G36" s="291"/>
      <c r="H36" s="290" t="str">
        <f t="shared" si="2"/>
        <v>#DIV/0!</v>
      </c>
      <c r="I36" s="292" t="str">
        <f t="shared" si="3"/>
        <v>#DIV/0!</v>
      </c>
      <c r="J36" s="293"/>
    </row>
    <row r="37" ht="15.75" customHeight="1">
      <c r="A37" s="291" t="s">
        <v>151</v>
      </c>
      <c r="B37" s="289" t="str">
        <f t="shared" ref="B37:H37" si="4">MEDIAN(B2:B36)</f>
        <v>#NUM!</v>
      </c>
      <c r="C37" s="290" t="str">
        <f t="shared" si="4"/>
        <v>#NUM!</v>
      </c>
      <c r="D37" s="291" t="str">
        <f t="shared" si="4"/>
        <v>#NUM!</v>
      </c>
      <c r="E37" s="291" t="str">
        <f t="shared" si="4"/>
        <v>#NUM!</v>
      </c>
      <c r="F37" s="291" t="str">
        <f t="shared" si="4"/>
        <v>#DIV/0!</v>
      </c>
      <c r="G37" s="291" t="str">
        <f t="shared" si="4"/>
        <v>#NUM!</v>
      </c>
      <c r="H37" s="291" t="str">
        <f t="shared" si="4"/>
        <v>#DIV/0!</v>
      </c>
      <c r="I37" s="292"/>
      <c r="J37" s="293" t="str">
        <f>MEDIAN(J2:J36)</f>
        <v>#NUM!</v>
      </c>
    </row>
    <row r="38" ht="15.75" customHeight="1">
      <c r="A38" s="291" t="s">
        <v>71</v>
      </c>
      <c r="B38" s="289">
        <f>SUM(B2:B36)</f>
        <v>0</v>
      </c>
      <c r="C38" s="290"/>
      <c r="D38" s="291">
        <f t="shared" ref="D38:E38" si="5">SUM(D2:D36)</f>
        <v>0</v>
      </c>
      <c r="E38" s="291">
        <f t="shared" si="5"/>
        <v>0</v>
      </c>
      <c r="F38" s="291" t="str">
        <f>E38/D38</f>
        <v>#DIV/0!</v>
      </c>
      <c r="G38" s="291">
        <f>SUM(G2:G36)</f>
        <v>0</v>
      </c>
      <c r="H38" s="290" t="str">
        <f>G38/E38</f>
        <v>#DIV/0!</v>
      </c>
      <c r="I38" s="292" t="str">
        <f>J38/G38</f>
        <v>#DIV/0!</v>
      </c>
      <c r="J38" s="293">
        <f>SUM(J2:J36)</f>
        <v>0</v>
      </c>
    </row>
    <row r="39" ht="15.75" customHeight="1">
      <c r="A39" s="295"/>
      <c r="B39" s="295"/>
      <c r="C39" s="296"/>
      <c r="D39" s="295"/>
      <c r="E39" s="295"/>
      <c r="F39" s="295"/>
      <c r="G39" s="295"/>
      <c r="H39" s="295"/>
      <c r="I39" s="297"/>
      <c r="J39" s="297"/>
    </row>
    <row r="40" ht="15.75" customHeight="1">
      <c r="A40" s="295"/>
      <c r="B40" s="295"/>
      <c r="C40" s="296"/>
      <c r="D40" s="295"/>
      <c r="E40" s="295"/>
      <c r="F40" s="295"/>
      <c r="G40" s="295"/>
      <c r="H40" s="295"/>
      <c r="I40" s="297"/>
      <c r="J40" s="297"/>
    </row>
    <row r="41" ht="15.75" customHeight="1">
      <c r="A41" s="295"/>
      <c r="B41" s="295"/>
      <c r="C41" s="296"/>
      <c r="D41" s="295"/>
      <c r="E41" s="295"/>
      <c r="F41" s="295"/>
      <c r="G41" s="295"/>
      <c r="H41" s="295"/>
      <c r="I41" s="297"/>
      <c r="J41" s="297"/>
    </row>
    <row r="42" ht="15.75" customHeight="1">
      <c r="A42" s="295"/>
      <c r="B42" s="295"/>
      <c r="C42" s="296"/>
      <c r="D42" s="295"/>
      <c r="E42" s="295"/>
      <c r="F42" s="295"/>
      <c r="G42" s="295"/>
      <c r="H42" s="295"/>
      <c r="I42" s="297"/>
      <c r="J42" s="297"/>
    </row>
    <row r="43" ht="15.75" customHeight="1">
      <c r="A43" s="295"/>
      <c r="B43" s="295"/>
      <c r="C43" s="296"/>
      <c r="D43" s="295"/>
      <c r="E43" s="295"/>
      <c r="F43" s="295"/>
      <c r="G43" s="295"/>
      <c r="H43" s="295"/>
      <c r="I43" s="297"/>
      <c r="J43" s="297"/>
    </row>
    <row r="44" ht="15.75" customHeight="1">
      <c r="A44" s="295"/>
      <c r="B44" s="295"/>
      <c r="C44" s="296"/>
      <c r="D44" s="295"/>
      <c r="E44" s="295"/>
      <c r="F44" s="295"/>
      <c r="G44" s="295"/>
      <c r="H44" s="295"/>
      <c r="I44" s="297"/>
      <c r="J44" s="297"/>
    </row>
    <row r="45" ht="15.75" customHeight="1">
      <c r="A45" s="295"/>
      <c r="B45" s="295"/>
      <c r="C45" s="296"/>
      <c r="D45" s="295"/>
      <c r="E45" s="295"/>
      <c r="F45" s="295"/>
      <c r="G45" s="295"/>
      <c r="H45" s="295"/>
      <c r="I45" s="297"/>
      <c r="J45" s="297"/>
    </row>
    <row r="46" ht="15.75" customHeight="1">
      <c r="A46" s="295"/>
      <c r="B46" s="295"/>
      <c r="C46" s="296"/>
      <c r="D46" s="295"/>
      <c r="E46" s="295"/>
      <c r="F46" s="295"/>
      <c r="G46" s="295"/>
      <c r="H46" s="295"/>
      <c r="I46" s="297"/>
      <c r="J46" s="297"/>
    </row>
    <row r="47" ht="15.75" customHeight="1">
      <c r="A47" s="295"/>
      <c r="B47" s="295"/>
      <c r="C47" s="296"/>
      <c r="D47" s="295"/>
      <c r="E47" s="295"/>
      <c r="F47" s="295"/>
      <c r="G47" s="295"/>
      <c r="H47" s="295"/>
      <c r="I47" s="297"/>
      <c r="J47" s="297"/>
    </row>
    <row r="48" ht="15.75" customHeight="1">
      <c r="A48" s="295"/>
      <c r="B48" s="295"/>
      <c r="C48" s="296"/>
      <c r="D48" s="295"/>
      <c r="E48" s="295"/>
      <c r="F48" s="295"/>
      <c r="G48" s="295"/>
      <c r="H48" s="295"/>
      <c r="I48" s="297"/>
      <c r="J48" s="297"/>
    </row>
    <row r="49" ht="15.75" customHeight="1">
      <c r="A49" s="295"/>
      <c r="B49" s="295"/>
      <c r="C49" s="296"/>
      <c r="D49" s="295"/>
      <c r="E49" s="295"/>
      <c r="F49" s="295"/>
      <c r="G49" s="295"/>
      <c r="H49" s="295"/>
      <c r="I49" s="297"/>
      <c r="J49" s="297"/>
    </row>
    <row r="50" ht="15.75" customHeight="1">
      <c r="A50" s="295"/>
      <c r="B50" s="295"/>
      <c r="C50" s="296"/>
      <c r="D50" s="295"/>
      <c r="E50" s="295"/>
      <c r="F50" s="295"/>
      <c r="G50" s="295"/>
      <c r="H50" s="295"/>
      <c r="I50" s="297"/>
      <c r="J50" s="297"/>
    </row>
    <row r="51" ht="15.75" customHeight="1">
      <c r="A51" s="295"/>
      <c r="B51" s="295"/>
      <c r="C51" s="296"/>
      <c r="D51" s="295"/>
      <c r="E51" s="295"/>
      <c r="F51" s="295"/>
      <c r="G51" s="295"/>
      <c r="H51" s="295"/>
      <c r="I51" s="297"/>
      <c r="J51" s="297"/>
    </row>
    <row r="52" ht="15.75" customHeight="1">
      <c r="A52" s="295"/>
      <c r="B52" s="295"/>
      <c r="C52" s="296"/>
      <c r="D52" s="295"/>
      <c r="E52" s="295"/>
      <c r="F52" s="295"/>
      <c r="G52" s="295"/>
      <c r="H52" s="295"/>
      <c r="I52" s="297"/>
      <c r="J52" s="297"/>
    </row>
    <row r="53" ht="15.75" customHeight="1">
      <c r="A53" s="295"/>
      <c r="B53" s="295"/>
      <c r="C53" s="296"/>
      <c r="D53" s="295"/>
      <c r="E53" s="295"/>
      <c r="F53" s="295"/>
      <c r="G53" s="295"/>
      <c r="H53" s="295"/>
      <c r="I53" s="297"/>
      <c r="J53" s="297"/>
    </row>
    <row r="54" ht="15.75" customHeight="1">
      <c r="A54" s="295"/>
      <c r="B54" s="295"/>
      <c r="C54" s="296"/>
      <c r="D54" s="295"/>
      <c r="E54" s="295"/>
      <c r="F54" s="295"/>
      <c r="G54" s="295"/>
      <c r="H54" s="295"/>
      <c r="I54" s="297"/>
      <c r="J54" s="297"/>
    </row>
    <row r="55" ht="15.75" customHeight="1">
      <c r="A55" s="295"/>
      <c r="B55" s="295"/>
      <c r="C55" s="296"/>
      <c r="D55" s="295"/>
      <c r="E55" s="295"/>
      <c r="F55" s="295"/>
      <c r="G55" s="295"/>
      <c r="H55" s="295"/>
      <c r="I55" s="297"/>
      <c r="J55" s="297"/>
    </row>
    <row r="56" ht="15.75" customHeight="1">
      <c r="A56" s="295"/>
      <c r="B56" s="295"/>
      <c r="C56" s="296"/>
      <c r="D56" s="295"/>
      <c r="E56" s="295"/>
      <c r="F56" s="295"/>
      <c r="G56" s="295"/>
      <c r="H56" s="295"/>
      <c r="I56" s="297"/>
      <c r="J56" s="297"/>
    </row>
    <row r="57" ht="15.75" customHeight="1">
      <c r="A57" s="295"/>
      <c r="B57" s="295"/>
      <c r="C57" s="296"/>
      <c r="D57" s="295"/>
      <c r="E57" s="295"/>
      <c r="F57" s="295"/>
      <c r="G57" s="295"/>
      <c r="H57" s="295"/>
      <c r="I57" s="297"/>
      <c r="J57" s="297"/>
    </row>
    <row r="58" ht="15.75" customHeight="1">
      <c r="A58" s="295"/>
      <c r="B58" s="295"/>
      <c r="C58" s="296"/>
      <c r="D58" s="295"/>
      <c r="E58" s="295"/>
      <c r="F58" s="295"/>
      <c r="G58" s="295"/>
      <c r="H58" s="295"/>
      <c r="I58" s="297"/>
      <c r="J58" s="297"/>
    </row>
    <row r="59" ht="15.75" customHeight="1">
      <c r="A59" s="295"/>
      <c r="B59" s="295"/>
      <c r="C59" s="296"/>
      <c r="D59" s="295"/>
      <c r="E59" s="295"/>
      <c r="F59" s="295"/>
      <c r="G59" s="295"/>
      <c r="H59" s="295"/>
      <c r="I59" s="297"/>
      <c r="J59" s="297"/>
    </row>
    <row r="60" ht="15.75" customHeight="1">
      <c r="A60" s="295"/>
      <c r="B60" s="295"/>
      <c r="C60" s="296"/>
      <c r="D60" s="295"/>
      <c r="E60" s="295"/>
      <c r="F60" s="295"/>
      <c r="G60" s="295"/>
      <c r="H60" s="295"/>
      <c r="I60" s="297"/>
      <c r="J60" s="297"/>
    </row>
    <row r="61" ht="15.75" customHeight="1">
      <c r="A61" s="295"/>
      <c r="B61" s="295"/>
      <c r="C61" s="296"/>
      <c r="D61" s="295"/>
      <c r="E61" s="295"/>
      <c r="F61" s="295"/>
      <c r="G61" s="295"/>
      <c r="H61" s="295"/>
      <c r="I61" s="297"/>
      <c r="J61" s="297"/>
    </row>
    <row r="62" ht="15.75" customHeight="1">
      <c r="A62" s="295"/>
      <c r="B62" s="295"/>
      <c r="C62" s="296"/>
      <c r="D62" s="295"/>
      <c r="E62" s="295"/>
      <c r="F62" s="295"/>
      <c r="G62" s="295"/>
      <c r="H62" s="295"/>
      <c r="I62" s="297"/>
      <c r="J62" s="297"/>
    </row>
    <row r="63" ht="15.75" customHeight="1">
      <c r="A63" s="295"/>
      <c r="B63" s="295"/>
      <c r="C63" s="296"/>
      <c r="D63" s="295"/>
      <c r="E63" s="295"/>
      <c r="F63" s="295"/>
      <c r="G63" s="295"/>
      <c r="H63" s="295"/>
      <c r="I63" s="297"/>
      <c r="J63" s="297"/>
    </row>
    <row r="64" ht="15.75" customHeight="1">
      <c r="A64" s="295"/>
      <c r="B64" s="295"/>
      <c r="C64" s="296"/>
      <c r="D64" s="295"/>
      <c r="E64" s="295"/>
      <c r="F64" s="295"/>
      <c r="G64" s="295"/>
      <c r="H64" s="295"/>
      <c r="I64" s="297"/>
      <c r="J64" s="297"/>
    </row>
    <row r="65" ht="15.75" customHeight="1">
      <c r="A65" s="295"/>
      <c r="B65" s="295"/>
      <c r="C65" s="296"/>
      <c r="D65" s="295"/>
      <c r="E65" s="295"/>
      <c r="F65" s="295"/>
      <c r="G65" s="295"/>
      <c r="H65" s="295"/>
      <c r="I65" s="297"/>
      <c r="J65" s="297"/>
    </row>
    <row r="66" ht="15.75" customHeight="1">
      <c r="A66" s="295"/>
      <c r="B66" s="295"/>
      <c r="C66" s="296"/>
      <c r="D66" s="295"/>
      <c r="E66" s="295"/>
      <c r="F66" s="295"/>
      <c r="G66" s="295"/>
      <c r="H66" s="295"/>
      <c r="I66" s="297"/>
      <c r="J66" s="297"/>
    </row>
    <row r="67" ht="15.75" customHeight="1">
      <c r="A67" s="295"/>
      <c r="B67" s="295"/>
      <c r="C67" s="296"/>
      <c r="D67" s="295"/>
      <c r="E67" s="295"/>
      <c r="F67" s="295"/>
      <c r="G67" s="295"/>
      <c r="H67" s="295"/>
      <c r="I67" s="297"/>
      <c r="J67" s="297"/>
    </row>
    <row r="68" ht="15.75" customHeight="1">
      <c r="A68" s="295"/>
      <c r="B68" s="295"/>
      <c r="C68" s="296"/>
      <c r="D68" s="295"/>
      <c r="E68" s="295"/>
      <c r="F68" s="295"/>
      <c r="G68" s="295"/>
      <c r="H68" s="295"/>
      <c r="I68" s="297"/>
      <c r="J68" s="297"/>
    </row>
    <row r="69" ht="15.75" customHeight="1">
      <c r="A69" s="295"/>
      <c r="B69" s="295"/>
      <c r="C69" s="296"/>
      <c r="D69" s="295"/>
      <c r="E69" s="295"/>
      <c r="F69" s="295"/>
      <c r="G69" s="295"/>
      <c r="H69" s="295"/>
      <c r="I69" s="297"/>
      <c r="J69" s="297"/>
    </row>
    <row r="70" ht="15.75" customHeight="1">
      <c r="A70" s="295"/>
      <c r="B70" s="295"/>
      <c r="C70" s="296"/>
      <c r="D70" s="295"/>
      <c r="E70" s="295"/>
      <c r="F70" s="295"/>
      <c r="G70" s="295"/>
      <c r="H70" s="295"/>
      <c r="I70" s="297"/>
      <c r="J70" s="297"/>
    </row>
    <row r="71" ht="15.75" customHeight="1">
      <c r="A71" s="295"/>
      <c r="B71" s="295"/>
      <c r="C71" s="296"/>
      <c r="D71" s="295"/>
      <c r="E71" s="295"/>
      <c r="F71" s="295"/>
      <c r="G71" s="295"/>
      <c r="H71" s="295"/>
      <c r="I71" s="297"/>
      <c r="J71" s="297"/>
    </row>
    <row r="72" ht="15.75" customHeight="1">
      <c r="A72" s="295"/>
      <c r="B72" s="295"/>
      <c r="C72" s="296"/>
      <c r="D72" s="295"/>
      <c r="E72" s="295"/>
      <c r="F72" s="295"/>
      <c r="G72" s="295"/>
      <c r="H72" s="295"/>
      <c r="I72" s="297"/>
      <c r="J72" s="297"/>
    </row>
    <row r="73" ht="15.75" customHeight="1">
      <c r="A73" s="295"/>
      <c r="B73" s="295"/>
      <c r="C73" s="296"/>
      <c r="D73" s="295"/>
      <c r="E73" s="295"/>
      <c r="F73" s="295"/>
      <c r="G73" s="295"/>
      <c r="H73" s="295"/>
      <c r="I73" s="297"/>
      <c r="J73" s="297"/>
    </row>
    <row r="74" ht="15.75" customHeight="1">
      <c r="A74" s="295"/>
      <c r="B74" s="295"/>
      <c r="C74" s="296"/>
      <c r="D74" s="295"/>
      <c r="E74" s="295"/>
      <c r="F74" s="295"/>
      <c r="G74" s="295"/>
      <c r="H74" s="295"/>
      <c r="I74" s="297"/>
      <c r="J74" s="297"/>
    </row>
    <row r="75" ht="15.75" customHeight="1">
      <c r="A75" s="295"/>
      <c r="B75" s="295"/>
      <c r="C75" s="296"/>
      <c r="D75" s="295"/>
      <c r="E75" s="295"/>
      <c r="F75" s="295"/>
      <c r="G75" s="295"/>
      <c r="H75" s="295"/>
      <c r="I75" s="297"/>
      <c r="J75" s="297"/>
    </row>
    <row r="76" ht="15.75" customHeight="1">
      <c r="A76" s="295"/>
      <c r="B76" s="295"/>
      <c r="C76" s="296"/>
      <c r="D76" s="295"/>
      <c r="E76" s="295"/>
      <c r="F76" s="295"/>
      <c r="G76" s="295"/>
      <c r="H76" s="295"/>
      <c r="I76" s="297"/>
      <c r="J76" s="297"/>
    </row>
    <row r="77" ht="15.75" customHeight="1">
      <c r="A77" s="295"/>
      <c r="B77" s="295"/>
      <c r="C77" s="296"/>
      <c r="D77" s="295"/>
      <c r="E77" s="295"/>
      <c r="F77" s="295"/>
      <c r="G77" s="295"/>
      <c r="H77" s="295"/>
      <c r="I77" s="297"/>
      <c r="J77" s="297"/>
    </row>
    <row r="78" ht="15.75" customHeight="1">
      <c r="A78" s="295"/>
      <c r="B78" s="295"/>
      <c r="C78" s="296"/>
      <c r="D78" s="295"/>
      <c r="E78" s="295"/>
      <c r="F78" s="295"/>
      <c r="G78" s="295"/>
      <c r="H78" s="295"/>
      <c r="I78" s="297"/>
      <c r="J78" s="297"/>
    </row>
    <row r="79" ht="15.75" customHeight="1">
      <c r="A79" s="295"/>
      <c r="B79" s="295"/>
      <c r="C79" s="296"/>
      <c r="D79" s="295"/>
      <c r="E79" s="295"/>
      <c r="F79" s="295"/>
      <c r="G79" s="295"/>
      <c r="H79" s="295"/>
      <c r="I79" s="297"/>
      <c r="J79" s="297"/>
    </row>
    <row r="80" ht="15.75" customHeight="1">
      <c r="A80" s="295"/>
      <c r="B80" s="295"/>
      <c r="C80" s="296"/>
      <c r="D80" s="295"/>
      <c r="E80" s="295"/>
      <c r="F80" s="295"/>
      <c r="G80" s="295"/>
      <c r="H80" s="295"/>
      <c r="I80" s="297"/>
      <c r="J80" s="297"/>
    </row>
    <row r="81" ht="15.75" customHeight="1">
      <c r="A81" s="295"/>
      <c r="B81" s="295"/>
      <c r="C81" s="296"/>
      <c r="D81" s="295"/>
      <c r="E81" s="295"/>
      <c r="F81" s="295"/>
      <c r="G81" s="295"/>
      <c r="H81" s="295"/>
      <c r="I81" s="297"/>
      <c r="J81" s="297"/>
    </row>
    <row r="82" ht="15.75" customHeight="1">
      <c r="A82" s="295"/>
      <c r="B82" s="295"/>
      <c r="C82" s="296"/>
      <c r="D82" s="295"/>
      <c r="E82" s="295"/>
      <c r="F82" s="295"/>
      <c r="G82" s="295"/>
      <c r="H82" s="295"/>
      <c r="I82" s="297"/>
      <c r="J82" s="297"/>
    </row>
    <row r="83" ht="15.75" customHeight="1">
      <c r="A83" s="295"/>
      <c r="B83" s="295"/>
      <c r="C83" s="296"/>
      <c r="D83" s="295"/>
      <c r="E83" s="295"/>
      <c r="F83" s="295"/>
      <c r="G83" s="295"/>
      <c r="H83" s="295"/>
      <c r="I83" s="297"/>
      <c r="J83" s="297"/>
    </row>
    <row r="84" ht="15.75" customHeight="1">
      <c r="A84" s="295"/>
      <c r="B84" s="295"/>
      <c r="C84" s="296"/>
      <c r="D84" s="295"/>
      <c r="E84" s="295"/>
      <c r="F84" s="295"/>
      <c r="G84" s="295"/>
      <c r="H84" s="295"/>
      <c r="I84" s="297"/>
      <c r="J84" s="297"/>
    </row>
    <row r="85" ht="15.75" customHeight="1">
      <c r="A85" s="295"/>
      <c r="B85" s="295"/>
      <c r="C85" s="296"/>
      <c r="D85" s="295"/>
      <c r="E85" s="295"/>
      <c r="F85" s="295"/>
      <c r="G85" s="295"/>
      <c r="H85" s="295"/>
      <c r="I85" s="297"/>
      <c r="J85" s="297"/>
    </row>
    <row r="86" ht="15.75" customHeight="1">
      <c r="A86" s="295"/>
      <c r="B86" s="295"/>
      <c r="C86" s="296"/>
      <c r="D86" s="295"/>
      <c r="E86" s="295"/>
      <c r="F86" s="295"/>
      <c r="G86" s="295"/>
      <c r="H86" s="295"/>
      <c r="I86" s="297"/>
      <c r="J86" s="297"/>
    </row>
    <row r="87" ht="15.75" customHeight="1">
      <c r="A87" s="295"/>
      <c r="B87" s="295"/>
      <c r="C87" s="296"/>
      <c r="D87" s="295"/>
      <c r="E87" s="295"/>
      <c r="F87" s="295"/>
      <c r="G87" s="295"/>
      <c r="H87" s="295"/>
      <c r="I87" s="297"/>
      <c r="J87" s="297"/>
    </row>
    <row r="88" ht="15.75" customHeight="1">
      <c r="A88" s="295"/>
      <c r="B88" s="295"/>
      <c r="C88" s="296"/>
      <c r="D88" s="295"/>
      <c r="E88" s="295"/>
      <c r="F88" s="295"/>
      <c r="G88" s="295"/>
      <c r="H88" s="295"/>
      <c r="I88" s="297"/>
      <c r="J88" s="297"/>
    </row>
    <row r="89" ht="15.75" customHeight="1">
      <c r="A89" s="295"/>
      <c r="B89" s="295"/>
      <c r="C89" s="296"/>
      <c r="D89" s="295"/>
      <c r="E89" s="295"/>
      <c r="F89" s="295"/>
      <c r="G89" s="295"/>
      <c r="H89" s="295"/>
      <c r="I89" s="297"/>
      <c r="J89" s="297"/>
    </row>
    <row r="90" ht="15.75" customHeight="1">
      <c r="A90" s="295"/>
      <c r="B90" s="295"/>
      <c r="C90" s="296"/>
      <c r="D90" s="295"/>
      <c r="E90" s="295"/>
      <c r="F90" s="295"/>
      <c r="G90" s="295"/>
      <c r="H90" s="295"/>
      <c r="I90" s="297"/>
      <c r="J90" s="297"/>
    </row>
    <row r="91" ht="15.75" customHeight="1">
      <c r="A91" s="295"/>
      <c r="B91" s="295"/>
      <c r="C91" s="296"/>
      <c r="D91" s="295"/>
      <c r="E91" s="295"/>
      <c r="F91" s="295"/>
      <c r="G91" s="295"/>
      <c r="H91" s="295"/>
      <c r="I91" s="297"/>
      <c r="J91" s="297"/>
    </row>
    <row r="92" ht="15.75" customHeight="1">
      <c r="A92" s="295"/>
      <c r="B92" s="295"/>
      <c r="C92" s="296"/>
      <c r="D92" s="295"/>
      <c r="E92" s="295"/>
      <c r="F92" s="295"/>
      <c r="G92" s="295"/>
      <c r="H92" s="295"/>
      <c r="I92" s="297"/>
      <c r="J92" s="297"/>
    </row>
    <row r="93" ht="15.75" customHeight="1">
      <c r="A93" s="295"/>
      <c r="B93" s="295"/>
      <c r="C93" s="296"/>
      <c r="D93" s="295"/>
      <c r="E93" s="295"/>
      <c r="F93" s="295"/>
      <c r="G93" s="295"/>
      <c r="H93" s="295"/>
      <c r="I93" s="297"/>
      <c r="J93" s="297"/>
    </row>
    <row r="94" ht="15.75" customHeight="1">
      <c r="A94" s="295"/>
      <c r="B94" s="295"/>
      <c r="C94" s="296"/>
      <c r="D94" s="295"/>
      <c r="E94" s="295"/>
      <c r="F94" s="295"/>
      <c r="G94" s="295"/>
      <c r="H94" s="295"/>
      <c r="I94" s="297"/>
      <c r="J94" s="297"/>
    </row>
    <row r="95" ht="15.75" customHeight="1">
      <c r="A95" s="295"/>
      <c r="B95" s="295"/>
      <c r="C95" s="296"/>
      <c r="D95" s="295"/>
      <c r="E95" s="295"/>
      <c r="F95" s="295"/>
      <c r="G95" s="295"/>
      <c r="H95" s="295"/>
      <c r="I95" s="297"/>
      <c r="J95" s="297"/>
    </row>
    <row r="96" ht="15.75" customHeight="1">
      <c r="A96" s="295"/>
      <c r="B96" s="295"/>
      <c r="C96" s="296"/>
      <c r="D96" s="295"/>
      <c r="E96" s="295"/>
      <c r="F96" s="295"/>
      <c r="G96" s="295"/>
      <c r="H96" s="295"/>
      <c r="I96" s="297"/>
      <c r="J96" s="297"/>
    </row>
    <row r="97" ht="15.75" customHeight="1">
      <c r="A97" s="295"/>
      <c r="B97" s="295"/>
      <c r="C97" s="296"/>
      <c r="D97" s="295"/>
      <c r="E97" s="295"/>
      <c r="F97" s="295"/>
      <c r="G97" s="295"/>
      <c r="H97" s="295"/>
      <c r="I97" s="297"/>
      <c r="J97" s="297"/>
    </row>
    <row r="98" ht="15.75" customHeight="1">
      <c r="A98" s="295"/>
      <c r="B98" s="295"/>
      <c r="C98" s="296"/>
      <c r="D98" s="295"/>
      <c r="E98" s="295"/>
      <c r="F98" s="295"/>
      <c r="G98" s="295"/>
      <c r="H98" s="295"/>
      <c r="I98" s="297"/>
      <c r="J98" s="297"/>
    </row>
    <row r="99" ht="15.75" customHeight="1">
      <c r="A99" s="295"/>
      <c r="B99" s="295"/>
      <c r="C99" s="296"/>
      <c r="D99" s="295"/>
      <c r="E99" s="295"/>
      <c r="F99" s="295"/>
      <c r="G99" s="295"/>
      <c r="H99" s="295"/>
      <c r="I99" s="297"/>
      <c r="J99" s="297"/>
    </row>
    <row r="100" ht="15.75" customHeight="1">
      <c r="A100" s="295"/>
      <c r="B100" s="295"/>
      <c r="C100" s="296"/>
      <c r="D100" s="295"/>
      <c r="E100" s="295"/>
      <c r="F100" s="295"/>
      <c r="G100" s="295"/>
      <c r="H100" s="295"/>
      <c r="I100" s="297"/>
      <c r="J100" s="297"/>
    </row>
    <row r="101" ht="15.75" customHeight="1">
      <c r="A101" s="295"/>
      <c r="B101" s="295"/>
      <c r="C101" s="296"/>
      <c r="D101" s="295"/>
      <c r="E101" s="295"/>
      <c r="F101" s="295"/>
      <c r="G101" s="295"/>
      <c r="H101" s="295"/>
      <c r="I101" s="297"/>
      <c r="J101" s="297"/>
    </row>
    <row r="102" ht="15.75" customHeight="1">
      <c r="A102" s="295"/>
      <c r="B102" s="295"/>
      <c r="C102" s="296"/>
      <c r="D102" s="295"/>
      <c r="E102" s="295"/>
      <c r="F102" s="295"/>
      <c r="G102" s="295"/>
      <c r="H102" s="295"/>
      <c r="I102" s="297"/>
      <c r="J102" s="297"/>
    </row>
    <row r="103" ht="15.75" customHeight="1">
      <c r="A103" s="295"/>
      <c r="B103" s="295"/>
      <c r="C103" s="296"/>
      <c r="D103" s="295"/>
      <c r="E103" s="295"/>
      <c r="F103" s="295"/>
      <c r="G103" s="295"/>
      <c r="H103" s="295"/>
      <c r="I103" s="297"/>
      <c r="J103" s="297"/>
    </row>
    <row r="104" ht="15.75" customHeight="1">
      <c r="A104" s="295"/>
      <c r="B104" s="295"/>
      <c r="C104" s="296"/>
      <c r="D104" s="295"/>
      <c r="E104" s="295"/>
      <c r="F104" s="295"/>
      <c r="G104" s="295"/>
      <c r="H104" s="295"/>
      <c r="I104" s="297"/>
      <c r="J104" s="297"/>
    </row>
    <row r="105" ht="15.75" customHeight="1">
      <c r="A105" s="295"/>
      <c r="B105" s="295"/>
      <c r="C105" s="296"/>
      <c r="D105" s="295"/>
      <c r="E105" s="295"/>
      <c r="F105" s="295"/>
      <c r="G105" s="295"/>
      <c r="H105" s="295"/>
      <c r="I105" s="297"/>
      <c r="J105" s="297"/>
    </row>
    <row r="106" ht="15.75" customHeight="1">
      <c r="A106" s="295"/>
      <c r="B106" s="295"/>
      <c r="C106" s="296"/>
      <c r="D106" s="295"/>
      <c r="E106" s="295"/>
      <c r="F106" s="295"/>
      <c r="G106" s="295"/>
      <c r="H106" s="295"/>
      <c r="I106" s="297"/>
      <c r="J106" s="297"/>
    </row>
    <row r="107" ht="15.75" customHeight="1">
      <c r="A107" s="295"/>
      <c r="B107" s="295"/>
      <c r="C107" s="296"/>
      <c r="D107" s="295"/>
      <c r="E107" s="295"/>
      <c r="F107" s="295"/>
      <c r="G107" s="295"/>
      <c r="H107" s="295"/>
      <c r="I107" s="297"/>
      <c r="J107" s="297"/>
    </row>
    <row r="108" ht="15.75" customHeight="1">
      <c r="A108" s="295"/>
      <c r="B108" s="295"/>
      <c r="C108" s="296"/>
      <c r="D108" s="295"/>
      <c r="E108" s="295"/>
      <c r="F108" s="295"/>
      <c r="G108" s="295"/>
      <c r="H108" s="295"/>
      <c r="I108" s="297"/>
      <c r="J108" s="297"/>
    </row>
    <row r="109" ht="15.75" customHeight="1">
      <c r="A109" s="295"/>
      <c r="B109" s="295"/>
      <c r="C109" s="296"/>
      <c r="D109" s="295"/>
      <c r="E109" s="295"/>
      <c r="F109" s="295"/>
      <c r="G109" s="295"/>
      <c r="H109" s="295"/>
      <c r="I109" s="297"/>
      <c r="J109" s="297"/>
    </row>
    <row r="110" ht="15.75" customHeight="1">
      <c r="A110" s="295"/>
      <c r="B110" s="295"/>
      <c r="C110" s="296"/>
      <c r="D110" s="295"/>
      <c r="E110" s="295"/>
      <c r="F110" s="295"/>
      <c r="G110" s="295"/>
      <c r="H110" s="295"/>
      <c r="I110" s="297"/>
      <c r="J110" s="297"/>
    </row>
    <row r="111" ht="15.75" customHeight="1">
      <c r="A111" s="295"/>
      <c r="B111" s="295"/>
      <c r="C111" s="296"/>
      <c r="D111" s="295"/>
      <c r="E111" s="295"/>
      <c r="F111" s="295"/>
      <c r="G111" s="295"/>
      <c r="H111" s="295"/>
      <c r="I111" s="297"/>
      <c r="J111" s="297"/>
    </row>
    <row r="112" ht="15.75" customHeight="1">
      <c r="A112" s="295"/>
      <c r="B112" s="295"/>
      <c r="C112" s="296"/>
      <c r="D112" s="295"/>
      <c r="E112" s="295"/>
      <c r="F112" s="295"/>
      <c r="G112" s="295"/>
      <c r="H112" s="295"/>
      <c r="I112" s="297"/>
      <c r="J112" s="297"/>
    </row>
    <row r="113" ht="15.75" customHeight="1">
      <c r="A113" s="295"/>
      <c r="B113" s="295"/>
      <c r="C113" s="296"/>
      <c r="D113" s="295"/>
      <c r="E113" s="295"/>
      <c r="F113" s="295"/>
      <c r="G113" s="295"/>
      <c r="H113" s="295"/>
      <c r="I113" s="297"/>
      <c r="J113" s="297"/>
    </row>
    <row r="114" ht="15.75" customHeight="1">
      <c r="A114" s="295"/>
      <c r="B114" s="295"/>
      <c r="C114" s="296"/>
      <c r="D114" s="295"/>
      <c r="E114" s="295"/>
      <c r="F114" s="295"/>
      <c r="G114" s="295"/>
      <c r="H114" s="295"/>
      <c r="I114" s="297"/>
      <c r="J114" s="297"/>
    </row>
    <row r="115" ht="15.75" customHeight="1">
      <c r="A115" s="295"/>
      <c r="B115" s="295"/>
      <c r="C115" s="296"/>
      <c r="D115" s="295"/>
      <c r="E115" s="295"/>
      <c r="F115" s="295"/>
      <c r="G115" s="295"/>
      <c r="H115" s="295"/>
      <c r="I115" s="297"/>
      <c r="J115" s="297"/>
    </row>
    <row r="116" ht="15.75" customHeight="1">
      <c r="A116" s="295"/>
      <c r="B116" s="295"/>
      <c r="C116" s="296"/>
      <c r="D116" s="295"/>
      <c r="E116" s="295"/>
      <c r="F116" s="295"/>
      <c r="G116" s="295"/>
      <c r="H116" s="295"/>
      <c r="I116" s="297"/>
      <c r="J116" s="297"/>
    </row>
    <row r="117" ht="15.75" customHeight="1">
      <c r="A117" s="295"/>
      <c r="B117" s="295"/>
      <c r="C117" s="296"/>
      <c r="D117" s="295"/>
      <c r="E117" s="295"/>
      <c r="F117" s="295"/>
      <c r="G117" s="295"/>
      <c r="H117" s="295"/>
      <c r="I117" s="297"/>
      <c r="J117" s="297"/>
    </row>
    <row r="118" ht="15.75" customHeight="1">
      <c r="A118" s="295"/>
      <c r="B118" s="295"/>
      <c r="C118" s="296"/>
      <c r="D118" s="295"/>
      <c r="E118" s="295"/>
      <c r="F118" s="295"/>
      <c r="G118" s="295"/>
      <c r="H118" s="295"/>
      <c r="I118" s="297"/>
      <c r="J118" s="297"/>
    </row>
    <row r="119" ht="15.75" customHeight="1">
      <c r="A119" s="295"/>
      <c r="B119" s="295"/>
      <c r="C119" s="296"/>
      <c r="D119" s="295"/>
      <c r="E119" s="295"/>
      <c r="F119" s="295"/>
      <c r="G119" s="295"/>
      <c r="H119" s="295"/>
      <c r="I119" s="297"/>
      <c r="J119" s="297"/>
    </row>
    <row r="120" ht="15.75" customHeight="1">
      <c r="A120" s="295"/>
      <c r="B120" s="295"/>
      <c r="C120" s="296"/>
      <c r="D120" s="295"/>
      <c r="E120" s="295"/>
      <c r="F120" s="295"/>
      <c r="G120" s="295"/>
      <c r="H120" s="295"/>
      <c r="I120" s="297"/>
      <c r="J120" s="297"/>
    </row>
    <row r="121" ht="15.75" customHeight="1">
      <c r="A121" s="295"/>
      <c r="B121" s="295"/>
      <c r="C121" s="296"/>
      <c r="D121" s="295"/>
      <c r="E121" s="295"/>
      <c r="F121" s="295"/>
      <c r="G121" s="295"/>
      <c r="H121" s="295"/>
      <c r="I121" s="297"/>
      <c r="J121" s="297"/>
    </row>
    <row r="122" ht="15.75" customHeight="1">
      <c r="A122" s="295"/>
      <c r="B122" s="295"/>
      <c r="C122" s="296"/>
      <c r="D122" s="295"/>
      <c r="E122" s="295"/>
      <c r="F122" s="295"/>
      <c r="G122" s="295"/>
      <c r="H122" s="295"/>
      <c r="I122" s="297"/>
      <c r="J122" s="297"/>
    </row>
    <row r="123" ht="15.75" customHeight="1">
      <c r="A123" s="295"/>
      <c r="B123" s="295"/>
      <c r="C123" s="296"/>
      <c r="D123" s="295"/>
      <c r="E123" s="295"/>
      <c r="F123" s="295"/>
      <c r="G123" s="295"/>
      <c r="H123" s="295"/>
      <c r="I123" s="297"/>
      <c r="J123" s="297"/>
    </row>
    <row r="124" ht="15.75" customHeight="1">
      <c r="A124" s="295"/>
      <c r="B124" s="295"/>
      <c r="C124" s="296"/>
      <c r="D124" s="295"/>
      <c r="E124" s="295"/>
      <c r="F124" s="295"/>
      <c r="G124" s="295"/>
      <c r="H124" s="295"/>
      <c r="I124" s="297"/>
      <c r="J124" s="297"/>
    </row>
    <row r="125" ht="15.75" customHeight="1">
      <c r="A125" s="295"/>
      <c r="B125" s="295"/>
      <c r="C125" s="296"/>
      <c r="D125" s="295"/>
      <c r="E125" s="295"/>
      <c r="F125" s="295"/>
      <c r="G125" s="295"/>
      <c r="H125" s="295"/>
      <c r="I125" s="297"/>
      <c r="J125" s="297"/>
    </row>
    <row r="126" ht="15.75" customHeight="1">
      <c r="A126" s="295"/>
      <c r="B126" s="295"/>
      <c r="C126" s="296"/>
      <c r="D126" s="295"/>
      <c r="E126" s="295"/>
      <c r="F126" s="295"/>
      <c r="G126" s="295"/>
      <c r="H126" s="295"/>
      <c r="I126" s="297"/>
      <c r="J126" s="297"/>
    </row>
    <row r="127" ht="15.75" customHeight="1">
      <c r="A127" s="295"/>
      <c r="B127" s="295"/>
      <c r="C127" s="296"/>
      <c r="D127" s="295"/>
      <c r="E127" s="295"/>
      <c r="F127" s="295"/>
      <c r="G127" s="295"/>
      <c r="H127" s="295"/>
      <c r="I127" s="297"/>
      <c r="J127" s="297"/>
    </row>
    <row r="128" ht="15.75" customHeight="1">
      <c r="A128" s="295"/>
      <c r="B128" s="295"/>
      <c r="C128" s="296"/>
      <c r="D128" s="295"/>
      <c r="E128" s="295"/>
      <c r="F128" s="295"/>
      <c r="G128" s="295"/>
      <c r="H128" s="295"/>
      <c r="I128" s="297"/>
      <c r="J128" s="297"/>
    </row>
    <row r="129" ht="15.75" customHeight="1">
      <c r="A129" s="295"/>
      <c r="B129" s="295"/>
      <c r="C129" s="296"/>
      <c r="D129" s="295"/>
      <c r="E129" s="295"/>
      <c r="F129" s="295"/>
      <c r="G129" s="295"/>
      <c r="H129" s="295"/>
      <c r="I129" s="297"/>
      <c r="J129" s="297"/>
    </row>
    <row r="130" ht="15.75" customHeight="1">
      <c r="A130" s="295"/>
      <c r="B130" s="295"/>
      <c r="C130" s="296"/>
      <c r="D130" s="295"/>
      <c r="E130" s="295"/>
      <c r="F130" s="295"/>
      <c r="G130" s="295"/>
      <c r="H130" s="295"/>
      <c r="I130" s="297"/>
      <c r="J130" s="297"/>
    </row>
    <row r="131" ht="15.75" customHeight="1">
      <c r="A131" s="295"/>
      <c r="B131" s="295"/>
      <c r="C131" s="296"/>
      <c r="D131" s="295"/>
      <c r="E131" s="295"/>
      <c r="F131" s="295"/>
      <c r="G131" s="295"/>
      <c r="H131" s="295"/>
      <c r="I131" s="297"/>
      <c r="J131" s="297"/>
    </row>
    <row r="132" ht="15.75" customHeight="1">
      <c r="A132" s="295"/>
      <c r="B132" s="295"/>
      <c r="C132" s="296"/>
      <c r="D132" s="295"/>
      <c r="E132" s="295"/>
      <c r="F132" s="295"/>
      <c r="G132" s="295"/>
      <c r="H132" s="295"/>
      <c r="I132" s="297"/>
      <c r="J132" s="297"/>
    </row>
    <row r="133" ht="15.75" customHeight="1">
      <c r="A133" s="295"/>
      <c r="B133" s="295"/>
      <c r="C133" s="296"/>
      <c r="D133" s="295"/>
      <c r="E133" s="295"/>
      <c r="F133" s="295"/>
      <c r="G133" s="295"/>
      <c r="H133" s="295"/>
      <c r="I133" s="297"/>
      <c r="J133" s="297"/>
    </row>
    <row r="134" ht="15.75" customHeight="1">
      <c r="A134" s="295"/>
      <c r="B134" s="295"/>
      <c r="C134" s="296"/>
      <c r="D134" s="295"/>
      <c r="E134" s="295"/>
      <c r="F134" s="295"/>
      <c r="G134" s="295"/>
      <c r="H134" s="295"/>
      <c r="I134" s="297"/>
      <c r="J134" s="297"/>
    </row>
    <row r="135" ht="15.75" customHeight="1">
      <c r="A135" s="295"/>
      <c r="B135" s="295"/>
      <c r="C135" s="296"/>
      <c r="D135" s="295"/>
      <c r="E135" s="295"/>
      <c r="F135" s="295"/>
      <c r="G135" s="295"/>
      <c r="H135" s="295"/>
      <c r="I135" s="297"/>
      <c r="J135" s="297"/>
    </row>
    <row r="136" ht="15.75" customHeight="1">
      <c r="A136" s="295"/>
      <c r="B136" s="295"/>
      <c r="C136" s="296"/>
      <c r="D136" s="295"/>
      <c r="E136" s="295"/>
      <c r="F136" s="295"/>
      <c r="G136" s="295"/>
      <c r="H136" s="295"/>
      <c r="I136" s="297"/>
      <c r="J136" s="297"/>
    </row>
    <row r="137" ht="15.75" customHeight="1">
      <c r="A137" s="295"/>
      <c r="B137" s="295"/>
      <c r="C137" s="296"/>
      <c r="D137" s="295"/>
      <c r="E137" s="295"/>
      <c r="F137" s="295"/>
      <c r="G137" s="295"/>
      <c r="H137" s="295"/>
      <c r="I137" s="297"/>
      <c r="J137" s="297"/>
    </row>
    <row r="138" ht="15.75" customHeight="1">
      <c r="A138" s="295"/>
      <c r="B138" s="295"/>
      <c r="C138" s="296"/>
      <c r="D138" s="295"/>
      <c r="E138" s="295"/>
      <c r="F138" s="295"/>
      <c r="G138" s="295"/>
      <c r="H138" s="295"/>
      <c r="I138" s="297"/>
      <c r="J138" s="297"/>
    </row>
    <row r="139" ht="15.75" customHeight="1">
      <c r="A139" s="295"/>
      <c r="B139" s="295"/>
      <c r="C139" s="296"/>
      <c r="D139" s="295"/>
      <c r="E139" s="295"/>
      <c r="F139" s="295"/>
      <c r="G139" s="295"/>
      <c r="H139" s="295"/>
      <c r="I139" s="297"/>
      <c r="J139" s="297"/>
    </row>
    <row r="140" ht="15.75" customHeight="1">
      <c r="A140" s="295"/>
      <c r="B140" s="295"/>
      <c r="C140" s="296"/>
      <c r="D140" s="295"/>
      <c r="E140" s="295"/>
      <c r="F140" s="295"/>
      <c r="G140" s="295"/>
      <c r="H140" s="295"/>
      <c r="I140" s="297"/>
      <c r="J140" s="297"/>
    </row>
    <row r="141" ht="15.75" customHeight="1">
      <c r="A141" s="295"/>
      <c r="B141" s="295"/>
      <c r="C141" s="296"/>
      <c r="D141" s="295"/>
      <c r="E141" s="295"/>
      <c r="F141" s="295"/>
      <c r="G141" s="295"/>
      <c r="H141" s="295"/>
      <c r="I141" s="297"/>
      <c r="J141" s="297"/>
    </row>
    <row r="142" ht="15.75" customHeight="1">
      <c r="A142" s="295"/>
      <c r="B142" s="295"/>
      <c r="C142" s="296"/>
      <c r="D142" s="295"/>
      <c r="E142" s="295"/>
      <c r="F142" s="295"/>
      <c r="G142" s="295"/>
      <c r="H142" s="295"/>
      <c r="I142" s="297"/>
      <c r="J142" s="297"/>
    </row>
    <row r="143" ht="15.75" customHeight="1">
      <c r="A143" s="295"/>
      <c r="B143" s="295"/>
      <c r="C143" s="296"/>
      <c r="D143" s="295"/>
      <c r="E143" s="295"/>
      <c r="F143" s="295"/>
      <c r="G143" s="295"/>
      <c r="H143" s="295"/>
      <c r="I143" s="297"/>
      <c r="J143" s="297"/>
    </row>
    <row r="144" ht="15.75" customHeight="1">
      <c r="A144" s="295"/>
      <c r="B144" s="295"/>
      <c r="C144" s="296"/>
      <c r="D144" s="295"/>
      <c r="E144" s="295"/>
      <c r="F144" s="295"/>
      <c r="G144" s="295"/>
      <c r="H144" s="295"/>
      <c r="I144" s="297"/>
      <c r="J144" s="297"/>
    </row>
    <row r="145" ht="15.75" customHeight="1">
      <c r="A145" s="295"/>
      <c r="B145" s="295"/>
      <c r="C145" s="296"/>
      <c r="D145" s="295"/>
      <c r="E145" s="295"/>
      <c r="F145" s="295"/>
      <c r="G145" s="295"/>
      <c r="H145" s="295"/>
      <c r="I145" s="297"/>
      <c r="J145" s="297"/>
    </row>
    <row r="146" ht="15.75" customHeight="1">
      <c r="A146" s="295"/>
      <c r="B146" s="295"/>
      <c r="C146" s="296"/>
      <c r="D146" s="295"/>
      <c r="E146" s="295"/>
      <c r="F146" s="295"/>
      <c r="G146" s="295"/>
      <c r="H146" s="295"/>
      <c r="I146" s="297"/>
      <c r="J146" s="297"/>
    </row>
    <row r="147" ht="15.75" customHeight="1">
      <c r="A147" s="295"/>
      <c r="B147" s="295"/>
      <c r="C147" s="296"/>
      <c r="D147" s="295"/>
      <c r="E147" s="295"/>
      <c r="F147" s="295"/>
      <c r="G147" s="295"/>
      <c r="H147" s="295"/>
      <c r="I147" s="297"/>
      <c r="J147" s="297"/>
    </row>
    <row r="148" ht="15.75" customHeight="1">
      <c r="A148" s="295"/>
      <c r="B148" s="295"/>
      <c r="C148" s="296"/>
      <c r="D148" s="295"/>
      <c r="E148" s="295"/>
      <c r="F148" s="295"/>
      <c r="G148" s="295"/>
      <c r="H148" s="295"/>
      <c r="I148" s="297"/>
      <c r="J148" s="297"/>
    </row>
    <row r="149" ht="15.75" customHeight="1">
      <c r="A149" s="295"/>
      <c r="B149" s="295"/>
      <c r="C149" s="296"/>
      <c r="D149" s="295"/>
      <c r="E149" s="295"/>
      <c r="F149" s="295"/>
      <c r="G149" s="295"/>
      <c r="H149" s="295"/>
      <c r="I149" s="297"/>
      <c r="J149" s="297"/>
    </row>
    <row r="150" ht="15.75" customHeight="1">
      <c r="A150" s="295"/>
      <c r="B150" s="295"/>
      <c r="C150" s="296"/>
      <c r="D150" s="295"/>
      <c r="E150" s="295"/>
      <c r="F150" s="295"/>
      <c r="G150" s="295"/>
      <c r="H150" s="295"/>
      <c r="I150" s="297"/>
      <c r="J150" s="297"/>
    </row>
    <row r="151" ht="15.75" customHeight="1">
      <c r="A151" s="295"/>
      <c r="B151" s="295"/>
      <c r="C151" s="296"/>
      <c r="D151" s="295"/>
      <c r="E151" s="295"/>
      <c r="F151" s="295"/>
      <c r="G151" s="295"/>
      <c r="H151" s="295"/>
      <c r="I151" s="297"/>
      <c r="J151" s="297"/>
    </row>
    <row r="152" ht="15.75" customHeight="1">
      <c r="A152" s="295"/>
      <c r="B152" s="295"/>
      <c r="C152" s="296"/>
      <c r="D152" s="295"/>
      <c r="E152" s="295"/>
      <c r="F152" s="295"/>
      <c r="G152" s="295"/>
      <c r="H152" s="295"/>
      <c r="I152" s="297"/>
      <c r="J152" s="297"/>
    </row>
    <row r="153" ht="15.75" customHeight="1">
      <c r="A153" s="295"/>
      <c r="B153" s="295"/>
      <c r="C153" s="296"/>
      <c r="D153" s="295"/>
      <c r="E153" s="295"/>
      <c r="F153" s="295"/>
      <c r="G153" s="295"/>
      <c r="H153" s="295"/>
      <c r="I153" s="297"/>
      <c r="J153" s="297"/>
    </row>
    <row r="154" ht="15.75" customHeight="1">
      <c r="A154" s="295"/>
      <c r="B154" s="295"/>
      <c r="C154" s="296"/>
      <c r="D154" s="295"/>
      <c r="E154" s="295"/>
      <c r="F154" s="295"/>
      <c r="G154" s="295"/>
      <c r="H154" s="295"/>
      <c r="I154" s="297"/>
      <c r="J154" s="297"/>
    </row>
    <row r="155" ht="15.75" customHeight="1">
      <c r="A155" s="295"/>
      <c r="B155" s="295"/>
      <c r="C155" s="296"/>
      <c r="D155" s="295"/>
      <c r="E155" s="295"/>
      <c r="F155" s="295"/>
      <c r="G155" s="295"/>
      <c r="H155" s="295"/>
      <c r="I155" s="297"/>
      <c r="J155" s="297"/>
    </row>
    <row r="156" ht="15.75" customHeight="1">
      <c r="A156" s="295"/>
      <c r="B156" s="295"/>
      <c r="C156" s="296"/>
      <c r="D156" s="295"/>
      <c r="E156" s="295"/>
      <c r="F156" s="295"/>
      <c r="G156" s="295"/>
      <c r="H156" s="295"/>
      <c r="I156" s="297"/>
      <c r="J156" s="297"/>
    </row>
    <row r="157" ht="15.75" customHeight="1">
      <c r="A157" s="295"/>
      <c r="B157" s="295"/>
      <c r="C157" s="296"/>
      <c r="D157" s="295"/>
      <c r="E157" s="295"/>
      <c r="F157" s="295"/>
      <c r="G157" s="295"/>
      <c r="H157" s="295"/>
      <c r="I157" s="297"/>
      <c r="J157" s="297"/>
    </row>
    <row r="158" ht="15.75" customHeight="1">
      <c r="A158" s="295"/>
      <c r="B158" s="295"/>
      <c r="C158" s="296"/>
      <c r="D158" s="295"/>
      <c r="E158" s="295"/>
      <c r="F158" s="295"/>
      <c r="G158" s="295"/>
      <c r="H158" s="295"/>
      <c r="I158" s="297"/>
      <c r="J158" s="297"/>
    </row>
    <row r="159" ht="15.75" customHeight="1">
      <c r="A159" s="295"/>
      <c r="B159" s="295"/>
      <c r="C159" s="296"/>
      <c r="D159" s="295"/>
      <c r="E159" s="295"/>
      <c r="F159" s="295"/>
      <c r="G159" s="295"/>
      <c r="H159" s="295"/>
      <c r="I159" s="297"/>
      <c r="J159" s="297"/>
    </row>
    <row r="160" ht="15.75" customHeight="1">
      <c r="A160" s="295"/>
      <c r="B160" s="295"/>
      <c r="C160" s="296"/>
      <c r="D160" s="295"/>
      <c r="E160" s="295"/>
      <c r="F160" s="295"/>
      <c r="G160" s="295"/>
      <c r="H160" s="295"/>
      <c r="I160" s="297"/>
      <c r="J160" s="297"/>
    </row>
    <row r="161" ht="15.75" customHeight="1">
      <c r="A161" s="295"/>
      <c r="B161" s="295"/>
      <c r="C161" s="296"/>
      <c r="D161" s="295"/>
      <c r="E161" s="295"/>
      <c r="F161" s="295"/>
      <c r="G161" s="295"/>
      <c r="H161" s="295"/>
      <c r="I161" s="297"/>
      <c r="J161" s="297"/>
    </row>
    <row r="162" ht="15.75" customHeight="1">
      <c r="A162" s="295"/>
      <c r="B162" s="295"/>
      <c r="C162" s="296"/>
      <c r="D162" s="295"/>
      <c r="E162" s="295"/>
      <c r="F162" s="295"/>
      <c r="G162" s="295"/>
      <c r="H162" s="295"/>
      <c r="I162" s="297"/>
      <c r="J162" s="297"/>
    </row>
    <row r="163" ht="15.75" customHeight="1">
      <c r="A163" s="295"/>
      <c r="B163" s="295"/>
      <c r="C163" s="296"/>
      <c r="D163" s="295"/>
      <c r="E163" s="295"/>
      <c r="F163" s="295"/>
      <c r="G163" s="295"/>
      <c r="H163" s="295"/>
      <c r="I163" s="297"/>
      <c r="J163" s="297"/>
    </row>
    <row r="164" ht="15.75" customHeight="1">
      <c r="A164" s="295"/>
      <c r="B164" s="295"/>
      <c r="C164" s="296"/>
      <c r="D164" s="295"/>
      <c r="E164" s="295"/>
      <c r="F164" s="295"/>
      <c r="G164" s="295"/>
      <c r="H164" s="295"/>
      <c r="I164" s="297"/>
      <c r="J164" s="297"/>
    </row>
    <row r="165" ht="15.75" customHeight="1">
      <c r="A165" s="295"/>
      <c r="B165" s="295"/>
      <c r="C165" s="296"/>
      <c r="D165" s="295"/>
      <c r="E165" s="295"/>
      <c r="F165" s="295"/>
      <c r="G165" s="295"/>
      <c r="H165" s="295"/>
      <c r="I165" s="297"/>
      <c r="J165" s="297"/>
    </row>
    <row r="166" ht="15.75" customHeight="1">
      <c r="A166" s="295"/>
      <c r="B166" s="295"/>
      <c r="C166" s="296"/>
      <c r="D166" s="295"/>
      <c r="E166" s="295"/>
      <c r="F166" s="295"/>
      <c r="G166" s="295"/>
      <c r="H166" s="295"/>
      <c r="I166" s="297"/>
      <c r="J166" s="297"/>
    </row>
    <row r="167" ht="15.75" customHeight="1">
      <c r="A167" s="295"/>
      <c r="B167" s="295"/>
      <c r="C167" s="296"/>
      <c r="D167" s="295"/>
      <c r="E167" s="295"/>
      <c r="F167" s="295"/>
      <c r="G167" s="295"/>
      <c r="H167" s="295"/>
      <c r="I167" s="297"/>
      <c r="J167" s="297"/>
    </row>
    <row r="168" ht="15.75" customHeight="1">
      <c r="A168" s="295"/>
      <c r="B168" s="295"/>
      <c r="C168" s="296"/>
      <c r="D168" s="295"/>
      <c r="E168" s="295"/>
      <c r="F168" s="295"/>
      <c r="G168" s="295"/>
      <c r="H168" s="295"/>
      <c r="I168" s="297"/>
      <c r="J168" s="297"/>
    </row>
    <row r="169" ht="15.75" customHeight="1">
      <c r="A169" s="295"/>
      <c r="B169" s="295"/>
      <c r="C169" s="296"/>
      <c r="D169" s="295"/>
      <c r="E169" s="295"/>
      <c r="F169" s="295"/>
      <c r="G169" s="295"/>
      <c r="H169" s="295"/>
      <c r="I169" s="297"/>
      <c r="J169" s="297"/>
    </row>
    <row r="170" ht="15.75" customHeight="1">
      <c r="A170" s="295"/>
      <c r="B170" s="295"/>
      <c r="C170" s="296"/>
      <c r="D170" s="295"/>
      <c r="E170" s="295"/>
      <c r="F170" s="295"/>
      <c r="G170" s="295"/>
      <c r="H170" s="295"/>
      <c r="I170" s="297"/>
      <c r="J170" s="297"/>
    </row>
    <row r="171" ht="15.75" customHeight="1">
      <c r="A171" s="295"/>
      <c r="B171" s="295"/>
      <c r="C171" s="296"/>
      <c r="D171" s="295"/>
      <c r="E171" s="295"/>
      <c r="F171" s="295"/>
      <c r="G171" s="295"/>
      <c r="H171" s="295"/>
      <c r="I171" s="297"/>
      <c r="J171" s="297"/>
    </row>
    <row r="172" ht="15.75" customHeight="1">
      <c r="A172" s="295"/>
      <c r="B172" s="295"/>
      <c r="C172" s="296"/>
      <c r="D172" s="295"/>
      <c r="E172" s="295"/>
      <c r="F172" s="295"/>
      <c r="G172" s="295"/>
      <c r="H172" s="295"/>
      <c r="I172" s="297"/>
      <c r="J172" s="297"/>
    </row>
    <row r="173" ht="15.75" customHeight="1">
      <c r="A173" s="295"/>
      <c r="B173" s="295"/>
      <c r="C173" s="296"/>
      <c r="D173" s="295"/>
      <c r="E173" s="295"/>
      <c r="F173" s="295"/>
      <c r="G173" s="295"/>
      <c r="H173" s="295"/>
      <c r="I173" s="297"/>
      <c r="J173" s="297"/>
    </row>
    <row r="174" ht="15.75" customHeight="1">
      <c r="A174" s="295"/>
      <c r="B174" s="295"/>
      <c r="C174" s="296"/>
      <c r="D174" s="295"/>
      <c r="E174" s="295"/>
      <c r="F174" s="295"/>
      <c r="G174" s="295"/>
      <c r="H174" s="295"/>
      <c r="I174" s="297"/>
      <c r="J174" s="297"/>
    </row>
    <row r="175" ht="15.75" customHeight="1">
      <c r="A175" s="295"/>
      <c r="B175" s="295"/>
      <c r="C175" s="296"/>
      <c r="D175" s="295"/>
      <c r="E175" s="295"/>
      <c r="F175" s="295"/>
      <c r="G175" s="295"/>
      <c r="H175" s="295"/>
      <c r="I175" s="297"/>
      <c r="J175" s="297"/>
    </row>
    <row r="176" ht="15.75" customHeight="1">
      <c r="A176" s="295"/>
      <c r="B176" s="295"/>
      <c r="C176" s="296"/>
      <c r="D176" s="295"/>
      <c r="E176" s="295"/>
      <c r="F176" s="295"/>
      <c r="G176" s="295"/>
      <c r="H176" s="295"/>
      <c r="I176" s="297"/>
      <c r="J176" s="297"/>
    </row>
    <row r="177" ht="15.75" customHeight="1">
      <c r="A177" s="295"/>
      <c r="B177" s="295"/>
      <c r="C177" s="296"/>
      <c r="D177" s="295"/>
      <c r="E177" s="295"/>
      <c r="F177" s="295"/>
      <c r="G177" s="295"/>
      <c r="H177" s="295"/>
      <c r="I177" s="297"/>
      <c r="J177" s="297"/>
    </row>
    <row r="178" ht="15.75" customHeight="1">
      <c r="A178" s="295"/>
      <c r="B178" s="295"/>
      <c r="C178" s="296"/>
      <c r="D178" s="295"/>
      <c r="E178" s="295"/>
      <c r="F178" s="295"/>
      <c r="G178" s="295"/>
      <c r="H178" s="295"/>
      <c r="I178" s="297"/>
      <c r="J178" s="297"/>
    </row>
    <row r="179" ht="15.75" customHeight="1">
      <c r="A179" s="295"/>
      <c r="B179" s="295"/>
      <c r="C179" s="296"/>
      <c r="D179" s="295"/>
      <c r="E179" s="295"/>
      <c r="F179" s="295"/>
      <c r="G179" s="295"/>
      <c r="H179" s="295"/>
      <c r="I179" s="297"/>
      <c r="J179" s="297"/>
    </row>
    <row r="180" ht="15.75" customHeight="1">
      <c r="A180" s="295"/>
      <c r="B180" s="295"/>
      <c r="C180" s="296"/>
      <c r="D180" s="295"/>
      <c r="E180" s="295"/>
      <c r="F180" s="295"/>
      <c r="G180" s="295"/>
      <c r="H180" s="295"/>
      <c r="I180" s="297"/>
      <c r="J180" s="297"/>
    </row>
    <row r="181" ht="15.75" customHeight="1">
      <c r="A181" s="295"/>
      <c r="B181" s="295"/>
      <c r="C181" s="296"/>
      <c r="D181" s="295"/>
      <c r="E181" s="295"/>
      <c r="F181" s="295"/>
      <c r="G181" s="295"/>
      <c r="H181" s="295"/>
      <c r="I181" s="297"/>
      <c r="J181" s="297"/>
    </row>
    <row r="182" ht="15.75" customHeight="1">
      <c r="A182" s="295"/>
      <c r="B182" s="295"/>
      <c r="C182" s="296"/>
      <c r="D182" s="295"/>
      <c r="E182" s="295"/>
      <c r="F182" s="295"/>
      <c r="G182" s="295"/>
      <c r="H182" s="295"/>
      <c r="I182" s="297"/>
      <c r="J182" s="297"/>
    </row>
    <row r="183" ht="15.75" customHeight="1">
      <c r="A183" s="295"/>
      <c r="B183" s="295"/>
      <c r="C183" s="296"/>
      <c r="D183" s="295"/>
      <c r="E183" s="295"/>
      <c r="F183" s="295"/>
      <c r="G183" s="295"/>
      <c r="H183" s="295"/>
      <c r="I183" s="297"/>
      <c r="J183" s="297"/>
    </row>
    <row r="184" ht="15.75" customHeight="1">
      <c r="A184" s="295"/>
      <c r="B184" s="295"/>
      <c r="C184" s="296"/>
      <c r="D184" s="295"/>
      <c r="E184" s="295"/>
      <c r="F184" s="295"/>
      <c r="G184" s="295"/>
      <c r="H184" s="295"/>
      <c r="I184" s="297"/>
      <c r="J184" s="297"/>
    </row>
    <row r="185" ht="15.75" customHeight="1">
      <c r="A185" s="295"/>
      <c r="B185" s="295"/>
      <c r="C185" s="296"/>
      <c r="D185" s="295"/>
      <c r="E185" s="295"/>
      <c r="F185" s="295"/>
      <c r="G185" s="295"/>
      <c r="H185" s="295"/>
      <c r="I185" s="297"/>
      <c r="J185" s="297"/>
    </row>
    <row r="186" ht="15.75" customHeight="1">
      <c r="A186" s="295"/>
      <c r="B186" s="295"/>
      <c r="C186" s="296"/>
      <c r="D186" s="295"/>
      <c r="E186" s="295"/>
      <c r="F186" s="295"/>
      <c r="G186" s="295"/>
      <c r="H186" s="295"/>
      <c r="I186" s="297"/>
      <c r="J186" s="297"/>
    </row>
    <row r="187" ht="15.75" customHeight="1">
      <c r="A187" s="295"/>
      <c r="B187" s="295"/>
      <c r="C187" s="296"/>
      <c r="D187" s="295"/>
      <c r="E187" s="295"/>
      <c r="F187" s="295"/>
      <c r="G187" s="295"/>
      <c r="H187" s="295"/>
      <c r="I187" s="297"/>
      <c r="J187" s="297"/>
    </row>
    <row r="188" ht="15.75" customHeight="1">
      <c r="A188" s="295"/>
      <c r="B188" s="295"/>
      <c r="C188" s="296"/>
      <c r="D188" s="295"/>
      <c r="E188" s="295"/>
      <c r="F188" s="295"/>
      <c r="G188" s="295"/>
      <c r="H188" s="295"/>
      <c r="I188" s="297"/>
      <c r="J188" s="297"/>
    </row>
    <row r="189" ht="15.75" customHeight="1">
      <c r="A189" s="295"/>
      <c r="B189" s="295"/>
      <c r="C189" s="296"/>
      <c r="D189" s="295"/>
      <c r="E189" s="295"/>
      <c r="F189" s="295"/>
      <c r="G189" s="295"/>
      <c r="H189" s="295"/>
      <c r="I189" s="297"/>
      <c r="J189" s="297"/>
    </row>
    <row r="190" ht="15.75" customHeight="1">
      <c r="A190" s="295"/>
      <c r="B190" s="295"/>
      <c r="C190" s="296"/>
      <c r="D190" s="295"/>
      <c r="E190" s="295"/>
      <c r="F190" s="295"/>
      <c r="G190" s="295"/>
      <c r="H190" s="295"/>
      <c r="I190" s="297"/>
      <c r="J190" s="297"/>
    </row>
    <row r="191" ht="15.75" customHeight="1">
      <c r="A191" s="295"/>
      <c r="B191" s="295"/>
      <c r="C191" s="296"/>
      <c r="D191" s="295"/>
      <c r="E191" s="295"/>
      <c r="F191" s="295"/>
      <c r="G191" s="295"/>
      <c r="H191" s="295"/>
      <c r="I191" s="297"/>
      <c r="J191" s="297"/>
    </row>
    <row r="192" ht="15.75" customHeight="1">
      <c r="A192" s="295"/>
      <c r="B192" s="295"/>
      <c r="C192" s="296"/>
      <c r="D192" s="295"/>
      <c r="E192" s="295"/>
      <c r="F192" s="295"/>
      <c r="G192" s="295"/>
      <c r="H192" s="295"/>
      <c r="I192" s="297"/>
      <c r="J192" s="297"/>
    </row>
    <row r="193" ht="15.75" customHeight="1">
      <c r="A193" s="295"/>
      <c r="B193" s="295"/>
      <c r="C193" s="296"/>
      <c r="D193" s="295"/>
      <c r="E193" s="295"/>
      <c r="F193" s="295"/>
      <c r="G193" s="295"/>
      <c r="H193" s="295"/>
      <c r="I193" s="297"/>
      <c r="J193" s="297"/>
    </row>
    <row r="194" ht="15.75" customHeight="1">
      <c r="A194" s="295"/>
      <c r="B194" s="295"/>
      <c r="C194" s="296"/>
      <c r="D194" s="295"/>
      <c r="E194" s="295"/>
      <c r="F194" s="295"/>
      <c r="G194" s="295"/>
      <c r="H194" s="295"/>
      <c r="I194" s="297"/>
      <c r="J194" s="297"/>
    </row>
    <row r="195" ht="15.75" customHeight="1">
      <c r="A195" s="295"/>
      <c r="B195" s="295"/>
      <c r="C195" s="296"/>
      <c r="D195" s="295"/>
      <c r="E195" s="295"/>
      <c r="F195" s="295"/>
      <c r="G195" s="295"/>
      <c r="H195" s="295"/>
      <c r="I195" s="297"/>
      <c r="J195" s="297"/>
    </row>
    <row r="196" ht="15.75" customHeight="1">
      <c r="A196" s="295"/>
      <c r="B196" s="295"/>
      <c r="C196" s="296"/>
      <c r="D196" s="295"/>
      <c r="E196" s="295"/>
      <c r="F196" s="295"/>
      <c r="G196" s="295"/>
      <c r="H196" s="295"/>
      <c r="I196" s="297"/>
      <c r="J196" s="297"/>
    </row>
    <row r="197" ht="15.75" customHeight="1">
      <c r="A197" s="295"/>
      <c r="B197" s="295"/>
      <c r="C197" s="296"/>
      <c r="D197" s="295"/>
      <c r="E197" s="295"/>
      <c r="F197" s="295"/>
      <c r="G197" s="295"/>
      <c r="H197" s="295"/>
      <c r="I197" s="297"/>
      <c r="J197" s="297"/>
    </row>
    <row r="198" ht="15.75" customHeight="1">
      <c r="A198" s="295"/>
      <c r="B198" s="295"/>
      <c r="C198" s="296"/>
      <c r="D198" s="295"/>
      <c r="E198" s="295"/>
      <c r="F198" s="295"/>
      <c r="G198" s="295"/>
      <c r="H198" s="295"/>
      <c r="I198" s="297"/>
      <c r="J198" s="297"/>
    </row>
    <row r="199" ht="15.75" customHeight="1">
      <c r="A199" s="295"/>
      <c r="B199" s="295"/>
      <c r="C199" s="296"/>
      <c r="D199" s="295"/>
      <c r="E199" s="295"/>
      <c r="F199" s="295"/>
      <c r="G199" s="295"/>
      <c r="H199" s="295"/>
      <c r="I199" s="297"/>
      <c r="J199" s="297"/>
    </row>
    <row r="200" ht="15.75" customHeight="1">
      <c r="A200" s="295"/>
      <c r="B200" s="295"/>
      <c r="C200" s="296"/>
      <c r="D200" s="295"/>
      <c r="E200" s="295"/>
      <c r="F200" s="295"/>
      <c r="G200" s="295"/>
      <c r="H200" s="295"/>
      <c r="I200" s="297"/>
      <c r="J200" s="297"/>
    </row>
    <row r="201" ht="15.75" customHeight="1">
      <c r="A201" s="295"/>
      <c r="B201" s="295"/>
      <c r="C201" s="296"/>
      <c r="D201" s="295"/>
      <c r="E201" s="295"/>
      <c r="F201" s="295"/>
      <c r="G201" s="295"/>
      <c r="H201" s="295"/>
      <c r="I201" s="297"/>
      <c r="J201" s="297"/>
    </row>
    <row r="202" ht="15.75" customHeight="1">
      <c r="A202" s="295"/>
      <c r="B202" s="295"/>
      <c r="C202" s="296"/>
      <c r="D202" s="295"/>
      <c r="E202" s="295"/>
      <c r="F202" s="295"/>
      <c r="G202" s="295"/>
      <c r="H202" s="295"/>
      <c r="I202" s="297"/>
      <c r="J202" s="297"/>
    </row>
    <row r="203" ht="15.75" customHeight="1">
      <c r="A203" s="295"/>
      <c r="B203" s="295"/>
      <c r="C203" s="296"/>
      <c r="D203" s="295"/>
      <c r="E203" s="295"/>
      <c r="F203" s="295"/>
      <c r="G203" s="295"/>
      <c r="H203" s="295"/>
      <c r="I203" s="297"/>
      <c r="J203" s="297"/>
    </row>
    <row r="204" ht="15.75" customHeight="1">
      <c r="A204" s="295"/>
      <c r="B204" s="295"/>
      <c r="C204" s="296"/>
      <c r="D204" s="295"/>
      <c r="E204" s="295"/>
      <c r="F204" s="295"/>
      <c r="G204" s="295"/>
      <c r="H204" s="295"/>
      <c r="I204" s="297"/>
      <c r="J204" s="297"/>
    </row>
    <row r="205" ht="15.75" customHeight="1">
      <c r="A205" s="295"/>
      <c r="B205" s="295"/>
      <c r="C205" s="296"/>
      <c r="D205" s="295"/>
      <c r="E205" s="295"/>
      <c r="F205" s="295"/>
      <c r="G205" s="295"/>
      <c r="H205" s="295"/>
      <c r="I205" s="297"/>
      <c r="J205" s="297"/>
    </row>
    <row r="206" ht="15.75" customHeight="1">
      <c r="A206" s="295"/>
      <c r="B206" s="295"/>
      <c r="C206" s="296"/>
      <c r="D206" s="295"/>
      <c r="E206" s="295"/>
      <c r="F206" s="295"/>
      <c r="G206" s="295"/>
      <c r="H206" s="295"/>
      <c r="I206" s="297"/>
      <c r="J206" s="297"/>
    </row>
    <row r="207" ht="15.75" customHeight="1">
      <c r="A207" s="295"/>
      <c r="B207" s="295"/>
      <c r="C207" s="296"/>
      <c r="D207" s="295"/>
      <c r="E207" s="295"/>
      <c r="F207" s="295"/>
      <c r="G207" s="295"/>
      <c r="H207" s="295"/>
      <c r="I207" s="297"/>
      <c r="J207" s="297"/>
    </row>
    <row r="208" ht="15.75" customHeight="1">
      <c r="A208" s="295"/>
      <c r="B208" s="295"/>
      <c r="C208" s="296"/>
      <c r="D208" s="295"/>
      <c r="E208" s="295"/>
      <c r="F208" s="295"/>
      <c r="G208" s="295"/>
      <c r="H208" s="295"/>
      <c r="I208" s="297"/>
      <c r="J208" s="297"/>
    </row>
    <row r="209" ht="15.75" customHeight="1">
      <c r="A209" s="295"/>
      <c r="B209" s="295"/>
      <c r="C209" s="296"/>
      <c r="D209" s="295"/>
      <c r="E209" s="295"/>
      <c r="F209" s="295"/>
      <c r="G209" s="295"/>
      <c r="H209" s="295"/>
      <c r="I209" s="297"/>
      <c r="J209" s="297"/>
    </row>
    <row r="210" ht="15.75" customHeight="1">
      <c r="A210" s="295"/>
      <c r="B210" s="295"/>
      <c r="C210" s="296"/>
      <c r="D210" s="295"/>
      <c r="E210" s="295"/>
      <c r="F210" s="295"/>
      <c r="G210" s="295"/>
      <c r="H210" s="295"/>
      <c r="I210" s="297"/>
      <c r="J210" s="297"/>
    </row>
    <row r="211" ht="15.75" customHeight="1">
      <c r="A211" s="295"/>
      <c r="B211" s="295"/>
      <c r="C211" s="296"/>
      <c r="D211" s="295"/>
      <c r="E211" s="295"/>
      <c r="F211" s="295"/>
      <c r="G211" s="295"/>
      <c r="H211" s="295"/>
      <c r="I211" s="297"/>
      <c r="J211" s="297"/>
    </row>
    <row r="212" ht="15.75" customHeight="1">
      <c r="A212" s="295"/>
      <c r="B212" s="295"/>
      <c r="C212" s="296"/>
      <c r="D212" s="295"/>
      <c r="E212" s="295"/>
      <c r="F212" s="295"/>
      <c r="G212" s="295"/>
      <c r="H212" s="295"/>
      <c r="I212" s="297"/>
      <c r="J212" s="297"/>
    </row>
    <row r="213" ht="15.75" customHeight="1">
      <c r="A213" s="295"/>
      <c r="B213" s="295"/>
      <c r="C213" s="296"/>
      <c r="D213" s="295"/>
      <c r="E213" s="295"/>
      <c r="F213" s="295"/>
      <c r="G213" s="295"/>
      <c r="H213" s="295"/>
      <c r="I213" s="297"/>
      <c r="J213" s="297"/>
    </row>
    <row r="214" ht="15.75" customHeight="1">
      <c r="A214" s="295"/>
      <c r="B214" s="295"/>
      <c r="C214" s="296"/>
      <c r="D214" s="295"/>
      <c r="E214" s="295"/>
      <c r="F214" s="295"/>
      <c r="G214" s="295"/>
      <c r="H214" s="295"/>
      <c r="I214" s="297"/>
      <c r="J214" s="297"/>
    </row>
    <row r="215" ht="15.75" customHeight="1">
      <c r="A215" s="295"/>
      <c r="B215" s="295"/>
      <c r="C215" s="296"/>
      <c r="D215" s="295"/>
      <c r="E215" s="295"/>
      <c r="F215" s="295"/>
      <c r="G215" s="295"/>
      <c r="H215" s="295"/>
      <c r="I215" s="297"/>
      <c r="J215" s="297"/>
    </row>
    <row r="216" ht="15.75" customHeight="1">
      <c r="A216" s="295"/>
      <c r="B216" s="295"/>
      <c r="C216" s="296"/>
      <c r="D216" s="295"/>
      <c r="E216" s="295"/>
      <c r="F216" s="295"/>
      <c r="G216" s="295"/>
      <c r="H216" s="295"/>
      <c r="I216" s="297"/>
      <c r="J216" s="297"/>
    </row>
    <row r="217" ht="15.75" customHeight="1">
      <c r="A217" s="295"/>
      <c r="B217" s="295"/>
      <c r="C217" s="296"/>
      <c r="D217" s="295"/>
      <c r="E217" s="295"/>
      <c r="F217" s="295"/>
      <c r="G217" s="295"/>
      <c r="H217" s="295"/>
      <c r="I217" s="297"/>
      <c r="J217" s="297"/>
    </row>
    <row r="218" ht="15.75" customHeight="1">
      <c r="A218" s="295"/>
      <c r="B218" s="295"/>
      <c r="C218" s="296"/>
      <c r="D218" s="295"/>
      <c r="E218" s="295"/>
      <c r="F218" s="295"/>
      <c r="G218" s="295"/>
      <c r="H218" s="295"/>
      <c r="I218" s="297"/>
      <c r="J218" s="297"/>
    </row>
    <row r="219" ht="15.75" customHeight="1">
      <c r="A219" s="295"/>
      <c r="B219" s="295"/>
      <c r="C219" s="296"/>
      <c r="D219" s="295"/>
      <c r="E219" s="295"/>
      <c r="F219" s="295"/>
      <c r="G219" s="295"/>
      <c r="H219" s="295"/>
      <c r="I219" s="297"/>
      <c r="J219" s="297"/>
    </row>
    <row r="220" ht="15.75" customHeight="1">
      <c r="A220" s="295"/>
      <c r="B220" s="295"/>
      <c r="C220" s="296"/>
      <c r="D220" s="295"/>
      <c r="E220" s="295"/>
      <c r="F220" s="295"/>
      <c r="G220" s="295"/>
      <c r="H220" s="295"/>
      <c r="I220" s="297"/>
      <c r="J220" s="297"/>
    </row>
    <row r="221" ht="15.75" customHeight="1">
      <c r="A221" s="295"/>
      <c r="B221" s="295"/>
      <c r="C221" s="296"/>
      <c r="D221" s="295"/>
      <c r="E221" s="295"/>
      <c r="F221" s="295"/>
      <c r="G221" s="295"/>
      <c r="H221" s="295"/>
      <c r="I221" s="297"/>
      <c r="J221" s="297"/>
    </row>
    <row r="222" ht="15.75" customHeight="1">
      <c r="A222" s="295"/>
      <c r="B222" s="295"/>
      <c r="C222" s="296"/>
      <c r="D222" s="295"/>
      <c r="E222" s="295"/>
      <c r="F222" s="295"/>
      <c r="G222" s="295"/>
      <c r="H222" s="295"/>
      <c r="I222" s="297"/>
      <c r="J222" s="297"/>
    </row>
    <row r="223" ht="15.75" customHeight="1">
      <c r="A223" s="295"/>
      <c r="B223" s="295"/>
      <c r="C223" s="296"/>
      <c r="D223" s="295"/>
      <c r="E223" s="295"/>
      <c r="F223" s="295"/>
      <c r="G223" s="295"/>
      <c r="H223" s="295"/>
      <c r="I223" s="297"/>
      <c r="J223" s="297"/>
    </row>
    <row r="224" ht="15.75" customHeight="1">
      <c r="A224" s="295"/>
      <c r="B224" s="295"/>
      <c r="C224" s="296"/>
      <c r="D224" s="295"/>
      <c r="E224" s="295"/>
      <c r="F224" s="295"/>
      <c r="G224" s="295"/>
      <c r="H224" s="295"/>
      <c r="I224" s="297"/>
      <c r="J224" s="297"/>
    </row>
    <row r="225" ht="15.75" customHeight="1">
      <c r="A225" s="295"/>
      <c r="B225" s="295"/>
      <c r="C225" s="296"/>
      <c r="D225" s="295"/>
      <c r="E225" s="295"/>
      <c r="F225" s="295"/>
      <c r="G225" s="295"/>
      <c r="H225" s="295"/>
      <c r="I225" s="297"/>
      <c r="J225" s="297"/>
    </row>
    <row r="226" ht="15.75" customHeight="1">
      <c r="A226" s="295"/>
      <c r="B226" s="295"/>
      <c r="C226" s="296"/>
      <c r="D226" s="295"/>
      <c r="E226" s="295"/>
      <c r="F226" s="295"/>
      <c r="G226" s="295"/>
      <c r="H226" s="295"/>
      <c r="I226" s="297"/>
      <c r="J226" s="297"/>
    </row>
    <row r="227" ht="15.75" customHeight="1">
      <c r="A227" s="295"/>
      <c r="B227" s="295"/>
      <c r="C227" s="296"/>
      <c r="D227" s="295"/>
      <c r="E227" s="295"/>
      <c r="F227" s="295"/>
      <c r="G227" s="295"/>
      <c r="H227" s="295"/>
      <c r="I227" s="297"/>
      <c r="J227" s="297"/>
    </row>
    <row r="228" ht="15.75" customHeight="1">
      <c r="A228" s="295"/>
      <c r="B228" s="295"/>
      <c r="C228" s="296"/>
      <c r="D228" s="295"/>
      <c r="E228" s="295"/>
      <c r="F228" s="295"/>
      <c r="G228" s="295"/>
      <c r="H228" s="295"/>
      <c r="I228" s="297"/>
      <c r="J228" s="297"/>
    </row>
    <row r="229" ht="15.75" customHeight="1">
      <c r="A229" s="295"/>
      <c r="B229" s="295"/>
      <c r="C229" s="296"/>
      <c r="D229" s="295"/>
      <c r="E229" s="295"/>
      <c r="F229" s="295"/>
      <c r="G229" s="295"/>
      <c r="H229" s="295"/>
      <c r="I229" s="297"/>
      <c r="J229" s="297"/>
    </row>
    <row r="230" ht="15.75" customHeight="1">
      <c r="A230" s="295"/>
      <c r="B230" s="295"/>
      <c r="C230" s="296"/>
      <c r="D230" s="295"/>
      <c r="E230" s="295"/>
      <c r="F230" s="295"/>
      <c r="G230" s="295"/>
      <c r="H230" s="295"/>
      <c r="I230" s="297"/>
      <c r="J230" s="297"/>
    </row>
    <row r="231" ht="15.75" customHeight="1">
      <c r="A231" s="295"/>
      <c r="B231" s="295"/>
      <c r="C231" s="296"/>
      <c r="D231" s="295"/>
      <c r="E231" s="295"/>
      <c r="F231" s="295"/>
      <c r="G231" s="295"/>
      <c r="H231" s="295"/>
      <c r="I231" s="297"/>
      <c r="J231" s="297"/>
    </row>
    <row r="232" ht="15.75" customHeight="1">
      <c r="A232" s="295"/>
      <c r="B232" s="295"/>
      <c r="C232" s="296"/>
      <c r="D232" s="295"/>
      <c r="E232" s="295"/>
      <c r="F232" s="295"/>
      <c r="G232" s="295"/>
      <c r="H232" s="295"/>
      <c r="I232" s="297"/>
      <c r="J232" s="297"/>
    </row>
    <row r="233" ht="15.75" customHeight="1">
      <c r="A233" s="295"/>
      <c r="B233" s="295"/>
      <c r="C233" s="296"/>
      <c r="D233" s="295"/>
      <c r="E233" s="295"/>
      <c r="F233" s="295"/>
      <c r="G233" s="295"/>
      <c r="H233" s="295"/>
      <c r="I233" s="297"/>
      <c r="J233" s="297"/>
    </row>
    <row r="234" ht="15.75" customHeight="1">
      <c r="A234" s="295"/>
      <c r="B234" s="295"/>
      <c r="C234" s="296"/>
      <c r="D234" s="295"/>
      <c r="E234" s="295"/>
      <c r="F234" s="295"/>
      <c r="G234" s="295"/>
      <c r="H234" s="295"/>
      <c r="I234" s="297"/>
      <c r="J234" s="297"/>
    </row>
    <row r="235" ht="15.75" customHeight="1">
      <c r="A235" s="295"/>
      <c r="B235" s="295"/>
      <c r="C235" s="296"/>
      <c r="D235" s="295"/>
      <c r="E235" s="295"/>
      <c r="F235" s="295"/>
      <c r="G235" s="295"/>
      <c r="H235" s="295"/>
      <c r="I235" s="297"/>
      <c r="J235" s="297"/>
    </row>
    <row r="236" ht="15.75" customHeight="1">
      <c r="A236" s="295"/>
      <c r="B236" s="295"/>
      <c r="C236" s="296"/>
      <c r="D236" s="295"/>
      <c r="E236" s="295"/>
      <c r="F236" s="295"/>
      <c r="G236" s="295"/>
      <c r="H236" s="295"/>
      <c r="I236" s="297"/>
      <c r="J236" s="297"/>
    </row>
    <row r="237" ht="15.75" customHeight="1">
      <c r="A237" s="295"/>
      <c r="B237" s="295"/>
      <c r="C237" s="296"/>
      <c r="D237" s="295"/>
      <c r="E237" s="295"/>
      <c r="F237" s="295"/>
      <c r="G237" s="295"/>
      <c r="H237" s="295"/>
      <c r="I237" s="297"/>
      <c r="J237" s="297"/>
    </row>
    <row r="238" ht="15.75" customHeight="1">
      <c r="A238" s="295"/>
      <c r="B238" s="295"/>
      <c r="C238" s="296"/>
      <c r="D238" s="295"/>
      <c r="E238" s="295"/>
      <c r="F238" s="295"/>
      <c r="G238" s="295"/>
      <c r="H238" s="295"/>
      <c r="I238" s="297"/>
      <c r="J238" s="29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</cols>
  <sheetData>
    <row r="1" ht="15.75" customHeight="1">
      <c r="A1" s="285" t="s">
        <v>143</v>
      </c>
      <c r="B1" s="285" t="s">
        <v>144</v>
      </c>
      <c r="C1" s="286" t="s">
        <v>145</v>
      </c>
      <c r="D1" s="285" t="s">
        <v>146</v>
      </c>
      <c r="E1" s="285" t="s">
        <v>147</v>
      </c>
      <c r="F1" s="285" t="s">
        <v>244</v>
      </c>
      <c r="G1" s="285" t="s">
        <v>149</v>
      </c>
      <c r="H1" s="285" t="s">
        <v>245</v>
      </c>
      <c r="I1" s="287" t="s">
        <v>96</v>
      </c>
      <c r="J1" s="287" t="s">
        <v>68</v>
      </c>
    </row>
    <row r="2" ht="15.75" customHeight="1">
      <c r="A2" s="288">
        <v>44410.0</v>
      </c>
      <c r="B2" s="289"/>
      <c r="C2" s="290"/>
      <c r="D2" s="291"/>
      <c r="E2" s="291"/>
      <c r="F2" s="290" t="str">
        <f t="shared" ref="F2:F36" si="1">E2/D2</f>
        <v>#DIV/0!</v>
      </c>
      <c r="G2" s="291"/>
      <c r="H2" s="290" t="str">
        <f t="shared" ref="H2:H36" si="2">G2/E2</f>
        <v>#DIV/0!</v>
      </c>
      <c r="I2" s="292" t="str">
        <f t="shared" ref="I2:I36" si="3">J2/G2</f>
        <v>#DIV/0!</v>
      </c>
      <c r="J2" s="293"/>
    </row>
    <row r="3" ht="15.75" customHeight="1">
      <c r="A3" s="288">
        <v>44411.0</v>
      </c>
      <c r="B3" s="289"/>
      <c r="C3" s="290"/>
      <c r="D3" s="291"/>
      <c r="E3" s="291"/>
      <c r="F3" s="290" t="str">
        <f t="shared" si="1"/>
        <v>#DIV/0!</v>
      </c>
      <c r="G3" s="291"/>
      <c r="H3" s="290" t="str">
        <f t="shared" si="2"/>
        <v>#DIV/0!</v>
      </c>
      <c r="I3" s="292" t="str">
        <f t="shared" si="3"/>
        <v>#DIV/0!</v>
      </c>
      <c r="J3" s="293"/>
    </row>
    <row r="4" ht="15.75" customHeight="1">
      <c r="A4" s="288">
        <v>44412.0</v>
      </c>
      <c r="B4" s="291"/>
      <c r="C4" s="290"/>
      <c r="D4" s="291"/>
      <c r="E4" s="291"/>
      <c r="F4" s="290" t="str">
        <f t="shared" si="1"/>
        <v>#DIV/0!</v>
      </c>
      <c r="G4" s="291"/>
      <c r="H4" s="290" t="str">
        <f t="shared" si="2"/>
        <v>#DIV/0!</v>
      </c>
      <c r="I4" s="292" t="str">
        <f t="shared" si="3"/>
        <v>#DIV/0!</v>
      </c>
      <c r="J4" s="293"/>
    </row>
    <row r="5" ht="15.75" customHeight="1">
      <c r="A5" s="288">
        <v>44413.0</v>
      </c>
      <c r="B5" s="291"/>
      <c r="C5" s="290"/>
      <c r="D5" s="291"/>
      <c r="E5" s="291"/>
      <c r="F5" s="290" t="str">
        <f t="shared" si="1"/>
        <v>#DIV/0!</v>
      </c>
      <c r="G5" s="291"/>
      <c r="H5" s="290" t="str">
        <f t="shared" si="2"/>
        <v>#DIV/0!</v>
      </c>
      <c r="I5" s="292" t="str">
        <f t="shared" si="3"/>
        <v>#DIV/0!</v>
      </c>
      <c r="J5" s="293"/>
    </row>
    <row r="6" ht="15.75" customHeight="1">
      <c r="A6" s="288">
        <v>44414.0</v>
      </c>
      <c r="B6" s="291"/>
      <c r="C6" s="290"/>
      <c r="D6" s="291"/>
      <c r="E6" s="291"/>
      <c r="F6" s="290" t="str">
        <f t="shared" si="1"/>
        <v>#DIV/0!</v>
      </c>
      <c r="G6" s="291"/>
      <c r="H6" s="290" t="str">
        <f t="shared" si="2"/>
        <v>#DIV/0!</v>
      </c>
      <c r="I6" s="292" t="str">
        <f t="shared" si="3"/>
        <v>#DIV/0!</v>
      </c>
      <c r="J6" s="293"/>
    </row>
    <row r="7" ht="15.75" customHeight="1">
      <c r="A7" s="288">
        <v>44415.0</v>
      </c>
      <c r="B7" s="291"/>
      <c r="C7" s="290"/>
      <c r="D7" s="291"/>
      <c r="E7" s="291"/>
      <c r="F7" s="290" t="str">
        <f t="shared" si="1"/>
        <v>#DIV/0!</v>
      </c>
      <c r="G7" s="291"/>
      <c r="H7" s="290" t="str">
        <f t="shared" si="2"/>
        <v>#DIV/0!</v>
      </c>
      <c r="I7" s="292" t="str">
        <f t="shared" si="3"/>
        <v>#DIV/0!</v>
      </c>
      <c r="J7" s="293"/>
    </row>
    <row r="8" ht="15.75" customHeight="1">
      <c r="A8" s="288">
        <v>44416.0</v>
      </c>
      <c r="B8" s="291"/>
      <c r="C8" s="290"/>
      <c r="D8" s="291"/>
      <c r="E8" s="291"/>
      <c r="F8" s="290" t="str">
        <f t="shared" si="1"/>
        <v>#DIV/0!</v>
      </c>
      <c r="G8" s="291"/>
      <c r="H8" s="290" t="str">
        <f t="shared" si="2"/>
        <v>#DIV/0!</v>
      </c>
      <c r="I8" s="292" t="str">
        <f t="shared" si="3"/>
        <v>#DIV/0!</v>
      </c>
      <c r="J8" s="293"/>
    </row>
    <row r="9" ht="15.75" customHeight="1">
      <c r="A9" s="288">
        <v>44417.0</v>
      </c>
      <c r="B9" s="291"/>
      <c r="C9" s="290"/>
      <c r="D9" s="291"/>
      <c r="E9" s="291"/>
      <c r="F9" s="290" t="str">
        <f t="shared" si="1"/>
        <v>#DIV/0!</v>
      </c>
      <c r="G9" s="291"/>
      <c r="H9" s="290" t="str">
        <f t="shared" si="2"/>
        <v>#DIV/0!</v>
      </c>
      <c r="I9" s="292" t="str">
        <f t="shared" si="3"/>
        <v>#DIV/0!</v>
      </c>
      <c r="J9" s="293"/>
    </row>
    <row r="10" ht="15.75" customHeight="1">
      <c r="A10" s="288">
        <v>44418.0</v>
      </c>
      <c r="B10" s="291"/>
      <c r="C10" s="290"/>
      <c r="D10" s="291"/>
      <c r="E10" s="291"/>
      <c r="F10" s="290" t="str">
        <f t="shared" si="1"/>
        <v>#DIV/0!</v>
      </c>
      <c r="G10" s="291"/>
      <c r="H10" s="290" t="str">
        <f t="shared" si="2"/>
        <v>#DIV/0!</v>
      </c>
      <c r="I10" s="292" t="str">
        <f t="shared" si="3"/>
        <v>#DIV/0!</v>
      </c>
      <c r="J10" s="293"/>
    </row>
    <row r="11" ht="15.75" customHeight="1">
      <c r="A11" s="288">
        <v>44419.0</v>
      </c>
      <c r="B11" s="291"/>
      <c r="C11" s="290"/>
      <c r="D11" s="291"/>
      <c r="E11" s="291"/>
      <c r="F11" s="290" t="str">
        <f t="shared" si="1"/>
        <v>#DIV/0!</v>
      </c>
      <c r="G11" s="291"/>
      <c r="H11" s="290" t="str">
        <f t="shared" si="2"/>
        <v>#DIV/0!</v>
      </c>
      <c r="I11" s="292" t="str">
        <f t="shared" si="3"/>
        <v>#DIV/0!</v>
      </c>
      <c r="J11" s="293"/>
    </row>
    <row r="12" ht="15.75" customHeight="1">
      <c r="A12" s="288">
        <v>44420.0</v>
      </c>
      <c r="B12" s="291"/>
      <c r="C12" s="290"/>
      <c r="D12" s="291"/>
      <c r="E12" s="291"/>
      <c r="F12" s="290" t="str">
        <f t="shared" si="1"/>
        <v>#DIV/0!</v>
      </c>
      <c r="G12" s="291"/>
      <c r="H12" s="290" t="str">
        <f t="shared" si="2"/>
        <v>#DIV/0!</v>
      </c>
      <c r="I12" s="292" t="str">
        <f t="shared" si="3"/>
        <v>#DIV/0!</v>
      </c>
      <c r="J12" s="293"/>
    </row>
    <row r="13" ht="15.75" customHeight="1">
      <c r="A13" s="288">
        <v>44421.0</v>
      </c>
      <c r="B13" s="291"/>
      <c r="C13" s="290"/>
      <c r="D13" s="291"/>
      <c r="E13" s="291"/>
      <c r="F13" s="290" t="str">
        <f t="shared" si="1"/>
        <v>#DIV/0!</v>
      </c>
      <c r="G13" s="291"/>
      <c r="H13" s="290" t="str">
        <f t="shared" si="2"/>
        <v>#DIV/0!</v>
      </c>
      <c r="I13" s="292" t="str">
        <f t="shared" si="3"/>
        <v>#DIV/0!</v>
      </c>
      <c r="J13" s="293"/>
    </row>
    <row r="14" ht="15.75" customHeight="1">
      <c r="A14" s="288">
        <v>44422.0</v>
      </c>
      <c r="B14" s="291"/>
      <c r="C14" s="290"/>
      <c r="D14" s="291"/>
      <c r="E14" s="291"/>
      <c r="F14" s="290" t="str">
        <f t="shared" si="1"/>
        <v>#DIV/0!</v>
      </c>
      <c r="G14" s="291"/>
      <c r="H14" s="290" t="str">
        <f t="shared" si="2"/>
        <v>#DIV/0!</v>
      </c>
      <c r="I14" s="292" t="str">
        <f t="shared" si="3"/>
        <v>#DIV/0!</v>
      </c>
      <c r="J14" s="293"/>
    </row>
    <row r="15" ht="15.75" customHeight="1">
      <c r="A15" s="288">
        <v>44423.0</v>
      </c>
      <c r="B15" s="291"/>
      <c r="C15" s="290"/>
      <c r="D15" s="291"/>
      <c r="E15" s="291"/>
      <c r="F15" s="290" t="str">
        <f t="shared" si="1"/>
        <v>#DIV/0!</v>
      </c>
      <c r="G15" s="291"/>
      <c r="H15" s="290" t="str">
        <f t="shared" si="2"/>
        <v>#DIV/0!</v>
      </c>
      <c r="I15" s="292" t="str">
        <f t="shared" si="3"/>
        <v>#DIV/0!</v>
      </c>
      <c r="J15" s="293"/>
    </row>
    <row r="16" ht="15.75" customHeight="1">
      <c r="A16" s="288">
        <v>44424.0</v>
      </c>
      <c r="B16" s="291"/>
      <c r="C16" s="290"/>
      <c r="D16" s="291"/>
      <c r="E16" s="291"/>
      <c r="F16" s="290" t="str">
        <f t="shared" si="1"/>
        <v>#DIV/0!</v>
      </c>
      <c r="G16" s="291"/>
      <c r="H16" s="290" t="str">
        <f t="shared" si="2"/>
        <v>#DIV/0!</v>
      </c>
      <c r="I16" s="292" t="str">
        <f t="shared" si="3"/>
        <v>#DIV/0!</v>
      </c>
      <c r="J16" s="293"/>
    </row>
    <row r="17" ht="15.75" customHeight="1">
      <c r="A17" s="288">
        <v>44425.0</v>
      </c>
      <c r="B17" s="291"/>
      <c r="C17" s="290"/>
      <c r="D17" s="291"/>
      <c r="E17" s="291"/>
      <c r="F17" s="290" t="str">
        <f t="shared" si="1"/>
        <v>#DIV/0!</v>
      </c>
      <c r="G17" s="291"/>
      <c r="H17" s="290" t="str">
        <f t="shared" si="2"/>
        <v>#DIV/0!</v>
      </c>
      <c r="I17" s="292" t="str">
        <f t="shared" si="3"/>
        <v>#DIV/0!</v>
      </c>
      <c r="J17" s="293"/>
    </row>
    <row r="18" ht="15.75" customHeight="1">
      <c r="A18" s="288">
        <v>44426.0</v>
      </c>
      <c r="B18" s="291"/>
      <c r="C18" s="290"/>
      <c r="D18" s="291"/>
      <c r="E18" s="291"/>
      <c r="F18" s="290" t="str">
        <f t="shared" si="1"/>
        <v>#DIV/0!</v>
      </c>
      <c r="G18" s="291"/>
      <c r="H18" s="290" t="str">
        <f t="shared" si="2"/>
        <v>#DIV/0!</v>
      </c>
      <c r="I18" s="292" t="str">
        <f t="shared" si="3"/>
        <v>#DIV/0!</v>
      </c>
      <c r="J18" s="293"/>
    </row>
    <row r="19" ht="15.75" customHeight="1">
      <c r="A19" s="288">
        <v>44427.0</v>
      </c>
      <c r="B19" s="291"/>
      <c r="C19" s="290"/>
      <c r="D19" s="291"/>
      <c r="E19" s="291"/>
      <c r="F19" s="290" t="str">
        <f t="shared" si="1"/>
        <v>#DIV/0!</v>
      </c>
      <c r="G19" s="291"/>
      <c r="H19" s="290" t="str">
        <f t="shared" si="2"/>
        <v>#DIV/0!</v>
      </c>
      <c r="I19" s="292" t="str">
        <f t="shared" si="3"/>
        <v>#DIV/0!</v>
      </c>
      <c r="J19" s="293"/>
    </row>
    <row r="20" ht="15.75" customHeight="1">
      <c r="A20" s="288">
        <v>44428.0</v>
      </c>
      <c r="B20" s="291"/>
      <c r="C20" s="290"/>
      <c r="D20" s="291"/>
      <c r="E20" s="291"/>
      <c r="F20" s="290" t="str">
        <f t="shared" si="1"/>
        <v>#DIV/0!</v>
      </c>
      <c r="G20" s="291"/>
      <c r="H20" s="290" t="str">
        <f t="shared" si="2"/>
        <v>#DIV/0!</v>
      </c>
      <c r="I20" s="292" t="str">
        <f t="shared" si="3"/>
        <v>#DIV/0!</v>
      </c>
      <c r="J20" s="293"/>
    </row>
    <row r="21" ht="15.75" customHeight="1">
      <c r="A21" s="288">
        <v>44429.0</v>
      </c>
      <c r="B21" s="291"/>
      <c r="C21" s="290"/>
      <c r="D21" s="291"/>
      <c r="E21" s="291"/>
      <c r="F21" s="290" t="str">
        <f t="shared" si="1"/>
        <v>#DIV/0!</v>
      </c>
      <c r="G21" s="291"/>
      <c r="H21" s="290" t="str">
        <f t="shared" si="2"/>
        <v>#DIV/0!</v>
      </c>
      <c r="I21" s="292" t="str">
        <f t="shared" si="3"/>
        <v>#DIV/0!</v>
      </c>
      <c r="J21" s="293"/>
    </row>
    <row r="22" ht="15.75" customHeight="1">
      <c r="A22" s="288">
        <v>44430.0</v>
      </c>
      <c r="B22" s="291"/>
      <c r="C22" s="290"/>
      <c r="D22" s="291"/>
      <c r="E22" s="291"/>
      <c r="F22" s="290" t="str">
        <f t="shared" si="1"/>
        <v>#DIV/0!</v>
      </c>
      <c r="G22" s="291"/>
      <c r="H22" s="290" t="str">
        <f t="shared" si="2"/>
        <v>#DIV/0!</v>
      </c>
      <c r="I22" s="292" t="str">
        <f t="shared" si="3"/>
        <v>#DIV/0!</v>
      </c>
      <c r="J22" s="293"/>
    </row>
    <row r="23" ht="15.75" customHeight="1">
      <c r="A23" s="288">
        <v>44431.0</v>
      </c>
      <c r="B23" s="291"/>
      <c r="C23" s="290"/>
      <c r="D23" s="291"/>
      <c r="E23" s="291"/>
      <c r="F23" s="290" t="str">
        <f t="shared" si="1"/>
        <v>#DIV/0!</v>
      </c>
      <c r="G23" s="291"/>
      <c r="H23" s="290" t="str">
        <f t="shared" si="2"/>
        <v>#DIV/0!</v>
      </c>
      <c r="I23" s="292" t="str">
        <f t="shared" si="3"/>
        <v>#DIV/0!</v>
      </c>
      <c r="J23" s="293"/>
    </row>
    <row r="24" ht="15.75" customHeight="1">
      <c r="A24" s="288">
        <v>44432.0</v>
      </c>
      <c r="B24" s="291"/>
      <c r="C24" s="290"/>
      <c r="D24" s="291"/>
      <c r="E24" s="291"/>
      <c r="F24" s="290" t="str">
        <f t="shared" si="1"/>
        <v>#DIV/0!</v>
      </c>
      <c r="G24" s="291"/>
      <c r="H24" s="290" t="str">
        <f t="shared" si="2"/>
        <v>#DIV/0!</v>
      </c>
      <c r="I24" s="292" t="str">
        <f t="shared" si="3"/>
        <v>#DIV/0!</v>
      </c>
      <c r="J24" s="293"/>
    </row>
    <row r="25" ht="15.75" customHeight="1">
      <c r="A25" s="288">
        <v>44433.0</v>
      </c>
      <c r="B25" s="291"/>
      <c r="C25" s="290"/>
      <c r="D25" s="291"/>
      <c r="E25" s="291"/>
      <c r="F25" s="290" t="str">
        <f t="shared" si="1"/>
        <v>#DIV/0!</v>
      </c>
      <c r="G25" s="291"/>
      <c r="H25" s="290" t="str">
        <f t="shared" si="2"/>
        <v>#DIV/0!</v>
      </c>
      <c r="I25" s="292" t="str">
        <f t="shared" si="3"/>
        <v>#DIV/0!</v>
      </c>
      <c r="J25" s="293"/>
    </row>
    <row r="26" ht="15.75" customHeight="1">
      <c r="A26" s="288">
        <v>44434.0</v>
      </c>
      <c r="B26" s="291"/>
      <c r="C26" s="290"/>
      <c r="D26" s="291"/>
      <c r="E26" s="291"/>
      <c r="F26" s="290" t="str">
        <f t="shared" si="1"/>
        <v>#DIV/0!</v>
      </c>
      <c r="G26" s="291"/>
      <c r="H26" s="290" t="str">
        <f t="shared" si="2"/>
        <v>#DIV/0!</v>
      </c>
      <c r="I26" s="292" t="str">
        <f t="shared" si="3"/>
        <v>#DIV/0!</v>
      </c>
      <c r="J26" s="293"/>
    </row>
    <row r="27" ht="15.75" customHeight="1">
      <c r="A27" s="288">
        <v>44435.0</v>
      </c>
      <c r="B27" s="291"/>
      <c r="C27" s="290"/>
      <c r="D27" s="291"/>
      <c r="E27" s="291"/>
      <c r="F27" s="290" t="str">
        <f t="shared" si="1"/>
        <v>#DIV/0!</v>
      </c>
      <c r="G27" s="291"/>
      <c r="H27" s="290" t="str">
        <f t="shared" si="2"/>
        <v>#DIV/0!</v>
      </c>
      <c r="I27" s="292" t="str">
        <f t="shared" si="3"/>
        <v>#DIV/0!</v>
      </c>
      <c r="J27" s="293"/>
    </row>
    <row r="28" ht="15.75" customHeight="1">
      <c r="A28" s="288">
        <v>44436.0</v>
      </c>
      <c r="B28" s="291"/>
      <c r="C28" s="290"/>
      <c r="D28" s="291"/>
      <c r="E28" s="291"/>
      <c r="F28" s="290" t="str">
        <f t="shared" si="1"/>
        <v>#DIV/0!</v>
      </c>
      <c r="G28" s="291"/>
      <c r="H28" s="290" t="str">
        <f t="shared" si="2"/>
        <v>#DIV/0!</v>
      </c>
      <c r="I28" s="292" t="str">
        <f t="shared" si="3"/>
        <v>#DIV/0!</v>
      </c>
      <c r="J28" s="293"/>
    </row>
    <row r="29" ht="15.75" customHeight="1">
      <c r="A29" s="288">
        <v>44437.0</v>
      </c>
      <c r="B29" s="291"/>
      <c r="C29" s="290"/>
      <c r="D29" s="291"/>
      <c r="E29" s="291"/>
      <c r="F29" s="290" t="str">
        <f t="shared" si="1"/>
        <v>#DIV/0!</v>
      </c>
      <c r="G29" s="291"/>
      <c r="H29" s="290" t="str">
        <f t="shared" si="2"/>
        <v>#DIV/0!</v>
      </c>
      <c r="I29" s="292" t="str">
        <f t="shared" si="3"/>
        <v>#DIV/0!</v>
      </c>
      <c r="J29" s="293"/>
    </row>
    <row r="30" ht="15.75" customHeight="1">
      <c r="A30" s="288">
        <v>44438.0</v>
      </c>
      <c r="B30" s="291"/>
      <c r="C30" s="290"/>
      <c r="D30" s="291"/>
      <c r="E30" s="291"/>
      <c r="F30" s="290" t="str">
        <f t="shared" si="1"/>
        <v>#DIV/0!</v>
      </c>
      <c r="G30" s="291"/>
      <c r="H30" s="290" t="str">
        <f t="shared" si="2"/>
        <v>#DIV/0!</v>
      </c>
      <c r="I30" s="292" t="str">
        <f t="shared" si="3"/>
        <v>#DIV/0!</v>
      </c>
      <c r="J30" s="293"/>
    </row>
    <row r="31" ht="15.75" customHeight="1">
      <c r="A31" s="288">
        <v>44439.0</v>
      </c>
      <c r="B31" s="291"/>
      <c r="C31" s="290"/>
      <c r="D31" s="291"/>
      <c r="E31" s="291"/>
      <c r="F31" s="290" t="str">
        <f t="shared" si="1"/>
        <v>#DIV/0!</v>
      </c>
      <c r="G31" s="291"/>
      <c r="H31" s="290" t="str">
        <f t="shared" si="2"/>
        <v>#DIV/0!</v>
      </c>
      <c r="I31" s="292" t="str">
        <f t="shared" si="3"/>
        <v>#DIV/0!</v>
      </c>
      <c r="J31" s="293"/>
    </row>
    <row r="32" ht="15.75" customHeight="1">
      <c r="A32" s="288">
        <v>44440.0</v>
      </c>
      <c r="B32" s="291"/>
      <c r="C32" s="290"/>
      <c r="D32" s="291"/>
      <c r="E32" s="291"/>
      <c r="F32" s="290" t="str">
        <f t="shared" si="1"/>
        <v>#DIV/0!</v>
      </c>
      <c r="G32" s="291"/>
      <c r="H32" s="290" t="str">
        <f t="shared" si="2"/>
        <v>#DIV/0!</v>
      </c>
      <c r="I32" s="292" t="str">
        <f t="shared" si="3"/>
        <v>#DIV/0!</v>
      </c>
      <c r="J32" s="293"/>
    </row>
    <row r="33" ht="15.75" customHeight="1">
      <c r="A33" s="288">
        <v>44441.0</v>
      </c>
      <c r="B33" s="291"/>
      <c r="C33" s="290"/>
      <c r="D33" s="291"/>
      <c r="E33" s="291"/>
      <c r="F33" s="290" t="str">
        <f t="shared" si="1"/>
        <v>#DIV/0!</v>
      </c>
      <c r="G33" s="291"/>
      <c r="H33" s="290" t="str">
        <f t="shared" si="2"/>
        <v>#DIV/0!</v>
      </c>
      <c r="I33" s="292" t="str">
        <f t="shared" si="3"/>
        <v>#DIV/0!</v>
      </c>
      <c r="J33" s="293"/>
    </row>
    <row r="34" ht="15.75" customHeight="1">
      <c r="A34" s="288">
        <v>44442.0</v>
      </c>
      <c r="B34" s="291"/>
      <c r="C34" s="290"/>
      <c r="D34" s="291"/>
      <c r="E34" s="291"/>
      <c r="F34" s="290" t="str">
        <f t="shared" si="1"/>
        <v>#DIV/0!</v>
      </c>
      <c r="G34" s="291"/>
      <c r="H34" s="290" t="str">
        <f t="shared" si="2"/>
        <v>#DIV/0!</v>
      </c>
      <c r="I34" s="292" t="str">
        <f t="shared" si="3"/>
        <v>#DIV/0!</v>
      </c>
      <c r="J34" s="293"/>
    </row>
    <row r="35" ht="15.75" customHeight="1">
      <c r="A35" s="288">
        <v>44443.0</v>
      </c>
      <c r="B35" s="291"/>
      <c r="C35" s="290"/>
      <c r="D35" s="291"/>
      <c r="E35" s="291"/>
      <c r="F35" s="290" t="str">
        <f t="shared" si="1"/>
        <v>#DIV/0!</v>
      </c>
      <c r="G35" s="291"/>
      <c r="H35" s="290" t="str">
        <f t="shared" si="2"/>
        <v>#DIV/0!</v>
      </c>
      <c r="I35" s="292" t="str">
        <f t="shared" si="3"/>
        <v>#DIV/0!</v>
      </c>
      <c r="J35" s="293"/>
    </row>
    <row r="36" ht="15.75" customHeight="1">
      <c r="A36" s="288">
        <v>44444.0</v>
      </c>
      <c r="B36" s="291"/>
      <c r="C36" s="290"/>
      <c r="D36" s="291"/>
      <c r="E36" s="291"/>
      <c r="F36" s="290" t="str">
        <f t="shared" si="1"/>
        <v>#DIV/0!</v>
      </c>
      <c r="G36" s="291"/>
      <c r="H36" s="290" t="str">
        <f t="shared" si="2"/>
        <v>#DIV/0!</v>
      </c>
      <c r="I36" s="292" t="str">
        <f t="shared" si="3"/>
        <v>#DIV/0!</v>
      </c>
      <c r="J36" s="293"/>
    </row>
    <row r="37" ht="15.75" customHeight="1">
      <c r="A37" s="291" t="s">
        <v>151</v>
      </c>
      <c r="B37" s="289" t="str">
        <f t="shared" ref="B37:H37" si="4">MEDIAN(B2:B36)</f>
        <v>#NUM!</v>
      </c>
      <c r="C37" s="290" t="str">
        <f t="shared" si="4"/>
        <v>#NUM!</v>
      </c>
      <c r="D37" s="291" t="str">
        <f t="shared" si="4"/>
        <v>#NUM!</v>
      </c>
      <c r="E37" s="291" t="str">
        <f t="shared" si="4"/>
        <v>#NUM!</v>
      </c>
      <c r="F37" s="291" t="str">
        <f t="shared" si="4"/>
        <v>#DIV/0!</v>
      </c>
      <c r="G37" s="291" t="str">
        <f t="shared" si="4"/>
        <v>#NUM!</v>
      </c>
      <c r="H37" s="291" t="str">
        <f t="shared" si="4"/>
        <v>#DIV/0!</v>
      </c>
      <c r="I37" s="292"/>
      <c r="J37" s="293" t="str">
        <f>MEDIAN(J2:J36)</f>
        <v>#NUM!</v>
      </c>
    </row>
    <row r="38" ht="15.75" customHeight="1">
      <c r="A38" s="291" t="s">
        <v>71</v>
      </c>
      <c r="B38" s="289">
        <f>SUM(B2:B36)</f>
        <v>0</v>
      </c>
      <c r="C38" s="290"/>
      <c r="D38" s="291">
        <f t="shared" ref="D38:E38" si="5">SUM(D2:D36)</f>
        <v>0</v>
      </c>
      <c r="E38" s="291">
        <f t="shared" si="5"/>
        <v>0</v>
      </c>
      <c r="F38" s="291" t="str">
        <f>E38/D38</f>
        <v>#DIV/0!</v>
      </c>
      <c r="G38" s="291">
        <f>SUM(G2:G36)</f>
        <v>0</v>
      </c>
      <c r="H38" s="290" t="str">
        <f>G38/E38</f>
        <v>#DIV/0!</v>
      </c>
      <c r="I38" s="292" t="str">
        <f>J38/G38</f>
        <v>#DIV/0!</v>
      </c>
      <c r="J38" s="293">
        <f>SUM(J2:J36)</f>
        <v>0</v>
      </c>
    </row>
    <row r="39" ht="15.75" customHeight="1">
      <c r="A39" s="295"/>
      <c r="B39" s="295"/>
      <c r="C39" s="296"/>
      <c r="D39" s="295"/>
      <c r="E39" s="295"/>
      <c r="F39" s="295"/>
      <c r="G39" s="295"/>
      <c r="H39" s="295"/>
      <c r="I39" s="297"/>
      <c r="J39" s="297"/>
    </row>
    <row r="40" ht="15.75" customHeight="1">
      <c r="A40" s="295"/>
      <c r="B40" s="295"/>
      <c r="C40" s="296"/>
      <c r="D40" s="295"/>
      <c r="E40" s="295"/>
      <c r="F40" s="295"/>
      <c r="G40" s="295"/>
      <c r="H40" s="295"/>
      <c r="I40" s="297"/>
      <c r="J40" s="297"/>
    </row>
    <row r="41" ht="15.75" customHeight="1">
      <c r="A41" s="295"/>
      <c r="B41" s="295"/>
      <c r="C41" s="296"/>
      <c r="D41" s="295"/>
      <c r="E41" s="295"/>
      <c r="F41" s="295"/>
      <c r="G41" s="295"/>
      <c r="H41" s="295"/>
      <c r="I41" s="297"/>
      <c r="J41" s="297"/>
    </row>
    <row r="42" ht="15.75" customHeight="1">
      <c r="A42" s="295"/>
      <c r="B42" s="295"/>
      <c r="C42" s="296"/>
      <c r="D42" s="295"/>
      <c r="E42" s="295"/>
      <c r="F42" s="295"/>
      <c r="G42" s="295"/>
      <c r="H42" s="295"/>
      <c r="I42" s="297"/>
      <c r="J42" s="297"/>
    </row>
    <row r="43" ht="15.75" customHeight="1">
      <c r="A43" s="295"/>
      <c r="B43" s="295"/>
      <c r="C43" s="296"/>
      <c r="D43" s="295"/>
      <c r="E43" s="295"/>
      <c r="F43" s="295"/>
      <c r="G43" s="295"/>
      <c r="H43" s="295"/>
      <c r="I43" s="297"/>
      <c r="J43" s="297"/>
    </row>
    <row r="44" ht="15.75" customHeight="1">
      <c r="A44" s="295"/>
      <c r="B44" s="295"/>
      <c r="C44" s="296"/>
      <c r="D44" s="295"/>
      <c r="E44" s="295"/>
      <c r="F44" s="295"/>
      <c r="G44" s="295"/>
      <c r="H44" s="295"/>
      <c r="I44" s="297"/>
      <c r="J44" s="297"/>
    </row>
    <row r="45" ht="15.75" customHeight="1">
      <c r="A45" s="295"/>
      <c r="B45" s="295"/>
      <c r="C45" s="296"/>
      <c r="D45" s="295"/>
      <c r="E45" s="295"/>
      <c r="F45" s="295"/>
      <c r="G45" s="295"/>
      <c r="H45" s="295"/>
      <c r="I45" s="297"/>
      <c r="J45" s="297"/>
    </row>
    <row r="46" ht="15.75" customHeight="1">
      <c r="A46" s="295"/>
      <c r="B46" s="295"/>
      <c r="C46" s="296"/>
      <c r="D46" s="295"/>
      <c r="E46" s="295"/>
      <c r="F46" s="295"/>
      <c r="G46" s="295"/>
      <c r="H46" s="295"/>
      <c r="I46" s="297"/>
      <c r="J46" s="297"/>
    </row>
    <row r="47" ht="15.75" customHeight="1">
      <c r="A47" s="295"/>
      <c r="B47" s="295"/>
      <c r="C47" s="296"/>
      <c r="D47" s="295"/>
      <c r="E47" s="295"/>
      <c r="F47" s="295"/>
      <c r="G47" s="295"/>
      <c r="H47" s="295"/>
      <c r="I47" s="297"/>
      <c r="J47" s="297"/>
    </row>
    <row r="48" ht="15.75" customHeight="1">
      <c r="A48" s="295"/>
      <c r="B48" s="295"/>
      <c r="C48" s="296"/>
      <c r="D48" s="295"/>
      <c r="E48" s="295"/>
      <c r="F48" s="295"/>
      <c r="G48" s="295"/>
      <c r="H48" s="295"/>
      <c r="I48" s="297"/>
      <c r="J48" s="297"/>
    </row>
    <row r="49" ht="15.75" customHeight="1">
      <c r="A49" s="295"/>
      <c r="B49" s="295"/>
      <c r="C49" s="296"/>
      <c r="D49" s="295"/>
      <c r="E49" s="295"/>
      <c r="F49" s="295"/>
      <c r="G49" s="295"/>
      <c r="H49" s="295"/>
      <c r="I49" s="297"/>
      <c r="J49" s="297"/>
    </row>
    <row r="50" ht="15.75" customHeight="1">
      <c r="A50" s="295"/>
      <c r="B50" s="295"/>
      <c r="C50" s="296"/>
      <c r="D50" s="295"/>
      <c r="E50" s="295"/>
      <c r="F50" s="295"/>
      <c r="G50" s="295"/>
      <c r="H50" s="295"/>
      <c r="I50" s="297"/>
      <c r="J50" s="297"/>
    </row>
    <row r="51" ht="15.75" customHeight="1">
      <c r="A51" s="295"/>
      <c r="B51" s="295"/>
      <c r="C51" s="296"/>
      <c r="D51" s="295"/>
      <c r="E51" s="295"/>
      <c r="F51" s="295"/>
      <c r="G51" s="295"/>
      <c r="H51" s="295"/>
      <c r="I51" s="297"/>
      <c r="J51" s="297"/>
    </row>
    <row r="52" ht="15.75" customHeight="1">
      <c r="A52" s="295"/>
      <c r="B52" s="295"/>
      <c r="C52" s="296"/>
      <c r="D52" s="295"/>
      <c r="E52" s="295"/>
      <c r="F52" s="295"/>
      <c r="G52" s="295"/>
      <c r="H52" s="295"/>
      <c r="I52" s="297"/>
      <c r="J52" s="297"/>
    </row>
    <row r="53" ht="15.75" customHeight="1">
      <c r="A53" s="295"/>
      <c r="B53" s="295"/>
      <c r="C53" s="296"/>
      <c r="D53" s="295"/>
      <c r="E53" s="295"/>
      <c r="F53" s="295"/>
      <c r="G53" s="295"/>
      <c r="H53" s="295"/>
      <c r="I53" s="297"/>
      <c r="J53" s="297"/>
    </row>
    <row r="54" ht="15.75" customHeight="1">
      <c r="A54" s="295"/>
      <c r="B54" s="295"/>
      <c r="C54" s="296"/>
      <c r="D54" s="295"/>
      <c r="E54" s="295"/>
      <c r="F54" s="295"/>
      <c r="G54" s="295"/>
      <c r="H54" s="295"/>
      <c r="I54" s="297"/>
      <c r="J54" s="297"/>
    </row>
    <row r="55" ht="15.75" customHeight="1">
      <c r="A55" s="295"/>
      <c r="B55" s="295"/>
      <c r="C55" s="296"/>
      <c r="D55" s="295"/>
      <c r="E55" s="295"/>
      <c r="F55" s="295"/>
      <c r="G55" s="295"/>
      <c r="H55" s="295"/>
      <c r="I55" s="297"/>
      <c r="J55" s="297"/>
    </row>
    <row r="56" ht="15.75" customHeight="1">
      <c r="A56" s="295"/>
      <c r="B56" s="295"/>
      <c r="C56" s="296"/>
      <c r="D56" s="295"/>
      <c r="E56" s="295"/>
      <c r="F56" s="295"/>
      <c r="G56" s="295"/>
      <c r="H56" s="295"/>
      <c r="I56" s="297"/>
      <c r="J56" s="297"/>
    </row>
    <row r="57" ht="15.75" customHeight="1">
      <c r="A57" s="295"/>
      <c r="B57" s="295"/>
      <c r="C57" s="296"/>
      <c r="D57" s="295"/>
      <c r="E57" s="295"/>
      <c r="F57" s="295"/>
      <c r="G57" s="295"/>
      <c r="H57" s="295"/>
      <c r="I57" s="297"/>
      <c r="J57" s="297"/>
    </row>
    <row r="58" ht="15.75" customHeight="1">
      <c r="A58" s="295"/>
      <c r="B58" s="295"/>
      <c r="C58" s="296"/>
      <c r="D58" s="295"/>
      <c r="E58" s="295"/>
      <c r="F58" s="295"/>
      <c r="G58" s="295"/>
      <c r="H58" s="295"/>
      <c r="I58" s="297"/>
      <c r="J58" s="297"/>
    </row>
    <row r="59" ht="15.75" customHeight="1">
      <c r="A59" s="295"/>
      <c r="B59" s="295"/>
      <c r="C59" s="296"/>
      <c r="D59" s="295"/>
      <c r="E59" s="295"/>
      <c r="F59" s="295"/>
      <c r="G59" s="295"/>
      <c r="H59" s="295"/>
      <c r="I59" s="297"/>
      <c r="J59" s="297"/>
    </row>
    <row r="60" ht="15.75" customHeight="1">
      <c r="A60" s="295"/>
      <c r="B60" s="295"/>
      <c r="C60" s="296"/>
      <c r="D60" s="295"/>
      <c r="E60" s="295"/>
      <c r="F60" s="295"/>
      <c r="G60" s="295"/>
      <c r="H60" s="295"/>
      <c r="I60" s="297"/>
      <c r="J60" s="297"/>
    </row>
    <row r="61" ht="15.75" customHeight="1">
      <c r="A61" s="295"/>
      <c r="B61" s="295"/>
      <c r="C61" s="296"/>
      <c r="D61" s="295"/>
      <c r="E61" s="295"/>
      <c r="F61" s="295"/>
      <c r="G61" s="295"/>
      <c r="H61" s="295"/>
      <c r="I61" s="297"/>
      <c r="J61" s="297"/>
    </row>
    <row r="62" ht="15.75" customHeight="1">
      <c r="A62" s="295"/>
      <c r="B62" s="295"/>
      <c r="C62" s="296"/>
      <c r="D62" s="295"/>
      <c r="E62" s="295"/>
      <c r="F62" s="295"/>
      <c r="G62" s="295"/>
      <c r="H62" s="295"/>
      <c r="I62" s="297"/>
      <c r="J62" s="297"/>
    </row>
    <row r="63" ht="15.75" customHeight="1">
      <c r="A63" s="295"/>
      <c r="B63" s="295"/>
      <c r="C63" s="296"/>
      <c r="D63" s="295"/>
      <c r="E63" s="295"/>
      <c r="F63" s="295"/>
      <c r="G63" s="295"/>
      <c r="H63" s="295"/>
      <c r="I63" s="297"/>
      <c r="J63" s="297"/>
    </row>
    <row r="64" ht="15.75" customHeight="1">
      <c r="A64" s="295"/>
      <c r="B64" s="295"/>
      <c r="C64" s="296"/>
      <c r="D64" s="295"/>
      <c r="E64" s="295"/>
      <c r="F64" s="295"/>
      <c r="G64" s="295"/>
      <c r="H64" s="295"/>
      <c r="I64" s="297"/>
      <c r="J64" s="297"/>
    </row>
    <row r="65" ht="15.75" customHeight="1">
      <c r="A65" s="295"/>
      <c r="B65" s="295"/>
      <c r="C65" s="296"/>
      <c r="D65" s="295"/>
      <c r="E65" s="295"/>
      <c r="F65" s="295"/>
      <c r="G65" s="295"/>
      <c r="H65" s="295"/>
      <c r="I65" s="297"/>
      <c r="J65" s="297"/>
    </row>
    <row r="66" ht="15.75" customHeight="1">
      <c r="A66" s="295"/>
      <c r="B66" s="295"/>
      <c r="C66" s="296"/>
      <c r="D66" s="295"/>
      <c r="E66" s="295"/>
      <c r="F66" s="295"/>
      <c r="G66" s="295"/>
      <c r="H66" s="295"/>
      <c r="I66" s="297"/>
      <c r="J66" s="297"/>
    </row>
    <row r="67" ht="15.75" customHeight="1">
      <c r="A67" s="295"/>
      <c r="B67" s="295"/>
      <c r="C67" s="296"/>
      <c r="D67" s="295"/>
      <c r="E67" s="295"/>
      <c r="F67" s="295"/>
      <c r="G67" s="295"/>
      <c r="H67" s="295"/>
      <c r="I67" s="297"/>
      <c r="J67" s="297"/>
    </row>
    <row r="68" ht="15.75" customHeight="1">
      <c r="A68" s="295"/>
      <c r="B68" s="295"/>
      <c r="C68" s="296"/>
      <c r="D68" s="295"/>
      <c r="E68" s="295"/>
      <c r="F68" s="295"/>
      <c r="G68" s="295"/>
      <c r="H68" s="295"/>
      <c r="I68" s="297"/>
      <c r="J68" s="297"/>
    </row>
    <row r="69" ht="15.75" customHeight="1">
      <c r="A69" s="295"/>
      <c r="B69" s="295"/>
      <c r="C69" s="296"/>
      <c r="D69" s="295"/>
      <c r="E69" s="295"/>
      <c r="F69" s="295"/>
      <c r="G69" s="295"/>
      <c r="H69" s="295"/>
      <c r="I69" s="297"/>
      <c r="J69" s="297"/>
    </row>
    <row r="70" ht="15.75" customHeight="1">
      <c r="A70" s="295"/>
      <c r="B70" s="295"/>
      <c r="C70" s="296"/>
      <c r="D70" s="295"/>
      <c r="E70" s="295"/>
      <c r="F70" s="295"/>
      <c r="G70" s="295"/>
      <c r="H70" s="295"/>
      <c r="I70" s="297"/>
      <c r="J70" s="297"/>
    </row>
    <row r="71" ht="15.75" customHeight="1">
      <c r="A71" s="295"/>
      <c r="B71" s="295"/>
      <c r="C71" s="296"/>
      <c r="D71" s="295"/>
      <c r="E71" s="295"/>
      <c r="F71" s="295"/>
      <c r="G71" s="295"/>
      <c r="H71" s="295"/>
      <c r="I71" s="297"/>
      <c r="J71" s="297"/>
    </row>
    <row r="72" ht="15.75" customHeight="1">
      <c r="A72" s="295"/>
      <c r="B72" s="295"/>
      <c r="C72" s="296"/>
      <c r="D72" s="295"/>
      <c r="E72" s="295"/>
      <c r="F72" s="295"/>
      <c r="G72" s="295"/>
      <c r="H72" s="295"/>
      <c r="I72" s="297"/>
      <c r="J72" s="297"/>
    </row>
    <row r="73" ht="15.75" customHeight="1">
      <c r="A73" s="295"/>
      <c r="B73" s="295"/>
      <c r="C73" s="296"/>
      <c r="D73" s="295"/>
      <c r="E73" s="295"/>
      <c r="F73" s="295"/>
      <c r="G73" s="295"/>
      <c r="H73" s="295"/>
      <c r="I73" s="297"/>
      <c r="J73" s="297"/>
    </row>
    <row r="74" ht="15.75" customHeight="1">
      <c r="A74" s="295"/>
      <c r="B74" s="295"/>
      <c r="C74" s="296"/>
      <c r="D74" s="295"/>
      <c r="E74" s="295"/>
      <c r="F74" s="295"/>
      <c r="G74" s="295"/>
      <c r="H74" s="295"/>
      <c r="I74" s="297"/>
      <c r="J74" s="297"/>
    </row>
    <row r="75" ht="15.75" customHeight="1">
      <c r="A75" s="295"/>
      <c r="B75" s="295"/>
      <c r="C75" s="296"/>
      <c r="D75" s="295"/>
      <c r="E75" s="295"/>
      <c r="F75" s="295"/>
      <c r="G75" s="295"/>
      <c r="H75" s="295"/>
      <c r="I75" s="297"/>
      <c r="J75" s="297"/>
    </row>
    <row r="76" ht="15.75" customHeight="1">
      <c r="A76" s="295"/>
      <c r="B76" s="295"/>
      <c r="C76" s="296"/>
      <c r="D76" s="295"/>
      <c r="E76" s="295"/>
      <c r="F76" s="295"/>
      <c r="G76" s="295"/>
      <c r="H76" s="295"/>
      <c r="I76" s="297"/>
      <c r="J76" s="297"/>
    </row>
    <row r="77" ht="15.75" customHeight="1">
      <c r="A77" s="295"/>
      <c r="B77" s="295"/>
      <c r="C77" s="296"/>
      <c r="D77" s="295"/>
      <c r="E77" s="295"/>
      <c r="F77" s="295"/>
      <c r="G77" s="295"/>
      <c r="H77" s="295"/>
      <c r="I77" s="297"/>
      <c r="J77" s="297"/>
    </row>
    <row r="78" ht="15.75" customHeight="1">
      <c r="A78" s="295"/>
      <c r="B78" s="295"/>
      <c r="C78" s="296"/>
      <c r="D78" s="295"/>
      <c r="E78" s="295"/>
      <c r="F78" s="295"/>
      <c r="G78" s="295"/>
      <c r="H78" s="295"/>
      <c r="I78" s="297"/>
      <c r="J78" s="297"/>
    </row>
    <row r="79" ht="15.75" customHeight="1">
      <c r="A79" s="295"/>
      <c r="B79" s="295"/>
      <c r="C79" s="296"/>
      <c r="D79" s="295"/>
      <c r="E79" s="295"/>
      <c r="F79" s="295"/>
      <c r="G79" s="295"/>
      <c r="H79" s="295"/>
      <c r="I79" s="297"/>
      <c r="J79" s="297"/>
    </row>
    <row r="80" ht="15.75" customHeight="1">
      <c r="A80" s="295"/>
      <c r="B80" s="295"/>
      <c r="C80" s="296"/>
      <c r="D80" s="295"/>
      <c r="E80" s="295"/>
      <c r="F80" s="295"/>
      <c r="G80" s="295"/>
      <c r="H80" s="295"/>
      <c r="I80" s="297"/>
      <c r="J80" s="297"/>
    </row>
    <row r="81" ht="15.75" customHeight="1">
      <c r="A81" s="295"/>
      <c r="B81" s="295"/>
      <c r="C81" s="296"/>
      <c r="D81" s="295"/>
      <c r="E81" s="295"/>
      <c r="F81" s="295"/>
      <c r="G81" s="295"/>
      <c r="H81" s="295"/>
      <c r="I81" s="297"/>
      <c r="J81" s="297"/>
    </row>
    <row r="82" ht="15.75" customHeight="1">
      <c r="A82" s="295"/>
      <c r="B82" s="295"/>
      <c r="C82" s="296"/>
      <c r="D82" s="295"/>
      <c r="E82" s="295"/>
      <c r="F82" s="295"/>
      <c r="G82" s="295"/>
      <c r="H82" s="295"/>
      <c r="I82" s="297"/>
      <c r="J82" s="297"/>
    </row>
    <row r="83" ht="15.75" customHeight="1">
      <c r="A83" s="295"/>
      <c r="B83" s="295"/>
      <c r="C83" s="296"/>
      <c r="D83" s="295"/>
      <c r="E83" s="295"/>
      <c r="F83" s="295"/>
      <c r="G83" s="295"/>
      <c r="H83" s="295"/>
      <c r="I83" s="297"/>
      <c r="J83" s="297"/>
    </row>
    <row r="84" ht="15.75" customHeight="1">
      <c r="A84" s="295"/>
      <c r="B84" s="295"/>
      <c r="C84" s="296"/>
      <c r="D84" s="295"/>
      <c r="E84" s="295"/>
      <c r="F84" s="295"/>
      <c r="G84" s="295"/>
      <c r="H84" s="295"/>
      <c r="I84" s="297"/>
      <c r="J84" s="297"/>
    </row>
    <row r="85" ht="15.75" customHeight="1">
      <c r="A85" s="295"/>
      <c r="B85" s="295"/>
      <c r="C85" s="296"/>
      <c r="D85" s="295"/>
      <c r="E85" s="295"/>
      <c r="F85" s="295"/>
      <c r="G85" s="295"/>
      <c r="H85" s="295"/>
      <c r="I85" s="297"/>
      <c r="J85" s="297"/>
    </row>
    <row r="86" ht="15.75" customHeight="1">
      <c r="A86" s="295"/>
      <c r="B86" s="295"/>
      <c r="C86" s="296"/>
      <c r="D86" s="295"/>
      <c r="E86" s="295"/>
      <c r="F86" s="295"/>
      <c r="G86" s="295"/>
      <c r="H86" s="295"/>
      <c r="I86" s="297"/>
      <c r="J86" s="297"/>
    </row>
    <row r="87" ht="15.75" customHeight="1">
      <c r="A87" s="295"/>
      <c r="B87" s="295"/>
      <c r="C87" s="296"/>
      <c r="D87" s="295"/>
      <c r="E87" s="295"/>
      <c r="F87" s="295"/>
      <c r="G87" s="295"/>
      <c r="H87" s="295"/>
      <c r="I87" s="297"/>
      <c r="J87" s="297"/>
    </row>
    <row r="88" ht="15.75" customHeight="1">
      <c r="A88" s="295"/>
      <c r="B88" s="295"/>
      <c r="C88" s="296"/>
      <c r="D88" s="295"/>
      <c r="E88" s="295"/>
      <c r="F88" s="295"/>
      <c r="G88" s="295"/>
      <c r="H88" s="295"/>
      <c r="I88" s="297"/>
      <c r="J88" s="297"/>
    </row>
    <row r="89" ht="15.75" customHeight="1">
      <c r="A89" s="295"/>
      <c r="B89" s="295"/>
      <c r="C89" s="296"/>
      <c r="D89" s="295"/>
      <c r="E89" s="295"/>
      <c r="F89" s="295"/>
      <c r="G89" s="295"/>
      <c r="H89" s="295"/>
      <c r="I89" s="297"/>
      <c r="J89" s="297"/>
    </row>
    <row r="90" ht="15.75" customHeight="1">
      <c r="A90" s="295"/>
      <c r="B90" s="295"/>
      <c r="C90" s="296"/>
      <c r="D90" s="295"/>
      <c r="E90" s="295"/>
      <c r="F90" s="295"/>
      <c r="G90" s="295"/>
      <c r="H90" s="295"/>
      <c r="I90" s="297"/>
      <c r="J90" s="297"/>
    </row>
    <row r="91" ht="15.75" customHeight="1">
      <c r="A91" s="295"/>
      <c r="B91" s="295"/>
      <c r="C91" s="296"/>
      <c r="D91" s="295"/>
      <c r="E91" s="295"/>
      <c r="F91" s="295"/>
      <c r="G91" s="295"/>
      <c r="H91" s="295"/>
      <c r="I91" s="297"/>
      <c r="J91" s="297"/>
    </row>
    <row r="92" ht="15.75" customHeight="1">
      <c r="A92" s="295"/>
      <c r="B92" s="295"/>
      <c r="C92" s="296"/>
      <c r="D92" s="295"/>
      <c r="E92" s="295"/>
      <c r="F92" s="295"/>
      <c r="G92" s="295"/>
      <c r="H92" s="295"/>
      <c r="I92" s="297"/>
      <c r="J92" s="297"/>
    </row>
    <row r="93" ht="15.75" customHeight="1">
      <c r="A93" s="295"/>
      <c r="B93" s="295"/>
      <c r="C93" s="296"/>
      <c r="D93" s="295"/>
      <c r="E93" s="295"/>
      <c r="F93" s="295"/>
      <c r="G93" s="295"/>
      <c r="H93" s="295"/>
      <c r="I93" s="297"/>
      <c r="J93" s="297"/>
    </row>
    <row r="94" ht="15.75" customHeight="1">
      <c r="A94" s="295"/>
      <c r="B94" s="295"/>
      <c r="C94" s="296"/>
      <c r="D94" s="295"/>
      <c r="E94" s="295"/>
      <c r="F94" s="295"/>
      <c r="G94" s="295"/>
      <c r="H94" s="295"/>
      <c r="I94" s="297"/>
      <c r="J94" s="297"/>
    </row>
    <row r="95" ht="15.75" customHeight="1">
      <c r="A95" s="295"/>
      <c r="B95" s="295"/>
      <c r="C95" s="296"/>
      <c r="D95" s="295"/>
      <c r="E95" s="295"/>
      <c r="F95" s="295"/>
      <c r="G95" s="295"/>
      <c r="H95" s="295"/>
      <c r="I95" s="297"/>
      <c r="J95" s="297"/>
    </row>
    <row r="96" ht="15.75" customHeight="1">
      <c r="A96" s="295"/>
      <c r="B96" s="295"/>
      <c r="C96" s="296"/>
      <c r="D96" s="295"/>
      <c r="E96" s="295"/>
      <c r="F96" s="295"/>
      <c r="G96" s="295"/>
      <c r="H96" s="295"/>
      <c r="I96" s="297"/>
      <c r="J96" s="297"/>
    </row>
    <row r="97" ht="15.75" customHeight="1">
      <c r="A97" s="295"/>
      <c r="B97" s="295"/>
      <c r="C97" s="296"/>
      <c r="D97" s="295"/>
      <c r="E97" s="295"/>
      <c r="F97" s="295"/>
      <c r="G97" s="295"/>
      <c r="H97" s="295"/>
      <c r="I97" s="297"/>
      <c r="J97" s="297"/>
    </row>
    <row r="98" ht="15.75" customHeight="1">
      <c r="A98" s="295"/>
      <c r="B98" s="295"/>
      <c r="C98" s="296"/>
      <c r="D98" s="295"/>
      <c r="E98" s="295"/>
      <c r="F98" s="295"/>
      <c r="G98" s="295"/>
      <c r="H98" s="295"/>
      <c r="I98" s="297"/>
      <c r="J98" s="297"/>
    </row>
    <row r="99" ht="15.75" customHeight="1">
      <c r="A99" s="295"/>
      <c r="B99" s="295"/>
      <c r="C99" s="296"/>
      <c r="D99" s="295"/>
      <c r="E99" s="295"/>
      <c r="F99" s="295"/>
      <c r="G99" s="295"/>
      <c r="H99" s="295"/>
      <c r="I99" s="297"/>
      <c r="J99" s="297"/>
    </row>
    <row r="100" ht="15.75" customHeight="1">
      <c r="A100" s="295"/>
      <c r="B100" s="295"/>
      <c r="C100" s="296"/>
      <c r="D100" s="295"/>
      <c r="E100" s="295"/>
      <c r="F100" s="295"/>
      <c r="G100" s="295"/>
      <c r="H100" s="295"/>
      <c r="I100" s="297"/>
      <c r="J100" s="297"/>
    </row>
    <row r="101" ht="15.75" customHeight="1">
      <c r="A101" s="295"/>
      <c r="B101" s="295"/>
      <c r="C101" s="296"/>
      <c r="D101" s="295"/>
      <c r="E101" s="295"/>
      <c r="F101" s="295"/>
      <c r="G101" s="295"/>
      <c r="H101" s="295"/>
      <c r="I101" s="297"/>
      <c r="J101" s="297"/>
    </row>
    <row r="102" ht="15.75" customHeight="1">
      <c r="A102" s="295"/>
      <c r="B102" s="295"/>
      <c r="C102" s="296"/>
      <c r="D102" s="295"/>
      <c r="E102" s="295"/>
      <c r="F102" s="295"/>
      <c r="G102" s="295"/>
      <c r="H102" s="295"/>
      <c r="I102" s="297"/>
      <c r="J102" s="297"/>
    </row>
    <row r="103" ht="15.75" customHeight="1">
      <c r="A103" s="295"/>
      <c r="B103" s="295"/>
      <c r="C103" s="296"/>
      <c r="D103" s="295"/>
      <c r="E103" s="295"/>
      <c r="F103" s="295"/>
      <c r="G103" s="295"/>
      <c r="H103" s="295"/>
      <c r="I103" s="297"/>
      <c r="J103" s="297"/>
    </row>
    <row r="104" ht="15.75" customHeight="1">
      <c r="A104" s="295"/>
      <c r="B104" s="295"/>
      <c r="C104" s="296"/>
      <c r="D104" s="295"/>
      <c r="E104" s="295"/>
      <c r="F104" s="295"/>
      <c r="G104" s="295"/>
      <c r="H104" s="295"/>
      <c r="I104" s="297"/>
      <c r="J104" s="297"/>
    </row>
    <row r="105" ht="15.75" customHeight="1">
      <c r="A105" s="295"/>
      <c r="B105" s="295"/>
      <c r="C105" s="296"/>
      <c r="D105" s="295"/>
      <c r="E105" s="295"/>
      <c r="F105" s="295"/>
      <c r="G105" s="295"/>
      <c r="H105" s="295"/>
      <c r="I105" s="297"/>
      <c r="J105" s="297"/>
    </row>
    <row r="106" ht="15.75" customHeight="1">
      <c r="A106" s="295"/>
      <c r="B106" s="295"/>
      <c r="C106" s="296"/>
      <c r="D106" s="295"/>
      <c r="E106" s="295"/>
      <c r="F106" s="295"/>
      <c r="G106" s="295"/>
      <c r="H106" s="295"/>
      <c r="I106" s="297"/>
      <c r="J106" s="297"/>
    </row>
    <row r="107" ht="15.75" customHeight="1">
      <c r="A107" s="295"/>
      <c r="B107" s="295"/>
      <c r="C107" s="296"/>
      <c r="D107" s="295"/>
      <c r="E107" s="295"/>
      <c r="F107" s="295"/>
      <c r="G107" s="295"/>
      <c r="H107" s="295"/>
      <c r="I107" s="297"/>
      <c r="J107" s="297"/>
    </row>
    <row r="108" ht="15.75" customHeight="1">
      <c r="A108" s="295"/>
      <c r="B108" s="295"/>
      <c r="C108" s="296"/>
      <c r="D108" s="295"/>
      <c r="E108" s="295"/>
      <c r="F108" s="295"/>
      <c r="G108" s="295"/>
      <c r="H108" s="295"/>
      <c r="I108" s="297"/>
      <c r="J108" s="297"/>
    </row>
    <row r="109" ht="15.75" customHeight="1">
      <c r="A109" s="295"/>
      <c r="B109" s="295"/>
      <c r="C109" s="296"/>
      <c r="D109" s="295"/>
      <c r="E109" s="295"/>
      <c r="F109" s="295"/>
      <c r="G109" s="295"/>
      <c r="H109" s="295"/>
      <c r="I109" s="297"/>
      <c r="J109" s="297"/>
    </row>
    <row r="110" ht="15.75" customHeight="1">
      <c r="A110" s="295"/>
      <c r="B110" s="295"/>
      <c r="C110" s="296"/>
      <c r="D110" s="295"/>
      <c r="E110" s="295"/>
      <c r="F110" s="295"/>
      <c r="G110" s="295"/>
      <c r="H110" s="295"/>
      <c r="I110" s="297"/>
      <c r="J110" s="297"/>
    </row>
    <row r="111" ht="15.75" customHeight="1">
      <c r="A111" s="295"/>
      <c r="B111" s="295"/>
      <c r="C111" s="296"/>
      <c r="D111" s="295"/>
      <c r="E111" s="295"/>
      <c r="F111" s="295"/>
      <c r="G111" s="295"/>
      <c r="H111" s="295"/>
      <c r="I111" s="297"/>
      <c r="J111" s="297"/>
    </row>
    <row r="112" ht="15.75" customHeight="1">
      <c r="A112" s="295"/>
      <c r="B112" s="295"/>
      <c r="C112" s="296"/>
      <c r="D112" s="295"/>
      <c r="E112" s="295"/>
      <c r="F112" s="295"/>
      <c r="G112" s="295"/>
      <c r="H112" s="295"/>
      <c r="I112" s="297"/>
      <c r="J112" s="297"/>
    </row>
    <row r="113" ht="15.75" customHeight="1">
      <c r="A113" s="295"/>
      <c r="B113" s="295"/>
      <c r="C113" s="296"/>
      <c r="D113" s="295"/>
      <c r="E113" s="295"/>
      <c r="F113" s="295"/>
      <c r="G113" s="295"/>
      <c r="H113" s="295"/>
      <c r="I113" s="297"/>
      <c r="J113" s="297"/>
    </row>
    <row r="114" ht="15.75" customHeight="1">
      <c r="A114" s="295"/>
      <c r="B114" s="295"/>
      <c r="C114" s="296"/>
      <c r="D114" s="295"/>
      <c r="E114" s="295"/>
      <c r="F114" s="295"/>
      <c r="G114" s="295"/>
      <c r="H114" s="295"/>
      <c r="I114" s="297"/>
      <c r="J114" s="297"/>
    </row>
    <row r="115" ht="15.75" customHeight="1">
      <c r="A115" s="295"/>
      <c r="B115" s="295"/>
      <c r="C115" s="296"/>
      <c r="D115" s="295"/>
      <c r="E115" s="295"/>
      <c r="F115" s="295"/>
      <c r="G115" s="295"/>
      <c r="H115" s="295"/>
      <c r="I115" s="297"/>
      <c r="J115" s="297"/>
    </row>
    <row r="116" ht="15.75" customHeight="1">
      <c r="A116" s="295"/>
      <c r="B116" s="295"/>
      <c r="C116" s="296"/>
      <c r="D116" s="295"/>
      <c r="E116" s="295"/>
      <c r="F116" s="295"/>
      <c r="G116" s="295"/>
      <c r="H116" s="295"/>
      <c r="I116" s="297"/>
      <c r="J116" s="297"/>
    </row>
    <row r="117" ht="15.75" customHeight="1">
      <c r="A117" s="295"/>
      <c r="B117" s="295"/>
      <c r="C117" s="296"/>
      <c r="D117" s="295"/>
      <c r="E117" s="295"/>
      <c r="F117" s="295"/>
      <c r="G117" s="295"/>
      <c r="H117" s="295"/>
      <c r="I117" s="297"/>
      <c r="J117" s="297"/>
    </row>
    <row r="118" ht="15.75" customHeight="1">
      <c r="A118" s="295"/>
      <c r="B118" s="295"/>
      <c r="C118" s="296"/>
      <c r="D118" s="295"/>
      <c r="E118" s="295"/>
      <c r="F118" s="295"/>
      <c r="G118" s="295"/>
      <c r="H118" s="295"/>
      <c r="I118" s="297"/>
      <c r="J118" s="297"/>
    </row>
    <row r="119" ht="15.75" customHeight="1">
      <c r="A119" s="295"/>
      <c r="B119" s="295"/>
      <c r="C119" s="296"/>
      <c r="D119" s="295"/>
      <c r="E119" s="295"/>
      <c r="F119" s="295"/>
      <c r="G119" s="295"/>
      <c r="H119" s="295"/>
      <c r="I119" s="297"/>
      <c r="J119" s="297"/>
    </row>
    <row r="120" ht="15.75" customHeight="1">
      <c r="A120" s="295"/>
      <c r="B120" s="295"/>
      <c r="C120" s="296"/>
      <c r="D120" s="295"/>
      <c r="E120" s="295"/>
      <c r="F120" s="295"/>
      <c r="G120" s="295"/>
      <c r="H120" s="295"/>
      <c r="I120" s="297"/>
      <c r="J120" s="297"/>
    </row>
    <row r="121" ht="15.75" customHeight="1">
      <c r="A121" s="295"/>
      <c r="B121" s="295"/>
      <c r="C121" s="296"/>
      <c r="D121" s="295"/>
      <c r="E121" s="295"/>
      <c r="F121" s="295"/>
      <c r="G121" s="295"/>
      <c r="H121" s="295"/>
      <c r="I121" s="297"/>
      <c r="J121" s="297"/>
    </row>
    <row r="122" ht="15.75" customHeight="1">
      <c r="A122" s="295"/>
      <c r="B122" s="295"/>
      <c r="C122" s="296"/>
      <c r="D122" s="295"/>
      <c r="E122" s="295"/>
      <c r="F122" s="295"/>
      <c r="G122" s="295"/>
      <c r="H122" s="295"/>
      <c r="I122" s="297"/>
      <c r="J122" s="297"/>
    </row>
    <row r="123" ht="15.75" customHeight="1">
      <c r="A123" s="295"/>
      <c r="B123" s="295"/>
      <c r="C123" s="296"/>
      <c r="D123" s="295"/>
      <c r="E123" s="295"/>
      <c r="F123" s="295"/>
      <c r="G123" s="295"/>
      <c r="H123" s="295"/>
      <c r="I123" s="297"/>
      <c r="J123" s="297"/>
    </row>
    <row r="124" ht="15.75" customHeight="1">
      <c r="A124" s="295"/>
      <c r="B124" s="295"/>
      <c r="C124" s="296"/>
      <c r="D124" s="295"/>
      <c r="E124" s="295"/>
      <c r="F124" s="295"/>
      <c r="G124" s="295"/>
      <c r="H124" s="295"/>
      <c r="I124" s="297"/>
      <c r="J124" s="297"/>
    </row>
    <row r="125" ht="15.75" customHeight="1">
      <c r="A125" s="295"/>
      <c r="B125" s="295"/>
      <c r="C125" s="296"/>
      <c r="D125" s="295"/>
      <c r="E125" s="295"/>
      <c r="F125" s="295"/>
      <c r="G125" s="295"/>
      <c r="H125" s="295"/>
      <c r="I125" s="297"/>
      <c r="J125" s="297"/>
    </row>
    <row r="126" ht="15.75" customHeight="1">
      <c r="A126" s="295"/>
      <c r="B126" s="295"/>
      <c r="C126" s="296"/>
      <c r="D126" s="295"/>
      <c r="E126" s="295"/>
      <c r="F126" s="295"/>
      <c r="G126" s="295"/>
      <c r="H126" s="295"/>
      <c r="I126" s="297"/>
      <c r="J126" s="297"/>
    </row>
    <row r="127" ht="15.75" customHeight="1">
      <c r="A127" s="295"/>
      <c r="B127" s="295"/>
      <c r="C127" s="296"/>
      <c r="D127" s="295"/>
      <c r="E127" s="295"/>
      <c r="F127" s="295"/>
      <c r="G127" s="295"/>
      <c r="H127" s="295"/>
      <c r="I127" s="297"/>
      <c r="J127" s="297"/>
    </row>
    <row r="128" ht="15.75" customHeight="1">
      <c r="A128" s="295"/>
      <c r="B128" s="295"/>
      <c r="C128" s="296"/>
      <c r="D128" s="295"/>
      <c r="E128" s="295"/>
      <c r="F128" s="295"/>
      <c r="G128" s="295"/>
      <c r="H128" s="295"/>
      <c r="I128" s="297"/>
      <c r="J128" s="297"/>
    </row>
    <row r="129" ht="15.75" customHeight="1">
      <c r="A129" s="295"/>
      <c r="B129" s="295"/>
      <c r="C129" s="296"/>
      <c r="D129" s="295"/>
      <c r="E129" s="295"/>
      <c r="F129" s="295"/>
      <c r="G129" s="295"/>
      <c r="H129" s="295"/>
      <c r="I129" s="297"/>
      <c r="J129" s="297"/>
    </row>
    <row r="130" ht="15.75" customHeight="1">
      <c r="A130" s="295"/>
      <c r="B130" s="295"/>
      <c r="C130" s="296"/>
      <c r="D130" s="295"/>
      <c r="E130" s="295"/>
      <c r="F130" s="295"/>
      <c r="G130" s="295"/>
      <c r="H130" s="295"/>
      <c r="I130" s="297"/>
      <c r="J130" s="297"/>
    </row>
    <row r="131" ht="15.75" customHeight="1">
      <c r="A131" s="295"/>
      <c r="B131" s="295"/>
      <c r="C131" s="296"/>
      <c r="D131" s="295"/>
      <c r="E131" s="295"/>
      <c r="F131" s="295"/>
      <c r="G131" s="295"/>
      <c r="H131" s="295"/>
      <c r="I131" s="297"/>
      <c r="J131" s="297"/>
    </row>
    <row r="132" ht="15.75" customHeight="1">
      <c r="A132" s="295"/>
      <c r="B132" s="295"/>
      <c r="C132" s="296"/>
      <c r="D132" s="295"/>
      <c r="E132" s="295"/>
      <c r="F132" s="295"/>
      <c r="G132" s="295"/>
      <c r="H132" s="295"/>
      <c r="I132" s="297"/>
      <c r="J132" s="297"/>
    </row>
    <row r="133" ht="15.75" customHeight="1">
      <c r="A133" s="295"/>
      <c r="B133" s="295"/>
      <c r="C133" s="296"/>
      <c r="D133" s="295"/>
      <c r="E133" s="295"/>
      <c r="F133" s="295"/>
      <c r="G133" s="295"/>
      <c r="H133" s="295"/>
      <c r="I133" s="297"/>
      <c r="J133" s="297"/>
    </row>
    <row r="134" ht="15.75" customHeight="1">
      <c r="A134" s="295"/>
      <c r="B134" s="295"/>
      <c r="C134" s="296"/>
      <c r="D134" s="295"/>
      <c r="E134" s="295"/>
      <c r="F134" s="295"/>
      <c r="G134" s="295"/>
      <c r="H134" s="295"/>
      <c r="I134" s="297"/>
      <c r="J134" s="297"/>
    </row>
    <row r="135" ht="15.75" customHeight="1">
      <c r="A135" s="295"/>
      <c r="B135" s="295"/>
      <c r="C135" s="296"/>
      <c r="D135" s="295"/>
      <c r="E135" s="295"/>
      <c r="F135" s="295"/>
      <c r="G135" s="295"/>
      <c r="H135" s="295"/>
      <c r="I135" s="297"/>
      <c r="J135" s="297"/>
    </row>
    <row r="136" ht="15.75" customHeight="1">
      <c r="A136" s="295"/>
      <c r="B136" s="295"/>
      <c r="C136" s="296"/>
      <c r="D136" s="295"/>
      <c r="E136" s="295"/>
      <c r="F136" s="295"/>
      <c r="G136" s="295"/>
      <c r="H136" s="295"/>
      <c r="I136" s="297"/>
      <c r="J136" s="297"/>
    </row>
    <row r="137" ht="15.75" customHeight="1">
      <c r="A137" s="295"/>
      <c r="B137" s="295"/>
      <c r="C137" s="296"/>
      <c r="D137" s="295"/>
      <c r="E137" s="295"/>
      <c r="F137" s="295"/>
      <c r="G137" s="295"/>
      <c r="H137" s="295"/>
      <c r="I137" s="297"/>
      <c r="J137" s="297"/>
    </row>
    <row r="138" ht="15.75" customHeight="1">
      <c r="A138" s="295"/>
      <c r="B138" s="295"/>
      <c r="C138" s="296"/>
      <c r="D138" s="295"/>
      <c r="E138" s="295"/>
      <c r="F138" s="295"/>
      <c r="G138" s="295"/>
      <c r="H138" s="295"/>
      <c r="I138" s="297"/>
      <c r="J138" s="297"/>
    </row>
    <row r="139" ht="15.75" customHeight="1">
      <c r="A139" s="295"/>
      <c r="B139" s="295"/>
      <c r="C139" s="296"/>
      <c r="D139" s="295"/>
      <c r="E139" s="295"/>
      <c r="F139" s="295"/>
      <c r="G139" s="295"/>
      <c r="H139" s="295"/>
      <c r="I139" s="297"/>
      <c r="J139" s="297"/>
    </row>
    <row r="140" ht="15.75" customHeight="1">
      <c r="A140" s="295"/>
      <c r="B140" s="295"/>
      <c r="C140" s="296"/>
      <c r="D140" s="295"/>
      <c r="E140" s="295"/>
      <c r="F140" s="295"/>
      <c r="G140" s="295"/>
      <c r="H140" s="295"/>
      <c r="I140" s="297"/>
      <c r="J140" s="297"/>
    </row>
    <row r="141" ht="15.75" customHeight="1">
      <c r="A141" s="295"/>
      <c r="B141" s="295"/>
      <c r="C141" s="296"/>
      <c r="D141" s="295"/>
      <c r="E141" s="295"/>
      <c r="F141" s="295"/>
      <c r="G141" s="295"/>
      <c r="H141" s="295"/>
      <c r="I141" s="297"/>
      <c r="J141" s="297"/>
    </row>
    <row r="142" ht="15.75" customHeight="1">
      <c r="A142" s="295"/>
      <c r="B142" s="295"/>
      <c r="C142" s="296"/>
      <c r="D142" s="295"/>
      <c r="E142" s="295"/>
      <c r="F142" s="295"/>
      <c r="G142" s="295"/>
      <c r="H142" s="295"/>
      <c r="I142" s="297"/>
      <c r="J142" s="297"/>
    </row>
    <row r="143" ht="15.75" customHeight="1">
      <c r="A143" s="295"/>
      <c r="B143" s="295"/>
      <c r="C143" s="296"/>
      <c r="D143" s="295"/>
      <c r="E143" s="295"/>
      <c r="F143" s="295"/>
      <c r="G143" s="295"/>
      <c r="H143" s="295"/>
      <c r="I143" s="297"/>
      <c r="J143" s="297"/>
    </row>
    <row r="144" ht="15.75" customHeight="1">
      <c r="A144" s="295"/>
      <c r="B144" s="295"/>
      <c r="C144" s="296"/>
      <c r="D144" s="295"/>
      <c r="E144" s="295"/>
      <c r="F144" s="295"/>
      <c r="G144" s="295"/>
      <c r="H144" s="295"/>
      <c r="I144" s="297"/>
      <c r="J144" s="297"/>
    </row>
    <row r="145" ht="15.75" customHeight="1">
      <c r="A145" s="295"/>
      <c r="B145" s="295"/>
      <c r="C145" s="296"/>
      <c r="D145" s="295"/>
      <c r="E145" s="295"/>
      <c r="F145" s="295"/>
      <c r="G145" s="295"/>
      <c r="H145" s="295"/>
      <c r="I145" s="297"/>
      <c r="J145" s="297"/>
    </row>
    <row r="146" ht="15.75" customHeight="1">
      <c r="A146" s="295"/>
      <c r="B146" s="295"/>
      <c r="C146" s="296"/>
      <c r="D146" s="295"/>
      <c r="E146" s="295"/>
      <c r="F146" s="295"/>
      <c r="G146" s="295"/>
      <c r="H146" s="295"/>
      <c r="I146" s="297"/>
      <c r="J146" s="297"/>
    </row>
    <row r="147" ht="15.75" customHeight="1">
      <c r="A147" s="295"/>
      <c r="B147" s="295"/>
      <c r="C147" s="296"/>
      <c r="D147" s="295"/>
      <c r="E147" s="295"/>
      <c r="F147" s="295"/>
      <c r="G147" s="295"/>
      <c r="H147" s="295"/>
      <c r="I147" s="297"/>
      <c r="J147" s="297"/>
    </row>
    <row r="148" ht="15.75" customHeight="1">
      <c r="A148" s="295"/>
      <c r="B148" s="295"/>
      <c r="C148" s="296"/>
      <c r="D148" s="295"/>
      <c r="E148" s="295"/>
      <c r="F148" s="295"/>
      <c r="G148" s="295"/>
      <c r="H148" s="295"/>
      <c r="I148" s="297"/>
      <c r="J148" s="297"/>
    </row>
    <row r="149" ht="15.75" customHeight="1">
      <c r="A149" s="295"/>
      <c r="B149" s="295"/>
      <c r="C149" s="296"/>
      <c r="D149" s="295"/>
      <c r="E149" s="295"/>
      <c r="F149" s="295"/>
      <c r="G149" s="295"/>
      <c r="H149" s="295"/>
      <c r="I149" s="297"/>
      <c r="J149" s="297"/>
    </row>
    <row r="150" ht="15.75" customHeight="1">
      <c r="A150" s="295"/>
      <c r="B150" s="295"/>
      <c r="C150" s="296"/>
      <c r="D150" s="295"/>
      <c r="E150" s="295"/>
      <c r="F150" s="295"/>
      <c r="G150" s="295"/>
      <c r="H150" s="295"/>
      <c r="I150" s="297"/>
      <c r="J150" s="297"/>
    </row>
    <row r="151" ht="15.75" customHeight="1">
      <c r="A151" s="295"/>
      <c r="B151" s="295"/>
      <c r="C151" s="296"/>
      <c r="D151" s="295"/>
      <c r="E151" s="295"/>
      <c r="F151" s="295"/>
      <c r="G151" s="295"/>
      <c r="H151" s="295"/>
      <c r="I151" s="297"/>
      <c r="J151" s="297"/>
    </row>
    <row r="152" ht="15.75" customHeight="1">
      <c r="A152" s="295"/>
      <c r="B152" s="295"/>
      <c r="C152" s="296"/>
      <c r="D152" s="295"/>
      <c r="E152" s="295"/>
      <c r="F152" s="295"/>
      <c r="G152" s="295"/>
      <c r="H152" s="295"/>
      <c r="I152" s="297"/>
      <c r="J152" s="297"/>
    </row>
    <row r="153" ht="15.75" customHeight="1">
      <c r="A153" s="295"/>
      <c r="B153" s="295"/>
      <c r="C153" s="296"/>
      <c r="D153" s="295"/>
      <c r="E153" s="295"/>
      <c r="F153" s="295"/>
      <c r="G153" s="295"/>
      <c r="H153" s="295"/>
      <c r="I153" s="297"/>
      <c r="J153" s="297"/>
    </row>
    <row r="154" ht="15.75" customHeight="1">
      <c r="A154" s="295"/>
      <c r="B154" s="295"/>
      <c r="C154" s="296"/>
      <c r="D154" s="295"/>
      <c r="E154" s="295"/>
      <c r="F154" s="295"/>
      <c r="G154" s="295"/>
      <c r="H154" s="295"/>
      <c r="I154" s="297"/>
      <c r="J154" s="297"/>
    </row>
    <row r="155" ht="15.75" customHeight="1">
      <c r="A155" s="295"/>
      <c r="B155" s="295"/>
      <c r="C155" s="296"/>
      <c r="D155" s="295"/>
      <c r="E155" s="295"/>
      <c r="F155" s="295"/>
      <c r="G155" s="295"/>
      <c r="H155" s="295"/>
      <c r="I155" s="297"/>
      <c r="J155" s="297"/>
    </row>
    <row r="156" ht="15.75" customHeight="1">
      <c r="A156" s="295"/>
      <c r="B156" s="295"/>
      <c r="C156" s="296"/>
      <c r="D156" s="295"/>
      <c r="E156" s="295"/>
      <c r="F156" s="295"/>
      <c r="G156" s="295"/>
      <c r="H156" s="295"/>
      <c r="I156" s="297"/>
      <c r="J156" s="297"/>
    </row>
    <row r="157" ht="15.75" customHeight="1">
      <c r="A157" s="295"/>
      <c r="B157" s="295"/>
      <c r="C157" s="296"/>
      <c r="D157" s="295"/>
      <c r="E157" s="295"/>
      <c r="F157" s="295"/>
      <c r="G157" s="295"/>
      <c r="H157" s="295"/>
      <c r="I157" s="297"/>
      <c r="J157" s="297"/>
    </row>
    <row r="158" ht="15.75" customHeight="1">
      <c r="A158" s="295"/>
      <c r="B158" s="295"/>
      <c r="C158" s="296"/>
      <c r="D158" s="295"/>
      <c r="E158" s="295"/>
      <c r="F158" s="295"/>
      <c r="G158" s="295"/>
      <c r="H158" s="295"/>
      <c r="I158" s="297"/>
      <c r="J158" s="297"/>
    </row>
    <row r="159" ht="15.75" customHeight="1">
      <c r="A159" s="295"/>
      <c r="B159" s="295"/>
      <c r="C159" s="296"/>
      <c r="D159" s="295"/>
      <c r="E159" s="295"/>
      <c r="F159" s="295"/>
      <c r="G159" s="295"/>
      <c r="H159" s="295"/>
      <c r="I159" s="297"/>
      <c r="J159" s="297"/>
    </row>
    <row r="160" ht="15.75" customHeight="1">
      <c r="A160" s="295"/>
      <c r="B160" s="295"/>
      <c r="C160" s="296"/>
      <c r="D160" s="295"/>
      <c r="E160" s="295"/>
      <c r="F160" s="295"/>
      <c r="G160" s="295"/>
      <c r="H160" s="295"/>
      <c r="I160" s="297"/>
      <c r="J160" s="297"/>
    </row>
    <row r="161" ht="15.75" customHeight="1">
      <c r="A161" s="295"/>
      <c r="B161" s="295"/>
      <c r="C161" s="296"/>
      <c r="D161" s="295"/>
      <c r="E161" s="295"/>
      <c r="F161" s="295"/>
      <c r="G161" s="295"/>
      <c r="H161" s="295"/>
      <c r="I161" s="297"/>
      <c r="J161" s="297"/>
    </row>
    <row r="162" ht="15.75" customHeight="1">
      <c r="A162" s="295"/>
      <c r="B162" s="295"/>
      <c r="C162" s="296"/>
      <c r="D162" s="295"/>
      <c r="E162" s="295"/>
      <c r="F162" s="295"/>
      <c r="G162" s="295"/>
      <c r="H162" s="295"/>
      <c r="I162" s="297"/>
      <c r="J162" s="297"/>
    </row>
    <row r="163" ht="15.75" customHeight="1">
      <c r="A163" s="295"/>
      <c r="B163" s="295"/>
      <c r="C163" s="296"/>
      <c r="D163" s="295"/>
      <c r="E163" s="295"/>
      <c r="F163" s="295"/>
      <c r="G163" s="295"/>
      <c r="H163" s="295"/>
      <c r="I163" s="297"/>
      <c r="J163" s="297"/>
    </row>
    <row r="164" ht="15.75" customHeight="1">
      <c r="A164" s="295"/>
      <c r="B164" s="295"/>
      <c r="C164" s="296"/>
      <c r="D164" s="295"/>
      <c r="E164" s="295"/>
      <c r="F164" s="295"/>
      <c r="G164" s="295"/>
      <c r="H164" s="295"/>
      <c r="I164" s="297"/>
      <c r="J164" s="297"/>
    </row>
    <row r="165" ht="15.75" customHeight="1">
      <c r="A165" s="295"/>
      <c r="B165" s="295"/>
      <c r="C165" s="296"/>
      <c r="D165" s="295"/>
      <c r="E165" s="295"/>
      <c r="F165" s="295"/>
      <c r="G165" s="295"/>
      <c r="H165" s="295"/>
      <c r="I165" s="297"/>
      <c r="J165" s="297"/>
    </row>
    <row r="166" ht="15.75" customHeight="1">
      <c r="A166" s="295"/>
      <c r="B166" s="295"/>
      <c r="C166" s="296"/>
      <c r="D166" s="295"/>
      <c r="E166" s="295"/>
      <c r="F166" s="295"/>
      <c r="G166" s="295"/>
      <c r="H166" s="295"/>
      <c r="I166" s="297"/>
      <c r="J166" s="297"/>
    </row>
    <row r="167" ht="15.75" customHeight="1">
      <c r="A167" s="295"/>
      <c r="B167" s="295"/>
      <c r="C167" s="296"/>
      <c r="D167" s="295"/>
      <c r="E167" s="295"/>
      <c r="F167" s="295"/>
      <c r="G167" s="295"/>
      <c r="H167" s="295"/>
      <c r="I167" s="297"/>
      <c r="J167" s="297"/>
    </row>
    <row r="168" ht="15.75" customHeight="1">
      <c r="A168" s="295"/>
      <c r="B168" s="295"/>
      <c r="C168" s="296"/>
      <c r="D168" s="295"/>
      <c r="E168" s="295"/>
      <c r="F168" s="295"/>
      <c r="G168" s="295"/>
      <c r="H168" s="295"/>
      <c r="I168" s="297"/>
      <c r="J168" s="297"/>
    </row>
    <row r="169" ht="15.75" customHeight="1">
      <c r="A169" s="295"/>
      <c r="B169" s="295"/>
      <c r="C169" s="296"/>
      <c r="D169" s="295"/>
      <c r="E169" s="295"/>
      <c r="F169" s="295"/>
      <c r="G169" s="295"/>
      <c r="H169" s="295"/>
      <c r="I169" s="297"/>
      <c r="J169" s="297"/>
    </row>
    <row r="170" ht="15.75" customHeight="1">
      <c r="A170" s="295"/>
      <c r="B170" s="295"/>
      <c r="C170" s="296"/>
      <c r="D170" s="295"/>
      <c r="E170" s="295"/>
      <c r="F170" s="295"/>
      <c r="G170" s="295"/>
      <c r="H170" s="295"/>
      <c r="I170" s="297"/>
      <c r="J170" s="297"/>
    </row>
    <row r="171" ht="15.75" customHeight="1">
      <c r="A171" s="295"/>
      <c r="B171" s="295"/>
      <c r="C171" s="296"/>
      <c r="D171" s="295"/>
      <c r="E171" s="295"/>
      <c r="F171" s="295"/>
      <c r="G171" s="295"/>
      <c r="H171" s="295"/>
      <c r="I171" s="297"/>
      <c r="J171" s="297"/>
    </row>
    <row r="172" ht="15.75" customHeight="1">
      <c r="A172" s="295"/>
      <c r="B172" s="295"/>
      <c r="C172" s="296"/>
      <c r="D172" s="295"/>
      <c r="E172" s="295"/>
      <c r="F172" s="295"/>
      <c r="G172" s="295"/>
      <c r="H172" s="295"/>
      <c r="I172" s="297"/>
      <c r="J172" s="297"/>
    </row>
    <row r="173" ht="15.75" customHeight="1">
      <c r="A173" s="295"/>
      <c r="B173" s="295"/>
      <c r="C173" s="296"/>
      <c r="D173" s="295"/>
      <c r="E173" s="295"/>
      <c r="F173" s="295"/>
      <c r="G173" s="295"/>
      <c r="H173" s="295"/>
      <c r="I173" s="297"/>
      <c r="J173" s="297"/>
    </row>
    <row r="174" ht="15.75" customHeight="1">
      <c r="A174" s="295"/>
      <c r="B174" s="295"/>
      <c r="C174" s="296"/>
      <c r="D174" s="295"/>
      <c r="E174" s="295"/>
      <c r="F174" s="295"/>
      <c r="G174" s="295"/>
      <c r="H174" s="295"/>
      <c r="I174" s="297"/>
      <c r="J174" s="297"/>
    </row>
    <row r="175" ht="15.75" customHeight="1">
      <c r="A175" s="295"/>
      <c r="B175" s="295"/>
      <c r="C175" s="296"/>
      <c r="D175" s="295"/>
      <c r="E175" s="295"/>
      <c r="F175" s="295"/>
      <c r="G175" s="295"/>
      <c r="H175" s="295"/>
      <c r="I175" s="297"/>
      <c r="J175" s="297"/>
    </row>
    <row r="176" ht="15.75" customHeight="1">
      <c r="A176" s="295"/>
      <c r="B176" s="295"/>
      <c r="C176" s="296"/>
      <c r="D176" s="295"/>
      <c r="E176" s="295"/>
      <c r="F176" s="295"/>
      <c r="G176" s="295"/>
      <c r="H176" s="295"/>
      <c r="I176" s="297"/>
      <c r="J176" s="297"/>
    </row>
    <row r="177" ht="15.75" customHeight="1">
      <c r="A177" s="295"/>
      <c r="B177" s="295"/>
      <c r="C177" s="296"/>
      <c r="D177" s="295"/>
      <c r="E177" s="295"/>
      <c r="F177" s="295"/>
      <c r="G177" s="295"/>
      <c r="H177" s="295"/>
      <c r="I177" s="297"/>
      <c r="J177" s="297"/>
    </row>
    <row r="178" ht="15.75" customHeight="1">
      <c r="A178" s="295"/>
      <c r="B178" s="295"/>
      <c r="C178" s="296"/>
      <c r="D178" s="295"/>
      <c r="E178" s="295"/>
      <c r="F178" s="295"/>
      <c r="G178" s="295"/>
      <c r="H178" s="295"/>
      <c r="I178" s="297"/>
      <c r="J178" s="297"/>
    </row>
    <row r="179" ht="15.75" customHeight="1">
      <c r="A179" s="295"/>
      <c r="B179" s="295"/>
      <c r="C179" s="296"/>
      <c r="D179" s="295"/>
      <c r="E179" s="295"/>
      <c r="F179" s="295"/>
      <c r="G179" s="295"/>
      <c r="H179" s="295"/>
      <c r="I179" s="297"/>
      <c r="J179" s="297"/>
    </row>
    <row r="180" ht="15.75" customHeight="1">
      <c r="A180" s="295"/>
      <c r="B180" s="295"/>
      <c r="C180" s="296"/>
      <c r="D180" s="295"/>
      <c r="E180" s="295"/>
      <c r="F180" s="295"/>
      <c r="G180" s="295"/>
      <c r="H180" s="295"/>
      <c r="I180" s="297"/>
      <c r="J180" s="297"/>
    </row>
    <row r="181" ht="15.75" customHeight="1">
      <c r="A181" s="295"/>
      <c r="B181" s="295"/>
      <c r="C181" s="296"/>
      <c r="D181" s="295"/>
      <c r="E181" s="295"/>
      <c r="F181" s="295"/>
      <c r="G181" s="295"/>
      <c r="H181" s="295"/>
      <c r="I181" s="297"/>
      <c r="J181" s="297"/>
    </row>
    <row r="182" ht="15.75" customHeight="1">
      <c r="A182" s="295"/>
      <c r="B182" s="295"/>
      <c r="C182" s="296"/>
      <c r="D182" s="295"/>
      <c r="E182" s="295"/>
      <c r="F182" s="295"/>
      <c r="G182" s="295"/>
      <c r="H182" s="295"/>
      <c r="I182" s="297"/>
      <c r="J182" s="297"/>
    </row>
    <row r="183" ht="15.75" customHeight="1">
      <c r="A183" s="295"/>
      <c r="B183" s="295"/>
      <c r="C183" s="296"/>
      <c r="D183" s="295"/>
      <c r="E183" s="295"/>
      <c r="F183" s="295"/>
      <c r="G183" s="295"/>
      <c r="H183" s="295"/>
      <c r="I183" s="297"/>
      <c r="J183" s="297"/>
    </row>
    <row r="184" ht="15.75" customHeight="1">
      <c r="A184" s="295"/>
      <c r="B184" s="295"/>
      <c r="C184" s="296"/>
      <c r="D184" s="295"/>
      <c r="E184" s="295"/>
      <c r="F184" s="295"/>
      <c r="G184" s="295"/>
      <c r="H184" s="295"/>
      <c r="I184" s="297"/>
      <c r="J184" s="297"/>
    </row>
    <row r="185" ht="15.75" customHeight="1">
      <c r="A185" s="295"/>
      <c r="B185" s="295"/>
      <c r="C185" s="296"/>
      <c r="D185" s="295"/>
      <c r="E185" s="295"/>
      <c r="F185" s="295"/>
      <c r="G185" s="295"/>
      <c r="H185" s="295"/>
      <c r="I185" s="297"/>
      <c r="J185" s="297"/>
    </row>
    <row r="186" ht="15.75" customHeight="1">
      <c r="A186" s="295"/>
      <c r="B186" s="295"/>
      <c r="C186" s="296"/>
      <c r="D186" s="295"/>
      <c r="E186" s="295"/>
      <c r="F186" s="295"/>
      <c r="G186" s="295"/>
      <c r="H186" s="295"/>
      <c r="I186" s="297"/>
      <c r="J186" s="297"/>
    </row>
    <row r="187" ht="15.75" customHeight="1">
      <c r="A187" s="295"/>
      <c r="B187" s="295"/>
      <c r="C187" s="296"/>
      <c r="D187" s="295"/>
      <c r="E187" s="295"/>
      <c r="F187" s="295"/>
      <c r="G187" s="295"/>
      <c r="H187" s="295"/>
      <c r="I187" s="297"/>
      <c r="J187" s="297"/>
    </row>
    <row r="188" ht="15.75" customHeight="1">
      <c r="A188" s="295"/>
      <c r="B188" s="295"/>
      <c r="C188" s="296"/>
      <c r="D188" s="295"/>
      <c r="E188" s="295"/>
      <c r="F188" s="295"/>
      <c r="G188" s="295"/>
      <c r="H188" s="295"/>
      <c r="I188" s="297"/>
      <c r="J188" s="297"/>
    </row>
    <row r="189" ht="15.75" customHeight="1">
      <c r="A189" s="295"/>
      <c r="B189" s="295"/>
      <c r="C189" s="296"/>
      <c r="D189" s="295"/>
      <c r="E189" s="295"/>
      <c r="F189" s="295"/>
      <c r="G189" s="295"/>
      <c r="H189" s="295"/>
      <c r="I189" s="297"/>
      <c r="J189" s="297"/>
    </row>
    <row r="190" ht="15.75" customHeight="1">
      <c r="A190" s="295"/>
      <c r="B190" s="295"/>
      <c r="C190" s="296"/>
      <c r="D190" s="295"/>
      <c r="E190" s="295"/>
      <c r="F190" s="295"/>
      <c r="G190" s="295"/>
      <c r="H190" s="295"/>
      <c r="I190" s="297"/>
      <c r="J190" s="297"/>
    </row>
    <row r="191" ht="15.75" customHeight="1">
      <c r="A191" s="295"/>
      <c r="B191" s="295"/>
      <c r="C191" s="296"/>
      <c r="D191" s="295"/>
      <c r="E191" s="295"/>
      <c r="F191" s="295"/>
      <c r="G191" s="295"/>
      <c r="H191" s="295"/>
      <c r="I191" s="297"/>
      <c r="J191" s="297"/>
    </row>
    <row r="192" ht="15.75" customHeight="1">
      <c r="A192" s="295"/>
      <c r="B192" s="295"/>
      <c r="C192" s="296"/>
      <c r="D192" s="295"/>
      <c r="E192" s="295"/>
      <c r="F192" s="295"/>
      <c r="G192" s="295"/>
      <c r="H192" s="295"/>
      <c r="I192" s="297"/>
      <c r="J192" s="297"/>
    </row>
    <row r="193" ht="15.75" customHeight="1">
      <c r="A193" s="295"/>
      <c r="B193" s="295"/>
      <c r="C193" s="296"/>
      <c r="D193" s="295"/>
      <c r="E193" s="295"/>
      <c r="F193" s="295"/>
      <c r="G193" s="295"/>
      <c r="H193" s="295"/>
      <c r="I193" s="297"/>
      <c r="J193" s="297"/>
    </row>
    <row r="194" ht="15.75" customHeight="1">
      <c r="A194" s="295"/>
      <c r="B194" s="295"/>
      <c r="C194" s="296"/>
      <c r="D194" s="295"/>
      <c r="E194" s="295"/>
      <c r="F194" s="295"/>
      <c r="G194" s="295"/>
      <c r="H194" s="295"/>
      <c r="I194" s="297"/>
      <c r="J194" s="297"/>
    </row>
    <row r="195" ht="15.75" customHeight="1">
      <c r="A195" s="295"/>
      <c r="B195" s="295"/>
      <c r="C195" s="296"/>
      <c r="D195" s="295"/>
      <c r="E195" s="295"/>
      <c r="F195" s="295"/>
      <c r="G195" s="295"/>
      <c r="H195" s="295"/>
      <c r="I195" s="297"/>
      <c r="J195" s="297"/>
    </row>
    <row r="196" ht="15.75" customHeight="1">
      <c r="A196" s="295"/>
      <c r="B196" s="295"/>
      <c r="C196" s="296"/>
      <c r="D196" s="295"/>
      <c r="E196" s="295"/>
      <c r="F196" s="295"/>
      <c r="G196" s="295"/>
      <c r="H196" s="295"/>
      <c r="I196" s="297"/>
      <c r="J196" s="297"/>
    </row>
    <row r="197" ht="15.75" customHeight="1">
      <c r="A197" s="295"/>
      <c r="B197" s="295"/>
      <c r="C197" s="296"/>
      <c r="D197" s="295"/>
      <c r="E197" s="295"/>
      <c r="F197" s="295"/>
      <c r="G197" s="295"/>
      <c r="H197" s="295"/>
      <c r="I197" s="297"/>
      <c r="J197" s="297"/>
    </row>
    <row r="198" ht="15.75" customHeight="1">
      <c r="A198" s="295"/>
      <c r="B198" s="295"/>
      <c r="C198" s="296"/>
      <c r="D198" s="295"/>
      <c r="E198" s="295"/>
      <c r="F198" s="295"/>
      <c r="G198" s="295"/>
      <c r="H198" s="295"/>
      <c r="I198" s="297"/>
      <c r="J198" s="297"/>
    </row>
    <row r="199" ht="15.75" customHeight="1">
      <c r="A199" s="295"/>
      <c r="B199" s="295"/>
      <c r="C199" s="296"/>
      <c r="D199" s="295"/>
      <c r="E199" s="295"/>
      <c r="F199" s="295"/>
      <c r="G199" s="295"/>
      <c r="H199" s="295"/>
      <c r="I199" s="297"/>
      <c r="J199" s="297"/>
    </row>
    <row r="200" ht="15.75" customHeight="1">
      <c r="A200" s="295"/>
      <c r="B200" s="295"/>
      <c r="C200" s="296"/>
      <c r="D200" s="295"/>
      <c r="E200" s="295"/>
      <c r="F200" s="295"/>
      <c r="G200" s="295"/>
      <c r="H200" s="295"/>
      <c r="I200" s="297"/>
      <c r="J200" s="297"/>
    </row>
    <row r="201" ht="15.75" customHeight="1">
      <c r="A201" s="295"/>
      <c r="B201" s="295"/>
      <c r="C201" s="296"/>
      <c r="D201" s="295"/>
      <c r="E201" s="295"/>
      <c r="F201" s="295"/>
      <c r="G201" s="295"/>
      <c r="H201" s="295"/>
      <c r="I201" s="297"/>
      <c r="J201" s="297"/>
    </row>
    <row r="202" ht="15.75" customHeight="1">
      <c r="A202" s="295"/>
      <c r="B202" s="295"/>
      <c r="C202" s="296"/>
      <c r="D202" s="295"/>
      <c r="E202" s="295"/>
      <c r="F202" s="295"/>
      <c r="G202" s="295"/>
      <c r="H202" s="295"/>
      <c r="I202" s="297"/>
      <c r="J202" s="297"/>
    </row>
    <row r="203" ht="15.75" customHeight="1">
      <c r="A203" s="295"/>
      <c r="B203" s="295"/>
      <c r="C203" s="296"/>
      <c r="D203" s="295"/>
      <c r="E203" s="295"/>
      <c r="F203" s="295"/>
      <c r="G203" s="295"/>
      <c r="H203" s="295"/>
      <c r="I203" s="297"/>
      <c r="J203" s="297"/>
    </row>
    <row r="204" ht="15.75" customHeight="1">
      <c r="A204" s="295"/>
      <c r="B204" s="295"/>
      <c r="C204" s="296"/>
      <c r="D204" s="295"/>
      <c r="E204" s="295"/>
      <c r="F204" s="295"/>
      <c r="G204" s="295"/>
      <c r="H204" s="295"/>
      <c r="I204" s="297"/>
      <c r="J204" s="297"/>
    </row>
    <row r="205" ht="15.75" customHeight="1">
      <c r="A205" s="295"/>
      <c r="B205" s="295"/>
      <c r="C205" s="296"/>
      <c r="D205" s="295"/>
      <c r="E205" s="295"/>
      <c r="F205" s="295"/>
      <c r="G205" s="295"/>
      <c r="H205" s="295"/>
      <c r="I205" s="297"/>
      <c r="J205" s="297"/>
    </row>
    <row r="206" ht="15.75" customHeight="1">
      <c r="A206" s="295"/>
      <c r="B206" s="295"/>
      <c r="C206" s="296"/>
      <c r="D206" s="295"/>
      <c r="E206" s="295"/>
      <c r="F206" s="295"/>
      <c r="G206" s="295"/>
      <c r="H206" s="295"/>
      <c r="I206" s="297"/>
      <c r="J206" s="297"/>
    </row>
    <row r="207" ht="15.75" customHeight="1">
      <c r="A207" s="295"/>
      <c r="B207" s="295"/>
      <c r="C207" s="296"/>
      <c r="D207" s="295"/>
      <c r="E207" s="295"/>
      <c r="F207" s="295"/>
      <c r="G207" s="295"/>
      <c r="H207" s="295"/>
      <c r="I207" s="297"/>
      <c r="J207" s="297"/>
    </row>
    <row r="208" ht="15.75" customHeight="1">
      <c r="A208" s="295"/>
      <c r="B208" s="295"/>
      <c r="C208" s="296"/>
      <c r="D208" s="295"/>
      <c r="E208" s="295"/>
      <c r="F208" s="295"/>
      <c r="G208" s="295"/>
      <c r="H208" s="295"/>
      <c r="I208" s="297"/>
      <c r="J208" s="297"/>
    </row>
    <row r="209" ht="15.75" customHeight="1">
      <c r="A209" s="295"/>
      <c r="B209" s="295"/>
      <c r="C209" s="296"/>
      <c r="D209" s="295"/>
      <c r="E209" s="295"/>
      <c r="F209" s="295"/>
      <c r="G209" s="295"/>
      <c r="H209" s="295"/>
      <c r="I209" s="297"/>
      <c r="J209" s="297"/>
    </row>
    <row r="210" ht="15.75" customHeight="1">
      <c r="A210" s="295"/>
      <c r="B210" s="295"/>
      <c r="C210" s="296"/>
      <c r="D210" s="295"/>
      <c r="E210" s="295"/>
      <c r="F210" s="295"/>
      <c r="G210" s="295"/>
      <c r="H210" s="295"/>
      <c r="I210" s="297"/>
      <c r="J210" s="297"/>
    </row>
    <row r="211" ht="15.75" customHeight="1">
      <c r="A211" s="295"/>
      <c r="B211" s="295"/>
      <c r="C211" s="296"/>
      <c r="D211" s="295"/>
      <c r="E211" s="295"/>
      <c r="F211" s="295"/>
      <c r="G211" s="295"/>
      <c r="H211" s="295"/>
      <c r="I211" s="297"/>
      <c r="J211" s="297"/>
    </row>
    <row r="212" ht="15.75" customHeight="1">
      <c r="A212" s="295"/>
      <c r="B212" s="295"/>
      <c r="C212" s="296"/>
      <c r="D212" s="295"/>
      <c r="E212" s="295"/>
      <c r="F212" s="295"/>
      <c r="G212" s="295"/>
      <c r="H212" s="295"/>
      <c r="I212" s="297"/>
      <c r="J212" s="297"/>
    </row>
    <row r="213" ht="15.75" customHeight="1">
      <c r="A213" s="295"/>
      <c r="B213" s="295"/>
      <c r="C213" s="296"/>
      <c r="D213" s="295"/>
      <c r="E213" s="295"/>
      <c r="F213" s="295"/>
      <c r="G213" s="295"/>
      <c r="H213" s="295"/>
      <c r="I213" s="297"/>
      <c r="J213" s="297"/>
    </row>
    <row r="214" ht="15.75" customHeight="1">
      <c r="A214" s="295"/>
      <c r="B214" s="295"/>
      <c r="C214" s="296"/>
      <c r="D214" s="295"/>
      <c r="E214" s="295"/>
      <c r="F214" s="295"/>
      <c r="G214" s="295"/>
      <c r="H214" s="295"/>
      <c r="I214" s="297"/>
      <c r="J214" s="297"/>
    </row>
    <row r="215" ht="15.75" customHeight="1">
      <c r="A215" s="295"/>
      <c r="B215" s="295"/>
      <c r="C215" s="296"/>
      <c r="D215" s="295"/>
      <c r="E215" s="295"/>
      <c r="F215" s="295"/>
      <c r="G215" s="295"/>
      <c r="H215" s="295"/>
      <c r="I215" s="297"/>
      <c r="J215" s="297"/>
    </row>
    <row r="216" ht="15.75" customHeight="1">
      <c r="A216" s="295"/>
      <c r="B216" s="295"/>
      <c r="C216" s="296"/>
      <c r="D216" s="295"/>
      <c r="E216" s="295"/>
      <c r="F216" s="295"/>
      <c r="G216" s="295"/>
      <c r="H216" s="295"/>
      <c r="I216" s="297"/>
      <c r="J216" s="297"/>
    </row>
    <row r="217" ht="15.75" customHeight="1">
      <c r="A217" s="295"/>
      <c r="B217" s="295"/>
      <c r="C217" s="296"/>
      <c r="D217" s="295"/>
      <c r="E217" s="295"/>
      <c r="F217" s="295"/>
      <c r="G217" s="295"/>
      <c r="H217" s="295"/>
      <c r="I217" s="297"/>
      <c r="J217" s="297"/>
    </row>
    <row r="218" ht="15.75" customHeight="1">
      <c r="A218" s="295"/>
      <c r="B218" s="295"/>
      <c r="C218" s="296"/>
      <c r="D218" s="295"/>
      <c r="E218" s="295"/>
      <c r="F218" s="295"/>
      <c r="G218" s="295"/>
      <c r="H218" s="295"/>
      <c r="I218" s="297"/>
      <c r="J218" s="297"/>
    </row>
    <row r="219" ht="15.75" customHeight="1">
      <c r="A219" s="295"/>
      <c r="B219" s="295"/>
      <c r="C219" s="296"/>
      <c r="D219" s="295"/>
      <c r="E219" s="295"/>
      <c r="F219" s="295"/>
      <c r="G219" s="295"/>
      <c r="H219" s="295"/>
      <c r="I219" s="297"/>
      <c r="J219" s="297"/>
    </row>
    <row r="220" ht="15.75" customHeight="1">
      <c r="A220" s="295"/>
      <c r="B220" s="295"/>
      <c r="C220" s="296"/>
      <c r="D220" s="295"/>
      <c r="E220" s="295"/>
      <c r="F220" s="295"/>
      <c r="G220" s="295"/>
      <c r="H220" s="295"/>
      <c r="I220" s="297"/>
      <c r="J220" s="297"/>
    </row>
    <row r="221" ht="15.75" customHeight="1">
      <c r="A221" s="295"/>
      <c r="B221" s="295"/>
      <c r="C221" s="296"/>
      <c r="D221" s="295"/>
      <c r="E221" s="295"/>
      <c r="F221" s="295"/>
      <c r="G221" s="295"/>
      <c r="H221" s="295"/>
      <c r="I221" s="297"/>
      <c r="J221" s="297"/>
    </row>
    <row r="222" ht="15.75" customHeight="1">
      <c r="A222" s="295"/>
      <c r="B222" s="295"/>
      <c r="C222" s="296"/>
      <c r="D222" s="295"/>
      <c r="E222" s="295"/>
      <c r="F222" s="295"/>
      <c r="G222" s="295"/>
      <c r="H222" s="295"/>
      <c r="I222" s="297"/>
      <c r="J222" s="297"/>
    </row>
    <row r="223" ht="15.75" customHeight="1">
      <c r="A223" s="295"/>
      <c r="B223" s="295"/>
      <c r="C223" s="296"/>
      <c r="D223" s="295"/>
      <c r="E223" s="295"/>
      <c r="F223" s="295"/>
      <c r="G223" s="295"/>
      <c r="H223" s="295"/>
      <c r="I223" s="297"/>
      <c r="J223" s="297"/>
    </row>
    <row r="224" ht="15.75" customHeight="1">
      <c r="A224" s="295"/>
      <c r="B224" s="295"/>
      <c r="C224" s="296"/>
      <c r="D224" s="295"/>
      <c r="E224" s="295"/>
      <c r="F224" s="295"/>
      <c r="G224" s="295"/>
      <c r="H224" s="295"/>
      <c r="I224" s="297"/>
      <c r="J224" s="297"/>
    </row>
    <row r="225" ht="15.75" customHeight="1">
      <c r="A225" s="295"/>
      <c r="B225" s="295"/>
      <c r="C225" s="296"/>
      <c r="D225" s="295"/>
      <c r="E225" s="295"/>
      <c r="F225" s="295"/>
      <c r="G225" s="295"/>
      <c r="H225" s="295"/>
      <c r="I225" s="297"/>
      <c r="J225" s="297"/>
    </row>
    <row r="226" ht="15.75" customHeight="1">
      <c r="A226" s="295"/>
      <c r="B226" s="295"/>
      <c r="C226" s="296"/>
      <c r="D226" s="295"/>
      <c r="E226" s="295"/>
      <c r="F226" s="295"/>
      <c r="G226" s="295"/>
      <c r="H226" s="295"/>
      <c r="I226" s="297"/>
      <c r="J226" s="297"/>
    </row>
    <row r="227" ht="15.75" customHeight="1">
      <c r="A227" s="295"/>
      <c r="B227" s="295"/>
      <c r="C227" s="296"/>
      <c r="D227" s="295"/>
      <c r="E227" s="295"/>
      <c r="F227" s="295"/>
      <c r="G227" s="295"/>
      <c r="H227" s="295"/>
      <c r="I227" s="297"/>
      <c r="J227" s="297"/>
    </row>
    <row r="228" ht="15.75" customHeight="1">
      <c r="A228" s="295"/>
      <c r="B228" s="295"/>
      <c r="C228" s="296"/>
      <c r="D228" s="295"/>
      <c r="E228" s="295"/>
      <c r="F228" s="295"/>
      <c r="G228" s="295"/>
      <c r="H228" s="295"/>
      <c r="I228" s="297"/>
      <c r="J228" s="297"/>
    </row>
    <row r="229" ht="15.75" customHeight="1">
      <c r="A229" s="295"/>
      <c r="B229" s="295"/>
      <c r="C229" s="296"/>
      <c r="D229" s="295"/>
      <c r="E229" s="295"/>
      <c r="F229" s="295"/>
      <c r="G229" s="295"/>
      <c r="H229" s="295"/>
      <c r="I229" s="297"/>
      <c r="J229" s="297"/>
    </row>
    <row r="230" ht="15.75" customHeight="1">
      <c r="A230" s="295"/>
      <c r="B230" s="295"/>
      <c r="C230" s="296"/>
      <c r="D230" s="295"/>
      <c r="E230" s="295"/>
      <c r="F230" s="295"/>
      <c r="G230" s="295"/>
      <c r="H230" s="295"/>
      <c r="I230" s="297"/>
      <c r="J230" s="297"/>
    </row>
    <row r="231" ht="15.75" customHeight="1">
      <c r="A231" s="295"/>
      <c r="B231" s="295"/>
      <c r="C231" s="296"/>
      <c r="D231" s="295"/>
      <c r="E231" s="295"/>
      <c r="F231" s="295"/>
      <c r="G231" s="295"/>
      <c r="H231" s="295"/>
      <c r="I231" s="297"/>
      <c r="J231" s="297"/>
    </row>
    <row r="232" ht="15.75" customHeight="1">
      <c r="A232" s="295"/>
      <c r="B232" s="295"/>
      <c r="C232" s="296"/>
      <c r="D232" s="295"/>
      <c r="E232" s="295"/>
      <c r="F232" s="295"/>
      <c r="G232" s="295"/>
      <c r="H232" s="295"/>
      <c r="I232" s="297"/>
      <c r="J232" s="297"/>
    </row>
    <row r="233" ht="15.75" customHeight="1">
      <c r="A233" s="295"/>
      <c r="B233" s="295"/>
      <c r="C233" s="296"/>
      <c r="D233" s="295"/>
      <c r="E233" s="295"/>
      <c r="F233" s="295"/>
      <c r="G233" s="295"/>
      <c r="H233" s="295"/>
      <c r="I233" s="297"/>
      <c r="J233" s="297"/>
    </row>
    <row r="234" ht="15.75" customHeight="1">
      <c r="A234" s="295"/>
      <c r="B234" s="295"/>
      <c r="C234" s="296"/>
      <c r="D234" s="295"/>
      <c r="E234" s="295"/>
      <c r="F234" s="295"/>
      <c r="G234" s="295"/>
      <c r="H234" s="295"/>
      <c r="I234" s="297"/>
      <c r="J234" s="297"/>
    </row>
    <row r="235" ht="15.75" customHeight="1">
      <c r="A235" s="295"/>
      <c r="B235" s="295"/>
      <c r="C235" s="296"/>
      <c r="D235" s="295"/>
      <c r="E235" s="295"/>
      <c r="F235" s="295"/>
      <c r="G235" s="295"/>
      <c r="H235" s="295"/>
      <c r="I235" s="297"/>
      <c r="J235" s="297"/>
    </row>
    <row r="236" ht="15.75" customHeight="1">
      <c r="A236" s="295"/>
      <c r="B236" s="295"/>
      <c r="C236" s="296"/>
      <c r="D236" s="295"/>
      <c r="E236" s="295"/>
      <c r="F236" s="295"/>
      <c r="G236" s="295"/>
      <c r="H236" s="295"/>
      <c r="I236" s="297"/>
      <c r="J236" s="297"/>
    </row>
    <row r="237" ht="15.75" customHeight="1">
      <c r="A237" s="295"/>
      <c r="B237" s="295"/>
      <c r="C237" s="296"/>
      <c r="D237" s="295"/>
      <c r="E237" s="295"/>
      <c r="F237" s="295"/>
      <c r="G237" s="295"/>
      <c r="H237" s="295"/>
      <c r="I237" s="297"/>
      <c r="J237" s="297"/>
    </row>
    <row r="238" ht="15.75" customHeight="1">
      <c r="A238" s="295"/>
      <c r="B238" s="295"/>
      <c r="C238" s="296"/>
      <c r="D238" s="295"/>
      <c r="E238" s="295"/>
      <c r="F238" s="295"/>
      <c r="G238" s="295"/>
      <c r="H238" s="295"/>
      <c r="I238" s="297"/>
      <c r="J238" s="29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</cols>
  <sheetData>
    <row r="1" ht="15.75" customHeight="1">
      <c r="A1" s="285" t="s">
        <v>143</v>
      </c>
      <c r="B1" s="285" t="s">
        <v>144</v>
      </c>
      <c r="C1" s="286" t="s">
        <v>145</v>
      </c>
      <c r="D1" s="285" t="s">
        <v>146</v>
      </c>
      <c r="E1" s="285" t="s">
        <v>147</v>
      </c>
      <c r="F1" s="285" t="s">
        <v>244</v>
      </c>
      <c r="G1" s="285" t="s">
        <v>149</v>
      </c>
      <c r="H1" s="285" t="s">
        <v>245</v>
      </c>
      <c r="I1" s="287" t="s">
        <v>96</v>
      </c>
      <c r="J1" s="287" t="s">
        <v>68</v>
      </c>
    </row>
    <row r="2" ht="15.75" customHeight="1">
      <c r="A2" s="288">
        <v>44410.0</v>
      </c>
      <c r="B2" s="289"/>
      <c r="C2" s="290"/>
      <c r="D2" s="291"/>
      <c r="E2" s="291"/>
      <c r="F2" s="290" t="str">
        <f t="shared" ref="F2:F36" si="1">E2/D2</f>
        <v>#DIV/0!</v>
      </c>
      <c r="G2" s="291"/>
      <c r="H2" s="290" t="str">
        <f t="shared" ref="H2:H36" si="2">G2/E2</f>
        <v>#DIV/0!</v>
      </c>
      <c r="I2" s="292" t="str">
        <f t="shared" ref="I2:I36" si="3">J2/G2</f>
        <v>#DIV/0!</v>
      </c>
      <c r="J2" s="293"/>
    </row>
    <row r="3" ht="15.75" customHeight="1">
      <c r="A3" s="288">
        <v>44411.0</v>
      </c>
      <c r="B3" s="289"/>
      <c r="C3" s="290"/>
      <c r="D3" s="291"/>
      <c r="E3" s="291"/>
      <c r="F3" s="290" t="str">
        <f t="shared" si="1"/>
        <v>#DIV/0!</v>
      </c>
      <c r="G3" s="291"/>
      <c r="H3" s="290" t="str">
        <f t="shared" si="2"/>
        <v>#DIV/0!</v>
      </c>
      <c r="I3" s="292" t="str">
        <f t="shared" si="3"/>
        <v>#DIV/0!</v>
      </c>
      <c r="J3" s="293"/>
    </row>
    <row r="4" ht="15.75" customHeight="1">
      <c r="A4" s="288">
        <v>44412.0</v>
      </c>
      <c r="B4" s="291"/>
      <c r="C4" s="290"/>
      <c r="D4" s="291"/>
      <c r="E4" s="291"/>
      <c r="F4" s="290" t="str">
        <f t="shared" si="1"/>
        <v>#DIV/0!</v>
      </c>
      <c r="G4" s="291"/>
      <c r="H4" s="290" t="str">
        <f t="shared" si="2"/>
        <v>#DIV/0!</v>
      </c>
      <c r="I4" s="292" t="str">
        <f t="shared" si="3"/>
        <v>#DIV/0!</v>
      </c>
      <c r="J4" s="293"/>
    </row>
    <row r="5" ht="15.75" customHeight="1">
      <c r="A5" s="288">
        <v>44413.0</v>
      </c>
      <c r="B5" s="291"/>
      <c r="C5" s="290"/>
      <c r="D5" s="291"/>
      <c r="E5" s="291"/>
      <c r="F5" s="290" t="str">
        <f t="shared" si="1"/>
        <v>#DIV/0!</v>
      </c>
      <c r="G5" s="291"/>
      <c r="H5" s="290" t="str">
        <f t="shared" si="2"/>
        <v>#DIV/0!</v>
      </c>
      <c r="I5" s="292" t="str">
        <f t="shared" si="3"/>
        <v>#DIV/0!</v>
      </c>
      <c r="J5" s="293"/>
    </row>
    <row r="6" ht="15.75" customHeight="1">
      <c r="A6" s="288">
        <v>44414.0</v>
      </c>
      <c r="B6" s="291"/>
      <c r="C6" s="290"/>
      <c r="D6" s="291"/>
      <c r="E6" s="291"/>
      <c r="F6" s="290" t="str">
        <f t="shared" si="1"/>
        <v>#DIV/0!</v>
      </c>
      <c r="G6" s="291"/>
      <c r="H6" s="290" t="str">
        <f t="shared" si="2"/>
        <v>#DIV/0!</v>
      </c>
      <c r="I6" s="292" t="str">
        <f t="shared" si="3"/>
        <v>#DIV/0!</v>
      </c>
      <c r="J6" s="293"/>
    </row>
    <row r="7" ht="15.75" customHeight="1">
      <c r="A7" s="288">
        <v>44415.0</v>
      </c>
      <c r="B7" s="291"/>
      <c r="C7" s="290"/>
      <c r="D7" s="291"/>
      <c r="E7" s="291"/>
      <c r="F7" s="290" t="str">
        <f t="shared" si="1"/>
        <v>#DIV/0!</v>
      </c>
      <c r="G7" s="291"/>
      <c r="H7" s="290" t="str">
        <f t="shared" si="2"/>
        <v>#DIV/0!</v>
      </c>
      <c r="I7" s="292" t="str">
        <f t="shared" si="3"/>
        <v>#DIV/0!</v>
      </c>
      <c r="J7" s="293"/>
    </row>
    <row r="8" ht="15.75" customHeight="1">
      <c r="A8" s="288">
        <v>44416.0</v>
      </c>
      <c r="B8" s="291"/>
      <c r="C8" s="290"/>
      <c r="D8" s="291"/>
      <c r="E8" s="291"/>
      <c r="F8" s="290" t="str">
        <f t="shared" si="1"/>
        <v>#DIV/0!</v>
      </c>
      <c r="G8" s="291"/>
      <c r="H8" s="290" t="str">
        <f t="shared" si="2"/>
        <v>#DIV/0!</v>
      </c>
      <c r="I8" s="292" t="str">
        <f t="shared" si="3"/>
        <v>#DIV/0!</v>
      </c>
      <c r="J8" s="293"/>
    </row>
    <row r="9" ht="15.75" customHeight="1">
      <c r="A9" s="288">
        <v>44417.0</v>
      </c>
      <c r="B9" s="291"/>
      <c r="C9" s="290"/>
      <c r="D9" s="291"/>
      <c r="E9" s="291"/>
      <c r="F9" s="290" t="str">
        <f t="shared" si="1"/>
        <v>#DIV/0!</v>
      </c>
      <c r="G9" s="291"/>
      <c r="H9" s="290" t="str">
        <f t="shared" si="2"/>
        <v>#DIV/0!</v>
      </c>
      <c r="I9" s="292" t="str">
        <f t="shared" si="3"/>
        <v>#DIV/0!</v>
      </c>
      <c r="J9" s="293"/>
    </row>
    <row r="10" ht="15.75" customHeight="1">
      <c r="A10" s="288">
        <v>44418.0</v>
      </c>
      <c r="B10" s="291"/>
      <c r="C10" s="290"/>
      <c r="D10" s="291"/>
      <c r="E10" s="291"/>
      <c r="F10" s="290" t="str">
        <f t="shared" si="1"/>
        <v>#DIV/0!</v>
      </c>
      <c r="G10" s="291"/>
      <c r="H10" s="290" t="str">
        <f t="shared" si="2"/>
        <v>#DIV/0!</v>
      </c>
      <c r="I10" s="292" t="str">
        <f t="shared" si="3"/>
        <v>#DIV/0!</v>
      </c>
      <c r="J10" s="293"/>
    </row>
    <row r="11" ht="15.75" customHeight="1">
      <c r="A11" s="288">
        <v>44419.0</v>
      </c>
      <c r="B11" s="291"/>
      <c r="C11" s="290"/>
      <c r="D11" s="291"/>
      <c r="E11" s="291"/>
      <c r="F11" s="290" t="str">
        <f t="shared" si="1"/>
        <v>#DIV/0!</v>
      </c>
      <c r="G11" s="291"/>
      <c r="H11" s="290" t="str">
        <f t="shared" si="2"/>
        <v>#DIV/0!</v>
      </c>
      <c r="I11" s="292" t="str">
        <f t="shared" si="3"/>
        <v>#DIV/0!</v>
      </c>
      <c r="J11" s="293"/>
    </row>
    <row r="12" ht="15.75" customHeight="1">
      <c r="A12" s="288">
        <v>44420.0</v>
      </c>
      <c r="B12" s="291"/>
      <c r="C12" s="290"/>
      <c r="D12" s="291"/>
      <c r="E12" s="291"/>
      <c r="F12" s="290" t="str">
        <f t="shared" si="1"/>
        <v>#DIV/0!</v>
      </c>
      <c r="G12" s="291"/>
      <c r="H12" s="290" t="str">
        <f t="shared" si="2"/>
        <v>#DIV/0!</v>
      </c>
      <c r="I12" s="292" t="str">
        <f t="shared" si="3"/>
        <v>#DIV/0!</v>
      </c>
      <c r="J12" s="293"/>
    </row>
    <row r="13" ht="15.75" customHeight="1">
      <c r="A13" s="288">
        <v>44421.0</v>
      </c>
      <c r="B13" s="291"/>
      <c r="C13" s="290"/>
      <c r="D13" s="291"/>
      <c r="E13" s="291"/>
      <c r="F13" s="290" t="str">
        <f t="shared" si="1"/>
        <v>#DIV/0!</v>
      </c>
      <c r="G13" s="291"/>
      <c r="H13" s="290" t="str">
        <f t="shared" si="2"/>
        <v>#DIV/0!</v>
      </c>
      <c r="I13" s="292" t="str">
        <f t="shared" si="3"/>
        <v>#DIV/0!</v>
      </c>
      <c r="J13" s="293"/>
    </row>
    <row r="14" ht="15.75" customHeight="1">
      <c r="A14" s="288">
        <v>44422.0</v>
      </c>
      <c r="B14" s="291"/>
      <c r="C14" s="290"/>
      <c r="D14" s="291"/>
      <c r="E14" s="291"/>
      <c r="F14" s="290" t="str">
        <f t="shared" si="1"/>
        <v>#DIV/0!</v>
      </c>
      <c r="G14" s="291"/>
      <c r="H14" s="290" t="str">
        <f t="shared" si="2"/>
        <v>#DIV/0!</v>
      </c>
      <c r="I14" s="292" t="str">
        <f t="shared" si="3"/>
        <v>#DIV/0!</v>
      </c>
      <c r="J14" s="293"/>
    </row>
    <row r="15" ht="15.75" customHeight="1">
      <c r="A15" s="288">
        <v>44423.0</v>
      </c>
      <c r="B15" s="291"/>
      <c r="C15" s="290"/>
      <c r="D15" s="291"/>
      <c r="E15" s="291"/>
      <c r="F15" s="290" t="str">
        <f t="shared" si="1"/>
        <v>#DIV/0!</v>
      </c>
      <c r="G15" s="291"/>
      <c r="H15" s="290" t="str">
        <f t="shared" si="2"/>
        <v>#DIV/0!</v>
      </c>
      <c r="I15" s="292" t="str">
        <f t="shared" si="3"/>
        <v>#DIV/0!</v>
      </c>
      <c r="J15" s="293"/>
    </row>
    <row r="16" ht="15.75" customHeight="1">
      <c r="A16" s="288">
        <v>44424.0</v>
      </c>
      <c r="B16" s="291"/>
      <c r="C16" s="290"/>
      <c r="D16" s="291"/>
      <c r="E16" s="291"/>
      <c r="F16" s="290" t="str">
        <f t="shared" si="1"/>
        <v>#DIV/0!</v>
      </c>
      <c r="G16" s="291"/>
      <c r="H16" s="290" t="str">
        <f t="shared" si="2"/>
        <v>#DIV/0!</v>
      </c>
      <c r="I16" s="292" t="str">
        <f t="shared" si="3"/>
        <v>#DIV/0!</v>
      </c>
      <c r="J16" s="293"/>
    </row>
    <row r="17" ht="15.75" customHeight="1">
      <c r="A17" s="288">
        <v>44425.0</v>
      </c>
      <c r="B17" s="291"/>
      <c r="C17" s="290"/>
      <c r="D17" s="291"/>
      <c r="E17" s="291"/>
      <c r="F17" s="290" t="str">
        <f t="shared" si="1"/>
        <v>#DIV/0!</v>
      </c>
      <c r="G17" s="291"/>
      <c r="H17" s="290" t="str">
        <f t="shared" si="2"/>
        <v>#DIV/0!</v>
      </c>
      <c r="I17" s="292" t="str">
        <f t="shared" si="3"/>
        <v>#DIV/0!</v>
      </c>
      <c r="J17" s="293"/>
    </row>
    <row r="18" ht="15.75" customHeight="1">
      <c r="A18" s="288">
        <v>44426.0</v>
      </c>
      <c r="B18" s="291"/>
      <c r="C18" s="290"/>
      <c r="D18" s="291"/>
      <c r="E18" s="291"/>
      <c r="F18" s="290" t="str">
        <f t="shared" si="1"/>
        <v>#DIV/0!</v>
      </c>
      <c r="G18" s="291"/>
      <c r="H18" s="290" t="str">
        <f t="shared" si="2"/>
        <v>#DIV/0!</v>
      </c>
      <c r="I18" s="292" t="str">
        <f t="shared" si="3"/>
        <v>#DIV/0!</v>
      </c>
      <c r="J18" s="293"/>
    </row>
    <row r="19" ht="15.75" customHeight="1">
      <c r="A19" s="288">
        <v>44427.0</v>
      </c>
      <c r="B19" s="291"/>
      <c r="C19" s="290"/>
      <c r="D19" s="291"/>
      <c r="E19" s="291"/>
      <c r="F19" s="290" t="str">
        <f t="shared" si="1"/>
        <v>#DIV/0!</v>
      </c>
      <c r="G19" s="291"/>
      <c r="H19" s="290" t="str">
        <f t="shared" si="2"/>
        <v>#DIV/0!</v>
      </c>
      <c r="I19" s="292" t="str">
        <f t="shared" si="3"/>
        <v>#DIV/0!</v>
      </c>
      <c r="J19" s="293"/>
    </row>
    <row r="20" ht="15.75" customHeight="1">
      <c r="A20" s="288">
        <v>44428.0</v>
      </c>
      <c r="B20" s="291"/>
      <c r="C20" s="290"/>
      <c r="D20" s="291"/>
      <c r="E20" s="291"/>
      <c r="F20" s="290" t="str">
        <f t="shared" si="1"/>
        <v>#DIV/0!</v>
      </c>
      <c r="G20" s="291"/>
      <c r="H20" s="290" t="str">
        <f t="shared" si="2"/>
        <v>#DIV/0!</v>
      </c>
      <c r="I20" s="292" t="str">
        <f t="shared" si="3"/>
        <v>#DIV/0!</v>
      </c>
      <c r="J20" s="293"/>
    </row>
    <row r="21" ht="15.75" customHeight="1">
      <c r="A21" s="288">
        <v>44429.0</v>
      </c>
      <c r="B21" s="291"/>
      <c r="C21" s="290"/>
      <c r="D21" s="291"/>
      <c r="E21" s="291"/>
      <c r="F21" s="290" t="str">
        <f t="shared" si="1"/>
        <v>#DIV/0!</v>
      </c>
      <c r="G21" s="291"/>
      <c r="H21" s="290" t="str">
        <f t="shared" si="2"/>
        <v>#DIV/0!</v>
      </c>
      <c r="I21" s="292" t="str">
        <f t="shared" si="3"/>
        <v>#DIV/0!</v>
      </c>
      <c r="J21" s="293"/>
    </row>
    <row r="22" ht="15.75" customHeight="1">
      <c r="A22" s="288">
        <v>44430.0</v>
      </c>
      <c r="B22" s="291"/>
      <c r="C22" s="290"/>
      <c r="D22" s="291"/>
      <c r="E22" s="291"/>
      <c r="F22" s="290" t="str">
        <f t="shared" si="1"/>
        <v>#DIV/0!</v>
      </c>
      <c r="G22" s="291"/>
      <c r="H22" s="290" t="str">
        <f t="shared" si="2"/>
        <v>#DIV/0!</v>
      </c>
      <c r="I22" s="292" t="str">
        <f t="shared" si="3"/>
        <v>#DIV/0!</v>
      </c>
      <c r="J22" s="293"/>
    </row>
    <row r="23" ht="15.75" customHeight="1">
      <c r="A23" s="288">
        <v>44431.0</v>
      </c>
      <c r="B23" s="291"/>
      <c r="C23" s="290"/>
      <c r="D23" s="291"/>
      <c r="E23" s="291"/>
      <c r="F23" s="290" t="str">
        <f t="shared" si="1"/>
        <v>#DIV/0!</v>
      </c>
      <c r="G23" s="291"/>
      <c r="H23" s="290" t="str">
        <f t="shared" si="2"/>
        <v>#DIV/0!</v>
      </c>
      <c r="I23" s="292" t="str">
        <f t="shared" si="3"/>
        <v>#DIV/0!</v>
      </c>
      <c r="J23" s="293"/>
    </row>
    <row r="24" ht="15.75" customHeight="1">
      <c r="A24" s="288">
        <v>44432.0</v>
      </c>
      <c r="B24" s="291"/>
      <c r="C24" s="290"/>
      <c r="D24" s="291"/>
      <c r="E24" s="291"/>
      <c r="F24" s="290" t="str">
        <f t="shared" si="1"/>
        <v>#DIV/0!</v>
      </c>
      <c r="G24" s="291"/>
      <c r="H24" s="290" t="str">
        <f t="shared" si="2"/>
        <v>#DIV/0!</v>
      </c>
      <c r="I24" s="292" t="str">
        <f t="shared" si="3"/>
        <v>#DIV/0!</v>
      </c>
      <c r="J24" s="293"/>
    </row>
    <row r="25" ht="15.75" customHeight="1">
      <c r="A25" s="288">
        <v>44433.0</v>
      </c>
      <c r="B25" s="291"/>
      <c r="C25" s="290"/>
      <c r="D25" s="291"/>
      <c r="E25" s="291"/>
      <c r="F25" s="290" t="str">
        <f t="shared" si="1"/>
        <v>#DIV/0!</v>
      </c>
      <c r="G25" s="291"/>
      <c r="H25" s="290" t="str">
        <f t="shared" si="2"/>
        <v>#DIV/0!</v>
      </c>
      <c r="I25" s="292" t="str">
        <f t="shared" si="3"/>
        <v>#DIV/0!</v>
      </c>
      <c r="J25" s="293"/>
    </row>
    <row r="26" ht="15.75" customHeight="1">
      <c r="A26" s="288">
        <v>44434.0</v>
      </c>
      <c r="B26" s="291"/>
      <c r="C26" s="290"/>
      <c r="D26" s="291"/>
      <c r="E26" s="291"/>
      <c r="F26" s="290" t="str">
        <f t="shared" si="1"/>
        <v>#DIV/0!</v>
      </c>
      <c r="G26" s="291"/>
      <c r="H26" s="290" t="str">
        <f t="shared" si="2"/>
        <v>#DIV/0!</v>
      </c>
      <c r="I26" s="292" t="str">
        <f t="shared" si="3"/>
        <v>#DIV/0!</v>
      </c>
      <c r="J26" s="293"/>
    </row>
    <row r="27" ht="15.75" customHeight="1">
      <c r="A27" s="288">
        <v>44435.0</v>
      </c>
      <c r="B27" s="291"/>
      <c r="C27" s="290"/>
      <c r="D27" s="291"/>
      <c r="E27" s="291"/>
      <c r="F27" s="290" t="str">
        <f t="shared" si="1"/>
        <v>#DIV/0!</v>
      </c>
      <c r="G27" s="291"/>
      <c r="H27" s="290" t="str">
        <f t="shared" si="2"/>
        <v>#DIV/0!</v>
      </c>
      <c r="I27" s="292" t="str">
        <f t="shared" si="3"/>
        <v>#DIV/0!</v>
      </c>
      <c r="J27" s="293"/>
    </row>
    <row r="28" ht="15.75" customHeight="1">
      <c r="A28" s="288">
        <v>44436.0</v>
      </c>
      <c r="B28" s="291"/>
      <c r="C28" s="290"/>
      <c r="D28" s="291"/>
      <c r="E28" s="291"/>
      <c r="F28" s="290" t="str">
        <f t="shared" si="1"/>
        <v>#DIV/0!</v>
      </c>
      <c r="G28" s="291"/>
      <c r="H28" s="290" t="str">
        <f t="shared" si="2"/>
        <v>#DIV/0!</v>
      </c>
      <c r="I28" s="292" t="str">
        <f t="shared" si="3"/>
        <v>#DIV/0!</v>
      </c>
      <c r="J28" s="293"/>
    </row>
    <row r="29" ht="15.75" customHeight="1">
      <c r="A29" s="288">
        <v>44437.0</v>
      </c>
      <c r="B29" s="291"/>
      <c r="C29" s="290"/>
      <c r="D29" s="291"/>
      <c r="E29" s="291"/>
      <c r="F29" s="290" t="str">
        <f t="shared" si="1"/>
        <v>#DIV/0!</v>
      </c>
      <c r="G29" s="291"/>
      <c r="H29" s="290" t="str">
        <f t="shared" si="2"/>
        <v>#DIV/0!</v>
      </c>
      <c r="I29" s="292" t="str">
        <f t="shared" si="3"/>
        <v>#DIV/0!</v>
      </c>
      <c r="J29" s="293"/>
    </row>
    <row r="30" ht="15.75" customHeight="1">
      <c r="A30" s="288">
        <v>44438.0</v>
      </c>
      <c r="B30" s="291"/>
      <c r="C30" s="290"/>
      <c r="D30" s="291"/>
      <c r="E30" s="291"/>
      <c r="F30" s="290" t="str">
        <f t="shared" si="1"/>
        <v>#DIV/0!</v>
      </c>
      <c r="G30" s="291"/>
      <c r="H30" s="290" t="str">
        <f t="shared" si="2"/>
        <v>#DIV/0!</v>
      </c>
      <c r="I30" s="292" t="str">
        <f t="shared" si="3"/>
        <v>#DIV/0!</v>
      </c>
      <c r="J30" s="293"/>
    </row>
    <row r="31" ht="15.75" customHeight="1">
      <c r="A31" s="288">
        <v>44439.0</v>
      </c>
      <c r="B31" s="291"/>
      <c r="C31" s="290"/>
      <c r="D31" s="291"/>
      <c r="E31" s="291"/>
      <c r="F31" s="290" t="str">
        <f t="shared" si="1"/>
        <v>#DIV/0!</v>
      </c>
      <c r="G31" s="291"/>
      <c r="H31" s="290" t="str">
        <f t="shared" si="2"/>
        <v>#DIV/0!</v>
      </c>
      <c r="I31" s="292" t="str">
        <f t="shared" si="3"/>
        <v>#DIV/0!</v>
      </c>
      <c r="J31" s="293"/>
    </row>
    <row r="32" ht="15.75" customHeight="1">
      <c r="A32" s="288">
        <v>44440.0</v>
      </c>
      <c r="B32" s="291"/>
      <c r="C32" s="290"/>
      <c r="D32" s="291"/>
      <c r="E32" s="291"/>
      <c r="F32" s="290" t="str">
        <f t="shared" si="1"/>
        <v>#DIV/0!</v>
      </c>
      <c r="G32" s="291"/>
      <c r="H32" s="290" t="str">
        <f t="shared" si="2"/>
        <v>#DIV/0!</v>
      </c>
      <c r="I32" s="292" t="str">
        <f t="shared" si="3"/>
        <v>#DIV/0!</v>
      </c>
      <c r="J32" s="293"/>
    </row>
    <row r="33" ht="15.75" customHeight="1">
      <c r="A33" s="288">
        <v>44441.0</v>
      </c>
      <c r="B33" s="291"/>
      <c r="C33" s="290"/>
      <c r="D33" s="291"/>
      <c r="E33" s="291"/>
      <c r="F33" s="290" t="str">
        <f t="shared" si="1"/>
        <v>#DIV/0!</v>
      </c>
      <c r="G33" s="291"/>
      <c r="H33" s="290" t="str">
        <f t="shared" si="2"/>
        <v>#DIV/0!</v>
      </c>
      <c r="I33" s="292" t="str">
        <f t="shared" si="3"/>
        <v>#DIV/0!</v>
      </c>
      <c r="J33" s="293"/>
    </row>
    <row r="34" ht="15.75" customHeight="1">
      <c r="A34" s="288">
        <v>44442.0</v>
      </c>
      <c r="B34" s="291"/>
      <c r="C34" s="290"/>
      <c r="D34" s="291"/>
      <c r="E34" s="291"/>
      <c r="F34" s="290" t="str">
        <f t="shared" si="1"/>
        <v>#DIV/0!</v>
      </c>
      <c r="G34" s="291"/>
      <c r="H34" s="290" t="str">
        <f t="shared" si="2"/>
        <v>#DIV/0!</v>
      </c>
      <c r="I34" s="292" t="str">
        <f t="shared" si="3"/>
        <v>#DIV/0!</v>
      </c>
      <c r="J34" s="293"/>
    </row>
    <row r="35" ht="15.75" customHeight="1">
      <c r="A35" s="288">
        <v>44443.0</v>
      </c>
      <c r="B35" s="291"/>
      <c r="C35" s="290"/>
      <c r="D35" s="291"/>
      <c r="E35" s="291"/>
      <c r="F35" s="290" t="str">
        <f t="shared" si="1"/>
        <v>#DIV/0!</v>
      </c>
      <c r="G35" s="291"/>
      <c r="H35" s="290" t="str">
        <f t="shared" si="2"/>
        <v>#DIV/0!</v>
      </c>
      <c r="I35" s="292" t="str">
        <f t="shared" si="3"/>
        <v>#DIV/0!</v>
      </c>
      <c r="J35" s="293"/>
    </row>
    <row r="36" ht="15.75" customHeight="1">
      <c r="A36" s="288">
        <v>44444.0</v>
      </c>
      <c r="B36" s="291"/>
      <c r="C36" s="290"/>
      <c r="D36" s="291"/>
      <c r="E36" s="291"/>
      <c r="F36" s="290" t="str">
        <f t="shared" si="1"/>
        <v>#DIV/0!</v>
      </c>
      <c r="G36" s="291"/>
      <c r="H36" s="290" t="str">
        <f t="shared" si="2"/>
        <v>#DIV/0!</v>
      </c>
      <c r="I36" s="292" t="str">
        <f t="shared" si="3"/>
        <v>#DIV/0!</v>
      </c>
      <c r="J36" s="293"/>
    </row>
    <row r="37" ht="15.75" customHeight="1">
      <c r="A37" s="291" t="s">
        <v>151</v>
      </c>
      <c r="B37" s="289" t="str">
        <f t="shared" ref="B37:H37" si="4">MEDIAN(B2:B36)</f>
        <v>#NUM!</v>
      </c>
      <c r="C37" s="290" t="str">
        <f t="shared" si="4"/>
        <v>#NUM!</v>
      </c>
      <c r="D37" s="291" t="str">
        <f t="shared" si="4"/>
        <v>#NUM!</v>
      </c>
      <c r="E37" s="291" t="str">
        <f t="shared" si="4"/>
        <v>#NUM!</v>
      </c>
      <c r="F37" s="291" t="str">
        <f t="shared" si="4"/>
        <v>#DIV/0!</v>
      </c>
      <c r="G37" s="291" t="str">
        <f t="shared" si="4"/>
        <v>#NUM!</v>
      </c>
      <c r="H37" s="291" t="str">
        <f t="shared" si="4"/>
        <v>#DIV/0!</v>
      </c>
      <c r="I37" s="292"/>
      <c r="J37" s="293" t="str">
        <f>MEDIAN(J2:J36)</f>
        <v>#NUM!</v>
      </c>
    </row>
    <row r="38" ht="15.75" customHeight="1">
      <c r="A38" s="291" t="s">
        <v>71</v>
      </c>
      <c r="B38" s="289">
        <f>SUM(B2:B36)</f>
        <v>0</v>
      </c>
      <c r="C38" s="290"/>
      <c r="D38" s="291">
        <f t="shared" ref="D38:E38" si="5">SUM(D2:D36)</f>
        <v>0</v>
      </c>
      <c r="E38" s="291">
        <f t="shared" si="5"/>
        <v>0</v>
      </c>
      <c r="F38" s="291" t="str">
        <f>E38/D38</f>
        <v>#DIV/0!</v>
      </c>
      <c r="G38" s="291">
        <f>SUM(G2:G36)</f>
        <v>0</v>
      </c>
      <c r="H38" s="290" t="str">
        <f>G38/E38</f>
        <v>#DIV/0!</v>
      </c>
      <c r="I38" s="292" t="str">
        <f>J38/G38</f>
        <v>#DIV/0!</v>
      </c>
      <c r="J38" s="293">
        <f>SUM(J2:J36)</f>
        <v>0</v>
      </c>
    </row>
    <row r="39" ht="15.75" customHeight="1">
      <c r="A39" s="295"/>
      <c r="B39" s="295"/>
      <c r="C39" s="296"/>
      <c r="D39" s="295"/>
      <c r="E39" s="295"/>
      <c r="F39" s="295"/>
      <c r="G39" s="295"/>
      <c r="H39" s="295"/>
      <c r="I39" s="297"/>
      <c r="J39" s="297"/>
    </row>
    <row r="40" ht="15.75" customHeight="1">
      <c r="A40" s="295"/>
      <c r="B40" s="295"/>
      <c r="C40" s="296"/>
      <c r="D40" s="295"/>
      <c r="E40" s="295"/>
      <c r="F40" s="295"/>
      <c r="G40" s="295"/>
      <c r="H40" s="295"/>
      <c r="I40" s="297"/>
      <c r="J40" s="297"/>
    </row>
    <row r="41" ht="15.75" customHeight="1">
      <c r="A41" s="295"/>
      <c r="B41" s="295"/>
      <c r="C41" s="296"/>
      <c r="D41" s="295"/>
      <c r="E41" s="295"/>
      <c r="F41" s="295"/>
      <c r="G41" s="295"/>
      <c r="H41" s="295"/>
      <c r="I41" s="297"/>
      <c r="J41" s="297"/>
    </row>
    <row r="42" ht="15.75" customHeight="1">
      <c r="A42" s="295"/>
      <c r="B42" s="295"/>
      <c r="C42" s="296"/>
      <c r="D42" s="295"/>
      <c r="E42" s="295"/>
      <c r="F42" s="295"/>
      <c r="G42" s="295"/>
      <c r="H42" s="295"/>
      <c r="I42" s="297"/>
      <c r="J42" s="297"/>
    </row>
    <row r="43" ht="15.75" customHeight="1">
      <c r="A43" s="295"/>
      <c r="B43" s="295"/>
      <c r="C43" s="296"/>
      <c r="D43" s="295"/>
      <c r="E43" s="295"/>
      <c r="F43" s="295"/>
      <c r="G43" s="295"/>
      <c r="H43" s="295"/>
      <c r="I43" s="297"/>
      <c r="J43" s="297"/>
    </row>
    <row r="44" ht="15.75" customHeight="1">
      <c r="A44" s="295"/>
      <c r="B44" s="295"/>
      <c r="C44" s="296"/>
      <c r="D44" s="295"/>
      <c r="E44" s="295"/>
      <c r="F44" s="295"/>
      <c r="G44" s="295"/>
      <c r="H44" s="295"/>
      <c r="I44" s="297"/>
      <c r="J44" s="297"/>
    </row>
    <row r="45" ht="15.75" customHeight="1">
      <c r="A45" s="295"/>
      <c r="B45" s="295"/>
      <c r="C45" s="296"/>
      <c r="D45" s="295"/>
      <c r="E45" s="295"/>
      <c r="F45" s="295"/>
      <c r="G45" s="295"/>
      <c r="H45" s="295"/>
      <c r="I45" s="297"/>
      <c r="J45" s="297"/>
    </row>
    <row r="46" ht="15.75" customHeight="1">
      <c r="A46" s="295"/>
      <c r="B46" s="295"/>
      <c r="C46" s="296"/>
      <c r="D46" s="295"/>
      <c r="E46" s="295"/>
      <c r="F46" s="295"/>
      <c r="G46" s="295"/>
      <c r="H46" s="295"/>
      <c r="I46" s="297"/>
      <c r="J46" s="297"/>
    </row>
    <row r="47" ht="15.75" customHeight="1">
      <c r="A47" s="295"/>
      <c r="B47" s="295"/>
      <c r="C47" s="296"/>
      <c r="D47" s="295"/>
      <c r="E47" s="295"/>
      <c r="F47" s="295"/>
      <c r="G47" s="295"/>
      <c r="H47" s="295"/>
      <c r="I47" s="297"/>
      <c r="J47" s="297"/>
    </row>
    <row r="48" ht="15.75" customHeight="1">
      <c r="A48" s="295"/>
      <c r="B48" s="295"/>
      <c r="C48" s="296"/>
      <c r="D48" s="295"/>
      <c r="E48" s="295"/>
      <c r="F48" s="295"/>
      <c r="G48" s="295"/>
      <c r="H48" s="295"/>
      <c r="I48" s="297"/>
      <c r="J48" s="297"/>
    </row>
    <row r="49" ht="15.75" customHeight="1">
      <c r="A49" s="295"/>
      <c r="B49" s="295"/>
      <c r="C49" s="296"/>
      <c r="D49" s="295"/>
      <c r="E49" s="295"/>
      <c r="F49" s="295"/>
      <c r="G49" s="295"/>
      <c r="H49" s="295"/>
      <c r="I49" s="297"/>
      <c r="J49" s="297"/>
    </row>
    <row r="50" ht="15.75" customHeight="1">
      <c r="A50" s="295"/>
      <c r="B50" s="295"/>
      <c r="C50" s="296"/>
      <c r="D50" s="295"/>
      <c r="E50" s="295"/>
      <c r="F50" s="295"/>
      <c r="G50" s="295"/>
      <c r="H50" s="295"/>
      <c r="I50" s="297"/>
      <c r="J50" s="297"/>
    </row>
    <row r="51" ht="15.75" customHeight="1">
      <c r="A51" s="295"/>
      <c r="B51" s="295"/>
      <c r="C51" s="296"/>
      <c r="D51" s="295"/>
      <c r="E51" s="295"/>
      <c r="F51" s="295"/>
      <c r="G51" s="295"/>
      <c r="H51" s="295"/>
      <c r="I51" s="297"/>
      <c r="J51" s="297"/>
    </row>
    <row r="52" ht="15.75" customHeight="1">
      <c r="A52" s="295"/>
      <c r="B52" s="295"/>
      <c r="C52" s="296"/>
      <c r="D52" s="295"/>
      <c r="E52" s="295"/>
      <c r="F52" s="295"/>
      <c r="G52" s="295"/>
      <c r="H52" s="295"/>
      <c r="I52" s="297"/>
      <c r="J52" s="297"/>
    </row>
    <row r="53" ht="15.75" customHeight="1">
      <c r="A53" s="295"/>
      <c r="B53" s="295"/>
      <c r="C53" s="296"/>
      <c r="D53" s="295"/>
      <c r="E53" s="295"/>
      <c r="F53" s="295"/>
      <c r="G53" s="295"/>
      <c r="H53" s="295"/>
      <c r="I53" s="297"/>
      <c r="J53" s="297"/>
    </row>
    <row r="54" ht="15.75" customHeight="1">
      <c r="A54" s="295"/>
      <c r="B54" s="295"/>
      <c r="C54" s="296"/>
      <c r="D54" s="295"/>
      <c r="E54" s="295"/>
      <c r="F54" s="295"/>
      <c r="G54" s="295"/>
      <c r="H54" s="295"/>
      <c r="I54" s="297"/>
      <c r="J54" s="297"/>
    </row>
    <row r="55" ht="15.75" customHeight="1">
      <c r="A55" s="295"/>
      <c r="B55" s="295"/>
      <c r="C55" s="296"/>
      <c r="D55" s="295"/>
      <c r="E55" s="295"/>
      <c r="F55" s="295"/>
      <c r="G55" s="295"/>
      <c r="H55" s="295"/>
      <c r="I55" s="297"/>
      <c r="J55" s="297"/>
    </row>
    <row r="56" ht="15.75" customHeight="1">
      <c r="A56" s="295"/>
      <c r="B56" s="295"/>
      <c r="C56" s="296"/>
      <c r="D56" s="295"/>
      <c r="E56" s="295"/>
      <c r="F56" s="295"/>
      <c r="G56" s="295"/>
      <c r="H56" s="295"/>
      <c r="I56" s="297"/>
      <c r="J56" s="297"/>
    </row>
    <row r="57" ht="15.75" customHeight="1">
      <c r="A57" s="295"/>
      <c r="B57" s="295"/>
      <c r="C57" s="296"/>
      <c r="D57" s="295"/>
      <c r="E57" s="295"/>
      <c r="F57" s="295"/>
      <c r="G57" s="295"/>
      <c r="H57" s="295"/>
      <c r="I57" s="297"/>
      <c r="J57" s="297"/>
    </row>
    <row r="58" ht="15.75" customHeight="1">
      <c r="A58" s="295"/>
      <c r="B58" s="295"/>
      <c r="C58" s="296"/>
      <c r="D58" s="295"/>
      <c r="E58" s="295"/>
      <c r="F58" s="295"/>
      <c r="G58" s="295"/>
      <c r="H58" s="295"/>
      <c r="I58" s="297"/>
      <c r="J58" s="297"/>
    </row>
    <row r="59" ht="15.75" customHeight="1">
      <c r="A59" s="295"/>
      <c r="B59" s="295"/>
      <c r="C59" s="296"/>
      <c r="D59" s="295"/>
      <c r="E59" s="295"/>
      <c r="F59" s="295"/>
      <c r="G59" s="295"/>
      <c r="H59" s="295"/>
      <c r="I59" s="297"/>
      <c r="J59" s="297"/>
    </row>
    <row r="60" ht="15.75" customHeight="1">
      <c r="A60" s="295"/>
      <c r="B60" s="295"/>
      <c r="C60" s="296"/>
      <c r="D60" s="295"/>
      <c r="E60" s="295"/>
      <c r="F60" s="295"/>
      <c r="G60" s="295"/>
      <c r="H60" s="295"/>
      <c r="I60" s="297"/>
      <c r="J60" s="297"/>
    </row>
    <row r="61" ht="15.75" customHeight="1">
      <c r="A61" s="295"/>
      <c r="B61" s="295"/>
      <c r="C61" s="296"/>
      <c r="D61" s="295"/>
      <c r="E61" s="295"/>
      <c r="F61" s="295"/>
      <c r="G61" s="295"/>
      <c r="H61" s="295"/>
      <c r="I61" s="297"/>
      <c r="J61" s="297"/>
    </row>
    <row r="62" ht="15.75" customHeight="1">
      <c r="A62" s="295"/>
      <c r="B62" s="295"/>
      <c r="C62" s="296"/>
      <c r="D62" s="295"/>
      <c r="E62" s="295"/>
      <c r="F62" s="295"/>
      <c r="G62" s="295"/>
      <c r="H62" s="295"/>
      <c r="I62" s="297"/>
      <c r="J62" s="297"/>
    </row>
    <row r="63" ht="15.75" customHeight="1">
      <c r="A63" s="295"/>
      <c r="B63" s="295"/>
      <c r="C63" s="296"/>
      <c r="D63" s="295"/>
      <c r="E63" s="295"/>
      <c r="F63" s="295"/>
      <c r="G63" s="295"/>
      <c r="H63" s="295"/>
      <c r="I63" s="297"/>
      <c r="J63" s="297"/>
    </row>
    <row r="64" ht="15.75" customHeight="1">
      <c r="A64" s="295"/>
      <c r="B64" s="295"/>
      <c r="C64" s="296"/>
      <c r="D64" s="295"/>
      <c r="E64" s="295"/>
      <c r="F64" s="295"/>
      <c r="G64" s="295"/>
      <c r="H64" s="295"/>
      <c r="I64" s="297"/>
      <c r="J64" s="297"/>
    </row>
    <row r="65" ht="15.75" customHeight="1">
      <c r="A65" s="295"/>
      <c r="B65" s="295"/>
      <c r="C65" s="296"/>
      <c r="D65" s="295"/>
      <c r="E65" s="295"/>
      <c r="F65" s="295"/>
      <c r="G65" s="295"/>
      <c r="H65" s="295"/>
      <c r="I65" s="297"/>
      <c r="J65" s="297"/>
    </row>
    <row r="66" ht="15.75" customHeight="1">
      <c r="A66" s="295"/>
      <c r="B66" s="295"/>
      <c r="C66" s="296"/>
      <c r="D66" s="295"/>
      <c r="E66" s="295"/>
      <c r="F66" s="295"/>
      <c r="G66" s="295"/>
      <c r="H66" s="295"/>
      <c r="I66" s="297"/>
      <c r="J66" s="297"/>
    </row>
    <row r="67" ht="15.75" customHeight="1">
      <c r="A67" s="295"/>
      <c r="B67" s="295"/>
      <c r="C67" s="296"/>
      <c r="D67" s="295"/>
      <c r="E67" s="295"/>
      <c r="F67" s="295"/>
      <c r="G67" s="295"/>
      <c r="H67" s="295"/>
      <c r="I67" s="297"/>
      <c r="J67" s="297"/>
    </row>
    <row r="68" ht="15.75" customHeight="1">
      <c r="A68" s="295"/>
      <c r="B68" s="295"/>
      <c r="C68" s="296"/>
      <c r="D68" s="295"/>
      <c r="E68" s="295"/>
      <c r="F68" s="295"/>
      <c r="G68" s="295"/>
      <c r="H68" s="295"/>
      <c r="I68" s="297"/>
      <c r="J68" s="297"/>
    </row>
    <row r="69" ht="15.75" customHeight="1">
      <c r="A69" s="295"/>
      <c r="B69" s="295"/>
      <c r="C69" s="296"/>
      <c r="D69" s="295"/>
      <c r="E69" s="295"/>
      <c r="F69" s="295"/>
      <c r="G69" s="295"/>
      <c r="H69" s="295"/>
      <c r="I69" s="297"/>
      <c r="J69" s="297"/>
    </row>
    <row r="70" ht="15.75" customHeight="1">
      <c r="A70" s="295"/>
      <c r="B70" s="295"/>
      <c r="C70" s="296"/>
      <c r="D70" s="295"/>
      <c r="E70" s="295"/>
      <c r="F70" s="295"/>
      <c r="G70" s="295"/>
      <c r="H70" s="295"/>
      <c r="I70" s="297"/>
      <c r="J70" s="297"/>
    </row>
    <row r="71" ht="15.75" customHeight="1">
      <c r="A71" s="295"/>
      <c r="B71" s="295"/>
      <c r="C71" s="296"/>
      <c r="D71" s="295"/>
      <c r="E71" s="295"/>
      <c r="F71" s="295"/>
      <c r="G71" s="295"/>
      <c r="H71" s="295"/>
      <c r="I71" s="297"/>
      <c r="J71" s="297"/>
    </row>
    <row r="72" ht="15.75" customHeight="1">
      <c r="A72" s="295"/>
      <c r="B72" s="295"/>
      <c r="C72" s="296"/>
      <c r="D72" s="295"/>
      <c r="E72" s="295"/>
      <c r="F72" s="295"/>
      <c r="G72" s="295"/>
      <c r="H72" s="295"/>
      <c r="I72" s="297"/>
      <c r="J72" s="297"/>
    </row>
    <row r="73" ht="15.75" customHeight="1">
      <c r="A73" s="295"/>
      <c r="B73" s="295"/>
      <c r="C73" s="296"/>
      <c r="D73" s="295"/>
      <c r="E73" s="295"/>
      <c r="F73" s="295"/>
      <c r="G73" s="295"/>
      <c r="H73" s="295"/>
      <c r="I73" s="297"/>
      <c r="J73" s="297"/>
    </row>
    <row r="74" ht="15.75" customHeight="1">
      <c r="A74" s="295"/>
      <c r="B74" s="295"/>
      <c r="C74" s="296"/>
      <c r="D74" s="295"/>
      <c r="E74" s="295"/>
      <c r="F74" s="295"/>
      <c r="G74" s="295"/>
      <c r="H74" s="295"/>
      <c r="I74" s="297"/>
      <c r="J74" s="297"/>
    </row>
    <row r="75" ht="15.75" customHeight="1">
      <c r="A75" s="295"/>
      <c r="B75" s="295"/>
      <c r="C75" s="296"/>
      <c r="D75" s="295"/>
      <c r="E75" s="295"/>
      <c r="F75" s="295"/>
      <c r="G75" s="295"/>
      <c r="H75" s="295"/>
      <c r="I75" s="297"/>
      <c r="J75" s="297"/>
    </row>
    <row r="76" ht="15.75" customHeight="1">
      <c r="A76" s="295"/>
      <c r="B76" s="295"/>
      <c r="C76" s="296"/>
      <c r="D76" s="295"/>
      <c r="E76" s="295"/>
      <c r="F76" s="295"/>
      <c r="G76" s="295"/>
      <c r="H76" s="295"/>
      <c r="I76" s="297"/>
      <c r="J76" s="297"/>
    </row>
    <row r="77" ht="15.75" customHeight="1">
      <c r="A77" s="295"/>
      <c r="B77" s="295"/>
      <c r="C77" s="296"/>
      <c r="D77" s="295"/>
      <c r="E77" s="295"/>
      <c r="F77" s="295"/>
      <c r="G77" s="295"/>
      <c r="H77" s="295"/>
      <c r="I77" s="297"/>
      <c r="J77" s="297"/>
    </row>
    <row r="78" ht="15.75" customHeight="1">
      <c r="A78" s="295"/>
      <c r="B78" s="295"/>
      <c r="C78" s="296"/>
      <c r="D78" s="295"/>
      <c r="E78" s="295"/>
      <c r="F78" s="295"/>
      <c r="G78" s="295"/>
      <c r="H78" s="295"/>
      <c r="I78" s="297"/>
      <c r="J78" s="297"/>
    </row>
    <row r="79" ht="15.75" customHeight="1">
      <c r="A79" s="295"/>
      <c r="B79" s="295"/>
      <c r="C79" s="296"/>
      <c r="D79" s="295"/>
      <c r="E79" s="295"/>
      <c r="F79" s="295"/>
      <c r="G79" s="295"/>
      <c r="H79" s="295"/>
      <c r="I79" s="297"/>
      <c r="J79" s="297"/>
    </row>
    <row r="80" ht="15.75" customHeight="1">
      <c r="A80" s="295"/>
      <c r="B80" s="295"/>
      <c r="C80" s="296"/>
      <c r="D80" s="295"/>
      <c r="E80" s="295"/>
      <c r="F80" s="295"/>
      <c r="G80" s="295"/>
      <c r="H80" s="295"/>
      <c r="I80" s="297"/>
      <c r="J80" s="297"/>
    </row>
    <row r="81" ht="15.75" customHeight="1">
      <c r="A81" s="295"/>
      <c r="B81" s="295"/>
      <c r="C81" s="296"/>
      <c r="D81" s="295"/>
      <c r="E81" s="295"/>
      <c r="F81" s="295"/>
      <c r="G81" s="295"/>
      <c r="H81" s="295"/>
      <c r="I81" s="297"/>
      <c r="J81" s="297"/>
    </row>
    <row r="82" ht="15.75" customHeight="1">
      <c r="A82" s="295"/>
      <c r="B82" s="295"/>
      <c r="C82" s="296"/>
      <c r="D82" s="295"/>
      <c r="E82" s="295"/>
      <c r="F82" s="295"/>
      <c r="G82" s="295"/>
      <c r="H82" s="295"/>
      <c r="I82" s="297"/>
      <c r="J82" s="297"/>
    </row>
    <row r="83" ht="15.75" customHeight="1">
      <c r="A83" s="295"/>
      <c r="B83" s="295"/>
      <c r="C83" s="296"/>
      <c r="D83" s="295"/>
      <c r="E83" s="295"/>
      <c r="F83" s="295"/>
      <c r="G83" s="295"/>
      <c r="H83" s="295"/>
      <c r="I83" s="297"/>
      <c r="J83" s="297"/>
    </row>
    <row r="84" ht="15.75" customHeight="1">
      <c r="A84" s="295"/>
      <c r="B84" s="295"/>
      <c r="C84" s="296"/>
      <c r="D84" s="295"/>
      <c r="E84" s="295"/>
      <c r="F84" s="295"/>
      <c r="G84" s="295"/>
      <c r="H84" s="295"/>
      <c r="I84" s="297"/>
      <c r="J84" s="297"/>
    </row>
    <row r="85" ht="15.75" customHeight="1">
      <c r="A85" s="295"/>
      <c r="B85" s="295"/>
      <c r="C85" s="296"/>
      <c r="D85" s="295"/>
      <c r="E85" s="295"/>
      <c r="F85" s="295"/>
      <c r="G85" s="295"/>
      <c r="H85" s="295"/>
      <c r="I85" s="297"/>
      <c r="J85" s="297"/>
    </row>
    <row r="86" ht="15.75" customHeight="1">
      <c r="A86" s="295"/>
      <c r="B86" s="295"/>
      <c r="C86" s="296"/>
      <c r="D86" s="295"/>
      <c r="E86" s="295"/>
      <c r="F86" s="295"/>
      <c r="G86" s="295"/>
      <c r="H86" s="295"/>
      <c r="I86" s="297"/>
      <c r="J86" s="297"/>
    </row>
    <row r="87" ht="15.75" customHeight="1">
      <c r="A87" s="295"/>
      <c r="B87" s="295"/>
      <c r="C87" s="296"/>
      <c r="D87" s="295"/>
      <c r="E87" s="295"/>
      <c r="F87" s="295"/>
      <c r="G87" s="295"/>
      <c r="H87" s="295"/>
      <c r="I87" s="297"/>
      <c r="J87" s="297"/>
    </row>
    <row r="88" ht="15.75" customHeight="1">
      <c r="A88" s="295"/>
      <c r="B88" s="295"/>
      <c r="C88" s="296"/>
      <c r="D88" s="295"/>
      <c r="E88" s="295"/>
      <c r="F88" s="295"/>
      <c r="G88" s="295"/>
      <c r="H88" s="295"/>
      <c r="I88" s="297"/>
      <c r="J88" s="297"/>
    </row>
    <row r="89" ht="15.75" customHeight="1">
      <c r="A89" s="295"/>
      <c r="B89" s="295"/>
      <c r="C89" s="296"/>
      <c r="D89" s="295"/>
      <c r="E89" s="295"/>
      <c r="F89" s="295"/>
      <c r="G89" s="295"/>
      <c r="H89" s="295"/>
      <c r="I89" s="297"/>
      <c r="J89" s="297"/>
    </row>
    <row r="90" ht="15.75" customHeight="1">
      <c r="A90" s="295"/>
      <c r="B90" s="295"/>
      <c r="C90" s="296"/>
      <c r="D90" s="295"/>
      <c r="E90" s="295"/>
      <c r="F90" s="295"/>
      <c r="G90" s="295"/>
      <c r="H90" s="295"/>
      <c r="I90" s="297"/>
      <c r="J90" s="297"/>
    </row>
    <row r="91" ht="15.75" customHeight="1">
      <c r="A91" s="295"/>
      <c r="B91" s="295"/>
      <c r="C91" s="296"/>
      <c r="D91" s="295"/>
      <c r="E91" s="295"/>
      <c r="F91" s="295"/>
      <c r="G91" s="295"/>
      <c r="H91" s="295"/>
      <c r="I91" s="297"/>
      <c r="J91" s="297"/>
    </row>
    <row r="92" ht="15.75" customHeight="1">
      <c r="A92" s="295"/>
      <c r="B92" s="295"/>
      <c r="C92" s="296"/>
      <c r="D92" s="295"/>
      <c r="E92" s="295"/>
      <c r="F92" s="295"/>
      <c r="G92" s="295"/>
      <c r="H92" s="295"/>
      <c r="I92" s="297"/>
      <c r="J92" s="297"/>
    </row>
    <row r="93" ht="15.75" customHeight="1">
      <c r="A93" s="295"/>
      <c r="B93" s="295"/>
      <c r="C93" s="296"/>
      <c r="D93" s="295"/>
      <c r="E93" s="295"/>
      <c r="F93" s="295"/>
      <c r="G93" s="295"/>
      <c r="H93" s="295"/>
      <c r="I93" s="297"/>
      <c r="J93" s="297"/>
    </row>
    <row r="94" ht="15.75" customHeight="1">
      <c r="A94" s="295"/>
      <c r="B94" s="295"/>
      <c r="C94" s="296"/>
      <c r="D94" s="295"/>
      <c r="E94" s="295"/>
      <c r="F94" s="295"/>
      <c r="G94" s="295"/>
      <c r="H94" s="295"/>
      <c r="I94" s="297"/>
      <c r="J94" s="297"/>
    </row>
    <row r="95" ht="15.75" customHeight="1">
      <c r="A95" s="295"/>
      <c r="B95" s="295"/>
      <c r="C95" s="296"/>
      <c r="D95" s="295"/>
      <c r="E95" s="295"/>
      <c r="F95" s="295"/>
      <c r="G95" s="295"/>
      <c r="H95" s="295"/>
      <c r="I95" s="297"/>
      <c r="J95" s="297"/>
    </row>
    <row r="96" ht="15.75" customHeight="1">
      <c r="A96" s="295"/>
      <c r="B96" s="295"/>
      <c r="C96" s="296"/>
      <c r="D96" s="295"/>
      <c r="E96" s="295"/>
      <c r="F96" s="295"/>
      <c r="G96" s="295"/>
      <c r="H96" s="295"/>
      <c r="I96" s="297"/>
      <c r="J96" s="297"/>
    </row>
    <row r="97" ht="15.75" customHeight="1">
      <c r="A97" s="295"/>
      <c r="B97" s="295"/>
      <c r="C97" s="296"/>
      <c r="D97" s="295"/>
      <c r="E97" s="295"/>
      <c r="F97" s="295"/>
      <c r="G97" s="295"/>
      <c r="H97" s="295"/>
      <c r="I97" s="297"/>
      <c r="J97" s="297"/>
    </row>
    <row r="98" ht="15.75" customHeight="1">
      <c r="A98" s="295"/>
      <c r="B98" s="295"/>
      <c r="C98" s="296"/>
      <c r="D98" s="295"/>
      <c r="E98" s="295"/>
      <c r="F98" s="295"/>
      <c r="G98" s="295"/>
      <c r="H98" s="295"/>
      <c r="I98" s="297"/>
      <c r="J98" s="297"/>
    </row>
    <row r="99" ht="15.75" customHeight="1">
      <c r="A99" s="295"/>
      <c r="B99" s="295"/>
      <c r="C99" s="296"/>
      <c r="D99" s="295"/>
      <c r="E99" s="295"/>
      <c r="F99" s="295"/>
      <c r="G99" s="295"/>
      <c r="H99" s="295"/>
      <c r="I99" s="297"/>
      <c r="J99" s="297"/>
    </row>
    <row r="100" ht="15.75" customHeight="1">
      <c r="A100" s="295"/>
      <c r="B100" s="295"/>
      <c r="C100" s="296"/>
      <c r="D100" s="295"/>
      <c r="E100" s="295"/>
      <c r="F100" s="295"/>
      <c r="G100" s="295"/>
      <c r="H100" s="295"/>
      <c r="I100" s="297"/>
      <c r="J100" s="297"/>
    </row>
    <row r="101" ht="15.75" customHeight="1">
      <c r="A101" s="295"/>
      <c r="B101" s="295"/>
      <c r="C101" s="296"/>
      <c r="D101" s="295"/>
      <c r="E101" s="295"/>
      <c r="F101" s="295"/>
      <c r="G101" s="295"/>
      <c r="H101" s="295"/>
      <c r="I101" s="297"/>
      <c r="J101" s="297"/>
    </row>
    <row r="102" ht="15.75" customHeight="1">
      <c r="A102" s="295"/>
      <c r="B102" s="295"/>
      <c r="C102" s="296"/>
      <c r="D102" s="295"/>
      <c r="E102" s="295"/>
      <c r="F102" s="295"/>
      <c r="G102" s="295"/>
      <c r="H102" s="295"/>
      <c r="I102" s="297"/>
      <c r="J102" s="297"/>
    </row>
    <row r="103" ht="15.75" customHeight="1">
      <c r="A103" s="295"/>
      <c r="B103" s="295"/>
      <c r="C103" s="296"/>
      <c r="D103" s="295"/>
      <c r="E103" s="295"/>
      <c r="F103" s="295"/>
      <c r="G103" s="295"/>
      <c r="H103" s="295"/>
      <c r="I103" s="297"/>
      <c r="J103" s="297"/>
    </row>
    <row r="104" ht="15.75" customHeight="1">
      <c r="A104" s="295"/>
      <c r="B104" s="295"/>
      <c r="C104" s="296"/>
      <c r="D104" s="295"/>
      <c r="E104" s="295"/>
      <c r="F104" s="295"/>
      <c r="G104" s="295"/>
      <c r="H104" s="295"/>
      <c r="I104" s="297"/>
      <c r="J104" s="297"/>
    </row>
    <row r="105" ht="15.75" customHeight="1">
      <c r="A105" s="295"/>
      <c r="B105" s="295"/>
      <c r="C105" s="296"/>
      <c r="D105" s="295"/>
      <c r="E105" s="295"/>
      <c r="F105" s="295"/>
      <c r="G105" s="295"/>
      <c r="H105" s="295"/>
      <c r="I105" s="297"/>
      <c r="J105" s="297"/>
    </row>
    <row r="106" ht="15.75" customHeight="1">
      <c r="A106" s="295"/>
      <c r="B106" s="295"/>
      <c r="C106" s="296"/>
      <c r="D106" s="295"/>
      <c r="E106" s="295"/>
      <c r="F106" s="295"/>
      <c r="G106" s="295"/>
      <c r="H106" s="295"/>
      <c r="I106" s="297"/>
      <c r="J106" s="297"/>
    </row>
    <row r="107" ht="15.75" customHeight="1">
      <c r="A107" s="295"/>
      <c r="B107" s="295"/>
      <c r="C107" s="296"/>
      <c r="D107" s="295"/>
      <c r="E107" s="295"/>
      <c r="F107" s="295"/>
      <c r="G107" s="295"/>
      <c r="H107" s="295"/>
      <c r="I107" s="297"/>
      <c r="J107" s="297"/>
    </row>
    <row r="108" ht="15.75" customHeight="1">
      <c r="A108" s="295"/>
      <c r="B108" s="295"/>
      <c r="C108" s="296"/>
      <c r="D108" s="295"/>
      <c r="E108" s="295"/>
      <c r="F108" s="295"/>
      <c r="G108" s="295"/>
      <c r="H108" s="295"/>
      <c r="I108" s="297"/>
      <c r="J108" s="297"/>
    </row>
    <row r="109" ht="15.75" customHeight="1">
      <c r="A109" s="295"/>
      <c r="B109" s="295"/>
      <c r="C109" s="296"/>
      <c r="D109" s="295"/>
      <c r="E109" s="295"/>
      <c r="F109" s="295"/>
      <c r="G109" s="295"/>
      <c r="H109" s="295"/>
      <c r="I109" s="297"/>
      <c r="J109" s="297"/>
    </row>
    <row r="110" ht="15.75" customHeight="1">
      <c r="A110" s="295"/>
      <c r="B110" s="295"/>
      <c r="C110" s="296"/>
      <c r="D110" s="295"/>
      <c r="E110" s="295"/>
      <c r="F110" s="295"/>
      <c r="G110" s="295"/>
      <c r="H110" s="295"/>
      <c r="I110" s="297"/>
      <c r="J110" s="297"/>
    </row>
    <row r="111" ht="15.75" customHeight="1">
      <c r="A111" s="295"/>
      <c r="B111" s="295"/>
      <c r="C111" s="296"/>
      <c r="D111" s="295"/>
      <c r="E111" s="295"/>
      <c r="F111" s="295"/>
      <c r="G111" s="295"/>
      <c r="H111" s="295"/>
      <c r="I111" s="297"/>
      <c r="J111" s="297"/>
    </row>
    <row r="112" ht="15.75" customHeight="1">
      <c r="A112" s="295"/>
      <c r="B112" s="295"/>
      <c r="C112" s="296"/>
      <c r="D112" s="295"/>
      <c r="E112" s="295"/>
      <c r="F112" s="295"/>
      <c r="G112" s="295"/>
      <c r="H112" s="295"/>
      <c r="I112" s="297"/>
      <c r="J112" s="297"/>
    </row>
    <row r="113" ht="15.75" customHeight="1">
      <c r="A113" s="295"/>
      <c r="B113" s="295"/>
      <c r="C113" s="296"/>
      <c r="D113" s="295"/>
      <c r="E113" s="295"/>
      <c r="F113" s="295"/>
      <c r="G113" s="295"/>
      <c r="H113" s="295"/>
      <c r="I113" s="297"/>
      <c r="J113" s="297"/>
    </row>
    <row r="114" ht="15.75" customHeight="1">
      <c r="A114" s="295"/>
      <c r="B114" s="295"/>
      <c r="C114" s="296"/>
      <c r="D114" s="295"/>
      <c r="E114" s="295"/>
      <c r="F114" s="295"/>
      <c r="G114" s="295"/>
      <c r="H114" s="295"/>
      <c r="I114" s="297"/>
      <c r="J114" s="297"/>
    </row>
    <row r="115" ht="15.75" customHeight="1">
      <c r="A115" s="295"/>
      <c r="B115" s="295"/>
      <c r="C115" s="296"/>
      <c r="D115" s="295"/>
      <c r="E115" s="295"/>
      <c r="F115" s="295"/>
      <c r="G115" s="295"/>
      <c r="H115" s="295"/>
      <c r="I115" s="297"/>
      <c r="J115" s="297"/>
    </row>
    <row r="116" ht="15.75" customHeight="1">
      <c r="A116" s="295"/>
      <c r="B116" s="295"/>
      <c r="C116" s="296"/>
      <c r="D116" s="295"/>
      <c r="E116" s="295"/>
      <c r="F116" s="295"/>
      <c r="G116" s="295"/>
      <c r="H116" s="295"/>
      <c r="I116" s="297"/>
      <c r="J116" s="297"/>
    </row>
    <row r="117" ht="15.75" customHeight="1">
      <c r="A117" s="295"/>
      <c r="B117" s="295"/>
      <c r="C117" s="296"/>
      <c r="D117" s="295"/>
      <c r="E117" s="295"/>
      <c r="F117" s="295"/>
      <c r="G117" s="295"/>
      <c r="H117" s="295"/>
      <c r="I117" s="297"/>
      <c r="J117" s="297"/>
    </row>
    <row r="118" ht="15.75" customHeight="1">
      <c r="A118" s="295"/>
      <c r="B118" s="295"/>
      <c r="C118" s="296"/>
      <c r="D118" s="295"/>
      <c r="E118" s="295"/>
      <c r="F118" s="295"/>
      <c r="G118" s="295"/>
      <c r="H118" s="295"/>
      <c r="I118" s="297"/>
      <c r="J118" s="297"/>
    </row>
    <row r="119" ht="15.75" customHeight="1">
      <c r="A119" s="295"/>
      <c r="B119" s="295"/>
      <c r="C119" s="296"/>
      <c r="D119" s="295"/>
      <c r="E119" s="295"/>
      <c r="F119" s="295"/>
      <c r="G119" s="295"/>
      <c r="H119" s="295"/>
      <c r="I119" s="297"/>
      <c r="J119" s="297"/>
    </row>
    <row r="120" ht="15.75" customHeight="1">
      <c r="A120" s="295"/>
      <c r="B120" s="295"/>
      <c r="C120" s="296"/>
      <c r="D120" s="295"/>
      <c r="E120" s="295"/>
      <c r="F120" s="295"/>
      <c r="G120" s="295"/>
      <c r="H120" s="295"/>
      <c r="I120" s="297"/>
      <c r="J120" s="297"/>
    </row>
    <row r="121" ht="15.75" customHeight="1">
      <c r="A121" s="295"/>
      <c r="B121" s="295"/>
      <c r="C121" s="296"/>
      <c r="D121" s="295"/>
      <c r="E121" s="295"/>
      <c r="F121" s="295"/>
      <c r="G121" s="295"/>
      <c r="H121" s="295"/>
      <c r="I121" s="297"/>
      <c r="J121" s="297"/>
    </row>
    <row r="122" ht="15.75" customHeight="1">
      <c r="A122" s="295"/>
      <c r="B122" s="295"/>
      <c r="C122" s="296"/>
      <c r="D122" s="295"/>
      <c r="E122" s="295"/>
      <c r="F122" s="295"/>
      <c r="G122" s="295"/>
      <c r="H122" s="295"/>
      <c r="I122" s="297"/>
      <c r="J122" s="297"/>
    </row>
    <row r="123" ht="15.75" customHeight="1">
      <c r="A123" s="295"/>
      <c r="B123" s="295"/>
      <c r="C123" s="296"/>
      <c r="D123" s="295"/>
      <c r="E123" s="295"/>
      <c r="F123" s="295"/>
      <c r="G123" s="295"/>
      <c r="H123" s="295"/>
      <c r="I123" s="297"/>
      <c r="J123" s="297"/>
    </row>
    <row r="124" ht="15.75" customHeight="1">
      <c r="A124" s="295"/>
      <c r="B124" s="295"/>
      <c r="C124" s="296"/>
      <c r="D124" s="295"/>
      <c r="E124" s="295"/>
      <c r="F124" s="295"/>
      <c r="G124" s="295"/>
      <c r="H124" s="295"/>
      <c r="I124" s="297"/>
      <c r="J124" s="297"/>
    </row>
    <row r="125" ht="15.75" customHeight="1">
      <c r="A125" s="295"/>
      <c r="B125" s="295"/>
      <c r="C125" s="296"/>
      <c r="D125" s="295"/>
      <c r="E125" s="295"/>
      <c r="F125" s="295"/>
      <c r="G125" s="295"/>
      <c r="H125" s="295"/>
      <c r="I125" s="297"/>
      <c r="J125" s="297"/>
    </row>
    <row r="126" ht="15.75" customHeight="1">
      <c r="A126" s="295"/>
      <c r="B126" s="295"/>
      <c r="C126" s="296"/>
      <c r="D126" s="295"/>
      <c r="E126" s="295"/>
      <c r="F126" s="295"/>
      <c r="G126" s="295"/>
      <c r="H126" s="295"/>
      <c r="I126" s="297"/>
      <c r="J126" s="297"/>
    </row>
    <row r="127" ht="15.75" customHeight="1">
      <c r="A127" s="295"/>
      <c r="B127" s="295"/>
      <c r="C127" s="296"/>
      <c r="D127" s="295"/>
      <c r="E127" s="295"/>
      <c r="F127" s="295"/>
      <c r="G127" s="295"/>
      <c r="H127" s="295"/>
      <c r="I127" s="297"/>
      <c r="J127" s="297"/>
    </row>
    <row r="128" ht="15.75" customHeight="1">
      <c r="A128" s="295"/>
      <c r="B128" s="295"/>
      <c r="C128" s="296"/>
      <c r="D128" s="295"/>
      <c r="E128" s="295"/>
      <c r="F128" s="295"/>
      <c r="G128" s="295"/>
      <c r="H128" s="295"/>
      <c r="I128" s="297"/>
      <c r="J128" s="297"/>
    </row>
    <row r="129" ht="15.75" customHeight="1">
      <c r="A129" s="295"/>
      <c r="B129" s="295"/>
      <c r="C129" s="296"/>
      <c r="D129" s="295"/>
      <c r="E129" s="295"/>
      <c r="F129" s="295"/>
      <c r="G129" s="295"/>
      <c r="H129" s="295"/>
      <c r="I129" s="297"/>
      <c r="J129" s="297"/>
    </row>
    <row r="130" ht="15.75" customHeight="1">
      <c r="A130" s="295"/>
      <c r="B130" s="295"/>
      <c r="C130" s="296"/>
      <c r="D130" s="295"/>
      <c r="E130" s="295"/>
      <c r="F130" s="295"/>
      <c r="G130" s="295"/>
      <c r="H130" s="295"/>
      <c r="I130" s="297"/>
      <c r="J130" s="297"/>
    </row>
    <row r="131" ht="15.75" customHeight="1">
      <c r="A131" s="295"/>
      <c r="B131" s="295"/>
      <c r="C131" s="296"/>
      <c r="D131" s="295"/>
      <c r="E131" s="295"/>
      <c r="F131" s="295"/>
      <c r="G131" s="295"/>
      <c r="H131" s="295"/>
      <c r="I131" s="297"/>
      <c r="J131" s="297"/>
    </row>
    <row r="132" ht="15.75" customHeight="1">
      <c r="A132" s="295"/>
      <c r="B132" s="295"/>
      <c r="C132" s="296"/>
      <c r="D132" s="295"/>
      <c r="E132" s="295"/>
      <c r="F132" s="295"/>
      <c r="G132" s="295"/>
      <c r="H132" s="295"/>
      <c r="I132" s="297"/>
      <c r="J132" s="297"/>
    </row>
    <row r="133" ht="15.75" customHeight="1">
      <c r="A133" s="295"/>
      <c r="B133" s="295"/>
      <c r="C133" s="296"/>
      <c r="D133" s="295"/>
      <c r="E133" s="295"/>
      <c r="F133" s="295"/>
      <c r="G133" s="295"/>
      <c r="H133" s="295"/>
      <c r="I133" s="297"/>
      <c r="J133" s="297"/>
    </row>
    <row r="134" ht="15.75" customHeight="1">
      <c r="A134" s="295"/>
      <c r="B134" s="295"/>
      <c r="C134" s="296"/>
      <c r="D134" s="295"/>
      <c r="E134" s="295"/>
      <c r="F134" s="295"/>
      <c r="G134" s="295"/>
      <c r="H134" s="295"/>
      <c r="I134" s="297"/>
      <c r="J134" s="297"/>
    </row>
    <row r="135" ht="15.75" customHeight="1">
      <c r="A135" s="295"/>
      <c r="B135" s="295"/>
      <c r="C135" s="296"/>
      <c r="D135" s="295"/>
      <c r="E135" s="295"/>
      <c r="F135" s="295"/>
      <c r="G135" s="295"/>
      <c r="H135" s="295"/>
      <c r="I135" s="297"/>
      <c r="J135" s="297"/>
    </row>
    <row r="136" ht="15.75" customHeight="1">
      <c r="A136" s="295"/>
      <c r="B136" s="295"/>
      <c r="C136" s="296"/>
      <c r="D136" s="295"/>
      <c r="E136" s="295"/>
      <c r="F136" s="295"/>
      <c r="G136" s="295"/>
      <c r="H136" s="295"/>
      <c r="I136" s="297"/>
      <c r="J136" s="297"/>
    </row>
    <row r="137" ht="15.75" customHeight="1">
      <c r="A137" s="295"/>
      <c r="B137" s="295"/>
      <c r="C137" s="296"/>
      <c r="D137" s="295"/>
      <c r="E137" s="295"/>
      <c r="F137" s="295"/>
      <c r="G137" s="295"/>
      <c r="H137" s="295"/>
      <c r="I137" s="297"/>
      <c r="J137" s="297"/>
    </row>
    <row r="138" ht="15.75" customHeight="1">
      <c r="A138" s="295"/>
      <c r="B138" s="295"/>
      <c r="C138" s="296"/>
      <c r="D138" s="295"/>
      <c r="E138" s="295"/>
      <c r="F138" s="295"/>
      <c r="G138" s="295"/>
      <c r="H138" s="295"/>
      <c r="I138" s="297"/>
      <c r="J138" s="297"/>
    </row>
    <row r="139" ht="15.75" customHeight="1">
      <c r="A139" s="295"/>
      <c r="B139" s="295"/>
      <c r="C139" s="296"/>
      <c r="D139" s="295"/>
      <c r="E139" s="295"/>
      <c r="F139" s="295"/>
      <c r="G139" s="295"/>
      <c r="H139" s="295"/>
      <c r="I139" s="297"/>
      <c r="J139" s="297"/>
    </row>
    <row r="140" ht="15.75" customHeight="1">
      <c r="A140" s="295"/>
      <c r="B140" s="295"/>
      <c r="C140" s="296"/>
      <c r="D140" s="295"/>
      <c r="E140" s="295"/>
      <c r="F140" s="295"/>
      <c r="G140" s="295"/>
      <c r="H140" s="295"/>
      <c r="I140" s="297"/>
      <c r="J140" s="297"/>
    </row>
    <row r="141" ht="15.75" customHeight="1">
      <c r="A141" s="295"/>
      <c r="B141" s="295"/>
      <c r="C141" s="296"/>
      <c r="D141" s="295"/>
      <c r="E141" s="295"/>
      <c r="F141" s="295"/>
      <c r="G141" s="295"/>
      <c r="H141" s="295"/>
      <c r="I141" s="297"/>
      <c r="J141" s="297"/>
    </row>
    <row r="142" ht="15.75" customHeight="1">
      <c r="A142" s="295"/>
      <c r="B142" s="295"/>
      <c r="C142" s="296"/>
      <c r="D142" s="295"/>
      <c r="E142" s="295"/>
      <c r="F142" s="295"/>
      <c r="G142" s="295"/>
      <c r="H142" s="295"/>
      <c r="I142" s="297"/>
      <c r="J142" s="297"/>
    </row>
    <row r="143" ht="15.75" customHeight="1">
      <c r="A143" s="295"/>
      <c r="B143" s="295"/>
      <c r="C143" s="296"/>
      <c r="D143" s="295"/>
      <c r="E143" s="295"/>
      <c r="F143" s="295"/>
      <c r="G143" s="295"/>
      <c r="H143" s="295"/>
      <c r="I143" s="297"/>
      <c r="J143" s="297"/>
    </row>
    <row r="144" ht="15.75" customHeight="1">
      <c r="A144" s="295"/>
      <c r="B144" s="295"/>
      <c r="C144" s="296"/>
      <c r="D144" s="295"/>
      <c r="E144" s="295"/>
      <c r="F144" s="295"/>
      <c r="G144" s="295"/>
      <c r="H144" s="295"/>
      <c r="I144" s="297"/>
      <c r="J144" s="297"/>
    </row>
    <row r="145" ht="15.75" customHeight="1">
      <c r="A145" s="295"/>
      <c r="B145" s="295"/>
      <c r="C145" s="296"/>
      <c r="D145" s="295"/>
      <c r="E145" s="295"/>
      <c r="F145" s="295"/>
      <c r="G145" s="295"/>
      <c r="H145" s="295"/>
      <c r="I145" s="297"/>
      <c r="J145" s="297"/>
    </row>
    <row r="146" ht="15.75" customHeight="1">
      <c r="A146" s="295"/>
      <c r="B146" s="295"/>
      <c r="C146" s="296"/>
      <c r="D146" s="295"/>
      <c r="E146" s="295"/>
      <c r="F146" s="295"/>
      <c r="G146" s="295"/>
      <c r="H146" s="295"/>
      <c r="I146" s="297"/>
      <c r="J146" s="297"/>
    </row>
    <row r="147" ht="15.75" customHeight="1">
      <c r="A147" s="295"/>
      <c r="B147" s="295"/>
      <c r="C147" s="296"/>
      <c r="D147" s="295"/>
      <c r="E147" s="295"/>
      <c r="F147" s="295"/>
      <c r="G147" s="295"/>
      <c r="H147" s="295"/>
      <c r="I147" s="297"/>
      <c r="J147" s="297"/>
    </row>
    <row r="148" ht="15.75" customHeight="1">
      <c r="A148" s="295"/>
      <c r="B148" s="295"/>
      <c r="C148" s="296"/>
      <c r="D148" s="295"/>
      <c r="E148" s="295"/>
      <c r="F148" s="295"/>
      <c r="G148" s="295"/>
      <c r="H148" s="295"/>
      <c r="I148" s="297"/>
      <c r="J148" s="297"/>
    </row>
    <row r="149" ht="15.75" customHeight="1">
      <c r="A149" s="295"/>
      <c r="B149" s="295"/>
      <c r="C149" s="296"/>
      <c r="D149" s="295"/>
      <c r="E149" s="295"/>
      <c r="F149" s="295"/>
      <c r="G149" s="295"/>
      <c r="H149" s="295"/>
      <c r="I149" s="297"/>
      <c r="J149" s="297"/>
    </row>
    <row r="150" ht="15.75" customHeight="1">
      <c r="A150" s="295"/>
      <c r="B150" s="295"/>
      <c r="C150" s="296"/>
      <c r="D150" s="295"/>
      <c r="E150" s="295"/>
      <c r="F150" s="295"/>
      <c r="G150" s="295"/>
      <c r="H150" s="295"/>
      <c r="I150" s="297"/>
      <c r="J150" s="297"/>
    </row>
    <row r="151" ht="15.75" customHeight="1">
      <c r="A151" s="295"/>
      <c r="B151" s="295"/>
      <c r="C151" s="296"/>
      <c r="D151" s="295"/>
      <c r="E151" s="295"/>
      <c r="F151" s="295"/>
      <c r="G151" s="295"/>
      <c r="H151" s="295"/>
      <c r="I151" s="297"/>
      <c r="J151" s="297"/>
    </row>
    <row r="152" ht="15.75" customHeight="1">
      <c r="A152" s="295"/>
      <c r="B152" s="295"/>
      <c r="C152" s="296"/>
      <c r="D152" s="295"/>
      <c r="E152" s="295"/>
      <c r="F152" s="295"/>
      <c r="G152" s="295"/>
      <c r="H152" s="295"/>
      <c r="I152" s="297"/>
      <c r="J152" s="297"/>
    </row>
    <row r="153" ht="15.75" customHeight="1">
      <c r="A153" s="295"/>
      <c r="B153" s="295"/>
      <c r="C153" s="296"/>
      <c r="D153" s="295"/>
      <c r="E153" s="295"/>
      <c r="F153" s="295"/>
      <c r="G153" s="295"/>
      <c r="H153" s="295"/>
      <c r="I153" s="297"/>
      <c r="J153" s="297"/>
    </row>
    <row r="154" ht="15.75" customHeight="1">
      <c r="A154" s="295"/>
      <c r="B154" s="295"/>
      <c r="C154" s="296"/>
      <c r="D154" s="295"/>
      <c r="E154" s="295"/>
      <c r="F154" s="295"/>
      <c r="G154" s="295"/>
      <c r="H154" s="295"/>
      <c r="I154" s="297"/>
      <c r="J154" s="297"/>
    </row>
    <row r="155" ht="15.75" customHeight="1">
      <c r="A155" s="295"/>
      <c r="B155" s="295"/>
      <c r="C155" s="296"/>
      <c r="D155" s="295"/>
      <c r="E155" s="295"/>
      <c r="F155" s="295"/>
      <c r="G155" s="295"/>
      <c r="H155" s="295"/>
      <c r="I155" s="297"/>
      <c r="J155" s="297"/>
    </row>
    <row r="156" ht="15.75" customHeight="1">
      <c r="A156" s="295"/>
      <c r="B156" s="295"/>
      <c r="C156" s="296"/>
      <c r="D156" s="295"/>
      <c r="E156" s="295"/>
      <c r="F156" s="295"/>
      <c r="G156" s="295"/>
      <c r="H156" s="295"/>
      <c r="I156" s="297"/>
      <c r="J156" s="297"/>
    </row>
    <row r="157" ht="15.75" customHeight="1">
      <c r="A157" s="295"/>
      <c r="B157" s="295"/>
      <c r="C157" s="296"/>
      <c r="D157" s="295"/>
      <c r="E157" s="295"/>
      <c r="F157" s="295"/>
      <c r="G157" s="295"/>
      <c r="H157" s="295"/>
      <c r="I157" s="297"/>
      <c r="J157" s="297"/>
    </row>
    <row r="158" ht="15.75" customHeight="1">
      <c r="A158" s="295"/>
      <c r="B158" s="295"/>
      <c r="C158" s="296"/>
      <c r="D158" s="295"/>
      <c r="E158" s="295"/>
      <c r="F158" s="295"/>
      <c r="G158" s="295"/>
      <c r="H158" s="295"/>
      <c r="I158" s="297"/>
      <c r="J158" s="297"/>
    </row>
    <row r="159" ht="15.75" customHeight="1">
      <c r="A159" s="295"/>
      <c r="B159" s="295"/>
      <c r="C159" s="296"/>
      <c r="D159" s="295"/>
      <c r="E159" s="295"/>
      <c r="F159" s="295"/>
      <c r="G159" s="295"/>
      <c r="H159" s="295"/>
      <c r="I159" s="297"/>
      <c r="J159" s="297"/>
    </row>
    <row r="160" ht="15.75" customHeight="1">
      <c r="A160" s="295"/>
      <c r="B160" s="295"/>
      <c r="C160" s="296"/>
      <c r="D160" s="295"/>
      <c r="E160" s="295"/>
      <c r="F160" s="295"/>
      <c r="G160" s="295"/>
      <c r="H160" s="295"/>
      <c r="I160" s="297"/>
      <c r="J160" s="297"/>
    </row>
    <row r="161" ht="15.75" customHeight="1">
      <c r="A161" s="295"/>
      <c r="B161" s="295"/>
      <c r="C161" s="296"/>
      <c r="D161" s="295"/>
      <c r="E161" s="295"/>
      <c r="F161" s="295"/>
      <c r="G161" s="295"/>
      <c r="H161" s="295"/>
      <c r="I161" s="297"/>
      <c r="J161" s="297"/>
    </row>
    <row r="162" ht="15.75" customHeight="1">
      <c r="A162" s="295"/>
      <c r="B162" s="295"/>
      <c r="C162" s="296"/>
      <c r="D162" s="295"/>
      <c r="E162" s="295"/>
      <c r="F162" s="295"/>
      <c r="G162" s="295"/>
      <c r="H162" s="295"/>
      <c r="I162" s="297"/>
      <c r="J162" s="297"/>
    </row>
    <row r="163" ht="15.75" customHeight="1">
      <c r="A163" s="295"/>
      <c r="B163" s="295"/>
      <c r="C163" s="296"/>
      <c r="D163" s="295"/>
      <c r="E163" s="295"/>
      <c r="F163" s="295"/>
      <c r="G163" s="295"/>
      <c r="H163" s="295"/>
      <c r="I163" s="297"/>
      <c r="J163" s="297"/>
    </row>
    <row r="164" ht="15.75" customHeight="1">
      <c r="A164" s="295"/>
      <c r="B164" s="295"/>
      <c r="C164" s="296"/>
      <c r="D164" s="295"/>
      <c r="E164" s="295"/>
      <c r="F164" s="295"/>
      <c r="G164" s="295"/>
      <c r="H164" s="295"/>
      <c r="I164" s="297"/>
      <c r="J164" s="297"/>
    </row>
    <row r="165" ht="15.75" customHeight="1">
      <c r="A165" s="295"/>
      <c r="B165" s="295"/>
      <c r="C165" s="296"/>
      <c r="D165" s="295"/>
      <c r="E165" s="295"/>
      <c r="F165" s="295"/>
      <c r="G165" s="295"/>
      <c r="H165" s="295"/>
      <c r="I165" s="297"/>
      <c r="J165" s="297"/>
    </row>
    <row r="166" ht="15.75" customHeight="1">
      <c r="A166" s="295"/>
      <c r="B166" s="295"/>
      <c r="C166" s="296"/>
      <c r="D166" s="295"/>
      <c r="E166" s="295"/>
      <c r="F166" s="295"/>
      <c r="G166" s="295"/>
      <c r="H166" s="295"/>
      <c r="I166" s="297"/>
      <c r="J166" s="297"/>
    </row>
    <row r="167" ht="15.75" customHeight="1">
      <c r="A167" s="295"/>
      <c r="B167" s="295"/>
      <c r="C167" s="296"/>
      <c r="D167" s="295"/>
      <c r="E167" s="295"/>
      <c r="F167" s="295"/>
      <c r="G167" s="295"/>
      <c r="H167" s="295"/>
      <c r="I167" s="297"/>
      <c r="J167" s="297"/>
    </row>
    <row r="168" ht="15.75" customHeight="1">
      <c r="A168" s="295"/>
      <c r="B168" s="295"/>
      <c r="C168" s="296"/>
      <c r="D168" s="295"/>
      <c r="E168" s="295"/>
      <c r="F168" s="295"/>
      <c r="G168" s="295"/>
      <c r="H168" s="295"/>
      <c r="I168" s="297"/>
      <c r="J168" s="297"/>
    </row>
    <row r="169" ht="15.75" customHeight="1">
      <c r="A169" s="295"/>
      <c r="B169" s="295"/>
      <c r="C169" s="296"/>
      <c r="D169" s="295"/>
      <c r="E169" s="295"/>
      <c r="F169" s="295"/>
      <c r="G169" s="295"/>
      <c r="H169" s="295"/>
      <c r="I169" s="297"/>
      <c r="J169" s="297"/>
    </row>
    <row r="170" ht="15.75" customHeight="1">
      <c r="A170" s="295"/>
      <c r="B170" s="295"/>
      <c r="C170" s="296"/>
      <c r="D170" s="295"/>
      <c r="E170" s="295"/>
      <c r="F170" s="295"/>
      <c r="G170" s="295"/>
      <c r="H170" s="295"/>
      <c r="I170" s="297"/>
      <c r="J170" s="297"/>
    </row>
    <row r="171" ht="15.75" customHeight="1">
      <c r="A171" s="295"/>
      <c r="B171" s="295"/>
      <c r="C171" s="296"/>
      <c r="D171" s="295"/>
      <c r="E171" s="295"/>
      <c r="F171" s="295"/>
      <c r="G171" s="295"/>
      <c r="H171" s="295"/>
      <c r="I171" s="297"/>
      <c r="J171" s="297"/>
    </row>
    <row r="172" ht="15.75" customHeight="1">
      <c r="A172" s="295"/>
      <c r="B172" s="295"/>
      <c r="C172" s="296"/>
      <c r="D172" s="295"/>
      <c r="E172" s="295"/>
      <c r="F172" s="295"/>
      <c r="G172" s="295"/>
      <c r="H172" s="295"/>
      <c r="I172" s="297"/>
      <c r="J172" s="297"/>
    </row>
    <row r="173" ht="15.75" customHeight="1">
      <c r="A173" s="295"/>
      <c r="B173" s="295"/>
      <c r="C173" s="296"/>
      <c r="D173" s="295"/>
      <c r="E173" s="295"/>
      <c r="F173" s="295"/>
      <c r="G173" s="295"/>
      <c r="H173" s="295"/>
      <c r="I173" s="297"/>
      <c r="J173" s="297"/>
    </row>
    <row r="174" ht="15.75" customHeight="1">
      <c r="A174" s="295"/>
      <c r="B174" s="295"/>
      <c r="C174" s="296"/>
      <c r="D174" s="295"/>
      <c r="E174" s="295"/>
      <c r="F174" s="295"/>
      <c r="G174" s="295"/>
      <c r="H174" s="295"/>
      <c r="I174" s="297"/>
      <c r="J174" s="297"/>
    </row>
    <row r="175" ht="15.75" customHeight="1">
      <c r="A175" s="295"/>
      <c r="B175" s="295"/>
      <c r="C175" s="296"/>
      <c r="D175" s="295"/>
      <c r="E175" s="295"/>
      <c r="F175" s="295"/>
      <c r="G175" s="295"/>
      <c r="H175" s="295"/>
      <c r="I175" s="297"/>
      <c r="J175" s="297"/>
    </row>
    <row r="176" ht="15.75" customHeight="1">
      <c r="A176" s="295"/>
      <c r="B176" s="295"/>
      <c r="C176" s="296"/>
      <c r="D176" s="295"/>
      <c r="E176" s="295"/>
      <c r="F176" s="295"/>
      <c r="G176" s="295"/>
      <c r="H176" s="295"/>
      <c r="I176" s="297"/>
      <c r="J176" s="297"/>
    </row>
    <row r="177" ht="15.75" customHeight="1">
      <c r="A177" s="295"/>
      <c r="B177" s="295"/>
      <c r="C177" s="296"/>
      <c r="D177" s="295"/>
      <c r="E177" s="295"/>
      <c r="F177" s="295"/>
      <c r="G177" s="295"/>
      <c r="H177" s="295"/>
      <c r="I177" s="297"/>
      <c r="J177" s="297"/>
    </row>
    <row r="178" ht="15.75" customHeight="1">
      <c r="A178" s="295"/>
      <c r="B178" s="295"/>
      <c r="C178" s="296"/>
      <c r="D178" s="295"/>
      <c r="E178" s="295"/>
      <c r="F178" s="295"/>
      <c r="G178" s="295"/>
      <c r="H178" s="295"/>
      <c r="I178" s="297"/>
      <c r="J178" s="297"/>
    </row>
    <row r="179" ht="15.75" customHeight="1">
      <c r="A179" s="295"/>
      <c r="B179" s="295"/>
      <c r="C179" s="296"/>
      <c r="D179" s="295"/>
      <c r="E179" s="295"/>
      <c r="F179" s="295"/>
      <c r="G179" s="295"/>
      <c r="H179" s="295"/>
      <c r="I179" s="297"/>
      <c r="J179" s="297"/>
    </row>
    <row r="180" ht="15.75" customHeight="1">
      <c r="A180" s="295"/>
      <c r="B180" s="295"/>
      <c r="C180" s="296"/>
      <c r="D180" s="295"/>
      <c r="E180" s="295"/>
      <c r="F180" s="295"/>
      <c r="G180" s="295"/>
      <c r="H180" s="295"/>
      <c r="I180" s="297"/>
      <c r="J180" s="297"/>
    </row>
    <row r="181" ht="15.75" customHeight="1">
      <c r="A181" s="295"/>
      <c r="B181" s="295"/>
      <c r="C181" s="296"/>
      <c r="D181" s="295"/>
      <c r="E181" s="295"/>
      <c r="F181" s="295"/>
      <c r="G181" s="295"/>
      <c r="H181" s="295"/>
      <c r="I181" s="297"/>
      <c r="J181" s="297"/>
    </row>
    <row r="182" ht="15.75" customHeight="1">
      <c r="A182" s="295"/>
      <c r="B182" s="295"/>
      <c r="C182" s="296"/>
      <c r="D182" s="295"/>
      <c r="E182" s="295"/>
      <c r="F182" s="295"/>
      <c r="G182" s="295"/>
      <c r="H182" s="295"/>
      <c r="I182" s="297"/>
      <c r="J182" s="297"/>
    </row>
    <row r="183" ht="15.75" customHeight="1">
      <c r="A183" s="295"/>
      <c r="B183" s="295"/>
      <c r="C183" s="296"/>
      <c r="D183" s="295"/>
      <c r="E183" s="295"/>
      <c r="F183" s="295"/>
      <c r="G183" s="295"/>
      <c r="H183" s="295"/>
      <c r="I183" s="297"/>
      <c r="J183" s="297"/>
    </row>
    <row r="184" ht="15.75" customHeight="1">
      <c r="A184" s="295"/>
      <c r="B184" s="295"/>
      <c r="C184" s="296"/>
      <c r="D184" s="295"/>
      <c r="E184" s="295"/>
      <c r="F184" s="295"/>
      <c r="G184" s="295"/>
      <c r="H184" s="295"/>
      <c r="I184" s="297"/>
      <c r="J184" s="297"/>
    </row>
    <row r="185" ht="15.75" customHeight="1">
      <c r="A185" s="295"/>
      <c r="B185" s="295"/>
      <c r="C185" s="296"/>
      <c r="D185" s="295"/>
      <c r="E185" s="295"/>
      <c r="F185" s="295"/>
      <c r="G185" s="295"/>
      <c r="H185" s="295"/>
      <c r="I185" s="297"/>
      <c r="J185" s="297"/>
    </row>
    <row r="186" ht="15.75" customHeight="1">
      <c r="A186" s="295"/>
      <c r="B186" s="295"/>
      <c r="C186" s="296"/>
      <c r="D186" s="295"/>
      <c r="E186" s="295"/>
      <c r="F186" s="295"/>
      <c r="G186" s="295"/>
      <c r="H186" s="295"/>
      <c r="I186" s="297"/>
      <c r="J186" s="297"/>
    </row>
    <row r="187" ht="15.75" customHeight="1">
      <c r="A187" s="295"/>
      <c r="B187" s="295"/>
      <c r="C187" s="296"/>
      <c r="D187" s="295"/>
      <c r="E187" s="295"/>
      <c r="F187" s="295"/>
      <c r="G187" s="295"/>
      <c r="H187" s="295"/>
      <c r="I187" s="297"/>
      <c r="J187" s="297"/>
    </row>
    <row r="188" ht="15.75" customHeight="1">
      <c r="A188" s="295"/>
      <c r="B188" s="295"/>
      <c r="C188" s="296"/>
      <c r="D188" s="295"/>
      <c r="E188" s="295"/>
      <c r="F188" s="295"/>
      <c r="G188" s="295"/>
      <c r="H188" s="295"/>
      <c r="I188" s="297"/>
      <c r="J188" s="297"/>
    </row>
    <row r="189" ht="15.75" customHeight="1">
      <c r="A189" s="295"/>
      <c r="B189" s="295"/>
      <c r="C189" s="296"/>
      <c r="D189" s="295"/>
      <c r="E189" s="295"/>
      <c r="F189" s="295"/>
      <c r="G189" s="295"/>
      <c r="H189" s="295"/>
      <c r="I189" s="297"/>
      <c r="J189" s="297"/>
    </row>
    <row r="190" ht="15.75" customHeight="1">
      <c r="A190" s="295"/>
      <c r="B190" s="295"/>
      <c r="C190" s="296"/>
      <c r="D190" s="295"/>
      <c r="E190" s="295"/>
      <c r="F190" s="295"/>
      <c r="G190" s="295"/>
      <c r="H190" s="295"/>
      <c r="I190" s="297"/>
      <c r="J190" s="297"/>
    </row>
    <row r="191" ht="15.75" customHeight="1">
      <c r="A191" s="295"/>
      <c r="B191" s="295"/>
      <c r="C191" s="296"/>
      <c r="D191" s="295"/>
      <c r="E191" s="295"/>
      <c r="F191" s="295"/>
      <c r="G191" s="295"/>
      <c r="H191" s="295"/>
      <c r="I191" s="297"/>
      <c r="J191" s="297"/>
    </row>
    <row r="192" ht="15.75" customHeight="1">
      <c r="A192" s="295"/>
      <c r="B192" s="295"/>
      <c r="C192" s="296"/>
      <c r="D192" s="295"/>
      <c r="E192" s="295"/>
      <c r="F192" s="295"/>
      <c r="G192" s="295"/>
      <c r="H192" s="295"/>
      <c r="I192" s="297"/>
      <c r="J192" s="297"/>
    </row>
    <row r="193" ht="15.75" customHeight="1">
      <c r="A193" s="295"/>
      <c r="B193" s="295"/>
      <c r="C193" s="296"/>
      <c r="D193" s="295"/>
      <c r="E193" s="295"/>
      <c r="F193" s="295"/>
      <c r="G193" s="295"/>
      <c r="H193" s="295"/>
      <c r="I193" s="297"/>
      <c r="J193" s="297"/>
    </row>
    <row r="194" ht="15.75" customHeight="1">
      <c r="A194" s="295"/>
      <c r="B194" s="295"/>
      <c r="C194" s="296"/>
      <c r="D194" s="295"/>
      <c r="E194" s="295"/>
      <c r="F194" s="295"/>
      <c r="G194" s="295"/>
      <c r="H194" s="295"/>
      <c r="I194" s="297"/>
      <c r="J194" s="297"/>
    </row>
    <row r="195" ht="15.75" customHeight="1">
      <c r="A195" s="295"/>
      <c r="B195" s="295"/>
      <c r="C195" s="296"/>
      <c r="D195" s="295"/>
      <c r="E195" s="295"/>
      <c r="F195" s="295"/>
      <c r="G195" s="295"/>
      <c r="H195" s="295"/>
      <c r="I195" s="297"/>
      <c r="J195" s="297"/>
    </row>
    <row r="196" ht="15.75" customHeight="1">
      <c r="A196" s="295"/>
      <c r="B196" s="295"/>
      <c r="C196" s="296"/>
      <c r="D196" s="295"/>
      <c r="E196" s="295"/>
      <c r="F196" s="295"/>
      <c r="G196" s="295"/>
      <c r="H196" s="295"/>
      <c r="I196" s="297"/>
      <c r="J196" s="297"/>
    </row>
    <row r="197" ht="15.75" customHeight="1">
      <c r="A197" s="295"/>
      <c r="B197" s="295"/>
      <c r="C197" s="296"/>
      <c r="D197" s="295"/>
      <c r="E197" s="295"/>
      <c r="F197" s="295"/>
      <c r="G197" s="295"/>
      <c r="H197" s="295"/>
      <c r="I197" s="297"/>
      <c r="J197" s="297"/>
    </row>
    <row r="198" ht="15.75" customHeight="1">
      <c r="A198" s="295"/>
      <c r="B198" s="295"/>
      <c r="C198" s="296"/>
      <c r="D198" s="295"/>
      <c r="E198" s="295"/>
      <c r="F198" s="295"/>
      <c r="G198" s="295"/>
      <c r="H198" s="295"/>
      <c r="I198" s="297"/>
      <c r="J198" s="297"/>
    </row>
    <row r="199" ht="15.75" customHeight="1">
      <c r="A199" s="295"/>
      <c r="B199" s="295"/>
      <c r="C199" s="296"/>
      <c r="D199" s="295"/>
      <c r="E199" s="295"/>
      <c r="F199" s="295"/>
      <c r="G199" s="295"/>
      <c r="H199" s="295"/>
      <c r="I199" s="297"/>
      <c r="J199" s="297"/>
    </row>
    <row r="200" ht="15.75" customHeight="1">
      <c r="A200" s="295"/>
      <c r="B200" s="295"/>
      <c r="C200" s="296"/>
      <c r="D200" s="295"/>
      <c r="E200" s="295"/>
      <c r="F200" s="295"/>
      <c r="G200" s="295"/>
      <c r="H200" s="295"/>
      <c r="I200" s="297"/>
      <c r="J200" s="297"/>
    </row>
    <row r="201" ht="15.75" customHeight="1">
      <c r="A201" s="295"/>
      <c r="B201" s="295"/>
      <c r="C201" s="296"/>
      <c r="D201" s="295"/>
      <c r="E201" s="295"/>
      <c r="F201" s="295"/>
      <c r="G201" s="295"/>
      <c r="H201" s="295"/>
      <c r="I201" s="297"/>
      <c r="J201" s="297"/>
    </row>
    <row r="202" ht="15.75" customHeight="1">
      <c r="A202" s="295"/>
      <c r="B202" s="295"/>
      <c r="C202" s="296"/>
      <c r="D202" s="295"/>
      <c r="E202" s="295"/>
      <c r="F202" s="295"/>
      <c r="G202" s="295"/>
      <c r="H202" s="295"/>
      <c r="I202" s="297"/>
      <c r="J202" s="297"/>
    </row>
    <row r="203" ht="15.75" customHeight="1">
      <c r="A203" s="295"/>
      <c r="B203" s="295"/>
      <c r="C203" s="296"/>
      <c r="D203" s="295"/>
      <c r="E203" s="295"/>
      <c r="F203" s="295"/>
      <c r="G203" s="295"/>
      <c r="H203" s="295"/>
      <c r="I203" s="297"/>
      <c r="J203" s="297"/>
    </row>
    <row r="204" ht="15.75" customHeight="1">
      <c r="A204" s="295"/>
      <c r="B204" s="295"/>
      <c r="C204" s="296"/>
      <c r="D204" s="295"/>
      <c r="E204" s="295"/>
      <c r="F204" s="295"/>
      <c r="G204" s="295"/>
      <c r="H204" s="295"/>
      <c r="I204" s="297"/>
      <c r="J204" s="297"/>
    </row>
    <row r="205" ht="15.75" customHeight="1">
      <c r="A205" s="295"/>
      <c r="B205" s="295"/>
      <c r="C205" s="296"/>
      <c r="D205" s="295"/>
      <c r="E205" s="295"/>
      <c r="F205" s="295"/>
      <c r="G205" s="295"/>
      <c r="H205" s="295"/>
      <c r="I205" s="297"/>
      <c r="J205" s="297"/>
    </row>
    <row r="206" ht="15.75" customHeight="1">
      <c r="A206" s="295"/>
      <c r="B206" s="295"/>
      <c r="C206" s="296"/>
      <c r="D206" s="295"/>
      <c r="E206" s="295"/>
      <c r="F206" s="295"/>
      <c r="G206" s="295"/>
      <c r="H206" s="295"/>
      <c r="I206" s="297"/>
      <c r="J206" s="297"/>
    </row>
    <row r="207" ht="15.75" customHeight="1">
      <c r="A207" s="295"/>
      <c r="B207" s="295"/>
      <c r="C207" s="296"/>
      <c r="D207" s="295"/>
      <c r="E207" s="295"/>
      <c r="F207" s="295"/>
      <c r="G207" s="295"/>
      <c r="H207" s="295"/>
      <c r="I207" s="297"/>
      <c r="J207" s="297"/>
    </row>
    <row r="208" ht="15.75" customHeight="1">
      <c r="A208" s="295"/>
      <c r="B208" s="295"/>
      <c r="C208" s="296"/>
      <c r="D208" s="295"/>
      <c r="E208" s="295"/>
      <c r="F208" s="295"/>
      <c r="G208" s="295"/>
      <c r="H208" s="295"/>
      <c r="I208" s="297"/>
      <c r="J208" s="297"/>
    </row>
    <row r="209" ht="15.75" customHeight="1">
      <c r="A209" s="295"/>
      <c r="B209" s="295"/>
      <c r="C209" s="296"/>
      <c r="D209" s="295"/>
      <c r="E209" s="295"/>
      <c r="F209" s="295"/>
      <c r="G209" s="295"/>
      <c r="H209" s="295"/>
      <c r="I209" s="297"/>
      <c r="J209" s="297"/>
    </row>
    <row r="210" ht="15.75" customHeight="1">
      <c r="A210" s="295"/>
      <c r="B210" s="295"/>
      <c r="C210" s="296"/>
      <c r="D210" s="295"/>
      <c r="E210" s="295"/>
      <c r="F210" s="295"/>
      <c r="G210" s="295"/>
      <c r="H210" s="295"/>
      <c r="I210" s="297"/>
      <c r="J210" s="297"/>
    </row>
    <row r="211" ht="15.75" customHeight="1">
      <c r="A211" s="295"/>
      <c r="B211" s="295"/>
      <c r="C211" s="296"/>
      <c r="D211" s="295"/>
      <c r="E211" s="295"/>
      <c r="F211" s="295"/>
      <c r="G211" s="295"/>
      <c r="H211" s="295"/>
      <c r="I211" s="297"/>
      <c r="J211" s="297"/>
    </row>
    <row r="212" ht="15.75" customHeight="1">
      <c r="A212" s="295"/>
      <c r="B212" s="295"/>
      <c r="C212" s="296"/>
      <c r="D212" s="295"/>
      <c r="E212" s="295"/>
      <c r="F212" s="295"/>
      <c r="G212" s="295"/>
      <c r="H212" s="295"/>
      <c r="I212" s="297"/>
      <c r="J212" s="297"/>
    </row>
    <row r="213" ht="15.75" customHeight="1">
      <c r="A213" s="295"/>
      <c r="B213" s="295"/>
      <c r="C213" s="296"/>
      <c r="D213" s="295"/>
      <c r="E213" s="295"/>
      <c r="F213" s="295"/>
      <c r="G213" s="295"/>
      <c r="H213" s="295"/>
      <c r="I213" s="297"/>
      <c r="J213" s="297"/>
    </row>
    <row r="214" ht="15.75" customHeight="1">
      <c r="A214" s="295"/>
      <c r="B214" s="295"/>
      <c r="C214" s="296"/>
      <c r="D214" s="295"/>
      <c r="E214" s="295"/>
      <c r="F214" s="295"/>
      <c r="G214" s="295"/>
      <c r="H214" s="295"/>
      <c r="I214" s="297"/>
      <c r="J214" s="297"/>
    </row>
    <row r="215" ht="15.75" customHeight="1">
      <c r="A215" s="295"/>
      <c r="B215" s="295"/>
      <c r="C215" s="296"/>
      <c r="D215" s="295"/>
      <c r="E215" s="295"/>
      <c r="F215" s="295"/>
      <c r="G215" s="295"/>
      <c r="H215" s="295"/>
      <c r="I215" s="297"/>
      <c r="J215" s="297"/>
    </row>
    <row r="216" ht="15.75" customHeight="1">
      <c r="A216" s="295"/>
      <c r="B216" s="295"/>
      <c r="C216" s="296"/>
      <c r="D216" s="295"/>
      <c r="E216" s="295"/>
      <c r="F216" s="295"/>
      <c r="G216" s="295"/>
      <c r="H216" s="295"/>
      <c r="I216" s="297"/>
      <c r="J216" s="297"/>
    </row>
    <row r="217" ht="15.75" customHeight="1">
      <c r="A217" s="295"/>
      <c r="B217" s="295"/>
      <c r="C217" s="296"/>
      <c r="D217" s="295"/>
      <c r="E217" s="295"/>
      <c r="F217" s="295"/>
      <c r="G217" s="295"/>
      <c r="H217" s="295"/>
      <c r="I217" s="297"/>
      <c r="J217" s="297"/>
    </row>
    <row r="218" ht="15.75" customHeight="1">
      <c r="A218" s="295"/>
      <c r="B218" s="295"/>
      <c r="C218" s="296"/>
      <c r="D218" s="295"/>
      <c r="E218" s="295"/>
      <c r="F218" s="295"/>
      <c r="G218" s="295"/>
      <c r="H218" s="295"/>
      <c r="I218" s="297"/>
      <c r="J218" s="297"/>
    </row>
    <row r="219" ht="15.75" customHeight="1">
      <c r="A219" s="295"/>
      <c r="B219" s="295"/>
      <c r="C219" s="296"/>
      <c r="D219" s="295"/>
      <c r="E219" s="295"/>
      <c r="F219" s="295"/>
      <c r="G219" s="295"/>
      <c r="H219" s="295"/>
      <c r="I219" s="297"/>
      <c r="J219" s="297"/>
    </row>
    <row r="220" ht="15.75" customHeight="1">
      <c r="A220" s="295"/>
      <c r="B220" s="295"/>
      <c r="C220" s="296"/>
      <c r="D220" s="295"/>
      <c r="E220" s="295"/>
      <c r="F220" s="295"/>
      <c r="G220" s="295"/>
      <c r="H220" s="295"/>
      <c r="I220" s="297"/>
      <c r="J220" s="297"/>
    </row>
    <row r="221" ht="15.75" customHeight="1">
      <c r="A221" s="295"/>
      <c r="B221" s="295"/>
      <c r="C221" s="296"/>
      <c r="D221" s="295"/>
      <c r="E221" s="295"/>
      <c r="F221" s="295"/>
      <c r="G221" s="295"/>
      <c r="H221" s="295"/>
      <c r="I221" s="297"/>
      <c r="J221" s="297"/>
    </row>
    <row r="222" ht="15.75" customHeight="1">
      <c r="A222" s="295"/>
      <c r="B222" s="295"/>
      <c r="C222" s="296"/>
      <c r="D222" s="295"/>
      <c r="E222" s="295"/>
      <c r="F222" s="295"/>
      <c r="G222" s="295"/>
      <c r="H222" s="295"/>
      <c r="I222" s="297"/>
      <c r="J222" s="297"/>
    </row>
    <row r="223" ht="15.75" customHeight="1">
      <c r="A223" s="295"/>
      <c r="B223" s="295"/>
      <c r="C223" s="296"/>
      <c r="D223" s="295"/>
      <c r="E223" s="295"/>
      <c r="F223" s="295"/>
      <c r="G223" s="295"/>
      <c r="H223" s="295"/>
      <c r="I223" s="297"/>
      <c r="J223" s="297"/>
    </row>
    <row r="224" ht="15.75" customHeight="1">
      <c r="A224" s="295"/>
      <c r="B224" s="295"/>
      <c r="C224" s="296"/>
      <c r="D224" s="295"/>
      <c r="E224" s="295"/>
      <c r="F224" s="295"/>
      <c r="G224" s="295"/>
      <c r="H224" s="295"/>
      <c r="I224" s="297"/>
      <c r="J224" s="297"/>
    </row>
    <row r="225" ht="15.75" customHeight="1">
      <c r="A225" s="295"/>
      <c r="B225" s="295"/>
      <c r="C225" s="296"/>
      <c r="D225" s="295"/>
      <c r="E225" s="295"/>
      <c r="F225" s="295"/>
      <c r="G225" s="295"/>
      <c r="H225" s="295"/>
      <c r="I225" s="297"/>
      <c r="J225" s="297"/>
    </row>
    <row r="226" ht="15.75" customHeight="1">
      <c r="A226" s="295"/>
      <c r="B226" s="295"/>
      <c r="C226" s="296"/>
      <c r="D226" s="295"/>
      <c r="E226" s="295"/>
      <c r="F226" s="295"/>
      <c r="G226" s="295"/>
      <c r="H226" s="295"/>
      <c r="I226" s="297"/>
      <c r="J226" s="297"/>
    </row>
    <row r="227" ht="15.75" customHeight="1">
      <c r="A227" s="295"/>
      <c r="B227" s="295"/>
      <c r="C227" s="296"/>
      <c r="D227" s="295"/>
      <c r="E227" s="295"/>
      <c r="F227" s="295"/>
      <c r="G227" s="295"/>
      <c r="H227" s="295"/>
      <c r="I227" s="297"/>
      <c r="J227" s="297"/>
    </row>
    <row r="228" ht="15.75" customHeight="1">
      <c r="A228" s="295"/>
      <c r="B228" s="295"/>
      <c r="C228" s="296"/>
      <c r="D228" s="295"/>
      <c r="E228" s="295"/>
      <c r="F228" s="295"/>
      <c r="G228" s="295"/>
      <c r="H228" s="295"/>
      <c r="I228" s="297"/>
      <c r="J228" s="297"/>
    </row>
    <row r="229" ht="15.75" customHeight="1">
      <c r="A229" s="295"/>
      <c r="B229" s="295"/>
      <c r="C229" s="296"/>
      <c r="D229" s="295"/>
      <c r="E229" s="295"/>
      <c r="F229" s="295"/>
      <c r="G229" s="295"/>
      <c r="H229" s="295"/>
      <c r="I229" s="297"/>
      <c r="J229" s="297"/>
    </row>
    <row r="230" ht="15.75" customHeight="1">
      <c r="A230" s="295"/>
      <c r="B230" s="295"/>
      <c r="C230" s="296"/>
      <c r="D230" s="295"/>
      <c r="E230" s="295"/>
      <c r="F230" s="295"/>
      <c r="G230" s="295"/>
      <c r="H230" s="295"/>
      <c r="I230" s="297"/>
      <c r="J230" s="297"/>
    </row>
    <row r="231" ht="15.75" customHeight="1">
      <c r="A231" s="295"/>
      <c r="B231" s="295"/>
      <c r="C231" s="296"/>
      <c r="D231" s="295"/>
      <c r="E231" s="295"/>
      <c r="F231" s="295"/>
      <c r="G231" s="295"/>
      <c r="H231" s="295"/>
      <c r="I231" s="297"/>
      <c r="J231" s="297"/>
    </row>
    <row r="232" ht="15.75" customHeight="1">
      <c r="A232" s="295"/>
      <c r="B232" s="295"/>
      <c r="C232" s="296"/>
      <c r="D232" s="295"/>
      <c r="E232" s="295"/>
      <c r="F232" s="295"/>
      <c r="G232" s="295"/>
      <c r="H232" s="295"/>
      <c r="I232" s="297"/>
      <c r="J232" s="297"/>
    </row>
    <row r="233" ht="15.75" customHeight="1">
      <c r="A233" s="295"/>
      <c r="B233" s="295"/>
      <c r="C233" s="296"/>
      <c r="D233" s="295"/>
      <c r="E233" s="295"/>
      <c r="F233" s="295"/>
      <c r="G233" s="295"/>
      <c r="H233" s="295"/>
      <c r="I233" s="297"/>
      <c r="J233" s="297"/>
    </row>
    <row r="234" ht="15.75" customHeight="1">
      <c r="A234" s="295"/>
      <c r="B234" s="295"/>
      <c r="C234" s="296"/>
      <c r="D234" s="295"/>
      <c r="E234" s="295"/>
      <c r="F234" s="295"/>
      <c r="G234" s="295"/>
      <c r="H234" s="295"/>
      <c r="I234" s="297"/>
      <c r="J234" s="297"/>
    </row>
    <row r="235" ht="15.75" customHeight="1">
      <c r="A235" s="295"/>
      <c r="B235" s="295"/>
      <c r="C235" s="296"/>
      <c r="D235" s="295"/>
      <c r="E235" s="295"/>
      <c r="F235" s="295"/>
      <c r="G235" s="295"/>
      <c r="H235" s="295"/>
      <c r="I235" s="297"/>
      <c r="J235" s="297"/>
    </row>
    <row r="236" ht="15.75" customHeight="1">
      <c r="A236" s="295"/>
      <c r="B236" s="295"/>
      <c r="C236" s="296"/>
      <c r="D236" s="295"/>
      <c r="E236" s="295"/>
      <c r="F236" s="295"/>
      <c r="G236" s="295"/>
      <c r="H236" s="295"/>
      <c r="I236" s="297"/>
      <c r="J236" s="297"/>
    </row>
    <row r="237" ht="15.75" customHeight="1">
      <c r="A237" s="295"/>
      <c r="B237" s="295"/>
      <c r="C237" s="296"/>
      <c r="D237" s="295"/>
      <c r="E237" s="295"/>
      <c r="F237" s="295"/>
      <c r="G237" s="295"/>
      <c r="H237" s="295"/>
      <c r="I237" s="297"/>
      <c r="J237" s="297"/>
    </row>
    <row r="238" ht="15.75" customHeight="1">
      <c r="A238" s="295"/>
      <c r="B238" s="295"/>
      <c r="C238" s="296"/>
      <c r="D238" s="295"/>
      <c r="E238" s="295"/>
      <c r="F238" s="295"/>
      <c r="G238" s="295"/>
      <c r="H238" s="295"/>
      <c r="I238" s="297"/>
      <c r="J238" s="29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  <col customWidth="1" min="11" max="11" width="13.88"/>
  </cols>
  <sheetData>
    <row r="1" ht="15.75" customHeight="1">
      <c r="A1" s="285" t="s">
        <v>143</v>
      </c>
      <c r="B1" s="285" t="s">
        <v>144</v>
      </c>
      <c r="C1" s="286" t="s">
        <v>145</v>
      </c>
      <c r="D1" s="285" t="s">
        <v>146</v>
      </c>
      <c r="E1" s="285" t="s">
        <v>246</v>
      </c>
      <c r="F1" s="285" t="s">
        <v>244</v>
      </c>
      <c r="G1" s="285" t="s">
        <v>149</v>
      </c>
      <c r="H1" s="285" t="s">
        <v>245</v>
      </c>
      <c r="I1" s="287" t="s">
        <v>96</v>
      </c>
      <c r="J1" s="287" t="s">
        <v>68</v>
      </c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</row>
    <row r="2" ht="15.75" customHeight="1">
      <c r="A2" s="288">
        <v>44410.0</v>
      </c>
      <c r="B2" s="291"/>
      <c r="C2" s="290"/>
      <c r="D2" s="291"/>
      <c r="E2" s="291"/>
      <c r="F2" s="290" t="str">
        <f t="shared" ref="F2:F36" si="1">D2/E2</f>
        <v>#DIV/0!</v>
      </c>
      <c r="G2" s="291"/>
      <c r="H2" s="290" t="str">
        <f t="shared" ref="H2:H36" si="2">G2/E2</f>
        <v>#DIV/0!</v>
      </c>
      <c r="I2" s="292" t="str">
        <f t="shared" ref="I2:I36" si="3">J2/G2</f>
        <v>#DIV/0!</v>
      </c>
      <c r="J2" s="293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</row>
    <row r="3" ht="15.75" customHeight="1">
      <c r="A3" s="288">
        <v>44411.0</v>
      </c>
      <c r="B3" s="291"/>
      <c r="C3" s="290"/>
      <c r="D3" s="291"/>
      <c r="E3" s="291"/>
      <c r="F3" s="290" t="str">
        <f t="shared" si="1"/>
        <v>#DIV/0!</v>
      </c>
      <c r="G3" s="291"/>
      <c r="H3" s="290" t="str">
        <f t="shared" si="2"/>
        <v>#DIV/0!</v>
      </c>
      <c r="I3" s="292" t="str">
        <f t="shared" si="3"/>
        <v>#DIV/0!</v>
      </c>
      <c r="J3" s="293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</row>
    <row r="4" ht="15.75" customHeight="1">
      <c r="A4" s="288">
        <v>44412.0</v>
      </c>
      <c r="B4" s="291"/>
      <c r="C4" s="290"/>
      <c r="D4" s="291"/>
      <c r="E4" s="291"/>
      <c r="F4" s="290" t="str">
        <f t="shared" si="1"/>
        <v>#DIV/0!</v>
      </c>
      <c r="G4" s="291"/>
      <c r="H4" s="290" t="str">
        <f t="shared" si="2"/>
        <v>#DIV/0!</v>
      </c>
      <c r="I4" s="292" t="str">
        <f t="shared" si="3"/>
        <v>#DIV/0!</v>
      </c>
      <c r="J4" s="293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</row>
    <row r="5" ht="15.75" customHeight="1">
      <c r="A5" s="288">
        <v>44413.0</v>
      </c>
      <c r="B5" s="291">
        <v>5441.0</v>
      </c>
      <c r="C5" s="290">
        <v>0.0099</v>
      </c>
      <c r="D5" s="301">
        <v>11.0</v>
      </c>
      <c r="E5" s="291">
        <v>42.0</v>
      </c>
      <c r="F5" s="290">
        <f t="shared" si="1"/>
        <v>0.2619047619</v>
      </c>
      <c r="G5" s="291">
        <v>2.0</v>
      </c>
      <c r="H5" s="290">
        <f t="shared" si="2"/>
        <v>0.04761904762</v>
      </c>
      <c r="I5" s="292">
        <f t="shared" si="3"/>
        <v>17.005</v>
      </c>
      <c r="J5" s="293">
        <v>34.01</v>
      </c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</row>
    <row r="6" ht="15.75" customHeight="1">
      <c r="A6" s="288">
        <v>44414.0</v>
      </c>
      <c r="B6" s="291">
        <v>4933.0</v>
      </c>
      <c r="C6" s="290">
        <v>0.0251</v>
      </c>
      <c r="D6" s="291">
        <v>11.0</v>
      </c>
      <c r="E6" s="291">
        <v>113.0</v>
      </c>
      <c r="F6" s="290">
        <f t="shared" si="1"/>
        <v>0.09734513274</v>
      </c>
      <c r="G6" s="291">
        <v>5.0</v>
      </c>
      <c r="H6" s="290">
        <f t="shared" si="2"/>
        <v>0.04424778761</v>
      </c>
      <c r="I6" s="292">
        <f t="shared" si="3"/>
        <v>13.076</v>
      </c>
      <c r="J6" s="293">
        <v>65.38</v>
      </c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</row>
    <row r="7" ht="15.75" customHeight="1">
      <c r="A7" s="288">
        <v>44415.0</v>
      </c>
      <c r="B7" s="291">
        <v>6078.0</v>
      </c>
      <c r="C7" s="291">
        <v>1.43</v>
      </c>
      <c r="D7" s="291">
        <v>29.0</v>
      </c>
      <c r="E7" s="291">
        <v>84.0</v>
      </c>
      <c r="F7" s="290">
        <f t="shared" si="1"/>
        <v>0.3452380952</v>
      </c>
      <c r="G7" s="291">
        <v>4.0</v>
      </c>
      <c r="H7" s="290">
        <f t="shared" si="2"/>
        <v>0.04761904762</v>
      </c>
      <c r="I7" s="292">
        <f t="shared" si="3"/>
        <v>17.1925</v>
      </c>
      <c r="J7" s="293">
        <v>68.77</v>
      </c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</row>
    <row r="8" ht="15.75" customHeight="1">
      <c r="A8" s="288">
        <v>44416.0</v>
      </c>
      <c r="B8" s="291">
        <v>3151.0</v>
      </c>
      <c r="C8" s="291" t="s">
        <v>247</v>
      </c>
      <c r="D8" s="291">
        <v>13.0</v>
      </c>
      <c r="E8" s="291">
        <v>53.0</v>
      </c>
      <c r="F8" s="290">
        <f t="shared" si="1"/>
        <v>0.2452830189</v>
      </c>
      <c r="G8" s="291">
        <v>4.0</v>
      </c>
      <c r="H8" s="290">
        <f t="shared" si="2"/>
        <v>0.07547169811</v>
      </c>
      <c r="I8" s="292">
        <f t="shared" si="3"/>
        <v>17.12</v>
      </c>
      <c r="J8" s="293">
        <v>68.48</v>
      </c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249"/>
      <c r="X8" s="249"/>
      <c r="Y8" s="249"/>
      <c r="Z8" s="249"/>
      <c r="AA8" s="249"/>
      <c r="AB8" s="249"/>
    </row>
    <row r="9" ht="15.75" customHeight="1">
      <c r="A9" s="288">
        <v>44417.0</v>
      </c>
      <c r="B9" s="291">
        <v>566.0</v>
      </c>
      <c r="C9" s="290">
        <v>0.0177</v>
      </c>
      <c r="D9" s="291">
        <v>11.0</v>
      </c>
      <c r="E9" s="291">
        <v>11.0</v>
      </c>
      <c r="F9" s="290">
        <f t="shared" si="1"/>
        <v>1</v>
      </c>
      <c r="G9" s="291">
        <v>2.0</v>
      </c>
      <c r="H9" s="290">
        <f t="shared" si="2"/>
        <v>0.1818181818</v>
      </c>
      <c r="I9" s="292">
        <f t="shared" si="3"/>
        <v>14.515</v>
      </c>
      <c r="J9" s="293">
        <v>29.03</v>
      </c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49"/>
      <c r="Y9" s="249"/>
      <c r="Z9" s="249"/>
      <c r="AA9" s="249"/>
      <c r="AB9" s="249"/>
    </row>
    <row r="10" ht="15.75" customHeight="1">
      <c r="A10" s="288">
        <v>44418.0</v>
      </c>
      <c r="B10" s="291"/>
      <c r="C10" s="290"/>
      <c r="D10" s="291"/>
      <c r="E10" s="291"/>
      <c r="F10" s="290" t="str">
        <f t="shared" si="1"/>
        <v>#DIV/0!</v>
      </c>
      <c r="G10" s="291"/>
      <c r="H10" s="290" t="str">
        <f t="shared" si="2"/>
        <v>#DIV/0!</v>
      </c>
      <c r="I10" s="292" t="str">
        <f t="shared" si="3"/>
        <v>#DIV/0!</v>
      </c>
      <c r="J10" s="293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</row>
    <row r="11" ht="15.75" customHeight="1">
      <c r="A11" s="288">
        <v>44419.0</v>
      </c>
      <c r="B11" s="291"/>
      <c r="C11" s="290"/>
      <c r="D11" s="291"/>
      <c r="E11" s="291"/>
      <c r="F11" s="290" t="str">
        <f t="shared" si="1"/>
        <v>#DIV/0!</v>
      </c>
      <c r="G11" s="291"/>
      <c r="H11" s="290" t="str">
        <f t="shared" si="2"/>
        <v>#DIV/0!</v>
      </c>
      <c r="I11" s="292" t="str">
        <f t="shared" si="3"/>
        <v>#DIV/0!</v>
      </c>
      <c r="J11" s="293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</row>
    <row r="12" ht="15.75" customHeight="1">
      <c r="A12" s="288">
        <v>44420.0</v>
      </c>
      <c r="B12" s="291"/>
      <c r="C12" s="290"/>
      <c r="D12" s="291"/>
      <c r="E12" s="291"/>
      <c r="F12" s="290" t="str">
        <f t="shared" si="1"/>
        <v>#DIV/0!</v>
      </c>
      <c r="G12" s="291"/>
      <c r="H12" s="290" t="str">
        <f t="shared" si="2"/>
        <v>#DIV/0!</v>
      </c>
      <c r="I12" s="292" t="str">
        <f t="shared" si="3"/>
        <v>#DIV/0!</v>
      </c>
      <c r="J12" s="293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</row>
    <row r="13" ht="15.75" customHeight="1">
      <c r="A13" s="288">
        <v>44421.0</v>
      </c>
      <c r="B13" s="291"/>
      <c r="C13" s="290"/>
      <c r="D13" s="291"/>
      <c r="E13" s="291"/>
      <c r="F13" s="290" t="str">
        <f t="shared" si="1"/>
        <v>#DIV/0!</v>
      </c>
      <c r="G13" s="291"/>
      <c r="H13" s="290" t="str">
        <f t="shared" si="2"/>
        <v>#DIV/0!</v>
      </c>
      <c r="I13" s="292" t="str">
        <f t="shared" si="3"/>
        <v>#DIV/0!</v>
      </c>
      <c r="J13" s="293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</row>
    <row r="14" ht="15.75" customHeight="1">
      <c r="A14" s="288">
        <v>44422.0</v>
      </c>
      <c r="B14" s="291"/>
      <c r="C14" s="290"/>
      <c r="D14" s="291"/>
      <c r="E14" s="291"/>
      <c r="F14" s="290" t="str">
        <f t="shared" si="1"/>
        <v>#DIV/0!</v>
      </c>
      <c r="G14" s="291"/>
      <c r="H14" s="290" t="str">
        <f t="shared" si="2"/>
        <v>#DIV/0!</v>
      </c>
      <c r="I14" s="292" t="str">
        <f t="shared" si="3"/>
        <v>#DIV/0!</v>
      </c>
      <c r="J14" s="293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  <c r="AA14" s="249"/>
      <c r="AB14" s="249"/>
    </row>
    <row r="15" ht="15.75" customHeight="1">
      <c r="A15" s="288">
        <v>44423.0</v>
      </c>
      <c r="B15" s="291"/>
      <c r="C15" s="290"/>
      <c r="D15" s="291"/>
      <c r="E15" s="291"/>
      <c r="F15" s="290" t="str">
        <f t="shared" si="1"/>
        <v>#DIV/0!</v>
      </c>
      <c r="G15" s="291"/>
      <c r="H15" s="290" t="str">
        <f t="shared" si="2"/>
        <v>#DIV/0!</v>
      </c>
      <c r="I15" s="292" t="str">
        <f t="shared" si="3"/>
        <v>#DIV/0!</v>
      </c>
      <c r="J15" s="293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</row>
    <row r="16" ht="15.75" customHeight="1">
      <c r="A16" s="288">
        <v>44424.0</v>
      </c>
      <c r="B16" s="291"/>
      <c r="C16" s="290"/>
      <c r="D16" s="291"/>
      <c r="E16" s="291"/>
      <c r="F16" s="290" t="str">
        <f t="shared" si="1"/>
        <v>#DIV/0!</v>
      </c>
      <c r="G16" s="291"/>
      <c r="H16" s="290" t="str">
        <f t="shared" si="2"/>
        <v>#DIV/0!</v>
      </c>
      <c r="I16" s="292" t="str">
        <f t="shared" si="3"/>
        <v>#DIV/0!</v>
      </c>
      <c r="J16" s="293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/>
      <c r="Y16" s="249"/>
      <c r="Z16" s="249"/>
      <c r="AA16" s="249"/>
      <c r="AB16" s="249"/>
    </row>
    <row r="17" ht="15.75" customHeight="1">
      <c r="A17" s="288">
        <v>44425.0</v>
      </c>
      <c r="B17" s="291"/>
      <c r="C17" s="290"/>
      <c r="D17" s="291"/>
      <c r="E17" s="291"/>
      <c r="F17" s="290" t="str">
        <f t="shared" si="1"/>
        <v>#DIV/0!</v>
      </c>
      <c r="G17" s="291"/>
      <c r="H17" s="290" t="str">
        <f t="shared" si="2"/>
        <v>#DIV/0!</v>
      </c>
      <c r="I17" s="292" t="str">
        <f t="shared" si="3"/>
        <v>#DIV/0!</v>
      </c>
      <c r="J17" s="293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  <c r="W17" s="249"/>
      <c r="X17" s="249"/>
      <c r="Y17" s="249"/>
      <c r="Z17" s="249"/>
      <c r="AA17" s="249"/>
      <c r="AB17" s="249"/>
    </row>
    <row r="18" ht="15.75" customHeight="1">
      <c r="A18" s="288">
        <v>44426.0</v>
      </c>
      <c r="B18" s="291"/>
      <c r="C18" s="290"/>
      <c r="D18" s="291"/>
      <c r="E18" s="291"/>
      <c r="F18" s="290" t="str">
        <f t="shared" si="1"/>
        <v>#DIV/0!</v>
      </c>
      <c r="G18" s="291"/>
      <c r="H18" s="290" t="str">
        <f t="shared" si="2"/>
        <v>#DIV/0!</v>
      </c>
      <c r="I18" s="292" t="str">
        <f t="shared" si="3"/>
        <v>#DIV/0!</v>
      </c>
      <c r="J18" s="293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  <c r="X18" s="249"/>
      <c r="Y18" s="249"/>
      <c r="Z18" s="249"/>
      <c r="AA18" s="249"/>
      <c r="AB18" s="249"/>
    </row>
    <row r="19" ht="15.75" customHeight="1">
      <c r="A19" s="288">
        <v>44427.0</v>
      </c>
      <c r="B19" s="291"/>
      <c r="C19" s="290"/>
      <c r="D19" s="291"/>
      <c r="E19" s="291"/>
      <c r="F19" s="290" t="str">
        <f t="shared" si="1"/>
        <v>#DIV/0!</v>
      </c>
      <c r="G19" s="291"/>
      <c r="H19" s="290" t="str">
        <f t="shared" si="2"/>
        <v>#DIV/0!</v>
      </c>
      <c r="I19" s="292" t="str">
        <f t="shared" si="3"/>
        <v>#DIV/0!</v>
      </c>
      <c r="J19" s="293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249"/>
      <c r="X19" s="249"/>
      <c r="Y19" s="249"/>
      <c r="Z19" s="249"/>
      <c r="AA19" s="249"/>
      <c r="AB19" s="249"/>
    </row>
    <row r="20" ht="15.75" customHeight="1">
      <c r="A20" s="288">
        <v>44428.0</v>
      </c>
      <c r="B20" s="291"/>
      <c r="C20" s="290"/>
      <c r="D20" s="291"/>
      <c r="E20" s="291"/>
      <c r="F20" s="290" t="str">
        <f t="shared" si="1"/>
        <v>#DIV/0!</v>
      </c>
      <c r="G20" s="291"/>
      <c r="H20" s="290" t="str">
        <f t="shared" si="2"/>
        <v>#DIV/0!</v>
      </c>
      <c r="I20" s="292" t="str">
        <f t="shared" si="3"/>
        <v>#DIV/0!</v>
      </c>
      <c r="J20" s="293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  <c r="X20" s="249"/>
      <c r="Y20" s="249"/>
      <c r="Z20" s="249"/>
      <c r="AA20" s="249"/>
      <c r="AB20" s="249"/>
    </row>
    <row r="21" ht="15.75" customHeight="1">
      <c r="A21" s="288">
        <v>44429.0</v>
      </c>
      <c r="B21" s="291"/>
      <c r="C21" s="290"/>
      <c r="D21" s="291"/>
      <c r="E21" s="291"/>
      <c r="F21" s="290" t="str">
        <f t="shared" si="1"/>
        <v>#DIV/0!</v>
      </c>
      <c r="G21" s="291"/>
      <c r="H21" s="290" t="str">
        <f t="shared" si="2"/>
        <v>#DIV/0!</v>
      </c>
      <c r="I21" s="292" t="str">
        <f t="shared" si="3"/>
        <v>#DIV/0!</v>
      </c>
      <c r="J21" s="293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</row>
    <row r="22" ht="15.75" customHeight="1">
      <c r="A22" s="288">
        <v>44430.0</v>
      </c>
      <c r="B22" s="291"/>
      <c r="C22" s="290"/>
      <c r="D22" s="291"/>
      <c r="E22" s="291"/>
      <c r="F22" s="290" t="str">
        <f t="shared" si="1"/>
        <v>#DIV/0!</v>
      </c>
      <c r="G22" s="291"/>
      <c r="H22" s="290" t="str">
        <f t="shared" si="2"/>
        <v>#DIV/0!</v>
      </c>
      <c r="I22" s="292" t="str">
        <f t="shared" si="3"/>
        <v>#DIV/0!</v>
      </c>
      <c r="J22" s="293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</row>
    <row r="23" ht="15.75" customHeight="1">
      <c r="A23" s="288">
        <v>44431.0</v>
      </c>
      <c r="B23" s="291"/>
      <c r="C23" s="290"/>
      <c r="D23" s="291"/>
      <c r="E23" s="291"/>
      <c r="F23" s="290" t="str">
        <f t="shared" si="1"/>
        <v>#DIV/0!</v>
      </c>
      <c r="G23" s="291"/>
      <c r="H23" s="290" t="str">
        <f t="shared" si="2"/>
        <v>#DIV/0!</v>
      </c>
      <c r="I23" s="292" t="str">
        <f t="shared" si="3"/>
        <v>#DIV/0!</v>
      </c>
      <c r="J23" s="293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  <c r="AA23" s="249"/>
      <c r="AB23" s="249"/>
    </row>
    <row r="24" ht="15.75" customHeight="1">
      <c r="A24" s="288">
        <v>44432.0</v>
      </c>
      <c r="B24" s="291"/>
      <c r="C24" s="290"/>
      <c r="D24" s="291"/>
      <c r="E24" s="291"/>
      <c r="F24" s="290" t="str">
        <f t="shared" si="1"/>
        <v>#DIV/0!</v>
      </c>
      <c r="G24" s="291"/>
      <c r="H24" s="290" t="str">
        <f t="shared" si="2"/>
        <v>#DIV/0!</v>
      </c>
      <c r="I24" s="292" t="str">
        <f t="shared" si="3"/>
        <v>#DIV/0!</v>
      </c>
      <c r="J24" s="293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49"/>
    </row>
    <row r="25" ht="15.75" customHeight="1">
      <c r="A25" s="288">
        <v>44433.0</v>
      </c>
      <c r="B25" s="291"/>
      <c r="C25" s="290"/>
      <c r="D25" s="291"/>
      <c r="E25" s="291"/>
      <c r="F25" s="290" t="str">
        <f t="shared" si="1"/>
        <v>#DIV/0!</v>
      </c>
      <c r="G25" s="291"/>
      <c r="H25" s="290" t="str">
        <f t="shared" si="2"/>
        <v>#DIV/0!</v>
      </c>
      <c r="I25" s="292" t="str">
        <f t="shared" si="3"/>
        <v>#DIV/0!</v>
      </c>
      <c r="J25" s="293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</row>
    <row r="26" ht="15.75" customHeight="1">
      <c r="A26" s="288">
        <v>44434.0</v>
      </c>
      <c r="B26" s="291"/>
      <c r="C26" s="290"/>
      <c r="D26" s="291"/>
      <c r="E26" s="291"/>
      <c r="F26" s="290" t="str">
        <f t="shared" si="1"/>
        <v>#DIV/0!</v>
      </c>
      <c r="G26" s="291"/>
      <c r="H26" s="290" t="str">
        <f t="shared" si="2"/>
        <v>#DIV/0!</v>
      </c>
      <c r="I26" s="292" t="str">
        <f t="shared" si="3"/>
        <v>#DIV/0!</v>
      </c>
      <c r="J26" s="293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49"/>
      <c r="X26" s="249"/>
      <c r="Y26" s="249"/>
      <c r="Z26" s="249"/>
      <c r="AA26" s="249"/>
      <c r="AB26" s="249"/>
    </row>
    <row r="27" ht="15.75" customHeight="1">
      <c r="A27" s="288">
        <v>44435.0</v>
      </c>
      <c r="B27" s="291"/>
      <c r="C27" s="290"/>
      <c r="D27" s="291"/>
      <c r="E27" s="291"/>
      <c r="F27" s="290" t="str">
        <f t="shared" si="1"/>
        <v>#DIV/0!</v>
      </c>
      <c r="G27" s="291"/>
      <c r="H27" s="290" t="str">
        <f t="shared" si="2"/>
        <v>#DIV/0!</v>
      </c>
      <c r="I27" s="292" t="str">
        <f t="shared" si="3"/>
        <v>#DIV/0!</v>
      </c>
      <c r="J27" s="293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249"/>
      <c r="W27" s="249"/>
      <c r="X27" s="249"/>
      <c r="Y27" s="249"/>
      <c r="Z27" s="249"/>
      <c r="AA27" s="249"/>
      <c r="AB27" s="249"/>
    </row>
    <row r="28" ht="15.75" customHeight="1">
      <c r="A28" s="288">
        <v>44436.0</v>
      </c>
      <c r="B28" s="291"/>
      <c r="C28" s="290"/>
      <c r="D28" s="291"/>
      <c r="E28" s="291"/>
      <c r="F28" s="290" t="str">
        <f t="shared" si="1"/>
        <v>#DIV/0!</v>
      </c>
      <c r="G28" s="291"/>
      <c r="H28" s="290" t="str">
        <f t="shared" si="2"/>
        <v>#DIV/0!</v>
      </c>
      <c r="I28" s="292" t="str">
        <f t="shared" si="3"/>
        <v>#DIV/0!</v>
      </c>
      <c r="J28" s="293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</row>
    <row r="29" ht="15.75" customHeight="1">
      <c r="A29" s="288">
        <v>44437.0</v>
      </c>
      <c r="B29" s="291"/>
      <c r="C29" s="290"/>
      <c r="D29" s="291"/>
      <c r="E29" s="291"/>
      <c r="F29" s="290" t="str">
        <f t="shared" si="1"/>
        <v>#DIV/0!</v>
      </c>
      <c r="G29" s="291"/>
      <c r="H29" s="290" t="str">
        <f t="shared" si="2"/>
        <v>#DIV/0!</v>
      </c>
      <c r="I29" s="292" t="str">
        <f t="shared" si="3"/>
        <v>#DIV/0!</v>
      </c>
      <c r="J29" s="293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249"/>
      <c r="X29" s="249"/>
      <c r="Y29" s="249"/>
      <c r="Z29" s="249"/>
      <c r="AA29" s="249"/>
      <c r="AB29" s="249"/>
    </row>
    <row r="30" ht="15.75" customHeight="1">
      <c r="A30" s="288">
        <v>44438.0</v>
      </c>
      <c r="B30" s="291"/>
      <c r="C30" s="290"/>
      <c r="D30" s="291"/>
      <c r="E30" s="291"/>
      <c r="F30" s="290" t="str">
        <f t="shared" si="1"/>
        <v>#DIV/0!</v>
      </c>
      <c r="G30" s="291"/>
      <c r="H30" s="290" t="str">
        <f t="shared" si="2"/>
        <v>#DIV/0!</v>
      </c>
      <c r="I30" s="292" t="str">
        <f t="shared" si="3"/>
        <v>#DIV/0!</v>
      </c>
      <c r="J30" s="293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  <c r="X30" s="249"/>
      <c r="Y30" s="249"/>
      <c r="Z30" s="249"/>
      <c r="AA30" s="249"/>
      <c r="AB30" s="249"/>
    </row>
    <row r="31" ht="15.75" customHeight="1">
      <c r="A31" s="288">
        <v>44439.0</v>
      </c>
      <c r="B31" s="291"/>
      <c r="C31" s="290"/>
      <c r="D31" s="291"/>
      <c r="E31" s="291"/>
      <c r="F31" s="290" t="str">
        <f t="shared" si="1"/>
        <v>#DIV/0!</v>
      </c>
      <c r="G31" s="291"/>
      <c r="H31" s="290" t="str">
        <f t="shared" si="2"/>
        <v>#DIV/0!</v>
      </c>
      <c r="I31" s="292" t="str">
        <f t="shared" si="3"/>
        <v>#DIV/0!</v>
      </c>
      <c r="J31" s="293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  <c r="AA31" s="249"/>
      <c r="AB31" s="249"/>
    </row>
    <row r="32" ht="15.75" customHeight="1">
      <c r="A32" s="288">
        <v>44440.0</v>
      </c>
      <c r="B32" s="291"/>
      <c r="C32" s="290"/>
      <c r="D32" s="291"/>
      <c r="E32" s="291"/>
      <c r="F32" s="290" t="str">
        <f t="shared" si="1"/>
        <v>#DIV/0!</v>
      </c>
      <c r="G32" s="291"/>
      <c r="H32" s="290" t="str">
        <f t="shared" si="2"/>
        <v>#DIV/0!</v>
      </c>
      <c r="I32" s="292" t="str">
        <f t="shared" si="3"/>
        <v>#DIV/0!</v>
      </c>
      <c r="J32" s="293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Z32" s="249"/>
      <c r="AA32" s="249"/>
      <c r="AB32" s="249"/>
    </row>
    <row r="33" ht="15.75" customHeight="1">
      <c r="A33" s="288">
        <v>44441.0</v>
      </c>
      <c r="B33" s="291"/>
      <c r="C33" s="290"/>
      <c r="D33" s="291"/>
      <c r="E33" s="291"/>
      <c r="F33" s="290" t="str">
        <f t="shared" si="1"/>
        <v>#DIV/0!</v>
      </c>
      <c r="G33" s="291"/>
      <c r="H33" s="290" t="str">
        <f t="shared" si="2"/>
        <v>#DIV/0!</v>
      </c>
      <c r="I33" s="292" t="str">
        <f t="shared" si="3"/>
        <v>#DIV/0!</v>
      </c>
      <c r="J33" s="293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Z33" s="249"/>
      <c r="AA33" s="249"/>
      <c r="AB33" s="249"/>
    </row>
    <row r="34" ht="15.75" customHeight="1">
      <c r="A34" s="288">
        <v>44442.0</v>
      </c>
      <c r="B34" s="291"/>
      <c r="C34" s="290"/>
      <c r="D34" s="291"/>
      <c r="E34" s="291"/>
      <c r="F34" s="290" t="str">
        <f t="shared" si="1"/>
        <v>#DIV/0!</v>
      </c>
      <c r="G34" s="291"/>
      <c r="H34" s="290" t="str">
        <f t="shared" si="2"/>
        <v>#DIV/0!</v>
      </c>
      <c r="I34" s="292" t="str">
        <f t="shared" si="3"/>
        <v>#DIV/0!</v>
      </c>
      <c r="J34" s="293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49"/>
    </row>
    <row r="35" ht="15.75" customHeight="1">
      <c r="A35" s="288">
        <v>44443.0</v>
      </c>
      <c r="B35" s="291"/>
      <c r="C35" s="290"/>
      <c r="D35" s="291"/>
      <c r="E35" s="291"/>
      <c r="F35" s="290" t="str">
        <f t="shared" si="1"/>
        <v>#DIV/0!</v>
      </c>
      <c r="G35" s="291"/>
      <c r="H35" s="290" t="str">
        <f t="shared" si="2"/>
        <v>#DIV/0!</v>
      </c>
      <c r="I35" s="292" t="str">
        <f t="shared" si="3"/>
        <v>#DIV/0!</v>
      </c>
      <c r="J35" s="293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249"/>
      <c r="X35" s="249"/>
      <c r="Y35" s="249"/>
      <c r="Z35" s="249"/>
      <c r="AA35" s="249"/>
      <c r="AB35" s="249"/>
    </row>
    <row r="36" ht="15.75" customHeight="1">
      <c r="A36" s="288">
        <v>44444.0</v>
      </c>
      <c r="B36" s="291"/>
      <c r="C36" s="290"/>
      <c r="D36" s="291"/>
      <c r="E36" s="291"/>
      <c r="F36" s="290" t="str">
        <f t="shared" si="1"/>
        <v>#DIV/0!</v>
      </c>
      <c r="G36" s="291"/>
      <c r="H36" s="290" t="str">
        <f t="shared" si="2"/>
        <v>#DIV/0!</v>
      </c>
      <c r="I36" s="292" t="str">
        <f t="shared" si="3"/>
        <v>#DIV/0!</v>
      </c>
      <c r="J36" s="293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249"/>
      <c r="W36" s="249"/>
      <c r="X36" s="249"/>
      <c r="Y36" s="249"/>
      <c r="Z36" s="249"/>
      <c r="AA36" s="249"/>
      <c r="AB36" s="249"/>
    </row>
    <row r="37" ht="15.75" customHeight="1">
      <c r="A37" s="291" t="s">
        <v>151</v>
      </c>
      <c r="B37" s="291">
        <f t="shared" ref="B37:H37" si="4">MEDIAN(B2:B36)</f>
        <v>4933</v>
      </c>
      <c r="C37" s="290">
        <f t="shared" si="4"/>
        <v>0.0214</v>
      </c>
      <c r="D37" s="291">
        <f t="shared" si="4"/>
        <v>11</v>
      </c>
      <c r="E37" s="291">
        <f t="shared" si="4"/>
        <v>53</v>
      </c>
      <c r="F37" s="291" t="str">
        <f t="shared" si="4"/>
        <v>#DIV/0!</v>
      </c>
      <c r="G37" s="291">
        <f t="shared" si="4"/>
        <v>4</v>
      </c>
      <c r="H37" s="291" t="str">
        <f t="shared" si="4"/>
        <v>#DIV/0!</v>
      </c>
      <c r="I37" s="292"/>
      <c r="J37" s="293">
        <f>MEDIAN(J2:J36)</f>
        <v>65.38</v>
      </c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  <c r="AA37" s="249"/>
      <c r="AB37" s="249"/>
    </row>
    <row r="38" ht="15.75" customHeight="1">
      <c r="A38" s="291" t="s">
        <v>71</v>
      </c>
      <c r="B38" s="291">
        <f>SUM(B2:B36)</f>
        <v>20169</v>
      </c>
      <c r="C38" s="290"/>
      <c r="D38" s="291">
        <f t="shared" ref="D38:E38" si="5">SUM(D2:D36)</f>
        <v>75</v>
      </c>
      <c r="E38" s="291">
        <f t="shared" si="5"/>
        <v>303</v>
      </c>
      <c r="F38" s="291">
        <f>E38/D38</f>
        <v>4.04</v>
      </c>
      <c r="G38" s="291">
        <f>SUM(G2:G36)</f>
        <v>17</v>
      </c>
      <c r="H38" s="290">
        <f>G38/E38</f>
        <v>0.05610561056</v>
      </c>
      <c r="I38" s="292">
        <f>J38/G38</f>
        <v>15.62764706</v>
      </c>
      <c r="J38" s="293">
        <f>SUM(J2:J36)</f>
        <v>265.67</v>
      </c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49"/>
      <c r="W38" s="249"/>
      <c r="X38" s="249"/>
      <c r="Y38" s="249"/>
      <c r="Z38" s="249"/>
      <c r="AA38" s="249"/>
      <c r="AB38" s="249"/>
    </row>
    <row r="39" ht="15.75" customHeight="1">
      <c r="A39" s="295"/>
      <c r="B39" s="295"/>
      <c r="C39" s="296"/>
      <c r="D39" s="295"/>
      <c r="E39" s="295"/>
      <c r="F39" s="295"/>
      <c r="G39" s="295"/>
      <c r="H39" s="295"/>
      <c r="I39" s="297"/>
      <c r="J39" s="297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  <c r="X39" s="249"/>
      <c r="Y39" s="249"/>
      <c r="Z39" s="249"/>
      <c r="AA39" s="249"/>
      <c r="AB39" s="249"/>
    </row>
    <row r="40" ht="15.75" customHeight="1">
      <c r="A40" s="295"/>
      <c r="B40" s="295"/>
      <c r="C40" s="296"/>
      <c r="D40" s="295"/>
      <c r="E40" s="295"/>
      <c r="F40" s="295"/>
      <c r="G40" s="295"/>
      <c r="H40" s="295"/>
      <c r="I40" s="297"/>
      <c r="J40" s="297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  <c r="W40" s="249"/>
      <c r="X40" s="249"/>
      <c r="Y40" s="249"/>
      <c r="Z40" s="249"/>
      <c r="AA40" s="249"/>
      <c r="AB40" s="249"/>
    </row>
    <row r="41" ht="15.75" customHeight="1">
      <c r="A41" s="295"/>
      <c r="B41" s="295"/>
      <c r="C41" s="296"/>
      <c r="D41" s="295"/>
      <c r="E41" s="295"/>
      <c r="F41" s="295"/>
      <c r="G41" s="295"/>
      <c r="H41" s="295"/>
      <c r="I41" s="297"/>
      <c r="J41" s="297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  <c r="W41" s="249"/>
      <c r="X41" s="249"/>
      <c r="Y41" s="249"/>
      <c r="Z41" s="249"/>
      <c r="AA41" s="249"/>
      <c r="AB41" s="249"/>
    </row>
    <row r="42" ht="15.75" customHeight="1">
      <c r="A42" s="295"/>
      <c r="B42" s="295"/>
      <c r="C42" s="296"/>
      <c r="D42" s="295"/>
      <c r="E42" s="295"/>
      <c r="F42" s="295"/>
      <c r="G42" s="295"/>
      <c r="H42" s="295"/>
      <c r="I42" s="297"/>
      <c r="J42" s="297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49"/>
      <c r="Z42" s="249"/>
      <c r="AA42" s="249"/>
      <c r="AB42" s="249"/>
    </row>
    <row r="43" ht="15.75" customHeight="1">
      <c r="A43" s="295"/>
      <c r="B43" s="295"/>
      <c r="C43" s="296"/>
      <c r="D43" s="295"/>
      <c r="E43" s="295"/>
      <c r="F43" s="295"/>
      <c r="G43" s="295"/>
      <c r="H43" s="295"/>
      <c r="I43" s="297"/>
      <c r="J43" s="297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  <c r="X43" s="249"/>
      <c r="Y43" s="249"/>
      <c r="Z43" s="249"/>
      <c r="AA43" s="249"/>
      <c r="AB43" s="249"/>
    </row>
    <row r="44" ht="15.75" customHeight="1">
      <c r="A44" s="295"/>
      <c r="B44" s="295"/>
      <c r="C44" s="296"/>
      <c r="D44" s="295"/>
      <c r="E44" s="295"/>
      <c r="F44" s="295"/>
      <c r="G44" s="295"/>
      <c r="H44" s="295"/>
      <c r="I44" s="297"/>
      <c r="J44" s="297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249"/>
      <c r="X44" s="249"/>
      <c r="Y44" s="249"/>
      <c r="Z44" s="249"/>
      <c r="AA44" s="249"/>
      <c r="AB44" s="249"/>
    </row>
    <row r="45" ht="15.75" customHeight="1">
      <c r="A45" s="295"/>
      <c r="B45" s="295"/>
      <c r="C45" s="296"/>
      <c r="D45" s="295"/>
      <c r="E45" s="295"/>
      <c r="F45" s="295"/>
      <c r="G45" s="295"/>
      <c r="H45" s="295"/>
      <c r="I45" s="297"/>
      <c r="J45" s="297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249"/>
      <c r="X45" s="249"/>
      <c r="Y45" s="249"/>
      <c r="Z45" s="249"/>
      <c r="AA45" s="249"/>
      <c r="AB45" s="249"/>
    </row>
    <row r="46" ht="15.75" customHeight="1">
      <c r="A46" s="295"/>
      <c r="B46" s="295"/>
      <c r="C46" s="296"/>
      <c r="D46" s="295"/>
      <c r="E46" s="295"/>
      <c r="F46" s="295"/>
      <c r="G46" s="295"/>
      <c r="H46" s="295"/>
      <c r="I46" s="297"/>
      <c r="J46" s="297"/>
      <c r="K46" s="249"/>
      <c r="L46" s="249"/>
      <c r="M46" s="249"/>
      <c r="N46" s="249"/>
      <c r="O46" s="249"/>
      <c r="P46" s="249"/>
      <c r="Q46" s="249"/>
      <c r="R46" s="249"/>
      <c r="S46" s="249"/>
      <c r="T46" s="249"/>
      <c r="U46" s="249"/>
      <c r="V46" s="249"/>
      <c r="W46" s="249"/>
      <c r="X46" s="249"/>
      <c r="Y46" s="249"/>
      <c r="Z46" s="249"/>
      <c r="AA46" s="249"/>
      <c r="AB46" s="249"/>
    </row>
    <row r="47" ht="15.75" customHeight="1">
      <c r="A47" s="295"/>
      <c r="B47" s="295"/>
      <c r="C47" s="296"/>
      <c r="D47" s="295"/>
      <c r="E47" s="295"/>
      <c r="F47" s="295"/>
      <c r="G47" s="295"/>
      <c r="H47" s="295"/>
      <c r="I47" s="297"/>
      <c r="J47" s="297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  <c r="AA47" s="249"/>
      <c r="AB47" s="249"/>
    </row>
    <row r="48" ht="15.75" customHeight="1">
      <c r="A48" s="295"/>
      <c r="B48" s="295"/>
      <c r="C48" s="296"/>
      <c r="D48" s="295"/>
      <c r="E48" s="295"/>
      <c r="F48" s="295"/>
      <c r="G48" s="295"/>
      <c r="H48" s="295"/>
      <c r="I48" s="297"/>
      <c r="J48" s="297"/>
      <c r="K48" s="249"/>
      <c r="L48" s="249"/>
      <c r="M48" s="249"/>
      <c r="N48" s="249"/>
      <c r="O48" s="249"/>
      <c r="P48" s="249"/>
      <c r="Q48" s="249"/>
      <c r="R48" s="249"/>
      <c r="S48" s="249"/>
      <c r="T48" s="249"/>
      <c r="U48" s="249"/>
      <c r="V48" s="249"/>
      <c r="W48" s="249"/>
      <c r="X48" s="249"/>
      <c r="Y48" s="249"/>
      <c r="Z48" s="249"/>
      <c r="AA48" s="249"/>
      <c r="AB48" s="249"/>
    </row>
    <row r="49" ht="15.75" customHeight="1">
      <c r="A49" s="295"/>
      <c r="B49" s="295"/>
      <c r="C49" s="296"/>
      <c r="D49" s="295"/>
      <c r="E49" s="295"/>
      <c r="F49" s="295"/>
      <c r="G49" s="295"/>
      <c r="H49" s="295"/>
      <c r="I49" s="297"/>
      <c r="J49" s="297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249"/>
      <c r="X49" s="249"/>
      <c r="Y49" s="249"/>
      <c r="Z49" s="249"/>
      <c r="AA49" s="249"/>
      <c r="AB49" s="249"/>
    </row>
    <row r="50" ht="15.75" customHeight="1">
      <c r="A50" s="295"/>
      <c r="B50" s="295"/>
      <c r="C50" s="296"/>
      <c r="D50" s="295"/>
      <c r="E50" s="295"/>
      <c r="F50" s="295"/>
      <c r="G50" s="295"/>
      <c r="H50" s="295"/>
      <c r="I50" s="297"/>
      <c r="J50" s="297"/>
      <c r="K50" s="249"/>
      <c r="L50" s="249"/>
      <c r="M50" s="249"/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49"/>
      <c r="Z50" s="249"/>
      <c r="AA50" s="249"/>
      <c r="AB50" s="249"/>
    </row>
    <row r="51" ht="15.75" customHeight="1">
      <c r="A51" s="295"/>
      <c r="B51" s="295"/>
      <c r="C51" s="296"/>
      <c r="D51" s="295"/>
      <c r="E51" s="295"/>
      <c r="F51" s="295"/>
      <c r="G51" s="295"/>
      <c r="H51" s="295"/>
      <c r="I51" s="297"/>
      <c r="J51" s="297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49"/>
      <c r="AB51" s="249"/>
    </row>
    <row r="52" ht="15.75" customHeight="1">
      <c r="A52" s="295"/>
      <c r="B52" s="295"/>
      <c r="C52" s="296"/>
      <c r="D52" s="295"/>
      <c r="E52" s="295"/>
      <c r="F52" s="295"/>
      <c r="G52" s="295"/>
      <c r="H52" s="295"/>
      <c r="I52" s="297"/>
      <c r="J52" s="297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249"/>
      <c r="W52" s="249"/>
      <c r="X52" s="249"/>
      <c r="Y52" s="249"/>
      <c r="Z52" s="249"/>
      <c r="AA52" s="249"/>
      <c r="AB52" s="249"/>
    </row>
    <row r="53" ht="15.75" customHeight="1">
      <c r="A53" s="295"/>
      <c r="B53" s="295"/>
      <c r="C53" s="296"/>
      <c r="D53" s="295"/>
      <c r="E53" s="295"/>
      <c r="F53" s="295"/>
      <c r="G53" s="295"/>
      <c r="H53" s="295"/>
      <c r="I53" s="297"/>
      <c r="J53" s="297"/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249"/>
      <c r="Y53" s="249"/>
      <c r="Z53" s="249"/>
      <c r="AA53" s="249"/>
      <c r="AB53" s="249"/>
    </row>
    <row r="54" ht="15.75" customHeight="1">
      <c r="A54" s="295"/>
      <c r="B54" s="295"/>
      <c r="C54" s="296"/>
      <c r="D54" s="295"/>
      <c r="E54" s="295"/>
      <c r="F54" s="295"/>
      <c r="G54" s="295"/>
      <c r="H54" s="295"/>
      <c r="I54" s="297"/>
      <c r="J54" s="297"/>
      <c r="K54" s="249"/>
      <c r="L54" s="249"/>
      <c r="M54" s="249"/>
      <c r="N54" s="249"/>
      <c r="O54" s="249"/>
      <c r="P54" s="249"/>
      <c r="Q54" s="249"/>
      <c r="R54" s="249"/>
      <c r="S54" s="249"/>
      <c r="T54" s="249"/>
      <c r="U54" s="249"/>
      <c r="V54" s="249"/>
      <c r="W54" s="249"/>
      <c r="X54" s="249"/>
      <c r="Y54" s="249"/>
      <c r="Z54" s="249"/>
      <c r="AA54" s="249"/>
      <c r="AB54" s="249"/>
    </row>
    <row r="55" ht="15.75" customHeight="1">
      <c r="A55" s="295"/>
      <c r="B55" s="295"/>
      <c r="C55" s="296"/>
      <c r="D55" s="295"/>
      <c r="E55" s="295"/>
      <c r="F55" s="295"/>
      <c r="G55" s="295"/>
      <c r="H55" s="295"/>
      <c r="I55" s="297"/>
      <c r="J55" s="297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  <c r="AA55" s="249"/>
      <c r="AB55" s="249"/>
    </row>
    <row r="56" ht="15.75" customHeight="1">
      <c r="A56" s="295"/>
      <c r="B56" s="295"/>
      <c r="C56" s="296"/>
      <c r="D56" s="295"/>
      <c r="E56" s="295"/>
      <c r="F56" s="295"/>
      <c r="G56" s="295"/>
      <c r="H56" s="295"/>
      <c r="I56" s="297"/>
      <c r="J56" s="297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X56" s="249"/>
      <c r="Y56" s="249"/>
      <c r="Z56" s="249"/>
      <c r="AA56" s="249"/>
      <c r="AB56" s="249"/>
    </row>
    <row r="57" ht="15.75" customHeight="1">
      <c r="A57" s="295"/>
      <c r="B57" s="295"/>
      <c r="C57" s="296"/>
      <c r="D57" s="295"/>
      <c r="E57" s="295"/>
      <c r="F57" s="295"/>
      <c r="G57" s="295"/>
      <c r="H57" s="295"/>
      <c r="I57" s="297"/>
      <c r="J57" s="297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249"/>
      <c r="W57" s="249"/>
      <c r="X57" s="249"/>
      <c r="Y57" s="249"/>
      <c r="Z57" s="249"/>
      <c r="AA57" s="249"/>
      <c r="AB57" s="249"/>
    </row>
    <row r="58" ht="15.75" customHeight="1">
      <c r="A58" s="295"/>
      <c r="B58" s="295"/>
      <c r="C58" s="296"/>
      <c r="D58" s="295"/>
      <c r="E58" s="295"/>
      <c r="F58" s="295"/>
      <c r="G58" s="295"/>
      <c r="H58" s="295"/>
      <c r="I58" s="297"/>
      <c r="J58" s="297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249"/>
      <c r="W58" s="249"/>
      <c r="X58" s="249"/>
      <c r="Y58" s="249"/>
      <c r="Z58" s="249"/>
      <c r="AA58" s="249"/>
      <c r="AB58" s="249"/>
    </row>
    <row r="59" ht="15.75" customHeight="1">
      <c r="A59" s="295"/>
      <c r="B59" s="295"/>
      <c r="C59" s="296"/>
      <c r="D59" s="295"/>
      <c r="E59" s="295"/>
      <c r="F59" s="295"/>
      <c r="G59" s="295"/>
      <c r="H59" s="295"/>
      <c r="I59" s="297"/>
      <c r="J59" s="297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249"/>
      <c r="W59" s="249"/>
      <c r="X59" s="249"/>
      <c r="Y59" s="249"/>
      <c r="Z59" s="249"/>
      <c r="AA59" s="249"/>
      <c r="AB59" s="249"/>
    </row>
    <row r="60" ht="15.75" customHeight="1">
      <c r="A60" s="295"/>
      <c r="B60" s="295"/>
      <c r="C60" s="296"/>
      <c r="D60" s="295"/>
      <c r="E60" s="295"/>
      <c r="F60" s="295"/>
      <c r="G60" s="295"/>
      <c r="H60" s="295"/>
      <c r="I60" s="297"/>
      <c r="J60" s="297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249"/>
      <c r="W60" s="249"/>
      <c r="X60" s="249"/>
      <c r="Y60" s="249"/>
      <c r="Z60" s="249"/>
      <c r="AA60" s="249"/>
      <c r="AB60" s="249"/>
    </row>
    <row r="61" ht="15.75" customHeight="1">
      <c r="A61" s="295"/>
      <c r="B61" s="295"/>
      <c r="C61" s="296"/>
      <c r="D61" s="295"/>
      <c r="E61" s="295"/>
      <c r="F61" s="295"/>
      <c r="G61" s="295"/>
      <c r="H61" s="295"/>
      <c r="I61" s="297"/>
      <c r="J61" s="297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Z61" s="249"/>
      <c r="AA61" s="249"/>
      <c r="AB61" s="249"/>
    </row>
    <row r="62" ht="15.75" customHeight="1">
      <c r="A62" s="295"/>
      <c r="B62" s="295"/>
      <c r="C62" s="296"/>
      <c r="D62" s="295"/>
      <c r="E62" s="295"/>
      <c r="F62" s="295"/>
      <c r="G62" s="295"/>
      <c r="H62" s="295"/>
      <c r="I62" s="297"/>
      <c r="J62" s="297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249"/>
      <c r="W62" s="249"/>
      <c r="X62" s="249"/>
      <c r="Y62" s="249"/>
      <c r="Z62" s="249"/>
      <c r="AA62" s="249"/>
      <c r="AB62" s="249"/>
    </row>
    <row r="63" ht="15.75" customHeight="1">
      <c r="A63" s="295"/>
      <c r="B63" s="295"/>
      <c r="C63" s="296"/>
      <c r="D63" s="295"/>
      <c r="E63" s="295"/>
      <c r="F63" s="295"/>
      <c r="G63" s="295"/>
      <c r="H63" s="295"/>
      <c r="I63" s="297"/>
      <c r="J63" s="297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Z63" s="249"/>
      <c r="AA63" s="249"/>
      <c r="AB63" s="249"/>
    </row>
    <row r="64" ht="15.75" customHeight="1">
      <c r="A64" s="295"/>
      <c r="B64" s="295"/>
      <c r="C64" s="296"/>
      <c r="D64" s="295"/>
      <c r="E64" s="295"/>
      <c r="F64" s="295"/>
      <c r="G64" s="295"/>
      <c r="H64" s="295"/>
      <c r="I64" s="297"/>
      <c r="J64" s="297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249"/>
      <c r="W64" s="249"/>
      <c r="X64" s="249"/>
      <c r="Y64" s="249"/>
      <c r="Z64" s="249"/>
      <c r="AA64" s="249"/>
      <c r="AB64" s="249"/>
    </row>
    <row r="65" ht="15.75" customHeight="1">
      <c r="A65" s="295"/>
      <c r="B65" s="295"/>
      <c r="C65" s="296"/>
      <c r="D65" s="295"/>
      <c r="E65" s="295"/>
      <c r="F65" s="295"/>
      <c r="G65" s="295"/>
      <c r="H65" s="295"/>
      <c r="I65" s="297"/>
      <c r="J65" s="297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249"/>
      <c r="W65" s="249"/>
      <c r="X65" s="249"/>
      <c r="Y65" s="249"/>
      <c r="Z65" s="249"/>
      <c r="AA65" s="249"/>
      <c r="AB65" s="249"/>
    </row>
    <row r="66" ht="15.75" customHeight="1">
      <c r="A66" s="295"/>
      <c r="B66" s="295"/>
      <c r="C66" s="296"/>
      <c r="D66" s="295"/>
      <c r="E66" s="295"/>
      <c r="F66" s="295"/>
      <c r="G66" s="295"/>
      <c r="H66" s="295"/>
      <c r="I66" s="297"/>
      <c r="J66" s="297"/>
      <c r="K66" s="249"/>
      <c r="L66" s="249"/>
      <c r="M66" s="249"/>
      <c r="N66" s="249"/>
      <c r="O66" s="249"/>
      <c r="P66" s="249"/>
      <c r="Q66" s="249"/>
      <c r="R66" s="249"/>
      <c r="S66" s="249"/>
      <c r="T66" s="249"/>
      <c r="U66" s="249"/>
      <c r="V66" s="249"/>
      <c r="W66" s="249"/>
      <c r="X66" s="249"/>
      <c r="Y66" s="249"/>
      <c r="Z66" s="249"/>
      <c r="AA66" s="249"/>
      <c r="AB66" s="249"/>
    </row>
    <row r="67" ht="15.75" customHeight="1">
      <c r="A67" s="295"/>
      <c r="B67" s="295"/>
      <c r="C67" s="296"/>
      <c r="D67" s="295"/>
      <c r="E67" s="295"/>
      <c r="F67" s="295"/>
      <c r="G67" s="295"/>
      <c r="H67" s="295"/>
      <c r="I67" s="297"/>
      <c r="J67" s="297"/>
      <c r="K67" s="249"/>
      <c r="L67" s="249"/>
      <c r="M67" s="249"/>
      <c r="N67" s="249"/>
      <c r="O67" s="249"/>
      <c r="P67" s="249"/>
      <c r="Q67" s="249"/>
      <c r="R67" s="249"/>
      <c r="S67" s="249"/>
      <c r="T67" s="249"/>
      <c r="U67" s="249"/>
      <c r="V67" s="249"/>
      <c r="W67" s="249"/>
      <c r="X67" s="249"/>
      <c r="Y67" s="249"/>
      <c r="Z67" s="249"/>
      <c r="AA67" s="249"/>
      <c r="AB67" s="249"/>
    </row>
    <row r="68" ht="15.75" customHeight="1">
      <c r="A68" s="295"/>
      <c r="B68" s="295"/>
      <c r="C68" s="296"/>
      <c r="D68" s="295"/>
      <c r="E68" s="295"/>
      <c r="F68" s="295"/>
      <c r="G68" s="295"/>
      <c r="H68" s="295"/>
      <c r="I68" s="297"/>
      <c r="J68" s="297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249"/>
      <c r="W68" s="249"/>
      <c r="X68" s="249"/>
      <c r="Y68" s="249"/>
      <c r="Z68" s="249"/>
      <c r="AA68" s="249"/>
      <c r="AB68" s="249"/>
    </row>
    <row r="69" ht="15.75" customHeight="1">
      <c r="A69" s="295"/>
      <c r="B69" s="295"/>
      <c r="C69" s="296"/>
      <c r="D69" s="295"/>
      <c r="E69" s="295"/>
      <c r="F69" s="295"/>
      <c r="G69" s="295"/>
      <c r="H69" s="295"/>
      <c r="I69" s="297"/>
      <c r="J69" s="297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249"/>
      <c r="W69" s="249"/>
      <c r="X69" s="249"/>
      <c r="Y69" s="249"/>
      <c r="Z69" s="249"/>
      <c r="AA69" s="249"/>
      <c r="AB69" s="249"/>
    </row>
    <row r="70" ht="15.75" customHeight="1">
      <c r="A70" s="295"/>
      <c r="B70" s="295"/>
      <c r="C70" s="296"/>
      <c r="D70" s="295"/>
      <c r="E70" s="295"/>
      <c r="F70" s="295"/>
      <c r="G70" s="295"/>
      <c r="H70" s="295"/>
      <c r="I70" s="297"/>
      <c r="J70" s="297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249"/>
      <c r="W70" s="249"/>
      <c r="X70" s="249"/>
      <c r="Y70" s="249"/>
      <c r="Z70" s="249"/>
      <c r="AA70" s="249"/>
      <c r="AB70" s="249"/>
    </row>
    <row r="71" ht="15.75" customHeight="1">
      <c r="A71" s="295"/>
      <c r="B71" s="295"/>
      <c r="C71" s="296"/>
      <c r="D71" s="295"/>
      <c r="E71" s="295"/>
      <c r="F71" s="295"/>
      <c r="G71" s="295"/>
      <c r="H71" s="295"/>
      <c r="I71" s="297"/>
      <c r="J71" s="297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249"/>
      <c r="W71" s="249"/>
      <c r="X71" s="249"/>
      <c r="Y71" s="249"/>
      <c r="Z71" s="249"/>
      <c r="AA71" s="249"/>
      <c r="AB71" s="249"/>
    </row>
    <row r="72" ht="15.75" customHeight="1">
      <c r="A72" s="295"/>
      <c r="B72" s="295"/>
      <c r="C72" s="296"/>
      <c r="D72" s="295"/>
      <c r="E72" s="295"/>
      <c r="F72" s="295"/>
      <c r="G72" s="295"/>
      <c r="H72" s="295"/>
      <c r="I72" s="297"/>
      <c r="J72" s="297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249"/>
      <c r="W72" s="249"/>
      <c r="X72" s="249"/>
      <c r="Y72" s="249"/>
      <c r="Z72" s="249"/>
      <c r="AA72" s="249"/>
      <c r="AB72" s="249"/>
    </row>
    <row r="73" ht="15.75" customHeight="1">
      <c r="A73" s="295"/>
      <c r="B73" s="295"/>
      <c r="C73" s="296"/>
      <c r="D73" s="295"/>
      <c r="E73" s="295"/>
      <c r="F73" s="295"/>
      <c r="G73" s="295"/>
      <c r="H73" s="295"/>
      <c r="I73" s="297"/>
      <c r="J73" s="297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  <c r="W73" s="249"/>
      <c r="X73" s="249"/>
      <c r="Y73" s="249"/>
      <c r="Z73" s="249"/>
      <c r="AA73" s="249"/>
      <c r="AB73" s="249"/>
    </row>
    <row r="74" ht="15.75" customHeight="1">
      <c r="A74" s="295"/>
      <c r="B74" s="295"/>
      <c r="C74" s="296"/>
      <c r="D74" s="295"/>
      <c r="E74" s="295"/>
      <c r="F74" s="295"/>
      <c r="G74" s="295"/>
      <c r="H74" s="295"/>
      <c r="I74" s="297"/>
      <c r="J74" s="297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249"/>
      <c r="X74" s="249"/>
      <c r="Y74" s="249"/>
      <c r="Z74" s="249"/>
      <c r="AA74" s="249"/>
      <c r="AB74" s="249"/>
    </row>
    <row r="75" ht="15.75" customHeight="1">
      <c r="A75" s="295"/>
      <c r="B75" s="295"/>
      <c r="C75" s="296"/>
      <c r="D75" s="295"/>
      <c r="E75" s="295"/>
      <c r="F75" s="295"/>
      <c r="G75" s="295"/>
      <c r="H75" s="295"/>
      <c r="I75" s="297"/>
      <c r="J75" s="297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249"/>
      <c r="X75" s="249"/>
      <c r="Y75" s="249"/>
      <c r="Z75" s="249"/>
      <c r="AA75" s="249"/>
      <c r="AB75" s="249"/>
    </row>
    <row r="76" ht="15.75" customHeight="1">
      <c r="A76" s="295"/>
      <c r="B76" s="295"/>
      <c r="C76" s="296"/>
      <c r="D76" s="295"/>
      <c r="E76" s="295"/>
      <c r="F76" s="295"/>
      <c r="G76" s="295"/>
      <c r="H76" s="295"/>
      <c r="I76" s="297"/>
      <c r="J76" s="297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249"/>
      <c r="W76" s="249"/>
      <c r="X76" s="249"/>
      <c r="Y76" s="249"/>
      <c r="Z76" s="249"/>
      <c r="AA76" s="249"/>
      <c r="AB76" s="249"/>
    </row>
    <row r="77" ht="15.75" customHeight="1">
      <c r="A77" s="295"/>
      <c r="B77" s="295"/>
      <c r="C77" s="296"/>
      <c r="D77" s="295"/>
      <c r="E77" s="295"/>
      <c r="F77" s="295"/>
      <c r="G77" s="295"/>
      <c r="H77" s="295"/>
      <c r="I77" s="297"/>
      <c r="J77" s="297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249"/>
      <c r="W77" s="249"/>
      <c r="X77" s="249"/>
      <c r="Y77" s="249"/>
      <c r="Z77" s="249"/>
      <c r="AA77" s="249"/>
      <c r="AB77" s="249"/>
    </row>
    <row r="78" ht="15.75" customHeight="1">
      <c r="A78" s="295"/>
      <c r="B78" s="295"/>
      <c r="C78" s="296"/>
      <c r="D78" s="295"/>
      <c r="E78" s="295"/>
      <c r="F78" s="295"/>
      <c r="G78" s="295"/>
      <c r="H78" s="295"/>
      <c r="I78" s="297"/>
      <c r="J78" s="297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249"/>
      <c r="W78" s="249"/>
      <c r="X78" s="249"/>
      <c r="Y78" s="249"/>
      <c r="Z78" s="249"/>
      <c r="AA78" s="249"/>
      <c r="AB78" s="249"/>
    </row>
    <row r="79" ht="15.75" customHeight="1">
      <c r="A79" s="295"/>
      <c r="B79" s="295"/>
      <c r="C79" s="296"/>
      <c r="D79" s="295"/>
      <c r="E79" s="295"/>
      <c r="F79" s="295"/>
      <c r="G79" s="295"/>
      <c r="H79" s="295"/>
      <c r="I79" s="297"/>
      <c r="J79" s="297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  <c r="W79" s="249"/>
      <c r="X79" s="249"/>
      <c r="Y79" s="249"/>
      <c r="Z79" s="249"/>
      <c r="AA79" s="249"/>
      <c r="AB79" s="249"/>
    </row>
    <row r="80" ht="15.75" customHeight="1">
      <c r="A80" s="295"/>
      <c r="B80" s="295"/>
      <c r="C80" s="296"/>
      <c r="D80" s="295"/>
      <c r="E80" s="295"/>
      <c r="F80" s="295"/>
      <c r="G80" s="295"/>
      <c r="H80" s="295"/>
      <c r="I80" s="297"/>
      <c r="J80" s="297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  <c r="X80" s="249"/>
      <c r="Y80" s="249"/>
      <c r="Z80" s="249"/>
      <c r="AA80" s="249"/>
      <c r="AB80" s="249"/>
    </row>
    <row r="81" ht="15.75" customHeight="1">
      <c r="A81" s="295"/>
      <c r="B81" s="295"/>
      <c r="C81" s="296"/>
      <c r="D81" s="295"/>
      <c r="E81" s="295"/>
      <c r="F81" s="295"/>
      <c r="G81" s="295"/>
      <c r="H81" s="295"/>
      <c r="I81" s="297"/>
      <c r="J81" s="297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  <c r="X81" s="249"/>
      <c r="Y81" s="249"/>
      <c r="Z81" s="249"/>
      <c r="AA81" s="249"/>
      <c r="AB81" s="249"/>
    </row>
    <row r="82" ht="15.75" customHeight="1">
      <c r="A82" s="295"/>
      <c r="B82" s="295"/>
      <c r="C82" s="296"/>
      <c r="D82" s="295"/>
      <c r="E82" s="295"/>
      <c r="F82" s="295"/>
      <c r="G82" s="295"/>
      <c r="H82" s="295"/>
      <c r="I82" s="297"/>
      <c r="J82" s="297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249"/>
      <c r="X82" s="249"/>
      <c r="Y82" s="249"/>
      <c r="Z82" s="249"/>
      <c r="AA82" s="249"/>
      <c r="AB82" s="249"/>
    </row>
    <row r="83" ht="15.75" customHeight="1">
      <c r="A83" s="295"/>
      <c r="B83" s="295"/>
      <c r="C83" s="296"/>
      <c r="D83" s="295"/>
      <c r="E83" s="295"/>
      <c r="F83" s="295"/>
      <c r="G83" s="295"/>
      <c r="H83" s="295"/>
      <c r="I83" s="297"/>
      <c r="J83" s="297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249"/>
      <c r="X83" s="249"/>
      <c r="Y83" s="249"/>
      <c r="Z83" s="249"/>
      <c r="AA83" s="249"/>
      <c r="AB83" s="249"/>
    </row>
    <row r="84" ht="15.75" customHeight="1">
      <c r="A84" s="295"/>
      <c r="B84" s="295"/>
      <c r="C84" s="296"/>
      <c r="D84" s="295"/>
      <c r="E84" s="295"/>
      <c r="F84" s="295"/>
      <c r="G84" s="295"/>
      <c r="H84" s="295"/>
      <c r="I84" s="297"/>
      <c r="J84" s="297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249"/>
      <c r="W84" s="249"/>
      <c r="X84" s="249"/>
      <c r="Y84" s="249"/>
      <c r="Z84" s="249"/>
      <c r="AA84" s="249"/>
      <c r="AB84" s="249"/>
    </row>
    <row r="85" ht="15.75" customHeight="1">
      <c r="A85" s="295"/>
      <c r="B85" s="295"/>
      <c r="C85" s="296"/>
      <c r="D85" s="295"/>
      <c r="E85" s="295"/>
      <c r="F85" s="295"/>
      <c r="G85" s="295"/>
      <c r="H85" s="295"/>
      <c r="I85" s="297"/>
      <c r="J85" s="297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  <c r="W85" s="249"/>
      <c r="X85" s="249"/>
      <c r="Y85" s="249"/>
      <c r="Z85" s="249"/>
      <c r="AA85" s="249"/>
      <c r="AB85" s="249"/>
    </row>
    <row r="86" ht="15.75" customHeight="1">
      <c r="A86" s="295"/>
      <c r="B86" s="295"/>
      <c r="C86" s="296"/>
      <c r="D86" s="295"/>
      <c r="E86" s="295"/>
      <c r="F86" s="295"/>
      <c r="G86" s="295"/>
      <c r="H86" s="295"/>
      <c r="I86" s="297"/>
      <c r="J86" s="297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249"/>
      <c r="W86" s="249"/>
      <c r="X86" s="249"/>
      <c r="Y86" s="249"/>
      <c r="Z86" s="249"/>
      <c r="AA86" s="249"/>
      <c r="AB86" s="249"/>
    </row>
    <row r="87" ht="15.75" customHeight="1">
      <c r="A87" s="295"/>
      <c r="B87" s="295"/>
      <c r="C87" s="296"/>
      <c r="D87" s="295"/>
      <c r="E87" s="295"/>
      <c r="F87" s="295"/>
      <c r="G87" s="295"/>
      <c r="H87" s="295"/>
      <c r="I87" s="297"/>
      <c r="J87" s="297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249"/>
      <c r="W87" s="249"/>
      <c r="X87" s="249"/>
      <c r="Y87" s="249"/>
      <c r="Z87" s="249"/>
      <c r="AA87" s="249"/>
      <c r="AB87" s="249"/>
    </row>
    <row r="88" ht="15.75" customHeight="1">
      <c r="A88" s="295"/>
      <c r="B88" s="295"/>
      <c r="C88" s="296"/>
      <c r="D88" s="295"/>
      <c r="E88" s="295"/>
      <c r="F88" s="295"/>
      <c r="G88" s="295"/>
      <c r="H88" s="295"/>
      <c r="I88" s="297"/>
      <c r="J88" s="297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249"/>
      <c r="W88" s="249"/>
      <c r="X88" s="249"/>
      <c r="Y88" s="249"/>
      <c r="Z88" s="249"/>
      <c r="AA88" s="249"/>
      <c r="AB88" s="249"/>
    </row>
    <row r="89" ht="15.75" customHeight="1">
      <c r="A89" s="295"/>
      <c r="B89" s="295"/>
      <c r="C89" s="296"/>
      <c r="D89" s="295"/>
      <c r="E89" s="295"/>
      <c r="F89" s="295"/>
      <c r="G89" s="295"/>
      <c r="H89" s="295"/>
      <c r="I89" s="297"/>
      <c r="J89" s="297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249"/>
      <c r="W89" s="249"/>
      <c r="X89" s="249"/>
      <c r="Y89" s="249"/>
      <c r="Z89" s="249"/>
      <c r="AA89" s="249"/>
      <c r="AB89" s="249"/>
    </row>
    <row r="90" ht="15.75" customHeight="1">
      <c r="A90" s="295"/>
      <c r="B90" s="295"/>
      <c r="C90" s="296"/>
      <c r="D90" s="295"/>
      <c r="E90" s="295"/>
      <c r="F90" s="295"/>
      <c r="G90" s="295"/>
      <c r="H90" s="295"/>
      <c r="I90" s="297"/>
      <c r="J90" s="297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  <c r="W90" s="249"/>
      <c r="X90" s="249"/>
      <c r="Y90" s="249"/>
      <c r="Z90" s="249"/>
      <c r="AA90" s="249"/>
      <c r="AB90" s="249"/>
    </row>
    <row r="91" ht="15.75" customHeight="1">
      <c r="A91" s="295"/>
      <c r="B91" s="295"/>
      <c r="C91" s="296"/>
      <c r="D91" s="295"/>
      <c r="E91" s="295"/>
      <c r="F91" s="295"/>
      <c r="G91" s="295"/>
      <c r="H91" s="295"/>
      <c r="I91" s="297"/>
      <c r="J91" s="297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  <c r="W91" s="249"/>
      <c r="X91" s="249"/>
      <c r="Y91" s="249"/>
      <c r="Z91" s="249"/>
      <c r="AA91" s="249"/>
      <c r="AB91" s="249"/>
    </row>
    <row r="92" ht="15.75" customHeight="1">
      <c r="A92" s="295"/>
      <c r="B92" s="295"/>
      <c r="C92" s="296"/>
      <c r="D92" s="295"/>
      <c r="E92" s="295"/>
      <c r="F92" s="295"/>
      <c r="G92" s="295"/>
      <c r="H92" s="295"/>
      <c r="I92" s="297"/>
      <c r="J92" s="297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249"/>
      <c r="W92" s="249"/>
      <c r="X92" s="249"/>
      <c r="Y92" s="249"/>
      <c r="Z92" s="249"/>
      <c r="AA92" s="249"/>
      <c r="AB92" s="249"/>
    </row>
    <row r="93" ht="15.75" customHeight="1">
      <c r="A93" s="295"/>
      <c r="B93" s="295"/>
      <c r="C93" s="296"/>
      <c r="D93" s="295"/>
      <c r="E93" s="295"/>
      <c r="F93" s="295"/>
      <c r="G93" s="295"/>
      <c r="H93" s="295"/>
      <c r="I93" s="297"/>
      <c r="J93" s="297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  <c r="W93" s="249"/>
      <c r="X93" s="249"/>
      <c r="Y93" s="249"/>
      <c r="Z93" s="249"/>
      <c r="AA93" s="249"/>
      <c r="AB93" s="249"/>
    </row>
    <row r="94" ht="15.75" customHeight="1">
      <c r="A94" s="295"/>
      <c r="B94" s="295"/>
      <c r="C94" s="296"/>
      <c r="D94" s="295"/>
      <c r="E94" s="295"/>
      <c r="F94" s="295"/>
      <c r="G94" s="295"/>
      <c r="H94" s="295"/>
      <c r="I94" s="297"/>
      <c r="J94" s="297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249"/>
      <c r="W94" s="249"/>
      <c r="X94" s="249"/>
      <c r="Y94" s="249"/>
      <c r="Z94" s="249"/>
      <c r="AA94" s="249"/>
      <c r="AB94" s="249"/>
    </row>
    <row r="95" ht="15.75" customHeight="1">
      <c r="A95" s="295"/>
      <c r="B95" s="295"/>
      <c r="C95" s="296"/>
      <c r="D95" s="295"/>
      <c r="E95" s="295"/>
      <c r="F95" s="295"/>
      <c r="G95" s="295"/>
      <c r="H95" s="295"/>
      <c r="I95" s="297"/>
      <c r="J95" s="297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249"/>
      <c r="W95" s="249"/>
      <c r="X95" s="249"/>
      <c r="Y95" s="249"/>
      <c r="Z95" s="249"/>
      <c r="AA95" s="249"/>
      <c r="AB95" s="249"/>
    </row>
    <row r="96" ht="15.75" customHeight="1">
      <c r="A96" s="295"/>
      <c r="B96" s="295"/>
      <c r="C96" s="296"/>
      <c r="D96" s="295"/>
      <c r="E96" s="295"/>
      <c r="F96" s="295"/>
      <c r="G96" s="295"/>
      <c r="H96" s="295"/>
      <c r="I96" s="297"/>
      <c r="J96" s="297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  <c r="W96" s="249"/>
      <c r="X96" s="249"/>
      <c r="Y96" s="249"/>
      <c r="Z96" s="249"/>
      <c r="AA96" s="249"/>
      <c r="AB96" s="249"/>
    </row>
    <row r="97" ht="15.75" customHeight="1">
      <c r="A97" s="295"/>
      <c r="B97" s="295"/>
      <c r="C97" s="296"/>
      <c r="D97" s="295"/>
      <c r="E97" s="295"/>
      <c r="F97" s="295"/>
      <c r="G97" s="295"/>
      <c r="H97" s="295"/>
      <c r="I97" s="297"/>
      <c r="J97" s="297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249"/>
      <c r="W97" s="249"/>
      <c r="X97" s="249"/>
      <c r="Y97" s="249"/>
      <c r="Z97" s="249"/>
      <c r="AA97" s="249"/>
      <c r="AB97" s="249"/>
    </row>
    <row r="98" ht="15.75" customHeight="1">
      <c r="A98" s="295"/>
      <c r="B98" s="295"/>
      <c r="C98" s="296"/>
      <c r="D98" s="295"/>
      <c r="E98" s="295"/>
      <c r="F98" s="295"/>
      <c r="G98" s="295"/>
      <c r="H98" s="295"/>
      <c r="I98" s="297"/>
      <c r="J98" s="297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  <c r="X98" s="249"/>
      <c r="Y98" s="249"/>
      <c r="Z98" s="249"/>
      <c r="AA98" s="249"/>
      <c r="AB98" s="249"/>
    </row>
    <row r="99" ht="15.75" customHeight="1">
      <c r="A99" s="295"/>
      <c r="B99" s="295"/>
      <c r="C99" s="296"/>
      <c r="D99" s="295"/>
      <c r="E99" s="295"/>
      <c r="F99" s="295"/>
      <c r="G99" s="295"/>
      <c r="H99" s="295"/>
      <c r="I99" s="297"/>
      <c r="J99" s="297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249"/>
      <c r="W99" s="249"/>
      <c r="X99" s="249"/>
      <c r="Y99" s="249"/>
      <c r="Z99" s="249"/>
      <c r="AA99" s="249"/>
      <c r="AB99" s="249"/>
    </row>
    <row r="100" ht="15.75" customHeight="1">
      <c r="A100" s="295"/>
      <c r="B100" s="295"/>
      <c r="C100" s="296"/>
      <c r="D100" s="295"/>
      <c r="E100" s="295"/>
      <c r="F100" s="295"/>
      <c r="G100" s="295"/>
      <c r="H100" s="295"/>
      <c r="I100" s="297"/>
      <c r="J100" s="297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  <c r="X100" s="249"/>
      <c r="Y100" s="249"/>
      <c r="Z100" s="249"/>
      <c r="AA100" s="249"/>
      <c r="AB100" s="249"/>
    </row>
    <row r="101" ht="15.75" customHeight="1">
      <c r="A101" s="295"/>
      <c r="B101" s="295"/>
      <c r="C101" s="296"/>
      <c r="D101" s="295"/>
      <c r="E101" s="295"/>
      <c r="F101" s="295"/>
      <c r="G101" s="295"/>
      <c r="H101" s="295"/>
      <c r="I101" s="297"/>
      <c r="J101" s="297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249"/>
      <c r="W101" s="249"/>
      <c r="X101" s="249"/>
      <c r="Y101" s="249"/>
      <c r="Z101" s="249"/>
      <c r="AA101" s="249"/>
      <c r="AB101" s="249"/>
    </row>
    <row r="102" ht="15.75" customHeight="1">
      <c r="A102" s="295"/>
      <c r="B102" s="295"/>
      <c r="C102" s="296"/>
      <c r="D102" s="295"/>
      <c r="E102" s="295"/>
      <c r="F102" s="295"/>
      <c r="G102" s="295"/>
      <c r="H102" s="295"/>
      <c r="I102" s="297"/>
      <c r="J102" s="297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249"/>
      <c r="W102" s="249"/>
      <c r="X102" s="249"/>
      <c r="Y102" s="249"/>
      <c r="Z102" s="249"/>
      <c r="AA102" s="249"/>
      <c r="AB102" s="249"/>
    </row>
    <row r="103" ht="15.75" customHeight="1">
      <c r="A103" s="295"/>
      <c r="B103" s="295"/>
      <c r="C103" s="296"/>
      <c r="D103" s="295"/>
      <c r="E103" s="295"/>
      <c r="F103" s="295"/>
      <c r="G103" s="295"/>
      <c r="H103" s="295"/>
      <c r="I103" s="297"/>
      <c r="J103" s="297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249"/>
      <c r="W103" s="249"/>
      <c r="X103" s="249"/>
      <c r="Y103" s="249"/>
      <c r="Z103" s="249"/>
      <c r="AA103" s="249"/>
      <c r="AB103" s="249"/>
    </row>
    <row r="104" ht="15.75" customHeight="1">
      <c r="A104" s="295"/>
      <c r="B104" s="295"/>
      <c r="C104" s="296"/>
      <c r="D104" s="295"/>
      <c r="E104" s="295"/>
      <c r="F104" s="295"/>
      <c r="G104" s="295"/>
      <c r="H104" s="295"/>
      <c r="I104" s="297"/>
      <c r="J104" s="297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249"/>
      <c r="W104" s="249"/>
      <c r="X104" s="249"/>
      <c r="Y104" s="249"/>
      <c r="Z104" s="249"/>
      <c r="AA104" s="249"/>
      <c r="AB104" s="249"/>
    </row>
    <row r="105" ht="15.75" customHeight="1">
      <c r="A105" s="295"/>
      <c r="B105" s="295"/>
      <c r="C105" s="296"/>
      <c r="D105" s="295"/>
      <c r="E105" s="295"/>
      <c r="F105" s="295"/>
      <c r="G105" s="295"/>
      <c r="H105" s="295"/>
      <c r="I105" s="297"/>
      <c r="J105" s="297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249"/>
      <c r="W105" s="249"/>
      <c r="X105" s="249"/>
      <c r="Y105" s="249"/>
      <c r="Z105" s="249"/>
      <c r="AA105" s="249"/>
      <c r="AB105" s="249"/>
    </row>
    <row r="106" ht="15.75" customHeight="1">
      <c r="A106" s="295"/>
      <c r="B106" s="295"/>
      <c r="C106" s="296"/>
      <c r="D106" s="295"/>
      <c r="E106" s="295"/>
      <c r="F106" s="295"/>
      <c r="G106" s="295"/>
      <c r="H106" s="295"/>
      <c r="I106" s="297"/>
      <c r="J106" s="297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249"/>
      <c r="W106" s="249"/>
      <c r="X106" s="249"/>
      <c r="Y106" s="249"/>
      <c r="Z106" s="249"/>
      <c r="AA106" s="249"/>
      <c r="AB106" s="249"/>
    </row>
    <row r="107" ht="15.75" customHeight="1">
      <c r="A107" s="295"/>
      <c r="B107" s="295"/>
      <c r="C107" s="296"/>
      <c r="D107" s="295"/>
      <c r="E107" s="295"/>
      <c r="F107" s="295"/>
      <c r="G107" s="295"/>
      <c r="H107" s="295"/>
      <c r="I107" s="297"/>
      <c r="J107" s="297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249"/>
      <c r="W107" s="249"/>
      <c r="X107" s="249"/>
      <c r="Y107" s="249"/>
      <c r="Z107" s="249"/>
      <c r="AA107" s="249"/>
      <c r="AB107" s="249"/>
    </row>
    <row r="108" ht="15.75" customHeight="1">
      <c r="A108" s="295"/>
      <c r="B108" s="295"/>
      <c r="C108" s="296"/>
      <c r="D108" s="295"/>
      <c r="E108" s="295"/>
      <c r="F108" s="295"/>
      <c r="G108" s="295"/>
      <c r="H108" s="295"/>
      <c r="I108" s="297"/>
      <c r="J108" s="297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249"/>
      <c r="W108" s="249"/>
      <c r="X108" s="249"/>
      <c r="Y108" s="249"/>
      <c r="Z108" s="249"/>
      <c r="AA108" s="249"/>
      <c r="AB108" s="249"/>
    </row>
    <row r="109" ht="15.75" customHeight="1">
      <c r="A109" s="295"/>
      <c r="B109" s="295"/>
      <c r="C109" s="296"/>
      <c r="D109" s="295"/>
      <c r="E109" s="295"/>
      <c r="F109" s="295"/>
      <c r="G109" s="295"/>
      <c r="H109" s="295"/>
      <c r="I109" s="297"/>
      <c r="J109" s="297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249"/>
      <c r="W109" s="249"/>
      <c r="X109" s="249"/>
      <c r="Y109" s="249"/>
      <c r="Z109" s="249"/>
      <c r="AA109" s="249"/>
      <c r="AB109" s="249"/>
    </row>
    <row r="110" ht="15.75" customHeight="1">
      <c r="A110" s="295"/>
      <c r="B110" s="295"/>
      <c r="C110" s="296"/>
      <c r="D110" s="295"/>
      <c r="E110" s="295"/>
      <c r="F110" s="295"/>
      <c r="G110" s="295"/>
      <c r="H110" s="295"/>
      <c r="I110" s="297"/>
      <c r="J110" s="297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  <c r="W110" s="249"/>
      <c r="X110" s="249"/>
      <c r="Y110" s="249"/>
      <c r="Z110" s="249"/>
      <c r="AA110" s="249"/>
      <c r="AB110" s="249"/>
    </row>
    <row r="111" ht="15.75" customHeight="1">
      <c r="A111" s="295"/>
      <c r="B111" s="295"/>
      <c r="C111" s="296"/>
      <c r="D111" s="295"/>
      <c r="E111" s="295"/>
      <c r="F111" s="295"/>
      <c r="G111" s="295"/>
      <c r="H111" s="295"/>
      <c r="I111" s="297"/>
      <c r="J111" s="297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249"/>
      <c r="W111" s="249"/>
      <c r="X111" s="249"/>
      <c r="Y111" s="249"/>
      <c r="Z111" s="249"/>
      <c r="AA111" s="249"/>
      <c r="AB111" s="249"/>
    </row>
    <row r="112" ht="15.75" customHeight="1">
      <c r="A112" s="295"/>
      <c r="B112" s="295"/>
      <c r="C112" s="296"/>
      <c r="D112" s="295"/>
      <c r="E112" s="295"/>
      <c r="F112" s="295"/>
      <c r="G112" s="295"/>
      <c r="H112" s="295"/>
      <c r="I112" s="297"/>
      <c r="J112" s="297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49"/>
      <c r="X112" s="249"/>
      <c r="Y112" s="249"/>
      <c r="Z112" s="249"/>
      <c r="AA112" s="249"/>
      <c r="AB112" s="249"/>
    </row>
    <row r="113" ht="15.75" customHeight="1">
      <c r="A113" s="295"/>
      <c r="B113" s="295"/>
      <c r="C113" s="296"/>
      <c r="D113" s="295"/>
      <c r="E113" s="295"/>
      <c r="F113" s="295"/>
      <c r="G113" s="295"/>
      <c r="H113" s="295"/>
      <c r="I113" s="297"/>
      <c r="J113" s="297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  <c r="X113" s="249"/>
      <c r="Y113" s="249"/>
      <c r="Z113" s="249"/>
      <c r="AA113" s="249"/>
      <c r="AB113" s="249"/>
    </row>
    <row r="114" ht="15.75" customHeight="1">
      <c r="A114" s="295"/>
      <c r="B114" s="295"/>
      <c r="C114" s="296"/>
      <c r="D114" s="295"/>
      <c r="E114" s="295"/>
      <c r="F114" s="295"/>
      <c r="G114" s="295"/>
      <c r="H114" s="295"/>
      <c r="I114" s="297"/>
      <c r="J114" s="297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249"/>
      <c r="W114" s="249"/>
      <c r="X114" s="249"/>
      <c r="Y114" s="249"/>
      <c r="Z114" s="249"/>
      <c r="AA114" s="249"/>
      <c r="AB114" s="249"/>
    </row>
    <row r="115" ht="15.75" customHeight="1">
      <c r="A115" s="295"/>
      <c r="B115" s="295"/>
      <c r="C115" s="296"/>
      <c r="D115" s="295"/>
      <c r="E115" s="295"/>
      <c r="F115" s="295"/>
      <c r="G115" s="295"/>
      <c r="H115" s="295"/>
      <c r="I115" s="297"/>
      <c r="J115" s="297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  <c r="W115" s="249"/>
      <c r="X115" s="249"/>
      <c r="Y115" s="249"/>
      <c r="Z115" s="249"/>
      <c r="AA115" s="249"/>
      <c r="AB115" s="249"/>
    </row>
    <row r="116" ht="15.75" customHeight="1">
      <c r="A116" s="295"/>
      <c r="B116" s="295"/>
      <c r="C116" s="296"/>
      <c r="D116" s="295"/>
      <c r="E116" s="295"/>
      <c r="F116" s="295"/>
      <c r="G116" s="295"/>
      <c r="H116" s="295"/>
      <c r="I116" s="297"/>
      <c r="J116" s="297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  <c r="X116" s="249"/>
      <c r="Y116" s="249"/>
      <c r="Z116" s="249"/>
      <c r="AA116" s="249"/>
      <c r="AB116" s="249"/>
    </row>
    <row r="117" ht="15.75" customHeight="1">
      <c r="A117" s="295"/>
      <c r="B117" s="295"/>
      <c r="C117" s="296"/>
      <c r="D117" s="295"/>
      <c r="E117" s="295"/>
      <c r="F117" s="295"/>
      <c r="G117" s="295"/>
      <c r="H117" s="295"/>
      <c r="I117" s="297"/>
      <c r="J117" s="297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  <c r="X117" s="249"/>
      <c r="Y117" s="249"/>
      <c r="Z117" s="249"/>
      <c r="AA117" s="249"/>
      <c r="AB117" s="249"/>
    </row>
    <row r="118" ht="15.75" customHeight="1">
      <c r="A118" s="295"/>
      <c r="B118" s="295"/>
      <c r="C118" s="296"/>
      <c r="D118" s="295"/>
      <c r="E118" s="295"/>
      <c r="F118" s="295"/>
      <c r="G118" s="295"/>
      <c r="H118" s="295"/>
      <c r="I118" s="297"/>
      <c r="J118" s="297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249"/>
      <c r="X118" s="249"/>
      <c r="Y118" s="249"/>
      <c r="Z118" s="249"/>
      <c r="AA118" s="249"/>
      <c r="AB118" s="249"/>
    </row>
    <row r="119" ht="15.75" customHeight="1">
      <c r="A119" s="295"/>
      <c r="B119" s="295"/>
      <c r="C119" s="296"/>
      <c r="D119" s="295"/>
      <c r="E119" s="295"/>
      <c r="F119" s="295"/>
      <c r="G119" s="295"/>
      <c r="H119" s="295"/>
      <c r="I119" s="297"/>
      <c r="J119" s="297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249"/>
      <c r="W119" s="249"/>
      <c r="X119" s="249"/>
      <c r="Y119" s="249"/>
      <c r="Z119" s="249"/>
      <c r="AA119" s="249"/>
      <c r="AB119" s="249"/>
    </row>
    <row r="120" ht="15.75" customHeight="1">
      <c r="A120" s="295"/>
      <c r="B120" s="295"/>
      <c r="C120" s="296"/>
      <c r="D120" s="295"/>
      <c r="E120" s="295"/>
      <c r="F120" s="295"/>
      <c r="G120" s="295"/>
      <c r="H120" s="295"/>
      <c r="I120" s="297"/>
      <c r="J120" s="297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249"/>
      <c r="W120" s="249"/>
      <c r="X120" s="249"/>
      <c r="Y120" s="249"/>
      <c r="Z120" s="249"/>
      <c r="AA120" s="249"/>
      <c r="AB120" s="249"/>
    </row>
    <row r="121" ht="15.75" customHeight="1">
      <c r="A121" s="295"/>
      <c r="B121" s="295"/>
      <c r="C121" s="296"/>
      <c r="D121" s="295"/>
      <c r="E121" s="295"/>
      <c r="F121" s="295"/>
      <c r="G121" s="295"/>
      <c r="H121" s="295"/>
      <c r="I121" s="297"/>
      <c r="J121" s="297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249"/>
      <c r="W121" s="249"/>
      <c r="X121" s="249"/>
      <c r="Y121" s="249"/>
      <c r="Z121" s="249"/>
      <c r="AA121" s="249"/>
      <c r="AB121" s="249"/>
    </row>
    <row r="122" ht="15.75" customHeight="1">
      <c r="A122" s="295"/>
      <c r="B122" s="295"/>
      <c r="C122" s="296"/>
      <c r="D122" s="295"/>
      <c r="E122" s="295"/>
      <c r="F122" s="295"/>
      <c r="G122" s="295"/>
      <c r="H122" s="295"/>
      <c r="I122" s="297"/>
      <c r="J122" s="297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249"/>
      <c r="W122" s="249"/>
      <c r="X122" s="249"/>
      <c r="Y122" s="249"/>
      <c r="Z122" s="249"/>
      <c r="AA122" s="249"/>
      <c r="AB122" s="249"/>
    </row>
    <row r="123" ht="15.75" customHeight="1">
      <c r="A123" s="295"/>
      <c r="B123" s="295"/>
      <c r="C123" s="296"/>
      <c r="D123" s="295"/>
      <c r="E123" s="295"/>
      <c r="F123" s="295"/>
      <c r="G123" s="295"/>
      <c r="H123" s="295"/>
      <c r="I123" s="297"/>
      <c r="J123" s="297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249"/>
      <c r="W123" s="249"/>
      <c r="X123" s="249"/>
      <c r="Y123" s="249"/>
      <c r="Z123" s="249"/>
      <c r="AA123" s="249"/>
      <c r="AB123" s="249"/>
    </row>
    <row r="124" ht="15.75" customHeight="1">
      <c r="A124" s="295"/>
      <c r="B124" s="295"/>
      <c r="C124" s="296"/>
      <c r="D124" s="295"/>
      <c r="E124" s="295"/>
      <c r="F124" s="295"/>
      <c r="G124" s="295"/>
      <c r="H124" s="295"/>
      <c r="I124" s="297"/>
      <c r="J124" s="297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249"/>
      <c r="W124" s="249"/>
      <c r="X124" s="249"/>
      <c r="Y124" s="249"/>
      <c r="Z124" s="249"/>
      <c r="AA124" s="249"/>
      <c r="AB124" s="249"/>
    </row>
    <row r="125" ht="15.75" customHeight="1">
      <c r="A125" s="295"/>
      <c r="B125" s="295"/>
      <c r="C125" s="296"/>
      <c r="D125" s="295"/>
      <c r="E125" s="295"/>
      <c r="F125" s="295"/>
      <c r="G125" s="295"/>
      <c r="H125" s="295"/>
      <c r="I125" s="297"/>
      <c r="J125" s="297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249"/>
      <c r="W125" s="249"/>
      <c r="X125" s="249"/>
      <c r="Y125" s="249"/>
      <c r="Z125" s="249"/>
      <c r="AA125" s="249"/>
      <c r="AB125" s="249"/>
    </row>
    <row r="126" ht="15.75" customHeight="1">
      <c r="A126" s="295"/>
      <c r="B126" s="295"/>
      <c r="C126" s="296"/>
      <c r="D126" s="295"/>
      <c r="E126" s="295"/>
      <c r="F126" s="295"/>
      <c r="G126" s="295"/>
      <c r="H126" s="295"/>
      <c r="I126" s="297"/>
      <c r="J126" s="297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249"/>
      <c r="W126" s="249"/>
      <c r="X126" s="249"/>
      <c r="Y126" s="249"/>
      <c r="Z126" s="249"/>
      <c r="AA126" s="249"/>
      <c r="AB126" s="249"/>
    </row>
    <row r="127" ht="15.75" customHeight="1">
      <c r="A127" s="295"/>
      <c r="B127" s="295"/>
      <c r="C127" s="296"/>
      <c r="D127" s="295"/>
      <c r="E127" s="295"/>
      <c r="F127" s="295"/>
      <c r="G127" s="295"/>
      <c r="H127" s="295"/>
      <c r="I127" s="297"/>
      <c r="J127" s="297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249"/>
      <c r="W127" s="249"/>
      <c r="X127" s="249"/>
      <c r="Y127" s="249"/>
      <c r="Z127" s="249"/>
      <c r="AA127" s="249"/>
      <c r="AB127" s="249"/>
    </row>
    <row r="128" ht="15.75" customHeight="1">
      <c r="A128" s="295"/>
      <c r="B128" s="295"/>
      <c r="C128" s="296"/>
      <c r="D128" s="295"/>
      <c r="E128" s="295"/>
      <c r="F128" s="295"/>
      <c r="G128" s="295"/>
      <c r="H128" s="295"/>
      <c r="I128" s="297"/>
      <c r="J128" s="297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249"/>
      <c r="W128" s="249"/>
      <c r="X128" s="249"/>
      <c r="Y128" s="249"/>
      <c r="Z128" s="249"/>
      <c r="AA128" s="249"/>
      <c r="AB128" s="249"/>
    </row>
    <row r="129" ht="15.75" customHeight="1">
      <c r="A129" s="295"/>
      <c r="B129" s="295"/>
      <c r="C129" s="296"/>
      <c r="D129" s="295"/>
      <c r="E129" s="295"/>
      <c r="F129" s="295"/>
      <c r="G129" s="295"/>
      <c r="H129" s="295"/>
      <c r="I129" s="297"/>
      <c r="J129" s="297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249"/>
      <c r="W129" s="249"/>
      <c r="X129" s="249"/>
      <c r="Y129" s="249"/>
      <c r="Z129" s="249"/>
      <c r="AA129" s="249"/>
      <c r="AB129" s="249"/>
    </row>
    <row r="130" ht="15.75" customHeight="1">
      <c r="A130" s="295"/>
      <c r="B130" s="295"/>
      <c r="C130" s="296"/>
      <c r="D130" s="295"/>
      <c r="E130" s="295"/>
      <c r="F130" s="295"/>
      <c r="G130" s="295"/>
      <c r="H130" s="295"/>
      <c r="I130" s="297"/>
      <c r="J130" s="297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249"/>
      <c r="W130" s="249"/>
      <c r="X130" s="249"/>
      <c r="Y130" s="249"/>
      <c r="Z130" s="249"/>
      <c r="AA130" s="249"/>
      <c r="AB130" s="249"/>
    </row>
    <row r="131" ht="15.75" customHeight="1">
      <c r="A131" s="295"/>
      <c r="B131" s="295"/>
      <c r="C131" s="296"/>
      <c r="D131" s="295"/>
      <c r="E131" s="295"/>
      <c r="F131" s="295"/>
      <c r="G131" s="295"/>
      <c r="H131" s="295"/>
      <c r="I131" s="297"/>
      <c r="J131" s="297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249"/>
      <c r="W131" s="249"/>
      <c r="X131" s="249"/>
      <c r="Y131" s="249"/>
      <c r="Z131" s="249"/>
      <c r="AA131" s="249"/>
      <c r="AB131" s="249"/>
    </row>
    <row r="132" ht="15.75" customHeight="1">
      <c r="A132" s="295"/>
      <c r="B132" s="295"/>
      <c r="C132" s="296"/>
      <c r="D132" s="295"/>
      <c r="E132" s="295"/>
      <c r="F132" s="295"/>
      <c r="G132" s="295"/>
      <c r="H132" s="295"/>
      <c r="I132" s="297"/>
      <c r="J132" s="297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249"/>
      <c r="W132" s="249"/>
      <c r="X132" s="249"/>
      <c r="Y132" s="249"/>
      <c r="Z132" s="249"/>
      <c r="AA132" s="249"/>
      <c r="AB132" s="249"/>
    </row>
    <row r="133" ht="15.75" customHeight="1">
      <c r="A133" s="295"/>
      <c r="B133" s="295"/>
      <c r="C133" s="296"/>
      <c r="D133" s="295"/>
      <c r="E133" s="295"/>
      <c r="F133" s="295"/>
      <c r="G133" s="295"/>
      <c r="H133" s="295"/>
      <c r="I133" s="297"/>
      <c r="J133" s="297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249"/>
      <c r="W133" s="249"/>
      <c r="X133" s="249"/>
      <c r="Y133" s="249"/>
      <c r="Z133" s="249"/>
      <c r="AA133" s="249"/>
      <c r="AB133" s="249"/>
    </row>
    <row r="134" ht="15.75" customHeight="1">
      <c r="A134" s="295"/>
      <c r="B134" s="295"/>
      <c r="C134" s="296"/>
      <c r="D134" s="295"/>
      <c r="E134" s="295"/>
      <c r="F134" s="295"/>
      <c r="G134" s="295"/>
      <c r="H134" s="295"/>
      <c r="I134" s="297"/>
      <c r="J134" s="297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249"/>
      <c r="W134" s="249"/>
      <c r="X134" s="249"/>
      <c r="Y134" s="249"/>
      <c r="Z134" s="249"/>
      <c r="AA134" s="249"/>
      <c r="AB134" s="249"/>
    </row>
    <row r="135" ht="15.75" customHeight="1">
      <c r="A135" s="295"/>
      <c r="B135" s="295"/>
      <c r="C135" s="296"/>
      <c r="D135" s="295"/>
      <c r="E135" s="295"/>
      <c r="F135" s="295"/>
      <c r="G135" s="295"/>
      <c r="H135" s="295"/>
      <c r="I135" s="297"/>
      <c r="J135" s="297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249"/>
      <c r="W135" s="249"/>
      <c r="X135" s="249"/>
      <c r="Y135" s="249"/>
      <c r="Z135" s="249"/>
      <c r="AA135" s="249"/>
      <c r="AB135" s="249"/>
    </row>
    <row r="136" ht="15.75" customHeight="1">
      <c r="A136" s="295"/>
      <c r="B136" s="295"/>
      <c r="C136" s="296"/>
      <c r="D136" s="295"/>
      <c r="E136" s="295"/>
      <c r="F136" s="295"/>
      <c r="G136" s="295"/>
      <c r="H136" s="295"/>
      <c r="I136" s="297"/>
      <c r="J136" s="297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249"/>
      <c r="W136" s="249"/>
      <c r="X136" s="249"/>
      <c r="Y136" s="249"/>
      <c r="Z136" s="249"/>
      <c r="AA136" s="249"/>
      <c r="AB136" s="249"/>
    </row>
    <row r="137" ht="15.75" customHeight="1">
      <c r="A137" s="295"/>
      <c r="B137" s="295"/>
      <c r="C137" s="296"/>
      <c r="D137" s="295"/>
      <c r="E137" s="295"/>
      <c r="F137" s="295"/>
      <c r="G137" s="295"/>
      <c r="H137" s="295"/>
      <c r="I137" s="297"/>
      <c r="J137" s="297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249"/>
      <c r="W137" s="249"/>
      <c r="X137" s="249"/>
      <c r="Y137" s="249"/>
      <c r="Z137" s="249"/>
      <c r="AA137" s="249"/>
      <c r="AB137" s="249"/>
    </row>
    <row r="138" ht="15.75" customHeight="1">
      <c r="A138" s="295"/>
      <c r="B138" s="295"/>
      <c r="C138" s="296"/>
      <c r="D138" s="295"/>
      <c r="E138" s="295"/>
      <c r="F138" s="295"/>
      <c r="G138" s="295"/>
      <c r="H138" s="295"/>
      <c r="I138" s="297"/>
      <c r="J138" s="297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249"/>
      <c r="W138" s="249"/>
      <c r="X138" s="249"/>
      <c r="Y138" s="249"/>
      <c r="Z138" s="249"/>
      <c r="AA138" s="249"/>
      <c r="AB138" s="249"/>
    </row>
    <row r="139" ht="15.75" customHeight="1">
      <c r="A139" s="295"/>
      <c r="B139" s="295"/>
      <c r="C139" s="296"/>
      <c r="D139" s="295"/>
      <c r="E139" s="295"/>
      <c r="F139" s="295"/>
      <c r="G139" s="295"/>
      <c r="H139" s="295"/>
      <c r="I139" s="297"/>
      <c r="J139" s="297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249"/>
      <c r="W139" s="249"/>
      <c r="X139" s="249"/>
      <c r="Y139" s="249"/>
      <c r="Z139" s="249"/>
      <c r="AA139" s="249"/>
      <c r="AB139" s="249"/>
    </row>
    <row r="140" ht="15.75" customHeight="1">
      <c r="A140" s="295"/>
      <c r="B140" s="295"/>
      <c r="C140" s="296"/>
      <c r="D140" s="295"/>
      <c r="E140" s="295"/>
      <c r="F140" s="295"/>
      <c r="G140" s="295"/>
      <c r="H140" s="295"/>
      <c r="I140" s="297"/>
      <c r="J140" s="297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249"/>
      <c r="W140" s="249"/>
      <c r="X140" s="249"/>
      <c r="Y140" s="249"/>
      <c r="Z140" s="249"/>
      <c r="AA140" s="249"/>
      <c r="AB140" s="249"/>
    </row>
    <row r="141" ht="15.75" customHeight="1">
      <c r="A141" s="295"/>
      <c r="B141" s="295"/>
      <c r="C141" s="296"/>
      <c r="D141" s="295"/>
      <c r="E141" s="295"/>
      <c r="F141" s="295"/>
      <c r="G141" s="295"/>
      <c r="H141" s="295"/>
      <c r="I141" s="297"/>
      <c r="J141" s="297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249"/>
      <c r="W141" s="249"/>
      <c r="X141" s="249"/>
      <c r="Y141" s="249"/>
      <c r="Z141" s="249"/>
      <c r="AA141" s="249"/>
      <c r="AB141" s="249"/>
    </row>
    <row r="142" ht="15.75" customHeight="1">
      <c r="A142" s="295"/>
      <c r="B142" s="295"/>
      <c r="C142" s="296"/>
      <c r="D142" s="295"/>
      <c r="E142" s="295"/>
      <c r="F142" s="295"/>
      <c r="G142" s="295"/>
      <c r="H142" s="295"/>
      <c r="I142" s="297"/>
      <c r="J142" s="297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  <c r="X142" s="249"/>
      <c r="Y142" s="249"/>
      <c r="Z142" s="249"/>
      <c r="AA142" s="249"/>
      <c r="AB142" s="249"/>
    </row>
    <row r="143" ht="15.75" customHeight="1">
      <c r="A143" s="295"/>
      <c r="B143" s="295"/>
      <c r="C143" s="296"/>
      <c r="D143" s="295"/>
      <c r="E143" s="295"/>
      <c r="F143" s="295"/>
      <c r="G143" s="295"/>
      <c r="H143" s="295"/>
      <c r="I143" s="297"/>
      <c r="J143" s="297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249"/>
      <c r="W143" s="249"/>
      <c r="X143" s="249"/>
      <c r="Y143" s="249"/>
      <c r="Z143" s="249"/>
      <c r="AA143" s="249"/>
      <c r="AB143" s="249"/>
    </row>
    <row r="144" ht="15.75" customHeight="1">
      <c r="A144" s="295"/>
      <c r="B144" s="295"/>
      <c r="C144" s="296"/>
      <c r="D144" s="295"/>
      <c r="E144" s="295"/>
      <c r="F144" s="295"/>
      <c r="G144" s="295"/>
      <c r="H144" s="295"/>
      <c r="I144" s="297"/>
      <c r="J144" s="297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249"/>
      <c r="W144" s="249"/>
      <c r="X144" s="249"/>
      <c r="Y144" s="249"/>
      <c r="Z144" s="249"/>
      <c r="AA144" s="249"/>
      <c r="AB144" s="249"/>
    </row>
    <row r="145" ht="15.75" customHeight="1">
      <c r="A145" s="295"/>
      <c r="B145" s="295"/>
      <c r="C145" s="296"/>
      <c r="D145" s="295"/>
      <c r="E145" s="295"/>
      <c r="F145" s="295"/>
      <c r="G145" s="295"/>
      <c r="H145" s="295"/>
      <c r="I145" s="297"/>
      <c r="J145" s="297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249"/>
      <c r="W145" s="249"/>
      <c r="X145" s="249"/>
      <c r="Y145" s="249"/>
      <c r="Z145" s="249"/>
      <c r="AA145" s="249"/>
      <c r="AB145" s="249"/>
    </row>
    <row r="146" ht="15.75" customHeight="1">
      <c r="A146" s="295"/>
      <c r="B146" s="295"/>
      <c r="C146" s="296"/>
      <c r="D146" s="295"/>
      <c r="E146" s="295"/>
      <c r="F146" s="295"/>
      <c r="G146" s="295"/>
      <c r="H146" s="295"/>
      <c r="I146" s="297"/>
      <c r="J146" s="297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249"/>
      <c r="W146" s="249"/>
      <c r="X146" s="249"/>
      <c r="Y146" s="249"/>
      <c r="Z146" s="249"/>
      <c r="AA146" s="249"/>
      <c r="AB146" s="249"/>
    </row>
    <row r="147" ht="15.75" customHeight="1">
      <c r="A147" s="295"/>
      <c r="B147" s="295"/>
      <c r="C147" s="296"/>
      <c r="D147" s="295"/>
      <c r="E147" s="295"/>
      <c r="F147" s="295"/>
      <c r="G147" s="295"/>
      <c r="H147" s="295"/>
      <c r="I147" s="297"/>
      <c r="J147" s="297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  <c r="W147" s="249"/>
      <c r="X147" s="249"/>
      <c r="Y147" s="249"/>
      <c r="Z147" s="249"/>
      <c r="AA147" s="249"/>
      <c r="AB147" s="249"/>
    </row>
    <row r="148" ht="15.75" customHeight="1">
      <c r="A148" s="295"/>
      <c r="B148" s="295"/>
      <c r="C148" s="296"/>
      <c r="D148" s="295"/>
      <c r="E148" s="295"/>
      <c r="F148" s="295"/>
      <c r="G148" s="295"/>
      <c r="H148" s="295"/>
      <c r="I148" s="297"/>
      <c r="J148" s="297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249"/>
      <c r="W148" s="249"/>
      <c r="X148" s="249"/>
      <c r="Y148" s="249"/>
      <c r="Z148" s="249"/>
      <c r="AA148" s="249"/>
      <c r="AB148" s="249"/>
    </row>
    <row r="149" ht="15.75" customHeight="1">
      <c r="A149" s="295"/>
      <c r="B149" s="295"/>
      <c r="C149" s="296"/>
      <c r="D149" s="295"/>
      <c r="E149" s="295"/>
      <c r="F149" s="295"/>
      <c r="G149" s="295"/>
      <c r="H149" s="295"/>
      <c r="I149" s="297"/>
      <c r="J149" s="297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249"/>
      <c r="W149" s="249"/>
      <c r="X149" s="249"/>
      <c r="Y149" s="249"/>
      <c r="Z149" s="249"/>
      <c r="AA149" s="249"/>
      <c r="AB149" s="249"/>
    </row>
    <row r="150" ht="15.75" customHeight="1">
      <c r="A150" s="295"/>
      <c r="B150" s="295"/>
      <c r="C150" s="296"/>
      <c r="D150" s="295"/>
      <c r="E150" s="295"/>
      <c r="F150" s="295"/>
      <c r="G150" s="295"/>
      <c r="H150" s="295"/>
      <c r="I150" s="297"/>
      <c r="J150" s="297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249"/>
      <c r="W150" s="249"/>
      <c r="X150" s="249"/>
      <c r="Y150" s="249"/>
      <c r="Z150" s="249"/>
      <c r="AA150" s="249"/>
      <c r="AB150" s="249"/>
    </row>
    <row r="151" ht="15.75" customHeight="1">
      <c r="A151" s="295"/>
      <c r="B151" s="295"/>
      <c r="C151" s="296"/>
      <c r="D151" s="295"/>
      <c r="E151" s="295"/>
      <c r="F151" s="295"/>
      <c r="G151" s="295"/>
      <c r="H151" s="295"/>
      <c r="I151" s="297"/>
      <c r="J151" s="297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249"/>
      <c r="W151" s="249"/>
      <c r="X151" s="249"/>
      <c r="Y151" s="249"/>
      <c r="Z151" s="249"/>
      <c r="AA151" s="249"/>
      <c r="AB151" s="249"/>
    </row>
    <row r="152" ht="15.75" customHeight="1">
      <c r="A152" s="295"/>
      <c r="B152" s="295"/>
      <c r="C152" s="296"/>
      <c r="D152" s="295"/>
      <c r="E152" s="295"/>
      <c r="F152" s="295"/>
      <c r="G152" s="295"/>
      <c r="H152" s="295"/>
      <c r="I152" s="297"/>
      <c r="J152" s="297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249"/>
      <c r="W152" s="249"/>
      <c r="X152" s="249"/>
      <c r="Y152" s="249"/>
      <c r="Z152" s="249"/>
      <c r="AA152" s="249"/>
      <c r="AB152" s="249"/>
    </row>
    <row r="153" ht="15.75" customHeight="1">
      <c r="A153" s="295"/>
      <c r="B153" s="295"/>
      <c r="C153" s="296"/>
      <c r="D153" s="295"/>
      <c r="E153" s="295"/>
      <c r="F153" s="295"/>
      <c r="G153" s="295"/>
      <c r="H153" s="295"/>
      <c r="I153" s="297"/>
      <c r="J153" s="297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249"/>
      <c r="W153" s="249"/>
      <c r="X153" s="249"/>
      <c r="Y153" s="249"/>
      <c r="Z153" s="249"/>
      <c r="AA153" s="249"/>
      <c r="AB153" s="249"/>
    </row>
    <row r="154" ht="15.75" customHeight="1">
      <c r="A154" s="295"/>
      <c r="B154" s="295"/>
      <c r="C154" s="296"/>
      <c r="D154" s="295"/>
      <c r="E154" s="295"/>
      <c r="F154" s="295"/>
      <c r="G154" s="295"/>
      <c r="H154" s="295"/>
      <c r="I154" s="297"/>
      <c r="J154" s="297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249"/>
      <c r="W154" s="249"/>
      <c r="X154" s="249"/>
      <c r="Y154" s="249"/>
      <c r="Z154" s="249"/>
      <c r="AA154" s="249"/>
      <c r="AB154" s="249"/>
    </row>
    <row r="155" ht="15.75" customHeight="1">
      <c r="A155" s="295"/>
      <c r="B155" s="295"/>
      <c r="C155" s="296"/>
      <c r="D155" s="295"/>
      <c r="E155" s="295"/>
      <c r="F155" s="295"/>
      <c r="G155" s="295"/>
      <c r="H155" s="295"/>
      <c r="I155" s="297"/>
      <c r="J155" s="297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249"/>
      <c r="W155" s="249"/>
      <c r="X155" s="249"/>
      <c r="Y155" s="249"/>
      <c r="Z155" s="249"/>
      <c r="AA155" s="249"/>
      <c r="AB155" s="249"/>
    </row>
    <row r="156" ht="15.75" customHeight="1">
      <c r="A156" s="295"/>
      <c r="B156" s="295"/>
      <c r="C156" s="296"/>
      <c r="D156" s="295"/>
      <c r="E156" s="295"/>
      <c r="F156" s="295"/>
      <c r="G156" s="295"/>
      <c r="H156" s="295"/>
      <c r="I156" s="297"/>
      <c r="J156" s="297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249"/>
      <c r="W156" s="249"/>
      <c r="X156" s="249"/>
      <c r="Y156" s="249"/>
      <c r="Z156" s="249"/>
      <c r="AA156" s="249"/>
      <c r="AB156" s="249"/>
    </row>
    <row r="157" ht="15.75" customHeight="1">
      <c r="A157" s="295"/>
      <c r="B157" s="295"/>
      <c r="C157" s="296"/>
      <c r="D157" s="295"/>
      <c r="E157" s="295"/>
      <c r="F157" s="295"/>
      <c r="G157" s="295"/>
      <c r="H157" s="295"/>
      <c r="I157" s="297"/>
      <c r="J157" s="297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249"/>
      <c r="W157" s="249"/>
      <c r="X157" s="249"/>
      <c r="Y157" s="249"/>
      <c r="Z157" s="249"/>
      <c r="AA157" s="249"/>
      <c r="AB157" s="249"/>
    </row>
    <row r="158" ht="15.75" customHeight="1">
      <c r="A158" s="295"/>
      <c r="B158" s="295"/>
      <c r="C158" s="296"/>
      <c r="D158" s="295"/>
      <c r="E158" s="295"/>
      <c r="F158" s="295"/>
      <c r="G158" s="295"/>
      <c r="H158" s="295"/>
      <c r="I158" s="297"/>
      <c r="J158" s="297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249"/>
      <c r="W158" s="249"/>
      <c r="X158" s="249"/>
      <c r="Y158" s="249"/>
      <c r="Z158" s="249"/>
      <c r="AA158" s="249"/>
      <c r="AB158" s="249"/>
    </row>
    <row r="159" ht="15.75" customHeight="1">
      <c r="A159" s="295"/>
      <c r="B159" s="295"/>
      <c r="C159" s="296"/>
      <c r="D159" s="295"/>
      <c r="E159" s="295"/>
      <c r="F159" s="295"/>
      <c r="G159" s="295"/>
      <c r="H159" s="295"/>
      <c r="I159" s="297"/>
      <c r="J159" s="297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249"/>
      <c r="W159" s="249"/>
      <c r="X159" s="249"/>
      <c r="Y159" s="249"/>
      <c r="Z159" s="249"/>
      <c r="AA159" s="249"/>
      <c r="AB159" s="249"/>
    </row>
    <row r="160" ht="15.75" customHeight="1">
      <c r="A160" s="295"/>
      <c r="B160" s="295"/>
      <c r="C160" s="296"/>
      <c r="D160" s="295"/>
      <c r="E160" s="295"/>
      <c r="F160" s="295"/>
      <c r="G160" s="295"/>
      <c r="H160" s="295"/>
      <c r="I160" s="297"/>
      <c r="J160" s="297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249"/>
      <c r="W160" s="249"/>
      <c r="X160" s="249"/>
      <c r="Y160" s="249"/>
      <c r="Z160" s="249"/>
      <c r="AA160" s="249"/>
      <c r="AB160" s="249"/>
    </row>
    <row r="161" ht="15.75" customHeight="1">
      <c r="A161" s="295"/>
      <c r="B161" s="295"/>
      <c r="C161" s="296"/>
      <c r="D161" s="295"/>
      <c r="E161" s="295"/>
      <c r="F161" s="295"/>
      <c r="G161" s="295"/>
      <c r="H161" s="295"/>
      <c r="I161" s="297"/>
      <c r="J161" s="297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249"/>
      <c r="W161" s="249"/>
      <c r="X161" s="249"/>
      <c r="Y161" s="249"/>
      <c r="Z161" s="249"/>
      <c r="AA161" s="249"/>
      <c r="AB161" s="249"/>
    </row>
    <row r="162" ht="15.75" customHeight="1">
      <c r="A162" s="295"/>
      <c r="B162" s="295"/>
      <c r="C162" s="296"/>
      <c r="D162" s="295"/>
      <c r="E162" s="295"/>
      <c r="F162" s="295"/>
      <c r="G162" s="295"/>
      <c r="H162" s="295"/>
      <c r="I162" s="297"/>
      <c r="J162" s="297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249"/>
      <c r="W162" s="249"/>
      <c r="X162" s="249"/>
      <c r="Y162" s="249"/>
      <c r="Z162" s="249"/>
      <c r="AA162" s="249"/>
      <c r="AB162" s="249"/>
    </row>
    <row r="163" ht="15.75" customHeight="1">
      <c r="A163" s="295"/>
      <c r="B163" s="295"/>
      <c r="C163" s="296"/>
      <c r="D163" s="295"/>
      <c r="E163" s="295"/>
      <c r="F163" s="295"/>
      <c r="G163" s="295"/>
      <c r="H163" s="295"/>
      <c r="I163" s="297"/>
      <c r="J163" s="297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249"/>
      <c r="W163" s="249"/>
      <c r="X163" s="249"/>
      <c r="Y163" s="249"/>
      <c r="Z163" s="249"/>
      <c r="AA163" s="249"/>
      <c r="AB163" s="249"/>
    </row>
    <row r="164" ht="15.75" customHeight="1">
      <c r="A164" s="295"/>
      <c r="B164" s="295"/>
      <c r="C164" s="296"/>
      <c r="D164" s="295"/>
      <c r="E164" s="295"/>
      <c r="F164" s="295"/>
      <c r="G164" s="295"/>
      <c r="H164" s="295"/>
      <c r="I164" s="297"/>
      <c r="J164" s="297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249"/>
      <c r="W164" s="249"/>
      <c r="X164" s="249"/>
      <c r="Y164" s="249"/>
      <c r="Z164" s="249"/>
      <c r="AA164" s="249"/>
      <c r="AB164" s="249"/>
    </row>
    <row r="165" ht="15.75" customHeight="1">
      <c r="A165" s="295"/>
      <c r="B165" s="295"/>
      <c r="C165" s="296"/>
      <c r="D165" s="295"/>
      <c r="E165" s="295"/>
      <c r="F165" s="295"/>
      <c r="G165" s="295"/>
      <c r="H165" s="295"/>
      <c r="I165" s="297"/>
      <c r="J165" s="297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249"/>
      <c r="W165" s="249"/>
      <c r="X165" s="249"/>
      <c r="Y165" s="249"/>
      <c r="Z165" s="249"/>
      <c r="AA165" s="249"/>
      <c r="AB165" s="249"/>
    </row>
    <row r="166" ht="15.75" customHeight="1">
      <c r="A166" s="295"/>
      <c r="B166" s="295"/>
      <c r="C166" s="296"/>
      <c r="D166" s="295"/>
      <c r="E166" s="295"/>
      <c r="F166" s="295"/>
      <c r="G166" s="295"/>
      <c r="H166" s="295"/>
      <c r="I166" s="297"/>
      <c r="J166" s="297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249"/>
      <c r="W166" s="249"/>
      <c r="X166" s="249"/>
      <c r="Y166" s="249"/>
      <c r="Z166" s="249"/>
      <c r="AA166" s="249"/>
      <c r="AB166" s="249"/>
    </row>
    <row r="167" ht="15.75" customHeight="1">
      <c r="A167" s="295"/>
      <c r="B167" s="295"/>
      <c r="C167" s="296"/>
      <c r="D167" s="295"/>
      <c r="E167" s="295"/>
      <c r="F167" s="295"/>
      <c r="G167" s="295"/>
      <c r="H167" s="295"/>
      <c r="I167" s="297"/>
      <c r="J167" s="297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249"/>
      <c r="W167" s="249"/>
      <c r="X167" s="249"/>
      <c r="Y167" s="249"/>
      <c r="Z167" s="249"/>
      <c r="AA167" s="249"/>
      <c r="AB167" s="249"/>
    </row>
    <row r="168" ht="15.75" customHeight="1">
      <c r="A168" s="295"/>
      <c r="B168" s="295"/>
      <c r="C168" s="296"/>
      <c r="D168" s="295"/>
      <c r="E168" s="295"/>
      <c r="F168" s="295"/>
      <c r="G168" s="295"/>
      <c r="H168" s="295"/>
      <c r="I168" s="297"/>
      <c r="J168" s="297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  <c r="X168" s="249"/>
      <c r="Y168" s="249"/>
      <c r="Z168" s="249"/>
      <c r="AA168" s="249"/>
      <c r="AB168" s="249"/>
    </row>
    <row r="169" ht="15.75" customHeight="1">
      <c r="A169" s="295"/>
      <c r="B169" s="295"/>
      <c r="C169" s="296"/>
      <c r="D169" s="295"/>
      <c r="E169" s="295"/>
      <c r="F169" s="295"/>
      <c r="G169" s="295"/>
      <c r="H169" s="295"/>
      <c r="I169" s="297"/>
      <c r="J169" s="297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249"/>
      <c r="W169" s="249"/>
      <c r="X169" s="249"/>
      <c r="Y169" s="249"/>
      <c r="Z169" s="249"/>
      <c r="AA169" s="249"/>
      <c r="AB169" s="249"/>
    </row>
    <row r="170" ht="15.75" customHeight="1">
      <c r="A170" s="295"/>
      <c r="B170" s="295"/>
      <c r="C170" s="296"/>
      <c r="D170" s="295"/>
      <c r="E170" s="295"/>
      <c r="F170" s="295"/>
      <c r="G170" s="295"/>
      <c r="H170" s="295"/>
      <c r="I170" s="297"/>
      <c r="J170" s="297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249"/>
      <c r="W170" s="249"/>
      <c r="X170" s="249"/>
      <c r="Y170" s="249"/>
      <c r="Z170" s="249"/>
      <c r="AA170" s="249"/>
      <c r="AB170" s="249"/>
    </row>
    <row r="171" ht="15.75" customHeight="1">
      <c r="A171" s="295"/>
      <c r="B171" s="295"/>
      <c r="C171" s="296"/>
      <c r="D171" s="295"/>
      <c r="E171" s="295"/>
      <c r="F171" s="295"/>
      <c r="G171" s="295"/>
      <c r="H171" s="295"/>
      <c r="I171" s="297"/>
      <c r="J171" s="297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249"/>
      <c r="W171" s="249"/>
      <c r="X171" s="249"/>
      <c r="Y171" s="249"/>
      <c r="Z171" s="249"/>
      <c r="AA171" s="249"/>
      <c r="AB171" s="249"/>
    </row>
    <row r="172" ht="15.75" customHeight="1">
      <c r="A172" s="295"/>
      <c r="B172" s="295"/>
      <c r="C172" s="296"/>
      <c r="D172" s="295"/>
      <c r="E172" s="295"/>
      <c r="F172" s="295"/>
      <c r="G172" s="295"/>
      <c r="H172" s="295"/>
      <c r="I172" s="297"/>
      <c r="J172" s="297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249"/>
      <c r="W172" s="249"/>
      <c r="X172" s="249"/>
      <c r="Y172" s="249"/>
      <c r="Z172" s="249"/>
      <c r="AA172" s="249"/>
      <c r="AB172" s="249"/>
    </row>
    <row r="173" ht="15.75" customHeight="1">
      <c r="A173" s="295"/>
      <c r="B173" s="295"/>
      <c r="C173" s="296"/>
      <c r="D173" s="295"/>
      <c r="E173" s="295"/>
      <c r="F173" s="295"/>
      <c r="G173" s="295"/>
      <c r="H173" s="295"/>
      <c r="I173" s="297"/>
      <c r="J173" s="297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249"/>
      <c r="W173" s="249"/>
      <c r="X173" s="249"/>
      <c r="Y173" s="249"/>
      <c r="Z173" s="249"/>
      <c r="AA173" s="249"/>
      <c r="AB173" s="249"/>
    </row>
    <row r="174" ht="15.75" customHeight="1">
      <c r="A174" s="295"/>
      <c r="B174" s="295"/>
      <c r="C174" s="296"/>
      <c r="D174" s="295"/>
      <c r="E174" s="295"/>
      <c r="F174" s="295"/>
      <c r="G174" s="295"/>
      <c r="H174" s="295"/>
      <c r="I174" s="297"/>
      <c r="J174" s="297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249"/>
      <c r="W174" s="249"/>
      <c r="X174" s="249"/>
      <c r="Y174" s="249"/>
      <c r="Z174" s="249"/>
      <c r="AA174" s="249"/>
      <c r="AB174" s="249"/>
    </row>
    <row r="175" ht="15.75" customHeight="1">
      <c r="A175" s="295"/>
      <c r="B175" s="295"/>
      <c r="C175" s="296"/>
      <c r="D175" s="295"/>
      <c r="E175" s="295"/>
      <c r="F175" s="295"/>
      <c r="G175" s="295"/>
      <c r="H175" s="295"/>
      <c r="I175" s="297"/>
      <c r="J175" s="297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249"/>
      <c r="W175" s="249"/>
      <c r="X175" s="249"/>
      <c r="Y175" s="249"/>
      <c r="Z175" s="249"/>
      <c r="AA175" s="249"/>
      <c r="AB175" s="249"/>
    </row>
    <row r="176" ht="15.75" customHeight="1">
      <c r="A176" s="295"/>
      <c r="B176" s="295"/>
      <c r="C176" s="296"/>
      <c r="D176" s="295"/>
      <c r="E176" s="295"/>
      <c r="F176" s="295"/>
      <c r="G176" s="295"/>
      <c r="H176" s="295"/>
      <c r="I176" s="297"/>
      <c r="J176" s="297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249"/>
      <c r="W176" s="249"/>
      <c r="X176" s="249"/>
      <c r="Y176" s="249"/>
      <c r="Z176" s="249"/>
      <c r="AA176" s="249"/>
      <c r="AB176" s="249"/>
    </row>
    <row r="177" ht="15.75" customHeight="1">
      <c r="A177" s="295"/>
      <c r="B177" s="295"/>
      <c r="C177" s="296"/>
      <c r="D177" s="295"/>
      <c r="E177" s="295"/>
      <c r="F177" s="295"/>
      <c r="G177" s="295"/>
      <c r="H177" s="295"/>
      <c r="I177" s="297"/>
      <c r="J177" s="297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249"/>
      <c r="W177" s="249"/>
      <c r="X177" s="249"/>
      <c r="Y177" s="249"/>
      <c r="Z177" s="249"/>
      <c r="AA177" s="249"/>
      <c r="AB177" s="249"/>
    </row>
    <row r="178" ht="15.75" customHeight="1">
      <c r="A178" s="295"/>
      <c r="B178" s="295"/>
      <c r="C178" s="296"/>
      <c r="D178" s="295"/>
      <c r="E178" s="295"/>
      <c r="F178" s="295"/>
      <c r="G178" s="295"/>
      <c r="H178" s="295"/>
      <c r="I178" s="297"/>
      <c r="J178" s="297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249"/>
      <c r="W178" s="249"/>
      <c r="X178" s="249"/>
      <c r="Y178" s="249"/>
      <c r="Z178" s="249"/>
      <c r="AA178" s="249"/>
      <c r="AB178" s="249"/>
    </row>
    <row r="179" ht="15.75" customHeight="1">
      <c r="A179" s="295"/>
      <c r="B179" s="295"/>
      <c r="C179" s="296"/>
      <c r="D179" s="295"/>
      <c r="E179" s="295"/>
      <c r="F179" s="295"/>
      <c r="G179" s="295"/>
      <c r="H179" s="295"/>
      <c r="I179" s="297"/>
      <c r="J179" s="297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249"/>
      <c r="W179" s="249"/>
      <c r="X179" s="249"/>
      <c r="Y179" s="249"/>
      <c r="Z179" s="249"/>
      <c r="AA179" s="249"/>
      <c r="AB179" s="249"/>
    </row>
    <row r="180" ht="15.75" customHeight="1">
      <c r="A180" s="295"/>
      <c r="B180" s="295"/>
      <c r="C180" s="296"/>
      <c r="D180" s="295"/>
      <c r="E180" s="295"/>
      <c r="F180" s="295"/>
      <c r="G180" s="295"/>
      <c r="H180" s="295"/>
      <c r="I180" s="297"/>
      <c r="J180" s="297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249"/>
      <c r="W180" s="249"/>
      <c r="X180" s="249"/>
      <c r="Y180" s="249"/>
      <c r="Z180" s="249"/>
      <c r="AA180" s="249"/>
      <c r="AB180" s="249"/>
    </row>
    <row r="181" ht="15.75" customHeight="1">
      <c r="A181" s="295"/>
      <c r="B181" s="295"/>
      <c r="C181" s="296"/>
      <c r="D181" s="295"/>
      <c r="E181" s="295"/>
      <c r="F181" s="295"/>
      <c r="G181" s="295"/>
      <c r="H181" s="295"/>
      <c r="I181" s="297"/>
      <c r="J181" s="297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249"/>
      <c r="W181" s="249"/>
      <c r="X181" s="249"/>
      <c r="Y181" s="249"/>
      <c r="Z181" s="249"/>
      <c r="AA181" s="249"/>
      <c r="AB181" s="249"/>
    </row>
    <row r="182" ht="15.75" customHeight="1">
      <c r="A182" s="295"/>
      <c r="B182" s="295"/>
      <c r="C182" s="296"/>
      <c r="D182" s="295"/>
      <c r="E182" s="295"/>
      <c r="F182" s="295"/>
      <c r="G182" s="295"/>
      <c r="H182" s="295"/>
      <c r="I182" s="297"/>
      <c r="J182" s="297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249"/>
      <c r="W182" s="249"/>
      <c r="X182" s="249"/>
      <c r="Y182" s="249"/>
      <c r="Z182" s="249"/>
      <c r="AA182" s="249"/>
      <c r="AB182" s="249"/>
    </row>
    <row r="183" ht="15.75" customHeight="1">
      <c r="A183" s="295"/>
      <c r="B183" s="295"/>
      <c r="C183" s="296"/>
      <c r="D183" s="295"/>
      <c r="E183" s="295"/>
      <c r="F183" s="295"/>
      <c r="G183" s="295"/>
      <c r="H183" s="295"/>
      <c r="I183" s="297"/>
      <c r="J183" s="297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249"/>
      <c r="W183" s="249"/>
      <c r="X183" s="249"/>
      <c r="Y183" s="249"/>
      <c r="Z183" s="249"/>
      <c r="AA183" s="249"/>
      <c r="AB183" s="249"/>
    </row>
    <row r="184" ht="15.75" customHeight="1">
      <c r="A184" s="295"/>
      <c r="B184" s="295"/>
      <c r="C184" s="296"/>
      <c r="D184" s="295"/>
      <c r="E184" s="295"/>
      <c r="F184" s="295"/>
      <c r="G184" s="295"/>
      <c r="H184" s="295"/>
      <c r="I184" s="297"/>
      <c r="J184" s="297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249"/>
      <c r="W184" s="249"/>
      <c r="X184" s="249"/>
      <c r="Y184" s="249"/>
      <c r="Z184" s="249"/>
      <c r="AA184" s="249"/>
      <c r="AB184" s="249"/>
    </row>
    <row r="185" ht="15.75" customHeight="1">
      <c r="A185" s="295"/>
      <c r="B185" s="295"/>
      <c r="C185" s="296"/>
      <c r="D185" s="295"/>
      <c r="E185" s="295"/>
      <c r="F185" s="295"/>
      <c r="G185" s="295"/>
      <c r="H185" s="295"/>
      <c r="I185" s="297"/>
      <c r="J185" s="297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249"/>
      <c r="W185" s="249"/>
      <c r="X185" s="249"/>
      <c r="Y185" s="249"/>
      <c r="Z185" s="249"/>
      <c r="AA185" s="249"/>
      <c r="AB185" s="249"/>
    </row>
    <row r="186" ht="15.75" customHeight="1">
      <c r="A186" s="295"/>
      <c r="B186" s="295"/>
      <c r="C186" s="296"/>
      <c r="D186" s="295"/>
      <c r="E186" s="295"/>
      <c r="F186" s="295"/>
      <c r="G186" s="295"/>
      <c r="H186" s="295"/>
      <c r="I186" s="297"/>
      <c r="J186" s="297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249"/>
      <c r="W186" s="249"/>
      <c r="X186" s="249"/>
      <c r="Y186" s="249"/>
      <c r="Z186" s="249"/>
      <c r="AA186" s="249"/>
      <c r="AB186" s="249"/>
    </row>
    <row r="187" ht="15.75" customHeight="1">
      <c r="A187" s="295"/>
      <c r="B187" s="295"/>
      <c r="C187" s="296"/>
      <c r="D187" s="295"/>
      <c r="E187" s="295"/>
      <c r="F187" s="295"/>
      <c r="G187" s="295"/>
      <c r="H187" s="295"/>
      <c r="I187" s="297"/>
      <c r="J187" s="297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249"/>
      <c r="W187" s="249"/>
      <c r="X187" s="249"/>
      <c r="Y187" s="249"/>
      <c r="Z187" s="249"/>
      <c r="AA187" s="249"/>
      <c r="AB187" s="249"/>
    </row>
    <row r="188" ht="15.75" customHeight="1">
      <c r="A188" s="295"/>
      <c r="B188" s="295"/>
      <c r="C188" s="296"/>
      <c r="D188" s="295"/>
      <c r="E188" s="295"/>
      <c r="F188" s="295"/>
      <c r="G188" s="295"/>
      <c r="H188" s="295"/>
      <c r="I188" s="297"/>
      <c r="J188" s="297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249"/>
      <c r="W188" s="249"/>
      <c r="X188" s="249"/>
      <c r="Y188" s="249"/>
      <c r="Z188" s="249"/>
      <c r="AA188" s="249"/>
      <c r="AB188" s="249"/>
    </row>
    <row r="189" ht="15.75" customHeight="1">
      <c r="A189" s="295"/>
      <c r="B189" s="295"/>
      <c r="C189" s="296"/>
      <c r="D189" s="295"/>
      <c r="E189" s="295"/>
      <c r="F189" s="295"/>
      <c r="G189" s="295"/>
      <c r="H189" s="295"/>
      <c r="I189" s="297"/>
      <c r="J189" s="297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249"/>
      <c r="W189" s="249"/>
      <c r="X189" s="249"/>
      <c r="Y189" s="249"/>
      <c r="Z189" s="249"/>
      <c r="AA189" s="249"/>
      <c r="AB189" s="249"/>
    </row>
    <row r="190" ht="15.75" customHeight="1">
      <c r="A190" s="295"/>
      <c r="B190" s="295"/>
      <c r="C190" s="296"/>
      <c r="D190" s="295"/>
      <c r="E190" s="295"/>
      <c r="F190" s="295"/>
      <c r="G190" s="295"/>
      <c r="H190" s="295"/>
      <c r="I190" s="297"/>
      <c r="J190" s="297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249"/>
      <c r="W190" s="249"/>
      <c r="X190" s="249"/>
      <c r="Y190" s="249"/>
      <c r="Z190" s="249"/>
      <c r="AA190" s="249"/>
      <c r="AB190" s="249"/>
    </row>
    <row r="191" ht="15.75" customHeight="1">
      <c r="A191" s="295"/>
      <c r="B191" s="295"/>
      <c r="C191" s="296"/>
      <c r="D191" s="295"/>
      <c r="E191" s="295"/>
      <c r="F191" s="295"/>
      <c r="G191" s="295"/>
      <c r="H191" s="295"/>
      <c r="I191" s="297"/>
      <c r="J191" s="297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249"/>
      <c r="W191" s="249"/>
      <c r="X191" s="249"/>
      <c r="Y191" s="249"/>
      <c r="Z191" s="249"/>
      <c r="AA191" s="249"/>
      <c r="AB191" s="249"/>
    </row>
    <row r="192" ht="15.75" customHeight="1">
      <c r="A192" s="295"/>
      <c r="B192" s="295"/>
      <c r="C192" s="296"/>
      <c r="D192" s="295"/>
      <c r="E192" s="295"/>
      <c r="F192" s="295"/>
      <c r="G192" s="295"/>
      <c r="H192" s="295"/>
      <c r="I192" s="297"/>
      <c r="J192" s="297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249"/>
      <c r="W192" s="249"/>
      <c r="X192" s="249"/>
      <c r="Y192" s="249"/>
      <c r="Z192" s="249"/>
      <c r="AA192" s="249"/>
      <c r="AB192" s="249"/>
    </row>
    <row r="193" ht="15.75" customHeight="1">
      <c r="A193" s="295"/>
      <c r="B193" s="295"/>
      <c r="C193" s="296"/>
      <c r="D193" s="295"/>
      <c r="E193" s="295"/>
      <c r="F193" s="295"/>
      <c r="G193" s="295"/>
      <c r="H193" s="295"/>
      <c r="I193" s="297"/>
      <c r="J193" s="297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249"/>
      <c r="W193" s="249"/>
      <c r="X193" s="249"/>
      <c r="Y193" s="249"/>
      <c r="Z193" s="249"/>
      <c r="AA193" s="249"/>
      <c r="AB193" s="249"/>
    </row>
    <row r="194" ht="15.75" customHeight="1">
      <c r="A194" s="295"/>
      <c r="B194" s="295"/>
      <c r="C194" s="296"/>
      <c r="D194" s="295"/>
      <c r="E194" s="295"/>
      <c r="F194" s="295"/>
      <c r="G194" s="295"/>
      <c r="H194" s="295"/>
      <c r="I194" s="297"/>
      <c r="J194" s="297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249"/>
      <c r="W194" s="249"/>
      <c r="X194" s="249"/>
      <c r="Y194" s="249"/>
      <c r="Z194" s="249"/>
      <c r="AA194" s="249"/>
      <c r="AB194" s="249"/>
    </row>
    <row r="195" ht="15.75" customHeight="1">
      <c r="A195" s="295"/>
      <c r="B195" s="295"/>
      <c r="C195" s="296"/>
      <c r="D195" s="295"/>
      <c r="E195" s="295"/>
      <c r="F195" s="295"/>
      <c r="G195" s="295"/>
      <c r="H195" s="295"/>
      <c r="I195" s="297"/>
      <c r="J195" s="297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249"/>
      <c r="W195" s="249"/>
      <c r="X195" s="249"/>
      <c r="Y195" s="249"/>
      <c r="Z195" s="249"/>
      <c r="AA195" s="249"/>
      <c r="AB195" s="249"/>
    </row>
    <row r="196" ht="15.75" customHeight="1">
      <c r="A196" s="295"/>
      <c r="B196" s="295"/>
      <c r="C196" s="296"/>
      <c r="D196" s="295"/>
      <c r="E196" s="295"/>
      <c r="F196" s="295"/>
      <c r="G196" s="295"/>
      <c r="H196" s="295"/>
      <c r="I196" s="297"/>
      <c r="J196" s="297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249"/>
      <c r="W196" s="249"/>
      <c r="X196" s="249"/>
      <c r="Y196" s="249"/>
      <c r="Z196" s="249"/>
      <c r="AA196" s="249"/>
      <c r="AB196" s="249"/>
    </row>
    <row r="197" ht="15.75" customHeight="1">
      <c r="A197" s="295"/>
      <c r="B197" s="295"/>
      <c r="C197" s="296"/>
      <c r="D197" s="295"/>
      <c r="E197" s="295"/>
      <c r="F197" s="295"/>
      <c r="G197" s="295"/>
      <c r="H197" s="295"/>
      <c r="I197" s="297"/>
      <c r="J197" s="297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249"/>
      <c r="W197" s="249"/>
      <c r="X197" s="249"/>
      <c r="Y197" s="249"/>
      <c r="Z197" s="249"/>
      <c r="AA197" s="249"/>
      <c r="AB197" s="249"/>
    </row>
    <row r="198" ht="15.75" customHeight="1">
      <c r="A198" s="295"/>
      <c r="B198" s="295"/>
      <c r="C198" s="296"/>
      <c r="D198" s="295"/>
      <c r="E198" s="295"/>
      <c r="F198" s="295"/>
      <c r="G198" s="295"/>
      <c r="H198" s="295"/>
      <c r="I198" s="297"/>
      <c r="J198" s="297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249"/>
      <c r="W198" s="249"/>
      <c r="X198" s="249"/>
      <c r="Y198" s="249"/>
      <c r="Z198" s="249"/>
      <c r="AA198" s="249"/>
      <c r="AB198" s="249"/>
    </row>
    <row r="199" ht="15.75" customHeight="1">
      <c r="A199" s="295"/>
      <c r="B199" s="295"/>
      <c r="C199" s="296"/>
      <c r="D199" s="295"/>
      <c r="E199" s="295"/>
      <c r="F199" s="295"/>
      <c r="G199" s="295"/>
      <c r="H199" s="295"/>
      <c r="I199" s="297"/>
      <c r="J199" s="297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249"/>
      <c r="W199" s="249"/>
      <c r="X199" s="249"/>
      <c r="Y199" s="249"/>
      <c r="Z199" s="249"/>
      <c r="AA199" s="249"/>
      <c r="AB199" s="249"/>
    </row>
    <row r="200" ht="15.75" customHeight="1">
      <c r="A200" s="295"/>
      <c r="B200" s="295"/>
      <c r="C200" s="296"/>
      <c r="D200" s="295"/>
      <c r="E200" s="295"/>
      <c r="F200" s="295"/>
      <c r="G200" s="295"/>
      <c r="H200" s="295"/>
      <c r="I200" s="297"/>
      <c r="J200" s="297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249"/>
      <c r="W200" s="249"/>
      <c r="X200" s="249"/>
      <c r="Y200" s="249"/>
      <c r="Z200" s="249"/>
      <c r="AA200" s="249"/>
      <c r="AB200" s="249"/>
    </row>
    <row r="201" ht="15.75" customHeight="1">
      <c r="A201" s="295"/>
      <c r="B201" s="295"/>
      <c r="C201" s="296"/>
      <c r="D201" s="295"/>
      <c r="E201" s="295"/>
      <c r="F201" s="295"/>
      <c r="G201" s="295"/>
      <c r="H201" s="295"/>
      <c r="I201" s="297"/>
      <c r="J201" s="297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249"/>
      <c r="W201" s="249"/>
      <c r="X201" s="249"/>
      <c r="Y201" s="249"/>
      <c r="Z201" s="249"/>
      <c r="AA201" s="249"/>
      <c r="AB201" s="249"/>
    </row>
    <row r="202" ht="15.75" customHeight="1">
      <c r="A202" s="295"/>
      <c r="B202" s="295"/>
      <c r="C202" s="296"/>
      <c r="D202" s="295"/>
      <c r="E202" s="295"/>
      <c r="F202" s="295"/>
      <c r="G202" s="295"/>
      <c r="H202" s="295"/>
      <c r="I202" s="297"/>
      <c r="J202" s="297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249"/>
      <c r="W202" s="249"/>
      <c r="X202" s="249"/>
      <c r="Y202" s="249"/>
      <c r="Z202" s="249"/>
      <c r="AA202" s="249"/>
      <c r="AB202" s="249"/>
    </row>
    <row r="203" ht="15.75" customHeight="1">
      <c r="A203" s="295"/>
      <c r="B203" s="295"/>
      <c r="C203" s="296"/>
      <c r="D203" s="295"/>
      <c r="E203" s="295"/>
      <c r="F203" s="295"/>
      <c r="G203" s="295"/>
      <c r="H203" s="295"/>
      <c r="I203" s="297"/>
      <c r="J203" s="297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249"/>
      <c r="W203" s="249"/>
      <c r="X203" s="249"/>
      <c r="Y203" s="249"/>
      <c r="Z203" s="249"/>
      <c r="AA203" s="249"/>
      <c r="AB203" s="249"/>
    </row>
    <row r="204" ht="15.75" customHeight="1">
      <c r="A204" s="295"/>
      <c r="B204" s="295"/>
      <c r="C204" s="296"/>
      <c r="D204" s="295"/>
      <c r="E204" s="295"/>
      <c r="F204" s="295"/>
      <c r="G204" s="295"/>
      <c r="H204" s="295"/>
      <c r="I204" s="297"/>
      <c r="J204" s="297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249"/>
      <c r="W204" s="249"/>
      <c r="X204" s="249"/>
      <c r="Y204" s="249"/>
      <c r="Z204" s="249"/>
      <c r="AA204" s="249"/>
      <c r="AB204" s="249"/>
    </row>
    <row r="205" ht="15.75" customHeight="1">
      <c r="A205" s="295"/>
      <c r="B205" s="295"/>
      <c r="C205" s="296"/>
      <c r="D205" s="295"/>
      <c r="E205" s="295"/>
      <c r="F205" s="295"/>
      <c r="G205" s="295"/>
      <c r="H205" s="295"/>
      <c r="I205" s="297"/>
      <c r="J205" s="297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249"/>
      <c r="W205" s="249"/>
      <c r="X205" s="249"/>
      <c r="Y205" s="249"/>
      <c r="Z205" s="249"/>
      <c r="AA205" s="249"/>
      <c r="AB205" s="249"/>
    </row>
    <row r="206" ht="15.75" customHeight="1">
      <c r="A206" s="295"/>
      <c r="B206" s="295"/>
      <c r="C206" s="296"/>
      <c r="D206" s="295"/>
      <c r="E206" s="295"/>
      <c r="F206" s="295"/>
      <c r="G206" s="295"/>
      <c r="H206" s="295"/>
      <c r="I206" s="297"/>
      <c r="J206" s="297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  <c r="W206" s="249"/>
      <c r="X206" s="249"/>
      <c r="Y206" s="249"/>
      <c r="Z206" s="249"/>
      <c r="AA206" s="249"/>
      <c r="AB206" s="249"/>
    </row>
    <row r="207" ht="15.75" customHeight="1">
      <c r="A207" s="295"/>
      <c r="B207" s="295"/>
      <c r="C207" s="296"/>
      <c r="D207" s="295"/>
      <c r="E207" s="295"/>
      <c r="F207" s="295"/>
      <c r="G207" s="295"/>
      <c r="H207" s="295"/>
      <c r="I207" s="297"/>
      <c r="J207" s="297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249"/>
      <c r="W207" s="249"/>
      <c r="X207" s="249"/>
      <c r="Y207" s="249"/>
      <c r="Z207" s="249"/>
      <c r="AA207" s="249"/>
      <c r="AB207" s="249"/>
    </row>
    <row r="208" ht="15.75" customHeight="1">
      <c r="A208" s="295"/>
      <c r="B208" s="295"/>
      <c r="C208" s="296"/>
      <c r="D208" s="295"/>
      <c r="E208" s="295"/>
      <c r="F208" s="295"/>
      <c r="G208" s="295"/>
      <c r="H208" s="295"/>
      <c r="I208" s="297"/>
      <c r="J208" s="297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249"/>
      <c r="W208" s="249"/>
      <c r="X208" s="249"/>
      <c r="Y208" s="249"/>
      <c r="Z208" s="249"/>
      <c r="AA208" s="249"/>
      <c r="AB208" s="249"/>
    </row>
    <row r="209" ht="15.75" customHeight="1">
      <c r="A209" s="295"/>
      <c r="B209" s="295"/>
      <c r="C209" s="296"/>
      <c r="D209" s="295"/>
      <c r="E209" s="295"/>
      <c r="F209" s="295"/>
      <c r="G209" s="295"/>
      <c r="H209" s="295"/>
      <c r="I209" s="297"/>
      <c r="J209" s="297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249"/>
      <c r="W209" s="249"/>
      <c r="X209" s="249"/>
      <c r="Y209" s="249"/>
      <c r="Z209" s="249"/>
      <c r="AA209" s="249"/>
      <c r="AB209" s="249"/>
    </row>
    <row r="210" ht="15.75" customHeight="1">
      <c r="A210" s="295"/>
      <c r="B210" s="295"/>
      <c r="C210" s="296"/>
      <c r="D210" s="295"/>
      <c r="E210" s="295"/>
      <c r="F210" s="295"/>
      <c r="G210" s="295"/>
      <c r="H210" s="295"/>
      <c r="I210" s="297"/>
      <c r="J210" s="297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249"/>
      <c r="W210" s="249"/>
      <c r="X210" s="249"/>
      <c r="Y210" s="249"/>
      <c r="Z210" s="249"/>
      <c r="AA210" s="249"/>
      <c r="AB210" s="249"/>
    </row>
    <row r="211" ht="15.75" customHeight="1">
      <c r="A211" s="295"/>
      <c r="B211" s="295"/>
      <c r="C211" s="296"/>
      <c r="D211" s="295"/>
      <c r="E211" s="295"/>
      <c r="F211" s="295"/>
      <c r="G211" s="295"/>
      <c r="H211" s="295"/>
      <c r="I211" s="297"/>
      <c r="J211" s="297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249"/>
      <c r="W211" s="249"/>
      <c r="X211" s="249"/>
      <c r="Y211" s="249"/>
      <c r="Z211" s="249"/>
      <c r="AA211" s="249"/>
      <c r="AB211" s="249"/>
    </row>
    <row r="212" ht="15.75" customHeight="1">
      <c r="A212" s="295"/>
      <c r="B212" s="295"/>
      <c r="C212" s="296"/>
      <c r="D212" s="295"/>
      <c r="E212" s="295"/>
      <c r="F212" s="295"/>
      <c r="G212" s="295"/>
      <c r="H212" s="295"/>
      <c r="I212" s="297"/>
      <c r="J212" s="297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  <c r="X212" s="249"/>
      <c r="Y212" s="249"/>
      <c r="Z212" s="249"/>
      <c r="AA212" s="249"/>
      <c r="AB212" s="249"/>
    </row>
    <row r="213" ht="15.75" customHeight="1">
      <c r="A213" s="295"/>
      <c r="B213" s="295"/>
      <c r="C213" s="296"/>
      <c r="D213" s="295"/>
      <c r="E213" s="295"/>
      <c r="F213" s="295"/>
      <c r="G213" s="295"/>
      <c r="H213" s="295"/>
      <c r="I213" s="297"/>
      <c r="J213" s="297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249"/>
      <c r="W213" s="249"/>
      <c r="X213" s="249"/>
      <c r="Y213" s="249"/>
      <c r="Z213" s="249"/>
      <c r="AA213" s="249"/>
      <c r="AB213" s="249"/>
    </row>
    <row r="214" ht="15.75" customHeight="1">
      <c r="A214" s="295"/>
      <c r="B214" s="295"/>
      <c r="C214" s="296"/>
      <c r="D214" s="295"/>
      <c r="E214" s="295"/>
      <c r="F214" s="295"/>
      <c r="G214" s="295"/>
      <c r="H214" s="295"/>
      <c r="I214" s="297"/>
      <c r="J214" s="297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249"/>
      <c r="W214" s="249"/>
      <c r="X214" s="249"/>
      <c r="Y214" s="249"/>
      <c r="Z214" s="249"/>
      <c r="AA214" s="249"/>
      <c r="AB214" s="249"/>
    </row>
    <row r="215" ht="15.75" customHeight="1">
      <c r="A215" s="295"/>
      <c r="B215" s="295"/>
      <c r="C215" s="296"/>
      <c r="D215" s="295"/>
      <c r="E215" s="295"/>
      <c r="F215" s="295"/>
      <c r="G215" s="295"/>
      <c r="H215" s="295"/>
      <c r="I215" s="297"/>
      <c r="J215" s="297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  <c r="W215" s="249"/>
      <c r="X215" s="249"/>
      <c r="Y215" s="249"/>
      <c r="Z215" s="249"/>
      <c r="AA215" s="249"/>
      <c r="AB215" s="249"/>
    </row>
    <row r="216" ht="15.75" customHeight="1">
      <c r="A216" s="295"/>
      <c r="B216" s="295"/>
      <c r="C216" s="296"/>
      <c r="D216" s="295"/>
      <c r="E216" s="295"/>
      <c r="F216" s="295"/>
      <c r="G216" s="295"/>
      <c r="H216" s="295"/>
      <c r="I216" s="297"/>
      <c r="J216" s="297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249"/>
      <c r="W216" s="249"/>
      <c r="X216" s="249"/>
      <c r="Y216" s="249"/>
      <c r="Z216" s="249"/>
      <c r="AA216" s="249"/>
      <c r="AB216" s="249"/>
    </row>
    <row r="217" ht="15.75" customHeight="1">
      <c r="A217" s="295"/>
      <c r="B217" s="295"/>
      <c r="C217" s="296"/>
      <c r="D217" s="295"/>
      <c r="E217" s="295"/>
      <c r="F217" s="295"/>
      <c r="G217" s="295"/>
      <c r="H217" s="295"/>
      <c r="I217" s="297"/>
      <c r="J217" s="297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  <c r="W217" s="249"/>
      <c r="X217" s="249"/>
      <c r="Y217" s="249"/>
      <c r="Z217" s="249"/>
      <c r="AA217" s="249"/>
      <c r="AB217" s="249"/>
    </row>
    <row r="218" ht="15.75" customHeight="1">
      <c r="A218" s="295"/>
      <c r="B218" s="295"/>
      <c r="C218" s="296"/>
      <c r="D218" s="295"/>
      <c r="E218" s="295"/>
      <c r="F218" s="295"/>
      <c r="G218" s="295"/>
      <c r="H218" s="295"/>
      <c r="I218" s="297"/>
      <c r="J218" s="297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  <c r="W218" s="249"/>
      <c r="X218" s="249"/>
      <c r="Y218" s="249"/>
      <c r="Z218" s="249"/>
      <c r="AA218" s="249"/>
      <c r="AB218" s="249"/>
    </row>
    <row r="219" ht="15.75" customHeight="1">
      <c r="A219" s="295"/>
      <c r="B219" s="295"/>
      <c r="C219" s="296"/>
      <c r="D219" s="295"/>
      <c r="E219" s="295"/>
      <c r="F219" s="295"/>
      <c r="G219" s="295"/>
      <c r="H219" s="295"/>
      <c r="I219" s="297"/>
      <c r="J219" s="297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249"/>
      <c r="W219" s="249"/>
      <c r="X219" s="249"/>
      <c r="Y219" s="249"/>
      <c r="Z219" s="249"/>
      <c r="AA219" s="249"/>
      <c r="AB219" s="249"/>
    </row>
    <row r="220" ht="15.75" customHeight="1">
      <c r="A220" s="295"/>
      <c r="B220" s="295"/>
      <c r="C220" s="296"/>
      <c r="D220" s="295"/>
      <c r="E220" s="295"/>
      <c r="F220" s="295"/>
      <c r="G220" s="295"/>
      <c r="H220" s="295"/>
      <c r="I220" s="297"/>
      <c r="J220" s="297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249"/>
      <c r="W220" s="249"/>
      <c r="X220" s="249"/>
      <c r="Y220" s="249"/>
      <c r="Z220" s="249"/>
      <c r="AA220" s="249"/>
      <c r="AB220" s="249"/>
    </row>
    <row r="221" ht="15.75" customHeight="1">
      <c r="A221" s="295"/>
      <c r="B221" s="295"/>
      <c r="C221" s="296"/>
      <c r="D221" s="295"/>
      <c r="E221" s="295"/>
      <c r="F221" s="295"/>
      <c r="G221" s="295"/>
      <c r="H221" s="295"/>
      <c r="I221" s="297"/>
      <c r="J221" s="297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  <c r="W221" s="249"/>
      <c r="X221" s="249"/>
      <c r="Y221" s="249"/>
      <c r="Z221" s="249"/>
      <c r="AA221" s="249"/>
      <c r="AB221" s="249"/>
    </row>
    <row r="222" ht="15.75" customHeight="1">
      <c r="A222" s="295"/>
      <c r="B222" s="295"/>
      <c r="C222" s="296"/>
      <c r="D222" s="295"/>
      <c r="E222" s="295"/>
      <c r="F222" s="295"/>
      <c r="G222" s="295"/>
      <c r="H222" s="295"/>
      <c r="I222" s="297"/>
      <c r="J222" s="297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249"/>
      <c r="W222" s="249"/>
      <c r="X222" s="249"/>
      <c r="Y222" s="249"/>
      <c r="Z222" s="249"/>
      <c r="AA222" s="249"/>
      <c r="AB222" s="249"/>
    </row>
    <row r="223" ht="15.75" customHeight="1">
      <c r="A223" s="295"/>
      <c r="B223" s="295"/>
      <c r="C223" s="296"/>
      <c r="D223" s="295"/>
      <c r="E223" s="295"/>
      <c r="F223" s="295"/>
      <c r="G223" s="295"/>
      <c r="H223" s="295"/>
      <c r="I223" s="297"/>
      <c r="J223" s="297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249"/>
      <c r="W223" s="249"/>
      <c r="X223" s="249"/>
      <c r="Y223" s="249"/>
      <c r="Z223" s="249"/>
      <c r="AA223" s="249"/>
      <c r="AB223" s="249"/>
    </row>
    <row r="224" ht="15.75" customHeight="1">
      <c r="A224" s="295"/>
      <c r="B224" s="295"/>
      <c r="C224" s="296"/>
      <c r="D224" s="295"/>
      <c r="E224" s="295"/>
      <c r="F224" s="295"/>
      <c r="G224" s="295"/>
      <c r="H224" s="295"/>
      <c r="I224" s="297"/>
      <c r="J224" s="297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249"/>
      <c r="W224" s="249"/>
      <c r="X224" s="249"/>
      <c r="Y224" s="249"/>
      <c r="Z224" s="249"/>
      <c r="AA224" s="249"/>
      <c r="AB224" s="249"/>
    </row>
    <row r="225" ht="15.75" customHeight="1">
      <c r="A225" s="295"/>
      <c r="B225" s="295"/>
      <c r="C225" s="296"/>
      <c r="D225" s="295"/>
      <c r="E225" s="295"/>
      <c r="F225" s="295"/>
      <c r="G225" s="295"/>
      <c r="H225" s="295"/>
      <c r="I225" s="297"/>
      <c r="J225" s="297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249"/>
      <c r="W225" s="249"/>
      <c r="X225" s="249"/>
      <c r="Y225" s="249"/>
      <c r="Z225" s="249"/>
      <c r="AA225" s="249"/>
      <c r="AB225" s="249"/>
    </row>
    <row r="226" ht="15.75" customHeight="1">
      <c r="A226" s="295"/>
      <c r="B226" s="295"/>
      <c r="C226" s="296"/>
      <c r="D226" s="295"/>
      <c r="E226" s="295"/>
      <c r="F226" s="295"/>
      <c r="G226" s="295"/>
      <c r="H226" s="295"/>
      <c r="I226" s="297"/>
      <c r="J226" s="297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249"/>
      <c r="W226" s="249"/>
      <c r="X226" s="249"/>
      <c r="Y226" s="249"/>
      <c r="Z226" s="249"/>
      <c r="AA226" s="249"/>
      <c r="AB226" s="249"/>
    </row>
    <row r="227" ht="15.75" customHeight="1">
      <c r="A227" s="295"/>
      <c r="B227" s="295"/>
      <c r="C227" s="296"/>
      <c r="D227" s="295"/>
      <c r="E227" s="295"/>
      <c r="F227" s="295"/>
      <c r="G227" s="295"/>
      <c r="H227" s="295"/>
      <c r="I227" s="297"/>
      <c r="J227" s="297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249"/>
      <c r="W227" s="249"/>
      <c r="X227" s="249"/>
      <c r="Y227" s="249"/>
      <c r="Z227" s="249"/>
      <c r="AA227" s="249"/>
      <c r="AB227" s="249"/>
    </row>
    <row r="228" ht="15.75" customHeight="1">
      <c r="A228" s="295"/>
      <c r="B228" s="295"/>
      <c r="C228" s="296"/>
      <c r="D228" s="295"/>
      <c r="E228" s="295"/>
      <c r="F228" s="295"/>
      <c r="G228" s="295"/>
      <c r="H228" s="295"/>
      <c r="I228" s="297"/>
      <c r="J228" s="297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249"/>
      <c r="W228" s="249"/>
      <c r="X228" s="249"/>
      <c r="Y228" s="249"/>
      <c r="Z228" s="249"/>
      <c r="AA228" s="249"/>
      <c r="AB228" s="249"/>
    </row>
    <row r="229" ht="15.75" customHeight="1">
      <c r="A229" s="295"/>
      <c r="B229" s="295"/>
      <c r="C229" s="296"/>
      <c r="D229" s="295"/>
      <c r="E229" s="295"/>
      <c r="F229" s="295"/>
      <c r="G229" s="295"/>
      <c r="H229" s="295"/>
      <c r="I229" s="297"/>
      <c r="J229" s="297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249"/>
      <c r="W229" s="249"/>
      <c r="X229" s="249"/>
      <c r="Y229" s="249"/>
      <c r="Z229" s="249"/>
      <c r="AA229" s="249"/>
      <c r="AB229" s="249"/>
    </row>
    <row r="230" ht="15.75" customHeight="1">
      <c r="A230" s="295"/>
      <c r="B230" s="295"/>
      <c r="C230" s="296"/>
      <c r="D230" s="295"/>
      <c r="E230" s="295"/>
      <c r="F230" s="295"/>
      <c r="G230" s="295"/>
      <c r="H230" s="295"/>
      <c r="I230" s="297"/>
      <c r="J230" s="297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249"/>
      <c r="W230" s="249"/>
      <c r="X230" s="249"/>
      <c r="Y230" s="249"/>
      <c r="Z230" s="249"/>
      <c r="AA230" s="249"/>
      <c r="AB230" s="249"/>
    </row>
    <row r="231" ht="15.75" customHeight="1">
      <c r="A231" s="295"/>
      <c r="B231" s="295"/>
      <c r="C231" s="296"/>
      <c r="D231" s="295"/>
      <c r="E231" s="295"/>
      <c r="F231" s="295"/>
      <c r="G231" s="295"/>
      <c r="H231" s="295"/>
      <c r="I231" s="297"/>
      <c r="J231" s="297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249"/>
      <c r="W231" s="249"/>
      <c r="X231" s="249"/>
      <c r="Y231" s="249"/>
      <c r="Z231" s="249"/>
      <c r="AA231" s="249"/>
      <c r="AB231" s="249"/>
    </row>
    <row r="232" ht="15.75" customHeight="1">
      <c r="A232" s="295"/>
      <c r="B232" s="295"/>
      <c r="C232" s="296"/>
      <c r="D232" s="295"/>
      <c r="E232" s="295"/>
      <c r="F232" s="295"/>
      <c r="G232" s="295"/>
      <c r="H232" s="295"/>
      <c r="I232" s="297"/>
      <c r="J232" s="297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249"/>
      <c r="W232" s="249"/>
      <c r="X232" s="249"/>
      <c r="Y232" s="249"/>
      <c r="Z232" s="249"/>
      <c r="AA232" s="249"/>
      <c r="AB232" s="249"/>
    </row>
    <row r="233" ht="15.75" customHeight="1">
      <c r="A233" s="295"/>
      <c r="B233" s="295"/>
      <c r="C233" s="296"/>
      <c r="D233" s="295"/>
      <c r="E233" s="295"/>
      <c r="F233" s="295"/>
      <c r="G233" s="295"/>
      <c r="H233" s="295"/>
      <c r="I233" s="297"/>
      <c r="J233" s="297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249"/>
      <c r="W233" s="249"/>
      <c r="X233" s="249"/>
      <c r="Y233" s="249"/>
      <c r="Z233" s="249"/>
      <c r="AA233" s="249"/>
      <c r="AB233" s="249"/>
    </row>
    <row r="234" ht="15.75" customHeight="1">
      <c r="A234" s="295"/>
      <c r="B234" s="295"/>
      <c r="C234" s="296"/>
      <c r="D234" s="295"/>
      <c r="E234" s="295"/>
      <c r="F234" s="295"/>
      <c r="G234" s="295"/>
      <c r="H234" s="295"/>
      <c r="I234" s="297"/>
      <c r="J234" s="297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249"/>
      <c r="W234" s="249"/>
      <c r="X234" s="249"/>
      <c r="Y234" s="249"/>
      <c r="Z234" s="249"/>
      <c r="AA234" s="249"/>
      <c r="AB234" s="249"/>
    </row>
    <row r="235" ht="15.75" customHeight="1">
      <c r="A235" s="295"/>
      <c r="B235" s="295"/>
      <c r="C235" s="296"/>
      <c r="D235" s="295"/>
      <c r="E235" s="295"/>
      <c r="F235" s="295"/>
      <c r="G235" s="295"/>
      <c r="H235" s="295"/>
      <c r="I235" s="297"/>
      <c r="J235" s="297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249"/>
      <c r="W235" s="249"/>
      <c r="X235" s="249"/>
      <c r="Y235" s="249"/>
      <c r="Z235" s="249"/>
      <c r="AA235" s="249"/>
      <c r="AB235" s="249"/>
    </row>
    <row r="236" ht="15.75" customHeight="1">
      <c r="A236" s="295"/>
      <c r="B236" s="295"/>
      <c r="C236" s="296"/>
      <c r="D236" s="295"/>
      <c r="E236" s="295"/>
      <c r="F236" s="295"/>
      <c r="G236" s="295"/>
      <c r="H236" s="295"/>
      <c r="I236" s="297"/>
      <c r="J236" s="297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249"/>
      <c r="W236" s="249"/>
      <c r="X236" s="249"/>
      <c r="Y236" s="249"/>
      <c r="Z236" s="249"/>
      <c r="AA236" s="249"/>
      <c r="AB236" s="249"/>
    </row>
    <row r="237" ht="15.75" customHeight="1">
      <c r="A237" s="295"/>
      <c r="B237" s="295"/>
      <c r="C237" s="296"/>
      <c r="D237" s="295"/>
      <c r="E237" s="295"/>
      <c r="F237" s="295"/>
      <c r="G237" s="295"/>
      <c r="H237" s="295"/>
      <c r="I237" s="297"/>
      <c r="J237" s="297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249"/>
      <c r="W237" s="249"/>
      <c r="X237" s="249"/>
      <c r="Y237" s="249"/>
      <c r="Z237" s="249"/>
      <c r="AA237" s="249"/>
      <c r="AB237" s="249"/>
    </row>
    <row r="238" ht="15.75" customHeight="1">
      <c r="A238" s="295"/>
      <c r="B238" s="295"/>
      <c r="C238" s="296"/>
      <c r="D238" s="295"/>
      <c r="E238" s="295"/>
      <c r="F238" s="295"/>
      <c r="G238" s="295"/>
      <c r="H238" s="295"/>
      <c r="I238" s="297"/>
      <c r="J238" s="297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249"/>
      <c r="W238" s="249"/>
      <c r="X238" s="249"/>
      <c r="Y238" s="249"/>
      <c r="Z238" s="249"/>
      <c r="AA238" s="249"/>
      <c r="AB238" s="249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4.0"/>
    <col customWidth="1" hidden="1" min="5" max="5" width="22.13"/>
    <col customWidth="1" hidden="1" min="6" max="6" width="25.63"/>
    <col customWidth="1" min="7" max="7" width="16.75"/>
    <col customWidth="1" hidden="1" min="8" max="8" width="20.0"/>
    <col customWidth="1" min="9" max="9" width="15.38"/>
  </cols>
  <sheetData>
    <row r="1" ht="15.75" customHeight="1">
      <c r="A1" s="302" t="s">
        <v>143</v>
      </c>
      <c r="B1" s="302" t="s">
        <v>144</v>
      </c>
      <c r="C1" s="303" t="s">
        <v>145</v>
      </c>
      <c r="D1" s="302" t="s">
        <v>146</v>
      </c>
      <c r="E1" s="302" t="s">
        <v>147</v>
      </c>
      <c r="F1" s="302" t="s">
        <v>148</v>
      </c>
      <c r="G1" s="302" t="s">
        <v>149</v>
      </c>
      <c r="H1" s="302" t="s">
        <v>150</v>
      </c>
      <c r="I1" s="304" t="s">
        <v>96</v>
      </c>
      <c r="J1" s="305" t="s">
        <v>68</v>
      </c>
    </row>
    <row r="2" ht="15.75" customHeight="1">
      <c r="A2" s="288">
        <v>44410.0</v>
      </c>
      <c r="B2" s="220"/>
      <c r="C2" s="216"/>
      <c r="D2" s="221"/>
      <c r="E2" s="221"/>
      <c r="F2" s="216"/>
      <c r="G2" s="221"/>
      <c r="H2" s="216"/>
      <c r="I2" s="306" t="str">
        <f t="shared" ref="I2:I36" si="1">J2/G2</f>
        <v>#DIV/0!</v>
      </c>
      <c r="J2" s="307"/>
    </row>
    <row r="3" ht="15.75" customHeight="1">
      <c r="A3" s="288">
        <v>44411.0</v>
      </c>
      <c r="B3" s="220"/>
      <c r="C3" s="216"/>
      <c r="D3" s="220"/>
      <c r="E3" s="221"/>
      <c r="F3" s="216"/>
      <c r="G3" s="221"/>
      <c r="H3" s="216"/>
      <c r="I3" s="306" t="str">
        <f t="shared" si="1"/>
        <v>#DIV/0!</v>
      </c>
      <c r="J3" s="307"/>
    </row>
    <row r="4" ht="15.75" customHeight="1">
      <c r="A4" s="288">
        <v>44412.0</v>
      </c>
      <c r="B4" s="220"/>
      <c r="C4" s="216"/>
      <c r="D4" s="220"/>
      <c r="E4" s="221"/>
      <c r="F4" s="216"/>
      <c r="G4" s="220"/>
      <c r="H4" s="216"/>
      <c r="I4" s="306" t="str">
        <f t="shared" si="1"/>
        <v>#DIV/0!</v>
      </c>
      <c r="J4" s="307"/>
    </row>
    <row r="5" ht="15.75" customHeight="1">
      <c r="A5" s="288">
        <v>44413.0</v>
      </c>
      <c r="B5" s="220"/>
      <c r="C5" s="216"/>
      <c r="D5" s="220"/>
      <c r="E5" s="221"/>
      <c r="F5" s="216"/>
      <c r="G5" s="220"/>
      <c r="H5" s="216"/>
      <c r="I5" s="306" t="str">
        <f t="shared" si="1"/>
        <v>#DIV/0!</v>
      </c>
      <c r="J5" s="307"/>
    </row>
    <row r="6" ht="15.75" customHeight="1">
      <c r="A6" s="288">
        <v>44414.0</v>
      </c>
      <c r="B6" s="220"/>
      <c r="C6" s="216"/>
      <c r="D6" s="220"/>
      <c r="E6" s="221"/>
      <c r="F6" s="216"/>
      <c r="G6" s="220"/>
      <c r="H6" s="216"/>
      <c r="I6" s="306" t="str">
        <f t="shared" si="1"/>
        <v>#DIV/0!</v>
      </c>
      <c r="J6" s="307"/>
    </row>
    <row r="7" ht="15.75" customHeight="1">
      <c r="A7" s="288">
        <v>44415.0</v>
      </c>
      <c r="B7" s="220"/>
      <c r="C7" s="216"/>
      <c r="D7" s="220"/>
      <c r="E7" s="221"/>
      <c r="F7" s="216"/>
      <c r="G7" s="220"/>
      <c r="H7" s="216"/>
      <c r="I7" s="306" t="str">
        <f t="shared" si="1"/>
        <v>#DIV/0!</v>
      </c>
      <c r="J7" s="307"/>
    </row>
    <row r="8" ht="15.75" customHeight="1">
      <c r="A8" s="288">
        <v>44416.0</v>
      </c>
      <c r="B8" s="220"/>
      <c r="C8" s="216"/>
      <c r="D8" s="220"/>
      <c r="E8" s="221"/>
      <c r="F8" s="216"/>
      <c r="G8" s="220"/>
      <c r="H8" s="216"/>
      <c r="I8" s="306" t="str">
        <f t="shared" si="1"/>
        <v>#DIV/0!</v>
      </c>
      <c r="J8" s="307"/>
    </row>
    <row r="9" ht="15.75" customHeight="1">
      <c r="A9" s="288">
        <v>44417.0</v>
      </c>
      <c r="B9" s="308"/>
      <c r="C9" s="309"/>
      <c r="D9" s="220"/>
      <c r="E9" s="221"/>
      <c r="F9" s="216"/>
      <c r="G9" s="221"/>
      <c r="H9" s="216" t="str">
        <f t="shared" ref="H9:H21" si="2">G9/E9</f>
        <v>#DIV/0!</v>
      </c>
      <c r="I9" s="306" t="str">
        <f t="shared" si="1"/>
        <v>#DIV/0!</v>
      </c>
      <c r="J9" s="307"/>
    </row>
    <row r="10" ht="15.75" customHeight="1">
      <c r="A10" s="288">
        <v>44418.0</v>
      </c>
      <c r="B10" s="220"/>
      <c r="C10" s="216"/>
      <c r="D10" s="220"/>
      <c r="E10" s="221"/>
      <c r="F10" s="216"/>
      <c r="G10" s="220"/>
      <c r="H10" s="216" t="str">
        <f t="shared" si="2"/>
        <v>#DIV/0!</v>
      </c>
      <c r="I10" s="306" t="str">
        <f t="shared" si="1"/>
        <v>#DIV/0!</v>
      </c>
      <c r="J10" s="310"/>
    </row>
    <row r="11" ht="15.75" customHeight="1">
      <c r="A11" s="288">
        <v>44419.0</v>
      </c>
      <c r="B11" s="308"/>
      <c r="C11" s="309"/>
      <c r="D11" s="221"/>
      <c r="E11" s="221"/>
      <c r="F11" s="216"/>
      <c r="G11" s="221"/>
      <c r="H11" s="216" t="str">
        <f t="shared" si="2"/>
        <v>#DIV/0!</v>
      </c>
      <c r="I11" s="306" t="str">
        <f t="shared" si="1"/>
        <v>#DIV/0!</v>
      </c>
      <c r="J11" s="310"/>
    </row>
    <row r="12" ht="15.75" customHeight="1">
      <c r="A12" s="288">
        <v>44420.0</v>
      </c>
      <c r="B12" s="220"/>
      <c r="C12" s="216"/>
      <c r="D12" s="220"/>
      <c r="E12" s="221"/>
      <c r="F12" s="216"/>
      <c r="G12" s="220"/>
      <c r="H12" s="216" t="str">
        <f t="shared" si="2"/>
        <v>#DIV/0!</v>
      </c>
      <c r="I12" s="306" t="str">
        <f t="shared" si="1"/>
        <v>#DIV/0!</v>
      </c>
      <c r="J12" s="310"/>
    </row>
    <row r="13" ht="15.75" customHeight="1">
      <c r="A13" s="288">
        <v>44421.0</v>
      </c>
      <c r="B13" s="220"/>
      <c r="C13" s="216"/>
      <c r="D13" s="220"/>
      <c r="E13" s="221"/>
      <c r="F13" s="216"/>
      <c r="G13" s="220"/>
      <c r="H13" s="216" t="str">
        <f t="shared" si="2"/>
        <v>#DIV/0!</v>
      </c>
      <c r="I13" s="306" t="str">
        <f t="shared" si="1"/>
        <v>#DIV/0!</v>
      </c>
      <c r="J13" s="310"/>
    </row>
    <row r="14" ht="15.75" customHeight="1">
      <c r="A14" s="288">
        <v>44422.0</v>
      </c>
      <c r="B14" s="220"/>
      <c r="C14" s="216"/>
      <c r="D14" s="220"/>
      <c r="E14" s="221"/>
      <c r="F14" s="216"/>
      <c r="G14" s="220"/>
      <c r="H14" s="216" t="str">
        <f t="shared" si="2"/>
        <v>#DIV/0!</v>
      </c>
      <c r="I14" s="306" t="str">
        <f t="shared" si="1"/>
        <v>#DIV/0!</v>
      </c>
      <c r="J14" s="310"/>
    </row>
    <row r="15" ht="15.75" customHeight="1">
      <c r="A15" s="288">
        <v>44423.0</v>
      </c>
      <c r="B15" s="220"/>
      <c r="C15" s="216"/>
      <c r="D15" s="220"/>
      <c r="E15" s="221"/>
      <c r="F15" s="216"/>
      <c r="G15" s="220"/>
      <c r="H15" s="216" t="str">
        <f t="shared" si="2"/>
        <v>#DIV/0!</v>
      </c>
      <c r="I15" s="306" t="str">
        <f t="shared" si="1"/>
        <v>#DIV/0!</v>
      </c>
      <c r="J15" s="310"/>
    </row>
    <row r="16" ht="15.75" customHeight="1">
      <c r="A16" s="288">
        <v>44424.0</v>
      </c>
      <c r="B16" s="220"/>
      <c r="C16" s="216"/>
      <c r="D16" s="220"/>
      <c r="E16" s="221"/>
      <c r="F16" s="216"/>
      <c r="G16" s="220"/>
      <c r="H16" s="216" t="str">
        <f t="shared" si="2"/>
        <v>#DIV/0!</v>
      </c>
      <c r="I16" s="306" t="str">
        <f t="shared" si="1"/>
        <v>#DIV/0!</v>
      </c>
      <c r="J16" s="310"/>
    </row>
    <row r="17" ht="15.75" customHeight="1">
      <c r="A17" s="288">
        <v>44425.0</v>
      </c>
      <c r="B17" s="220"/>
      <c r="C17" s="216"/>
      <c r="D17" s="220"/>
      <c r="E17" s="221"/>
      <c r="F17" s="216"/>
      <c r="G17" s="220"/>
      <c r="H17" s="216" t="str">
        <f t="shared" si="2"/>
        <v>#DIV/0!</v>
      </c>
      <c r="I17" s="306" t="str">
        <f t="shared" si="1"/>
        <v>#DIV/0!</v>
      </c>
      <c r="J17" s="310"/>
    </row>
    <row r="18" ht="15.75" customHeight="1">
      <c r="A18" s="288">
        <v>44426.0</v>
      </c>
      <c r="B18" s="220"/>
      <c r="C18" s="216"/>
      <c r="D18" s="220"/>
      <c r="E18" s="221"/>
      <c r="F18" s="216"/>
      <c r="G18" s="220"/>
      <c r="H18" s="216" t="str">
        <f t="shared" si="2"/>
        <v>#DIV/0!</v>
      </c>
      <c r="I18" s="306" t="str">
        <f t="shared" si="1"/>
        <v>#DIV/0!</v>
      </c>
      <c r="J18" s="310"/>
    </row>
    <row r="19" ht="15.75" customHeight="1">
      <c r="A19" s="288">
        <v>44427.0</v>
      </c>
      <c r="B19" s="220"/>
      <c r="C19" s="216"/>
      <c r="D19" s="220"/>
      <c r="E19" s="221"/>
      <c r="F19" s="216"/>
      <c r="G19" s="220"/>
      <c r="H19" s="216" t="str">
        <f t="shared" si="2"/>
        <v>#DIV/0!</v>
      </c>
      <c r="I19" s="306" t="str">
        <f t="shared" si="1"/>
        <v>#DIV/0!</v>
      </c>
      <c r="J19" s="310"/>
    </row>
    <row r="20" ht="15.75" customHeight="1">
      <c r="A20" s="288">
        <v>44428.0</v>
      </c>
      <c r="B20" s="220"/>
      <c r="C20" s="216"/>
      <c r="D20" s="220"/>
      <c r="E20" s="221"/>
      <c r="F20" s="216"/>
      <c r="G20" s="220"/>
      <c r="H20" s="216" t="str">
        <f t="shared" si="2"/>
        <v>#DIV/0!</v>
      </c>
      <c r="I20" s="306" t="str">
        <f t="shared" si="1"/>
        <v>#DIV/0!</v>
      </c>
      <c r="J20" s="310"/>
    </row>
    <row r="21" ht="15.75" customHeight="1">
      <c r="A21" s="288">
        <v>44429.0</v>
      </c>
      <c r="B21" s="220"/>
      <c r="C21" s="216"/>
      <c r="D21" s="220"/>
      <c r="E21" s="221"/>
      <c r="F21" s="216"/>
      <c r="G21" s="220"/>
      <c r="H21" s="216" t="str">
        <f t="shared" si="2"/>
        <v>#DIV/0!</v>
      </c>
      <c r="I21" s="306" t="str">
        <f t="shared" si="1"/>
        <v>#DIV/0!</v>
      </c>
      <c r="J21" s="310"/>
    </row>
    <row r="22" ht="15.75" customHeight="1">
      <c r="A22" s="288">
        <v>44430.0</v>
      </c>
      <c r="B22" s="308"/>
      <c r="C22" s="309"/>
      <c r="D22" s="220"/>
      <c r="E22" s="221"/>
      <c r="F22" s="221"/>
      <c r="G22" s="220"/>
      <c r="H22" s="221"/>
      <c r="I22" s="306" t="str">
        <f t="shared" si="1"/>
        <v>#DIV/0!</v>
      </c>
      <c r="J22" s="311"/>
    </row>
    <row r="23" ht="15.75" customHeight="1">
      <c r="A23" s="288">
        <v>44431.0</v>
      </c>
      <c r="B23" s="220"/>
      <c r="C23" s="216"/>
      <c r="D23" s="220"/>
      <c r="E23" s="221"/>
      <c r="F23" s="221"/>
      <c r="G23" s="220"/>
      <c r="H23" s="221"/>
      <c r="I23" s="306" t="str">
        <f t="shared" si="1"/>
        <v>#DIV/0!</v>
      </c>
      <c r="J23" s="310"/>
    </row>
    <row r="24" ht="15.75" customHeight="1">
      <c r="A24" s="288">
        <v>44432.0</v>
      </c>
      <c r="B24" s="220"/>
      <c r="C24" s="216"/>
      <c r="D24" s="220"/>
      <c r="E24" s="221"/>
      <c r="F24" s="221"/>
      <c r="G24" s="220"/>
      <c r="H24" s="221"/>
      <c r="I24" s="306" t="str">
        <f t="shared" si="1"/>
        <v>#DIV/0!</v>
      </c>
      <c r="J24" s="310"/>
    </row>
    <row r="25" ht="15.75" customHeight="1">
      <c r="A25" s="288">
        <v>44433.0</v>
      </c>
      <c r="B25" s="220"/>
      <c r="C25" s="216"/>
      <c r="D25" s="220"/>
      <c r="E25" s="221"/>
      <c r="F25" s="221"/>
      <c r="G25" s="220"/>
      <c r="H25" s="221"/>
      <c r="I25" s="306" t="str">
        <f t="shared" si="1"/>
        <v>#DIV/0!</v>
      </c>
      <c r="J25" s="310"/>
    </row>
    <row r="26" ht="15.75" customHeight="1">
      <c r="A26" s="288">
        <v>44434.0</v>
      </c>
      <c r="B26" s="221"/>
      <c r="C26" s="216"/>
      <c r="D26" s="221"/>
      <c r="E26" s="221"/>
      <c r="F26" s="221"/>
      <c r="G26" s="221"/>
      <c r="H26" s="221"/>
      <c r="I26" s="306" t="str">
        <f t="shared" si="1"/>
        <v>#DIV/0!</v>
      </c>
      <c r="J26" s="310"/>
    </row>
    <row r="27" ht="15.75" customHeight="1">
      <c r="A27" s="288">
        <v>44435.0</v>
      </c>
      <c r="B27" s="312"/>
      <c r="C27" s="309"/>
      <c r="D27" s="221"/>
      <c r="E27" s="221"/>
      <c r="F27" s="221"/>
      <c r="G27" s="221"/>
      <c r="H27" s="221"/>
      <c r="I27" s="306" t="str">
        <f t="shared" si="1"/>
        <v>#DIV/0!</v>
      </c>
      <c r="J27" s="310"/>
    </row>
    <row r="28" ht="15.75" customHeight="1">
      <c r="A28" s="288">
        <v>44436.0</v>
      </c>
      <c r="B28" s="221"/>
      <c r="C28" s="216"/>
      <c r="D28" s="221"/>
      <c r="E28" s="221"/>
      <c r="F28" s="221"/>
      <c r="G28" s="221"/>
      <c r="H28" s="221"/>
      <c r="I28" s="306" t="str">
        <f t="shared" si="1"/>
        <v>#DIV/0!</v>
      </c>
      <c r="J28" s="310"/>
    </row>
    <row r="29" ht="15.75" customHeight="1">
      <c r="A29" s="288">
        <v>44437.0</v>
      </c>
      <c r="B29" s="221"/>
      <c r="C29" s="216"/>
      <c r="D29" s="221"/>
      <c r="E29" s="221"/>
      <c r="F29" s="221"/>
      <c r="G29" s="221"/>
      <c r="H29" s="221"/>
      <c r="I29" s="306" t="str">
        <f t="shared" si="1"/>
        <v>#DIV/0!</v>
      </c>
      <c r="J29" s="310"/>
    </row>
    <row r="30" ht="15.75" customHeight="1">
      <c r="A30" s="288">
        <v>44438.0</v>
      </c>
      <c r="B30" s="221"/>
      <c r="C30" s="216"/>
      <c r="D30" s="221"/>
      <c r="E30" s="221"/>
      <c r="F30" s="221"/>
      <c r="G30" s="221"/>
      <c r="H30" s="221"/>
      <c r="I30" s="306" t="str">
        <f t="shared" si="1"/>
        <v>#DIV/0!</v>
      </c>
      <c r="J30" s="310"/>
    </row>
    <row r="31" ht="15.75" customHeight="1">
      <c r="A31" s="288">
        <v>44439.0</v>
      </c>
      <c r="B31" s="221"/>
      <c r="C31" s="216"/>
      <c r="D31" s="221"/>
      <c r="E31" s="221"/>
      <c r="F31" s="221"/>
      <c r="G31" s="221"/>
      <c r="H31" s="221"/>
      <c r="I31" s="306" t="str">
        <f t="shared" si="1"/>
        <v>#DIV/0!</v>
      </c>
      <c r="J31" s="310"/>
    </row>
    <row r="32" ht="15.75" customHeight="1">
      <c r="A32" s="288">
        <v>44440.0</v>
      </c>
      <c r="B32" s="221"/>
      <c r="C32" s="216"/>
      <c r="D32" s="221"/>
      <c r="E32" s="221"/>
      <c r="F32" s="221"/>
      <c r="G32" s="221"/>
      <c r="H32" s="221"/>
      <c r="I32" s="306" t="str">
        <f t="shared" si="1"/>
        <v>#DIV/0!</v>
      </c>
      <c r="J32" s="310"/>
    </row>
    <row r="33" ht="15.75" customHeight="1">
      <c r="A33" s="288">
        <v>44441.0</v>
      </c>
      <c r="B33" s="221"/>
      <c r="C33" s="216"/>
      <c r="D33" s="221"/>
      <c r="E33" s="221"/>
      <c r="F33" s="221"/>
      <c r="G33" s="221"/>
      <c r="H33" s="221"/>
      <c r="I33" s="306" t="str">
        <f t="shared" si="1"/>
        <v>#DIV/0!</v>
      </c>
      <c r="J33" s="310"/>
      <c r="K33" s="105" t="s">
        <v>158</v>
      </c>
    </row>
    <row r="34" ht="15.75" customHeight="1">
      <c r="A34" s="288">
        <v>44442.0</v>
      </c>
      <c r="B34" s="221"/>
      <c r="C34" s="216"/>
      <c r="D34" s="221"/>
      <c r="E34" s="221"/>
      <c r="F34" s="221"/>
      <c r="G34" s="221"/>
      <c r="H34" s="221"/>
      <c r="I34" s="306" t="str">
        <f t="shared" si="1"/>
        <v>#DIV/0!</v>
      </c>
      <c r="J34" s="310"/>
    </row>
    <row r="35" ht="15.75" customHeight="1">
      <c r="A35" s="288">
        <v>44443.0</v>
      </c>
      <c r="B35" s="221"/>
      <c r="C35" s="216"/>
      <c r="D35" s="221"/>
      <c r="E35" s="221"/>
      <c r="F35" s="221"/>
      <c r="G35" s="221"/>
      <c r="H35" s="221"/>
      <c r="I35" s="306" t="str">
        <f t="shared" si="1"/>
        <v>#DIV/0!</v>
      </c>
      <c r="J35" s="310"/>
    </row>
    <row r="36" ht="15.75" customHeight="1">
      <c r="A36" s="288">
        <v>44444.0</v>
      </c>
      <c r="B36" s="221"/>
      <c r="C36" s="216"/>
      <c r="D36" s="221"/>
      <c r="E36" s="221"/>
      <c r="F36" s="221"/>
      <c r="G36" s="221"/>
      <c r="H36" s="221"/>
      <c r="I36" s="306" t="str">
        <f t="shared" si="1"/>
        <v>#DIV/0!</v>
      </c>
      <c r="J36" s="310"/>
    </row>
    <row r="37" ht="15.75" customHeight="1">
      <c r="A37" s="291" t="s">
        <v>151</v>
      </c>
      <c r="B37" s="220" t="str">
        <f t="shared" ref="B37:G37" si="3">AVERAGE(B2:B36)</f>
        <v>#DIV/0!</v>
      </c>
      <c r="C37" s="216" t="str">
        <f t="shared" si="3"/>
        <v>#DIV/0!</v>
      </c>
      <c r="D37" s="221" t="str">
        <f t="shared" si="3"/>
        <v>#DIV/0!</v>
      </c>
      <c r="E37" s="221" t="str">
        <f t="shared" si="3"/>
        <v>#DIV/0!</v>
      </c>
      <c r="F37" s="216" t="str">
        <f t="shared" si="3"/>
        <v>#DIV/0!</v>
      </c>
      <c r="G37" s="221" t="str">
        <f t="shared" si="3"/>
        <v>#DIV/0!</v>
      </c>
      <c r="H37" s="221"/>
      <c r="I37" s="306"/>
      <c r="J37" s="310"/>
    </row>
    <row r="38" ht="15.75" customHeight="1">
      <c r="A38" s="313" t="s">
        <v>71</v>
      </c>
      <c r="B38" s="215">
        <f>SUM(B2:B36)</f>
        <v>0</v>
      </c>
      <c r="C38" s="216"/>
      <c r="D38" s="221">
        <f>SUM(D2:D36)</f>
        <v>0</v>
      </c>
      <c r="E38" s="221" t="str">
        <f t="shared" ref="E38:F38" si="4">AVERAGE(E9:E27)</f>
        <v>#DIV/0!</v>
      </c>
      <c r="F38" s="216" t="str">
        <f t="shared" si="4"/>
        <v>#DIV/0!</v>
      </c>
      <c r="G38" s="221">
        <f>SUM(G2:G36)</f>
        <v>0</v>
      </c>
      <c r="H38" s="221" t="str">
        <f>AVERAGE(H9:H27)</f>
        <v>#DIV/0!</v>
      </c>
      <c r="I38" s="306" t="str">
        <f>J38/G38</f>
        <v>#DIV/0!</v>
      </c>
      <c r="J38" s="310">
        <f>SUM(J2:J36)</f>
        <v>0</v>
      </c>
    </row>
    <row r="39" ht="15.75" customHeight="1">
      <c r="A39" s="314"/>
      <c r="B39" s="249"/>
      <c r="C39" s="315"/>
      <c r="I39" s="179"/>
      <c r="J39" s="316"/>
    </row>
    <row r="40" ht="15.75" customHeight="1">
      <c r="A40" s="314"/>
      <c r="B40" s="249"/>
      <c r="C40" s="315"/>
      <c r="I40" s="179"/>
      <c r="J40" s="316"/>
    </row>
    <row r="41" ht="15.75" customHeight="1">
      <c r="A41" s="314"/>
      <c r="B41" s="249"/>
      <c r="C41" s="315"/>
      <c r="I41" s="179"/>
      <c r="J41" s="316"/>
    </row>
    <row r="42" ht="15.75" customHeight="1">
      <c r="A42" s="314"/>
      <c r="B42" s="249"/>
      <c r="C42" s="315"/>
      <c r="I42" s="179"/>
      <c r="J42" s="316"/>
    </row>
    <row r="43" ht="15.75" customHeight="1">
      <c r="A43" s="314"/>
      <c r="B43" s="249"/>
      <c r="C43" s="315"/>
      <c r="I43" s="179"/>
      <c r="J43" s="316"/>
    </row>
    <row r="44" ht="15.75" customHeight="1">
      <c r="A44" s="314"/>
      <c r="B44" s="249"/>
      <c r="C44" s="315"/>
      <c r="I44" s="179"/>
      <c r="J44" s="316"/>
    </row>
    <row r="45" ht="15.75" customHeight="1">
      <c r="A45" s="314"/>
      <c r="B45" s="249"/>
      <c r="C45" s="315"/>
      <c r="I45" s="179"/>
      <c r="J45" s="316"/>
    </row>
    <row r="46" ht="15.75" customHeight="1">
      <c r="A46" s="314"/>
      <c r="B46" s="249"/>
      <c r="C46" s="315"/>
      <c r="I46" s="179"/>
      <c r="J46" s="316"/>
    </row>
    <row r="47" ht="15.75" customHeight="1">
      <c r="A47" s="314"/>
      <c r="B47" s="249"/>
      <c r="C47" s="315"/>
      <c r="I47" s="179"/>
      <c r="J47" s="316"/>
    </row>
    <row r="48" ht="15.75" customHeight="1">
      <c r="A48" s="314"/>
      <c r="B48" s="249"/>
      <c r="C48" s="315"/>
      <c r="I48" s="179"/>
      <c r="J48" s="316"/>
    </row>
    <row r="49" ht="15.75" customHeight="1">
      <c r="A49" s="314"/>
      <c r="B49" s="249"/>
      <c r="C49" s="315"/>
      <c r="I49" s="179"/>
      <c r="J49" s="316"/>
    </row>
    <row r="50" ht="15.75" customHeight="1">
      <c r="A50" s="314"/>
      <c r="B50" s="249"/>
      <c r="C50" s="315"/>
      <c r="I50" s="179"/>
      <c r="J50" s="316"/>
    </row>
    <row r="51" ht="15.75" customHeight="1">
      <c r="A51" s="314"/>
      <c r="B51" s="249"/>
      <c r="C51" s="315"/>
      <c r="I51" s="179"/>
      <c r="J51" s="316"/>
    </row>
    <row r="52" ht="15.75" customHeight="1">
      <c r="A52" s="314"/>
      <c r="B52" s="249"/>
      <c r="C52" s="315"/>
      <c r="I52" s="179"/>
      <c r="J52" s="316"/>
    </row>
    <row r="53" ht="15.75" customHeight="1">
      <c r="A53" s="314"/>
      <c r="B53" s="249"/>
      <c r="C53" s="315"/>
      <c r="I53" s="179"/>
      <c r="J53" s="316"/>
    </row>
    <row r="54" ht="15.75" customHeight="1">
      <c r="A54" s="314"/>
      <c r="B54" s="249"/>
      <c r="C54" s="315"/>
      <c r="I54" s="179"/>
      <c r="J54" s="316"/>
    </row>
    <row r="55" ht="15.75" customHeight="1">
      <c r="A55" s="314"/>
      <c r="B55" s="249"/>
      <c r="C55" s="315"/>
      <c r="I55" s="179"/>
      <c r="J55" s="316"/>
    </row>
    <row r="56" ht="15.75" customHeight="1">
      <c r="A56" s="314"/>
      <c r="B56" s="249"/>
      <c r="C56" s="315"/>
      <c r="I56" s="179"/>
      <c r="J56" s="316"/>
    </row>
    <row r="57" ht="15.75" customHeight="1">
      <c r="A57" s="314"/>
      <c r="B57" s="249"/>
      <c r="C57" s="315"/>
      <c r="I57" s="179"/>
      <c r="J57" s="316"/>
    </row>
    <row r="58" ht="15.75" customHeight="1">
      <c r="A58" s="314"/>
      <c r="B58" s="249"/>
      <c r="C58" s="315"/>
      <c r="I58" s="179"/>
      <c r="J58" s="316"/>
    </row>
    <row r="59" ht="15.75" customHeight="1">
      <c r="A59" s="314"/>
      <c r="B59" s="249"/>
      <c r="C59" s="315"/>
      <c r="I59" s="179"/>
      <c r="J59" s="316"/>
    </row>
    <row r="60" ht="15.75" customHeight="1">
      <c r="A60" s="314"/>
      <c r="B60" s="249"/>
      <c r="C60" s="315"/>
      <c r="I60" s="179"/>
      <c r="J60" s="316"/>
    </row>
    <row r="61" ht="15.75" customHeight="1">
      <c r="A61" s="314"/>
      <c r="B61" s="249"/>
      <c r="C61" s="315"/>
      <c r="I61" s="179"/>
      <c r="J61" s="316"/>
    </row>
    <row r="62" ht="15.75" customHeight="1">
      <c r="A62" s="314"/>
      <c r="B62" s="249"/>
      <c r="C62" s="315"/>
      <c r="I62" s="179"/>
      <c r="J62" s="316"/>
    </row>
    <row r="63" ht="15.75" customHeight="1">
      <c r="A63" s="314"/>
      <c r="B63" s="249"/>
      <c r="C63" s="315"/>
      <c r="I63" s="179"/>
      <c r="J63" s="316"/>
    </row>
    <row r="64" ht="15.75" customHeight="1">
      <c r="A64" s="314"/>
      <c r="B64" s="249"/>
      <c r="C64" s="315"/>
      <c r="I64" s="179"/>
      <c r="J64" s="316"/>
    </row>
    <row r="65" ht="15.75" customHeight="1">
      <c r="A65" s="314"/>
      <c r="B65" s="249"/>
      <c r="C65" s="315"/>
      <c r="I65" s="179"/>
      <c r="J65" s="316"/>
    </row>
    <row r="66" ht="15.75" customHeight="1">
      <c r="A66" s="314"/>
      <c r="B66" s="249"/>
      <c r="C66" s="315"/>
      <c r="I66" s="179"/>
      <c r="J66" s="316"/>
    </row>
    <row r="67" ht="15.75" customHeight="1">
      <c r="A67" s="314"/>
      <c r="B67" s="249"/>
      <c r="C67" s="315"/>
      <c r="I67" s="179"/>
      <c r="J67" s="316"/>
    </row>
    <row r="68" ht="15.75" customHeight="1">
      <c r="A68" s="314"/>
      <c r="B68" s="249"/>
      <c r="C68" s="315"/>
      <c r="I68" s="179"/>
      <c r="J68" s="316"/>
    </row>
    <row r="69" ht="15.75" customHeight="1">
      <c r="A69" s="314"/>
      <c r="B69" s="249"/>
      <c r="C69" s="315"/>
      <c r="I69" s="179"/>
      <c r="J69" s="316"/>
    </row>
    <row r="70" ht="15.75" customHeight="1">
      <c r="A70" s="314"/>
      <c r="B70" s="249"/>
      <c r="C70" s="315"/>
      <c r="I70" s="179"/>
      <c r="J70" s="316"/>
    </row>
    <row r="71" ht="15.75" customHeight="1">
      <c r="A71" s="314"/>
      <c r="B71" s="249"/>
      <c r="C71" s="315"/>
      <c r="I71" s="179"/>
      <c r="J71" s="316"/>
    </row>
    <row r="72" ht="15.75" customHeight="1">
      <c r="A72" s="314"/>
      <c r="B72" s="249"/>
      <c r="C72" s="315"/>
      <c r="I72" s="179"/>
      <c r="J72" s="316"/>
    </row>
    <row r="73" ht="15.75" customHeight="1">
      <c r="A73" s="314"/>
      <c r="B73" s="249"/>
      <c r="C73" s="315"/>
      <c r="I73" s="179"/>
      <c r="J73" s="316"/>
    </row>
    <row r="74" ht="15.75" customHeight="1">
      <c r="A74" s="314"/>
      <c r="B74" s="249"/>
      <c r="C74" s="315"/>
      <c r="I74" s="179"/>
      <c r="J74" s="316"/>
    </row>
    <row r="75" ht="15.75" customHeight="1">
      <c r="A75" s="314"/>
      <c r="B75" s="249"/>
      <c r="C75" s="315"/>
      <c r="I75" s="179"/>
      <c r="J75" s="316"/>
    </row>
    <row r="76" ht="15.75" customHeight="1">
      <c r="A76" s="314"/>
      <c r="B76" s="249"/>
      <c r="C76" s="315"/>
      <c r="I76" s="179"/>
      <c r="J76" s="316"/>
    </row>
    <row r="77" ht="15.75" customHeight="1">
      <c r="A77" s="314"/>
      <c r="B77" s="249"/>
      <c r="C77" s="315"/>
      <c r="I77" s="179"/>
      <c r="J77" s="316"/>
    </row>
    <row r="78" ht="15.75" customHeight="1">
      <c r="A78" s="314"/>
      <c r="B78" s="249"/>
      <c r="C78" s="315"/>
      <c r="I78" s="179"/>
      <c r="J78" s="316"/>
    </row>
    <row r="79" ht="15.75" customHeight="1">
      <c r="A79" s="314"/>
      <c r="B79" s="249"/>
      <c r="C79" s="315"/>
      <c r="I79" s="179"/>
      <c r="J79" s="316"/>
    </row>
    <row r="80" ht="15.75" customHeight="1">
      <c r="A80" s="314"/>
      <c r="B80" s="249"/>
      <c r="C80" s="315"/>
      <c r="I80" s="179"/>
      <c r="J80" s="316"/>
    </row>
    <row r="81" ht="15.75" customHeight="1">
      <c r="A81" s="314"/>
      <c r="B81" s="249"/>
      <c r="C81" s="315"/>
      <c r="I81" s="179"/>
      <c r="J81" s="316"/>
    </row>
    <row r="82" ht="15.75" customHeight="1">
      <c r="A82" s="314"/>
      <c r="B82" s="249"/>
      <c r="C82" s="315"/>
      <c r="I82" s="179"/>
      <c r="J82" s="316"/>
    </row>
    <row r="83" ht="15.75" customHeight="1">
      <c r="A83" s="314"/>
      <c r="B83" s="249"/>
      <c r="C83" s="315"/>
      <c r="I83" s="179"/>
      <c r="J83" s="316"/>
    </row>
    <row r="84" ht="15.75" customHeight="1">
      <c r="A84" s="314"/>
      <c r="B84" s="249"/>
      <c r="C84" s="315"/>
      <c r="I84" s="179"/>
      <c r="J84" s="316"/>
    </row>
    <row r="85" ht="15.75" customHeight="1">
      <c r="A85" s="314"/>
      <c r="B85" s="249"/>
      <c r="C85" s="315"/>
      <c r="I85" s="179"/>
      <c r="J85" s="316"/>
    </row>
    <row r="86" ht="15.75" customHeight="1">
      <c r="A86" s="314"/>
      <c r="B86" s="249"/>
      <c r="C86" s="315"/>
      <c r="I86" s="179"/>
      <c r="J86" s="316"/>
    </row>
    <row r="87" ht="15.75" customHeight="1">
      <c r="A87" s="314"/>
      <c r="B87" s="249"/>
      <c r="C87" s="315"/>
      <c r="I87" s="179"/>
      <c r="J87" s="316"/>
    </row>
    <row r="88" ht="15.75" customHeight="1">
      <c r="A88" s="314"/>
      <c r="B88" s="249"/>
      <c r="C88" s="315"/>
      <c r="I88" s="179"/>
      <c r="J88" s="316"/>
    </row>
    <row r="89" ht="15.75" customHeight="1">
      <c r="A89" s="314"/>
      <c r="B89" s="249"/>
      <c r="C89" s="315"/>
      <c r="I89" s="179"/>
      <c r="J89" s="316"/>
    </row>
    <row r="90" ht="15.75" customHeight="1">
      <c r="A90" s="314"/>
      <c r="B90" s="249"/>
      <c r="C90" s="315"/>
      <c r="I90" s="179"/>
      <c r="J90" s="316"/>
    </row>
    <row r="91" ht="15.75" customHeight="1">
      <c r="A91" s="314"/>
      <c r="B91" s="249"/>
      <c r="C91" s="315"/>
      <c r="I91" s="179"/>
      <c r="J91" s="316"/>
    </row>
    <row r="92" ht="15.75" customHeight="1">
      <c r="A92" s="314"/>
      <c r="B92" s="249"/>
      <c r="C92" s="315"/>
      <c r="I92" s="179"/>
      <c r="J92" s="316"/>
    </row>
    <row r="93" ht="15.75" customHeight="1">
      <c r="A93" s="314"/>
      <c r="B93" s="249"/>
      <c r="C93" s="315"/>
      <c r="I93" s="179"/>
      <c r="J93" s="316"/>
    </row>
    <row r="94" ht="15.75" customHeight="1">
      <c r="A94" s="314"/>
      <c r="B94" s="249"/>
      <c r="C94" s="315"/>
      <c r="I94" s="179"/>
      <c r="J94" s="316"/>
    </row>
    <row r="95" ht="15.75" customHeight="1">
      <c r="A95" s="314"/>
      <c r="B95" s="249"/>
      <c r="C95" s="315"/>
      <c r="I95" s="179"/>
      <c r="J95" s="316"/>
    </row>
    <row r="96" ht="15.75" customHeight="1">
      <c r="A96" s="314"/>
      <c r="B96" s="249"/>
      <c r="C96" s="315"/>
      <c r="I96" s="179"/>
      <c r="J96" s="316"/>
    </row>
    <row r="97" ht="15.75" customHeight="1">
      <c r="A97" s="314"/>
      <c r="B97" s="249"/>
      <c r="C97" s="315"/>
      <c r="I97" s="179"/>
      <c r="J97" s="316"/>
    </row>
    <row r="98" ht="15.75" customHeight="1">
      <c r="A98" s="314"/>
      <c r="B98" s="249"/>
      <c r="C98" s="315"/>
      <c r="I98" s="179"/>
      <c r="J98" s="316"/>
    </row>
    <row r="99" ht="15.75" customHeight="1">
      <c r="A99" s="314"/>
      <c r="B99" s="249"/>
      <c r="C99" s="315"/>
      <c r="I99" s="179"/>
      <c r="J99" s="316"/>
    </row>
    <row r="100" ht="15.75" customHeight="1">
      <c r="A100" s="314"/>
      <c r="B100" s="249"/>
      <c r="C100" s="315"/>
      <c r="I100" s="179"/>
      <c r="J100" s="316"/>
    </row>
    <row r="101" ht="15.75" customHeight="1">
      <c r="A101" s="314"/>
      <c r="B101" s="249"/>
      <c r="C101" s="315"/>
      <c r="I101" s="179"/>
      <c r="J101" s="316"/>
    </row>
    <row r="102" ht="15.75" customHeight="1">
      <c r="A102" s="314"/>
      <c r="B102" s="249"/>
      <c r="C102" s="315"/>
      <c r="I102" s="179"/>
      <c r="J102" s="316"/>
    </row>
    <row r="103" ht="15.75" customHeight="1">
      <c r="A103" s="314"/>
      <c r="B103" s="249"/>
      <c r="C103" s="315"/>
      <c r="I103" s="179"/>
      <c r="J103" s="316"/>
    </row>
    <row r="104" ht="15.75" customHeight="1">
      <c r="A104" s="314"/>
      <c r="B104" s="249"/>
      <c r="C104" s="315"/>
      <c r="I104" s="179"/>
      <c r="J104" s="316"/>
    </row>
    <row r="105" ht="15.75" customHeight="1">
      <c r="A105" s="314"/>
      <c r="B105" s="249"/>
      <c r="C105" s="315"/>
      <c r="I105" s="179"/>
      <c r="J105" s="316"/>
    </row>
    <row r="106" ht="15.75" customHeight="1">
      <c r="A106" s="314"/>
      <c r="B106" s="249"/>
      <c r="C106" s="315"/>
      <c r="I106" s="179"/>
      <c r="J106" s="316"/>
    </row>
    <row r="107" ht="15.75" customHeight="1">
      <c r="A107" s="314"/>
      <c r="B107" s="249"/>
      <c r="C107" s="315"/>
      <c r="I107" s="179"/>
      <c r="J107" s="316"/>
    </row>
    <row r="108" ht="15.75" customHeight="1">
      <c r="A108" s="314"/>
      <c r="B108" s="249"/>
      <c r="C108" s="315"/>
      <c r="I108" s="179"/>
      <c r="J108" s="316"/>
    </row>
    <row r="109" ht="15.75" customHeight="1">
      <c r="A109" s="314"/>
      <c r="B109" s="249"/>
      <c r="C109" s="315"/>
      <c r="I109" s="179"/>
      <c r="J109" s="316"/>
    </row>
    <row r="110" ht="15.75" customHeight="1">
      <c r="A110" s="314"/>
      <c r="B110" s="249"/>
      <c r="C110" s="315"/>
      <c r="I110" s="179"/>
      <c r="J110" s="316"/>
    </row>
    <row r="111" ht="15.75" customHeight="1">
      <c r="A111" s="314"/>
      <c r="B111" s="249"/>
      <c r="C111" s="315"/>
      <c r="I111" s="179"/>
      <c r="J111" s="316"/>
    </row>
    <row r="112" ht="15.75" customHeight="1">
      <c r="A112" s="314"/>
      <c r="B112" s="249"/>
      <c r="C112" s="315"/>
      <c r="I112" s="179"/>
      <c r="J112" s="316"/>
    </row>
    <row r="113" ht="15.75" customHeight="1">
      <c r="A113" s="314"/>
      <c r="B113" s="249"/>
      <c r="C113" s="315"/>
      <c r="I113" s="179"/>
      <c r="J113" s="316"/>
    </row>
    <row r="114" ht="15.75" customHeight="1">
      <c r="A114" s="314"/>
      <c r="B114" s="249"/>
      <c r="C114" s="315"/>
      <c r="I114" s="179"/>
      <c r="J114" s="316"/>
    </row>
    <row r="115" ht="15.75" customHeight="1">
      <c r="A115" s="314"/>
      <c r="B115" s="249"/>
      <c r="C115" s="315"/>
      <c r="I115" s="179"/>
      <c r="J115" s="316"/>
    </row>
    <row r="116" ht="15.75" customHeight="1">
      <c r="A116" s="314"/>
      <c r="B116" s="249"/>
      <c r="C116" s="315"/>
      <c r="I116" s="179"/>
      <c r="J116" s="316"/>
    </row>
    <row r="117" ht="15.75" customHeight="1">
      <c r="A117" s="314"/>
      <c r="B117" s="249"/>
      <c r="C117" s="315"/>
      <c r="I117" s="179"/>
      <c r="J117" s="316"/>
    </row>
    <row r="118" ht="15.75" customHeight="1">
      <c r="A118" s="314"/>
      <c r="B118" s="249"/>
      <c r="C118" s="315"/>
      <c r="I118" s="179"/>
      <c r="J118" s="316"/>
    </row>
    <row r="119" ht="15.75" customHeight="1">
      <c r="A119" s="314"/>
      <c r="B119" s="249"/>
      <c r="C119" s="315"/>
      <c r="I119" s="179"/>
      <c r="J119" s="316"/>
    </row>
    <row r="120" ht="15.75" customHeight="1">
      <c r="A120" s="314"/>
      <c r="B120" s="249"/>
      <c r="C120" s="315"/>
      <c r="I120" s="179"/>
      <c r="J120" s="316"/>
    </row>
    <row r="121" ht="15.75" customHeight="1">
      <c r="A121" s="314"/>
      <c r="B121" s="249"/>
      <c r="C121" s="315"/>
      <c r="I121" s="179"/>
      <c r="J121" s="316"/>
    </row>
    <row r="122" ht="15.75" customHeight="1">
      <c r="A122" s="314"/>
      <c r="B122" s="249"/>
      <c r="C122" s="315"/>
      <c r="I122" s="179"/>
      <c r="J122" s="316"/>
    </row>
    <row r="123" ht="15.75" customHeight="1">
      <c r="A123" s="314"/>
      <c r="B123" s="249"/>
      <c r="C123" s="315"/>
      <c r="I123" s="179"/>
      <c r="J123" s="316"/>
    </row>
    <row r="124" ht="15.75" customHeight="1">
      <c r="A124" s="314"/>
      <c r="B124" s="249"/>
      <c r="C124" s="315"/>
      <c r="I124" s="179"/>
      <c r="J124" s="316"/>
    </row>
    <row r="125" ht="15.75" customHeight="1">
      <c r="A125" s="314"/>
      <c r="B125" s="249"/>
      <c r="C125" s="315"/>
      <c r="I125" s="179"/>
      <c r="J125" s="316"/>
    </row>
    <row r="126" ht="15.75" customHeight="1">
      <c r="A126" s="314"/>
      <c r="B126" s="249"/>
      <c r="C126" s="315"/>
      <c r="I126" s="179"/>
      <c r="J126" s="316"/>
    </row>
    <row r="127" ht="15.75" customHeight="1">
      <c r="A127" s="314"/>
      <c r="B127" s="249"/>
      <c r="C127" s="315"/>
      <c r="I127" s="179"/>
      <c r="J127" s="316"/>
    </row>
    <row r="128" ht="15.75" customHeight="1">
      <c r="A128" s="314"/>
      <c r="B128" s="249"/>
      <c r="C128" s="315"/>
      <c r="I128" s="179"/>
      <c r="J128" s="316"/>
    </row>
    <row r="129" ht="15.75" customHeight="1">
      <c r="A129" s="314"/>
      <c r="B129" s="249"/>
      <c r="C129" s="315"/>
      <c r="I129" s="179"/>
      <c r="J129" s="316"/>
    </row>
    <row r="130" ht="15.75" customHeight="1">
      <c r="A130" s="314"/>
      <c r="B130" s="249"/>
      <c r="C130" s="315"/>
      <c r="I130" s="179"/>
      <c r="J130" s="316"/>
    </row>
    <row r="131" ht="15.75" customHeight="1">
      <c r="A131" s="314"/>
      <c r="B131" s="249"/>
      <c r="C131" s="315"/>
      <c r="I131" s="179"/>
      <c r="J131" s="316"/>
    </row>
    <row r="132" ht="15.75" customHeight="1">
      <c r="A132" s="314"/>
      <c r="B132" s="249"/>
      <c r="C132" s="315"/>
      <c r="I132" s="179"/>
      <c r="J132" s="316"/>
    </row>
    <row r="133" ht="15.75" customHeight="1">
      <c r="A133" s="314"/>
      <c r="B133" s="249"/>
      <c r="C133" s="315"/>
      <c r="I133" s="179"/>
      <c r="J133" s="316"/>
    </row>
    <row r="134" ht="15.75" customHeight="1">
      <c r="A134" s="314"/>
      <c r="B134" s="249"/>
      <c r="C134" s="315"/>
      <c r="I134" s="179"/>
      <c r="J134" s="316"/>
    </row>
    <row r="135" ht="15.75" customHeight="1">
      <c r="A135" s="314"/>
      <c r="B135" s="249"/>
      <c r="C135" s="315"/>
      <c r="I135" s="179"/>
      <c r="J135" s="316"/>
    </row>
    <row r="136" ht="15.75" customHeight="1">
      <c r="A136" s="314"/>
      <c r="B136" s="249"/>
      <c r="C136" s="315"/>
      <c r="I136" s="179"/>
      <c r="J136" s="316"/>
    </row>
    <row r="137" ht="15.75" customHeight="1">
      <c r="A137" s="314"/>
      <c r="B137" s="249"/>
      <c r="C137" s="315"/>
      <c r="I137" s="179"/>
      <c r="J137" s="316"/>
    </row>
    <row r="138" ht="15.75" customHeight="1">
      <c r="A138" s="314"/>
      <c r="B138" s="249"/>
      <c r="C138" s="315"/>
      <c r="I138" s="179"/>
      <c r="J138" s="316"/>
    </row>
    <row r="139" ht="15.75" customHeight="1">
      <c r="A139" s="314"/>
      <c r="B139" s="249"/>
      <c r="C139" s="315"/>
      <c r="I139" s="179"/>
      <c r="J139" s="316"/>
    </row>
    <row r="140" ht="15.75" customHeight="1">
      <c r="A140" s="314"/>
      <c r="B140" s="249"/>
      <c r="C140" s="315"/>
      <c r="I140" s="179"/>
      <c r="J140" s="316"/>
    </row>
    <row r="141" ht="15.75" customHeight="1">
      <c r="A141" s="314"/>
      <c r="B141" s="249"/>
      <c r="C141" s="315"/>
      <c r="I141" s="179"/>
      <c r="J141" s="316"/>
    </row>
    <row r="142" ht="15.75" customHeight="1">
      <c r="A142" s="314"/>
      <c r="B142" s="249"/>
      <c r="C142" s="315"/>
      <c r="I142" s="179"/>
      <c r="J142" s="316"/>
    </row>
    <row r="143" ht="15.75" customHeight="1">
      <c r="A143" s="314"/>
      <c r="B143" s="249"/>
      <c r="C143" s="315"/>
      <c r="I143" s="179"/>
      <c r="J143" s="316"/>
    </row>
    <row r="144" ht="15.75" customHeight="1">
      <c r="A144" s="314"/>
      <c r="B144" s="249"/>
      <c r="C144" s="315"/>
      <c r="I144" s="179"/>
      <c r="J144" s="316"/>
    </row>
    <row r="145" ht="15.75" customHeight="1">
      <c r="A145" s="314"/>
      <c r="B145" s="249"/>
      <c r="C145" s="315"/>
      <c r="I145" s="179"/>
      <c r="J145" s="316"/>
    </row>
    <row r="146" ht="15.75" customHeight="1">
      <c r="A146" s="314"/>
      <c r="B146" s="249"/>
      <c r="C146" s="315"/>
      <c r="I146" s="179"/>
      <c r="J146" s="316"/>
    </row>
    <row r="147" ht="15.75" customHeight="1">
      <c r="A147" s="314"/>
      <c r="B147" s="249"/>
      <c r="C147" s="315"/>
      <c r="I147" s="179"/>
      <c r="J147" s="316"/>
    </row>
    <row r="148" ht="15.75" customHeight="1">
      <c r="A148" s="314"/>
      <c r="B148" s="249"/>
      <c r="C148" s="315"/>
      <c r="I148" s="179"/>
      <c r="J148" s="316"/>
    </row>
    <row r="149" ht="15.75" customHeight="1">
      <c r="A149" s="314"/>
      <c r="B149" s="249"/>
      <c r="C149" s="315"/>
      <c r="I149" s="179"/>
      <c r="J149" s="316"/>
    </row>
    <row r="150" ht="15.75" customHeight="1">
      <c r="A150" s="314"/>
      <c r="B150" s="249"/>
      <c r="C150" s="315"/>
      <c r="I150" s="179"/>
      <c r="J150" s="316"/>
    </row>
    <row r="151" ht="15.75" customHeight="1">
      <c r="A151" s="314"/>
      <c r="B151" s="249"/>
      <c r="C151" s="315"/>
      <c r="I151" s="179"/>
      <c r="J151" s="316"/>
    </row>
    <row r="152" ht="15.75" customHeight="1">
      <c r="A152" s="314"/>
      <c r="B152" s="249"/>
      <c r="C152" s="315"/>
      <c r="I152" s="179"/>
      <c r="J152" s="316"/>
    </row>
    <row r="153" ht="15.75" customHeight="1">
      <c r="A153" s="314"/>
      <c r="B153" s="249"/>
      <c r="C153" s="315"/>
      <c r="I153" s="179"/>
      <c r="J153" s="316"/>
    </row>
    <row r="154" ht="15.75" customHeight="1">
      <c r="A154" s="314"/>
      <c r="B154" s="249"/>
      <c r="C154" s="315"/>
      <c r="I154" s="179"/>
      <c r="J154" s="316"/>
    </row>
    <row r="155" ht="15.75" customHeight="1">
      <c r="A155" s="314"/>
      <c r="B155" s="249"/>
      <c r="C155" s="315"/>
      <c r="I155" s="179"/>
      <c r="J155" s="316"/>
    </row>
    <row r="156" ht="15.75" customHeight="1">
      <c r="A156" s="314"/>
      <c r="B156" s="249"/>
      <c r="C156" s="315"/>
      <c r="I156" s="179"/>
      <c r="J156" s="316"/>
    </row>
    <row r="157" ht="15.75" customHeight="1">
      <c r="A157" s="314"/>
      <c r="B157" s="249"/>
      <c r="C157" s="315"/>
      <c r="I157" s="179"/>
      <c r="J157" s="316"/>
    </row>
    <row r="158" ht="15.75" customHeight="1">
      <c r="A158" s="314"/>
      <c r="B158" s="249"/>
      <c r="C158" s="315"/>
      <c r="I158" s="179"/>
      <c r="J158" s="316"/>
    </row>
    <row r="159" ht="15.75" customHeight="1">
      <c r="A159" s="314"/>
      <c r="B159" s="249"/>
      <c r="C159" s="315"/>
      <c r="I159" s="179"/>
      <c r="J159" s="316"/>
    </row>
    <row r="160" ht="15.75" customHeight="1">
      <c r="A160" s="314"/>
      <c r="B160" s="249"/>
      <c r="C160" s="315"/>
      <c r="I160" s="179"/>
      <c r="J160" s="316"/>
    </row>
    <row r="161" ht="15.75" customHeight="1">
      <c r="A161" s="314"/>
      <c r="B161" s="249"/>
      <c r="C161" s="315"/>
      <c r="I161" s="179"/>
      <c r="J161" s="316"/>
    </row>
    <row r="162" ht="15.75" customHeight="1">
      <c r="A162" s="314"/>
      <c r="B162" s="249"/>
      <c r="C162" s="315"/>
      <c r="I162" s="179"/>
      <c r="J162" s="316"/>
    </row>
    <row r="163" ht="15.75" customHeight="1">
      <c r="A163" s="314"/>
      <c r="B163" s="249"/>
      <c r="C163" s="315"/>
      <c r="I163" s="179"/>
      <c r="J163" s="316"/>
    </row>
    <row r="164" ht="15.75" customHeight="1">
      <c r="A164" s="314"/>
      <c r="B164" s="249"/>
      <c r="C164" s="315"/>
      <c r="I164" s="179"/>
      <c r="J164" s="316"/>
    </row>
    <row r="165" ht="15.75" customHeight="1">
      <c r="A165" s="314"/>
      <c r="B165" s="249"/>
      <c r="C165" s="315"/>
      <c r="I165" s="179"/>
      <c r="J165" s="316"/>
    </row>
    <row r="166" ht="15.75" customHeight="1">
      <c r="A166" s="314"/>
      <c r="B166" s="249"/>
      <c r="C166" s="315"/>
      <c r="I166" s="179"/>
      <c r="J166" s="316"/>
    </row>
    <row r="167" ht="15.75" customHeight="1">
      <c r="A167" s="314"/>
      <c r="B167" s="249"/>
      <c r="C167" s="315"/>
      <c r="I167" s="179"/>
      <c r="J167" s="316"/>
    </row>
    <row r="168" ht="15.75" customHeight="1">
      <c r="A168" s="314"/>
      <c r="B168" s="249"/>
      <c r="C168" s="315"/>
      <c r="I168" s="179"/>
      <c r="J168" s="316"/>
    </row>
    <row r="169" ht="15.75" customHeight="1">
      <c r="A169" s="314"/>
      <c r="B169" s="249"/>
      <c r="C169" s="315"/>
      <c r="I169" s="179"/>
      <c r="J169" s="316"/>
    </row>
    <row r="170" ht="15.75" customHeight="1">
      <c r="A170" s="314"/>
      <c r="B170" s="249"/>
      <c r="C170" s="315"/>
      <c r="I170" s="179"/>
      <c r="J170" s="316"/>
    </row>
    <row r="171" ht="15.75" customHeight="1">
      <c r="A171" s="314"/>
      <c r="B171" s="249"/>
      <c r="C171" s="315"/>
      <c r="I171" s="179"/>
      <c r="J171" s="316"/>
    </row>
    <row r="172" ht="15.75" customHeight="1">
      <c r="A172" s="314"/>
      <c r="B172" s="249"/>
      <c r="C172" s="315"/>
      <c r="I172" s="179"/>
      <c r="J172" s="316"/>
    </row>
    <row r="173" ht="15.75" customHeight="1">
      <c r="A173" s="314"/>
      <c r="B173" s="249"/>
      <c r="C173" s="315"/>
      <c r="I173" s="179"/>
      <c r="J173" s="316"/>
    </row>
    <row r="174" ht="15.75" customHeight="1">
      <c r="A174" s="314"/>
      <c r="B174" s="249"/>
      <c r="C174" s="315"/>
      <c r="I174" s="179"/>
      <c r="J174" s="316"/>
    </row>
    <row r="175" ht="15.75" customHeight="1">
      <c r="A175" s="314"/>
      <c r="B175" s="249"/>
      <c r="C175" s="315"/>
      <c r="I175" s="179"/>
      <c r="J175" s="316"/>
    </row>
    <row r="176" ht="15.75" customHeight="1">
      <c r="A176" s="314"/>
      <c r="B176" s="249"/>
      <c r="C176" s="315"/>
      <c r="I176" s="179"/>
      <c r="J176" s="316"/>
    </row>
    <row r="177" ht="15.75" customHeight="1">
      <c r="A177" s="314"/>
      <c r="B177" s="249"/>
      <c r="C177" s="315"/>
      <c r="I177" s="179"/>
      <c r="J177" s="316"/>
    </row>
    <row r="178" ht="15.75" customHeight="1">
      <c r="A178" s="314"/>
      <c r="B178" s="249"/>
      <c r="C178" s="315"/>
      <c r="I178" s="179"/>
      <c r="J178" s="316"/>
    </row>
    <row r="179" ht="15.75" customHeight="1">
      <c r="A179" s="314"/>
      <c r="B179" s="249"/>
      <c r="C179" s="315"/>
      <c r="I179" s="179"/>
      <c r="J179" s="316"/>
    </row>
    <row r="180" ht="15.75" customHeight="1">
      <c r="A180" s="314"/>
      <c r="B180" s="249"/>
      <c r="C180" s="315"/>
      <c r="I180" s="179"/>
      <c r="J180" s="316"/>
    </row>
    <row r="181" ht="15.75" customHeight="1">
      <c r="A181" s="314"/>
      <c r="B181" s="249"/>
      <c r="C181" s="315"/>
      <c r="I181" s="179"/>
      <c r="J181" s="316"/>
    </row>
    <row r="182" ht="15.75" customHeight="1">
      <c r="A182" s="314"/>
      <c r="B182" s="249"/>
      <c r="C182" s="315"/>
      <c r="I182" s="179"/>
      <c r="J182" s="316"/>
    </row>
    <row r="183" ht="15.75" customHeight="1">
      <c r="A183" s="314"/>
      <c r="B183" s="249"/>
      <c r="C183" s="315"/>
      <c r="I183" s="179"/>
      <c r="J183" s="316"/>
    </row>
    <row r="184" ht="15.75" customHeight="1">
      <c r="A184" s="314"/>
      <c r="B184" s="249"/>
      <c r="C184" s="315"/>
      <c r="I184" s="179"/>
      <c r="J184" s="316"/>
    </row>
    <row r="185" ht="15.75" customHeight="1">
      <c r="A185" s="314"/>
      <c r="B185" s="249"/>
      <c r="C185" s="315"/>
      <c r="I185" s="179"/>
      <c r="J185" s="316"/>
    </row>
    <row r="186" ht="15.75" customHeight="1">
      <c r="A186" s="314"/>
      <c r="B186" s="249"/>
      <c r="C186" s="315"/>
      <c r="I186" s="179"/>
      <c r="J186" s="316"/>
    </row>
    <row r="187" ht="15.75" customHeight="1">
      <c r="A187" s="314"/>
      <c r="B187" s="249"/>
      <c r="C187" s="315"/>
      <c r="I187" s="179"/>
      <c r="J187" s="316"/>
    </row>
    <row r="188" ht="15.75" customHeight="1">
      <c r="A188" s="314"/>
      <c r="B188" s="249"/>
      <c r="C188" s="315"/>
      <c r="I188" s="179"/>
      <c r="J188" s="316"/>
    </row>
    <row r="189" ht="15.75" customHeight="1">
      <c r="A189" s="314"/>
      <c r="B189" s="249"/>
      <c r="C189" s="315"/>
      <c r="I189" s="179"/>
      <c r="J189" s="316"/>
    </row>
    <row r="190" ht="15.75" customHeight="1">
      <c r="A190" s="314"/>
      <c r="B190" s="249"/>
      <c r="C190" s="315"/>
      <c r="I190" s="179"/>
      <c r="J190" s="316"/>
    </row>
    <row r="191" ht="15.75" customHeight="1">
      <c r="A191" s="314"/>
      <c r="B191" s="249"/>
      <c r="C191" s="315"/>
      <c r="I191" s="179"/>
      <c r="J191" s="316"/>
    </row>
    <row r="192" ht="15.75" customHeight="1">
      <c r="A192" s="314"/>
      <c r="B192" s="249"/>
      <c r="C192" s="315"/>
      <c r="I192" s="179"/>
      <c r="J192" s="316"/>
    </row>
    <row r="193" ht="15.75" customHeight="1">
      <c r="A193" s="314"/>
      <c r="B193" s="249"/>
      <c r="C193" s="315"/>
      <c r="I193" s="179"/>
      <c r="J193" s="316"/>
    </row>
    <row r="194" ht="15.75" customHeight="1">
      <c r="A194" s="314"/>
      <c r="B194" s="249"/>
      <c r="C194" s="315"/>
      <c r="I194" s="179"/>
      <c r="J194" s="316"/>
    </row>
    <row r="195" ht="15.75" customHeight="1">
      <c r="A195" s="314"/>
      <c r="B195" s="249"/>
      <c r="C195" s="315"/>
      <c r="I195" s="179"/>
      <c r="J195" s="316"/>
    </row>
    <row r="196" ht="15.75" customHeight="1">
      <c r="A196" s="314"/>
      <c r="B196" s="249"/>
      <c r="C196" s="315"/>
      <c r="I196" s="179"/>
      <c r="J196" s="316"/>
    </row>
    <row r="197" ht="15.75" customHeight="1">
      <c r="A197" s="314"/>
      <c r="B197" s="249"/>
      <c r="C197" s="315"/>
      <c r="I197" s="179"/>
      <c r="J197" s="316"/>
    </row>
    <row r="198" ht="15.75" customHeight="1">
      <c r="A198" s="314"/>
      <c r="B198" s="249"/>
      <c r="C198" s="315"/>
      <c r="I198" s="179"/>
      <c r="J198" s="316"/>
    </row>
    <row r="199" ht="15.75" customHeight="1">
      <c r="A199" s="314"/>
      <c r="B199" s="249"/>
      <c r="C199" s="315"/>
      <c r="I199" s="179"/>
      <c r="J199" s="316"/>
    </row>
    <row r="200" ht="15.75" customHeight="1">
      <c r="A200" s="314"/>
      <c r="B200" s="249"/>
      <c r="C200" s="315"/>
      <c r="I200" s="179"/>
      <c r="J200" s="316"/>
    </row>
    <row r="201" ht="15.75" customHeight="1">
      <c r="A201" s="314"/>
      <c r="B201" s="249"/>
      <c r="C201" s="315"/>
      <c r="I201" s="179"/>
      <c r="J201" s="316"/>
    </row>
    <row r="202" ht="15.75" customHeight="1">
      <c r="A202" s="314"/>
      <c r="B202" s="249"/>
      <c r="C202" s="315"/>
      <c r="I202" s="179"/>
      <c r="J202" s="316"/>
    </row>
    <row r="203" ht="15.75" customHeight="1">
      <c r="A203" s="314"/>
      <c r="B203" s="249"/>
      <c r="C203" s="315"/>
      <c r="I203" s="179"/>
      <c r="J203" s="316"/>
    </row>
    <row r="204" ht="15.75" customHeight="1">
      <c r="A204" s="314"/>
      <c r="B204" s="249"/>
      <c r="C204" s="315"/>
      <c r="I204" s="179"/>
      <c r="J204" s="316"/>
    </row>
    <row r="205" ht="15.75" customHeight="1">
      <c r="A205" s="314"/>
      <c r="B205" s="249"/>
      <c r="C205" s="315"/>
      <c r="I205" s="179"/>
      <c r="J205" s="316"/>
    </row>
    <row r="206" ht="15.75" customHeight="1">
      <c r="A206" s="314"/>
      <c r="B206" s="249"/>
      <c r="C206" s="315"/>
      <c r="I206" s="179"/>
      <c r="J206" s="316"/>
    </row>
    <row r="207" ht="15.75" customHeight="1">
      <c r="A207" s="314"/>
      <c r="B207" s="249"/>
      <c r="C207" s="315"/>
      <c r="I207" s="179"/>
      <c r="J207" s="316"/>
    </row>
    <row r="208" ht="15.75" customHeight="1">
      <c r="A208" s="314"/>
      <c r="B208" s="249"/>
      <c r="C208" s="315"/>
      <c r="I208" s="179"/>
      <c r="J208" s="316"/>
    </row>
    <row r="209" ht="15.75" customHeight="1">
      <c r="A209" s="314"/>
      <c r="B209" s="249"/>
      <c r="C209" s="315"/>
      <c r="I209" s="179"/>
      <c r="J209" s="316"/>
    </row>
    <row r="210" ht="15.75" customHeight="1">
      <c r="A210" s="314"/>
      <c r="B210" s="249"/>
      <c r="C210" s="315"/>
      <c r="I210" s="179"/>
      <c r="J210" s="316"/>
    </row>
    <row r="211" ht="15.75" customHeight="1">
      <c r="A211" s="314"/>
      <c r="B211" s="249"/>
      <c r="C211" s="315"/>
      <c r="I211" s="179"/>
      <c r="J211" s="316"/>
    </row>
    <row r="212" ht="15.75" customHeight="1">
      <c r="A212" s="314"/>
      <c r="B212" s="249"/>
      <c r="C212" s="315"/>
      <c r="I212" s="179"/>
      <c r="J212" s="316"/>
    </row>
    <row r="213" ht="15.75" customHeight="1">
      <c r="A213" s="314"/>
      <c r="B213" s="249"/>
      <c r="C213" s="315"/>
      <c r="I213" s="179"/>
      <c r="J213" s="316"/>
    </row>
    <row r="214" ht="15.75" customHeight="1">
      <c r="A214" s="314"/>
      <c r="B214" s="249"/>
      <c r="C214" s="315"/>
      <c r="I214" s="179"/>
      <c r="J214" s="316"/>
    </row>
    <row r="215" ht="15.75" customHeight="1">
      <c r="A215" s="314"/>
      <c r="B215" s="249"/>
      <c r="C215" s="315"/>
      <c r="I215" s="179"/>
      <c r="J215" s="316"/>
    </row>
    <row r="216" ht="15.75" customHeight="1">
      <c r="A216" s="314"/>
      <c r="B216" s="249"/>
      <c r="C216" s="315"/>
      <c r="I216" s="179"/>
      <c r="J216" s="316"/>
    </row>
    <row r="217" ht="15.75" customHeight="1">
      <c r="A217" s="314"/>
      <c r="B217" s="249"/>
      <c r="C217" s="315"/>
      <c r="I217" s="179"/>
      <c r="J217" s="316"/>
    </row>
    <row r="218" ht="15.75" customHeight="1">
      <c r="A218" s="314"/>
      <c r="B218" s="249"/>
      <c r="C218" s="315"/>
      <c r="I218" s="179"/>
      <c r="J218" s="316"/>
    </row>
    <row r="219" ht="15.75" customHeight="1">
      <c r="A219" s="314"/>
      <c r="B219" s="249"/>
      <c r="C219" s="315"/>
      <c r="I219" s="179"/>
      <c r="J219" s="316"/>
    </row>
    <row r="220" ht="15.75" customHeight="1">
      <c r="A220" s="314"/>
      <c r="B220" s="249"/>
      <c r="C220" s="315"/>
      <c r="I220" s="179"/>
      <c r="J220" s="316"/>
    </row>
    <row r="221" ht="15.75" customHeight="1">
      <c r="A221" s="314"/>
      <c r="B221" s="249"/>
      <c r="C221" s="315"/>
      <c r="I221" s="179"/>
      <c r="J221" s="316"/>
    </row>
    <row r="222" ht="15.75" customHeight="1">
      <c r="A222" s="314"/>
      <c r="B222" s="249"/>
      <c r="C222" s="315"/>
      <c r="I222" s="179"/>
      <c r="J222" s="316"/>
    </row>
    <row r="223" ht="15.75" customHeight="1">
      <c r="A223" s="314"/>
      <c r="B223" s="249"/>
      <c r="C223" s="315"/>
      <c r="I223" s="179"/>
      <c r="J223" s="316"/>
    </row>
    <row r="224" ht="15.75" customHeight="1">
      <c r="A224" s="314"/>
      <c r="B224" s="249"/>
      <c r="C224" s="315"/>
      <c r="I224" s="179"/>
      <c r="J224" s="316"/>
    </row>
    <row r="225" ht="15.75" customHeight="1">
      <c r="A225" s="314"/>
      <c r="B225" s="249"/>
      <c r="C225" s="315"/>
      <c r="I225" s="179"/>
      <c r="J225" s="316"/>
    </row>
    <row r="226" ht="15.75" customHeight="1">
      <c r="A226" s="314"/>
      <c r="B226" s="249"/>
      <c r="C226" s="315"/>
      <c r="I226" s="179"/>
      <c r="J226" s="316"/>
    </row>
    <row r="227" ht="15.75" customHeight="1">
      <c r="A227" s="314"/>
      <c r="B227" s="249"/>
      <c r="C227" s="315"/>
      <c r="I227" s="179"/>
      <c r="J227" s="316"/>
    </row>
    <row r="228" ht="15.75" customHeight="1">
      <c r="A228" s="314"/>
      <c r="B228" s="249"/>
      <c r="C228" s="315"/>
      <c r="I228" s="179"/>
      <c r="J228" s="316"/>
    </row>
    <row r="229" ht="15.75" customHeight="1">
      <c r="A229" s="314"/>
      <c r="B229" s="249"/>
      <c r="C229" s="315"/>
      <c r="I229" s="179"/>
      <c r="J229" s="316"/>
    </row>
    <row r="230" ht="15.75" customHeight="1">
      <c r="A230" s="314"/>
      <c r="B230" s="249"/>
      <c r="C230" s="315"/>
      <c r="I230" s="179"/>
      <c r="J230" s="316"/>
    </row>
    <row r="231" ht="15.75" customHeight="1">
      <c r="A231" s="314"/>
      <c r="B231" s="249"/>
      <c r="C231" s="315"/>
      <c r="I231" s="179"/>
      <c r="J231" s="316"/>
    </row>
    <row r="232" ht="15.75" customHeight="1">
      <c r="A232" s="314"/>
      <c r="B232" s="249"/>
      <c r="C232" s="315"/>
      <c r="I232" s="179"/>
      <c r="J232" s="316"/>
    </row>
    <row r="233" ht="15.75" customHeight="1">
      <c r="A233" s="314"/>
      <c r="B233" s="249"/>
      <c r="C233" s="315"/>
      <c r="I233" s="179"/>
      <c r="J233" s="316"/>
    </row>
    <row r="234" ht="15.75" customHeight="1">
      <c r="A234" s="314"/>
      <c r="B234" s="249"/>
      <c r="C234" s="315"/>
      <c r="I234" s="179"/>
      <c r="J234" s="316"/>
    </row>
    <row r="235" ht="15.75" customHeight="1">
      <c r="A235" s="314"/>
      <c r="B235" s="249"/>
      <c r="C235" s="315"/>
      <c r="I235" s="179"/>
      <c r="J235" s="316"/>
    </row>
    <row r="236" ht="15.75" customHeight="1">
      <c r="A236" s="314"/>
      <c r="B236" s="249"/>
      <c r="C236" s="315"/>
      <c r="I236" s="179"/>
      <c r="J236" s="316"/>
    </row>
    <row r="237" ht="15.75" customHeight="1">
      <c r="A237" s="314"/>
      <c r="B237" s="249"/>
      <c r="C237" s="315"/>
      <c r="I237" s="179"/>
      <c r="J237" s="316"/>
    </row>
    <row r="238" ht="15.75" customHeight="1">
      <c r="A238" s="314"/>
      <c r="B238" s="249"/>
      <c r="C238" s="315"/>
      <c r="I238" s="179"/>
      <c r="J238" s="316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4.0"/>
    <col customWidth="1" hidden="1" min="5" max="5" width="22.13"/>
    <col customWidth="1" hidden="1" min="6" max="6" width="25.63"/>
    <col customWidth="1" min="7" max="7" width="16.75"/>
    <col customWidth="1" hidden="1" min="8" max="8" width="20.0"/>
    <col customWidth="1" min="9" max="9" width="15.38"/>
  </cols>
  <sheetData>
    <row r="1" ht="15.75" customHeight="1">
      <c r="A1" s="302" t="s">
        <v>143</v>
      </c>
      <c r="B1" s="302" t="s">
        <v>144</v>
      </c>
      <c r="C1" s="303" t="s">
        <v>145</v>
      </c>
      <c r="D1" s="302" t="s">
        <v>146</v>
      </c>
      <c r="E1" s="302" t="s">
        <v>147</v>
      </c>
      <c r="F1" s="302" t="s">
        <v>148</v>
      </c>
      <c r="G1" s="302" t="s">
        <v>149</v>
      </c>
      <c r="H1" s="302" t="s">
        <v>150</v>
      </c>
      <c r="I1" s="304" t="s">
        <v>96</v>
      </c>
      <c r="J1" s="305" t="s">
        <v>68</v>
      </c>
    </row>
    <row r="2" ht="15.75" customHeight="1">
      <c r="A2" s="288">
        <v>44410.0</v>
      </c>
      <c r="B2" s="220"/>
      <c r="C2" s="216"/>
      <c r="D2" s="221"/>
      <c r="E2" s="221"/>
      <c r="F2" s="216"/>
      <c r="G2" s="221"/>
      <c r="H2" s="216"/>
      <c r="I2" s="306" t="str">
        <f t="shared" ref="I2:I36" si="1">J2/G2</f>
        <v>#DIV/0!</v>
      </c>
      <c r="J2" s="307"/>
    </row>
    <row r="3" ht="15.75" customHeight="1">
      <c r="A3" s="288">
        <v>44411.0</v>
      </c>
      <c r="B3" s="220"/>
      <c r="C3" s="216"/>
      <c r="D3" s="220"/>
      <c r="E3" s="221"/>
      <c r="F3" s="216"/>
      <c r="G3" s="221"/>
      <c r="H3" s="216"/>
      <c r="I3" s="306" t="str">
        <f t="shared" si="1"/>
        <v>#DIV/0!</v>
      </c>
      <c r="J3" s="307"/>
    </row>
    <row r="4" ht="15.75" customHeight="1">
      <c r="A4" s="288">
        <v>44412.0</v>
      </c>
      <c r="B4" s="220"/>
      <c r="C4" s="216"/>
      <c r="D4" s="220"/>
      <c r="E4" s="221"/>
      <c r="F4" s="216"/>
      <c r="G4" s="220"/>
      <c r="H4" s="216"/>
      <c r="I4" s="306" t="str">
        <f t="shared" si="1"/>
        <v>#DIV/0!</v>
      </c>
      <c r="J4" s="307"/>
    </row>
    <row r="5" ht="15.75" customHeight="1">
      <c r="A5" s="288">
        <v>44413.0</v>
      </c>
      <c r="B5" s="220"/>
      <c r="C5" s="216"/>
      <c r="D5" s="220"/>
      <c r="E5" s="221"/>
      <c r="F5" s="216"/>
      <c r="G5" s="220"/>
      <c r="H5" s="216"/>
      <c r="I5" s="306" t="str">
        <f t="shared" si="1"/>
        <v>#DIV/0!</v>
      </c>
      <c r="J5" s="307"/>
    </row>
    <row r="6" ht="15.75" customHeight="1">
      <c r="A6" s="288">
        <v>44414.0</v>
      </c>
      <c r="B6" s="220"/>
      <c r="C6" s="216"/>
      <c r="D6" s="220"/>
      <c r="E6" s="221"/>
      <c r="F6" s="216"/>
      <c r="G6" s="220"/>
      <c r="H6" s="216"/>
      <c r="I6" s="306" t="str">
        <f t="shared" si="1"/>
        <v>#DIV/0!</v>
      </c>
      <c r="J6" s="307"/>
    </row>
    <row r="7" ht="15.75" customHeight="1">
      <c r="A7" s="288">
        <v>44415.0</v>
      </c>
      <c r="B7" s="220"/>
      <c r="C7" s="216"/>
      <c r="D7" s="220"/>
      <c r="E7" s="221"/>
      <c r="F7" s="216"/>
      <c r="G7" s="220"/>
      <c r="H7" s="216"/>
      <c r="I7" s="306" t="str">
        <f t="shared" si="1"/>
        <v>#DIV/0!</v>
      </c>
      <c r="J7" s="307"/>
    </row>
    <row r="8" ht="15.75" customHeight="1">
      <c r="A8" s="288">
        <v>44416.0</v>
      </c>
      <c r="B8" s="220"/>
      <c r="C8" s="216"/>
      <c r="D8" s="220"/>
      <c r="E8" s="221"/>
      <c r="F8" s="216"/>
      <c r="G8" s="220"/>
      <c r="H8" s="216"/>
      <c r="I8" s="306" t="str">
        <f t="shared" si="1"/>
        <v>#DIV/0!</v>
      </c>
      <c r="J8" s="307"/>
    </row>
    <row r="9" ht="15.75" customHeight="1">
      <c r="A9" s="288">
        <v>44417.0</v>
      </c>
      <c r="B9" s="308"/>
      <c r="C9" s="309"/>
      <c r="D9" s="220"/>
      <c r="E9" s="221"/>
      <c r="F9" s="216"/>
      <c r="G9" s="221"/>
      <c r="H9" s="216" t="str">
        <f t="shared" ref="H9:H21" si="2">G9/E9</f>
        <v>#DIV/0!</v>
      </c>
      <c r="I9" s="306" t="str">
        <f t="shared" si="1"/>
        <v>#DIV/0!</v>
      </c>
      <c r="J9" s="307"/>
    </row>
    <row r="10" ht="15.75" customHeight="1">
      <c r="A10" s="288">
        <v>44418.0</v>
      </c>
      <c r="B10" s="220"/>
      <c r="C10" s="216"/>
      <c r="D10" s="220"/>
      <c r="E10" s="221"/>
      <c r="F10" s="216"/>
      <c r="G10" s="220"/>
      <c r="H10" s="216" t="str">
        <f t="shared" si="2"/>
        <v>#DIV/0!</v>
      </c>
      <c r="I10" s="306" t="str">
        <f t="shared" si="1"/>
        <v>#DIV/0!</v>
      </c>
      <c r="J10" s="310"/>
    </row>
    <row r="11" ht="15.75" customHeight="1">
      <c r="A11" s="288">
        <v>44419.0</v>
      </c>
      <c r="B11" s="308"/>
      <c r="C11" s="309"/>
      <c r="D11" s="221"/>
      <c r="E11" s="221"/>
      <c r="F11" s="216"/>
      <c r="G11" s="221"/>
      <c r="H11" s="216" t="str">
        <f t="shared" si="2"/>
        <v>#DIV/0!</v>
      </c>
      <c r="I11" s="306" t="str">
        <f t="shared" si="1"/>
        <v>#DIV/0!</v>
      </c>
      <c r="J11" s="310"/>
    </row>
    <row r="12" ht="15.75" customHeight="1">
      <c r="A12" s="288">
        <v>44420.0</v>
      </c>
      <c r="B12" s="220"/>
      <c r="C12" s="216"/>
      <c r="D12" s="220"/>
      <c r="E12" s="221"/>
      <c r="F12" s="216"/>
      <c r="G12" s="220"/>
      <c r="H12" s="216" t="str">
        <f t="shared" si="2"/>
        <v>#DIV/0!</v>
      </c>
      <c r="I12" s="306" t="str">
        <f t="shared" si="1"/>
        <v>#DIV/0!</v>
      </c>
      <c r="J12" s="310"/>
    </row>
    <row r="13" ht="15.75" customHeight="1">
      <c r="A13" s="288">
        <v>44421.0</v>
      </c>
      <c r="B13" s="220"/>
      <c r="C13" s="216"/>
      <c r="D13" s="220"/>
      <c r="E13" s="221"/>
      <c r="F13" s="216"/>
      <c r="G13" s="220"/>
      <c r="H13" s="216" t="str">
        <f t="shared" si="2"/>
        <v>#DIV/0!</v>
      </c>
      <c r="I13" s="306" t="str">
        <f t="shared" si="1"/>
        <v>#DIV/0!</v>
      </c>
      <c r="J13" s="310"/>
    </row>
    <row r="14" ht="15.75" customHeight="1">
      <c r="A14" s="288">
        <v>44422.0</v>
      </c>
      <c r="B14" s="220"/>
      <c r="C14" s="216"/>
      <c r="D14" s="220"/>
      <c r="E14" s="221"/>
      <c r="F14" s="216"/>
      <c r="G14" s="220"/>
      <c r="H14" s="216" t="str">
        <f t="shared" si="2"/>
        <v>#DIV/0!</v>
      </c>
      <c r="I14" s="306" t="str">
        <f t="shared" si="1"/>
        <v>#DIV/0!</v>
      </c>
      <c r="J14" s="310"/>
    </row>
    <row r="15" ht="15.75" customHeight="1">
      <c r="A15" s="288">
        <v>44423.0</v>
      </c>
      <c r="B15" s="220"/>
      <c r="C15" s="216"/>
      <c r="D15" s="220"/>
      <c r="E15" s="221"/>
      <c r="F15" s="216"/>
      <c r="G15" s="220"/>
      <c r="H15" s="216" t="str">
        <f t="shared" si="2"/>
        <v>#DIV/0!</v>
      </c>
      <c r="I15" s="306" t="str">
        <f t="shared" si="1"/>
        <v>#DIV/0!</v>
      </c>
      <c r="J15" s="310"/>
    </row>
    <row r="16" ht="15.75" customHeight="1">
      <c r="A16" s="288">
        <v>44424.0</v>
      </c>
      <c r="B16" s="220"/>
      <c r="C16" s="216"/>
      <c r="D16" s="220"/>
      <c r="E16" s="221"/>
      <c r="F16" s="216"/>
      <c r="G16" s="220"/>
      <c r="H16" s="216" t="str">
        <f t="shared" si="2"/>
        <v>#DIV/0!</v>
      </c>
      <c r="I16" s="306" t="str">
        <f t="shared" si="1"/>
        <v>#DIV/0!</v>
      </c>
      <c r="J16" s="310"/>
    </row>
    <row r="17" ht="15.75" customHeight="1">
      <c r="A17" s="288">
        <v>44425.0</v>
      </c>
      <c r="B17" s="220"/>
      <c r="C17" s="216"/>
      <c r="D17" s="220"/>
      <c r="E17" s="221"/>
      <c r="F17" s="216"/>
      <c r="G17" s="220"/>
      <c r="H17" s="216" t="str">
        <f t="shared" si="2"/>
        <v>#DIV/0!</v>
      </c>
      <c r="I17" s="306" t="str">
        <f t="shared" si="1"/>
        <v>#DIV/0!</v>
      </c>
      <c r="J17" s="310"/>
    </row>
    <row r="18" ht="15.75" customHeight="1">
      <c r="A18" s="288">
        <v>44426.0</v>
      </c>
      <c r="B18" s="220"/>
      <c r="C18" s="216"/>
      <c r="D18" s="220"/>
      <c r="E18" s="221"/>
      <c r="F18" s="216"/>
      <c r="G18" s="220"/>
      <c r="H18" s="216" t="str">
        <f t="shared" si="2"/>
        <v>#DIV/0!</v>
      </c>
      <c r="I18" s="306" t="str">
        <f t="shared" si="1"/>
        <v>#DIV/0!</v>
      </c>
      <c r="J18" s="310"/>
    </row>
    <row r="19" ht="15.75" customHeight="1">
      <c r="A19" s="288">
        <v>44427.0</v>
      </c>
      <c r="B19" s="220"/>
      <c r="C19" s="216"/>
      <c r="D19" s="220"/>
      <c r="E19" s="221"/>
      <c r="F19" s="216"/>
      <c r="G19" s="220"/>
      <c r="H19" s="216" t="str">
        <f t="shared" si="2"/>
        <v>#DIV/0!</v>
      </c>
      <c r="I19" s="306" t="str">
        <f t="shared" si="1"/>
        <v>#DIV/0!</v>
      </c>
      <c r="J19" s="310"/>
    </row>
    <row r="20" ht="15.75" customHeight="1">
      <c r="A20" s="288">
        <v>44428.0</v>
      </c>
      <c r="B20" s="220"/>
      <c r="C20" s="216"/>
      <c r="D20" s="220"/>
      <c r="E20" s="221"/>
      <c r="F20" s="216"/>
      <c r="G20" s="220"/>
      <c r="H20" s="216" t="str">
        <f t="shared" si="2"/>
        <v>#DIV/0!</v>
      </c>
      <c r="I20" s="306" t="str">
        <f t="shared" si="1"/>
        <v>#DIV/0!</v>
      </c>
      <c r="J20" s="310"/>
    </row>
    <row r="21" ht="15.75" customHeight="1">
      <c r="A21" s="288">
        <v>44429.0</v>
      </c>
      <c r="B21" s="220"/>
      <c r="C21" s="216"/>
      <c r="D21" s="220"/>
      <c r="E21" s="221"/>
      <c r="F21" s="216"/>
      <c r="G21" s="220"/>
      <c r="H21" s="216" t="str">
        <f t="shared" si="2"/>
        <v>#DIV/0!</v>
      </c>
      <c r="I21" s="306" t="str">
        <f t="shared" si="1"/>
        <v>#DIV/0!</v>
      </c>
      <c r="J21" s="310"/>
    </row>
    <row r="22" ht="15.75" customHeight="1">
      <c r="A22" s="288">
        <v>44430.0</v>
      </c>
      <c r="B22" s="308"/>
      <c r="C22" s="309"/>
      <c r="D22" s="220"/>
      <c r="E22" s="221"/>
      <c r="F22" s="221"/>
      <c r="G22" s="220"/>
      <c r="H22" s="221"/>
      <c r="I22" s="306" t="str">
        <f t="shared" si="1"/>
        <v>#DIV/0!</v>
      </c>
      <c r="J22" s="311"/>
    </row>
    <row r="23" ht="15.75" customHeight="1">
      <c r="A23" s="288">
        <v>44431.0</v>
      </c>
      <c r="B23" s="220"/>
      <c r="C23" s="216"/>
      <c r="D23" s="220"/>
      <c r="E23" s="221"/>
      <c r="F23" s="221"/>
      <c r="G23" s="220"/>
      <c r="H23" s="221"/>
      <c r="I23" s="306" t="str">
        <f t="shared" si="1"/>
        <v>#DIV/0!</v>
      </c>
      <c r="J23" s="310"/>
    </row>
    <row r="24" ht="15.75" customHeight="1">
      <c r="A24" s="288">
        <v>44432.0</v>
      </c>
      <c r="B24" s="220"/>
      <c r="C24" s="216"/>
      <c r="D24" s="220"/>
      <c r="E24" s="221"/>
      <c r="F24" s="221"/>
      <c r="G24" s="220"/>
      <c r="H24" s="221"/>
      <c r="I24" s="306" t="str">
        <f t="shared" si="1"/>
        <v>#DIV/0!</v>
      </c>
      <c r="J24" s="310"/>
    </row>
    <row r="25" ht="15.75" customHeight="1">
      <c r="A25" s="288">
        <v>44433.0</v>
      </c>
      <c r="B25" s="220"/>
      <c r="C25" s="216"/>
      <c r="D25" s="220"/>
      <c r="E25" s="221"/>
      <c r="F25" s="221"/>
      <c r="G25" s="220"/>
      <c r="H25" s="221"/>
      <c r="I25" s="306" t="str">
        <f t="shared" si="1"/>
        <v>#DIV/0!</v>
      </c>
      <c r="J25" s="310"/>
    </row>
    <row r="26" ht="15.75" customHeight="1">
      <c r="A26" s="288">
        <v>44434.0</v>
      </c>
      <c r="B26" s="221"/>
      <c r="C26" s="216"/>
      <c r="D26" s="221"/>
      <c r="E26" s="221"/>
      <c r="F26" s="221"/>
      <c r="G26" s="221"/>
      <c r="H26" s="221"/>
      <c r="I26" s="306" t="str">
        <f t="shared" si="1"/>
        <v>#DIV/0!</v>
      </c>
      <c r="J26" s="310"/>
    </row>
    <row r="27" ht="15.75" customHeight="1">
      <c r="A27" s="288">
        <v>44435.0</v>
      </c>
      <c r="B27" s="312"/>
      <c r="C27" s="309"/>
      <c r="D27" s="221"/>
      <c r="E27" s="221"/>
      <c r="F27" s="221"/>
      <c r="G27" s="221"/>
      <c r="H27" s="221"/>
      <c r="I27" s="306" t="str">
        <f t="shared" si="1"/>
        <v>#DIV/0!</v>
      </c>
      <c r="J27" s="310"/>
    </row>
    <row r="28" ht="15.75" customHeight="1">
      <c r="A28" s="288">
        <v>44436.0</v>
      </c>
      <c r="B28" s="221"/>
      <c r="C28" s="216"/>
      <c r="D28" s="221"/>
      <c r="E28" s="221"/>
      <c r="F28" s="221"/>
      <c r="G28" s="221"/>
      <c r="H28" s="221"/>
      <c r="I28" s="306" t="str">
        <f t="shared" si="1"/>
        <v>#DIV/0!</v>
      </c>
      <c r="J28" s="310"/>
    </row>
    <row r="29" ht="15.75" customHeight="1">
      <c r="A29" s="288">
        <v>44437.0</v>
      </c>
      <c r="B29" s="221"/>
      <c r="C29" s="216"/>
      <c r="D29" s="221"/>
      <c r="E29" s="221"/>
      <c r="F29" s="221"/>
      <c r="G29" s="221"/>
      <c r="H29" s="221"/>
      <c r="I29" s="306" t="str">
        <f t="shared" si="1"/>
        <v>#DIV/0!</v>
      </c>
      <c r="J29" s="310"/>
    </row>
    <row r="30" ht="15.75" customHeight="1">
      <c r="A30" s="288">
        <v>44438.0</v>
      </c>
      <c r="B30" s="221"/>
      <c r="C30" s="216"/>
      <c r="D30" s="221"/>
      <c r="E30" s="221"/>
      <c r="F30" s="221"/>
      <c r="G30" s="221"/>
      <c r="H30" s="221"/>
      <c r="I30" s="306" t="str">
        <f t="shared" si="1"/>
        <v>#DIV/0!</v>
      </c>
      <c r="J30" s="310"/>
    </row>
    <row r="31" ht="15.75" customHeight="1">
      <c r="A31" s="288">
        <v>44439.0</v>
      </c>
      <c r="B31" s="221"/>
      <c r="C31" s="216"/>
      <c r="D31" s="221"/>
      <c r="E31" s="221"/>
      <c r="F31" s="221"/>
      <c r="G31" s="221"/>
      <c r="H31" s="221"/>
      <c r="I31" s="306" t="str">
        <f t="shared" si="1"/>
        <v>#DIV/0!</v>
      </c>
      <c r="J31" s="310"/>
    </row>
    <row r="32" ht="15.75" customHeight="1">
      <c r="A32" s="288">
        <v>44440.0</v>
      </c>
      <c r="B32" s="221"/>
      <c r="C32" s="216"/>
      <c r="D32" s="221"/>
      <c r="E32" s="221"/>
      <c r="F32" s="221"/>
      <c r="G32" s="221"/>
      <c r="H32" s="221"/>
      <c r="I32" s="306" t="str">
        <f t="shared" si="1"/>
        <v>#DIV/0!</v>
      </c>
      <c r="J32" s="310"/>
    </row>
    <row r="33" ht="15.75" customHeight="1">
      <c r="A33" s="288">
        <v>44441.0</v>
      </c>
      <c r="B33" s="221"/>
      <c r="C33" s="216"/>
      <c r="D33" s="221"/>
      <c r="E33" s="221"/>
      <c r="F33" s="221"/>
      <c r="G33" s="221"/>
      <c r="H33" s="221"/>
      <c r="I33" s="306" t="str">
        <f t="shared" si="1"/>
        <v>#DIV/0!</v>
      </c>
      <c r="J33" s="310"/>
      <c r="K33" s="105" t="s">
        <v>158</v>
      </c>
    </row>
    <row r="34" ht="15.75" customHeight="1">
      <c r="A34" s="288">
        <v>44442.0</v>
      </c>
      <c r="B34" s="221"/>
      <c r="C34" s="216"/>
      <c r="D34" s="221"/>
      <c r="E34" s="221"/>
      <c r="F34" s="221"/>
      <c r="G34" s="221"/>
      <c r="H34" s="221"/>
      <c r="I34" s="306" t="str">
        <f t="shared" si="1"/>
        <v>#DIV/0!</v>
      </c>
      <c r="J34" s="310"/>
    </row>
    <row r="35" ht="15.75" customHeight="1">
      <c r="A35" s="288">
        <v>44443.0</v>
      </c>
      <c r="B35" s="221"/>
      <c r="C35" s="216"/>
      <c r="D35" s="221"/>
      <c r="E35" s="221"/>
      <c r="F35" s="221"/>
      <c r="G35" s="221"/>
      <c r="H35" s="221"/>
      <c r="I35" s="306" t="str">
        <f t="shared" si="1"/>
        <v>#DIV/0!</v>
      </c>
      <c r="J35" s="310"/>
    </row>
    <row r="36" ht="15.75" customHeight="1">
      <c r="A36" s="288">
        <v>44444.0</v>
      </c>
      <c r="B36" s="221"/>
      <c r="C36" s="216"/>
      <c r="D36" s="221"/>
      <c r="E36" s="221"/>
      <c r="F36" s="221"/>
      <c r="G36" s="221"/>
      <c r="H36" s="221"/>
      <c r="I36" s="306" t="str">
        <f t="shared" si="1"/>
        <v>#DIV/0!</v>
      </c>
      <c r="J36" s="310"/>
    </row>
    <row r="37" ht="15.75" customHeight="1">
      <c r="A37" s="291" t="s">
        <v>151</v>
      </c>
      <c r="B37" s="220" t="str">
        <f t="shared" ref="B37:H37" si="3">AVERAGE(B2:B36)</f>
        <v>#DIV/0!</v>
      </c>
      <c r="C37" s="216" t="str">
        <f t="shared" si="3"/>
        <v>#DIV/0!</v>
      </c>
      <c r="D37" s="221" t="str">
        <f t="shared" si="3"/>
        <v>#DIV/0!</v>
      </c>
      <c r="E37" s="221" t="str">
        <f t="shared" si="3"/>
        <v>#DIV/0!</v>
      </c>
      <c r="F37" s="216" t="str">
        <f t="shared" si="3"/>
        <v>#DIV/0!</v>
      </c>
      <c r="G37" s="221" t="str">
        <f t="shared" si="3"/>
        <v>#DIV/0!</v>
      </c>
      <c r="H37" s="221" t="str">
        <f t="shared" si="3"/>
        <v>#DIV/0!</v>
      </c>
      <c r="I37" s="221"/>
      <c r="J37" s="311" t="str">
        <f>AVERAGE(J2:J36)</f>
        <v>#DIV/0!</v>
      </c>
    </row>
    <row r="38" ht="15.75" customHeight="1">
      <c r="A38" s="313" t="s">
        <v>71</v>
      </c>
      <c r="B38" s="215">
        <f>SUM(B2:B36)</f>
        <v>0</v>
      </c>
      <c r="C38" s="216"/>
      <c r="D38" s="221">
        <f>SUM(D2:D36)</f>
        <v>0</v>
      </c>
      <c r="E38" s="221" t="str">
        <f t="shared" ref="E38:F38" si="4">AVERAGE(E9:E27)</f>
        <v>#DIV/0!</v>
      </c>
      <c r="F38" s="216" t="str">
        <f t="shared" si="4"/>
        <v>#DIV/0!</v>
      </c>
      <c r="G38" s="221">
        <f>SUM(G2:G36)</f>
        <v>0</v>
      </c>
      <c r="H38" s="221" t="str">
        <f>AVERAGE(H9:H27)</f>
        <v>#DIV/0!</v>
      </c>
      <c r="I38" s="306" t="str">
        <f>J38/G38</f>
        <v>#DIV/0!</v>
      </c>
      <c r="J38" s="310">
        <f>SUM(J2:J36)</f>
        <v>0</v>
      </c>
    </row>
    <row r="39" ht="15.75" customHeight="1">
      <c r="A39" s="314"/>
      <c r="B39" s="249"/>
      <c r="C39" s="315"/>
      <c r="I39" s="179"/>
      <c r="J39" s="316"/>
    </row>
    <row r="40" ht="15.75" customHeight="1">
      <c r="A40" s="314"/>
      <c r="B40" s="249"/>
      <c r="C40" s="315"/>
      <c r="I40" s="179"/>
      <c r="J40" s="316"/>
    </row>
    <row r="41" ht="15.75" customHeight="1">
      <c r="A41" s="314"/>
      <c r="B41" s="249"/>
      <c r="C41" s="315"/>
      <c r="I41" s="179"/>
      <c r="J41" s="316"/>
    </row>
    <row r="42" ht="15.75" customHeight="1">
      <c r="A42" s="314"/>
      <c r="B42" s="249"/>
      <c r="C42" s="315"/>
      <c r="I42" s="179"/>
      <c r="J42" s="316"/>
    </row>
    <row r="43" ht="15.75" customHeight="1">
      <c r="A43" s="314"/>
      <c r="B43" s="249"/>
      <c r="C43" s="315"/>
      <c r="I43" s="179"/>
      <c r="J43" s="316"/>
    </row>
    <row r="44" ht="15.75" customHeight="1">
      <c r="A44" s="314"/>
      <c r="B44" s="249"/>
      <c r="C44" s="315"/>
      <c r="I44" s="179"/>
      <c r="J44" s="316"/>
    </row>
    <row r="45" ht="15.75" customHeight="1">
      <c r="A45" s="314"/>
      <c r="B45" s="249"/>
      <c r="C45" s="315"/>
      <c r="I45" s="179"/>
      <c r="J45" s="316"/>
    </row>
    <row r="46" ht="15.75" customHeight="1">
      <c r="A46" s="314"/>
      <c r="B46" s="249"/>
      <c r="C46" s="315"/>
      <c r="I46" s="179"/>
      <c r="J46" s="316"/>
    </row>
    <row r="47" ht="15.75" customHeight="1">
      <c r="A47" s="314"/>
      <c r="B47" s="249"/>
      <c r="C47" s="315"/>
      <c r="I47" s="179"/>
      <c r="J47" s="316"/>
    </row>
    <row r="48" ht="15.75" customHeight="1">
      <c r="A48" s="314"/>
      <c r="B48" s="249"/>
      <c r="C48" s="315"/>
      <c r="I48" s="179"/>
      <c r="J48" s="316"/>
    </row>
    <row r="49" ht="15.75" customHeight="1">
      <c r="A49" s="314"/>
      <c r="B49" s="249"/>
      <c r="C49" s="315"/>
      <c r="I49" s="179"/>
      <c r="J49" s="316"/>
    </row>
    <row r="50" ht="15.75" customHeight="1">
      <c r="A50" s="314"/>
      <c r="B50" s="249"/>
      <c r="C50" s="315"/>
      <c r="I50" s="179"/>
      <c r="J50" s="316"/>
    </row>
    <row r="51" ht="15.75" customHeight="1">
      <c r="A51" s="314"/>
      <c r="B51" s="249"/>
      <c r="C51" s="315"/>
      <c r="I51" s="179"/>
      <c r="J51" s="316"/>
    </row>
    <row r="52" ht="15.75" customHeight="1">
      <c r="A52" s="314"/>
      <c r="B52" s="249"/>
      <c r="C52" s="315"/>
      <c r="I52" s="179"/>
      <c r="J52" s="316"/>
    </row>
    <row r="53" ht="15.75" customHeight="1">
      <c r="A53" s="314"/>
      <c r="B53" s="249"/>
      <c r="C53" s="315"/>
      <c r="I53" s="179"/>
      <c r="J53" s="316"/>
    </row>
    <row r="54" ht="15.75" customHeight="1">
      <c r="A54" s="314"/>
      <c r="B54" s="249"/>
      <c r="C54" s="315"/>
      <c r="I54" s="179"/>
      <c r="J54" s="316"/>
    </row>
    <row r="55" ht="15.75" customHeight="1">
      <c r="A55" s="314"/>
      <c r="B55" s="249"/>
      <c r="C55" s="315"/>
      <c r="I55" s="179"/>
      <c r="J55" s="316"/>
    </row>
    <row r="56" ht="15.75" customHeight="1">
      <c r="A56" s="314"/>
      <c r="B56" s="249"/>
      <c r="C56" s="315"/>
      <c r="I56" s="179"/>
      <c r="J56" s="316"/>
    </row>
    <row r="57" ht="15.75" customHeight="1">
      <c r="A57" s="314"/>
      <c r="B57" s="249"/>
      <c r="C57" s="315"/>
      <c r="I57" s="179"/>
      <c r="J57" s="316"/>
    </row>
    <row r="58" ht="15.75" customHeight="1">
      <c r="A58" s="314"/>
      <c r="B58" s="249"/>
      <c r="C58" s="315"/>
      <c r="I58" s="179"/>
      <c r="J58" s="316"/>
    </row>
    <row r="59" ht="15.75" customHeight="1">
      <c r="A59" s="314"/>
      <c r="B59" s="249"/>
      <c r="C59" s="315"/>
      <c r="I59" s="179"/>
      <c r="J59" s="316"/>
    </row>
    <row r="60" ht="15.75" customHeight="1">
      <c r="A60" s="314"/>
      <c r="B60" s="249"/>
      <c r="C60" s="315"/>
      <c r="I60" s="179"/>
      <c r="J60" s="316"/>
    </row>
    <row r="61" ht="15.75" customHeight="1">
      <c r="A61" s="314"/>
      <c r="B61" s="249"/>
      <c r="C61" s="315"/>
      <c r="I61" s="179"/>
      <c r="J61" s="316"/>
    </row>
    <row r="62" ht="15.75" customHeight="1">
      <c r="A62" s="314"/>
      <c r="B62" s="249"/>
      <c r="C62" s="315"/>
      <c r="I62" s="179"/>
      <c r="J62" s="316"/>
    </row>
    <row r="63" ht="15.75" customHeight="1">
      <c r="A63" s="314"/>
      <c r="B63" s="249"/>
      <c r="C63" s="315"/>
      <c r="I63" s="179"/>
      <c r="J63" s="316"/>
    </row>
    <row r="64" ht="15.75" customHeight="1">
      <c r="A64" s="314"/>
      <c r="B64" s="249"/>
      <c r="C64" s="315"/>
      <c r="I64" s="179"/>
      <c r="J64" s="316"/>
    </row>
    <row r="65" ht="15.75" customHeight="1">
      <c r="A65" s="314"/>
      <c r="B65" s="249"/>
      <c r="C65" s="315"/>
      <c r="I65" s="179"/>
      <c r="J65" s="316"/>
    </row>
    <row r="66" ht="15.75" customHeight="1">
      <c r="A66" s="314"/>
      <c r="B66" s="249"/>
      <c r="C66" s="315"/>
      <c r="I66" s="179"/>
      <c r="J66" s="316"/>
    </row>
    <row r="67" ht="15.75" customHeight="1">
      <c r="A67" s="314"/>
      <c r="B67" s="249"/>
      <c r="C67" s="315"/>
      <c r="I67" s="179"/>
      <c r="J67" s="316"/>
    </row>
    <row r="68" ht="15.75" customHeight="1">
      <c r="A68" s="314"/>
      <c r="B68" s="249"/>
      <c r="C68" s="315"/>
      <c r="I68" s="179"/>
      <c r="J68" s="316"/>
    </row>
    <row r="69" ht="15.75" customHeight="1">
      <c r="A69" s="314"/>
      <c r="B69" s="249"/>
      <c r="C69" s="315"/>
      <c r="I69" s="179"/>
      <c r="J69" s="316"/>
    </row>
    <row r="70" ht="15.75" customHeight="1">
      <c r="A70" s="314"/>
      <c r="B70" s="249"/>
      <c r="C70" s="315"/>
      <c r="I70" s="179"/>
      <c r="J70" s="316"/>
    </row>
    <row r="71" ht="15.75" customHeight="1">
      <c r="A71" s="314"/>
      <c r="B71" s="249"/>
      <c r="C71" s="315"/>
      <c r="I71" s="179"/>
      <c r="J71" s="316"/>
    </row>
    <row r="72" ht="15.75" customHeight="1">
      <c r="A72" s="314"/>
      <c r="B72" s="249"/>
      <c r="C72" s="315"/>
      <c r="I72" s="179"/>
      <c r="J72" s="316"/>
    </row>
    <row r="73" ht="15.75" customHeight="1">
      <c r="A73" s="314"/>
      <c r="B73" s="249"/>
      <c r="C73" s="315"/>
      <c r="I73" s="179"/>
      <c r="J73" s="316"/>
    </row>
    <row r="74" ht="15.75" customHeight="1">
      <c r="A74" s="314"/>
      <c r="B74" s="249"/>
      <c r="C74" s="315"/>
      <c r="I74" s="179"/>
      <c r="J74" s="316"/>
    </row>
    <row r="75" ht="15.75" customHeight="1">
      <c r="A75" s="314"/>
      <c r="B75" s="249"/>
      <c r="C75" s="315"/>
      <c r="I75" s="179"/>
      <c r="J75" s="316"/>
    </row>
    <row r="76" ht="15.75" customHeight="1">
      <c r="A76" s="314"/>
      <c r="B76" s="249"/>
      <c r="C76" s="315"/>
      <c r="I76" s="179"/>
      <c r="J76" s="316"/>
    </row>
    <row r="77" ht="15.75" customHeight="1">
      <c r="A77" s="314"/>
      <c r="B77" s="249"/>
      <c r="C77" s="315"/>
      <c r="I77" s="179"/>
      <c r="J77" s="316"/>
    </row>
    <row r="78" ht="15.75" customHeight="1">
      <c r="A78" s="314"/>
      <c r="B78" s="249"/>
      <c r="C78" s="315"/>
      <c r="I78" s="179"/>
      <c r="J78" s="316"/>
    </row>
    <row r="79" ht="15.75" customHeight="1">
      <c r="A79" s="314"/>
      <c r="B79" s="249"/>
      <c r="C79" s="315"/>
      <c r="I79" s="179"/>
      <c r="J79" s="316"/>
    </row>
    <row r="80" ht="15.75" customHeight="1">
      <c r="A80" s="314"/>
      <c r="B80" s="249"/>
      <c r="C80" s="315"/>
      <c r="I80" s="179"/>
      <c r="J80" s="316"/>
    </row>
    <row r="81" ht="15.75" customHeight="1">
      <c r="A81" s="314"/>
      <c r="B81" s="249"/>
      <c r="C81" s="315"/>
      <c r="I81" s="179"/>
      <c r="J81" s="316"/>
    </row>
    <row r="82" ht="15.75" customHeight="1">
      <c r="A82" s="314"/>
      <c r="B82" s="249"/>
      <c r="C82" s="315"/>
      <c r="I82" s="179"/>
      <c r="J82" s="316"/>
    </row>
    <row r="83" ht="15.75" customHeight="1">
      <c r="A83" s="314"/>
      <c r="B83" s="249"/>
      <c r="C83" s="315"/>
      <c r="I83" s="179"/>
      <c r="J83" s="316"/>
    </row>
    <row r="84" ht="15.75" customHeight="1">
      <c r="A84" s="314"/>
      <c r="B84" s="249"/>
      <c r="C84" s="315"/>
      <c r="I84" s="179"/>
      <c r="J84" s="316"/>
    </row>
    <row r="85" ht="15.75" customHeight="1">
      <c r="A85" s="314"/>
      <c r="B85" s="249"/>
      <c r="C85" s="315"/>
      <c r="I85" s="179"/>
      <c r="J85" s="316"/>
    </row>
    <row r="86" ht="15.75" customHeight="1">
      <c r="A86" s="314"/>
      <c r="B86" s="249"/>
      <c r="C86" s="315"/>
      <c r="I86" s="179"/>
      <c r="J86" s="316"/>
    </row>
    <row r="87" ht="15.75" customHeight="1">
      <c r="A87" s="314"/>
      <c r="B87" s="249"/>
      <c r="C87" s="315"/>
      <c r="I87" s="179"/>
      <c r="J87" s="316"/>
    </row>
    <row r="88" ht="15.75" customHeight="1">
      <c r="A88" s="314"/>
      <c r="B88" s="249"/>
      <c r="C88" s="315"/>
      <c r="I88" s="179"/>
      <c r="J88" s="316"/>
    </row>
    <row r="89" ht="15.75" customHeight="1">
      <c r="A89" s="314"/>
      <c r="B89" s="249"/>
      <c r="C89" s="315"/>
      <c r="I89" s="179"/>
      <c r="J89" s="316"/>
    </row>
    <row r="90" ht="15.75" customHeight="1">
      <c r="A90" s="314"/>
      <c r="B90" s="249"/>
      <c r="C90" s="315"/>
      <c r="I90" s="179"/>
      <c r="J90" s="316"/>
    </row>
    <row r="91" ht="15.75" customHeight="1">
      <c r="A91" s="314"/>
      <c r="B91" s="249"/>
      <c r="C91" s="315"/>
      <c r="I91" s="179"/>
      <c r="J91" s="316"/>
    </row>
    <row r="92" ht="15.75" customHeight="1">
      <c r="A92" s="314"/>
      <c r="B92" s="249"/>
      <c r="C92" s="315"/>
      <c r="I92" s="179"/>
      <c r="J92" s="316"/>
    </row>
    <row r="93" ht="15.75" customHeight="1">
      <c r="A93" s="314"/>
      <c r="B93" s="249"/>
      <c r="C93" s="315"/>
      <c r="I93" s="179"/>
      <c r="J93" s="316"/>
    </row>
    <row r="94" ht="15.75" customHeight="1">
      <c r="A94" s="314"/>
      <c r="B94" s="249"/>
      <c r="C94" s="315"/>
      <c r="I94" s="179"/>
      <c r="J94" s="316"/>
    </row>
    <row r="95" ht="15.75" customHeight="1">
      <c r="A95" s="314"/>
      <c r="B95" s="249"/>
      <c r="C95" s="315"/>
      <c r="I95" s="179"/>
      <c r="J95" s="316"/>
    </row>
    <row r="96" ht="15.75" customHeight="1">
      <c r="A96" s="314"/>
      <c r="B96" s="249"/>
      <c r="C96" s="315"/>
      <c r="I96" s="179"/>
      <c r="J96" s="316"/>
    </row>
    <row r="97" ht="15.75" customHeight="1">
      <c r="A97" s="314"/>
      <c r="B97" s="249"/>
      <c r="C97" s="315"/>
      <c r="I97" s="179"/>
      <c r="J97" s="316"/>
    </row>
    <row r="98" ht="15.75" customHeight="1">
      <c r="A98" s="314"/>
      <c r="B98" s="249"/>
      <c r="C98" s="315"/>
      <c r="I98" s="179"/>
      <c r="J98" s="316"/>
    </row>
    <row r="99" ht="15.75" customHeight="1">
      <c r="A99" s="314"/>
      <c r="B99" s="249"/>
      <c r="C99" s="315"/>
      <c r="I99" s="179"/>
      <c r="J99" s="316"/>
    </row>
    <row r="100" ht="15.75" customHeight="1">
      <c r="A100" s="314"/>
      <c r="B100" s="249"/>
      <c r="C100" s="315"/>
      <c r="I100" s="179"/>
      <c r="J100" s="316"/>
    </row>
    <row r="101" ht="15.75" customHeight="1">
      <c r="A101" s="314"/>
      <c r="B101" s="249"/>
      <c r="C101" s="315"/>
      <c r="I101" s="179"/>
      <c r="J101" s="316"/>
    </row>
    <row r="102" ht="15.75" customHeight="1">
      <c r="A102" s="314"/>
      <c r="B102" s="249"/>
      <c r="C102" s="315"/>
      <c r="I102" s="179"/>
      <c r="J102" s="316"/>
    </row>
    <row r="103" ht="15.75" customHeight="1">
      <c r="A103" s="314"/>
      <c r="B103" s="249"/>
      <c r="C103" s="315"/>
      <c r="I103" s="179"/>
      <c r="J103" s="316"/>
    </row>
    <row r="104" ht="15.75" customHeight="1">
      <c r="A104" s="314"/>
      <c r="B104" s="249"/>
      <c r="C104" s="315"/>
      <c r="I104" s="179"/>
      <c r="J104" s="316"/>
    </row>
    <row r="105" ht="15.75" customHeight="1">
      <c r="A105" s="314"/>
      <c r="B105" s="249"/>
      <c r="C105" s="315"/>
      <c r="I105" s="179"/>
      <c r="J105" s="316"/>
    </row>
    <row r="106" ht="15.75" customHeight="1">
      <c r="A106" s="314"/>
      <c r="B106" s="249"/>
      <c r="C106" s="315"/>
      <c r="I106" s="179"/>
      <c r="J106" s="316"/>
    </row>
    <row r="107" ht="15.75" customHeight="1">
      <c r="A107" s="314"/>
      <c r="B107" s="249"/>
      <c r="C107" s="315"/>
      <c r="I107" s="179"/>
      <c r="J107" s="316"/>
    </row>
    <row r="108" ht="15.75" customHeight="1">
      <c r="A108" s="314"/>
      <c r="B108" s="249"/>
      <c r="C108" s="315"/>
      <c r="I108" s="179"/>
      <c r="J108" s="316"/>
    </row>
    <row r="109" ht="15.75" customHeight="1">
      <c r="A109" s="314"/>
      <c r="B109" s="249"/>
      <c r="C109" s="315"/>
      <c r="I109" s="179"/>
      <c r="J109" s="316"/>
    </row>
    <row r="110" ht="15.75" customHeight="1">
      <c r="A110" s="314"/>
      <c r="B110" s="249"/>
      <c r="C110" s="315"/>
      <c r="I110" s="179"/>
      <c r="J110" s="316"/>
    </row>
    <row r="111" ht="15.75" customHeight="1">
      <c r="A111" s="314"/>
      <c r="B111" s="249"/>
      <c r="C111" s="315"/>
      <c r="I111" s="179"/>
      <c r="J111" s="316"/>
    </row>
    <row r="112" ht="15.75" customHeight="1">
      <c r="A112" s="314"/>
      <c r="B112" s="249"/>
      <c r="C112" s="315"/>
      <c r="I112" s="179"/>
      <c r="J112" s="316"/>
    </row>
    <row r="113" ht="15.75" customHeight="1">
      <c r="A113" s="314"/>
      <c r="B113" s="249"/>
      <c r="C113" s="315"/>
      <c r="I113" s="179"/>
      <c r="J113" s="316"/>
    </row>
    <row r="114" ht="15.75" customHeight="1">
      <c r="A114" s="314"/>
      <c r="B114" s="249"/>
      <c r="C114" s="315"/>
      <c r="I114" s="179"/>
      <c r="J114" s="316"/>
    </row>
    <row r="115" ht="15.75" customHeight="1">
      <c r="A115" s="314"/>
      <c r="B115" s="249"/>
      <c r="C115" s="315"/>
      <c r="I115" s="179"/>
      <c r="J115" s="316"/>
    </row>
    <row r="116" ht="15.75" customHeight="1">
      <c r="A116" s="314"/>
      <c r="B116" s="249"/>
      <c r="C116" s="315"/>
      <c r="I116" s="179"/>
      <c r="J116" s="316"/>
    </row>
    <row r="117" ht="15.75" customHeight="1">
      <c r="A117" s="314"/>
      <c r="B117" s="249"/>
      <c r="C117" s="315"/>
      <c r="I117" s="179"/>
      <c r="J117" s="316"/>
    </row>
    <row r="118" ht="15.75" customHeight="1">
      <c r="A118" s="314"/>
      <c r="B118" s="249"/>
      <c r="C118" s="315"/>
      <c r="I118" s="179"/>
      <c r="J118" s="316"/>
    </row>
    <row r="119" ht="15.75" customHeight="1">
      <c r="A119" s="314"/>
      <c r="B119" s="249"/>
      <c r="C119" s="315"/>
      <c r="I119" s="179"/>
      <c r="J119" s="316"/>
    </row>
    <row r="120" ht="15.75" customHeight="1">
      <c r="A120" s="314"/>
      <c r="B120" s="249"/>
      <c r="C120" s="315"/>
      <c r="I120" s="179"/>
      <c r="J120" s="316"/>
    </row>
    <row r="121" ht="15.75" customHeight="1">
      <c r="A121" s="314"/>
      <c r="B121" s="249"/>
      <c r="C121" s="315"/>
      <c r="I121" s="179"/>
      <c r="J121" s="316"/>
    </row>
    <row r="122" ht="15.75" customHeight="1">
      <c r="A122" s="314"/>
      <c r="B122" s="249"/>
      <c r="C122" s="315"/>
      <c r="I122" s="179"/>
      <c r="J122" s="316"/>
    </row>
    <row r="123" ht="15.75" customHeight="1">
      <c r="A123" s="314"/>
      <c r="B123" s="249"/>
      <c r="C123" s="315"/>
      <c r="I123" s="179"/>
      <c r="J123" s="316"/>
    </row>
    <row r="124" ht="15.75" customHeight="1">
      <c r="A124" s="314"/>
      <c r="B124" s="249"/>
      <c r="C124" s="315"/>
      <c r="I124" s="179"/>
      <c r="J124" s="316"/>
    </row>
    <row r="125" ht="15.75" customHeight="1">
      <c r="A125" s="314"/>
      <c r="B125" s="249"/>
      <c r="C125" s="315"/>
      <c r="I125" s="179"/>
      <c r="J125" s="316"/>
    </row>
    <row r="126" ht="15.75" customHeight="1">
      <c r="A126" s="314"/>
      <c r="B126" s="249"/>
      <c r="C126" s="315"/>
      <c r="I126" s="179"/>
      <c r="J126" s="316"/>
    </row>
    <row r="127" ht="15.75" customHeight="1">
      <c r="A127" s="314"/>
      <c r="B127" s="249"/>
      <c r="C127" s="315"/>
      <c r="I127" s="179"/>
      <c r="J127" s="316"/>
    </row>
    <row r="128" ht="15.75" customHeight="1">
      <c r="A128" s="314"/>
      <c r="B128" s="249"/>
      <c r="C128" s="315"/>
      <c r="I128" s="179"/>
      <c r="J128" s="316"/>
    </row>
    <row r="129" ht="15.75" customHeight="1">
      <c r="A129" s="314"/>
      <c r="B129" s="249"/>
      <c r="C129" s="315"/>
      <c r="I129" s="179"/>
      <c r="J129" s="316"/>
    </row>
    <row r="130" ht="15.75" customHeight="1">
      <c r="A130" s="314"/>
      <c r="B130" s="249"/>
      <c r="C130" s="315"/>
      <c r="I130" s="179"/>
      <c r="J130" s="316"/>
    </row>
    <row r="131" ht="15.75" customHeight="1">
      <c r="A131" s="314"/>
      <c r="B131" s="249"/>
      <c r="C131" s="315"/>
      <c r="I131" s="179"/>
      <c r="J131" s="316"/>
    </row>
    <row r="132" ht="15.75" customHeight="1">
      <c r="A132" s="314"/>
      <c r="B132" s="249"/>
      <c r="C132" s="315"/>
      <c r="I132" s="179"/>
      <c r="J132" s="316"/>
    </row>
    <row r="133" ht="15.75" customHeight="1">
      <c r="A133" s="314"/>
      <c r="B133" s="249"/>
      <c r="C133" s="315"/>
      <c r="I133" s="179"/>
      <c r="J133" s="316"/>
    </row>
    <row r="134" ht="15.75" customHeight="1">
      <c r="A134" s="314"/>
      <c r="B134" s="249"/>
      <c r="C134" s="315"/>
      <c r="I134" s="179"/>
      <c r="J134" s="316"/>
    </row>
    <row r="135" ht="15.75" customHeight="1">
      <c r="A135" s="314"/>
      <c r="B135" s="249"/>
      <c r="C135" s="315"/>
      <c r="I135" s="179"/>
      <c r="J135" s="316"/>
    </row>
    <row r="136" ht="15.75" customHeight="1">
      <c r="A136" s="314"/>
      <c r="B136" s="249"/>
      <c r="C136" s="315"/>
      <c r="I136" s="179"/>
      <c r="J136" s="316"/>
    </row>
    <row r="137" ht="15.75" customHeight="1">
      <c r="A137" s="314"/>
      <c r="B137" s="249"/>
      <c r="C137" s="315"/>
      <c r="I137" s="179"/>
      <c r="J137" s="316"/>
    </row>
    <row r="138" ht="15.75" customHeight="1">
      <c r="A138" s="314"/>
      <c r="B138" s="249"/>
      <c r="C138" s="315"/>
      <c r="I138" s="179"/>
      <c r="J138" s="316"/>
    </row>
    <row r="139" ht="15.75" customHeight="1">
      <c r="A139" s="314"/>
      <c r="B139" s="249"/>
      <c r="C139" s="315"/>
      <c r="I139" s="179"/>
      <c r="J139" s="316"/>
    </row>
    <row r="140" ht="15.75" customHeight="1">
      <c r="A140" s="314"/>
      <c r="B140" s="249"/>
      <c r="C140" s="315"/>
      <c r="I140" s="179"/>
      <c r="J140" s="316"/>
    </row>
    <row r="141" ht="15.75" customHeight="1">
      <c r="A141" s="314"/>
      <c r="B141" s="249"/>
      <c r="C141" s="315"/>
      <c r="I141" s="179"/>
      <c r="J141" s="316"/>
    </row>
    <row r="142" ht="15.75" customHeight="1">
      <c r="A142" s="314"/>
      <c r="B142" s="249"/>
      <c r="C142" s="315"/>
      <c r="I142" s="179"/>
      <c r="J142" s="316"/>
    </row>
    <row r="143" ht="15.75" customHeight="1">
      <c r="A143" s="314"/>
      <c r="B143" s="249"/>
      <c r="C143" s="315"/>
      <c r="I143" s="179"/>
      <c r="J143" s="316"/>
    </row>
    <row r="144" ht="15.75" customHeight="1">
      <c r="A144" s="314"/>
      <c r="B144" s="249"/>
      <c r="C144" s="315"/>
      <c r="I144" s="179"/>
      <c r="J144" s="316"/>
    </row>
    <row r="145" ht="15.75" customHeight="1">
      <c r="A145" s="314"/>
      <c r="B145" s="249"/>
      <c r="C145" s="315"/>
      <c r="I145" s="179"/>
      <c r="J145" s="316"/>
    </row>
    <row r="146" ht="15.75" customHeight="1">
      <c r="A146" s="314"/>
      <c r="B146" s="249"/>
      <c r="C146" s="315"/>
      <c r="I146" s="179"/>
      <c r="J146" s="316"/>
    </row>
    <row r="147" ht="15.75" customHeight="1">
      <c r="A147" s="314"/>
      <c r="B147" s="249"/>
      <c r="C147" s="315"/>
      <c r="I147" s="179"/>
      <c r="J147" s="316"/>
    </row>
    <row r="148" ht="15.75" customHeight="1">
      <c r="A148" s="314"/>
      <c r="B148" s="249"/>
      <c r="C148" s="315"/>
      <c r="I148" s="179"/>
      <c r="J148" s="316"/>
    </row>
    <row r="149" ht="15.75" customHeight="1">
      <c r="A149" s="314"/>
      <c r="B149" s="249"/>
      <c r="C149" s="315"/>
      <c r="I149" s="179"/>
      <c r="J149" s="316"/>
    </row>
    <row r="150" ht="15.75" customHeight="1">
      <c r="A150" s="314"/>
      <c r="B150" s="249"/>
      <c r="C150" s="315"/>
      <c r="I150" s="179"/>
      <c r="J150" s="316"/>
    </row>
    <row r="151" ht="15.75" customHeight="1">
      <c r="A151" s="314"/>
      <c r="B151" s="249"/>
      <c r="C151" s="315"/>
      <c r="I151" s="179"/>
      <c r="J151" s="316"/>
    </row>
    <row r="152" ht="15.75" customHeight="1">
      <c r="A152" s="314"/>
      <c r="B152" s="249"/>
      <c r="C152" s="315"/>
      <c r="I152" s="179"/>
      <c r="J152" s="316"/>
    </row>
    <row r="153" ht="15.75" customHeight="1">
      <c r="A153" s="314"/>
      <c r="B153" s="249"/>
      <c r="C153" s="315"/>
      <c r="I153" s="179"/>
      <c r="J153" s="316"/>
    </row>
    <row r="154" ht="15.75" customHeight="1">
      <c r="A154" s="314"/>
      <c r="B154" s="249"/>
      <c r="C154" s="315"/>
      <c r="I154" s="179"/>
      <c r="J154" s="316"/>
    </row>
    <row r="155" ht="15.75" customHeight="1">
      <c r="A155" s="314"/>
      <c r="B155" s="249"/>
      <c r="C155" s="315"/>
      <c r="I155" s="179"/>
      <c r="J155" s="316"/>
    </row>
    <row r="156" ht="15.75" customHeight="1">
      <c r="A156" s="314"/>
      <c r="B156" s="249"/>
      <c r="C156" s="315"/>
      <c r="I156" s="179"/>
      <c r="J156" s="316"/>
    </row>
    <row r="157" ht="15.75" customHeight="1">
      <c r="A157" s="314"/>
      <c r="B157" s="249"/>
      <c r="C157" s="315"/>
      <c r="I157" s="179"/>
      <c r="J157" s="316"/>
    </row>
    <row r="158" ht="15.75" customHeight="1">
      <c r="A158" s="314"/>
      <c r="B158" s="249"/>
      <c r="C158" s="315"/>
      <c r="I158" s="179"/>
      <c r="J158" s="316"/>
    </row>
    <row r="159" ht="15.75" customHeight="1">
      <c r="A159" s="314"/>
      <c r="B159" s="249"/>
      <c r="C159" s="315"/>
      <c r="I159" s="179"/>
      <c r="J159" s="316"/>
    </row>
    <row r="160" ht="15.75" customHeight="1">
      <c r="A160" s="314"/>
      <c r="B160" s="249"/>
      <c r="C160" s="315"/>
      <c r="I160" s="179"/>
      <c r="J160" s="316"/>
    </row>
    <row r="161" ht="15.75" customHeight="1">
      <c r="A161" s="314"/>
      <c r="B161" s="249"/>
      <c r="C161" s="315"/>
      <c r="I161" s="179"/>
      <c r="J161" s="316"/>
    </row>
    <row r="162" ht="15.75" customHeight="1">
      <c r="A162" s="314"/>
      <c r="B162" s="249"/>
      <c r="C162" s="315"/>
      <c r="I162" s="179"/>
      <c r="J162" s="316"/>
    </row>
    <row r="163" ht="15.75" customHeight="1">
      <c r="A163" s="314"/>
      <c r="B163" s="249"/>
      <c r="C163" s="315"/>
      <c r="I163" s="179"/>
      <c r="J163" s="316"/>
    </row>
    <row r="164" ht="15.75" customHeight="1">
      <c r="A164" s="314"/>
      <c r="B164" s="249"/>
      <c r="C164" s="315"/>
      <c r="I164" s="179"/>
      <c r="J164" s="316"/>
    </row>
    <row r="165" ht="15.75" customHeight="1">
      <c r="A165" s="314"/>
      <c r="B165" s="249"/>
      <c r="C165" s="315"/>
      <c r="I165" s="179"/>
      <c r="J165" s="316"/>
    </row>
    <row r="166" ht="15.75" customHeight="1">
      <c r="A166" s="314"/>
      <c r="B166" s="249"/>
      <c r="C166" s="315"/>
      <c r="I166" s="179"/>
      <c r="J166" s="316"/>
    </row>
    <row r="167" ht="15.75" customHeight="1">
      <c r="A167" s="314"/>
      <c r="B167" s="249"/>
      <c r="C167" s="315"/>
      <c r="I167" s="179"/>
      <c r="J167" s="316"/>
    </row>
    <row r="168" ht="15.75" customHeight="1">
      <c r="A168" s="314"/>
      <c r="B168" s="249"/>
      <c r="C168" s="315"/>
      <c r="I168" s="179"/>
      <c r="J168" s="316"/>
    </row>
    <row r="169" ht="15.75" customHeight="1">
      <c r="A169" s="314"/>
      <c r="B169" s="249"/>
      <c r="C169" s="315"/>
      <c r="I169" s="179"/>
      <c r="J169" s="316"/>
    </row>
    <row r="170" ht="15.75" customHeight="1">
      <c r="A170" s="314"/>
      <c r="B170" s="249"/>
      <c r="C170" s="315"/>
      <c r="I170" s="179"/>
      <c r="J170" s="316"/>
    </row>
    <row r="171" ht="15.75" customHeight="1">
      <c r="A171" s="314"/>
      <c r="B171" s="249"/>
      <c r="C171" s="315"/>
      <c r="I171" s="179"/>
      <c r="J171" s="316"/>
    </row>
    <row r="172" ht="15.75" customHeight="1">
      <c r="A172" s="314"/>
      <c r="B172" s="249"/>
      <c r="C172" s="315"/>
      <c r="I172" s="179"/>
      <c r="J172" s="316"/>
    </row>
    <row r="173" ht="15.75" customHeight="1">
      <c r="A173" s="314"/>
      <c r="B173" s="249"/>
      <c r="C173" s="315"/>
      <c r="I173" s="179"/>
      <c r="J173" s="316"/>
    </row>
    <row r="174" ht="15.75" customHeight="1">
      <c r="A174" s="314"/>
      <c r="B174" s="249"/>
      <c r="C174" s="315"/>
      <c r="I174" s="179"/>
      <c r="J174" s="316"/>
    </row>
    <row r="175" ht="15.75" customHeight="1">
      <c r="A175" s="314"/>
      <c r="B175" s="249"/>
      <c r="C175" s="315"/>
      <c r="I175" s="179"/>
      <c r="J175" s="316"/>
    </row>
    <row r="176" ht="15.75" customHeight="1">
      <c r="A176" s="314"/>
      <c r="B176" s="249"/>
      <c r="C176" s="315"/>
      <c r="I176" s="179"/>
      <c r="J176" s="316"/>
    </row>
    <row r="177" ht="15.75" customHeight="1">
      <c r="A177" s="314"/>
      <c r="B177" s="249"/>
      <c r="C177" s="315"/>
      <c r="I177" s="179"/>
      <c r="J177" s="316"/>
    </row>
    <row r="178" ht="15.75" customHeight="1">
      <c r="A178" s="314"/>
      <c r="B178" s="249"/>
      <c r="C178" s="315"/>
      <c r="I178" s="179"/>
      <c r="J178" s="316"/>
    </row>
    <row r="179" ht="15.75" customHeight="1">
      <c r="A179" s="314"/>
      <c r="B179" s="249"/>
      <c r="C179" s="315"/>
      <c r="I179" s="179"/>
      <c r="J179" s="316"/>
    </row>
    <row r="180" ht="15.75" customHeight="1">
      <c r="A180" s="314"/>
      <c r="B180" s="249"/>
      <c r="C180" s="315"/>
      <c r="I180" s="179"/>
      <c r="J180" s="316"/>
    </row>
    <row r="181" ht="15.75" customHeight="1">
      <c r="A181" s="314"/>
      <c r="B181" s="249"/>
      <c r="C181" s="315"/>
      <c r="I181" s="179"/>
      <c r="J181" s="316"/>
    </row>
    <row r="182" ht="15.75" customHeight="1">
      <c r="A182" s="314"/>
      <c r="B182" s="249"/>
      <c r="C182" s="315"/>
      <c r="I182" s="179"/>
      <c r="J182" s="316"/>
    </row>
    <row r="183" ht="15.75" customHeight="1">
      <c r="A183" s="314"/>
      <c r="B183" s="249"/>
      <c r="C183" s="315"/>
      <c r="I183" s="179"/>
      <c r="J183" s="316"/>
    </row>
    <row r="184" ht="15.75" customHeight="1">
      <c r="A184" s="314"/>
      <c r="B184" s="249"/>
      <c r="C184" s="315"/>
      <c r="I184" s="179"/>
      <c r="J184" s="316"/>
    </row>
    <row r="185" ht="15.75" customHeight="1">
      <c r="A185" s="314"/>
      <c r="B185" s="249"/>
      <c r="C185" s="315"/>
      <c r="I185" s="179"/>
      <c r="J185" s="316"/>
    </row>
    <row r="186" ht="15.75" customHeight="1">
      <c r="A186" s="314"/>
      <c r="B186" s="249"/>
      <c r="C186" s="315"/>
      <c r="I186" s="179"/>
      <c r="J186" s="316"/>
    </row>
    <row r="187" ht="15.75" customHeight="1">
      <c r="A187" s="314"/>
      <c r="B187" s="249"/>
      <c r="C187" s="315"/>
      <c r="I187" s="179"/>
      <c r="J187" s="316"/>
    </row>
    <row r="188" ht="15.75" customHeight="1">
      <c r="A188" s="314"/>
      <c r="B188" s="249"/>
      <c r="C188" s="315"/>
      <c r="I188" s="179"/>
      <c r="J188" s="316"/>
    </row>
    <row r="189" ht="15.75" customHeight="1">
      <c r="A189" s="314"/>
      <c r="B189" s="249"/>
      <c r="C189" s="315"/>
      <c r="I189" s="179"/>
      <c r="J189" s="316"/>
    </row>
    <row r="190" ht="15.75" customHeight="1">
      <c r="A190" s="314"/>
      <c r="B190" s="249"/>
      <c r="C190" s="315"/>
      <c r="I190" s="179"/>
      <c r="J190" s="316"/>
    </row>
    <row r="191" ht="15.75" customHeight="1">
      <c r="A191" s="314"/>
      <c r="B191" s="249"/>
      <c r="C191" s="315"/>
      <c r="I191" s="179"/>
      <c r="J191" s="316"/>
    </row>
    <row r="192" ht="15.75" customHeight="1">
      <c r="A192" s="314"/>
      <c r="B192" s="249"/>
      <c r="C192" s="315"/>
      <c r="I192" s="179"/>
      <c r="J192" s="316"/>
    </row>
    <row r="193" ht="15.75" customHeight="1">
      <c r="A193" s="314"/>
      <c r="B193" s="249"/>
      <c r="C193" s="315"/>
      <c r="I193" s="179"/>
      <c r="J193" s="316"/>
    </row>
    <row r="194" ht="15.75" customHeight="1">
      <c r="A194" s="314"/>
      <c r="B194" s="249"/>
      <c r="C194" s="315"/>
      <c r="I194" s="179"/>
      <c r="J194" s="316"/>
    </row>
    <row r="195" ht="15.75" customHeight="1">
      <c r="A195" s="314"/>
      <c r="B195" s="249"/>
      <c r="C195" s="315"/>
      <c r="I195" s="179"/>
      <c r="J195" s="316"/>
    </row>
    <row r="196" ht="15.75" customHeight="1">
      <c r="A196" s="314"/>
      <c r="B196" s="249"/>
      <c r="C196" s="315"/>
      <c r="I196" s="179"/>
      <c r="J196" s="316"/>
    </row>
    <row r="197" ht="15.75" customHeight="1">
      <c r="A197" s="314"/>
      <c r="B197" s="249"/>
      <c r="C197" s="315"/>
      <c r="I197" s="179"/>
      <c r="J197" s="316"/>
    </row>
    <row r="198" ht="15.75" customHeight="1">
      <c r="A198" s="314"/>
      <c r="B198" s="249"/>
      <c r="C198" s="315"/>
      <c r="I198" s="179"/>
      <c r="J198" s="316"/>
    </row>
    <row r="199" ht="15.75" customHeight="1">
      <c r="A199" s="314"/>
      <c r="B199" s="249"/>
      <c r="C199" s="315"/>
      <c r="I199" s="179"/>
      <c r="J199" s="316"/>
    </row>
    <row r="200" ht="15.75" customHeight="1">
      <c r="A200" s="314"/>
      <c r="B200" s="249"/>
      <c r="C200" s="315"/>
      <c r="I200" s="179"/>
      <c r="J200" s="316"/>
    </row>
    <row r="201" ht="15.75" customHeight="1">
      <c r="A201" s="314"/>
      <c r="B201" s="249"/>
      <c r="C201" s="315"/>
      <c r="I201" s="179"/>
      <c r="J201" s="316"/>
    </row>
    <row r="202" ht="15.75" customHeight="1">
      <c r="A202" s="314"/>
      <c r="B202" s="249"/>
      <c r="C202" s="315"/>
      <c r="I202" s="179"/>
      <c r="J202" s="316"/>
    </row>
    <row r="203" ht="15.75" customHeight="1">
      <c r="A203" s="314"/>
      <c r="B203" s="249"/>
      <c r="C203" s="315"/>
      <c r="I203" s="179"/>
      <c r="J203" s="316"/>
    </row>
    <row r="204" ht="15.75" customHeight="1">
      <c r="A204" s="314"/>
      <c r="B204" s="249"/>
      <c r="C204" s="315"/>
      <c r="I204" s="179"/>
      <c r="J204" s="316"/>
    </row>
    <row r="205" ht="15.75" customHeight="1">
      <c r="A205" s="314"/>
      <c r="B205" s="249"/>
      <c r="C205" s="315"/>
      <c r="I205" s="179"/>
      <c r="J205" s="316"/>
    </row>
    <row r="206" ht="15.75" customHeight="1">
      <c r="A206" s="314"/>
      <c r="B206" s="249"/>
      <c r="C206" s="315"/>
      <c r="I206" s="179"/>
      <c r="J206" s="316"/>
    </row>
    <row r="207" ht="15.75" customHeight="1">
      <c r="A207" s="314"/>
      <c r="B207" s="249"/>
      <c r="C207" s="315"/>
      <c r="I207" s="179"/>
      <c r="J207" s="316"/>
    </row>
    <row r="208" ht="15.75" customHeight="1">
      <c r="A208" s="314"/>
      <c r="B208" s="249"/>
      <c r="C208" s="315"/>
      <c r="I208" s="179"/>
      <c r="J208" s="316"/>
    </row>
    <row r="209" ht="15.75" customHeight="1">
      <c r="A209" s="314"/>
      <c r="B209" s="249"/>
      <c r="C209" s="315"/>
      <c r="I209" s="179"/>
      <c r="J209" s="316"/>
    </row>
    <row r="210" ht="15.75" customHeight="1">
      <c r="A210" s="314"/>
      <c r="B210" s="249"/>
      <c r="C210" s="315"/>
      <c r="I210" s="179"/>
      <c r="J210" s="316"/>
    </row>
    <row r="211" ht="15.75" customHeight="1">
      <c r="A211" s="314"/>
      <c r="B211" s="249"/>
      <c r="C211" s="315"/>
      <c r="I211" s="179"/>
      <c r="J211" s="316"/>
    </row>
    <row r="212" ht="15.75" customHeight="1">
      <c r="A212" s="314"/>
      <c r="B212" s="249"/>
      <c r="C212" s="315"/>
      <c r="I212" s="179"/>
      <c r="J212" s="316"/>
    </row>
    <row r="213" ht="15.75" customHeight="1">
      <c r="A213" s="314"/>
      <c r="B213" s="249"/>
      <c r="C213" s="315"/>
      <c r="I213" s="179"/>
      <c r="J213" s="316"/>
    </row>
    <row r="214" ht="15.75" customHeight="1">
      <c r="A214" s="314"/>
      <c r="B214" s="249"/>
      <c r="C214" s="315"/>
      <c r="I214" s="179"/>
      <c r="J214" s="316"/>
    </row>
    <row r="215" ht="15.75" customHeight="1">
      <c r="A215" s="314"/>
      <c r="B215" s="249"/>
      <c r="C215" s="315"/>
      <c r="I215" s="179"/>
      <c r="J215" s="316"/>
    </row>
    <row r="216" ht="15.75" customHeight="1">
      <c r="A216" s="314"/>
      <c r="B216" s="249"/>
      <c r="C216" s="315"/>
      <c r="I216" s="179"/>
      <c r="J216" s="316"/>
    </row>
    <row r="217" ht="15.75" customHeight="1">
      <c r="A217" s="314"/>
      <c r="B217" s="249"/>
      <c r="C217" s="315"/>
      <c r="I217" s="179"/>
      <c r="J217" s="316"/>
    </row>
    <row r="218" ht="15.75" customHeight="1">
      <c r="A218" s="314"/>
      <c r="B218" s="249"/>
      <c r="C218" s="315"/>
      <c r="I218" s="179"/>
      <c r="J218" s="316"/>
    </row>
    <row r="219" ht="15.75" customHeight="1">
      <c r="A219" s="314"/>
      <c r="B219" s="249"/>
      <c r="C219" s="315"/>
      <c r="I219" s="179"/>
      <c r="J219" s="316"/>
    </row>
    <row r="220" ht="15.75" customHeight="1">
      <c r="A220" s="314"/>
      <c r="B220" s="249"/>
      <c r="C220" s="315"/>
      <c r="I220" s="179"/>
      <c r="J220" s="316"/>
    </row>
    <row r="221" ht="15.75" customHeight="1">
      <c r="A221" s="314"/>
      <c r="B221" s="249"/>
      <c r="C221" s="315"/>
      <c r="I221" s="179"/>
      <c r="J221" s="316"/>
    </row>
    <row r="222" ht="15.75" customHeight="1">
      <c r="A222" s="314"/>
      <c r="B222" s="249"/>
      <c r="C222" s="315"/>
      <c r="I222" s="179"/>
      <c r="J222" s="316"/>
    </row>
    <row r="223" ht="15.75" customHeight="1">
      <c r="A223" s="314"/>
      <c r="B223" s="249"/>
      <c r="C223" s="315"/>
      <c r="I223" s="179"/>
      <c r="J223" s="316"/>
    </row>
    <row r="224" ht="15.75" customHeight="1">
      <c r="A224" s="314"/>
      <c r="B224" s="249"/>
      <c r="C224" s="315"/>
      <c r="I224" s="179"/>
      <c r="J224" s="316"/>
    </row>
    <row r="225" ht="15.75" customHeight="1">
      <c r="A225" s="314"/>
      <c r="B225" s="249"/>
      <c r="C225" s="315"/>
      <c r="I225" s="179"/>
      <c r="J225" s="316"/>
    </row>
    <row r="226" ht="15.75" customHeight="1">
      <c r="A226" s="314"/>
      <c r="B226" s="249"/>
      <c r="C226" s="315"/>
      <c r="I226" s="179"/>
      <c r="J226" s="316"/>
    </row>
    <row r="227" ht="15.75" customHeight="1">
      <c r="A227" s="314"/>
      <c r="B227" s="249"/>
      <c r="C227" s="315"/>
      <c r="I227" s="179"/>
      <c r="J227" s="316"/>
    </row>
    <row r="228" ht="15.75" customHeight="1">
      <c r="A228" s="314"/>
      <c r="B228" s="249"/>
      <c r="C228" s="315"/>
      <c r="I228" s="179"/>
      <c r="J228" s="316"/>
    </row>
    <row r="229" ht="15.75" customHeight="1">
      <c r="A229" s="314"/>
      <c r="B229" s="249"/>
      <c r="C229" s="315"/>
      <c r="I229" s="179"/>
      <c r="J229" s="316"/>
    </row>
    <row r="230" ht="15.75" customHeight="1">
      <c r="A230" s="314"/>
      <c r="B230" s="249"/>
      <c r="C230" s="315"/>
      <c r="I230" s="179"/>
      <c r="J230" s="316"/>
    </row>
    <row r="231" ht="15.75" customHeight="1">
      <c r="A231" s="314"/>
      <c r="B231" s="249"/>
      <c r="C231" s="315"/>
      <c r="I231" s="179"/>
      <c r="J231" s="316"/>
    </row>
    <row r="232" ht="15.75" customHeight="1">
      <c r="A232" s="314"/>
      <c r="B232" s="249"/>
      <c r="C232" s="315"/>
      <c r="I232" s="179"/>
      <c r="J232" s="316"/>
    </row>
    <row r="233" ht="15.75" customHeight="1">
      <c r="A233" s="314"/>
      <c r="B233" s="249"/>
      <c r="C233" s="315"/>
      <c r="I233" s="179"/>
      <c r="J233" s="316"/>
    </row>
    <row r="234" ht="15.75" customHeight="1">
      <c r="A234" s="314"/>
      <c r="B234" s="249"/>
      <c r="C234" s="315"/>
      <c r="I234" s="179"/>
      <c r="J234" s="316"/>
    </row>
    <row r="235" ht="15.75" customHeight="1">
      <c r="A235" s="314"/>
      <c r="B235" s="249"/>
      <c r="C235" s="315"/>
      <c r="I235" s="179"/>
      <c r="J235" s="316"/>
    </row>
    <row r="236" ht="15.75" customHeight="1">
      <c r="A236" s="314"/>
      <c r="B236" s="249"/>
      <c r="C236" s="315"/>
      <c r="I236" s="179"/>
      <c r="J236" s="316"/>
    </row>
    <row r="237" ht="15.75" customHeight="1">
      <c r="A237" s="314"/>
      <c r="B237" s="249"/>
      <c r="C237" s="315"/>
      <c r="I237" s="179"/>
      <c r="J237" s="316"/>
    </row>
    <row r="238" ht="15.75" customHeight="1">
      <c r="A238" s="314"/>
      <c r="B238" s="249"/>
      <c r="C238" s="315"/>
      <c r="I238" s="179"/>
      <c r="J238" s="316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