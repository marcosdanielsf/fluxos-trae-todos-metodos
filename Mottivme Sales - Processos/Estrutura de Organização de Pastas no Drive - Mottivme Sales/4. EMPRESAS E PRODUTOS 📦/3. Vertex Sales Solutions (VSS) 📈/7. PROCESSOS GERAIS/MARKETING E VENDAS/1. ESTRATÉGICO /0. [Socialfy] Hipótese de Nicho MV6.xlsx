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ício" sheetId="1" r:id="rId4"/>
    <sheet state="visible" name="Definição de Solução para Ataqu" sheetId="2" r:id="rId5"/>
    <sheet state="visible" name="Análise de Empresas" sheetId="3" r:id="rId6"/>
    <sheet state="hidden" name="Análise de Nichos" sheetId="4" r:id="rId7"/>
    <sheet state="visible" name="Conclusão" sheetId="5" r:id="rId8"/>
    <sheet state="visible" name="Dicas" sheetId="6" r:id="rId9"/>
    <sheet state="hidden" name="Apoio Validação" sheetId="7" r:id="rId10"/>
    <sheet state="hidden" name="Apoio Geral" sheetId="8" r:id="rId11"/>
    <sheet state="hidden" name="Apoio Base IC" sheetId="9" r:id="rId12"/>
  </sheets>
  <definedNames>
    <definedName hidden="1" localSheetId="8" name="_xlnm._FilterDatabase">'Apoio Base IC'!$J$1:$P$149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3">
      <text>
        <t xml:space="preserve">O ticket médio (TM) é a média do valor de venda da sua solução. 
Se a sua solução for transacional é a média do valor de cada transação
Se a sua solução é recorrente, pode ser a média do valor mensal pago por cada cliente, MRR, por exemplo.</t>
      </text>
    </comment>
    <comment authorId="0" ref="B14">
      <text>
        <t xml:space="preserve">CLT = Tempo de vida do cliente
(leia a nota abaixo)
Se Recorrente: 
CLT Médio = tempo médio em meses que um cliente fica ativo até cancelar o contrato
Exemplo: 12, 24, 36
Obs&gt; Só pode ser utilizado CLT em anos se o ticket médio for anual. Ou seja, a unidade do TM sempre irá seguir a do CLT. Se for TM por mês, CLT em mês. Se for TM anual, CLT anual e assim por diante.
Se transacional:
CLT Médio = média de compras que um cliente faz até deixar de comprar. 
Você pode calcular o CLT médio da seguinte forma:
CLT Médio = Qtd média de transações no mês * Qtd média de meses com transações em um ano * Qtd de anos com transações. 
Exemplo: Se um cliente faz em média 1 transação por mês, em média 4 meses no ano e durante 3 anos, o CLT médio desse cliente será = 1 * 4 * 3 = 12
Obs&gt; No exemplo acima, o TM deve ser da transação. Contudo, você pode optar por fazer com TM mensal, nesse caso basta saber a quantidade de meses que ocorrem as transações e a quantidade de anos durante o qual as transações ocorrem </t>
      </text>
    </comment>
    <comment authorId="0" ref="B15">
      <text>
        <t xml:space="preserve">A margem bruta média é:
Margem bruta = faturamento bruto - impostos - custo 
Ou seja, é o quanto você fatura (emite nota fiscal) subtraído dos impostos que paga por este faturamento subtraído pelos seus custos de produção ou do serviço prestado.
A margem é importante, pois queremos sempre um olhar do quanto sobrará de dinheiro em caixa para o crescimento da empresa. Dessa forma, precisamos tirar os impostos e os custos.</t>
      </text>
    </comment>
    <comment authorId="0" ref="B18">
      <text>
        <t xml:space="preserve">Ao implantar a sua solução, quais problemas podem ocorrer?
Em outras palavras, o que pode impedir que os resultados alcançados com a sua solução sejam tão bons quanto possível?</t>
      </text>
    </comment>
    <comment authorId="0" ref="B19">
      <text>
        <t xml:space="preserve">O quanto esses problemas afetam o atingimento do resultado esperado?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0">
      <text>
        <t xml:space="preserve">Se você pudesse ter sempre os mesmos tipos de clientes, quais seriam eles?
Considere os clientes que trazem maior quantidade de receita com o mínimo de esforço possível.</t>
      </text>
    </comment>
    <comment authorId="0" ref="B11">
      <text>
        <t xml:space="preserve">O porte traz uma percepção do potencial de investimento disponível da empresa.
Busque o porte a partir do linkedin, caso seja possível.
Lembre-se: trabalhar com empresas grandes nem sempre é o melhor caminho. O ciclo de venda costuma ser bastante alto assim como os decisores costumam ser pouco acessíveis.</t>
      </text>
    </comment>
    <comment authorId="0" ref="B12">
      <text>
        <t xml:space="preserve">Empresas de mesmo setor costumam ter as mesmas dores e necessidades.
Busque o setor a partir do linkedin, caso seja possível.</t>
      </text>
    </comment>
    <comment authorId="0" ref="B13">
      <text>
        <t xml:space="preserve">Em caso de dúvida, verificar a aba [Apoio] Extrapolação de Empresas para buscar mais CNAE's</t>
      </text>
    </comment>
    <comment authorId="0" ref="B15">
      <text>
        <t xml:space="preserve">Modelo Transacional - Valor por transação
Modelo Recorrente - Valor pago mensalmente</t>
      </text>
    </comment>
    <comment authorId="0" ref="B16">
      <text>
        <t xml:space="preserve">Modelo Transacional - Quantidade de transações realizada por esse tipo de cliente, em média
Modelo Recorrente - Quantidade de meses que esse tipo de cliente continua consumindo a sua solução, em média</t>
      </text>
    </comment>
    <comment authorId="0" ref="B17">
      <text>
        <t xml:space="preserve">% restante após cálculo do valor de venda - custos - impostos</t>
      </text>
    </comment>
    <comment authorId="0" ref="B20">
      <text>
        <t xml:space="preserve">Qual foi o tempo necessário para fechar negócio com esse cliente?
Considere desde a primeira reunião com o Executivo de Vendas até o fechamento do negócio</t>
      </text>
    </comment>
    <comment authorId="0" ref="B21">
      <text>
        <t xml:space="preserve">Qual foi o tempo necessário para fechar negócio com esse cliente?
Considere desde a primeira reunião com o Executivo de Vendas até o fechamento do negócio</t>
      </text>
    </comment>
    <comment authorId="0" ref="B22">
      <text>
        <t xml:space="preserve">Qual foi o tempo necessário para fechar negócio com esse cliente?
Considere desde a primeira reunião com o Executivo de Vendas até o fechamento do negócio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0">
      <text>
        <t xml:space="preserve">Considere provas sociais que estejam possam ser aplicáveis ao nicho analisado</t>
      </text>
    </comment>
    <comment authorId="0" ref="C21">
      <text>
        <t xml:space="preserve">Considere resultados tangíveis, ou seja, quantitativos</t>
      </text>
    </comment>
    <comment authorId="0" ref="C22">
      <text>
        <t xml:space="preserve">Considere provas sociais diretamente ligadas ao nicho analisado</t>
      </text>
    </comment>
    <comment authorId="0" ref="C26">
      <text>
        <t xml:space="preserve">Considere ciclo de vendas o tempo entre a data da primeira reunião com o Executivo de Vendas e o fechamento do negócio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23">
      <text>
        <t xml:space="preserve">Galerias e centros de arte visuais</t>
      </text>
    </comment>
    <comment authorId="0" ref="O39">
      <text>
        <t xml:space="preserve">Consultorias de branding e design Ex: Agência Mandarin</t>
      </text>
    </comment>
    <comment authorId="0" ref="O40">
      <text>
        <t xml:space="preserve">Consultorias de branding e design</t>
      </text>
    </comment>
    <comment authorId="0" ref="O49">
      <text>
        <t xml:space="preserve">Transportadoras e empresas de logística</t>
      </text>
    </comment>
    <comment authorId="0" ref="O54">
      <text>
        <t xml:space="preserve">Fotógrafos e empresas de fotografia e filmagem</t>
      </text>
    </comment>
    <comment authorId="0" ref="O63">
      <text>
        <t xml:space="preserve">Indústrias gráficas</t>
      </text>
    </comment>
    <comment authorId="0" ref="O68">
      <text>
        <t xml:space="preserve">Locais de eventos e recreação</t>
      </text>
    </comment>
    <comment authorId="0" ref="O72">
      <text>
        <t xml:space="preserve">Desenvolvedoras de jogos para computador</t>
      </text>
    </comment>
    <comment authorId="0" ref="O74">
      <text>
        <t xml:space="preserve">utilizar palavra chave: NOT (ESTADUAL OR FEDERAL OR MUNICIPAL OR TRIBUNAL OR CONSELHO OR OAB)</t>
      </text>
    </comment>
    <comment authorId="0" ref="O82">
      <text>
        <t xml:space="preserve">Empresas de marketing de relacionamento</t>
      </text>
    </comment>
    <comment authorId="0" ref="O85">
      <text>
        <t xml:space="preserve">Empresas de estética, óleos naturais..</t>
      </text>
    </comment>
    <comment authorId="0" ref="O93">
      <text>
        <t xml:space="preserve">Produtoras de aúdio</t>
      </text>
    </comment>
    <comment authorId="0" ref="O105">
      <text>
        <t xml:space="preserve">Empresas de advocacia</t>
      </text>
    </comment>
    <comment authorId="0" ref="O114">
      <text>
        <t xml:space="preserve">Provedores de internet</t>
      </text>
    </comment>
    <comment authorId="0" ref="O115">
      <text>
        <t xml:space="preserve">Empresas com soluções relacionadas a conectividade</t>
      </text>
    </comment>
    <comment authorId="0" ref="O118">
      <text>
        <t xml:space="preserve">Agências de comunicação</t>
      </text>
    </comment>
    <comment authorId="0" ref="O119">
      <text>
        <t xml:space="preserve">Empresas de conciliação e mediação</t>
      </text>
    </comment>
    <comment authorId="0" ref="O123">
      <text>
        <t xml:space="preserve">Empresas focadas em soluções de cibersegurança e infraestrutura de TI.</t>
      </text>
    </comment>
    <comment authorId="0" ref="O124">
      <text>
        <t xml:space="preserve">Empresas de segurança empresarial e pessoal</t>
      </text>
    </comment>
    <comment authorId="0" ref="O128">
      <text>
        <t xml:space="preserve">Empresas de saneamento</t>
      </text>
    </comment>
    <comment authorId="0" ref="O131">
      <text>
        <t xml:space="preserve">Os serviços disponibilizados passam desde situações corriqueiras a situações atípicas.</t>
      </text>
    </comment>
    <comment authorId="0" ref="O132">
      <text>
        <t xml:space="preserve">Empresas de advocacia
utilizar palavra chave: NOT (ESTADUAL OR FEDERAL OR MUNICIPAL OR TRIBUNAL OR CONSELHO OR OAB)</t>
      </text>
    </comment>
    <comment authorId="0" ref="O133">
      <text>
        <t xml:space="preserve">Produtoras e organizadoras de eventos</t>
      </text>
    </comment>
    <comment authorId="0" ref="O142">
      <text>
        <t xml:space="preserve">Empresas de facilities</t>
      </text>
    </comment>
    <comment authorId="0" ref="O143">
      <text>
        <t xml:space="preserve">Empresas de tradução</t>
      </text>
    </comment>
    <comment authorId="0" ref="O144">
      <text>
        <t xml:space="preserve">Ecoportos e transportadoras marítimas</t>
      </text>
    </comment>
    <comment authorId="0" ref="O148">
      <text>
        <t xml:space="preserve">Empresas relacionadas a saúde animal: suplementos, atendimento médico e produtos farmacêuticos.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2">
      <text>
        <t xml:space="preserve">Todas as empresas voltadas para o agro. Ex.: Catupiry, Suzano, Dannemann...</t>
      </text>
    </comment>
    <comment authorId="0" ref="M3">
      <text>
        <t xml:space="preserve">Serviços majoritariamente B2B.</t>
      </text>
    </comment>
    <comment authorId="0" ref="M4">
      <text>
        <t xml:space="preserve">Instituições que prestam suporte ou fazem parte da esfera governamental.</t>
      </text>
    </comment>
    <comment authorId="0" ref="M5">
      <text>
        <t xml:space="preserve">Todas as empresas voltadas para o agro. Ex.: Catupiry, Suzano, Dannemann...</t>
      </text>
    </comment>
    <comment authorId="0" ref="M6">
      <text>
        <t xml:space="preserve">Empresas atreladas ao ramo alimentício.</t>
      </text>
    </comment>
    <comment authorId="0" ref="M7">
      <text>
        <t xml:space="preserve">Todas as atividades relacionadas às artes que sejam afins ao cinema. Ex.: DreamWorks</t>
      </text>
    </comment>
    <comment authorId="0" ref="M8">
      <text>
        <t xml:space="preserve">Empresas atreladas a Supply Chain</t>
      </text>
    </comment>
    <comment authorId="0" ref="M9">
      <text>
        <t xml:space="preserve">Empresas com foco em construção e melhoria de empreendimentos imobiliários.</t>
      </text>
    </comment>
    <comment authorId="0" ref="M10">
      <text>
        <t xml:space="preserve">Organizações com objetivo de melhoria social como um todo.</t>
      </text>
    </comment>
    <comment authorId="0" ref="M11">
      <text>
        <t xml:space="preserve">Todas as atividades relacionadas às artes que sejam afins ao cinema. Ex.: DreamWorks</t>
      </text>
    </comment>
    <comment authorId="0" ref="M12">
      <text>
        <t xml:space="preserve">Empresas relacionadas a materiais artísticos (tintas) e consultorias da área de branding e design</t>
      </text>
    </comment>
    <comment authorId="0" ref="M13">
      <text>
        <t xml:space="preserve">Empreendimentos com foco na venda de produtos para o consumidor (B2C e B2B)</t>
      </text>
    </comment>
    <comment authorId="0" ref="M14">
      <text>
        <t xml:space="preserve">Serviços majoritariamente B2C. Ex: Hoteis, veterinária..</t>
      </text>
    </comment>
    <comment authorId="0" ref="M15">
      <text>
        <t xml:space="preserve">Empresas ligadas a saúde e bem-estar. Ex.: Hospital Israelita Albert Einstein, Hospital do Coração, UNIMED, Grupo Fleury...</t>
      </text>
    </comment>
    <comment authorId="0" ref="M16">
      <text>
        <t xml:space="preserve">Empresas ligadas a saúde e bem-estar. Ex.: Hospital Israelita Albert Einstein, Hospital do Coração, UNIMED, Grupo Fleury...</t>
      </text>
    </comment>
    <comment authorId="0" ref="M17">
      <text>
        <t xml:space="preserve">Instituições que prestam suporte ou fazem parte da esfera governamental.</t>
      </text>
    </comment>
    <comment authorId="0" ref="M18">
      <text>
        <t xml:space="preserve">Toda indústria voltada para material eletroeletrônico. Ex.:  Midea Carrier, Elgin...</t>
      </text>
    </comment>
    <comment authorId="0" ref="M19">
      <text>
        <t xml:space="preserve">Indústrias que demandam estar na borda tecnológica. Ex.: Estaleiro Atlântico Sul, TAM, Volkswagen</t>
      </text>
    </comment>
    <comment authorId="0" ref="M20">
      <text>
        <t xml:space="preserve">Instituições que lidam com risco financeiro. Ex.: BTG Pactual, Generali, Porto Seguro, XP Inc...</t>
      </text>
    </comment>
    <comment authorId="0" ref="M21">
      <text>
        <t xml:space="preserve">Instituições que lidam com risco financeiro. Ex.: BTG Pactual, Generali, Porto Seguro, XP Inc...</t>
      </text>
    </comment>
    <comment authorId="0" ref="M22">
      <text>
        <t xml:space="preserve">Empresas relacionadas a materiais artísticos (tintas) e consultorias da área de branding e design</t>
      </text>
    </comment>
    <comment authorId="0" ref="N22">
      <text>
        <t xml:space="preserve">Galerias e centros de arte visuais</t>
      </text>
    </comment>
    <comment authorId="0" ref="M23">
      <text>
        <t xml:space="preserve">Indústrias voltadas para o consumo geral. Ex: Ypê, Nivea...</t>
      </text>
    </comment>
    <comment authorId="0" ref="M24">
      <text>
        <t xml:space="preserve">Todas as empresas de educação e afins. Ex.: FGV,  UVA, FAPESP...</t>
      </text>
    </comment>
    <comment authorId="0" ref="M25">
      <text>
        <t xml:space="preserve">Empresas focadas em serviços que demandam atuação especializada.</t>
      </text>
    </comment>
    <comment authorId="0" ref="M26">
      <text>
        <t xml:space="preserve">Instituições que lidam com risco financeiro. Ex.: BTG Pactual, Generali, Porto Seguro, XP Inc...</t>
      </text>
    </comment>
    <comment authorId="0" ref="M27">
      <text>
        <t xml:space="preserve">Todas as atividades relacionadas às artes que sejam afins ao cinema. Ex.: DreamWorks</t>
      </text>
    </comment>
    <comment authorId="0" ref="M28">
      <text>
        <t xml:space="preserve">Empreendimentos com foco na venda de produtos para o consumidor (B2C e B2B)</t>
      </text>
    </comment>
    <comment authorId="0" ref="M29">
      <text>
        <t xml:space="preserve">Empresas do ramo de informação tradicionais ou digitais</t>
      </text>
    </comment>
    <comment authorId="0" ref="M30">
      <text>
        <t xml:space="preserve">Empresas com foco em construção e melhoria de empreendimentos imobiliários.</t>
      </text>
    </comment>
    <comment authorId="0" ref="M31">
      <text>
        <t xml:space="preserve">Empresas com foco em construção e melhoria de empreendimentos imobiliários.</t>
      </text>
    </comment>
    <comment authorId="0" ref="M32">
      <text>
        <t xml:space="preserve">Indústrias que demandam estar na borda tecnológica. Ex.: Estaleiro Atlântico Sul, TAM, Volkswagen</t>
      </text>
    </comment>
    <comment authorId="0" ref="M33">
      <text>
        <t xml:space="preserve">Empresas com foco em aprimoramento técnico ou auxílio em tomada de decisão voltadas para B2B.</t>
      </text>
    </comment>
    <comment authorId="0" ref="M34">
      <text>
        <t xml:space="preserve">Serviços técnicos voltados para adequação legal.</t>
      </text>
    </comment>
    <comment authorId="0" ref="M35">
      <text>
        <t xml:space="preserve">Indústrias que possuem como base manipulação de compostos químicos. Ex.:  Eudora, Eurofarma...</t>
      </text>
    </comment>
    <comment authorId="0" ref="M36">
      <text>
        <t xml:space="preserve">Indústrias que demandam estar na borda tecnológica. Ex.: Estaleiro Atlântico Sul, TAM, Volkswagen</t>
      </text>
    </comment>
    <comment authorId="0" ref="M37">
      <text>
        <t xml:space="preserve">Empresas de desenvolvimento relacionadas a tecnologia</t>
      </text>
    </comment>
    <comment authorId="0" ref="N37">
      <text>
        <t xml:space="preserve">Empresas de desenvolvimento de softwares personalizados</t>
      </text>
    </comment>
    <comment authorId="0" ref="M38">
      <text>
        <t xml:space="preserve">Empresas relacionadas a materiais artísticos (tintas) e consultorias da área de branding e design</t>
      </text>
    </comment>
    <comment authorId="0" ref="N38">
      <text>
        <t xml:space="preserve">Consultorias de branding e design Ex: Agência Mandarin</t>
      </text>
    </comment>
    <comment authorId="0" ref="M39">
      <text>
        <t xml:space="preserve">Empresas relacionadas a materiais artísticos (tintas) e consultorias da área de branding e design</t>
      </text>
    </comment>
    <comment authorId="0" ref="N39">
      <text>
        <t xml:space="preserve">Consultorias de branding e design</t>
      </text>
    </comment>
    <comment authorId="0" ref="M40">
      <text>
        <t xml:space="preserve">Empresas ligadas a saúde e bem-estar. Ex.: Hospital Israelita Albert Einstein, Hospital do Coração, UNIMED, Grupo Fleury...</t>
      </text>
    </comment>
    <comment authorId="0" ref="M41">
      <text>
        <t xml:space="preserve">Empresas do ramo de informação tradicionais ou digitais</t>
      </text>
    </comment>
    <comment authorId="0" ref="M42">
      <text>
        <t xml:space="preserve">Todas as empresas de educação e afins. Ex.: FGV,  UVA, FAPESP...</t>
      </text>
    </comment>
    <comment authorId="0" ref="M43">
      <text>
        <t xml:space="preserve">Industrias que trabalham com produtos de  baixo valor agregado ou materiais pesados. Ex.: Plasútil, Incepa...</t>
      </text>
    </comment>
    <comment authorId="0" ref="M44">
      <text>
        <t xml:space="preserve">Empresas com foco em construção e melhoria de empreendimentos imobiliários.</t>
      </text>
    </comment>
    <comment authorId="0" ref="M45">
      <text>
        <t xml:space="preserve">Empresas focadas em serviços que demandam atuação especializada.</t>
      </text>
    </comment>
    <comment authorId="0" ref="M46">
      <text>
        <t xml:space="preserve">Todas as empresas de educação e afins. Ex.: FGV,  UVA, FAPESP...</t>
      </text>
    </comment>
    <comment authorId="0" ref="M47">
      <text>
        <t xml:space="preserve">Todas as empresas de educação e afins. Ex.: FGV,  UVA, FAPESP...</t>
      </text>
    </comment>
    <comment authorId="0" ref="M48">
      <text>
        <t xml:space="preserve">Empresas atreladas a Supply Chain</t>
      </text>
    </comment>
    <comment authorId="0" ref="N48">
      <text>
        <t xml:space="preserve">Transportadoras e empresas de logística</t>
      </text>
    </comment>
    <comment authorId="0" ref="M49">
      <text>
        <t xml:space="preserve">Empresas do ramo de informação tradicionais ou digitais</t>
      </text>
    </comment>
    <comment authorId="0" ref="M50">
      <text>
        <t xml:space="preserve">Todos os serviços que servem para resguardar o bem-estar ou satisfação pessoal do cliente final. Ex.:  CVC, Smiles, Esporte Clube Pinheiros...</t>
      </text>
    </comment>
    <comment authorId="0" ref="M51">
      <text>
        <t xml:space="preserve">Instituições que prestam suporte ou fazem parte da esfera governamental.</t>
      </text>
    </comment>
    <comment authorId="0" ref="M52">
      <text>
        <t xml:space="preserve">Organizações com objetivo de melhoria social como um todo.</t>
      </text>
    </comment>
    <comment authorId="0" ref="M53">
      <text>
        <t xml:space="preserve">Empresas relacionadas a materiais artísticos (tintas) e consultorias da área de branding e design</t>
      </text>
    </comment>
    <comment authorId="0" ref="N53">
      <text>
        <t xml:space="preserve">Fotógrafos e empresas de fotografia e filmagem</t>
      </text>
    </comment>
    <comment authorId="0" ref="M54">
      <text>
        <t xml:space="preserve">Instituições que prestam suporte ou fazem parte da esfera governamental.</t>
      </text>
    </comment>
    <comment authorId="0" ref="M55">
      <text>
        <t xml:space="preserve">Instituições que lidam com risco financeiro. Ex.: BTG Pactual, Generali, Porto Seguro, XP Inc...</t>
      </text>
    </comment>
    <comment authorId="0" ref="M56">
      <text>
        <t xml:space="preserve">Organizações com objetivo de melhoria social como um todo.</t>
      </text>
    </comment>
    <comment authorId="0" ref="M57">
      <text>
        <t xml:space="preserve">Todas as empresas de educação e afins. Ex.: FGV,  UVA, FAPESP...</t>
      </text>
    </comment>
    <comment authorId="0" ref="M58">
      <text>
        <t xml:space="preserve">Empresas de desenvolvimento relacionadas a tecnologia</t>
      </text>
    </comment>
    <comment authorId="0" ref="M59">
      <text>
        <t xml:space="preserve">Serviços majoritariamente B2C. Ex: Hoteis, veterinária..</t>
      </text>
    </comment>
    <comment authorId="0" ref="M60">
      <text>
        <t xml:space="preserve">Empresas com foco em construção e melhoria de empreendimentos imobiliários.</t>
      </text>
    </comment>
    <comment authorId="0" ref="M61">
      <text>
        <t xml:space="preserve">Empresas focadas em serviços que demandam atuação especializada.</t>
      </text>
    </comment>
    <comment authorId="0" ref="N61">
      <text>
        <t xml:space="preserve">Empresas de logística para comércio exterior</t>
      </text>
    </comment>
    <comment authorId="0" ref="M62">
      <text>
        <t xml:space="preserve">Serviços majoritariamente B2C. Ex: Hoteis, veterinária..</t>
      </text>
    </comment>
    <comment authorId="0" ref="N62">
      <text>
        <t xml:space="preserve">Indústrias gráficas</t>
      </text>
    </comment>
    <comment authorId="0" ref="M63">
      <text>
        <t xml:space="preserve">Indústrias que demandam estar na borda tecnológica. Ex.: Estaleiro Atlântico Sul, TAM, Volkswagen</t>
      </text>
    </comment>
    <comment authorId="0" ref="M64">
      <text>
        <t xml:space="preserve">Indústrias que possuem como base manipulação de compostos químicos. Ex.:  Eudora, Eurofarma...</t>
      </text>
    </comment>
    <comment authorId="0" ref="M65">
      <text>
        <t xml:space="preserve">Indústrias que possuem como base manipulação de compostos químicos. Ex.:  Eudora, Eurofarma...</t>
      </text>
    </comment>
    <comment authorId="0" ref="M66">
      <text>
        <t xml:space="preserve">Indústrias voltadas para o consumo geral. Ex: Ypê, Nivea...</t>
      </text>
    </comment>
    <comment authorId="0" ref="M67">
      <text>
        <t xml:space="preserve">Serviços majoritariamente B2C. Ex: Hoteis, veterinária..</t>
      </text>
    </comment>
    <comment authorId="0" ref="N67">
      <text>
        <t xml:space="preserve">Locais de eventos e recreação</t>
      </text>
    </comment>
    <comment authorId="0" ref="M68">
      <text>
        <t xml:space="preserve">Organizações com objetivo de melhoria social como um todo.</t>
      </text>
    </comment>
    <comment authorId="0" ref="M69">
      <text>
        <t xml:space="preserve">Empresas de desenvolvimento relacionadas a tecnologia</t>
      </text>
    </comment>
    <comment authorId="0" ref="M71">
      <text>
        <t xml:space="preserve">Empresas de desenvolvimento relacionadas a tecnologia</t>
      </text>
    </comment>
    <comment authorId="0" ref="N71">
      <text>
        <t xml:space="preserve">Desenvolvedoras de jogos para computador</t>
      </text>
    </comment>
    <comment authorId="0" ref="M72">
      <text>
        <t xml:space="preserve">Empresas do ramo de informação tradicionais ou digitais</t>
      </text>
    </comment>
    <comment authorId="0" ref="M73">
      <text>
        <t xml:space="preserve">Serviços técnicos voltados para adequação legal.</t>
      </text>
    </comment>
    <comment authorId="0" ref="N73">
      <text>
        <t xml:space="preserve">utilizar palavra chave: NOT (ESTADUAL OR FEDERAL OR MUNICIPAL OR TRIBUNAL OR CONSELHO OR OAB)</t>
      </text>
    </comment>
    <comment authorId="0" ref="M74">
      <text>
        <t xml:space="preserve">Instituições que prestam suporte ou fazem parte da esfera governamental.</t>
      </text>
    </comment>
    <comment authorId="0" ref="M75">
      <text>
        <t xml:space="preserve">Todas as empresas voltadas para o agro. Ex.: Catupiry, Suzano, Dannemann...</t>
      </text>
    </comment>
    <comment authorId="0" ref="M76">
      <text>
        <t xml:space="preserve">Todos os serviços que servem para resguardar o bem-estar ou satisfação pessoal do cliente final. Ex.:  CVC, Smiles, Esporte Clube Pinheiros...</t>
      </text>
    </comment>
    <comment authorId="0" ref="M77">
      <text>
        <t xml:space="preserve">Indústrias que demandam estar na borda tecnológica. Ex.: Estaleiro Atlântico Sul, TAM, Volkswagen</t>
      </text>
    </comment>
    <comment authorId="0" ref="M78">
      <text>
        <t xml:space="preserve">Empresas atreladas a Supply Chain</t>
      </text>
    </comment>
    <comment authorId="0" ref="M79">
      <text>
        <t xml:space="preserve">Toda indústria voltada para material eletroeletrônico. Ex.:  Midea Carrier, Elgin...</t>
      </text>
    </comment>
    <comment authorId="0" ref="M80">
      <text>
        <t xml:space="preserve">Industrias que trabalham com produtos de  baixo valor agregado ou materiais pesados. Ex.: Plasútil, Incepa...</t>
      </text>
    </comment>
    <comment authorId="0" ref="M81">
      <text>
        <t xml:space="preserve">Agências com foco em marketing e branding</t>
      </text>
    </comment>
    <comment authorId="0" ref="N81">
      <text>
        <t xml:space="preserve">Empresas de marketing de relacionamento</t>
      </text>
    </comment>
    <comment authorId="0" ref="M82">
      <text>
        <t xml:space="preserve">Industrias que trabalham com produtos de  baixo valor agregado ou materiais pesados. Ex.: Plasútil, Incepa...</t>
      </text>
    </comment>
    <comment authorId="0" ref="M83">
      <text>
        <t xml:space="preserve">Empreendimentos com foco na venda de produtos para o consumidor (B2C e B2B)</t>
      </text>
    </comment>
    <comment authorId="0" ref="M84">
      <text>
        <t xml:space="preserve">Serviços majoritariamente B2C. Ex: Hoteis, veterinária..</t>
      </text>
    </comment>
    <comment authorId="0" ref="N84">
      <text>
        <t xml:space="preserve">Empresas de estética, óleos naturais..</t>
      </text>
    </comment>
    <comment authorId="0" ref="M85">
      <text>
        <t xml:space="preserve">Instituições que lidam com risco financeiro. Ex.: BTG Pactual, Generali, Porto Seguro, XP Inc...</t>
      </text>
    </comment>
    <comment authorId="0" ref="M86">
      <text>
        <t xml:space="preserve">Empresas do ramo de informação tradicionais ou digitais</t>
      </text>
    </comment>
    <comment authorId="0" ref="M87">
      <text>
        <t xml:space="preserve">Agências com foco em marketing e branding</t>
      </text>
    </comment>
    <comment authorId="0" ref="M88">
      <text>
        <t xml:space="preserve">Instituições que prestam suporte ou fazem parte da esfera governamental.</t>
      </text>
    </comment>
    <comment authorId="0" ref="M89">
      <text>
        <t xml:space="preserve">O nome fala por si. Ex.: Vale, Petrobras...</t>
      </text>
    </comment>
    <comment authorId="0" ref="M90">
      <text>
        <t xml:space="preserve">Empreendimentos com foco na venda de produtos para o consumidor (B2C e B2B)</t>
      </text>
    </comment>
    <comment authorId="0" ref="M91">
      <text>
        <t xml:space="preserve">Organizações com objetivo de melhoria social como um todo.</t>
      </text>
    </comment>
    <comment authorId="0" ref="M92">
      <text>
        <t xml:space="preserve">Empresas do ramo de informação tradicionais ou digitais</t>
      </text>
    </comment>
    <comment authorId="0" ref="N92">
      <text>
        <t xml:space="preserve">Produtoras de aúdio</t>
      </text>
    </comment>
    <comment authorId="0" ref="M93">
      <text>
        <t xml:space="preserve">Empresas de desenvolvimento relacionadas a tecnologia</t>
      </text>
    </comment>
    <comment authorId="0" ref="M94">
      <text>
        <t xml:space="preserve">Organizações com objetivo de melhoria social como um todo.</t>
      </text>
    </comment>
    <comment authorId="0" ref="M95">
      <text>
        <t xml:space="preserve">Instituições que prestam suporte ou fazem parte da esfera governamental.</t>
      </text>
    </comment>
    <comment authorId="0" ref="M96">
      <text>
        <t xml:space="preserve">Todas as empresas de educação e afins. Ex.: FGV,  UVA, FAPESP...</t>
      </text>
    </comment>
    <comment authorId="0" ref="M97">
      <text>
        <t xml:space="preserve">Todas as empresas voltadas para o agro. Ex.: Catupiry, Suzano, Dannemann...</t>
      </text>
    </comment>
    <comment authorId="0" ref="M98">
      <text>
        <t xml:space="preserve">Todas as empresas voltadas para o agro. Ex.: Catupiry, Suzano, Dannemann...</t>
      </text>
    </comment>
    <comment authorId="0" ref="M99">
      <text>
        <t xml:space="preserve">Todas as empresas de educação e afins. Ex.: FGV,  UVA, FAPESP...</t>
      </text>
    </comment>
    <comment authorId="0" ref="M100">
      <text>
        <t xml:space="preserve">Empresas com foco em aprimoramento técnico ou auxílio em tomada de decisão voltadas para B2B.</t>
      </text>
    </comment>
    <comment authorId="0" ref="M101">
      <text>
        <t xml:space="preserve">O nome fala por si. Ex.: Vale, Petrobras...</t>
      </text>
    </comment>
    <comment authorId="0" ref="M102">
      <text>
        <t xml:space="preserve">Industrias que trabalham com produtos de  baixo valor agregado ou materiais pesados. Ex.: Plasútil, Incepa...</t>
      </text>
    </comment>
    <comment authorId="0" ref="M103">
      <text>
        <t xml:space="preserve">Instituições que prestam suporte ou fazem parte da esfera governamental.</t>
      </text>
    </comment>
    <comment authorId="0" ref="M104">
      <text>
        <t xml:space="preserve">Serviços técnicos voltados para adequação legal.</t>
      </text>
    </comment>
    <comment authorId="0" ref="N104">
      <text>
        <t xml:space="preserve">Empresas de advocacia</t>
      </text>
    </comment>
    <comment authorId="0" ref="M105">
      <text>
        <t xml:space="preserve">Empresas ligadas a saúde e bem-estar. Ex.: Hospital Israelita Albert Einstein, Hospital do Coração, UNIMED, Grupo Fleury...</t>
      </text>
    </comment>
    <comment authorId="0" ref="M106">
      <text>
        <t xml:space="preserve">Agências com foco em marketing e branding</t>
      </text>
    </comment>
    <comment authorId="0" ref="M107">
      <text>
        <t xml:space="preserve">Empresas atreladas ao ramo alimentício.</t>
      </text>
    </comment>
    <comment authorId="0" ref="M108">
      <text>
        <t xml:space="preserve">Empreendimentos com foco na venda de produtos para o consumidor (B2C e B2B)</t>
      </text>
    </comment>
    <comment authorId="0" ref="M109">
      <text>
        <t xml:space="preserve">Toda indústria voltada para material eletroeletrônico. Ex.:  Midea Carrier, Elgin...</t>
      </text>
    </comment>
    <comment authorId="0" ref="M110">
      <text>
        <t xml:space="preserve">Empresas focadas em desenvolvimento e contratação de pessoas</t>
      </text>
    </comment>
    <comment authorId="0" ref="M111">
      <text>
        <t xml:space="preserve">Empresas focadas em desenvolvimento e contratação de pessoas</t>
      </text>
    </comment>
    <comment authorId="0" ref="M112">
      <text>
        <t xml:space="preserve">O nome fala por si. Ex.: Vale, Petrobras...</t>
      </text>
    </comment>
    <comment authorId="0" ref="M113">
      <text>
        <t xml:space="preserve">Empresas voltadas para infraestrutura de comunicação web.</t>
      </text>
    </comment>
    <comment authorId="0" ref="N113">
      <text>
        <t xml:space="preserve">Provedores de internet</t>
      </text>
    </comment>
    <comment authorId="0" ref="M114">
      <text>
        <t xml:space="preserve">Empresas voltadas para infraestrutura de comunicação web.</t>
      </text>
    </comment>
    <comment authorId="0" ref="N114">
      <text>
        <t xml:space="preserve">Empresas com soluções relacionadas a conectividade</t>
      </text>
    </comment>
    <comment authorId="0" ref="M115">
      <text>
        <t xml:space="preserve">Instituições que prestam suporte ou fazem parte da esfera governamental.</t>
      </text>
    </comment>
    <comment authorId="0" ref="M116">
      <text>
        <t xml:space="preserve">Organizações com objetivo de melhoria social como um todo.</t>
      </text>
    </comment>
    <comment authorId="0" ref="M117">
      <text>
        <t xml:space="preserve">Agências com foco em marketing e branding</t>
      </text>
    </comment>
    <comment authorId="0" ref="N117">
      <text>
        <t xml:space="preserve">Agências de comunicação</t>
      </text>
    </comment>
    <comment authorId="0" ref="M118">
      <text>
        <t xml:space="preserve">Serviços técnicos voltados para adequação legal.</t>
      </text>
    </comment>
    <comment authorId="0" ref="N118">
      <text>
        <t xml:space="preserve">Empresas de conciliação e mediação</t>
      </text>
    </comment>
    <comment authorId="0" ref="M119">
      <text>
        <t xml:space="preserve">Empreendimentos com foco na venda de produtos para o consumidor (B2C e B2B)</t>
      </text>
    </comment>
    <comment authorId="0" ref="M120">
      <text>
        <t xml:space="preserve">Empreendimentos com foco na venda de produtos para o consumidor (B2C e B2B)</t>
      </text>
    </comment>
    <comment authorId="0" ref="M121">
      <text>
        <t xml:space="preserve">Empresas ligadas a saúde e bem-estar. Ex.: Hospital Israelita Albert Einstein, Hospital do Coração, UNIMED, Grupo Fleury...</t>
      </text>
    </comment>
    <comment authorId="0" ref="M122">
      <text>
        <t xml:space="preserve">Empresas voltadas para infraestrutura de comunicação web.</t>
      </text>
    </comment>
    <comment authorId="0" ref="N122">
      <text>
        <t xml:space="preserve">Empresas focadas em soluções de cibersegurança e infraestrutura de TI.</t>
      </text>
    </comment>
    <comment authorId="0" ref="M123">
      <text>
        <t xml:space="preserve">Serviços majoritariamente B2C. Ex: Hoteis, veterinária..</t>
      </text>
    </comment>
    <comment authorId="0" ref="N123">
      <text>
        <t xml:space="preserve">Empresas de segurança empresarial e pessoal</t>
      </text>
    </comment>
    <comment authorId="0" ref="M124">
      <text>
        <t xml:space="preserve">Instituições que prestam suporte ou fazem parte da esfera governamental.</t>
      </text>
    </comment>
    <comment authorId="0" ref="M125">
      <text>
        <t xml:space="preserve">Instituições que lidam com risco financeiro. Ex.: BTG Pactual, Generali, Porto Seguro, XP Inc...</t>
      </text>
    </comment>
    <comment authorId="0" ref="M126">
      <text>
        <t xml:space="preserve">Toda indústria voltada para material eletroeletrônico. Ex.:  Midea Carrier, Elgin...</t>
      </text>
    </comment>
    <comment authorId="0" ref="M127">
      <text>
        <t xml:space="preserve">Empresas focadas em serviços que demandam atuação especializada.</t>
      </text>
    </comment>
    <comment authorId="0" ref="N127">
      <text>
        <t xml:space="preserve">Empresas de saneamento</t>
      </text>
    </comment>
    <comment authorId="0" ref="M128">
      <text>
        <t xml:space="preserve">Empresas de desenvolvimento relacionadas a tecnologia</t>
      </text>
    </comment>
    <comment authorId="0" ref="M129">
      <text>
        <t xml:space="preserve">Instituições que lidam com risco financeiro. Ex.: BTG Pactual, Generali, Porto Seguro, XP Inc...</t>
      </text>
    </comment>
    <comment authorId="0" ref="M130">
      <text>
        <t xml:space="preserve">Serviços majoritariamente B2C. Ex: Hoteis, veterinária..</t>
      </text>
    </comment>
    <comment authorId="0" ref="N130">
      <text>
        <t xml:space="preserve">Os serviços disponibilizados passam desde situações corriqueiras a situações atípicas.</t>
      </text>
    </comment>
    <comment authorId="0" ref="M131">
      <text>
        <t xml:space="preserve">Serviços técnicos voltados para adequação legal.</t>
      </text>
    </comment>
    <comment authorId="0" ref="N131">
      <text>
        <t xml:space="preserve">Empresas de advocacia
utilizar palavra chave: NOT (ESTADUAL OR FEDERAL OR MUNICIPAL OR TRIBUNAL OR CONSELHO OR OAB)</t>
      </text>
    </comment>
    <comment authorId="0" ref="M132">
      <text>
        <t xml:space="preserve">Serviços majoritariamente B2C. Ex: Hoteis, veterinária..</t>
      </text>
    </comment>
    <comment authorId="0" ref="N132">
      <text>
        <t xml:space="preserve">Produtoras e organizadoras de eventos</t>
      </text>
    </comment>
    <comment authorId="0" ref="M133">
      <text>
        <t xml:space="preserve">Empresas focadas em serviços que demandam atuação especializada.</t>
      </text>
    </comment>
    <comment authorId="0" ref="M134">
      <text>
        <t xml:space="preserve">Empresas com foco em construção e melhoria de empreendimentos imobiliários.</t>
      </text>
    </comment>
    <comment authorId="0" ref="M135">
      <text>
        <t xml:space="preserve">Empresas de desenvolvimento relacionadas a tecnologia</t>
      </text>
    </comment>
    <comment authorId="0" ref="M136">
      <text>
        <t xml:space="preserve">Empreendimentos com foco na venda de produtos para o consumidor (B2C e B2B)</t>
      </text>
    </comment>
    <comment authorId="0" ref="M137">
      <text>
        <t xml:space="preserve">Empreendimentos com foco na venda de produtos para o consumidor (B2C e B2B)</t>
      </text>
    </comment>
    <comment authorId="0" ref="M138">
      <text>
        <t xml:space="preserve">Todas as empresas voltadas para o agro. Ex.: Catupiry, Suzano, Dannemann...</t>
      </text>
    </comment>
    <comment authorId="0" ref="M139">
      <text>
        <t xml:space="preserve">Empresas de desenvolvimento relacionadas a tecnologia</t>
      </text>
    </comment>
    <comment authorId="0" ref="M140">
      <text>
        <t xml:space="preserve">Empresas voltadas para infraestrutura de comunicação web.</t>
      </text>
    </comment>
    <comment authorId="0" ref="M141">
      <text>
        <t xml:space="preserve">Serviços majoritariamente B2B.</t>
      </text>
    </comment>
    <comment authorId="0" ref="N141">
      <text>
        <t xml:space="preserve">Empresas de facilities</t>
      </text>
    </comment>
    <comment authorId="0" ref="M142">
      <text>
        <t xml:space="preserve">Empresas com foco em aprimoramento técnico ou auxílio em tomada de decisão voltadas para B2B.</t>
      </text>
    </comment>
    <comment authorId="0" ref="N142">
      <text>
        <t xml:space="preserve">Empresas de tradução</t>
      </text>
    </comment>
    <comment authorId="0" ref="M143">
      <text>
        <t xml:space="preserve">Empresas atreladas a Supply Chain</t>
      </text>
    </comment>
    <comment authorId="0" ref="N143">
      <text>
        <t xml:space="preserve">Ecoportos e transportadoras marítimas</t>
      </text>
    </comment>
    <comment authorId="0" ref="M144">
      <text>
        <t xml:space="preserve">Empresas atreladas a Supply Chain</t>
      </text>
    </comment>
    <comment authorId="0" ref="M145">
      <text>
        <t xml:space="preserve">Empresas com foco em aprimoramento técnico ou auxílio em tomada de decisão voltadas para B2B.</t>
      </text>
    </comment>
    <comment authorId="0" ref="M146">
      <text>
        <t xml:space="preserve">Empreendimentos com foco na venda de produtos para o consumidor (B2C e B2B)</t>
      </text>
    </comment>
    <comment authorId="0" ref="M147">
      <text>
        <t xml:space="preserve">Serviços majoritariamente B2C. Ex: Hoteis, veterinária..</t>
      </text>
    </comment>
    <comment authorId="0" ref="N147">
      <text>
        <t xml:space="preserve">Empresas relacionadas a saúde animal: suplementos, atendimento médico e produtos farmacêuticos.</t>
      </text>
    </comment>
    <comment authorId="0" ref="M148">
      <text>
        <t xml:space="preserve">Industrias que trabalham com produtos de  baixo valor agregado ou materiais pesados. Ex.: Plasútil, Incepa...</t>
      </text>
    </comment>
    <comment authorId="0" ref="M149">
      <text>
        <t xml:space="preserve">Empresas atreladas ao ramo alimentício.</t>
      </text>
    </comment>
  </commentList>
</comments>
</file>

<file path=xl/sharedStrings.xml><?xml version="1.0" encoding="utf-8"?>
<sst xmlns="http://schemas.openxmlformats.org/spreadsheetml/2006/main" count="2083" uniqueCount="1509">
  <si>
    <t>HIPÓTESE DE NICHO</t>
  </si>
  <si>
    <t>Objetivo</t>
  </si>
  <si>
    <t>Definir a solução de ataque, definir os nichos que possuem maior potencial de resultado, verificar a viabilidade de prospecção e definir a tese de ataque</t>
  </si>
  <si>
    <t xml:space="preserve">Acessos Importantes de Consulta </t>
  </si>
  <si>
    <t>PPT Conceitual (N/A)</t>
  </si>
  <si>
    <t>Vídeo Explicativo - Extrapolação de Empresas (N/A)</t>
  </si>
  <si>
    <t>Exemplo do Template Preenchido (N/A)</t>
  </si>
  <si>
    <t>Vídeo Explicativo - Booleana (N/A)</t>
  </si>
  <si>
    <t>Vídeo Explicativo - Análise de Empresas (N/A)</t>
  </si>
  <si>
    <t>Vídeo Explicativo - Análise de Viabilidade (N/A)</t>
  </si>
  <si>
    <r>
      <rPr>
        <rFont val="Montserrat, Arial"/>
        <b/>
        <color theme="1"/>
      </rPr>
      <t xml:space="preserve">PPT Conceitual: </t>
    </r>
    <r>
      <rPr>
        <rFont val="Montserrat, Arial"/>
        <b val="0"/>
        <color theme="1"/>
      </rPr>
      <t>Apresentação com uma introdução ao assunto</t>
    </r>
  </si>
  <si>
    <r>
      <rPr>
        <rFont val="Montserrat, Arial"/>
        <b/>
        <color theme="1"/>
      </rPr>
      <t>Exemplo do Template Preenchido:</t>
    </r>
    <r>
      <rPr>
        <rFont val="Montserrat, Arial"/>
        <b val="0"/>
        <color theme="1"/>
      </rPr>
      <t xml:space="preserve"> Exemplo para ser utilizado em caso de dúvidas na construção desse template</t>
    </r>
  </si>
  <si>
    <r>
      <rPr>
        <rFont val="Montserrat"/>
        <b/>
        <color theme="1"/>
      </rPr>
      <t xml:space="preserve">Vídeo explicativo - Análise de empresa: </t>
    </r>
    <r>
      <rPr>
        <rFont val="Montserrat"/>
        <b val="0"/>
        <color theme="1"/>
      </rPr>
      <t>Como preencher o template</t>
    </r>
  </si>
  <si>
    <r>
      <rPr>
        <rFont val="Montserrat, Arial"/>
        <b/>
        <color theme="1"/>
      </rPr>
      <t xml:space="preserve">Vídeo Explicativo - Extrapolação de Empresa: </t>
    </r>
    <r>
      <rPr>
        <rFont val="Montserrat, Arial"/>
        <b val="0"/>
        <color theme="1"/>
      </rPr>
      <t>Como preencher, utilizar o template para construir a lógica booleana e análise de viabilidade</t>
    </r>
  </si>
  <si>
    <r>
      <rPr>
        <rFont val="Montserrat, Arial"/>
        <b/>
        <color theme="1"/>
      </rPr>
      <t xml:space="preserve">Vídeo Explicativo - Booleana: </t>
    </r>
    <r>
      <rPr>
        <rFont val="Montserrat, Arial"/>
        <b val="0"/>
        <color theme="1"/>
      </rPr>
      <t>Como preencher/construir a lógica booleana baseado no cargo + departamento mapeado</t>
    </r>
  </si>
  <si>
    <r>
      <rPr>
        <rFont val="Montserrat, Arial"/>
        <b/>
        <color theme="1"/>
      </rPr>
      <t xml:space="preserve">Vídeo Explicativo - Análise de Viabilidade: </t>
    </r>
    <r>
      <rPr>
        <rFont val="Montserrat, Arial"/>
        <b val="0"/>
        <color theme="1"/>
      </rPr>
      <t>Como definir a viabilidade do nicho a prospectar</t>
    </r>
  </si>
  <si>
    <t>Obs&gt; Quando tiver o N/A ao lado de algum acesso, é porque não se faz necessário o material de consulta para este template</t>
  </si>
  <si>
    <t>DEFINIÇÃO DE SOLUÇÃO PARA ATAQUE</t>
  </si>
  <si>
    <t>Solução Escolhida?</t>
  </si>
  <si>
    <t>Score</t>
  </si>
  <si>
    <t>Nome da solução</t>
  </si>
  <si>
    <t>Descrição da Solução</t>
  </si>
  <si>
    <r>
      <rPr>
        <rFont val="Arial"/>
        <b/>
        <color theme="1"/>
        <sz val="10.0"/>
      </rPr>
      <t xml:space="preserve">Análise Absoluta
</t>
    </r>
    <r>
      <rPr>
        <rFont val="Arial"/>
        <b val="0"/>
        <color theme="1"/>
        <sz val="10.0"/>
      </rPr>
      <t>Posicione a solução frente aos critérios analisados (Duas soluções podem possuir a mesma nota em um critério)</t>
    </r>
  </si>
  <si>
    <r>
      <rPr>
        <rFont val="Arial"/>
        <b/>
        <color theme="1"/>
        <sz val="10.0"/>
      </rPr>
      <t xml:space="preserve">Product Market Fit
</t>
    </r>
    <r>
      <rPr>
        <rFont val="Arial"/>
        <b val="0"/>
        <color theme="1"/>
        <sz val="8.0"/>
      </rPr>
      <t>(A solução já foi validada pelo mercado ou é uma nova solução?)</t>
    </r>
  </si>
  <si>
    <r>
      <rPr>
        <rFont val="Arial"/>
        <b/>
        <color theme="1"/>
        <sz val="10.0"/>
      </rPr>
      <t xml:space="preserve">É vendida como solução de ataque?
</t>
    </r>
    <r>
      <rPr>
        <rFont val="Arial"/>
        <b val="0"/>
        <color theme="1"/>
        <sz val="8.0"/>
      </rPr>
      <t>(É vendida como uma solução de ataque ou é vendida como um upsell/crossell de outras soluções?)</t>
    </r>
  </si>
  <si>
    <t>Qual o ciclo de vendas?</t>
  </si>
  <si>
    <t>Ticket Médio</t>
  </si>
  <si>
    <t>CLT - Customer Lifetime</t>
  </si>
  <si>
    <t>Margem Bruta</t>
  </si>
  <si>
    <t>LTV</t>
  </si>
  <si>
    <r>
      <rPr>
        <rFont val="Arial"/>
        <b/>
        <color theme="1"/>
        <sz val="10.0"/>
      </rPr>
      <t xml:space="preserve">Análise de Riscos
</t>
    </r>
    <r>
      <rPr>
        <rFont val="Arial"/>
        <b val="0"/>
        <color theme="1"/>
        <sz val="10.0"/>
      </rPr>
      <t>Posicione a solução frente aos critérios analisados (Duas soluções podem possuir a mesma nota em um critério)</t>
    </r>
  </si>
  <si>
    <r>
      <rPr>
        <rFont val="Arial"/>
        <b/>
        <color theme="1"/>
        <sz val="10.0"/>
      </rPr>
      <t xml:space="preserve">Quais são os riscos, dificuldades de implantação e/ou de uso percebidos pelas personas na contratação da sua solução?
</t>
    </r>
    <r>
      <rPr>
        <rFont val="Arial"/>
        <b val="0"/>
        <color theme="1"/>
        <sz val="8.0"/>
      </rPr>
      <t>(ex: a implantação da minha solução é complexa e envolve muitas áreas e pessoas para funcionar)</t>
    </r>
  </si>
  <si>
    <t>O quão crítico são os riscos e dificuldades acima abordados? Ou seja, qual é a classificação destes riscos e dificuldades?</t>
  </si>
  <si>
    <t>ANÁLISE DE EMPRESAS</t>
  </si>
  <si>
    <t>Legenda:</t>
  </si>
  <si>
    <t>Editável</t>
  </si>
  <si>
    <t>O que está em branco já foi preenchido</t>
  </si>
  <si>
    <t>Empresas Selecionadas</t>
  </si>
  <si>
    <t>Critérios de análise de empresas</t>
  </si>
  <si>
    <t>Cliente 1</t>
  </si>
  <si>
    <t>Cliente 2</t>
  </si>
  <si>
    <t>Cliente 3</t>
  </si>
  <si>
    <t>Cliente 4</t>
  </si>
  <si>
    <t>Cliente 5</t>
  </si>
  <si>
    <t>Cliente 6</t>
  </si>
  <si>
    <t>Cliente 7</t>
  </si>
  <si>
    <t>Cliente 8</t>
  </si>
  <si>
    <t>Cliente 9</t>
  </si>
  <si>
    <t>Cliente 10</t>
  </si>
  <si>
    <r>
      <rPr>
        <rFont val="Arial"/>
        <b/>
        <color theme="1"/>
        <sz val="10.0"/>
      </rPr>
      <t xml:space="preserve">Principais clientes/empresas 
</t>
    </r>
    <r>
      <rPr>
        <rFont val="Arial"/>
        <b val="0"/>
        <color theme="1"/>
        <sz val="8.0"/>
      </rPr>
      <t>(em termos de lucratividade, alinhamento de dores aos benefícios do seu produto, necessidade, facilidade para fechar negócio, sucesso gerado e relacionamento no pós venda)</t>
    </r>
  </si>
  <si>
    <r>
      <rPr>
        <rFont val="Arial"/>
        <b/>
        <color theme="1"/>
        <sz val="10.0"/>
      </rPr>
      <t xml:space="preserve">Porte
</t>
    </r>
    <r>
      <rPr>
        <rFont val="Arial"/>
        <b val="0"/>
        <color theme="1"/>
        <sz val="8.0"/>
      </rPr>
      <t>(Com base no número de funcionários)</t>
    </r>
  </si>
  <si>
    <r>
      <rPr>
        <rFont val="Arial"/>
        <b/>
        <color theme="1"/>
        <sz val="10.0"/>
      </rPr>
      <t xml:space="preserve">Setor de atuação da empresa (LinkedIn)
</t>
    </r>
    <r>
      <rPr>
        <rFont val="Arial"/>
        <b val="0"/>
        <color theme="1"/>
        <sz val="8.0"/>
      </rPr>
      <t>(ex: serviços financeiros, contabilidade, consultoria de gerenciamento etc)</t>
    </r>
  </si>
  <si>
    <r>
      <rPr>
        <rFont val="Arial"/>
        <b/>
        <sz val="10.0"/>
      </rPr>
      <t xml:space="preserve">CNAE Primário 
</t>
    </r>
    <r>
      <rPr>
        <rFont val="Arial"/>
        <b val="0"/>
        <sz val="9.0"/>
      </rPr>
      <t>Vídeo: Como buscar o CNAE a partir da pesquisa pelo CNPJ no Google:</t>
    </r>
    <r>
      <rPr>
        <rFont val="Arial"/>
        <b/>
        <sz val="10.0"/>
      </rPr>
      <t>https://bit.ly</t>
    </r>
    <r>
      <rPr>
        <rFont val="Arial"/>
        <b val="0"/>
        <sz val="9.0"/>
      </rPr>
      <t xml:space="preserve">
Link IBG</t>
    </r>
    <r>
      <rPr>
        <rFont val="Arial"/>
        <b/>
        <sz val="9.0"/>
      </rPr>
      <t xml:space="preserve">E: </t>
    </r>
    <r>
      <rPr>
        <rFont val="Arial"/>
        <b/>
        <color rgb="FF1155CC"/>
        <sz val="9.0"/>
        <u/>
      </rPr>
      <t>https://cnae.ibge.gov.br/</t>
    </r>
    <r>
      <rPr>
        <rFont val="Arial"/>
        <b val="0"/>
        <color rgb="FF1155CC"/>
        <sz val="9.0"/>
        <u/>
      </rPr>
      <t xml:space="preserve">
</t>
    </r>
    <r>
      <rPr>
        <rFont val="Arial"/>
        <b/>
        <sz val="9.0"/>
      </rPr>
      <t>Obs: Padrão de preenchimento XX.XX-X</t>
    </r>
  </si>
  <si>
    <t>Qual era a intensidade da dor para a empresa do cliente?</t>
  </si>
  <si>
    <t>LTV - Lifetime Value</t>
  </si>
  <si>
    <t>Em uma pesquisa de satisfação com o cliente (NPS), qual nota ele daria para a sua empresa e para os resultados obtidos com a sua solução?</t>
  </si>
  <si>
    <t>Informe o canal de vendas</t>
  </si>
  <si>
    <r>
      <rPr>
        <rFont val="Arial"/>
        <b/>
        <color theme="1"/>
        <sz val="10.0"/>
      </rPr>
      <t xml:space="preserve">Informe o ciclo de vendas deste cliente
</t>
    </r>
    <r>
      <rPr>
        <rFont val="Arial"/>
        <b val="0"/>
        <color theme="1"/>
        <sz val="8.0"/>
      </rPr>
      <t>(em dias)</t>
    </r>
  </si>
  <si>
    <t>Quem foram os decisores de compra dessa empresa?</t>
  </si>
  <si>
    <t>ANÁLISE DE NICHOS</t>
  </si>
  <si>
    <t>SELECIONE O NICHO</t>
  </si>
  <si>
    <t>Nicho Selecionado</t>
  </si>
  <si>
    <t>Sim</t>
  </si>
  <si>
    <t>Critérios de análise de nichos</t>
  </si>
  <si>
    <t>Nicho 1</t>
  </si>
  <si>
    <t>Nicho 2</t>
  </si>
  <si>
    <t>Nicho 3</t>
  </si>
  <si>
    <t>Nicho 4</t>
  </si>
  <si>
    <t>Nicho 5</t>
  </si>
  <si>
    <t>Aspectos de um ótimo nicho</t>
  </si>
  <si>
    <r>
      <rPr>
        <rFont val="Arial"/>
        <b/>
        <color theme="1"/>
        <sz val="10.0"/>
      </rPr>
      <t xml:space="preserve">Portes do nicho específico selecionado
</t>
    </r>
    <r>
      <rPr>
        <rFont val="Arial"/>
        <b val="0"/>
        <color theme="1"/>
        <sz val="8.0"/>
      </rPr>
      <t>(ex: Médio, 51-200 funcionários)</t>
    </r>
  </si>
  <si>
    <r>
      <rPr>
        <rFont val="Arial"/>
        <b/>
        <color theme="1"/>
        <sz val="10.0"/>
      </rPr>
      <t xml:space="preserve">Segmentos de mercado do nicho específico selecionado
</t>
    </r>
    <r>
      <rPr>
        <rFont val="Arial"/>
        <b val="0"/>
        <color theme="1"/>
        <sz val="8.0"/>
      </rPr>
      <t>(ex: serviços financeiros, contabilidade, consultoria de gerenciamento etc)</t>
    </r>
  </si>
  <si>
    <t>Personas</t>
  </si>
  <si>
    <t>IPPs analisados</t>
  </si>
  <si>
    <t>[Insira manualmente]</t>
  </si>
  <si>
    <t>Defina o IPP a ser prospectado</t>
  </si>
  <si>
    <t>Justifique a escolha do IPP para tese de ataque</t>
  </si>
  <si>
    <t>Identificação de Alvos</t>
  </si>
  <si>
    <t>Qual é a dificuldade de se obter os dados de contato do decisor deste nicho?</t>
  </si>
  <si>
    <t>Qual é a dificuldade de se comunicar por telefone com o decisor deste nicho?</t>
  </si>
  <si>
    <t>Qual é a dificuldade de se comunicar por e-mail com o decisor deste nicho?</t>
  </si>
  <si>
    <t>Qual é a dificuldade de se comunicar pelo linkedin com o decisor deste nicho?</t>
  </si>
  <si>
    <t>Solução e resultados</t>
  </si>
  <si>
    <t>O quanto sua solução gera de resultados tangíveis em relação à expectativa do cliente?</t>
  </si>
  <si>
    <t>Provas Sociais</t>
  </si>
  <si>
    <r>
      <rPr>
        <rFont val="Arial"/>
        <b/>
        <color theme="1"/>
        <sz val="10.0"/>
      </rPr>
      <t xml:space="preserve">Quantas provas sociais sua empresa possui que confirmam que a sua solução entrega os resultados tangíveis esperados?
</t>
    </r>
    <r>
      <rPr>
        <rFont val="Arial"/>
        <b val="0"/>
        <color theme="1"/>
        <sz val="8.0"/>
      </rPr>
      <t>(ex de provas: cases de projeto, cases de sucesso, depoimentos - especialmente em vídeo etc)</t>
    </r>
  </si>
  <si>
    <r>
      <rPr>
        <rFont val="Arial"/>
        <b/>
        <color theme="1"/>
        <sz val="10.0"/>
      </rPr>
      <t xml:space="preserve">Descreva o resultado da principal prova social que você pode apresentar e que suporte o que você alega fazer
</t>
    </r>
    <r>
      <rPr>
        <rFont val="Arial"/>
        <b val="0"/>
        <color theme="1"/>
        <sz val="8.0"/>
      </rPr>
      <t>(caso não possua nenhuma prova, escreva "sem prova")</t>
    </r>
  </si>
  <si>
    <r>
      <rPr>
        <rFont val="Arial"/>
        <b/>
        <color theme="1"/>
        <sz val="10.0"/>
      </rPr>
      <t xml:space="preserve">Você possui algum conteúdo que mostre que você de fato é um especialista nesse nicho? 
</t>
    </r>
    <r>
      <rPr>
        <rFont val="Arial"/>
        <b val="0"/>
        <color theme="1"/>
        <sz val="8.0"/>
      </rPr>
      <t xml:space="preserve">(Blogposts, publicações em redes sociais, artigos etc) </t>
    </r>
  </si>
  <si>
    <t>Cliente</t>
  </si>
  <si>
    <r>
      <rPr>
        <rFont val="Arial"/>
        <b/>
        <color theme="1"/>
        <sz val="10.0"/>
      </rPr>
      <t xml:space="preserve">Do ponto de vista do cliente, o que diferencia a sua solução do seu concorrente? Onde você se destaca? Quais são os seus diferenciais?
</t>
    </r>
    <r>
      <rPr>
        <rFont val="Arial"/>
        <b val="0"/>
        <color theme="1"/>
        <sz val="8.0"/>
      </rPr>
      <t>(ex: possuo atendimento especializado 24h por dia para auxiliar as empresas na implantação da solução)</t>
    </r>
  </si>
  <si>
    <t>O quão diferenciada é a sua solução frente a concorrência nesse nicho, com base no argumento de diferenciação acima?</t>
  </si>
  <si>
    <t>Atratividade</t>
  </si>
  <si>
    <t>Qual é o potencial de lucratividade do nicho analisado? (icp)</t>
  </si>
  <si>
    <t>Qual é a facilidade para se vender para o nicho analisado? (icp)</t>
  </si>
  <si>
    <t>CONCLUSÃO</t>
  </si>
  <si>
    <r>
      <rPr>
        <rFont val="Arial"/>
        <b/>
        <color theme="1"/>
      </rPr>
      <t xml:space="preserve">Tese de Ataque
</t>
    </r>
    <r>
      <rPr>
        <rFont val="Arial"/>
        <b val="0"/>
        <color theme="1"/>
        <sz val="9.0"/>
      </rPr>
      <t>(Por onde iremos começar a prospecção?)</t>
    </r>
  </si>
  <si>
    <t>Porte</t>
  </si>
  <si>
    <t>Setor</t>
  </si>
  <si>
    <t>IPP</t>
  </si>
  <si>
    <t>Localidade</t>
  </si>
  <si>
    <t>Justificativa</t>
  </si>
  <si>
    <t>DICAS</t>
  </si>
  <si>
    <t>Explicações e pontos de atenção do preenchimento da planilha</t>
  </si>
  <si>
    <t>Antes de começarmos, primeiramente você precisa entender qual é a lógica por trás do jogo. De forma sucinta: a ideia inicial é analisarmos empresas que foram clientes ideiais para o seu negócio, ou seja, aqueles que trouxeram o máximo de receita com o mínimo de esforço possível. Após o preenchimento inicial, verificaremos quais empresas possuem os maiores scores para que possamos fazer uma análise mais detalhada do nicho no qual estão inseridas para, assim, definir qual o melhor tipo de cliente para o seu negócio.</t>
  </si>
  <si>
    <t>Sobre a aba 'Análise de Empresas'</t>
  </si>
  <si>
    <t>Nessa aba avaliamos as 10 melhores empresas com as quais a sua empresa já negociou.</t>
  </si>
  <si>
    <t>Passo a passo</t>
  </si>
  <si>
    <t>1) Definir até 10 empresas que foram seus clientes ideais em termos de lucratividade, facilidade para fechar negócio e sucesso com o uso da sua solução.</t>
  </si>
  <si>
    <t>2) Buscar as mesmas empresas no Linkedin e preencher o porte e segmento das empresas de acordo com as informações disponíveis.</t>
  </si>
  <si>
    <t>3) Preencher as informações solicitadas. Algumas informações são tangíveis e outras são percepções. É importante ser fidedigno as tangíveis e trazer uma percepção justa as demais.</t>
  </si>
  <si>
    <t>4) Avalie a sua percepção quanto às 3 empresas com maior score para discussão posterior com o mentor responsável</t>
  </si>
  <si>
    <t>Após preenchimento dessa aba, você e o mentor debaterão juntos quais serão os nichos a serem analisados na próxima reunião</t>
  </si>
  <si>
    <t xml:space="preserve">Ponto de Atenção 1: </t>
  </si>
  <si>
    <t>As informações devem ser preenchidas da forma mais real possível, não extrapole os resultados obtidos ou a percepção do cliente quanto aos ganhos causados pela sua solução</t>
  </si>
  <si>
    <t xml:space="preserve">Ponto de Atenção 2: </t>
  </si>
  <si>
    <t>Todas as informações devem ser preenchidas para que o score seja calculado de forma correta. Caso não saiba/não tenha alguma informação, converse com o mentor responsável sobre a melhor forma de preenchê-la</t>
  </si>
  <si>
    <t>Sobre a aba 'Extrapolação de Empresa'</t>
  </si>
  <si>
    <t>Nessa aba trabalhamos com uma extrapolação dos nichos originários para nichos de comportamento semelhante. Feito a partir dos setores do Linkedin e também pelo CNAE.</t>
  </si>
  <si>
    <t>1. Escolha quais os setores são compatíveis no Linkedin para fazer a Extrapolação de empresas;</t>
  </si>
  <si>
    <t>2. Escolha quais os CNAE´s são compatíveis para fazer a Extrapolação de empresas;</t>
  </si>
  <si>
    <t>3. Escolha quais são os portes compatíveis para fazer a Extrapolação de empresas e coloque o "Sim" no porte Ideal que está marcado com a cor verde;</t>
  </si>
  <si>
    <t>A cor vermelha está proibida de aparecer na planilha. Ela indica algum erro de preenchimento e deve ser indica para o mentor assim que possível.</t>
  </si>
  <si>
    <t>Se atentar ao preenchimento e extrapolação dos 3 nichos</t>
  </si>
  <si>
    <t>Sobre a aba 'Booleana'</t>
  </si>
  <si>
    <t>Nessa aba estaremos fazendo as boolenas para todos os IPP's selecionados. Assim, teremos uma mistura de todas as combinações possíveis de cargos e de setores para uma busca completa no Sales Navigator</t>
  </si>
  <si>
    <t>1. Escolha o Nível do Cargo que deseja utilizar na Booleana (célula N10); Copiar para (célula D:E13);</t>
  </si>
  <si>
    <t>2. Escolha o Departamento do IPP desejado (Célula P10); Copiar para célula B13);</t>
  </si>
  <si>
    <t>3. Caso não queira algum cargo ou departamento específico, basta deletar, dessa forma, não aparecerá na Booleana construída;</t>
  </si>
  <si>
    <t>4. Copie a Booleana que aparecerá na célula B11:F11 e cole como VALOR na coluna F no nicho e IPP desejado, assim como os Níveis Hierárquicos e os Departamentos.</t>
  </si>
  <si>
    <t>Validar que as palavras e cargos que vem automaticamente dos npiveis de departamentos selecionados fazem sentido para ajudar a encontrar a persona que estamos buscando.</t>
  </si>
  <si>
    <t>Sobre a aba 'Análise de Viabilidade'</t>
  </si>
  <si>
    <t>Nesta aba buscaremos entender qual o tamanho do mercado a ser prospectado e em quanto tempo conseguimos trabalhar uma lista de smart leads. Todo o processo é feito comparando a base da Receita Federal com a quantidade de empresas presentes no Linkedin</t>
  </si>
  <si>
    <t>Considerações:</t>
  </si>
  <si>
    <t>Esta análise tem como proposta trazer o comparativo entre:</t>
  </si>
  <si>
    <t>1. O número de empresas cadastradas na base da Receita Federal do Brasil (Ferramenta Speedio)</t>
  </si>
  <si>
    <t>2. O número de empresas presentes no LinkedIn para cada porte/setor;</t>
  </si>
  <si>
    <t>3. O número de leads encontrados conforme a variação do porte/setor;</t>
  </si>
  <si>
    <t>4. O número de leads encontrados conforme a variação do cargo/departamento;</t>
  </si>
  <si>
    <t>Todas as informações que constam no bloco da esquerda são referentes aos inputs que irão alimentar o bloco da direita, que é  justamente o output e demais considerações quanto a viabilidade do mercado.</t>
  </si>
  <si>
    <t>Sobre a aba 'Análise de Nicho'</t>
  </si>
  <si>
    <t>Nessa aba filtramos as 3 melhores empresas analisadas e avaliamos os nichos nos quais estão inseridas em termos de porte e segmento. Nesse caso é importante não avaliarmos apenas a empresa escolhida e sim todas as empresas do seu nicho</t>
  </si>
  <si>
    <t>1) Preencher juntamente com o mentor os nichos das 3 melhores empresas analisadas</t>
  </si>
  <si>
    <t xml:space="preserve">2) Fazer uma estimativa do tamanho desse mercado no site da econodata. Caso seja um nicho presente no linkedin, essa análise também poderá ser feita por essa plataforma </t>
  </si>
  <si>
    <t>3) Preencha as informações solicitadas. Algumas informações são tangíveis e outras são percepções. É importante ser fidedigno as tangíveis e trazer uma percepção justa as demais.</t>
  </si>
  <si>
    <t>4) Avalie a sua percepção quanto ao nicho com maior score para discussão posterior com o mentor responsável</t>
  </si>
  <si>
    <t>As informações devem ser preenchidas com base no seu conhecimento quanto ao nicho analisado, não quanto à experiência específica tida com a empresa analisada na primeira parte do exercício</t>
  </si>
  <si>
    <t>Terminologia e explicações</t>
  </si>
  <si>
    <r>
      <rPr>
        <rFont val="Arial"/>
        <color theme="1"/>
      </rPr>
      <t xml:space="preserve">O </t>
    </r>
    <r>
      <rPr>
        <rFont val="Arial"/>
        <b/>
        <color theme="1"/>
      </rPr>
      <t>Ticket Médio</t>
    </r>
    <r>
      <rPr>
        <rFont val="Arial"/>
        <color theme="1"/>
      </rPr>
      <t xml:space="preserve"> impacta na quantidade de prospects que são trabalhados por mês, e assim temos uma noção de quanto tempo conseguimos prospectar um determinado mercado </t>
    </r>
  </si>
  <si>
    <r>
      <rPr>
        <rFont val="Arial"/>
        <color theme="1"/>
      </rPr>
      <t xml:space="preserve">A </t>
    </r>
    <r>
      <rPr>
        <rFont val="Arial"/>
        <b/>
        <color theme="1"/>
      </rPr>
      <t>"palavra-chave"</t>
    </r>
    <r>
      <rPr>
        <rFont val="Arial"/>
        <color theme="1"/>
      </rPr>
      <t xml:space="preserve"> que é incluída na pesquisa do Linkedin pode especificar um termo que deve constar na pesquisa, por exemplo: "estadual" ou "municipal" ao se trabalhar com setor público</t>
    </r>
  </si>
  <si>
    <r>
      <rPr>
        <rFont val="Arial"/>
        <color theme="1"/>
      </rPr>
      <t xml:space="preserve">A </t>
    </r>
    <r>
      <rPr>
        <rFont val="Arial"/>
        <b/>
        <color theme="1"/>
      </rPr>
      <t>localização</t>
    </r>
    <r>
      <rPr>
        <rFont val="Arial"/>
        <color theme="1"/>
      </rPr>
      <t xml:space="preserve"> é um filtro de onde deve ser feita a busca da matriz da empresa ou de leads de uma determinada região</t>
    </r>
  </si>
  <si>
    <r>
      <rPr>
        <rFont val="Arial"/>
        <color theme="1"/>
      </rPr>
      <t xml:space="preserve">A </t>
    </r>
    <r>
      <rPr>
        <rFont val="Arial"/>
        <b/>
        <color theme="1"/>
      </rPr>
      <t>taxa de ativação</t>
    </r>
    <r>
      <rPr>
        <rFont val="Arial"/>
        <color theme="1"/>
      </rPr>
      <t xml:space="preserve"> é um indicador para quando a persona no Linkedin publicou alguma coisa nos últimos 30 dias e pode indicar, mas não definir, que esta persona é presente na rede</t>
    </r>
  </si>
  <si>
    <t>Pontos de atenção</t>
  </si>
  <si>
    <t>3 - Dor esporádica que impacta diretamente e de forma muita intensa os resultados da empresa</t>
  </si>
  <si>
    <t>Gravidade do problema</t>
  </si>
  <si>
    <t>2 - Dor constante que impacta diretamente e de forma leve os resultados da empresa</t>
  </si>
  <si>
    <t>1 - Dor esporádica que impacta diretamente e de forma moderada os resultados da empresa</t>
  </si>
  <si>
    <t>3 - O resultado gerado foi dentro do esperado/média</t>
  </si>
  <si>
    <t>Resultado gerado</t>
  </si>
  <si>
    <t>2 - O resultado gerado foi abaixo do esperado/média</t>
  </si>
  <si>
    <t>1 - O resultado gerado foi extremamente abaixo do esperado/média</t>
  </si>
  <si>
    <t>5 - A venda teve um ciclo de venda médio e o preço da nossa solução não foi um problema</t>
  </si>
  <si>
    <t>Ciclo de venda e orçamento</t>
  </si>
  <si>
    <t>5 - A venda teve um ciclo de venda curto e o preço da nossa solução não foi um problema</t>
  </si>
  <si>
    <t>7 ou 8 - É satisfeito com os resultados, porém não tem uma grande percepção de valor da solução</t>
  </si>
  <si>
    <t>NPS</t>
  </si>
  <si>
    <t>5 ou 6 - É insatisfeito com os resultados obtidos e não vê muito valor na solução</t>
  </si>
  <si>
    <t>1 a 4 - É completamente insatisfeito com os resultados obtidos e não vê valor com a solução</t>
  </si>
  <si>
    <t>3 - Dor esporádica que impacta diretamente e de forma muita intensa seus resultados e/ou sua vida pessoal</t>
  </si>
  <si>
    <t>Intensidade do problema para o decisor</t>
  </si>
  <si>
    <t>2 - Dor constante que impacta diretamente e de forma leve seus resultados e/ou sua vida pessoal</t>
  </si>
  <si>
    <t>1 - Dor esporádica que impacta diretamente e de forma moderada seus resultados e/ou sua vida pessoal</t>
  </si>
  <si>
    <t>1-10</t>
  </si>
  <si>
    <t>Micro</t>
  </si>
  <si>
    <t>11-50</t>
  </si>
  <si>
    <t>Pequeno</t>
  </si>
  <si>
    <t>3 - Minha solução gera parcialmente os resultados que o cliente espera</t>
  </si>
  <si>
    <t>Resultados tangíveis</t>
  </si>
  <si>
    <t>51-200</t>
  </si>
  <si>
    <t xml:space="preserve">Médio  </t>
  </si>
  <si>
    <t>2 - Minha solução gera poucos resultados esperados pelo cliente</t>
  </si>
  <si>
    <t>201-500</t>
  </si>
  <si>
    <t>1 - Minha solução não gera nenhum dos resultados esperados pelo cliente</t>
  </si>
  <si>
    <t>501-1.000</t>
  </si>
  <si>
    <t>Grande</t>
  </si>
  <si>
    <t>Porte
(Com base no número de funcionários)</t>
  </si>
  <si>
    <t>1.001-5.000</t>
  </si>
  <si>
    <t>Micro, (1-10 funcionários)</t>
  </si>
  <si>
    <t xml:space="preserve">3- Possuo poucos conteúdos produzidos para esse nicho </t>
  </si>
  <si>
    <t>Conteúdo gerado</t>
  </si>
  <si>
    <t>5.001-10.000</t>
  </si>
  <si>
    <t>Pequeno, (11-50 funcionários)</t>
  </si>
  <si>
    <t>2- Não possuo conteúdos direcionados a esse nicho, mas possuo conteúdos que podem ser aplicáveis a esse nicho</t>
  </si>
  <si>
    <t>+ de 10.000</t>
  </si>
  <si>
    <t>Médio, (51-200 funcionários)</t>
  </si>
  <si>
    <t>1- Não possuo nenhum conteúdo para esse nicho</t>
  </si>
  <si>
    <t>Médio-Grande, (201-500 funcionários)</t>
  </si>
  <si>
    <t>Grande, (Acima de 500 funcionários)</t>
  </si>
  <si>
    <t>3 - Os decisores deste nicho são ativos no linkedin, mas não possuem seus dados de contato abertos</t>
  </si>
  <si>
    <t>Dados de contato</t>
  </si>
  <si>
    <t>2 - Os decisores deste nicho possuem linkedin, mas não são ativos na rede</t>
  </si>
  <si>
    <t>Qual é a gravidade desse problema para as empresas desse nicho?</t>
  </si>
  <si>
    <t>1 - Os decisores deste nicho não estão no linkedin e nem possuem seus dados de contato abertos de forma pública</t>
  </si>
  <si>
    <t>5 - Dor constante que impacta diretamente e de forma muito grave os resultados da empresa</t>
  </si>
  <si>
    <t>4 - Dor constante que impacta diretamente e de forma moderada os resultados da empresa</t>
  </si>
  <si>
    <t>1 - Alto risco e alta dificuldade de implantação e/ou uso</t>
  </si>
  <si>
    <t>Riscos e dificuldades</t>
  </si>
  <si>
    <t>2 - Alto risco e média dificuldade de implantação e/ou uso</t>
  </si>
  <si>
    <t>3 - Risco médio e alta dificuldade de implantação e/ou uso</t>
  </si>
  <si>
    <t>4 - Alto risco e baixa dificuldade de implantação e/ou uso</t>
  </si>
  <si>
    <t>5 - Risco médio e média dificuldade de implantação e/ou uso</t>
  </si>
  <si>
    <t>Em uma escala de 1 a 5, o quanto esse resultado gerado foi incrível se comparado ao seu histórico?</t>
  </si>
  <si>
    <t>5 - O resultado gerado foi extremamente acima do esperado/média</t>
  </si>
  <si>
    <t>1 - O tamanho do mercado não é suficiente para os meus objetivos</t>
  </si>
  <si>
    <t>Tamanho mercado</t>
  </si>
  <si>
    <t>4 - O resultado gerado foi acima do esperado/média</t>
  </si>
  <si>
    <t>1 - Possuem gatekeepers</t>
  </si>
  <si>
    <t>Acessibilidade por telefone</t>
  </si>
  <si>
    <t>2 - Apesar de não terem gatekeerpers, dificilmente alguém da empresa transfere uma ligação diretamente</t>
  </si>
  <si>
    <t>Qual foi o canal de prospecção utilizado para esta venda?</t>
  </si>
  <si>
    <t>1 - Indicação</t>
  </si>
  <si>
    <t>2 - Outros</t>
  </si>
  <si>
    <t>3 - Inbound</t>
  </si>
  <si>
    <t>4 - Outbound</t>
  </si>
  <si>
    <t>Em uma escala de 1 a 5, o quanto você quer mais clientes como esse?</t>
  </si>
  <si>
    <t>1 - Não usam o e-mail com muita frequência</t>
  </si>
  <si>
    <t>Acessibilidade por e-mail</t>
  </si>
  <si>
    <t>2 - Usam bastante o e-mail, porém não costumam abrir e-mails de quem não conhece</t>
  </si>
  <si>
    <t>4 - A venda teve um ciclo de venda curto, mas o preço da nossa solução foi um problema e tivemos que negociar desconto</t>
  </si>
  <si>
    <t>1 - Não usam ou não possuem linkedin</t>
  </si>
  <si>
    <t>Acessibilidade por linkedin</t>
  </si>
  <si>
    <t>2 - Usam bastante o linkedin, mas não são muito receptivos a novas conexões e networking</t>
  </si>
  <si>
    <t>1 - Possuo muitos concorrentes diretos e muito bem consolidados e posicionados</t>
  </si>
  <si>
    <t>Concorrência</t>
  </si>
  <si>
    <t>peso 0,5 dor influenciador</t>
  </si>
  <si>
    <t>Em uma pesquisa de satisfação com o cliente (NPS), qual nota ele daria para a sua empresa e para os resultados obtidos?</t>
  </si>
  <si>
    <t>2 - Possuo muitos concorrentes diretos e alguns bem consolidados</t>
  </si>
  <si>
    <t>peso 1 dor da empresa</t>
  </si>
  <si>
    <t>10 - Os resultados obtidos vão além de sua expectativa e é extremamente satisfeito com a nossa solução</t>
  </si>
  <si>
    <t>3 - Possuo poucos concorrentes diretos, mas muito bem consolidados e posicionados</t>
  </si>
  <si>
    <t>peso 1 dor do decisor</t>
  </si>
  <si>
    <t>9 - Os resultados obtidos satisfazem a sua expectativa e é extremamente satisfeito com a nossa solução</t>
  </si>
  <si>
    <t>peso 0,5 tamanho de mercado</t>
  </si>
  <si>
    <t>2 - Minha solução possui poucos diferenciais competitivos frente à concorrência</t>
  </si>
  <si>
    <t>Diferenciais competitivos</t>
  </si>
  <si>
    <t>peso 1 dificuldade de se obter os dados</t>
  </si>
  <si>
    <t>1 - Minha solução não possui diferenciais competitivos relevantes</t>
  </si>
  <si>
    <t>peso 0,3 dificuldade em se falar com decisor pelo telefone</t>
  </si>
  <si>
    <t>peso 0,3 dificuldade em se falar com decisor pelo e-mail</t>
  </si>
  <si>
    <t>3 - Médio ticket médio, mas sem grandes possibilidades para o pós venda</t>
  </si>
  <si>
    <t>Potencial de lucratividade</t>
  </si>
  <si>
    <t>peso 0,3 dificuldade em se falar com decisor pelo linkedin</t>
  </si>
  <si>
    <t>Em uma escala de 1 a 5, qual é a intensidade desses problemas para o decisor?</t>
  </si>
  <si>
    <t>2 - Baixo ticket médio com grandes possibilidades para o pós venda, aumentando o LTV</t>
  </si>
  <si>
    <t>peso 1 resultados tangíveis percepção do cliente</t>
  </si>
  <si>
    <t>5 - Dor constante que impacta diretamente e de forma muito grave os seus resultados e/ou sua vida pessoal</t>
  </si>
  <si>
    <t>1 - Baixo ticket médio e sem grandes possibilidades para o pós venda</t>
  </si>
  <si>
    <t>peso 0,9 percepção de riscos</t>
  </si>
  <si>
    <t>4 - Dor constante que impacta diretamente e de forma moderada seus resultados e/ou sua vida pessoal</t>
  </si>
  <si>
    <t>quantidade de provas sociais</t>
  </si>
  <si>
    <t>1 - Possui um ciclo de vendas superior a 6 meses</t>
  </si>
  <si>
    <t>Ciclo de vendas</t>
  </si>
  <si>
    <t>autoridade</t>
  </si>
  <si>
    <t>2 - Possui um ciclo de vendas maior que 3 e menor que 6 meses</t>
  </si>
  <si>
    <t>saturação de concorrentes</t>
  </si>
  <si>
    <t>3 - Possui um ciclo de vendas maior que 2 e menor que 3 meses</t>
  </si>
  <si>
    <t>diferenciação</t>
  </si>
  <si>
    <t>ciclo de venda</t>
  </si>
  <si>
    <t>Em uma escala de 1 a 5, o quanto sua solução gera de resultados tangíveis em relação à expectativa do cliente?</t>
  </si>
  <si>
    <t>lucratividade</t>
  </si>
  <si>
    <t>5 - Minha solução gera mais resultados do que o cliente espera</t>
  </si>
  <si>
    <t>4 - Minha solução gera os resultados necessários que o cliente espera</t>
  </si>
  <si>
    <t xml:space="preserve">Você produz algum conteúdo que mostre que você de fato é um especialista nesse nicho? 
(Blogposts, publicações em redes sociais) </t>
  </si>
  <si>
    <t xml:space="preserve">4- Possuo diversos conteúdos produzidos para esse nicho </t>
  </si>
  <si>
    <t>6 - As informações de contato desta persona são públicas e disponíveis em sites de revistas, sindicatos, associações</t>
  </si>
  <si>
    <t>5 - Estas persona é ativa no linkedin e costuma deixar seus dados de contato abertos</t>
  </si>
  <si>
    <t>4 - Esta persona é sócio-proprietário de empresa de micro ou pequeno porte</t>
  </si>
  <si>
    <t>3 - Esta persona é ativa no linkedin, mas não possui seus dados de contato abertos</t>
  </si>
  <si>
    <t>2 - Esta persona possui linkedin, mas não é ativa na rede</t>
  </si>
  <si>
    <t>1 - Esta persona não está no linkedin e nem possui seus dados de contato abertos de forma pública</t>
  </si>
  <si>
    <t>Quais são os riscos e dificuldades de implantação e uso percebidos pelas personas desse nicho?
(ex: a implantação da minha solução é complexa e evolve muitas áreas e pessoas para funcionar)</t>
  </si>
  <si>
    <t>Alto risco e alta dificuldade de implantação e/ou uso</t>
  </si>
  <si>
    <t>Alto risco e média dificuldade de implantação e/ou uso</t>
  </si>
  <si>
    <t>Risco médio e alta dificuldade de implantação e/ou uso</t>
  </si>
  <si>
    <t>Alto risco e baixa dificuldade de implantação e/ou uso</t>
  </si>
  <si>
    <t>Risco médio e média dificuldade de implantação e/ou uso</t>
  </si>
  <si>
    <t>Risco baixo e alta dificuldade de implantação e/ou uso</t>
  </si>
  <si>
    <t>6 - Risco baixo e alta dificuldade de implantação e/ou uso</t>
  </si>
  <si>
    <t>Risco médio e baxa dificuldade de implantação e/ou uso</t>
  </si>
  <si>
    <t>7 - Risco médio e baixa dificuldade de implantação e/ou uso</t>
  </si>
  <si>
    <t>Risco baixo e média probabilidade de implantação e/ou uso</t>
  </si>
  <si>
    <t>8 - Risco baixo e média dificuldade de implantação e/ou uso</t>
  </si>
  <si>
    <t>Risco baixo e baixa probabilidade de implantação e/ou uso</t>
  </si>
  <si>
    <t>9 - Risco baixo e baixa dificuldade de implantação e/ou uso</t>
  </si>
  <si>
    <t>O mercado analisado é suficientemente grande para a sua estratégia?</t>
  </si>
  <si>
    <t>2 - O tamanho do mercado é suficiente para os meus objetivos</t>
  </si>
  <si>
    <t>1 - Possui gatekeepers</t>
  </si>
  <si>
    <t>2 - Apesar de não ter gatekeerpers, dificilmente alguém da empresa transfere uma ligação diretamente</t>
  </si>
  <si>
    <t>3 - Possui o hábito de usar bastante o telefone, é facilmente contactado por este canal, mas não costuma ser receptivo</t>
  </si>
  <si>
    <t>4 - Possui o hábito de usar bastante o telefone, é facilmente contactado por este canal e costuma ser receptivo</t>
  </si>
  <si>
    <t>1 - Não usa o e-mail com muita frequência</t>
  </si>
  <si>
    <t>2 - Usa bastante o e-mail, porém não costuma abrir e-mails de quem não conhece</t>
  </si>
  <si>
    <t>3 - Usa bastante o e-mail e é receptivo a e-mails que pode ajudá-lo a melhorar</t>
  </si>
  <si>
    <t>1 - Não usa ou não possui linkedin</t>
  </si>
  <si>
    <t>2 - Usa bastante o linkedin, mas não é muito receptivo a novas conexões e networking</t>
  </si>
  <si>
    <t>3 - Usa bastante o linkedin e é receptivo a novas conexões e networking</t>
  </si>
  <si>
    <t>O quão disputado de concorrentes é o mercado analisado em relação a sua solução?</t>
  </si>
  <si>
    <t>Possuo muitos concorrentes diretos e muito bem consolidados e posicionados</t>
  </si>
  <si>
    <t>Possuo muitos concorrentes diretos e alguns bem consolidados</t>
  </si>
  <si>
    <t>Possuo poucos concorrentes diretos, mas muito bem consolidados e posicionados</t>
  </si>
  <si>
    <t>Possuo muitos concorrentes diretos, mas nenhum com extrema relevância</t>
  </si>
  <si>
    <t>4 - Possuo muitos concorrentes diretos, mas nenhum com extrema relevância</t>
  </si>
  <si>
    <t>Possuo poucos concorrentes diretos, mas nenhum com extrema relevância</t>
  </si>
  <si>
    <t>5 - Possuo poucos concorrentes diretos e nenhum com extrema relevância</t>
  </si>
  <si>
    <t>4 - Não há nenhuma solução no mercado que concorra com a minha</t>
  </si>
  <si>
    <t>3 - Há soluções no mercado que concorrem com a minha, mas eu possuo diferenciais competitivos relevantes</t>
  </si>
  <si>
    <t>Qual é o potencial de lucratividade do nicho analisado?</t>
  </si>
  <si>
    <t>6 - Alto ticket médio com grandes possibilidades para o pós venda, aumentando o LTV</t>
  </si>
  <si>
    <t>5 - Médio ticket médio com grandes possibilidades para o pós venda, aumentando o LTV</t>
  </si>
  <si>
    <t>4 - Alto ticket médio, mas sem grandes possibilidades para o pós venda</t>
  </si>
  <si>
    <t>Qual é a facilidade para se vender para o nicho analisado?</t>
  </si>
  <si>
    <t>4 - Possui um ciclo de vendas maior que 1 e menor que 2 meses</t>
  </si>
  <si>
    <t>5 - Possui um ciclo de vendas maior que 15 dias e menor que 1 mês</t>
  </si>
  <si>
    <t>6 - Possui um ciclo de vendas de 15 dias ou menos</t>
  </si>
  <si>
    <t>Qual é a dificuldade de se explicitar o valor do seu produto para essa persona nesse nicho?</t>
  </si>
  <si>
    <t>1 - Essa persona dificilmente vê valor na minha solução</t>
  </si>
  <si>
    <t>2 - Essa persona vê algum valor na minha solução, mas tem dificuldade de enxergar todos os benefícios</t>
  </si>
  <si>
    <t>3 - Essa persona vê valor na minha solução, porém não costuma vê-la como uma prioridade</t>
  </si>
  <si>
    <t>4 - Essa persona vê valor na minha solução e costuma vê-la como uma prioridade</t>
  </si>
  <si>
    <t>Após contato, qual é a disponibilidade desta persona para marcar reuniões exploratórias (qualificação/ diagnóstico)?</t>
  </si>
  <si>
    <t>1 - Essa persona é extremamente ocupada e não possui nenhum tempo disponível</t>
  </si>
  <si>
    <t>2 - Essa persona é bastante ocupada e dificilmente possui disponibilidade para reuniões</t>
  </si>
  <si>
    <t>3 - Essa persona é bastante ocupada e costuma delegar reuniões aos seus subordinados</t>
  </si>
  <si>
    <t>4 - Essa persona é ocupada, mas costuma aceitar reuniões caso veja valor na solução</t>
  </si>
  <si>
    <t>5 - Essa persona costuma possuir disponibilidade para reuniões</t>
  </si>
  <si>
    <t>Qual o papel do departamento desta persona no processo de compra?</t>
  </si>
  <si>
    <t>1 - O departamento irá apoiar o processo de compra, não sendo beneficiado pela compra da solução</t>
  </si>
  <si>
    <t>2 - O departamento irá apoiar o processo de compra, sendo indiretamente beneficiado pela compra da solução</t>
  </si>
  <si>
    <t>3 - O departamento irá apoiar o processo de compra, tendo algum(ns) benefício(s) direto(s) com a compra da solução</t>
  </si>
  <si>
    <t>4 - O departamento irá coordenar o processo de compra, sendo o principal interessado na compra da solução</t>
  </si>
  <si>
    <t>Qual o papel desta persona no processo de compra?</t>
  </si>
  <si>
    <t>1 - Usuário - Persona que irá utilizar a solução no dia a dia, sem influência no processo de compra</t>
  </si>
  <si>
    <t>2 - Influenciador indireto - Persona com baixo nível de influência no processo de compra</t>
  </si>
  <si>
    <t>3 - Influenciador direto - Persona com alto nível de influência no processo de compra</t>
  </si>
  <si>
    <t>4 - Decisor financeiro/legal - Persona que decide sobre alguma(s) etapa(s) do andamento do processo</t>
  </si>
  <si>
    <t>5 - Patrocinador - Principal decisor do processo de compra que responderá pelos resultados e riscos do projeto</t>
  </si>
  <si>
    <t>Empresas para analise de viabilidade</t>
  </si>
  <si>
    <t>Base para definição do ICP na planilha de posicionamento</t>
  </si>
  <si>
    <t>Setores Linkedin</t>
  </si>
  <si>
    <t>Agricultura, Pecuária, Silvicultura</t>
  </si>
  <si>
    <t>Agricultura</t>
  </si>
  <si>
    <t>Horticultura</t>
  </si>
  <si>
    <t>Pecuária e Pesca</t>
  </si>
  <si>
    <t>Pecuária</t>
  </si>
  <si>
    <t>Organização</t>
  </si>
  <si>
    <t>Pesca</t>
  </si>
  <si>
    <t>Florestal e madeireira</t>
  </si>
  <si>
    <t>Petróleo, Gás e Mineração</t>
  </si>
  <si>
    <t>Base para viabilidade de prospecção</t>
  </si>
  <si>
    <t>Nicho escolhido</t>
  </si>
  <si>
    <t>Óleo e gás</t>
  </si>
  <si>
    <t>Até score</t>
  </si>
  <si>
    <t>Extração de petróleo</t>
  </si>
  <si>
    <t>inviável</t>
  </si>
  <si>
    <t>Extração de Gás Natural</t>
  </si>
  <si>
    <t>pouco viável</t>
  </si>
  <si>
    <t>Mineração</t>
  </si>
  <si>
    <t>viável</t>
  </si>
  <si>
    <t>Mineração de carvão</t>
  </si>
  <si>
    <t>bastante viável</t>
  </si>
  <si>
    <t>Mineração de minério de metal</t>
  </si>
  <si>
    <t>Mineração de minerais não metálicos</t>
  </si>
  <si>
    <t>Base para persona ideal</t>
  </si>
  <si>
    <t>Serviços de utilidade pública</t>
  </si>
  <si>
    <t>Transmissão, Controle e Distribuição de Energia Elétrica</t>
  </si>
  <si>
    <t>não poderá ser utilizada no</t>
  </si>
  <si>
    <t>Geração de Energia Elétrica</t>
  </si>
  <si>
    <t>não deve ser utilizada no</t>
  </si>
  <si>
    <t>Geração de Energia Hidrelétrica</t>
  </si>
  <si>
    <t>pode ser utilizada no</t>
  </si>
  <si>
    <t>Geração de Energia Elétrica com Combustível Fóssil</t>
  </si>
  <si>
    <t>é ideal para o</t>
  </si>
  <si>
    <t>Geração de Energia Elétrica Nuclear</t>
  </si>
  <si>
    <t>Geração de energia elétrica solar</t>
  </si>
  <si>
    <t>Geração de Energia Eólica</t>
  </si>
  <si>
    <t>Geração de Energia Elétrica Geotérmica</t>
  </si>
  <si>
    <t>Geração de Energia Elétrica de Biomassa</t>
  </si>
  <si>
    <t>Distribuição de Gás Natural</t>
  </si>
  <si>
    <t>Serviços de Água, Resíduos, Vapor e Ar Condicionado</t>
  </si>
  <si>
    <t>Sistemas de Abastecimento de Água e Irrigação</t>
  </si>
  <si>
    <t>Definição de solução para ataque</t>
  </si>
  <si>
    <t>Peso</t>
  </si>
  <si>
    <t>Fornecimento de vapor e ar condicionado</t>
  </si>
  <si>
    <r>
      <rPr>
        <rFont val="Arial"/>
        <b/>
        <color theme="1"/>
        <sz val="10.0"/>
      </rPr>
      <t xml:space="preserve">Validação do mercado
</t>
    </r>
    <r>
      <rPr>
        <rFont val="Arial"/>
        <b val="0"/>
        <color theme="1"/>
        <sz val="8.0"/>
      </rPr>
      <t>(A solução já foi validada pelo mercado ou é uma nova solução?)</t>
    </r>
  </si>
  <si>
    <r>
      <rPr>
        <rFont val="Arial"/>
        <b/>
        <color theme="1"/>
        <sz val="10.0"/>
      </rPr>
      <t xml:space="preserve">Diferenciação frente a concorrência
</t>
    </r>
    <r>
      <rPr>
        <rFont val="Arial"/>
        <b val="0"/>
        <color theme="1"/>
        <sz val="8.0"/>
      </rPr>
      <t>(Quais são as vantagens competitivas em relação aos concorrentes diretos e indiretos frente as outras soluções?)</t>
    </r>
  </si>
  <si>
    <t>Recolha de resíduos</t>
  </si>
  <si>
    <t>1- Solução é nova e ainda não foi lançada no mercado</t>
  </si>
  <si>
    <r>
      <rPr>
        <rFont val="Arial"/>
        <b/>
        <color theme="1"/>
        <sz val="10.0"/>
      </rPr>
      <t xml:space="preserve">Potencial de tamanho de mercado
</t>
    </r>
    <r>
      <rPr>
        <rFont val="Arial"/>
        <b val="0"/>
        <color theme="1"/>
        <sz val="8.0"/>
      </rPr>
      <t>(Qual o tamanho do mercado que possui fit com a sua solução frente as outras soluções? )</t>
    </r>
  </si>
  <si>
    <t>Tratamento e Descarte de Resíduos</t>
  </si>
  <si>
    <t>2- Solução foi lançada no mercado, mas ainda existem poucos feedbacks quanto a percepção de valor do cliente</t>
  </si>
  <si>
    <r>
      <rPr>
        <rFont val="Arial"/>
        <b/>
        <color theme="1"/>
        <sz val="10.0"/>
      </rPr>
      <t xml:space="preserve">Nível da dor atrelada a solução
</t>
    </r>
    <r>
      <rPr>
        <rFont val="Arial"/>
        <b val="0"/>
        <color theme="1"/>
        <sz val="8.0"/>
      </rPr>
      <t>(Qual o impacto e frequência da dor resolvida pela sua solução em relação as outras soluções?)</t>
    </r>
  </si>
  <si>
    <t>Construção</t>
  </si>
  <si>
    <t xml:space="preserve">3- Solução foi lançada no mercado e existem claros feedbacks (positivos e negativos) quanto a percepção de valor do cliente </t>
  </si>
  <si>
    <r>
      <rPr>
        <rFont val="Arial"/>
        <b/>
        <color theme="1"/>
        <sz val="10.0"/>
      </rPr>
      <t xml:space="preserve">Percepção de valor e Resultado obtido
</t>
    </r>
    <r>
      <rPr>
        <rFont val="Arial"/>
        <b val="0"/>
        <color theme="1"/>
        <sz val="8.0"/>
      </rPr>
      <t>(Qual a percepção do seu cliente quanto a valor e resultados obtidos com esta solução frente as outras?)</t>
    </r>
  </si>
  <si>
    <t>Construção civil</t>
  </si>
  <si>
    <t>Construção de Edifícios Residenciais</t>
  </si>
  <si>
    <t>Construção de edifícios não residenciais</t>
  </si>
  <si>
    <t>Engenharia Civil</t>
  </si>
  <si>
    <r>
      <rPr>
        <rFont val="Arial"/>
        <b/>
        <color theme="1"/>
        <sz val="10.0"/>
      </rPr>
      <t xml:space="preserve">É vendida como solução de ataque?
</t>
    </r>
    <r>
      <rPr>
        <rFont val="Arial"/>
        <b val="0"/>
        <color theme="1"/>
        <sz val="8.0"/>
      </rPr>
      <t>(É vendida como uma solução de ataque ou é vendida como um upsell/crossell de outras soluções?)</t>
    </r>
  </si>
  <si>
    <t>Construção do Sistema de Utilidade</t>
  </si>
  <si>
    <t>1- Solução sempre é vendida como upsell/crossell</t>
  </si>
  <si>
    <t>Subdivisão de Terras</t>
  </si>
  <si>
    <t>2- Solução é predominantemente vendida como upsell/crossell</t>
  </si>
  <si>
    <t>Construção de estradas, ruas e pontes</t>
  </si>
  <si>
    <t>3- Solução é vendida tanto como solução de ataque como upsell/crossell</t>
  </si>
  <si>
    <t>Empreiteiros de Comércio Especializado</t>
  </si>
  <si>
    <t>4- Solução é predominantemente vendida como solução de ataque</t>
  </si>
  <si>
    <t>Estrutura do Edifício e Empreiteiros Exteriores</t>
  </si>
  <si>
    <t>5- Solução sempre é vendida como solução de ataque</t>
  </si>
  <si>
    <t>Empreiteiros de equipamentos de construção</t>
  </si>
  <si>
    <t>Empreiteiros de acabamento de construção</t>
  </si>
  <si>
    <r>
      <rPr>
        <rFont val="Arial"/>
        <b/>
        <color theme="1"/>
        <sz val="10.0"/>
      </rPr>
      <t xml:space="preserve">Qual o ciclo de vendas?
</t>
    </r>
    <r>
      <rPr>
        <rFont val="Arial"/>
        <b val="0"/>
        <color theme="1"/>
        <sz val="8.0"/>
      </rPr>
      <t>(em dias)</t>
    </r>
  </si>
  <si>
    <t>Fabricação</t>
  </si>
  <si>
    <t>Fabricação de alimentos e bebidas</t>
  </si>
  <si>
    <t>Fabricação de ração animal</t>
  </si>
  <si>
    <t>Fabricação de produtos de açúcar e confeitaria</t>
  </si>
  <si>
    <t>Fabricação de Conservas de Frutas e Legumes</t>
  </si>
  <si>
    <t>Fabricação de produtos lácteos</t>
  </si>
  <si>
    <t>Fabricação de produtos à base de carne</t>
  </si>
  <si>
    <t>Fabricação de Frutos do Mar</t>
  </si>
  <si>
    <t>Fabricação de produtos de panificação</t>
  </si>
  <si>
    <t>Fabricação de bebidas</t>
  </si>
  <si>
    <t>Vinícolas</t>
  </si>
  <si>
    <t>LTV - Lifetime Value (Projetado)</t>
  </si>
  <si>
    <t>Cervejarias</t>
  </si>
  <si>
    <t>Destilarias</t>
  </si>
  <si>
    <t>Fabricação de tabaco</t>
  </si>
  <si>
    <t>Análise dos scores definidos</t>
  </si>
  <si>
    <t>Fabricação têxtil</t>
  </si>
  <si>
    <t>Fabricação de vestuário</t>
  </si>
  <si>
    <t>Fabricação de acessórios de moda</t>
  </si>
  <si>
    <r>
      <rPr>
        <rFont val="Arial"/>
        <b/>
        <color theme="1"/>
        <sz val="10.0"/>
      </rPr>
      <t xml:space="preserve">Diferenciação frente a concorrência
</t>
    </r>
    <r>
      <rPr>
        <rFont val="Arial"/>
        <b val="0"/>
        <color theme="1"/>
        <sz val="8.0"/>
      </rPr>
      <t>(Quais são as vantagens competitivas em relação aos concorrentes diretos e indiretos frente as outras soluções?)</t>
    </r>
  </si>
  <si>
    <t>Fabricação de produtos de couro</t>
  </si>
  <si>
    <r>
      <rPr>
        <rFont val="Arial"/>
        <b/>
        <color theme="1"/>
        <sz val="10.0"/>
      </rPr>
      <t xml:space="preserve">Potencial de tamanho de mercado
</t>
    </r>
    <r>
      <rPr>
        <rFont val="Arial"/>
        <b val="0"/>
        <color theme="1"/>
        <sz val="8.0"/>
      </rPr>
      <t>(Qual o tamanho do mercado que possui fit com a sua solução frente as outras soluções? )</t>
    </r>
  </si>
  <si>
    <t>Fabricação de Calçados</t>
  </si>
  <si>
    <r>
      <rPr>
        <rFont val="Arial"/>
        <b/>
        <color theme="1"/>
        <sz val="10.0"/>
      </rPr>
      <t xml:space="preserve">Nível da dor atrelada a solução
</t>
    </r>
    <r>
      <rPr>
        <rFont val="Arial"/>
        <b val="0"/>
        <color theme="1"/>
        <sz val="8.0"/>
      </rPr>
      <t>(Qual o impacto e frequência da dor resolvida pela sua solução em relação as outras soluções?)</t>
    </r>
  </si>
  <si>
    <t>Fabricação de bolsas femininas</t>
  </si>
  <si>
    <r>
      <rPr>
        <rFont val="Arial"/>
        <b/>
        <color theme="1"/>
        <sz val="10.0"/>
      </rPr>
      <t xml:space="preserve">Percepção de valor e Resultado obtido
</t>
    </r>
    <r>
      <rPr>
        <rFont val="Arial"/>
        <b val="0"/>
        <color theme="1"/>
        <sz val="8.0"/>
      </rPr>
      <t>(Qual a percepção de valor e resultado obtidos desta solução frente as outras?)</t>
    </r>
  </si>
  <si>
    <t>Fabricação de produtos de madeira</t>
  </si>
  <si>
    <t>ANALISE DE EMPRESAS</t>
  </si>
  <si>
    <t>Fabricação de Papel e Produtos Florestais</t>
  </si>
  <si>
    <r>
      <rPr>
        <rFont val="Arial"/>
        <b/>
        <color theme="1"/>
        <sz val="10.0"/>
      </rPr>
      <t xml:space="preserve">Qual era a intensidade desse problema para a empresa do cliente?
</t>
    </r>
    <r>
      <rPr>
        <rFont val="Arial"/>
        <b val="0"/>
        <color theme="1"/>
        <sz val="8.0"/>
      </rPr>
      <t>(Realize um ranqueamento de 1 a 10 para as dores)</t>
    </r>
  </si>
  <si>
    <t>Serviços de impressão</t>
  </si>
  <si>
    <r>
      <rPr>
        <rFont val="Arial"/>
        <b/>
        <color theme="1"/>
        <sz val="10.0"/>
      </rPr>
      <t xml:space="preserve">Qual a relevância desse resultado frente aos obtidos com as outras empresas?
</t>
    </r>
    <r>
      <rPr>
        <rFont val="Arial"/>
        <b val="0"/>
        <color theme="1"/>
        <sz val="8.0"/>
      </rPr>
      <t>Realize um rankeamento das soluções frente aos critérios analisados (Duas soluções não podem possuir a mesma nota em um mesmo critério)</t>
    </r>
  </si>
  <si>
    <t>Fabricação de Produtos de Petróleo e Carvão</t>
  </si>
  <si>
    <t>Fabricação Química</t>
  </si>
  <si>
    <t>Fabricação de Matérias-Primas Químicas</t>
  </si>
  <si>
    <t>Scores restantes elegíveis</t>
  </si>
  <si>
    <t>Fabricação de Borracha Artificial e Fibra Sintética</t>
  </si>
  <si>
    <t>Fabricação de produtos químicos agrícolas</t>
  </si>
  <si>
    <t>Fabricação Farmacêutica</t>
  </si>
  <si>
    <r>
      <rPr>
        <rFont val="Arial"/>
        <b/>
        <color theme="1"/>
        <sz val="10.0"/>
      </rPr>
      <t xml:space="preserve">Diferenciação frente a concorrência
</t>
    </r>
    <r>
      <rPr>
        <rFont val="Arial"/>
        <b val="0"/>
        <color theme="1"/>
        <sz val="8.0"/>
      </rPr>
      <t>(Quais são as vantagens competitivas em relação aos concorrentes diretos e indiretos frente as outras soluções?)</t>
    </r>
  </si>
  <si>
    <t>Fabricação de tintas, revestimentos e adesivos</t>
  </si>
  <si>
    <r>
      <rPr>
        <rFont val="Arial"/>
        <b/>
        <color theme="1"/>
        <sz val="10.0"/>
      </rPr>
      <t xml:space="preserve">Potencial de tamanho de mercado
</t>
    </r>
    <r>
      <rPr>
        <rFont val="Arial"/>
        <b val="0"/>
        <color theme="1"/>
        <sz val="8.0"/>
      </rPr>
      <t>(Qual o tamanho do mercado que possui fit com a sua solução frente as outras soluções? )</t>
    </r>
  </si>
  <si>
    <t>Fabricação de sabonetes e produtos de limpeza</t>
  </si>
  <si>
    <r>
      <rPr>
        <rFont val="Arial"/>
        <b/>
        <color theme="1"/>
        <sz val="10.0"/>
      </rPr>
      <t xml:space="preserve">Nível da dor atrelada a solução
</t>
    </r>
    <r>
      <rPr>
        <rFont val="Arial"/>
        <b val="0"/>
        <color theme="1"/>
        <sz val="8.0"/>
      </rPr>
      <t>(Qual o impacto e frequência da dor resolvida pela sua solução em relação as outras soluções?)</t>
    </r>
  </si>
  <si>
    <t>Fabricação de produtos de cuidados pessoais</t>
  </si>
  <si>
    <r>
      <rPr>
        <rFont val="Arial"/>
        <b/>
        <color theme="1"/>
        <sz val="10.0"/>
      </rPr>
      <t xml:space="preserve">Percepção de valor e Resultado obtido
</t>
    </r>
    <r>
      <rPr>
        <rFont val="Arial"/>
        <b val="0"/>
        <color theme="1"/>
        <sz val="8.0"/>
      </rPr>
      <t>(Qual a percepção de valor desta solução frente as outras?)</t>
    </r>
  </si>
  <si>
    <t>Fabricação de produtos de plástico e borracha</t>
  </si>
  <si>
    <t>Fabricação de Plásticos</t>
  </si>
  <si>
    <r>
      <rPr>
        <rFont val="Arial"/>
        <b/>
        <color theme="1"/>
        <sz val="10.0"/>
      </rPr>
      <t xml:space="preserve">Qual era a intensidade desse problema para a empresa do cliente?
</t>
    </r>
    <r>
      <rPr>
        <rFont val="Arial"/>
        <b val="0"/>
        <color theme="1"/>
        <sz val="8.0"/>
      </rPr>
      <t>(Realize um ranqueamento de 1 a 10 para as dores)</t>
    </r>
  </si>
  <si>
    <t>Fabricação de Embalagens e Recipientes</t>
  </si>
  <si>
    <r>
      <rPr>
        <rFont val="Arial"/>
        <b/>
        <color theme="1"/>
        <sz val="10.0"/>
      </rPr>
      <t xml:space="preserve">Qual a relevância desse resultado frente aos obtidos com as outras empresas?
</t>
    </r>
    <r>
      <rPr>
        <rFont val="Arial"/>
        <b val="0"/>
        <color theme="1"/>
        <sz val="8.0"/>
      </rPr>
      <t>Realize um rankeamento das soluções frente aos critérios analisados (Duas soluções não podem possuir a mesma nota em um mesmo critério)</t>
    </r>
  </si>
  <si>
    <t>Fabricação de produtos de borracha</t>
  </si>
  <si>
    <t>Fabricação de vidro, cerâmica e concreto</t>
  </si>
  <si>
    <t>Fabricação de produtos de argila e refratários</t>
  </si>
  <si>
    <t>Fabricação de produtos de vidro</t>
  </si>
  <si>
    <t>N° de Funcionários</t>
  </si>
  <si>
    <t>Faixas de Ticket Médio</t>
  </si>
  <si>
    <t>Mínimo</t>
  </si>
  <si>
    <t>Máximo</t>
  </si>
  <si>
    <t>Prospects (por mês)</t>
  </si>
  <si>
    <t>Fabricação de produtos de cal e gesso</t>
  </si>
  <si>
    <t>Faixa 1</t>
  </si>
  <si>
    <t>Fabricação de Abrasivos e Minerais Não Metálicos</t>
  </si>
  <si>
    <t>Faixa 2</t>
  </si>
  <si>
    <t>Fabricação de Metal Primário</t>
  </si>
  <si>
    <t>Faixa 3</t>
  </si>
  <si>
    <t>Produtos metálicos fabricados</t>
  </si>
  <si>
    <t>Faixa 4</t>
  </si>
  <si>
    <t>Fabricação de talheres e ferramentas manuais</t>
  </si>
  <si>
    <t>Grande 1, (501-1000 funcionários)</t>
  </si>
  <si>
    <t>Faixa 5</t>
  </si>
  <si>
    <t>Fabricação de Metais Arquitetônicos e Estruturais</t>
  </si>
  <si>
    <t>Grande 2, (1001-5000 funcionários)</t>
  </si>
  <si>
    <t>Faixa 6</t>
  </si>
  <si>
    <t>Caldeiras, Tanques e Fabricação de Contêineres</t>
  </si>
  <si>
    <t>Grande 3, (5001-10.000 funcionários)</t>
  </si>
  <si>
    <t>Fabricação de ferragens para construção</t>
  </si>
  <si>
    <t>Grande 4, (Acima de 10.000 funcionários)</t>
  </si>
  <si>
    <t>Fabricação de produtos de molas e arames</t>
  </si>
  <si>
    <t>Fabricação de produtos torneados e fixadores</t>
  </si>
  <si>
    <t>Tratamentos de metal</t>
  </si>
  <si>
    <t>Fabricação de válvulas, esferas e rolos de metal</t>
  </si>
  <si>
    <t>Fabricação de máquinas</t>
  </si>
  <si>
    <t>Agricultura, construção, fabricação de máquinas de mineração</t>
  </si>
  <si>
    <t>Fabricação de Máquinas Industriais</t>
  </si>
  <si>
    <t>Fabricação de máquinas de automação</t>
  </si>
  <si>
    <t>Fabricação de Máquinas para Indústria Comercial e de Serviços</t>
  </si>
  <si>
    <t>Fabricação de equipamentos de climatização e refrigeração</t>
  </si>
  <si>
    <t>Fabricação de Máquinas Metalúrgicas</t>
  </si>
  <si>
    <t>Fabricação de Motores e Equipamentos de Transmissão de Energia</t>
  </si>
  <si>
    <t>Fabricação de computadores e eletrônicos</t>
  </si>
  <si>
    <t>Fabricação de Hardware de Computador</t>
  </si>
  <si>
    <t>Fabricação de equipamentos de comunicação</t>
  </si>
  <si>
    <t>Fabricação de equipamentos de áudio e vídeo</t>
  </si>
  <si>
    <t>Fabricação de Semicondutores</t>
  </si>
  <si>
    <t>Fabricação de Semicondutores de Energia Renovável</t>
  </si>
  <si>
    <t>Fabricação de Instrumentos de Medição e Controle</t>
  </si>
  <si>
    <t>Fabricação de mídia magnética e óptica</t>
  </si>
  <si>
    <t>Fabricação de Eletrodomésticos, Eletroeletrônicos e Eletrônicos</t>
  </si>
  <si>
    <t>Fabricação de equipamentos de iluminação elétrica</t>
  </si>
  <si>
    <t>Fabricação de eletrodomésticos</t>
  </si>
  <si>
    <t>Fabricação de equipamentos elétricos</t>
  </si>
  <si>
    <t>Fabricação de equipamentos de transporte</t>
  </si>
  <si>
    <t>Fabricação de veículos motorizados</t>
  </si>
  <si>
    <t>Fabricação de peças para veículos automotores</t>
  </si>
  <si>
    <t>Fabricação de componentes de aviação e aeroespacial</t>
  </si>
  <si>
    <t>Defesa e Fabricação Espacial</t>
  </si>
  <si>
    <t>Fabricação de equipamentos ferroviários</t>
  </si>
  <si>
    <t>Construção naval</t>
  </si>
  <si>
    <t>Fabricação de Móveis e Mobiliário Doméstico</t>
  </si>
  <si>
    <t>Fabricação de móveis domésticos e institucionais</t>
  </si>
  <si>
    <t>Fabricação de móveis e utensílios para escritório</t>
  </si>
  <si>
    <t>Fabricação de colchões e persianas</t>
  </si>
  <si>
    <t>Fabricação de equipamentos médicos</t>
  </si>
  <si>
    <t>Fabricação de artigos esportivos</t>
  </si>
  <si>
    <t>Atacado</t>
  </si>
  <si>
    <t>Atacado de Veículos Automotores e Peças</t>
  </si>
  <si>
    <t>Atacado de Móveis e Mobiliário Doméstico</t>
  </si>
  <si>
    <t>Materiais de construção por atacado</t>
  </si>
  <si>
    <t>Equipamentos e suprimentos fotográficos por atacado</t>
  </si>
  <si>
    <t>Atacado de Equipamentos de Informática</t>
  </si>
  <si>
    <t>Atacado de Metais e Minerais</t>
  </si>
  <si>
    <t>Atacado Eletrodomésticos, Eletroeletrônicos e Eletrônicos</t>
  </si>
  <si>
    <t>Atacado de hardware, encanamento, equipamento de aquecimento</t>
  </si>
  <si>
    <t>Máquinas de atacado</t>
  </si>
  <si>
    <t>Atacado de Materiais Recicláveis</t>
  </si>
  <si>
    <t>Atacado de artigos de luxo e joias</t>
  </si>
  <si>
    <t>Produtos de papel por atacado</t>
  </si>
  <si>
    <t>Atacado Medicamentos e Diversos</t>
  </si>
  <si>
    <t>Atacado de Vestuário e Suprimentos de Costura</t>
  </si>
  <si>
    <t>Calçados por atacado</t>
  </si>
  <si>
    <t>Atacado Alimentos e Bebidas</t>
  </si>
  <si>
    <t>Produtos agrícolas crus por atacado</t>
  </si>
  <si>
    <t>Produtos Químicos e Afins por Atacado</t>
  </si>
  <si>
    <t>Atacado de Petróleo e Produtos Petrolíferos</t>
  </si>
  <si>
    <t>Bebidas Alcoólicas Atacado</t>
  </si>
  <si>
    <t>Importação e Exportação Atacado</t>
  </si>
  <si>
    <t>Varejo</t>
  </si>
  <si>
    <t>Veículos automotores de varejo</t>
  </si>
  <si>
    <t>Móveis de Varejo e Mobiliário Doméstico</t>
  </si>
  <si>
    <t>Eletrodomésticos de Varejo, Equipamentos Elétricos e Eletrônicos</t>
  </si>
  <si>
    <t>Varejo de Materiais de Construção e Equipamentos de Jardim</t>
  </si>
  <si>
    <t>Varejo de alimentos e bebidas</t>
  </si>
  <si>
    <t>Mantimentos de varejo</t>
  </si>
  <si>
    <t>Varejo Produtos de Saúde e Cuidados Pessoais</t>
  </si>
  <si>
    <t>Gasolina de Varejo</t>
  </si>
  <si>
    <t>Varejo de Vestuário e Moda</t>
  </si>
  <si>
    <t>Artigos de luxo e joias de varejo</t>
  </si>
  <si>
    <t>Suprimentos de arte de varejo</t>
  </si>
  <si>
    <t>Instrumentos musicais de varejo</t>
  </si>
  <si>
    <t>Livros de varejo e notícias impressas</t>
  </si>
  <si>
    <t>Floriculturas de varejo</t>
  </si>
  <si>
    <t>Artigos de escritório e presentes de varejo</t>
  </si>
  <si>
    <t>Equipamento de escritório de varejo</t>
  </si>
  <si>
    <t>Materiais Recicláveis ​​de Varejo e Mercadoria Usada</t>
  </si>
  <si>
    <t>Varejo on-line e por correspondência</t>
  </si>
  <si>
    <t>Transporte, Logística e Armazenamento</t>
  </si>
  <si>
    <t>Companhias Aéreas e Aviação</t>
  </si>
  <si>
    <t>Transporte ferroviário</t>
  </si>
  <si>
    <t>Transporte Marítimo</t>
  </si>
  <si>
    <t>Transporte de caminhão</t>
  </si>
  <si>
    <t>Transporte Terrestre de Passageiros</t>
  </si>
  <si>
    <t>Serviços de Trânsito Urbano</t>
  </si>
  <si>
    <t>Serviços de ônibus interurbanos e rurais</t>
  </si>
  <si>
    <t>Serviços de táxi e limusine</t>
  </si>
  <si>
    <t>Serviços de ônibus escolar e de funcionários</t>
  </si>
  <si>
    <t>Shuttles e Serviços de Transporte para Necessidades Especiais</t>
  </si>
  <si>
    <t>Transporte turístico</t>
  </si>
  <si>
    <t>Transporte de Oleodutos</t>
  </si>
  <si>
    <t>Serviços postais</t>
  </si>
  <si>
    <t>Transporte de carga e pacote</t>
  </si>
  <si>
    <t>Armazenagem e Armazenamento</t>
  </si>
  <si>
    <t>Publicação de livros e periódicos</t>
  </si>
  <si>
    <t>Publicação de jornais</t>
  </si>
  <si>
    <t>Publicação Periódica</t>
  </si>
  <si>
    <t>Publicação de livros</t>
  </si>
  <si>
    <t>Desenvolvimento de software</t>
  </si>
  <si>
    <t>Produtos de software incorporado</t>
  </si>
  <si>
    <t>Produtos de software de computação móvel</t>
  </si>
  <si>
    <t>Produtos de software de computação desktop</t>
  </si>
  <si>
    <t>Produtos de rede de computadores</t>
  </si>
  <si>
    <t>Jogos de computador</t>
  </si>
  <si>
    <t>Aplicativos de jogos para dispositivos móveis</t>
  </si>
  <si>
    <t>Produtos de software de segurança de dados</t>
  </si>
  <si>
    <t>Distribuição de filmes e vídeos</t>
  </si>
  <si>
    <t>Filmes e gravação de som</t>
  </si>
  <si>
    <t>Produção da mídia</t>
  </si>
  <si>
    <t>Animação e Pós-produção</t>
  </si>
  <si>
    <t>Gravação de som</t>
  </si>
  <si>
    <t>Publicação de partituras</t>
  </si>
  <si>
    <t>Plataformas de mercado na Internet</t>
  </si>
  <si>
    <t>Plataformas de redes sociais</t>
  </si>
  <si>
    <t>Produção e distribuição de mídia de transmissão</t>
  </si>
  <si>
    <t>Transmissão de rádio e televisão</t>
  </si>
  <si>
    <t>Programação de Cabo e Satélite</t>
  </si>
  <si>
    <t>Telecomunicações</t>
  </si>
  <si>
    <t>Operadoras de Telecomunicações</t>
  </si>
  <si>
    <t>Serviços sem fio</t>
  </si>
  <si>
    <t>Telecomunicações por satélite</t>
  </si>
  <si>
    <t>Infraestrutura de dados e análise</t>
  </si>
  <si>
    <t>Plataformas de inteligência de negócios</t>
  </si>
  <si>
    <t>Serviços de informação</t>
  </si>
  <si>
    <t>Bibliotecas</t>
  </si>
  <si>
    <t>Publicação na Internet</t>
  </si>
  <si>
    <t>Mídia de áudio e vídeo on-line</t>
  </si>
  <si>
    <t>Notícias da Internet</t>
  </si>
  <si>
    <t>Conteúdo comercial</t>
  </si>
  <si>
    <t>Blogues</t>
  </si>
  <si>
    <t>Serviços financeiros</t>
  </si>
  <si>
    <t>Intermediação de Crédito</t>
  </si>
  <si>
    <t>Bancário</t>
  </si>
  <si>
    <t>Instituições de Poupança</t>
  </si>
  <si>
    <t>Corretores de empréstimo</t>
  </si>
  <si>
    <t>Comércio Internacional e Desenvolvimento</t>
  </si>
  <si>
    <t>Mercados capitais</t>
  </si>
  <si>
    <t>Investimento bancário</t>
  </si>
  <si>
    <t>Bolsas de Valores e Mercadorias</t>
  </si>
  <si>
    <t>Gestão de Investimentos</t>
  </si>
  <si>
    <t>Capital de risco e diretores de private equity</t>
  </si>
  <si>
    <t>Conselho de investimento</t>
  </si>
  <si>
    <t>Seguro</t>
  </si>
  <si>
    <t>Seguradoras</t>
  </si>
  <si>
    <t>Agências e corretoras de seguros</t>
  </si>
  <si>
    <t>Ajuste de Sinistros, Serviços Atuariais</t>
  </si>
  <si>
    <t>Fundos e fideicomissos</t>
  </si>
  <si>
    <t>Seguros e Fundos de Benefícios a Empregados</t>
  </si>
  <si>
    <t>Fundos de pensão</t>
  </si>
  <si>
    <t>Fundos e propriedades</t>
  </si>
  <si>
    <t>Serviços de aluguel de imóveis e equipamentos</t>
  </si>
  <si>
    <t>Locação de Imóveis</t>
  </si>
  <si>
    <t>Locação de imóveis residenciais</t>
  </si>
  <si>
    <t>Locação de Imóveis Não Residenciais</t>
  </si>
  <si>
    <t>Leasing Agentes e Corretores de Imóveis</t>
  </si>
  <si>
    <t>Serviços de aluguel de equipamentos</t>
  </si>
  <si>
    <t>Aluguel de Bens de Consumo</t>
  </si>
  <si>
    <t>Aluguel de Equipamentos Comerciais e Industriais</t>
  </si>
  <si>
    <t>Serviços jurídicos</t>
  </si>
  <si>
    <t xml:space="preserve">Práticas jurídicas </t>
  </si>
  <si>
    <t xml:space="preserve">Resolução alternativa de litígios </t>
  </si>
  <si>
    <t>Contabilidade</t>
  </si>
  <si>
    <t>Arquitetura e Planejamento</t>
  </si>
  <si>
    <t>Serviços de design</t>
  </si>
  <si>
    <t>Design de interiores</t>
  </si>
  <si>
    <t>Design gráfico</t>
  </si>
  <si>
    <t xml:space="preserve">Serviços e consultoria de TI </t>
  </si>
  <si>
    <t>Desenvolvimento de software personalizado do sistema de TI</t>
  </si>
  <si>
    <t>Serviços de design de sistemas de TI</t>
  </si>
  <si>
    <t>Operações e manutenção do sistema de TI</t>
  </si>
  <si>
    <t>Segurança de computadores e redes</t>
  </si>
  <si>
    <t>Treinamento e suporte do sistema de TI</t>
  </si>
  <si>
    <t>Serviços de dados do sistema de TI</t>
  </si>
  <si>
    <t>Teste e avaliação do sistema de TI</t>
  </si>
  <si>
    <t>Instalação e descarte do sistema de TI</t>
  </si>
  <si>
    <t>Consultoria e Serviços Empresariais</t>
  </si>
  <si>
    <t>Serviços de Gestão Estratégica</t>
  </si>
  <si>
    <t>Serviços de Recursos Humanos</t>
  </si>
  <si>
    <t>Serviços de publicidade</t>
  </si>
  <si>
    <t>Consultoria de Operações</t>
  </si>
  <si>
    <t>Consultoria em Outsourcing e Offshoring</t>
  </si>
  <si>
    <t>Serviços ambientais</t>
  </si>
  <si>
    <t>Serviços de Pesquisa</t>
  </si>
  <si>
    <t>Pesquisa de nanotecnologia</t>
  </si>
  <si>
    <t>Pesquisa em biotecnologia</t>
  </si>
  <si>
    <t>Think Tanks</t>
  </si>
  <si>
    <t>Serviços de marketing</t>
  </si>
  <si>
    <t>Serviços de Relações Públicas e Comunicações</t>
  </si>
  <si>
    <t>Serviços de Relações Governamentais</t>
  </si>
  <si>
    <t>Pesquisa de mercado</t>
  </si>
  <si>
    <t>Fotografia</t>
  </si>
  <si>
    <t>Serviços veterinários</t>
  </si>
  <si>
    <t>Serviços administrativos e de suporte</t>
  </si>
  <si>
    <t>Administração de escritório</t>
  </si>
  <si>
    <t>Serviços de instalações</t>
  </si>
  <si>
    <t>Serviços de zeladoria</t>
  </si>
  <si>
    <t>Serviços de paisagismo</t>
  </si>
  <si>
    <t>Serviços de guardas de segurança e patrulha</t>
  </si>
  <si>
    <t>Serviços de sistemas de segurança</t>
  </si>
  <si>
    <t>Recrutamento e Seleção</t>
  </si>
  <si>
    <t>Serviços de busca de executivos</t>
  </si>
  <si>
    <t>Serviços de ajuda temporária</t>
  </si>
  <si>
    <t>Redação e edição</t>
  </si>
  <si>
    <t>Tradução e localização</t>
  </si>
  <si>
    <t>Centrais de atendimento telefônico</t>
  </si>
  <si>
    <t>Agências de cobrança</t>
  </si>
  <si>
    <t>Arrecadação</t>
  </si>
  <si>
    <t>Arranjos de viagem</t>
  </si>
  <si>
    <t>Segurança e Investigações</t>
  </si>
  <si>
    <t>Serviços de eventos</t>
  </si>
  <si>
    <t>Educação</t>
  </si>
  <si>
    <t>Ensino Fundamental e Médio</t>
  </si>
  <si>
    <t>Ensino superior</t>
  </si>
  <si>
    <t>Treinamento de Habilidades Empresariais</t>
  </si>
  <si>
    <t>Formação Técnica e Profissional</t>
  </si>
  <si>
    <t>Escolas de secretariado</t>
  </si>
  <si>
    <t>Escolas de cosmetologia e barbeiro</t>
  </si>
  <si>
    <t>Treinamento de voo</t>
  </si>
  <si>
    <t>Escolas de Belas Artes</t>
  </si>
  <si>
    <t>Instrução de Esportes e Recreação</t>
  </si>
  <si>
    <t>Escolas de idiomas</t>
  </si>
  <si>
    <t>Provedores de e-learning</t>
  </si>
  <si>
    <t>Hospitais e Cuidados de Saúde</t>
  </si>
  <si>
    <t>Práticas médicas</t>
  </si>
  <si>
    <t>Médicos</t>
  </si>
  <si>
    <t>Dentistas</t>
  </si>
  <si>
    <t>Quiropráticos</t>
  </si>
  <si>
    <t>Optometristas</t>
  </si>
  <si>
    <t>Cuidados de saúde mental</t>
  </si>
  <si>
    <t>Terapeutas Físicos, Ocupacionais e da Fala</t>
  </si>
  <si>
    <t>Medicina alternativa</t>
  </si>
  <si>
    <t>Centros de planejamento familiar</t>
  </si>
  <si>
    <t>Centros de Atendimento Ambulatorial</t>
  </si>
  <si>
    <t>Laboratórios Médicos e Diagnósticos</t>
  </si>
  <si>
    <t>Serviços de assistência médica domiciliar</t>
  </si>
  <si>
    <t>Serviços de ambulância</t>
  </si>
  <si>
    <t>Hospitais</t>
  </si>
  <si>
    <t>Lares de idosos e instalações de cuidados residenciais</t>
  </si>
  <si>
    <t>Serviços Individuais e Familiares</t>
  </si>
  <si>
    <t>Serviços de Emergência e Socorro</t>
  </si>
  <si>
    <t>Serviços de Reabilitação Profissional</t>
  </si>
  <si>
    <t>Serviços de creche para crianças</t>
  </si>
  <si>
    <t>Serviços comunitarios</t>
  </si>
  <si>
    <t>Serviços para Idosos e Deficientes</t>
  </si>
  <si>
    <t>Provedores de entretenimento</t>
  </si>
  <si>
    <t>Artes Cênicas e Esportes Espectadores</t>
  </si>
  <si>
    <t>Artes performáticas</t>
  </si>
  <si>
    <t>Companhias de Teatro</t>
  </si>
  <si>
    <t>Companhias de dança</t>
  </si>
  <si>
    <t>Circos e Espetáculos de Magia</t>
  </si>
  <si>
    <t>Espectador de esportes</t>
  </si>
  <si>
    <t>Equipes e clubes esportivos</t>
  </si>
  <si>
    <t>Pistas de corrida</t>
  </si>
  <si>
    <t>Museus, locais históricos e zoológicos</t>
  </si>
  <si>
    <t>Museus</t>
  </si>
  <si>
    <t>Locais históricos</t>
  </si>
  <si>
    <t>Zoológicos e Jardins Botânicos</t>
  </si>
  <si>
    <t>Artistas e Escritores</t>
  </si>
  <si>
    <t>Músicos</t>
  </si>
  <si>
    <t>Instalações recreativas</t>
  </si>
  <si>
    <t>Parques de diversões e fliperamas</t>
  </si>
  <si>
    <t>Instalações de jogos de azar e cassinos</t>
  </si>
  <si>
    <t>Campos de golfe e clubes de campo</t>
  </si>
  <si>
    <t>Instalações de esqui</t>
  </si>
  <si>
    <t>Serviços de bem-estar e fitness</t>
  </si>
  <si>
    <t>Serviços de Hospedagem</t>
  </si>
  <si>
    <t>Hospitalidade</t>
  </si>
  <si>
    <t>Hotéis e motéis</t>
  </si>
  <si>
    <t>Pousadas, Albergues, Casas de Família</t>
  </si>
  <si>
    <t>Serviços de alimentos e bebidas</t>
  </si>
  <si>
    <t>Restaurantes</t>
  </si>
  <si>
    <t>Bares, tabernas e discotecas</t>
  </si>
  <si>
    <t>Fornecedores</t>
  </si>
  <si>
    <t>Serviços móveis de alimentação</t>
  </si>
  <si>
    <t>Serviços do Consumidor</t>
  </si>
  <si>
    <t>Reparo e manutenção</t>
  </si>
  <si>
    <t>Reparação e Manutenção de Veículos</t>
  </si>
  <si>
    <t>Manutenção de equipamentos eletrônicos e de precisão</t>
  </si>
  <si>
    <t>Manutenção de Máquinas Comerciais e Industriais</t>
  </si>
  <si>
    <t>Reparação de estofos e móveis</t>
  </si>
  <si>
    <t>Reparação de calçados e artigos de couro</t>
  </si>
  <si>
    <t>Serviços pessoais e de lavanderia</t>
  </si>
  <si>
    <t>Serviços de cuidados pessoais</t>
  </si>
  <si>
    <t>Serviços de lavanderia e limpeza a seco</t>
  </si>
  <si>
    <t>Serviços para animais de estimação</t>
  </si>
  <si>
    <t>Instituições religiosas</t>
  </si>
  <si>
    <t>Serviços de angariação de fundos filantrópicos</t>
  </si>
  <si>
    <t>Organizações Cívicas e Sociais</t>
  </si>
  <si>
    <t>Organizações políticas</t>
  </si>
  <si>
    <t>Associações da Indústria</t>
  </si>
  <si>
    <t>Organizações profissionais</t>
  </si>
  <si>
    <t>Organizações sem fins lucrativos</t>
  </si>
  <si>
    <t>Serviços domésticos</t>
  </si>
  <si>
    <t>Administração governamental</t>
  </si>
  <si>
    <t>Escritórios de Políticas Públicas</t>
  </si>
  <si>
    <t>Escritórios Executivos</t>
  </si>
  <si>
    <t>Escritórios Legislativos</t>
  </si>
  <si>
    <t>Administração da justiça</t>
  </si>
  <si>
    <t>Tribunais de justiça</t>
  </si>
  <si>
    <t>Instituições Correcionais</t>
  </si>
  <si>
    <t>Proteção contra fogo</t>
  </si>
  <si>
    <t>Aplicação da lei</t>
  </si>
  <si>
    <t>Segurança Pública</t>
  </si>
  <si>
    <t>Saúde e Serviços Humanos</t>
  </si>
  <si>
    <t>Programas de administração educacional</t>
  </si>
  <si>
    <t>Saúde pública</t>
  </si>
  <si>
    <t>Programas de Assistência Pública</t>
  </si>
  <si>
    <t>Programas de Qualidade Ambiental</t>
  </si>
  <si>
    <t>Gestão do Programa de Ar, Água e Resíduos</t>
  </si>
  <si>
    <t>Programas de Conservação</t>
  </si>
  <si>
    <t>Habitação e Desenvolvimento Comunitário</t>
  </si>
  <si>
    <t>Programas de habitação</t>
  </si>
  <si>
    <t>Desenvolvimento Comunitário e Planejamento Urbano</t>
  </si>
  <si>
    <t>Programas Econômicos</t>
  </si>
  <si>
    <t>Programas de transporte</t>
  </si>
  <si>
    <t>Administração de utilitários</t>
  </si>
  <si>
    <t>Pesquisa e Tecnologia Espacial</t>
  </si>
  <si>
    <t>Assuntos Militares e Internacionais</t>
  </si>
  <si>
    <t>Forças Armadas</t>
  </si>
  <si>
    <t>Assuntos Internacionais</t>
  </si>
  <si>
    <t>Tecnologia, Informação e Mídia</t>
  </si>
  <si>
    <t>Mídia e Telecomunicações</t>
  </si>
  <si>
    <t>Tecnologia e Informação</t>
  </si>
  <si>
    <t>Serviços Blockchain</t>
  </si>
  <si>
    <t>Serviços profissionais</t>
  </si>
  <si>
    <t>Departamento</t>
  </si>
  <si>
    <t>Setores</t>
  </si>
  <si>
    <t>Decisores</t>
  </si>
  <si>
    <t>Classe</t>
  </si>
  <si>
    <t>Subclasse</t>
  </si>
  <si>
    <t>Segmento no Linkedin</t>
  </si>
  <si>
    <t>Descrição</t>
  </si>
  <si>
    <t>Empresas</t>
  </si>
  <si>
    <t>Português</t>
  </si>
  <si>
    <t>Inglês</t>
  </si>
  <si>
    <t>Administração agrícola</t>
  </si>
  <si>
    <t>- Nível 1: vice | presidente | owner | propriet | socio (a)| advisor | board | fundador;</t>
  </si>
  <si>
    <t>Indústria</t>
  </si>
  <si>
    <t>Agro indústria1</t>
  </si>
  <si>
    <t>Agro indústria</t>
  </si>
  <si>
    <t>Empresas voltadas para tecnologia e investimentos no agronegócio além de usinas e cooperativas</t>
  </si>
  <si>
    <t>GeSafra, AGRI. Usina Santa Adélia</t>
  </si>
  <si>
    <t>Accounting</t>
  </si>
  <si>
    <t>Administração de serviços</t>
  </si>
  <si>
    <t>- Nível 2: chief | diretor | head | superintendente</t>
  </si>
  <si>
    <t>Serviços</t>
  </si>
  <si>
    <t>Serviço de tercerização1</t>
  </si>
  <si>
    <t>Serviço de tercerização</t>
  </si>
  <si>
    <t>Empresas de gestão de serviços como estacionamentos, infraestrutura etc</t>
  </si>
  <si>
    <t>Grupo Indigo, Estapar</t>
  </si>
  <si>
    <t>Contas a Pagar</t>
  </si>
  <si>
    <t>Accounts Payable</t>
  </si>
  <si>
    <t>- Nível 3: coordenador | gerente</t>
  </si>
  <si>
    <t>Geral</t>
  </si>
  <si>
    <t>Instituições Públicas1</t>
  </si>
  <si>
    <t>Instituições Públicas</t>
  </si>
  <si>
    <t>Empresas com função organizar as instituições públicas</t>
  </si>
  <si>
    <t>Correios, CAPES, ANEEL</t>
  </si>
  <si>
    <t>Contas a Receber</t>
  </si>
  <si>
    <t>Accounts Receivable</t>
  </si>
  <si>
    <t>- Nível 4: Lider | supervisor | encarregado</t>
  </si>
  <si>
    <t>Agro indústria2</t>
  </si>
  <si>
    <t>Produtos e serviços agrícolas</t>
  </si>
  <si>
    <t>Belagricola, Lavoro Agro, Zilor</t>
  </si>
  <si>
    <t>Administrativo</t>
  </si>
  <si>
    <t>Administration</t>
  </si>
  <si>
    <t>Alimentos e bebidas</t>
  </si>
  <si>
    <t>- Nível 5: analista | especialista</t>
  </si>
  <si>
    <t>Alimentos e bebidas1</t>
  </si>
  <si>
    <t>Produtores e exportadores de alimentos</t>
  </si>
  <si>
    <t>Ambev, Cacau Show, Marilan</t>
  </si>
  <si>
    <t>Auditoria</t>
  </si>
  <si>
    <t>Audit</t>
  </si>
  <si>
    <t>Animação</t>
  </si>
  <si>
    <t>Comércio</t>
  </si>
  <si>
    <t>Audiovisual1</t>
  </si>
  <si>
    <t>Audiovisual</t>
  </si>
  <si>
    <t>Produtoras especializadas em animação</t>
  </si>
  <si>
    <t>Mono Animation, Hype Animation</t>
  </si>
  <si>
    <t>Desenvolvimento de negócios</t>
  </si>
  <si>
    <t>Business Development</t>
  </si>
  <si>
    <t>Armazenagem</t>
  </si>
  <si>
    <t>Logistica1</t>
  </si>
  <si>
    <t>Logistica</t>
  </si>
  <si>
    <t>Empresas de inteligência em soluções logísticas para a cadeia de alimentos e agronegócios.</t>
  </si>
  <si>
    <t>Kepler, Comfrio</t>
  </si>
  <si>
    <t>Comercial</t>
  </si>
  <si>
    <t>Commercial</t>
  </si>
  <si>
    <t>Arquitetura e planejamento</t>
  </si>
  <si>
    <t>Arquitetura/Construção Civil/Imobiliária1</t>
  </si>
  <si>
    <t>Arquitetura/Construção Civil/Imobiliária</t>
  </si>
  <si>
    <t>Empresas especializadas no desenvolvimento de projetos e execução de trabalhos corporativos e comerciais</t>
  </si>
  <si>
    <t>Jacobsen Arquitetura, Casacor, Yuny Incorporadora</t>
  </si>
  <si>
    <t>Comunicação</t>
  </si>
  <si>
    <t>Communication</t>
  </si>
  <si>
    <t>Arrecadação de recursos</t>
  </si>
  <si>
    <t>ONG's e afins1</t>
  </si>
  <si>
    <t>ONG's e afins</t>
  </si>
  <si>
    <t>Empresas de "vaquinhas"</t>
  </si>
  <si>
    <t>VOAA, Incentiv.me</t>
  </si>
  <si>
    <t>Controladoria</t>
  </si>
  <si>
    <t>Controlling</t>
  </si>
  <si>
    <t>Artes cênicas</t>
  </si>
  <si>
    <t>Audiovisual2</t>
  </si>
  <si>
    <t>Empresas focadas em artes cênicas como grupos de teatros, teatros e escolas teatrais</t>
  </si>
  <si>
    <t>Cia de Teatro Paranafernália, Escola de Teatro Bolshoi no Brasil, Teatro Porto Seguro</t>
  </si>
  <si>
    <t>Credit</t>
  </si>
  <si>
    <t>Crédito</t>
  </si>
  <si>
    <t>Artes e artesanato</t>
  </si>
  <si>
    <t>Artes 1</t>
  </si>
  <si>
    <t>Artes</t>
  </si>
  <si>
    <t>Materias artístiscos, ateliers, galerias</t>
  </si>
  <si>
    <t>Acrilex (tintas) Cicero papelaria</t>
  </si>
  <si>
    <t>Atendimento ao cliente</t>
  </si>
  <si>
    <t>Customer Service</t>
  </si>
  <si>
    <t>Comércio1</t>
  </si>
  <si>
    <t>Empresas que vendem no modelo atacado</t>
  </si>
  <si>
    <t>Assaí Atacadista, Atacadão</t>
  </si>
  <si>
    <t>Exportação</t>
  </si>
  <si>
    <t>Exports</t>
  </si>
  <si>
    <t>Atendimento ao consumidor</t>
  </si>
  <si>
    <t>Serviços para o público1</t>
  </si>
  <si>
    <t>Serviços para o público</t>
  </si>
  <si>
    <t>Empresas de  monitoramento e gestão da satisfação de clientes.</t>
  </si>
  <si>
    <t>Reclame aqui, Track.co</t>
  </si>
  <si>
    <t>Financeiro</t>
  </si>
  <si>
    <t>Finance</t>
  </si>
  <si>
    <t>Atendimento médico e hospitalar</t>
  </si>
  <si>
    <t>Saúde1</t>
  </si>
  <si>
    <t>Saúde</t>
  </si>
  <si>
    <t>Planos de saúde e hospitais</t>
  </si>
  <si>
    <t>Amil, Dasa, Hospital Sirio Libanes</t>
  </si>
  <si>
    <t>Planejamento Financeiro</t>
  </si>
  <si>
    <t>Financial Planning</t>
  </si>
  <si>
    <t>Atendimento médico psiquiátrico</t>
  </si>
  <si>
    <t>Saúde2</t>
  </si>
  <si>
    <t>Clinicas de psicologia e terapia sexual</t>
  </si>
  <si>
    <t>Formare Clinica de Psicologia</t>
  </si>
  <si>
    <t>Recursos Humanos</t>
  </si>
  <si>
    <t>Human Resources</t>
  </si>
  <si>
    <t>Atividades parlamentares</t>
  </si>
  <si>
    <t>Instituições Públicas2</t>
  </si>
  <si>
    <t>Organizações do poder legislativo</t>
  </si>
  <si>
    <t>Senado Federal, Câmara dos Deputados</t>
  </si>
  <si>
    <t>Importação</t>
  </si>
  <si>
    <t>Imports</t>
  </si>
  <si>
    <t>Automação industrial</t>
  </si>
  <si>
    <t>Indústria de eletrônicos 1</t>
  </si>
  <si>
    <t>Indústria de eletrônicos</t>
  </si>
  <si>
    <t>Empresas que oferecem soluções de sistemas de automação</t>
  </si>
  <si>
    <t>Forja Taurus, Lenze, Festo Brasil</t>
  </si>
  <si>
    <t>Seguros</t>
  </si>
  <si>
    <t>Insurance</t>
  </si>
  <si>
    <t>Aviação e aeroespacial</t>
  </si>
  <si>
    <t>Indústria alta tecnologia1</t>
  </si>
  <si>
    <t>Indústria alta tecnologia</t>
  </si>
  <si>
    <t>Aeroportos e empresas de aviação</t>
  </si>
  <si>
    <t>Embraer, Aeroporto de Guarulhos</t>
  </si>
  <si>
    <t>TI – Tecnologia da Informação</t>
  </si>
  <si>
    <t>IT – Information Technology</t>
  </si>
  <si>
    <t>Bancos</t>
  </si>
  <si>
    <t>Financeiro1</t>
  </si>
  <si>
    <t>Bancos comuns e digitais</t>
  </si>
  <si>
    <t>Itaú Unibanco, Bradesco, Santander</t>
  </si>
  <si>
    <t>Legal</t>
  </si>
  <si>
    <t>Bancos de investimento</t>
  </si>
  <si>
    <t>Financeiro2</t>
  </si>
  <si>
    <t>Bancos e assessorias em investimentos</t>
  </si>
  <si>
    <t>BTG Pactual, Safira Capital, Guide Investimentos</t>
  </si>
  <si>
    <t>Logística</t>
  </si>
  <si>
    <t>Logistics</t>
  </si>
  <si>
    <t>Belas-artes</t>
  </si>
  <si>
    <t>Artes 2</t>
  </si>
  <si>
    <t>Galerias e centros de arte visuais</t>
  </si>
  <si>
    <t xml:space="preserve">ArtRio, Centro de Artes Visuais Galeria do Largo 
</t>
  </si>
  <si>
    <t>Manutenção</t>
  </si>
  <si>
    <t>Maintenance</t>
  </si>
  <si>
    <t>Bens de consumo</t>
  </si>
  <si>
    <t>Industria de bens de consumo1</t>
  </si>
  <si>
    <t>Industria de bens de consumo</t>
  </si>
  <si>
    <t>Empresas que têm sua produção direcionada diretamente para o mercado consumidor, ou seja, para a população em geral.</t>
  </si>
  <si>
    <t>Ypê, Bombril, Nivea, Grendene</t>
  </si>
  <si>
    <t>Inteligência de Mercado</t>
  </si>
  <si>
    <t>Market Inteligence</t>
  </si>
  <si>
    <t>Educação e pesquisa1</t>
  </si>
  <si>
    <t>Educação e pesquisa</t>
  </si>
  <si>
    <t>Bibliotecas físicas e onlines</t>
  </si>
  <si>
    <t>Biblioteca Nacional, SEIBiblioteca</t>
  </si>
  <si>
    <t>Marketing</t>
  </si>
  <si>
    <t>Biotecnologia</t>
  </si>
  <si>
    <t>Serviços técnicos1</t>
  </si>
  <si>
    <t>Serviços técnicos</t>
  </si>
  <si>
    <t>Empresas fabricantes de produtos microbiológicos</t>
  </si>
  <si>
    <t>Instituto Butantan, Bioclin</t>
  </si>
  <si>
    <t>Fusão e Aquisição</t>
  </si>
  <si>
    <t>Merger &amp; Acquisition (M&amp;A)</t>
  </si>
  <si>
    <t>Capital de risco e participações privadas</t>
  </si>
  <si>
    <t>Financeiro3</t>
  </si>
  <si>
    <t>Empresas que selecionam e investem em outras</t>
  </si>
  <si>
    <t>Movile, Consult Ventures</t>
  </si>
  <si>
    <t>Petróleo e Gás</t>
  </si>
  <si>
    <t>Oil &amp; Gas</t>
  </si>
  <si>
    <t>Cinema e filmes</t>
  </si>
  <si>
    <t>Audiovisual3</t>
  </si>
  <si>
    <t>Produtoras e salas de cinema</t>
  </si>
  <si>
    <t>PlayArte Pictures, Kinoplex</t>
  </si>
  <si>
    <t>Operações</t>
  </si>
  <si>
    <t>Operations</t>
  </si>
  <si>
    <t>Composição e revisão de textos</t>
  </si>
  <si>
    <t>Comércio2</t>
  </si>
  <si>
    <t>Comércio e desenvolvimento internacional</t>
  </si>
  <si>
    <t>Consultorias de comércio exterior e empresas de gerenciamento logístico</t>
  </si>
  <si>
    <t>Grupo Guidoni, Senac</t>
  </si>
  <si>
    <t>Planejamento</t>
  </si>
  <si>
    <t>Planning</t>
  </si>
  <si>
    <t>Comunicação1</t>
  </si>
  <si>
    <t>Editoras e empresas de revisão de textos</t>
  </si>
  <si>
    <t>Hábil revisão, Keimelion</t>
  </si>
  <si>
    <t>Processos</t>
  </si>
  <si>
    <t>Process</t>
  </si>
  <si>
    <t>Arquitetura/Construção Civil/Imobiliária2</t>
  </si>
  <si>
    <t>Empresas que atuam no mercado de construção pesada</t>
  </si>
  <si>
    <t>Andrade Gutierrez, FORTLEV, Mendes Junior</t>
  </si>
  <si>
    <t>Compras</t>
  </si>
  <si>
    <t>Procurement</t>
  </si>
  <si>
    <t>Construção de ferrovia</t>
  </si>
  <si>
    <t>Arquitetura/Construção Civil/Imobiliária3</t>
  </si>
  <si>
    <t>Construtoras especializadas em construção ferroviárias</t>
  </si>
  <si>
    <t>Prumo Engenharia, Jat Transportes</t>
  </si>
  <si>
    <t>Produção</t>
  </si>
  <si>
    <t>Production</t>
  </si>
  <si>
    <t>Indústria alta tecnologia2</t>
  </si>
  <si>
    <t>Empresas na área de construção e reparos de navios e plataformas.</t>
  </si>
  <si>
    <t>ICN, BrasFELS, OSX</t>
  </si>
  <si>
    <t>Projetos</t>
  </si>
  <si>
    <t>Projects</t>
  </si>
  <si>
    <t>Consultoria de gerenciamento</t>
  </si>
  <si>
    <t>Consultoria/Treinamento1</t>
  </si>
  <si>
    <t>Consultoria/Treinamento</t>
  </si>
  <si>
    <t>Empresas que promovem o empreendorismo e soluções para negócios</t>
  </si>
  <si>
    <t>Sebrae, Falconi</t>
  </si>
  <si>
    <t>Garantia de Qualidade</t>
  </si>
  <si>
    <t>Quality Assurance</t>
  </si>
  <si>
    <t>Contabil/Juridico1</t>
  </si>
  <si>
    <t>Contabil/Juridico</t>
  </si>
  <si>
    <t>Empresas especializadas em serviços de contabilidade e consultoria</t>
  </si>
  <si>
    <t>KMPG, PwC</t>
  </si>
  <si>
    <t>Pesquisa e Desenvolvimento</t>
  </si>
  <si>
    <t>Research &amp; Development (R&amp;D)</t>
  </si>
  <si>
    <t>Cosmética</t>
  </si>
  <si>
    <t>Indústria química e farmacêutica1</t>
  </si>
  <si>
    <t>Indústria química e farmacêutica</t>
  </si>
  <si>
    <t>Empresas que desenvolvem produtos cosméticos</t>
  </si>
  <si>
    <t>Natura, Boticário, Hinode</t>
  </si>
  <si>
    <t>Retail</t>
  </si>
  <si>
    <t>Defesa e espaço</t>
  </si>
  <si>
    <t>Indústria alta tecnologia3</t>
  </si>
  <si>
    <t>Empresas de desenvolvimento de projetos e produtos de alta tecnologia aérea</t>
  </si>
  <si>
    <t>IMBEL, Força Área Brasileira</t>
  </si>
  <si>
    <t>Gerenciamento de Risco</t>
  </si>
  <si>
    <t>Risk Management</t>
  </si>
  <si>
    <t>Desenvolvimento de programas</t>
  </si>
  <si>
    <t>T.I1</t>
  </si>
  <si>
    <t>T.I</t>
  </si>
  <si>
    <t>Empresas de desenvolvimento de softwares personalizados</t>
  </si>
  <si>
    <t>Hotmail, Hubcon</t>
  </si>
  <si>
    <t>Vendas</t>
  </si>
  <si>
    <t>Sales</t>
  </si>
  <si>
    <t>Design</t>
  </si>
  <si>
    <t>Artes 3</t>
  </si>
  <si>
    <t>Consultorias de branding e design</t>
  </si>
  <si>
    <t>Agência Mandarin</t>
  </si>
  <si>
    <t>Estratégia</t>
  </si>
  <si>
    <t>Strategy</t>
  </si>
  <si>
    <t>Artes 4</t>
  </si>
  <si>
    <t xml:space="preserve">Riseli Assessoria Gráfica, Soma Comunicação Visual 
</t>
  </si>
  <si>
    <t>Suprimentos</t>
  </si>
  <si>
    <t>Supply Chain</t>
  </si>
  <si>
    <t>Dispositivos médicos</t>
  </si>
  <si>
    <t>Saúde3</t>
  </si>
  <si>
    <t>Empresas de produção de produtos hospitalares</t>
  </si>
  <si>
    <t>Neodent, Cremer, Grupo Elfa</t>
  </si>
  <si>
    <t>Tributário, Fiscal</t>
  </si>
  <si>
    <t>Tax</t>
  </si>
  <si>
    <t>Editoração</t>
  </si>
  <si>
    <t>Comunicação2</t>
  </si>
  <si>
    <t>Forbes, VEJA, Editora Globo</t>
  </si>
  <si>
    <t>Treinamento e Desenvolvimento</t>
  </si>
  <si>
    <t>Training and Development</t>
  </si>
  <si>
    <t>Educação à distância</t>
  </si>
  <si>
    <t>Educação e pesquisa2</t>
  </si>
  <si>
    <t>Faculdades e plataformas de cursos online</t>
  </si>
  <si>
    <t>Alura, Descomplica, Kenzie</t>
  </si>
  <si>
    <t>Tesouraria</t>
  </si>
  <si>
    <t>Treasury</t>
  </si>
  <si>
    <t>Embalagens e recipientes</t>
  </si>
  <si>
    <t>Indústria pesada1</t>
  </si>
  <si>
    <t>Indústria pesada</t>
  </si>
  <si>
    <t>Produtoras de embalagens e recipientes</t>
  </si>
  <si>
    <t>ValGroup, Plaszom</t>
  </si>
  <si>
    <t>Wholesale</t>
  </si>
  <si>
    <t>Engenharia civil</t>
  </si>
  <si>
    <t>Arquitetura/Construção Civil/Imobiliária4</t>
  </si>
  <si>
    <t>Construtoras</t>
  </si>
  <si>
    <t>MRV, Even Construtora</t>
  </si>
  <si>
    <t>Engenharia mecânica ou industrial</t>
  </si>
  <si>
    <t>Serviços técnicos2</t>
  </si>
  <si>
    <t>Empresas no segmento da construção, montagem e manutenção industrial.</t>
  </si>
  <si>
    <t>Embraco, Atlas Schindler</t>
  </si>
  <si>
    <t>Ensino fundamental/médio</t>
  </si>
  <si>
    <t>Educação e pesquisa3</t>
  </si>
  <si>
    <t>Escolas de ensino fundamental e médio</t>
  </si>
  <si>
    <t>SAS, Sistema Elite de Ensino</t>
  </si>
  <si>
    <t>Educação e pesquisa4</t>
  </si>
  <si>
    <t>Faculdades públicas e particulares</t>
  </si>
  <si>
    <t>SENAI, Faculdade Souza Marques</t>
  </si>
  <si>
    <t>Entrega de encomendas e fretes</t>
  </si>
  <si>
    <t>Logistica2</t>
  </si>
  <si>
    <t>Transportadoras e empresas de logística</t>
  </si>
  <si>
    <t>Mobi Logística, Transporte Generoso</t>
  </si>
  <si>
    <t>Entretenimento</t>
  </si>
  <si>
    <t>Comunicação3</t>
  </si>
  <si>
    <t>Cinemas, tv a cabo e eventos</t>
  </si>
  <si>
    <t>HBO, Netflix, Cinemark</t>
  </si>
  <si>
    <t>Esportes</t>
  </si>
  <si>
    <t>Bem estar e lazer1</t>
  </si>
  <si>
    <t>Bem estar e lazer</t>
  </si>
  <si>
    <t>Comitês e times</t>
  </si>
  <si>
    <t>Rio 2016, Flamengo, CBF</t>
  </si>
  <si>
    <t>Execução da lei</t>
  </si>
  <si>
    <t>Instituições Públicas3</t>
  </si>
  <si>
    <t>Orgãos públicos</t>
  </si>
  <si>
    <t>Polícia Federal, Ministério Público</t>
  </si>
  <si>
    <t>Filantropia</t>
  </si>
  <si>
    <t>ONG's e afins2</t>
  </si>
  <si>
    <t>Entidades de assistência social</t>
  </si>
  <si>
    <t>CIEE, Fundação São Francisco Xavier</t>
  </si>
  <si>
    <t>Artes 5</t>
  </si>
  <si>
    <t>Fotógrafos e empresas de fotografia e filmagem</t>
  </si>
  <si>
    <t xml:space="preserve">Produtora 7, eMania
</t>
  </si>
  <si>
    <t>Gabinete presidencial</t>
  </si>
  <si>
    <t>Instituições Públicas4</t>
  </si>
  <si>
    <t>Assembleias legislativas</t>
  </si>
  <si>
    <t>G100, Assembleias</t>
  </si>
  <si>
    <t>Gestão de investimentos</t>
  </si>
  <si>
    <t>Financeiro4</t>
  </si>
  <si>
    <t>Gestoras de fundos de investimentos</t>
  </si>
  <si>
    <t>Odebrecht, Votorantim, Bradesco Asset Management</t>
  </si>
  <si>
    <t>Gestão de organização sem fins lucrativos</t>
  </si>
  <si>
    <t>ONG's e afins3</t>
  </si>
  <si>
    <t>Instituição sem fins lucrativos nas áreas de educação, saúde, cultura, lazer e assistência.</t>
  </si>
  <si>
    <t>Fundação Estudar, Endeavor, Sesc</t>
  </si>
  <si>
    <t>Gestão educacional</t>
  </si>
  <si>
    <t>Educação e pesquisa5</t>
  </si>
  <si>
    <t>Universidades e cursos online</t>
  </si>
  <si>
    <t>Fundação Roberto Marinho, Kumon, Alumni</t>
  </si>
  <si>
    <t>Hardware</t>
  </si>
  <si>
    <t>T.I2</t>
  </si>
  <si>
    <t>Reparadoras de equipamentos de tecnologia e soluções de integração de redes</t>
  </si>
  <si>
    <t>Advantech</t>
  </si>
  <si>
    <t>Hotelaria</t>
  </si>
  <si>
    <t>Serviços para o público2</t>
  </si>
  <si>
    <t>Hotéis e resorts</t>
  </si>
  <si>
    <t>Bourbon, Fasano</t>
  </si>
  <si>
    <t>Importação e exportação</t>
  </si>
  <si>
    <t>Arquitetura/Construção Civil/Imobiliária5</t>
  </si>
  <si>
    <t>Imóveis comerciais</t>
  </si>
  <si>
    <t>Consultorias imobiliárias, Shoppings e edifícios corporativos</t>
  </si>
  <si>
    <t>Edifício Torre Almirante, Shopping Barra, Airaz Administradora</t>
  </si>
  <si>
    <t>Impressão</t>
  </si>
  <si>
    <t>Serviços técnicos3</t>
  </si>
  <si>
    <t>Empresas de logística para comércio exterior</t>
  </si>
  <si>
    <t>Atlas Comércio Exterior, Vendemmia Logística Integrada</t>
  </si>
  <si>
    <t>Serviços para o público3</t>
  </si>
  <si>
    <t>Indústrias gráficas</t>
  </si>
  <si>
    <t xml:space="preserve">Plural Industria Grafica, Posigraf 
</t>
  </si>
  <si>
    <t>Indústria automotiva</t>
  </si>
  <si>
    <t>Indústria alta tecnologia4</t>
  </si>
  <si>
    <t>Indústria envolvida com o projeto, desenvolvimento, fabricação, publicidade e a venda de veículos automóveis</t>
  </si>
  <si>
    <t>Volkswagen, Toyota, Citroen</t>
  </si>
  <si>
    <t>Indústria farmacêutica</t>
  </si>
  <si>
    <t>Indústria química e farmacêutica2</t>
  </si>
  <si>
    <t>Empresas focadas em pesquisar, desenvolver, comercializar e distribuir drogas farmacêuticas</t>
  </si>
  <si>
    <t>Hypera, EMS, Medley</t>
  </si>
  <si>
    <t>Indústria química</t>
  </si>
  <si>
    <t>Indústria química e farmacêutica3</t>
  </si>
  <si>
    <t>Inclui as empresas que produzem produtos químicos industriais, como petroquímicos, agroquímicos, produtos farmacêuticos, polímeros, tintas</t>
  </si>
  <si>
    <t>White Martins, Oxiteno, Unipar</t>
  </si>
  <si>
    <t>Indústria têxtil</t>
  </si>
  <si>
    <t>Industria de bens de consumo2</t>
  </si>
  <si>
    <t>Indústrias de produção de tecidos e calçados</t>
  </si>
  <si>
    <t>Lupo, Colcci, Calçados Beira Rio</t>
  </si>
  <si>
    <t>Instalações e serviços de recreação</t>
  </si>
  <si>
    <t>Serviços para o público4</t>
  </si>
  <si>
    <t>Locais de eventos e recreação</t>
  </si>
  <si>
    <t xml:space="preserve">Animasom, Casa do Brincar 
</t>
  </si>
  <si>
    <t>ONG's e afins4</t>
  </si>
  <si>
    <t>Igrejas e assembleias religiosas</t>
  </si>
  <si>
    <t>Igreja Universal, Igreja Presbiteriana do Brasil</t>
  </si>
  <si>
    <t>Internet</t>
  </si>
  <si>
    <t>T.I3</t>
  </si>
  <si>
    <t>Plataformas online para gerenciamento ou compra de serviços</t>
  </si>
  <si>
    <t>Uol, Vagas.com, B2W Digital</t>
  </si>
  <si>
    <t>Jogos de azar</t>
  </si>
  <si>
    <t>Outros1</t>
  </si>
  <si>
    <t>Outros</t>
  </si>
  <si>
    <t>Empresas de apostas e jogos</t>
  </si>
  <si>
    <t>Lotéricas, Royal Games</t>
  </si>
  <si>
    <t>T.I4</t>
  </si>
  <si>
    <t>Desenvolvedoras de jogos para computador</t>
  </si>
  <si>
    <t>Tappes Games, Level Up Brasil</t>
  </si>
  <si>
    <t>Jornais</t>
  </si>
  <si>
    <t>Comunicação4</t>
  </si>
  <si>
    <t>Portais de notícias online e jornais impressos</t>
  </si>
  <si>
    <t>Folha de São Paulo, Estadão</t>
  </si>
  <si>
    <t>Judiciário</t>
  </si>
  <si>
    <t>Contabil/Juridico2</t>
  </si>
  <si>
    <t>Tribunal de Justiça de São Paulo</t>
  </si>
  <si>
    <t>Laticínios</t>
  </si>
  <si>
    <t>Instituições Públicas5</t>
  </si>
  <si>
    <t>Tribunais, conselhos, OAB Estaduais</t>
  </si>
  <si>
    <t>Superior Tribunal de Justiça, Conselho Nacional de Justiça</t>
  </si>
  <si>
    <t>Lazer, viagens e turismo</t>
  </si>
  <si>
    <t>Agro indústria3</t>
  </si>
  <si>
    <t>Produtoras de laticínios</t>
  </si>
  <si>
    <t>Tirolez, Catupiry</t>
  </si>
  <si>
    <t>Linhas aéreas/Aviação</t>
  </si>
  <si>
    <t>Bem estar e lazer2</t>
  </si>
  <si>
    <t>Agências de viagens e turismo</t>
  </si>
  <si>
    <t>Decolar, Movida, CVC</t>
  </si>
  <si>
    <t>Logística e cadeia de suprimentos</t>
  </si>
  <si>
    <t>Indústria alta tecnologia5</t>
  </si>
  <si>
    <t>Companhias e empresas de serviços aéreos</t>
  </si>
  <si>
    <t>TAM, Azul, GOL</t>
  </si>
  <si>
    <t>Manufatura de eletroeletrônicos</t>
  </si>
  <si>
    <t>Logistica3</t>
  </si>
  <si>
    <t>Empresas de logística integrada</t>
  </si>
  <si>
    <t>Loggi, Wilson Sons</t>
  </si>
  <si>
    <t>Maquinário</t>
  </si>
  <si>
    <t>Indústria de eletrônicos 2</t>
  </si>
  <si>
    <t>Empresas fabricantes de componentes elétricos e eletrônicos</t>
  </si>
  <si>
    <t>LG, Metalfrio, Panasonic</t>
  </si>
  <si>
    <t>Marketing e publicidade</t>
  </si>
  <si>
    <t>Indústria pesada2</t>
  </si>
  <si>
    <t>Produtoras de equipamentos, acessórios e peças geralmente fundidas em aço</t>
  </si>
  <si>
    <t>Hyundai, TerraVerde, Furlan</t>
  </si>
  <si>
    <t>Materiais de construção</t>
  </si>
  <si>
    <t>Agências de marketing/publicidade1</t>
  </si>
  <si>
    <t>Agências de marketing/publicidade</t>
  </si>
  <si>
    <t>Empresas de marketing de relacionamento</t>
  </si>
  <si>
    <t>Eletromidia, Agência Bee Creative</t>
  </si>
  <si>
    <t>Materiais esportivos</t>
  </si>
  <si>
    <t>Indústria pesada3</t>
  </si>
  <si>
    <t>Fabricantes de concretos, argamassas e agregados</t>
  </si>
  <si>
    <t>Votorantim Cimentos, Lorenzetti, Intercement, Saint Gobain</t>
  </si>
  <si>
    <t>Mídia de difusão</t>
  </si>
  <si>
    <t>Comércio3</t>
  </si>
  <si>
    <t>Empresas de fabricação de materiais esportivos</t>
  </si>
  <si>
    <t>Centauro, Decathlon</t>
  </si>
  <si>
    <t>Mídia online</t>
  </si>
  <si>
    <t>Serviços para o público5</t>
  </si>
  <si>
    <t>Empresas de estética, óleos naturais..</t>
  </si>
  <si>
    <t xml:space="preserve">Unique Medicina Humanizada, Holística Lila 
</t>
  </si>
  <si>
    <t>Financeiro5</t>
  </si>
  <si>
    <t>Mercados de capital</t>
  </si>
  <si>
    <t>Corretoras e consultorias de investimentos</t>
  </si>
  <si>
    <t>Suno Research,  Bradesco Corretora</t>
  </si>
  <si>
    <t>Comunicação5</t>
  </si>
  <si>
    <t>Emissoras de tv e redes de tv a cabo</t>
  </si>
  <si>
    <t>Globo, Sky, Sbt</t>
  </si>
  <si>
    <t>Militar</t>
  </si>
  <si>
    <t>Agências de marketing/publicidade2</t>
  </si>
  <si>
    <t>Blogs e revistas</t>
  </si>
  <si>
    <t>G1, Catraca Livre, EXAME..</t>
  </si>
  <si>
    <t>Mineração e metais</t>
  </si>
  <si>
    <t>Instituições Públicas6</t>
  </si>
  <si>
    <t>Exército ou de outro ramo das forças armadas.</t>
  </si>
  <si>
    <t>Marinha do Brasil, Exército Brasileiro</t>
  </si>
  <si>
    <t>Música</t>
  </si>
  <si>
    <t>Industria Extrativista1</t>
  </si>
  <si>
    <t>Industria Extrativista</t>
  </si>
  <si>
    <t>Mineradoras e produtoras de metais</t>
  </si>
  <si>
    <t>Vale, Gerdau, Usiminas</t>
  </si>
  <si>
    <t>Museus e instituições</t>
  </si>
  <si>
    <t>Comércio4</t>
  </si>
  <si>
    <t>Móveis</t>
  </si>
  <si>
    <t>Fabricantes de móveis</t>
  </si>
  <si>
    <t>Itatiaia, Tok&amp;Stok</t>
  </si>
  <si>
    <t>ONG's e afins5</t>
  </si>
  <si>
    <t>Museus e instituições culturais</t>
  </si>
  <si>
    <t>Itaú Cultural, Pinacoteca de São Paulo</t>
  </si>
  <si>
    <t>Nanotecnologia</t>
  </si>
  <si>
    <t>Comunicação6</t>
  </si>
  <si>
    <t>Produtoras de aúdio</t>
  </si>
  <si>
    <t xml:space="preserve">Som Livre, Roland Brasil 
</t>
  </si>
  <si>
    <t>Organizações de pesquisa e orientação</t>
  </si>
  <si>
    <t>T.I5</t>
  </si>
  <si>
    <t>Empresas de desenvolvimento de nanotecnologia</t>
  </si>
  <si>
    <t>Nanoprotech, Nanonib</t>
  </si>
  <si>
    <t>Organização cívica e social</t>
  </si>
  <si>
    <t>ONG's e afins6</t>
  </si>
  <si>
    <t>Instituições que contribuem para o bem-estar social e a melhoria da qualidade de vida da população</t>
  </si>
  <si>
    <t>Firjan, SESI, Sesc</t>
  </si>
  <si>
    <t>Organização política</t>
  </si>
  <si>
    <t>Instituições Públicas7</t>
  </si>
  <si>
    <t>Partidos políticos, governos, prefeituras</t>
  </si>
  <si>
    <t>PSDB, FPA</t>
  </si>
  <si>
    <t>Papel e produtos florestais</t>
  </si>
  <si>
    <t>Educação e pesquisa6</t>
  </si>
  <si>
    <t>Programas de pesquisa e educação</t>
  </si>
  <si>
    <t>ABNT, IPDE, Ipea</t>
  </si>
  <si>
    <t>Agro indústria4</t>
  </si>
  <si>
    <t>Indústrias de papel e celulose</t>
  </si>
  <si>
    <t>Eldorado, Bracell, Klabin, Suzano</t>
  </si>
  <si>
    <t>Pesquisa</t>
  </si>
  <si>
    <t>Agro indústria5</t>
  </si>
  <si>
    <t>Distribuidoras de peixes e similares</t>
  </si>
  <si>
    <t>Costa Sul Pescados, Villa Pescados</t>
  </si>
  <si>
    <t>Educação e pesquisa7</t>
  </si>
  <si>
    <t>Embrapa Solos, Universidades Federais..</t>
  </si>
  <si>
    <t>Petróleo e energia</t>
  </si>
  <si>
    <t>Consultoria/Treinamento2</t>
  </si>
  <si>
    <t>Empresas de pesquisa de mercado</t>
  </si>
  <si>
    <t>Opinion Box, IEG</t>
  </si>
  <si>
    <t>Plástico</t>
  </si>
  <si>
    <t>Industria Extrativista2</t>
  </si>
  <si>
    <t>Empresas de perfuração e produção de petróleo e energia</t>
  </si>
  <si>
    <t>Petrobras, Raízen, Ipiranga</t>
  </si>
  <si>
    <t>Política pública</t>
  </si>
  <si>
    <t>Indústria pesada4</t>
  </si>
  <si>
    <t>Empresas transformadoras de plástico e resinas termoplásticas</t>
  </si>
  <si>
    <t>Braskem, Plasútil, Jaguar</t>
  </si>
  <si>
    <t>Produção de mídia</t>
  </si>
  <si>
    <t>Instituições Públicas8</t>
  </si>
  <si>
    <t>Institutos, prefeituras, contas do governo</t>
  </si>
  <si>
    <t>Inmetro, Ancine</t>
  </si>
  <si>
    <t>Produtos alimentícios</t>
  </si>
  <si>
    <t>Contabil/Juridico3</t>
  </si>
  <si>
    <t>Prática jurídica</t>
  </si>
  <si>
    <t>Empresas de advocacia</t>
  </si>
  <si>
    <t>Grupo Pascoali, Portinho Advogados</t>
  </si>
  <si>
    <t>Produtos de luxo e joias</t>
  </si>
  <si>
    <t>Saúde4</t>
  </si>
  <si>
    <t>Prática médica</t>
  </si>
  <si>
    <t>Hospitais e institutos</t>
  </si>
  <si>
    <t>Hcor, Hospital Espanhol</t>
  </si>
  <si>
    <t>Produtos eletrônicos</t>
  </si>
  <si>
    <t>Agências de marketing/publicidade3</t>
  </si>
  <si>
    <t>Produtoras de conteúdo online e impresso</t>
  </si>
  <si>
    <t>Grupo Abril, Grupo RBS</t>
  </si>
  <si>
    <t>Alimentos e bebidas2</t>
  </si>
  <si>
    <t>Empresas de abastecimento, processamento e fornecimento de produtos alimentícios</t>
  </si>
  <si>
    <t>JBS, Kopenhagem, Seara</t>
  </si>
  <si>
    <t>Comércio5</t>
  </si>
  <si>
    <t>Lojas de joias e produtos de luxo</t>
  </si>
  <si>
    <t>Vivara, Monte Carlo, Rommanel</t>
  </si>
  <si>
    <t>Recrutamento e seleção</t>
  </si>
  <si>
    <t>Indústria de eletrônicos 3</t>
  </si>
  <si>
    <t>Comércio varejista de equipamentos de informática, eletrônicos e eletrodomésticos.</t>
  </si>
  <si>
    <t>Samsung, Multilaser, Intelbras</t>
  </si>
  <si>
    <t>Recursos humanos</t>
  </si>
  <si>
    <t>RH1</t>
  </si>
  <si>
    <t>RH</t>
  </si>
  <si>
    <t>Empresas de recrutamento e seleção</t>
  </si>
  <si>
    <t>Kenoby</t>
  </si>
  <si>
    <t>Recursos renováveis e meio ambiente</t>
  </si>
  <si>
    <t>RH2</t>
  </si>
  <si>
    <t>Cia de Talentos,  FESA</t>
  </si>
  <si>
    <t>Redes</t>
  </si>
  <si>
    <t>Industria Extrativista3</t>
  </si>
  <si>
    <t>Empresas de energia solar e engenharia ambiental</t>
  </si>
  <si>
    <t>Engie, Neoenergia, Elektro</t>
  </si>
  <si>
    <t>Rede sem fio</t>
  </si>
  <si>
    <t>Telecom1</t>
  </si>
  <si>
    <t>Telecom</t>
  </si>
  <si>
    <t>Provedores de internet</t>
  </si>
  <si>
    <t>Vex, Clinet</t>
  </si>
  <si>
    <t>Relações governamentais</t>
  </si>
  <si>
    <t>Telecom2</t>
  </si>
  <si>
    <t>Empresas com soluções relacionadas a conectividade</t>
  </si>
  <si>
    <t>Zyxel, BNI Liberty</t>
  </si>
  <si>
    <t>Relações internacionais</t>
  </si>
  <si>
    <t>Instituições Públicas9</t>
  </si>
  <si>
    <t>Prefeituras e associações</t>
  </si>
  <si>
    <t>Prefeitura Municipal de Santa Cruz do Sul, UFF</t>
  </si>
  <si>
    <t>Relações públicas e comunicações</t>
  </si>
  <si>
    <t>ONG's e afins7</t>
  </si>
  <si>
    <t>Organizações com objetivo de melhoria social como um todo.</t>
  </si>
  <si>
    <t>ONU, PNUD</t>
  </si>
  <si>
    <t>Resolução alternativa de litígios</t>
  </si>
  <si>
    <t>Agências de marketing/publicidade4</t>
  </si>
  <si>
    <t>Agências de comunicação</t>
  </si>
  <si>
    <t xml:space="preserve">CDI Comunicação, Edelman Brasil 
</t>
  </si>
  <si>
    <t>Contabil/Juridico4</t>
  </si>
  <si>
    <t>Empresas de conciliação e mediação</t>
  </si>
  <si>
    <t>Justto, Concilie, Missão</t>
  </si>
  <si>
    <t>Roupas e moda</t>
  </si>
  <si>
    <t>Comércio6</t>
  </si>
  <si>
    <t>Restaurantes e fast foods</t>
  </si>
  <si>
    <t>Outback, Burguer King, Grupo Madero</t>
  </si>
  <si>
    <t>Saúde, bem-estar e educação física</t>
  </si>
  <si>
    <t>Comércio7</t>
  </si>
  <si>
    <t>Empresas ligadas a moda e vestimentas em geral</t>
  </si>
  <si>
    <t>Grupo SOMA, C&amp;A</t>
  </si>
  <si>
    <t>Segurança de redes e computadores</t>
  </si>
  <si>
    <t>Saúde5</t>
  </si>
  <si>
    <t>Hospitais, planos de saúde, empresas ligadas a bem-estar</t>
  </si>
  <si>
    <t>Beep Saúde, OdontoCompany, Unimed, Hospital Dona Helena</t>
  </si>
  <si>
    <t>Segurança e investigações</t>
  </si>
  <si>
    <t>Telecom3</t>
  </si>
  <si>
    <t>Empresas focadas em soluções de cibersegurança e infraestrutura de TI.</t>
  </si>
  <si>
    <t>Devemedia, 4Hunt</t>
  </si>
  <si>
    <t>Segurança pública</t>
  </si>
  <si>
    <t>Serviços para o público6</t>
  </si>
  <si>
    <t>Empresas de segurança empresarial e pessoal</t>
  </si>
  <si>
    <t xml:space="preserve">Globalseg Segurança e Vigilância, Grupo Delta Segurança 
</t>
  </si>
  <si>
    <t>Instituições Públicas10</t>
  </si>
  <si>
    <t>Instituições de segurança pública e privadas</t>
  </si>
  <si>
    <t>Polícia Militar, Bombeiros, Gabriel</t>
  </si>
  <si>
    <t>Semicondutores</t>
  </si>
  <si>
    <t>Financeiro6</t>
  </si>
  <si>
    <t xml:space="preserve">HDI Seguros, Caixa Seguradora, Brasilprev 
</t>
  </si>
  <si>
    <t>Indústria de eletrônicos 4</t>
  </si>
  <si>
    <t>Fábricas de semicondutores (alguma empresas de energia solar estão inclusas)</t>
  </si>
  <si>
    <t>ADDTherm, Unitec Semicondutores</t>
  </si>
  <si>
    <t>Serviços da informação</t>
  </si>
  <si>
    <t>Serviços técnicos4</t>
  </si>
  <si>
    <t>Empresas de saneamento</t>
  </si>
  <si>
    <t xml:space="preserve">OceanPact Serviços Marítimos, Grupo Alpina, Ultralimpo 
</t>
  </si>
  <si>
    <t>T.I6</t>
  </si>
  <si>
    <t>Portais com função informativa</t>
  </si>
  <si>
    <t>Terra, InfoMoney</t>
  </si>
  <si>
    <t>Serviços individuais e familiares</t>
  </si>
  <si>
    <t>Financeiro7</t>
  </si>
  <si>
    <t>Fintechs e empresas especializadas em benefícios, incentivos e gestão de despesas corporativas.</t>
  </si>
  <si>
    <t>Alelo Brasil,  Cetip, Neon</t>
  </si>
  <si>
    <t>Serviços para o público7</t>
  </si>
  <si>
    <t>Os serviços disponibilizados passam desde situações corriqueiras a situações atípicas.</t>
  </si>
  <si>
    <t xml:space="preserve">Grupo Pinheiro de Segurança, Grupo Prever 
</t>
  </si>
  <si>
    <t>Serviços para eventos</t>
  </si>
  <si>
    <t>Contabil/Juridico5</t>
  </si>
  <si>
    <t>Nelson Willians Advogados, SiqueiraCastro</t>
  </si>
  <si>
    <t>Serviços públicos</t>
  </si>
  <si>
    <t>Serviços para o público8</t>
  </si>
  <si>
    <t>Produtoras e organizadoras de eventos</t>
  </si>
  <si>
    <t xml:space="preserve">Even3, VIVA Eventos, GL events Brasil 
</t>
  </si>
  <si>
    <t>Setor imobiliário</t>
  </si>
  <si>
    <t>Serviços técnicos5</t>
  </si>
  <si>
    <t>Companhias de energia e água</t>
  </si>
  <si>
    <t>Light, Enel</t>
  </si>
  <si>
    <t>Software</t>
  </si>
  <si>
    <t>Arquitetura/Construção Civil/Imobiliária6</t>
  </si>
  <si>
    <t>Construtoras e incoporadoras</t>
  </si>
  <si>
    <t>Cyrela, Construtora Tenda, Tegra Incorporadora</t>
  </si>
  <si>
    <t>Supermercados</t>
  </si>
  <si>
    <t>T.I7</t>
  </si>
  <si>
    <t>Provedoras de soluções  tecnológias para negócios</t>
  </si>
  <si>
    <t>Totvs, Gupy</t>
  </si>
  <si>
    <t>Suprimentos e equipamentos comerciais</t>
  </si>
  <si>
    <t>Comércio8</t>
  </si>
  <si>
    <t>Supermercados de todos os portes</t>
  </si>
  <si>
    <t>Guanabara, Zona Sul, Prezunic</t>
  </si>
  <si>
    <t>Tabaco</t>
  </si>
  <si>
    <t>Comércio9</t>
  </si>
  <si>
    <t>Empresas de manutenção, reparo e operação de suprimentos comerciais</t>
  </si>
  <si>
    <t>Canon, Gimba, Eletrofrio</t>
  </si>
  <si>
    <t>Tecnologia da informação e serviços</t>
  </si>
  <si>
    <t>Agro indústria6</t>
  </si>
  <si>
    <t>Produtoras de tabaco</t>
  </si>
  <si>
    <t>Souza Cruz, Ermor Tabacos do Brasil</t>
  </si>
  <si>
    <t>T.I8</t>
  </si>
  <si>
    <t>Empresas de soluções tecnológicas e consultorias estratégias em tecnologia</t>
  </si>
  <si>
    <t>Accenture, Easy Taxi, Linx</t>
  </si>
  <si>
    <t>Terceirização e offshoring</t>
  </si>
  <si>
    <t>Telecom4</t>
  </si>
  <si>
    <t>Empresas de internet banda larga, telefonia fixa e móvel.</t>
  </si>
  <si>
    <t>Claro, Oi, Tim</t>
  </si>
  <si>
    <t>Serviço de tercerização2</t>
  </si>
  <si>
    <t>Empresas de facilities</t>
  </si>
  <si>
    <t xml:space="preserve">ASF Facilities, Andorra Serviços, Lave Lavanderia Industrial 
</t>
  </si>
  <si>
    <t>Transporte/Caminhões/Trens</t>
  </si>
  <si>
    <t>Consultoria/Treinamento3</t>
  </si>
  <si>
    <t>Empresas de tradução</t>
  </si>
  <si>
    <t>Facililá, Conectar 360, Traduzca.com</t>
  </si>
  <si>
    <t>Transporte marítimo</t>
  </si>
  <si>
    <t>Logistica4</t>
  </si>
  <si>
    <t>Ecoportos e transportadoras marítimas</t>
  </si>
  <si>
    <t>Grupo CBO, Bram Offshore</t>
  </si>
  <si>
    <t>Treinamento e orientação profissional</t>
  </si>
  <si>
    <t>Logistica5</t>
  </si>
  <si>
    <t>Empresas de logística</t>
  </si>
  <si>
    <t>MRS Logística, Grupo Sada</t>
  </si>
  <si>
    <t>Consultoria/Treinamento4</t>
  </si>
  <si>
    <t>Empresas voltadas para o desenvolvimento profissional</t>
  </si>
  <si>
    <t>Grupo Voitto, Hastag Treinamentos</t>
  </si>
  <si>
    <t>Veterinária</t>
  </si>
  <si>
    <t>Comércio10</t>
  </si>
  <si>
    <t>Empresas que vendem no modelo Varejo (farmácias, petshops, mercados, etc)</t>
  </si>
  <si>
    <t>Americanas, Carrefour, Petz</t>
  </si>
  <si>
    <t>Vidro, cerâmica e concreto</t>
  </si>
  <si>
    <t>Serviços para o público9</t>
  </si>
  <si>
    <t>Empresas relacionadas a saúde animal: suplementos, atendimento médico e produtos farmacêuticos.</t>
  </si>
  <si>
    <t>Tortuga, MSD Saúde Animal, PetCare</t>
  </si>
  <si>
    <t>Vinhos e destilados</t>
  </si>
  <si>
    <t>Indústria pesada5</t>
  </si>
  <si>
    <t>Fabricantes de materiais de base de vidro, cerâmica e concreto</t>
  </si>
  <si>
    <t>Cebrace, Incepa, Saint Gobain</t>
  </si>
  <si>
    <t>Alimentos e bebidas3</t>
  </si>
  <si>
    <t>Importadoras e distribuidoraa especializadas em vinhos</t>
  </si>
  <si>
    <t>Wine.com.br , Vinícola Salton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</si>
</sst>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0.0"/>
  </numFmts>
  <fonts count="49">
    <font>
      <sz val="10.0"/>
      <color rgb="FF000000"/>
      <name val="Arial"/>
      <scheme val="minor"/>
    </font>
    <font>
      <color theme="1"/>
      <name val="Montserrat"/>
    </font>
    <font>
      <b/>
      <sz val="10.0"/>
      <color theme="1"/>
      <name val="Arial"/>
    </font>
    <font>
      <b/>
      <sz val="14.0"/>
      <color rgb="FFFFFFFF"/>
      <name val="Montserrat"/>
    </font>
    <font>
      <b/>
      <sz val="14.0"/>
      <color theme="1"/>
      <name val="Montserrat"/>
    </font>
    <font>
      <sz val="12.0"/>
      <color rgb="FFFFFFFF"/>
      <name val="Montserrat"/>
    </font>
    <font/>
    <font>
      <b/>
      <color theme="1"/>
      <name val="Montserrat"/>
    </font>
    <font>
      <sz val="11.0"/>
      <color theme="1"/>
      <name val="Montserrat"/>
    </font>
    <font>
      <b/>
      <sz val="12.0"/>
      <color theme="1"/>
      <name val="Montserrat"/>
    </font>
    <font>
      <color theme="1"/>
      <name val="Arial"/>
    </font>
    <font>
      <b/>
      <sz val="12.0"/>
      <color rgb="FFFFFFFF"/>
      <name val="Montserrat"/>
    </font>
    <font>
      <b/>
      <i/>
      <color rgb="FF434343"/>
      <name val="Montserrat"/>
    </font>
    <font>
      <b/>
      <sz val="18.0"/>
      <color rgb="FFFFFFFF"/>
      <name val="Proxima Nova"/>
    </font>
    <font>
      <b/>
      <sz val="18.0"/>
      <color theme="1"/>
      <name val="Montserrat"/>
    </font>
    <font>
      <b/>
      <sz val="12.0"/>
      <color rgb="FFFF0000"/>
      <name val="Arial"/>
    </font>
    <font>
      <b/>
      <sz val="10.0"/>
      <color theme="0"/>
      <name val="Arial"/>
    </font>
    <font>
      <b/>
      <sz val="10.0"/>
      <color rgb="FFFFFFFF"/>
      <name val="Arial"/>
    </font>
    <font>
      <sz val="12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color theme="0"/>
      <name val="Arial"/>
    </font>
    <font>
      <color rgb="FFFFFFFF"/>
      <name val="Arial"/>
    </font>
    <font>
      <b/>
      <sz val="14.0"/>
      <color theme="0"/>
      <name val="Arial"/>
    </font>
    <font>
      <b/>
      <sz val="12.0"/>
      <color theme="1"/>
      <name val="Arial"/>
    </font>
    <font>
      <b/>
      <sz val="10.0"/>
      <color rgb="FF000000"/>
      <name val="Arial"/>
    </font>
    <font>
      <b/>
      <i/>
      <sz val="10.0"/>
      <color theme="1"/>
      <name val="Arial"/>
    </font>
    <font>
      <b/>
      <i/>
      <sz val="10.0"/>
      <color rgb="FFFFFFFF"/>
      <name val="Arial"/>
    </font>
    <font>
      <b/>
      <u/>
      <sz val="10.0"/>
      <color rgb="FF0000FF"/>
      <name val="Arial"/>
    </font>
    <font>
      <sz val="11.0"/>
      <color theme="1"/>
      <name val="Arial"/>
    </font>
    <font>
      <b/>
      <sz val="10.0"/>
      <color rgb="FFFF0000"/>
      <name val="Arial"/>
    </font>
    <font>
      <b/>
      <color theme="0"/>
      <name val="Arial"/>
    </font>
    <font>
      <sz val="14.0"/>
      <color rgb="FF000000"/>
      <name val="Oswald"/>
    </font>
    <font>
      <b/>
      <color theme="1"/>
      <name val="Arial"/>
    </font>
    <font>
      <color theme="1"/>
      <name val="Calibri"/>
    </font>
    <font>
      <b/>
      <sz val="24.0"/>
      <color theme="1"/>
      <name val="Montserrat"/>
    </font>
    <font>
      <color rgb="FFFFFFFF"/>
      <name val="Calibri"/>
    </font>
    <font>
      <color rgb="FF000000"/>
      <name val="Calibri"/>
    </font>
    <font>
      <u/>
      <color rgb="FF000000"/>
      <name val="Calibri"/>
    </font>
    <font>
      <b/>
      <sz val="12.0"/>
      <color rgb="FFFFFFFF"/>
      <name val="Calibri"/>
    </font>
    <font>
      <b/>
      <sz val="12.0"/>
      <color rgb="FF000000"/>
      <name val="Calibri"/>
    </font>
    <font>
      <b/>
      <sz val="11.0"/>
      <color theme="1"/>
      <name val="Arial"/>
    </font>
    <font>
      <color rgb="FF000000"/>
      <name val="Roboto"/>
    </font>
    <font>
      <sz val="11.0"/>
      <color theme="1"/>
      <name val="Calibri"/>
    </font>
    <font>
      <b/>
      <color rgb="FFFFFFFF"/>
      <name val="Arial"/>
    </font>
    <font>
      <b/>
      <sz val="11.0"/>
      <color rgb="FFFFFFFF"/>
      <name val="Calibri"/>
    </font>
    <font>
      <sz val="11.0"/>
      <color rgb="FF1D1C1D"/>
      <name val="Arial"/>
    </font>
    <font>
      <sz val="11.0"/>
      <color rgb="FF1D1C1D"/>
      <name val="Lato"/>
    </font>
    <font>
      <u/>
      <sz val="11.0"/>
      <color rgb="FF1155CC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222223"/>
        <bgColor rgb="FF222223"/>
      </patternFill>
    </fill>
    <fill>
      <patternFill patternType="solid">
        <fgColor rgb="FF0F44CA"/>
        <bgColor rgb="FF0F44CA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ECECEC"/>
        <bgColor rgb="FFECECE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001856"/>
        <bgColor rgb="FF001856"/>
      </patternFill>
    </fill>
  </fills>
  <borders count="6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</border>
    <border>
      <right style="dotted">
        <color rgb="FF000000"/>
      </right>
    </border>
    <border>
      <left style="dotted">
        <color rgb="FF000000"/>
      </left>
      <bottom style="dotted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</border>
    <border>
      <right style="hair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hair">
        <color rgb="FF434343"/>
      </left>
      <right style="hair">
        <color rgb="FF434343"/>
      </right>
      <top style="hair">
        <color rgb="FF434343"/>
      </top>
      <bottom style="hair">
        <color rgb="FF434343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right style="hair">
        <color rgb="FF434343"/>
      </right>
      <top style="hair">
        <color rgb="FF434343"/>
      </top>
      <bottom style="hair">
        <color rgb="FF434343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</border>
    <border>
      <left style="hair">
        <color rgb="FF000000"/>
      </left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666666"/>
      </bottom>
    </border>
    <border>
      <bottom style="medium">
        <color rgb="FF666666"/>
      </bottom>
    </border>
    <border>
      <right style="medium">
        <color rgb="FF000000"/>
      </right>
      <bottom style="medium">
        <color rgb="FF666666"/>
      </bottom>
    </border>
    <border>
      <right style="thick">
        <color rgb="FF000000"/>
      </right>
    </border>
    <border>
      <left style="thick">
        <color rgb="FF000000"/>
      </left>
    </border>
    <border>
      <left style="medium">
        <color rgb="FF000000"/>
      </left>
      <bottom style="thick">
        <color rgb="FF000000"/>
      </bottom>
    </border>
    <border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/>
    </border>
  </borders>
  <cellStyleXfs count="1">
    <xf borderId="0" fillId="0" fontId="0" numFmtId="0" applyAlignment="1" applyFont="1"/>
  </cellStyleXfs>
  <cellXfs count="2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center" shrinkToFit="0" vertical="center" wrapText="1"/>
    </xf>
    <xf borderId="0" fillId="0" fontId="1" numFmtId="0" xfId="0" applyFont="1"/>
    <xf borderId="0" fillId="3" fontId="3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wrapText="1"/>
    </xf>
    <xf borderId="1" fillId="4" fontId="5" numFmtId="0" xfId="0" applyAlignment="1" applyBorder="1" applyFill="1" applyFont="1">
      <alignment horizontal="center" shrinkToFit="0" vertical="center" wrapText="1"/>
    </xf>
    <xf borderId="2" fillId="0" fontId="6" numFmtId="0" xfId="0" applyBorder="1" applyFont="1"/>
    <xf borderId="3" fillId="0" fontId="6" numFmtId="0" xfId="0" applyBorder="1" applyFont="1"/>
    <xf borderId="0" fillId="0" fontId="7" numFmtId="0" xfId="0" applyAlignment="1" applyFont="1">
      <alignment shrinkToFit="0" wrapText="1"/>
    </xf>
    <xf borderId="4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5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wrapText="1"/>
    </xf>
    <xf borderId="0" fillId="0" fontId="8" numFmtId="0" xfId="0" applyAlignment="1" applyFont="1">
      <alignment horizontal="center" shrinkToFit="0" vertical="center" wrapText="1"/>
    </xf>
    <xf borderId="6" fillId="0" fontId="1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shrinkToFit="0" vertical="center" wrapText="1"/>
    </xf>
    <xf borderId="0" fillId="0" fontId="9" numFmtId="0" xfId="0" applyAlignment="1" applyFont="1">
      <alignment shrinkToFit="0" wrapText="1"/>
    </xf>
    <xf borderId="9" fillId="4" fontId="5" numFmtId="0" xfId="0" applyAlignment="1" applyBorder="1" applyFont="1">
      <alignment horizontal="center" shrinkToFit="0" wrapText="1"/>
    </xf>
    <xf borderId="10" fillId="0" fontId="6" numFmtId="0" xfId="0" applyBorder="1" applyFont="1"/>
    <xf borderId="11" fillId="0" fontId="6" numFmtId="0" xfId="0" applyBorder="1" applyFont="1"/>
    <xf borderId="0" fillId="0" fontId="10" numFmtId="0" xfId="0" applyAlignment="1" applyFont="1">
      <alignment vertical="bottom"/>
    </xf>
    <xf borderId="12" fillId="0" fontId="10" numFmtId="0" xfId="0" applyBorder="1" applyFont="1"/>
    <xf borderId="0" fillId="0" fontId="10" numFmtId="0" xfId="0" applyFont="1"/>
    <xf borderId="13" fillId="2" fontId="10" numFmtId="0" xfId="0" applyBorder="1" applyFont="1"/>
    <xf borderId="14" fillId="5" fontId="11" numFmtId="0" xfId="0" applyAlignment="1" applyBorder="1" applyFill="1" applyFont="1">
      <alignment horizontal="center" vertical="center"/>
    </xf>
    <xf borderId="15" fillId="0" fontId="6" numFmtId="0" xfId="0" applyBorder="1" applyFont="1"/>
    <xf borderId="16" fillId="0" fontId="6" numFmtId="0" xfId="0" applyBorder="1" applyFont="1"/>
    <xf borderId="14" fillId="5" fontId="11" numFmtId="0" xfId="0" applyAlignment="1" applyBorder="1" applyFont="1">
      <alignment horizontal="center" shrinkToFit="0" vertical="center" wrapText="1"/>
    </xf>
    <xf borderId="17" fillId="0" fontId="6" numFmtId="0" xfId="0" applyBorder="1" applyFont="1"/>
    <xf borderId="18" fillId="0" fontId="6" numFmtId="0" xfId="0" applyBorder="1" applyFont="1"/>
    <xf borderId="19" fillId="0" fontId="6" numFmtId="0" xfId="0" applyBorder="1" applyFont="1"/>
    <xf borderId="12" fillId="2" fontId="10" numFmtId="0" xfId="0" applyBorder="1" applyFont="1"/>
    <xf borderId="20" fillId="2" fontId="10" numFmtId="0" xfId="0" applyBorder="1" applyFont="1"/>
    <xf borderId="21" fillId="0" fontId="10" numFmtId="0" xfId="0" applyBorder="1" applyFont="1"/>
    <xf borderId="22" fillId="2" fontId="10" numFmtId="0" xfId="0" applyBorder="1" applyFont="1"/>
    <xf borderId="0" fillId="2" fontId="10" numFmtId="0" xfId="0" applyFont="1"/>
    <xf borderId="0" fillId="2" fontId="10" numFmtId="0" xfId="0" applyFont="1"/>
    <xf borderId="0" fillId="0" fontId="7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1"/>
    </xf>
    <xf borderId="0" fillId="0" fontId="10" numFmtId="0" xfId="0" applyAlignment="1" applyFont="1">
      <alignment shrinkToFit="0" wrapText="1"/>
    </xf>
    <xf borderId="0" fillId="6" fontId="13" numFmtId="0" xfId="0" applyAlignment="1" applyFill="1" applyFont="1">
      <alignment horizontal="center" vertical="center"/>
    </xf>
    <xf borderId="0" fillId="0" fontId="14" numFmtId="0" xfId="0" applyAlignment="1" applyFont="1">
      <alignment horizontal="center" shrinkToFit="0" vertical="center" wrapText="1"/>
    </xf>
    <xf borderId="0" fillId="2" fontId="15" numFmtId="0" xfId="0" applyAlignment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23" fillId="7" fontId="16" numFmtId="0" xfId="0" applyAlignment="1" applyBorder="1" applyFill="1" applyFont="1">
      <alignment horizontal="center" shrinkToFit="0" vertical="center" wrapText="1"/>
    </xf>
    <xf borderId="23" fillId="7" fontId="17" numFmtId="0" xfId="0" applyAlignment="1" applyBorder="1" applyFont="1">
      <alignment horizontal="center" vertical="center"/>
    </xf>
    <xf borderId="23" fillId="7" fontId="16" numFmtId="0" xfId="0" applyAlignment="1" applyBorder="1" applyFont="1">
      <alignment horizontal="center" vertical="center"/>
    </xf>
    <xf borderId="0" fillId="0" fontId="18" numFmtId="0" xfId="0" applyFont="1"/>
    <xf borderId="23" fillId="8" fontId="2" numFmtId="0" xfId="0" applyAlignment="1" applyBorder="1" applyFill="1" applyFont="1">
      <alignment horizontal="center" shrinkToFit="0" vertical="center" wrapText="1"/>
    </xf>
    <xf borderId="23" fillId="8" fontId="2" numFmtId="2" xfId="0" applyAlignment="1" applyBorder="1" applyFont="1" applyNumberFormat="1">
      <alignment horizontal="center" shrinkToFit="0" vertical="center" wrapText="1"/>
    </xf>
    <xf borderId="23" fillId="0" fontId="19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24" fillId="9" fontId="2" numFmtId="0" xfId="0" applyAlignment="1" applyBorder="1" applyFill="1" applyFont="1">
      <alignment horizontal="center" shrinkToFit="0" vertical="center" wrapText="1"/>
    </xf>
    <xf borderId="25" fillId="0" fontId="6" numFmtId="0" xfId="0" applyBorder="1" applyFont="1"/>
    <xf borderId="26" fillId="0" fontId="6" numFmtId="0" xfId="0" applyBorder="1" applyFont="1"/>
    <xf borderId="23" fillId="0" fontId="20" numFmtId="0" xfId="0" applyAlignment="1" applyBorder="1" applyFont="1">
      <alignment horizontal="center" shrinkToFit="0" vertical="center" wrapText="1"/>
    </xf>
    <xf borderId="23" fillId="0" fontId="20" numFmtId="164" xfId="0" applyAlignment="1" applyBorder="1" applyFont="1" applyNumberFormat="1">
      <alignment horizontal="center" shrinkToFit="0" vertical="center" wrapText="1"/>
    </xf>
    <xf borderId="23" fillId="0" fontId="20" numFmtId="3" xfId="0" applyAlignment="1" applyBorder="1" applyFont="1" applyNumberFormat="1">
      <alignment horizontal="center" shrinkToFit="0" vertical="center" wrapText="1"/>
    </xf>
    <xf borderId="23" fillId="0" fontId="10" numFmtId="0" xfId="0" applyAlignment="1" applyBorder="1" applyFont="1">
      <alignment horizontal="center" vertical="center"/>
    </xf>
    <xf borderId="27" fillId="9" fontId="2" numFmtId="0" xfId="0" applyAlignment="1" applyBorder="1" applyFont="1">
      <alignment horizontal="center" shrinkToFit="0" vertical="center" wrapText="1"/>
    </xf>
    <xf borderId="28" fillId="0" fontId="6" numFmtId="0" xfId="0" applyBorder="1" applyFont="1"/>
    <xf borderId="29" fillId="0" fontId="6" numFmtId="0" xfId="0" applyBorder="1" applyFont="1"/>
    <xf borderId="30" fillId="0" fontId="19" numFmtId="0" xfId="0" applyAlignment="1" applyBorder="1" applyFont="1">
      <alignment horizontal="center" shrinkToFit="0" vertical="center" wrapText="1"/>
    </xf>
    <xf borderId="0" fillId="10" fontId="21" numFmtId="0" xfId="0" applyFill="1" applyFont="1"/>
    <xf borderId="0" fillId="0" fontId="21" numFmtId="0" xfId="0" applyFont="1"/>
    <xf borderId="0" fillId="0" fontId="22" numFmtId="0" xfId="0" applyFont="1"/>
    <xf borderId="0" fillId="6" fontId="23" numFmtId="0" xfId="0" applyAlignment="1" applyFont="1">
      <alignment horizontal="center" vertical="center"/>
    </xf>
    <xf borderId="0" fillId="0" fontId="24" numFmtId="0" xfId="0" applyAlignment="1" applyFont="1">
      <alignment horizontal="left" shrinkToFit="0" vertical="center" wrapText="0"/>
    </xf>
    <xf borderId="0" fillId="0" fontId="24" numFmtId="0" xfId="0" applyAlignment="1" applyFont="1">
      <alignment horizontal="right" shrinkToFit="0" vertical="center" wrapText="0"/>
    </xf>
    <xf borderId="0" fillId="9" fontId="25" numFmtId="0" xfId="0" applyAlignment="1" applyFont="1">
      <alignment horizontal="center" vertical="center"/>
    </xf>
    <xf borderId="0" fillId="2" fontId="26" numFmtId="0" xfId="0" applyAlignment="1" applyFont="1">
      <alignment horizontal="left" vertical="center"/>
    </xf>
    <xf borderId="0" fillId="2" fontId="26" numFmtId="0" xfId="0" applyAlignment="1" applyFont="1">
      <alignment horizontal="center" vertical="center"/>
    </xf>
    <xf borderId="0" fillId="0" fontId="15" numFmtId="0" xfId="0" applyAlignment="1" applyFont="1">
      <alignment vertical="center"/>
    </xf>
    <xf borderId="0" fillId="2" fontId="22" numFmtId="0" xfId="0" applyFont="1"/>
    <xf borderId="0" fillId="0" fontId="9" numFmtId="0" xfId="0" applyAlignment="1" applyFont="1">
      <alignment horizontal="left" vertical="center"/>
    </xf>
    <xf borderId="0" fillId="2" fontId="27" numFmtId="0" xfId="0" applyAlignment="1" applyFont="1">
      <alignment horizontal="center" vertical="center"/>
    </xf>
    <xf borderId="31" fillId="8" fontId="2" numFmtId="0" xfId="0" applyAlignment="1" applyBorder="1" applyFont="1">
      <alignment horizontal="center" shrinkToFit="0" vertical="center" wrapText="1"/>
    </xf>
    <xf borderId="31" fillId="10" fontId="19" numFmtId="0" xfId="0" applyAlignment="1" applyBorder="1" applyFont="1">
      <alignment horizontal="center" shrinkToFit="0" vertical="center" wrapText="1"/>
    </xf>
    <xf borderId="31" fillId="8" fontId="28" numFmtId="0" xfId="0" applyAlignment="1" applyBorder="1" applyFont="1">
      <alignment horizontal="center" shrinkToFit="0" vertical="center" wrapText="1"/>
    </xf>
    <xf borderId="31" fillId="10" fontId="19" numFmtId="164" xfId="0" applyAlignment="1" applyBorder="1" applyFont="1" applyNumberFormat="1">
      <alignment horizontal="center" shrinkToFit="0" vertical="center" wrapText="1"/>
    </xf>
    <xf borderId="0" fillId="0" fontId="10" numFmtId="10" xfId="0" applyFont="1" applyNumberFormat="1"/>
    <xf borderId="31" fillId="8" fontId="2" numFmtId="10" xfId="0" applyAlignment="1" applyBorder="1" applyFont="1" applyNumberFormat="1">
      <alignment horizontal="center" shrinkToFit="0" vertical="center" wrapText="1"/>
    </xf>
    <xf borderId="31" fillId="10" fontId="19" numFmtId="10" xfId="0" applyAlignment="1" applyBorder="1" applyFont="1" applyNumberFormat="1">
      <alignment horizontal="center" shrinkToFit="0" vertical="center" wrapText="1"/>
    </xf>
    <xf borderId="0" fillId="0" fontId="10" numFmtId="10" xfId="0" applyAlignment="1" applyFont="1" applyNumberFormat="1">
      <alignment horizontal="center" vertical="center"/>
    </xf>
    <xf borderId="0" fillId="0" fontId="10" numFmtId="164" xfId="0" applyFont="1" applyNumberFormat="1"/>
    <xf borderId="31" fillId="8" fontId="2" numFmtId="164" xfId="0" applyAlignment="1" applyBorder="1" applyFont="1" applyNumberFormat="1">
      <alignment horizontal="center" shrinkToFit="0" vertical="center" wrapText="1"/>
    </xf>
    <xf borderId="0" fillId="0" fontId="10" numFmtId="164" xfId="0" applyAlignment="1" applyFont="1" applyNumberFormat="1">
      <alignment horizontal="center" vertical="center"/>
    </xf>
    <xf borderId="0" fillId="0" fontId="24" numFmtId="0" xfId="0" applyAlignment="1" applyFont="1">
      <alignment horizontal="left" vertical="center"/>
    </xf>
    <xf borderId="0" fillId="0" fontId="29" numFmtId="0" xfId="0" applyAlignment="1" applyFont="1">
      <alignment horizontal="center" vertical="center"/>
    </xf>
    <xf borderId="0" fillId="2" fontId="30" numFmtId="0" xfId="0" applyAlignment="1" applyFont="1">
      <alignment horizontal="center" shrinkToFit="0" vertical="center" wrapText="1"/>
    </xf>
    <xf borderId="0" fillId="6" fontId="31" numFmtId="0" xfId="0" applyAlignment="1" applyFont="1">
      <alignment horizontal="center"/>
    </xf>
    <xf borderId="0" fillId="0" fontId="15" numFmtId="0" xfId="0" applyAlignment="1" applyFont="1">
      <alignment horizontal="center"/>
    </xf>
    <xf borderId="32" fillId="8" fontId="32" numFmtId="0" xfId="0" applyAlignment="1" applyBorder="1" applyFont="1">
      <alignment horizontal="center" shrinkToFit="0" textRotation="90" vertical="center" wrapText="1"/>
    </xf>
    <xf borderId="33" fillId="0" fontId="2" numFmtId="0" xfId="0" applyAlignment="1" applyBorder="1" applyFont="1">
      <alignment horizontal="center" shrinkToFit="0" vertical="center" wrapText="1"/>
    </xf>
    <xf borderId="34" fillId="0" fontId="6" numFmtId="0" xfId="0" applyBorder="1" applyFont="1"/>
    <xf borderId="35" fillId="0" fontId="6" numFmtId="0" xfId="0" applyBorder="1" applyFont="1"/>
    <xf borderId="23" fillId="8" fontId="32" numFmtId="0" xfId="0" applyAlignment="1" applyBorder="1" applyFont="1">
      <alignment horizontal="center" shrinkToFit="0" textRotation="90" vertical="center" wrapText="1"/>
    </xf>
    <xf borderId="0" fillId="2" fontId="30" numFmtId="0" xfId="0" applyAlignment="1" applyFont="1">
      <alignment horizontal="left" shrinkToFit="0" vertical="center" wrapText="1"/>
    </xf>
    <xf borderId="24" fillId="11" fontId="33" numFmtId="0" xfId="0" applyAlignment="1" applyBorder="1" applyFill="1" applyFont="1">
      <alignment horizontal="center" shrinkToFit="0" vertical="center" wrapText="1"/>
    </xf>
    <xf borderId="23" fillId="12" fontId="33" numFmtId="0" xfId="0" applyAlignment="1" applyBorder="1" applyFill="1" applyFont="1">
      <alignment horizontal="center" shrinkToFit="0" vertical="center" wrapText="1"/>
    </xf>
    <xf borderId="24" fillId="12" fontId="33" numFmtId="0" xfId="0" applyAlignment="1" applyBorder="1" applyFont="1">
      <alignment horizontal="center" shrinkToFit="0" vertical="center" wrapText="1"/>
    </xf>
    <xf borderId="36" fillId="10" fontId="19" numFmtId="0" xfId="0" applyAlignment="1" applyBorder="1" applyFont="1">
      <alignment horizontal="center" shrinkToFit="0" vertical="center" wrapText="1"/>
    </xf>
    <xf borderId="37" fillId="0" fontId="6" numFmtId="0" xfId="0" applyBorder="1" applyFont="1"/>
    <xf borderId="23" fillId="0" fontId="10" numFmtId="0" xfId="0" applyAlignment="1" applyBorder="1" applyFont="1">
      <alignment horizontal="center" shrinkToFit="0" vertical="center" wrapText="1"/>
    </xf>
    <xf borderId="24" fillId="0" fontId="10" numFmtId="0" xfId="0" applyAlignment="1" applyBorder="1" applyFont="1">
      <alignment horizontal="center" shrinkToFit="0" vertical="center" wrapText="1"/>
    </xf>
    <xf borderId="0" fillId="2" fontId="10" numFmtId="0" xfId="0" applyAlignment="1" applyFont="1">
      <alignment vertical="bottom"/>
    </xf>
    <xf borderId="0" fillId="0" fontId="34" numFmtId="0" xfId="0" applyAlignment="1" applyFont="1">
      <alignment vertical="bottom"/>
    </xf>
    <xf borderId="0" fillId="0" fontId="35" numFmtId="0" xfId="0" applyAlignment="1" applyFont="1">
      <alignment horizontal="center" vertical="center"/>
    </xf>
    <xf borderId="0" fillId="0" fontId="36" numFmtId="0" xfId="0" applyAlignment="1" applyFont="1">
      <alignment horizontal="center" shrinkToFit="0" wrapText="1"/>
    </xf>
    <xf borderId="0" fillId="0" fontId="34" numFmtId="0" xfId="0" applyFont="1"/>
    <xf borderId="0" fillId="0" fontId="19" numFmtId="0" xfId="0" applyAlignment="1" applyFont="1">
      <alignment horizontal="center" vertical="center"/>
    </xf>
    <xf borderId="0" fillId="0" fontId="37" numFmtId="0" xfId="0" applyAlignment="1" applyFont="1">
      <alignment shrinkToFit="0" wrapText="1"/>
    </xf>
    <xf borderId="0" fillId="0" fontId="37" numFmtId="0" xfId="0" applyAlignment="1" applyFont="1">
      <alignment shrinkToFit="0" vertical="center" wrapText="1"/>
    </xf>
    <xf borderId="0" fillId="0" fontId="38" numFmtId="0" xfId="0" applyAlignment="1" applyFont="1">
      <alignment horizontal="center" shrinkToFit="0" wrapText="1"/>
    </xf>
    <xf borderId="38" fillId="5" fontId="39" numFmtId="0" xfId="0" applyAlignment="1" applyBorder="1" applyFont="1">
      <alignment shrinkToFit="0" wrapText="1"/>
    </xf>
    <xf borderId="39" fillId="0" fontId="6" numFmtId="0" xfId="0" applyBorder="1" applyFont="1"/>
    <xf borderId="40" fillId="0" fontId="6" numFmtId="0" xfId="0" applyBorder="1" applyFont="1"/>
    <xf borderId="41" fillId="0" fontId="10" numFmtId="0" xfId="0" applyBorder="1" applyFont="1"/>
    <xf borderId="42" fillId="0" fontId="34" numFmtId="0" xfId="0" applyBorder="1" applyFont="1"/>
    <xf borderId="41" fillId="0" fontId="33" numFmtId="0" xfId="0" applyBorder="1" applyFont="1"/>
    <xf borderId="42" fillId="0" fontId="10" numFmtId="0" xfId="0" applyBorder="1" applyFont="1"/>
    <xf borderId="41" fillId="0" fontId="33" numFmtId="0" xfId="0" applyAlignment="1" applyBorder="1" applyFont="1">
      <alignment horizontal="left"/>
    </xf>
    <xf borderId="0" fillId="0" fontId="33" numFmtId="0" xfId="0" applyAlignment="1" applyFont="1">
      <alignment horizontal="left"/>
    </xf>
    <xf borderId="0" fillId="0" fontId="20" numFmtId="0" xfId="0" applyAlignment="1" applyFont="1">
      <alignment shrinkToFit="0" vertical="center" wrapText="1"/>
    </xf>
    <xf borderId="0" fillId="0" fontId="20" numFmtId="0" xfId="0" applyFont="1"/>
    <xf borderId="42" fillId="0" fontId="20" numFmtId="0" xfId="0" applyBorder="1" applyFont="1"/>
    <xf borderId="42" fillId="0" fontId="6" numFmtId="0" xfId="0" applyBorder="1" applyFont="1"/>
    <xf borderId="43" fillId="0" fontId="10" numFmtId="0" xfId="0" applyBorder="1" applyFont="1"/>
    <xf borderId="44" fillId="0" fontId="10" numFmtId="0" xfId="0" applyBorder="1" applyFont="1"/>
    <xf borderId="44" fillId="0" fontId="10" numFmtId="0" xfId="0" applyAlignment="1" applyBorder="1" applyFont="1">
      <alignment shrinkToFit="0" vertical="center" wrapText="1"/>
    </xf>
    <xf borderId="45" fillId="0" fontId="34" numFmtId="0" xfId="0" applyBorder="1" applyFont="1"/>
    <xf borderId="41" fillId="0" fontId="10" numFmtId="0" xfId="0" applyAlignment="1" applyBorder="1" applyFont="1">
      <alignment shrinkToFit="0" vertical="bottom" wrapText="1"/>
    </xf>
    <xf borderId="41" fillId="0" fontId="10" numFmtId="0" xfId="0" applyAlignment="1" applyBorder="1" applyFont="1">
      <alignment vertical="bottom"/>
    </xf>
    <xf borderId="42" fillId="0" fontId="10" numFmtId="0" xfId="0" applyAlignment="1" applyBorder="1" applyFont="1">
      <alignment vertical="bottom"/>
    </xf>
    <xf borderId="41" fillId="0" fontId="33" numFmtId="0" xfId="0" applyAlignment="1" applyBorder="1" applyFont="1">
      <alignment shrinkToFit="0" vertical="bottom" wrapText="0"/>
    </xf>
    <xf borderId="41" fillId="0" fontId="10" numFmtId="0" xfId="0" applyAlignment="1" applyBorder="1" applyFont="1">
      <alignment shrinkToFit="0" vertical="bottom" wrapText="0"/>
    </xf>
    <xf borderId="41" fillId="0" fontId="33" numFmtId="0" xfId="0" applyAlignment="1" applyBorder="1" applyFont="1">
      <alignment vertical="bottom"/>
    </xf>
    <xf borderId="0" fillId="0" fontId="20" numFmtId="0" xfId="0" applyAlignment="1" applyFont="1">
      <alignment shrinkToFit="0" wrapText="1"/>
    </xf>
    <xf borderId="43" fillId="0" fontId="10" numFmtId="0" xfId="0" applyAlignment="1" applyBorder="1" applyFont="1">
      <alignment vertical="bottom"/>
    </xf>
    <xf borderId="44" fillId="0" fontId="10" numFmtId="0" xfId="0" applyAlignment="1" applyBorder="1" applyFont="1">
      <alignment vertical="bottom"/>
    </xf>
    <xf borderId="45" fillId="0" fontId="10" numFmtId="0" xfId="0" applyAlignment="1" applyBorder="1" applyFont="1">
      <alignment vertical="bottom"/>
    </xf>
    <xf borderId="0" fillId="0" fontId="10" numFmtId="0" xfId="0" applyAlignment="1" applyFont="1">
      <alignment shrinkToFit="0" vertical="bottom" wrapText="1"/>
    </xf>
    <xf borderId="0" fillId="0" fontId="33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33" numFmtId="0" xfId="0" applyAlignment="1" applyFont="1">
      <alignment vertical="bottom"/>
    </xf>
    <xf borderId="0" fillId="0" fontId="40" numFmtId="0" xfId="0" applyAlignment="1" applyFont="1">
      <alignment shrinkToFit="0" wrapText="1"/>
    </xf>
    <xf borderId="46" fillId="0" fontId="6" numFmtId="0" xfId="0" applyBorder="1" applyFont="1"/>
    <xf borderId="47" fillId="0" fontId="40" numFmtId="0" xfId="0" applyAlignment="1" applyBorder="1" applyFont="1">
      <alignment shrinkToFit="0" wrapText="1"/>
    </xf>
    <xf borderId="0" fillId="0" fontId="33" numFmtId="0" xfId="0" applyFont="1"/>
    <xf borderId="47" fillId="0" fontId="10" numFmtId="0" xfId="0" applyBorder="1" applyFont="1"/>
    <xf borderId="41" fillId="0" fontId="10" numFmtId="0" xfId="0" applyAlignment="1" applyBorder="1" applyFont="1">
      <alignment shrinkToFit="0" wrapText="1"/>
    </xf>
    <xf borderId="41" fillId="0" fontId="33" numFmtId="0" xfId="0" applyAlignment="1" applyBorder="1" applyFont="1">
      <alignment horizontal="left" vertical="center"/>
    </xf>
    <xf borderId="48" fillId="0" fontId="10" numFmtId="0" xfId="0" applyBorder="1" applyFont="1"/>
    <xf borderId="49" fillId="0" fontId="10" numFmtId="0" xfId="0" applyBorder="1" applyFont="1"/>
    <xf borderId="49" fillId="0" fontId="10" numFmtId="0" xfId="0" applyAlignment="1" applyBorder="1" applyFont="1">
      <alignment shrinkToFit="0" vertical="center" wrapText="1"/>
    </xf>
    <xf borderId="50" fillId="0" fontId="34" numFmtId="0" xfId="0" applyBorder="1" applyFont="1"/>
    <xf borderId="50" fillId="0" fontId="10" numFmtId="0" xfId="0" applyBorder="1" applyFont="1"/>
    <xf borderId="0" fillId="0" fontId="10" numFmtId="164" xfId="0" applyAlignment="1" applyFont="1" applyNumberFormat="1">
      <alignment shrinkToFit="0" vertical="center" wrapText="1"/>
    </xf>
    <xf borderId="51" fillId="0" fontId="41" numFmtId="0" xfId="0" applyAlignment="1" applyBorder="1" applyFont="1">
      <alignment horizontal="center" shrinkToFit="0" vertical="center" wrapText="1"/>
    </xf>
    <xf borderId="51" fillId="0" fontId="29" numFmtId="0" xfId="0" applyAlignment="1" applyBorder="1" applyFont="1">
      <alignment horizontal="center" shrinkToFit="0" vertical="center" wrapText="1"/>
    </xf>
    <xf borderId="51" fillId="0" fontId="10" numFmtId="49" xfId="0" applyAlignment="1" applyBorder="1" applyFont="1" applyNumberFormat="1">
      <alignment horizontal="center" vertical="bottom"/>
    </xf>
    <xf quotePrefix="1" borderId="51" fillId="0" fontId="10" numFmtId="49" xfId="0" applyAlignment="1" applyBorder="1" applyFont="1" applyNumberFormat="1">
      <alignment horizontal="center" vertical="bottom"/>
    </xf>
    <xf borderId="0" fillId="13" fontId="10" numFmtId="0" xfId="0" applyFill="1" applyFont="1"/>
    <xf borderId="0" fillId="2" fontId="42" numFmtId="0" xfId="0" applyFont="1"/>
    <xf borderId="0" fillId="0" fontId="10" numFmtId="3" xfId="0" applyFont="1" applyNumberFormat="1"/>
    <xf borderId="0" fillId="0" fontId="10" numFmtId="0" xfId="0" applyAlignment="1" applyFont="1">
      <alignment horizontal="right" vertical="bottom"/>
    </xf>
    <xf borderId="0" fillId="0" fontId="10" numFmtId="0" xfId="0" applyAlignment="1" applyFont="1">
      <alignment horizontal="center" shrinkToFit="0" vertical="center" wrapText="1"/>
    </xf>
    <xf borderId="14" fillId="0" fontId="10" numFmtId="0" xfId="0" applyAlignment="1" applyBorder="1" applyFont="1">
      <alignment horizontal="center" shrinkToFit="0" wrapText="1"/>
    </xf>
    <xf borderId="38" fillId="9" fontId="10" numFmtId="0" xfId="0" applyAlignment="1" applyBorder="1" applyFont="1">
      <alignment horizontal="center" shrinkToFit="0" vertical="center" wrapText="1"/>
    </xf>
    <xf borderId="51" fillId="9" fontId="33" numFmtId="0" xfId="0" applyAlignment="1" applyBorder="1" applyFont="1">
      <alignment horizontal="center"/>
    </xf>
    <xf borderId="52" fillId="0" fontId="10" numFmtId="0" xfId="0" applyAlignment="1" applyBorder="1" applyFont="1">
      <alignment horizontal="center" shrinkToFit="0" wrapText="1"/>
    </xf>
    <xf borderId="0" fillId="0" fontId="10" numFmtId="0" xfId="0" applyAlignment="1" applyFont="1">
      <alignment horizontal="center" shrinkToFit="0" wrapText="1"/>
    </xf>
    <xf borderId="53" fillId="0" fontId="10" numFmtId="0" xfId="0" applyAlignment="1" applyBorder="1" applyFont="1">
      <alignment horizontal="center" shrinkToFit="0" wrapText="1"/>
    </xf>
    <xf borderId="41" fillId="0" fontId="10" numFmtId="0" xfId="0" applyAlignment="1" applyBorder="1" applyFont="1">
      <alignment horizontal="center" shrinkToFit="0" vertical="center" wrapText="1"/>
    </xf>
    <xf borderId="42" fillId="0" fontId="10" numFmtId="0" xfId="0" applyAlignment="1" applyBorder="1" applyFont="1">
      <alignment horizontal="center" shrinkToFit="0" vertical="center" wrapText="1"/>
    </xf>
    <xf borderId="0" fillId="2" fontId="43" numFmtId="0" xfId="0" applyAlignment="1" applyFont="1">
      <alignment horizontal="center"/>
    </xf>
    <xf borderId="0" fillId="0" fontId="43" numFmtId="0" xfId="0" applyAlignment="1" applyFont="1">
      <alignment horizontal="center"/>
    </xf>
    <xf borderId="52" fillId="0" fontId="10" numFmtId="0" xfId="0" applyAlignment="1" applyBorder="1" applyFont="1">
      <alignment horizontal="center" shrinkToFit="0" vertical="center" wrapText="1"/>
    </xf>
    <xf borderId="53" fillId="0" fontId="6" numFmtId="0" xfId="0" applyBorder="1" applyFont="1"/>
    <xf borderId="54" fillId="0" fontId="10" numFmtId="0" xfId="0" applyAlignment="1" applyBorder="1" applyFont="1">
      <alignment horizontal="center" shrinkToFit="0" vertical="center" wrapText="1"/>
    </xf>
    <xf borderId="55" fillId="0" fontId="10" numFmtId="0" xfId="0" applyAlignment="1" applyBorder="1" applyFont="1">
      <alignment horizontal="center" shrinkToFit="0" vertical="center" wrapText="1"/>
    </xf>
    <xf borderId="56" fillId="0" fontId="10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/>
    </xf>
    <xf borderId="57" fillId="0" fontId="10" numFmtId="0" xfId="0" applyBorder="1" applyFont="1"/>
    <xf borderId="58" fillId="0" fontId="10" numFmtId="0" xfId="0" applyBorder="1" applyFont="1"/>
    <xf borderId="41" fillId="0" fontId="10" numFmtId="0" xfId="0" applyAlignment="1" applyBorder="1" applyFont="1">
      <alignment horizontal="center"/>
    </xf>
    <xf borderId="41" fillId="0" fontId="10" numFmtId="165" xfId="0" applyAlignment="1" applyBorder="1" applyFont="1" applyNumberFormat="1">
      <alignment horizontal="center"/>
    </xf>
    <xf borderId="52" fillId="0" fontId="10" numFmtId="0" xfId="0" applyAlignment="1" applyBorder="1" applyFont="1">
      <alignment shrinkToFit="0" wrapText="1"/>
    </xf>
    <xf borderId="53" fillId="0" fontId="10" numFmtId="0" xfId="0" applyAlignment="1" applyBorder="1" applyFont="1">
      <alignment shrinkToFit="0" wrapText="1"/>
    </xf>
    <xf borderId="17" fillId="0" fontId="10" numFmtId="0" xfId="0" applyAlignment="1" applyBorder="1" applyFont="1">
      <alignment shrinkToFit="0" wrapText="1"/>
    </xf>
    <xf borderId="18" fillId="0" fontId="10" numFmtId="0" xfId="0" applyBorder="1" applyFont="1"/>
    <xf borderId="19" fillId="0" fontId="10" numFmtId="0" xfId="0" applyBorder="1" applyFont="1"/>
    <xf borderId="54" fillId="0" fontId="10" numFmtId="165" xfId="0" applyAlignment="1" applyBorder="1" applyFont="1" applyNumberFormat="1">
      <alignment horizontal="center"/>
    </xf>
    <xf borderId="59" fillId="9" fontId="10" numFmtId="0" xfId="0" applyAlignment="1" applyBorder="1" applyFont="1">
      <alignment horizontal="center" shrinkToFit="0" vertical="center" wrapText="1"/>
    </xf>
    <xf borderId="60" fillId="8" fontId="2" numFmtId="0" xfId="0" applyAlignment="1" applyBorder="1" applyFont="1">
      <alignment horizontal="center" shrinkToFit="0" vertical="center" wrapText="1"/>
    </xf>
    <xf borderId="61" fillId="5" fontId="22" numFmtId="0" xfId="0" applyAlignment="1" applyBorder="1" applyFont="1">
      <alignment horizontal="center" vertical="center"/>
    </xf>
    <xf borderId="0" fillId="5" fontId="22" numFmtId="0" xfId="0" applyAlignment="1" applyFont="1">
      <alignment horizontal="center" vertical="center"/>
    </xf>
    <xf borderId="0" fillId="0" fontId="10" numFmtId="0" xfId="0" applyAlignment="1" applyFont="1">
      <alignment horizontal="center" vertical="bottom"/>
    </xf>
    <xf borderId="51" fillId="0" fontId="10" numFmtId="0" xfId="0" applyAlignment="1" applyBorder="1" applyFont="1">
      <alignment horizontal="center" vertical="bottom"/>
    </xf>
    <xf borderId="60" fillId="0" fontId="10" numFmtId="165" xfId="0" applyAlignment="1" applyBorder="1" applyFont="1" applyNumberFormat="1">
      <alignment shrinkToFit="0" wrapText="1"/>
    </xf>
    <xf borderId="61" fillId="0" fontId="10" numFmtId="0" xfId="0" applyAlignment="1" applyBorder="1" applyFont="1">
      <alignment horizontal="center" vertical="center"/>
    </xf>
    <xf borderId="60" fillId="0" fontId="10" numFmtId="0" xfId="0" applyAlignment="1" applyBorder="1" applyFont="1">
      <alignment shrinkToFit="0" wrapText="1"/>
    </xf>
    <xf borderId="61" fillId="0" fontId="10" numFmtId="0" xfId="0" applyAlignment="1" applyBorder="1" applyFont="1">
      <alignment horizontal="center" shrinkToFit="0" vertical="center" wrapText="1"/>
    </xf>
    <xf borderId="60" fillId="0" fontId="10" numFmtId="0" xfId="0" applyAlignment="1" applyBorder="1" applyFont="1">
      <alignment shrinkToFit="0" vertical="center" wrapText="1"/>
    </xf>
    <xf borderId="61" fillId="0" fontId="10" numFmtId="0" xfId="0" applyAlignment="1" applyBorder="1" applyFont="1">
      <alignment horizontal="center" shrinkToFit="0" wrapText="1"/>
    </xf>
    <xf borderId="61" fillId="0" fontId="10" numFmtId="0" xfId="0" applyAlignment="1" applyBorder="1" applyFont="1">
      <alignment horizontal="left" shrinkToFit="0" wrapText="1"/>
    </xf>
    <xf borderId="61" fillId="0" fontId="10" numFmtId="0" xfId="0" applyAlignment="1" applyBorder="1" applyFont="1">
      <alignment horizontal="center"/>
    </xf>
    <xf borderId="62" fillId="0" fontId="10" numFmtId="0" xfId="0" applyAlignment="1" applyBorder="1" applyFont="1">
      <alignment horizontal="center"/>
    </xf>
    <xf borderId="62" fillId="0" fontId="10" numFmtId="0" xfId="0" applyAlignment="1" applyBorder="1" applyFont="1">
      <alignment horizontal="center" vertical="center"/>
    </xf>
    <xf borderId="61" fillId="12" fontId="10" numFmtId="0" xfId="0" applyAlignment="1" applyBorder="1" applyFont="1">
      <alignment horizontal="center" vertical="center"/>
    </xf>
    <xf borderId="14" fillId="14" fontId="10" numFmtId="0" xfId="0" applyAlignment="1" applyBorder="1" applyFill="1" applyFont="1">
      <alignment horizontal="center"/>
    </xf>
    <xf borderId="52" fillId="5" fontId="44" numFmtId="0" xfId="0" applyAlignment="1" applyBorder="1" applyFont="1">
      <alignment horizontal="center"/>
    </xf>
    <xf borderId="52" fillId="0" fontId="10" numFmtId="0" xfId="0" applyAlignment="1" applyBorder="1" applyFont="1">
      <alignment horizontal="center"/>
    </xf>
    <xf borderId="51" fillId="0" fontId="10" numFmtId="0" xfId="0" applyAlignment="1" applyBorder="1" applyFont="1">
      <alignment horizontal="center" vertical="center"/>
    </xf>
    <xf borderId="51" fillId="0" fontId="10" numFmtId="0" xfId="0" applyAlignment="1" applyBorder="1" applyFont="1">
      <alignment horizontal="center"/>
    </xf>
    <xf borderId="53" fillId="0" fontId="10" numFmtId="0" xfId="0" applyAlignment="1" applyBorder="1" applyFont="1">
      <alignment horizontal="center"/>
    </xf>
    <xf borderId="18" fillId="0" fontId="10" numFmtId="0" xfId="0" applyAlignment="1" applyBorder="1" applyFont="1">
      <alignment horizontal="center" vertical="center"/>
    </xf>
    <xf borderId="18" fillId="0" fontId="10" numFmtId="0" xfId="0" applyAlignment="1" applyBorder="1" applyFont="1">
      <alignment horizontal="center"/>
    </xf>
    <xf borderId="19" fillId="0" fontId="10" numFmtId="0" xfId="0" applyAlignment="1" applyBorder="1" applyFont="1">
      <alignment horizontal="center"/>
    </xf>
    <xf borderId="51" fillId="15" fontId="44" numFmtId="0" xfId="0" applyAlignment="1" applyBorder="1" applyFill="1" applyFont="1">
      <alignment horizontal="center" shrinkToFit="0" wrapText="1"/>
    </xf>
    <xf borderId="0" fillId="15" fontId="44" numFmtId="0" xfId="0" applyAlignment="1" applyFont="1">
      <alignment horizontal="center" shrinkToFit="0" wrapText="1"/>
    </xf>
    <xf borderId="0" fillId="0" fontId="10" numFmtId="164" xfId="0" applyAlignment="1" applyFont="1" applyNumberFormat="1">
      <alignment horizontal="center" vertical="bottom"/>
    </xf>
    <xf borderId="0" fillId="9" fontId="10" numFmtId="0" xfId="0" applyAlignment="1" applyFont="1">
      <alignment horizontal="center" vertical="bottom"/>
    </xf>
    <xf borderId="51" fillId="0" fontId="43" numFmtId="0" xfId="0" applyAlignment="1" applyBorder="1" applyFont="1">
      <alignment horizontal="center"/>
    </xf>
    <xf borderId="0" fillId="2" fontId="43" numFmtId="0" xfId="0" applyAlignment="1" applyFont="1">
      <alignment horizontal="center" shrinkToFit="0" wrapText="1"/>
    </xf>
    <xf borderId="1" fillId="5" fontId="44" numFmtId="0" xfId="0" applyAlignment="1" applyBorder="1" applyFont="1">
      <alignment horizontal="center"/>
    </xf>
    <xf borderId="51" fillId="5" fontId="45" numFmtId="0" xfId="0" applyAlignment="1" applyBorder="1" applyFont="1">
      <alignment horizontal="center"/>
    </xf>
    <xf borderId="0" fillId="5" fontId="44" numFmtId="0" xfId="0" applyAlignment="1" applyFont="1">
      <alignment horizontal="center"/>
    </xf>
    <xf borderId="0" fillId="5" fontId="10" numFmtId="0" xfId="0" applyFont="1"/>
    <xf borderId="0" fillId="5" fontId="44" numFmtId="0" xfId="0" applyAlignment="1" applyFont="1">
      <alignment horizontal="center" shrinkToFit="0" wrapText="1"/>
    </xf>
    <xf borderId="0" fillId="2" fontId="33" numFmtId="0" xfId="0" applyAlignment="1" applyFont="1">
      <alignment horizontal="center"/>
    </xf>
    <xf borderId="63" fillId="2" fontId="46" numFmtId="0" xfId="0" applyAlignment="1" applyBorder="1" applyFont="1">
      <alignment shrinkToFit="0" vertical="bottom" wrapText="0"/>
    </xf>
    <xf borderId="0" fillId="2" fontId="33" numFmtId="0" xfId="0" applyAlignment="1" applyFont="1">
      <alignment horizontal="center" shrinkToFit="0" vertical="center" wrapText="1"/>
    </xf>
    <xf borderId="0" fillId="0" fontId="43" numFmtId="0" xfId="0" applyAlignment="1" applyFont="1">
      <alignment horizontal="center" shrinkToFit="0" vertical="center" wrapText="1"/>
    </xf>
    <xf borderId="0" fillId="2" fontId="10" numFmtId="0" xfId="0" applyAlignment="1" applyFont="1">
      <alignment horizontal="center"/>
    </xf>
    <xf borderId="63" fillId="2" fontId="47" numFmtId="0" xfId="0" applyAlignment="1" applyBorder="1" applyFont="1">
      <alignment shrinkToFit="0" vertical="bottom" wrapText="0"/>
    </xf>
    <xf borderId="0" fillId="2" fontId="43" numFmtId="0" xfId="0" applyAlignment="1" applyFont="1">
      <alignment horizontal="center" shrinkToFit="0" vertical="center" wrapText="1"/>
    </xf>
    <xf borderId="0" fillId="2" fontId="29" numFmtId="0" xfId="0" applyAlignment="1" applyFont="1">
      <alignment shrinkToFit="0" vertical="center" wrapText="1"/>
    </xf>
    <xf borderId="0" fillId="0" fontId="29" numFmtId="0" xfId="0" applyAlignment="1" applyFont="1">
      <alignment shrinkToFit="0" vertical="center" wrapText="1"/>
    </xf>
    <xf borderId="0" fillId="2" fontId="10" numFmtId="0" xfId="0" applyAlignment="1" applyFont="1">
      <alignment horizontal="center" shrinkToFit="0" vertical="center" wrapText="1"/>
    </xf>
    <xf borderId="0" fillId="0" fontId="48" numFmtId="0" xfId="0" applyAlignment="1" applyFont="1">
      <alignment horizontal="center" shrinkToFit="0" vertical="center" wrapText="1"/>
    </xf>
    <xf borderId="0" fillId="0" fontId="33" numFmtId="0" xfId="0" applyAlignment="1" applyFont="1">
      <alignment horizontal="center" shrinkToFit="0" vertical="center" wrapText="1"/>
    </xf>
    <xf borderId="51" fillId="0" fontId="4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none"/>
      </fill>
      <border/>
    </dxf>
  </dxfs>
  <tableStyles count="1">
    <tableStyle count="3" pivot="0" name="Iníci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400050" cy="238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504825" cy="304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914400" cy="552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247650" cy="152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47650" cy="152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552450" cy="333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I21:M21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Iníci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nae.ibge.gov.br/" TargetMode="External"/><Relationship Id="rId3" Type="http://schemas.openxmlformats.org/officeDocument/2006/relationships/drawing" Target="../drawings/drawing3.xml"/><Relationship Id="rId4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D1C1D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.88"/>
    <col customWidth="1" min="2" max="2" width="5.25"/>
    <col customWidth="1" min="3" max="3" width="18.88"/>
    <col customWidth="1" min="4" max="4" width="3.25"/>
    <col customWidth="1" min="5" max="7" width="10.25"/>
    <col customWidth="1" min="8" max="8" width="7.13"/>
    <col customWidth="1" min="13" max="13" width="5.25"/>
    <col customWidth="1" min="14" max="14" width="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63.75" customHeight="1">
      <c r="A2" s="1"/>
      <c r="B2" s="2"/>
      <c r="D2" s="3"/>
      <c r="E2" s="4" t="s">
        <v>0</v>
      </c>
      <c r="N2" s="5"/>
    </row>
    <row r="3" ht="15.75" customHeight="1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15.75" customHeight="1">
      <c r="A4" s="1"/>
      <c r="B4" s="6" t="s">
        <v>1</v>
      </c>
      <c r="C4" s="7"/>
      <c r="D4" s="7"/>
      <c r="E4" s="7"/>
      <c r="F4" s="7"/>
      <c r="G4" s="7"/>
      <c r="H4" s="7"/>
      <c r="I4" s="7"/>
      <c r="J4" s="7"/>
      <c r="K4" s="7"/>
      <c r="L4" s="7"/>
      <c r="M4" s="8"/>
      <c r="N4" s="9"/>
    </row>
    <row r="5" ht="15.75" customHeight="1">
      <c r="A5" s="1"/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13"/>
    </row>
    <row r="6" ht="32.25" customHeight="1">
      <c r="A6" s="1"/>
      <c r="B6" s="10"/>
      <c r="C6" s="14" t="s">
        <v>2</v>
      </c>
      <c r="M6" s="12"/>
      <c r="N6" s="13"/>
    </row>
    <row r="7" ht="32.25" customHeight="1">
      <c r="A7" s="1"/>
      <c r="B7" s="10"/>
      <c r="M7" s="12"/>
      <c r="N7" s="13"/>
    </row>
    <row r="8" ht="8.25" customHeight="1">
      <c r="A8" s="1"/>
      <c r="B8" s="15"/>
      <c r="C8" s="16"/>
      <c r="D8" s="16"/>
      <c r="E8" s="16"/>
      <c r="F8" s="16"/>
      <c r="G8" s="16"/>
      <c r="H8" s="16"/>
      <c r="I8" s="16"/>
      <c r="J8" s="16"/>
      <c r="K8" s="16"/>
      <c r="L8" s="16"/>
      <c r="M8" s="17"/>
      <c r="N8" s="13"/>
    </row>
    <row r="9" ht="15.75" customHeight="1">
      <c r="A9" s="1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"/>
    </row>
    <row r="10" ht="15.75" customHeight="1">
      <c r="A10" s="1"/>
      <c r="B10" s="19" t="s">
        <v>3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1"/>
      <c r="N10" s="22"/>
    </row>
    <row r="11" ht="15.75" customHeight="1">
      <c r="A11" s="1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5"/>
      <c r="N11" s="22"/>
    </row>
    <row r="12" ht="15.75" customHeight="1">
      <c r="A12" s="1"/>
      <c r="B12" s="23"/>
      <c r="C12" s="26" t="s">
        <v>4</v>
      </c>
      <c r="D12" s="27"/>
      <c r="E12" s="27"/>
      <c r="F12" s="27"/>
      <c r="G12" s="28"/>
      <c r="H12" s="24"/>
      <c r="I12" s="29" t="s">
        <v>5</v>
      </c>
      <c r="J12" s="27"/>
      <c r="K12" s="27"/>
      <c r="L12" s="28"/>
      <c r="M12" s="25"/>
      <c r="N12" s="22"/>
    </row>
    <row r="13" ht="15.75" customHeight="1">
      <c r="A13" s="1"/>
      <c r="B13" s="23"/>
      <c r="C13" s="30"/>
      <c r="D13" s="31"/>
      <c r="E13" s="31"/>
      <c r="F13" s="31"/>
      <c r="G13" s="32"/>
      <c r="H13" s="24"/>
      <c r="I13" s="30"/>
      <c r="J13" s="31"/>
      <c r="K13" s="31"/>
      <c r="L13" s="32"/>
      <c r="M13" s="25"/>
      <c r="N13" s="22"/>
    </row>
    <row r="14" ht="15.75" customHeight="1">
      <c r="A14" s="1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5"/>
      <c r="N14" s="22"/>
    </row>
    <row r="15" ht="15.75" customHeight="1">
      <c r="A15" s="1"/>
      <c r="B15" s="33"/>
      <c r="C15" s="26" t="s">
        <v>6</v>
      </c>
      <c r="D15" s="27"/>
      <c r="E15" s="27"/>
      <c r="F15" s="27"/>
      <c r="G15" s="28"/>
      <c r="H15" s="24"/>
      <c r="I15" s="26" t="s">
        <v>7</v>
      </c>
      <c r="J15" s="27"/>
      <c r="K15" s="27"/>
      <c r="L15" s="28"/>
      <c r="M15" s="25"/>
      <c r="N15" s="22"/>
    </row>
    <row r="16" ht="15.75" customHeight="1">
      <c r="A16" s="1"/>
      <c r="B16" s="33"/>
      <c r="C16" s="30"/>
      <c r="D16" s="31"/>
      <c r="E16" s="31"/>
      <c r="F16" s="31"/>
      <c r="G16" s="32"/>
      <c r="H16" s="24"/>
      <c r="I16" s="30"/>
      <c r="J16" s="31"/>
      <c r="K16" s="31"/>
      <c r="L16" s="32"/>
      <c r="M16" s="25"/>
      <c r="N16" s="22"/>
    </row>
    <row r="17" ht="15.75" customHeight="1">
      <c r="A17" s="1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5"/>
      <c r="N17" s="22"/>
    </row>
    <row r="18" ht="15.75" customHeight="1">
      <c r="A18" s="1"/>
      <c r="B18" s="33"/>
      <c r="C18" s="26" t="s">
        <v>8</v>
      </c>
      <c r="D18" s="27"/>
      <c r="E18" s="27"/>
      <c r="F18" s="27"/>
      <c r="G18" s="28"/>
      <c r="H18" s="24"/>
      <c r="I18" s="26" t="s">
        <v>9</v>
      </c>
      <c r="J18" s="27"/>
      <c r="K18" s="27"/>
      <c r="L18" s="28"/>
      <c r="M18" s="25"/>
      <c r="N18" s="22"/>
    </row>
    <row r="19" ht="15.75" customHeight="1">
      <c r="A19" s="1"/>
      <c r="B19" s="33"/>
      <c r="C19" s="30"/>
      <c r="D19" s="31"/>
      <c r="E19" s="31"/>
      <c r="F19" s="31"/>
      <c r="G19" s="32"/>
      <c r="H19" s="24"/>
      <c r="I19" s="30"/>
      <c r="J19" s="31"/>
      <c r="K19" s="31"/>
      <c r="L19" s="32"/>
      <c r="M19" s="25"/>
      <c r="N19" s="22"/>
    </row>
    <row r="20" ht="15.75" customHeight="1">
      <c r="A20" s="1"/>
      <c r="B20" s="34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6"/>
      <c r="N20" s="22"/>
    </row>
    <row r="21" ht="15.75" customHeight="1">
      <c r="A21" s="1"/>
      <c r="B21" s="24"/>
      <c r="C21" s="24"/>
      <c r="D21" s="24"/>
      <c r="E21" s="24"/>
      <c r="F21" s="24"/>
      <c r="G21" s="24"/>
      <c r="H21" s="37"/>
      <c r="I21" s="38"/>
      <c r="J21" s="38"/>
      <c r="K21" s="38"/>
      <c r="L21" s="38"/>
      <c r="M21" s="38"/>
      <c r="N21" s="22"/>
    </row>
    <row r="22" ht="15.75" customHeight="1">
      <c r="A22" s="1"/>
      <c r="B22" s="22"/>
      <c r="C22" s="39" t="s">
        <v>10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</row>
    <row r="23" ht="15.75" customHeight="1">
      <c r="A23" s="1"/>
      <c r="B23" s="22"/>
      <c r="C23" s="39" t="s">
        <v>11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</row>
    <row r="24" ht="15.75" customHeight="1">
      <c r="A24" s="1"/>
      <c r="B24" s="22"/>
      <c r="C24" s="39" t="s">
        <v>12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</row>
    <row r="25" ht="15.75" customHeight="1">
      <c r="A25" s="1"/>
      <c r="B25" s="22"/>
      <c r="C25" s="39" t="s">
        <v>13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ht="15.75" customHeight="1">
      <c r="A26" s="1"/>
      <c r="B26" s="22"/>
      <c r="C26" s="39" t="s">
        <v>14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</row>
    <row r="27" ht="15.75" customHeight="1">
      <c r="A27" s="1"/>
      <c r="B27" s="22"/>
      <c r="C27" s="39" t="s">
        <v>15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</row>
    <row r="28" ht="15.75" customHeight="1">
      <c r="A28" s="1"/>
      <c r="B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</row>
    <row r="29" ht="15.75" customHeight="1">
      <c r="A29" s="1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</row>
    <row r="30" ht="15.75" customHeight="1">
      <c r="A30" s="1"/>
      <c r="B30" s="22"/>
      <c r="C30" s="40" t="s">
        <v>16</v>
      </c>
      <c r="M30" s="22"/>
      <c r="N30" s="22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C15:G16"/>
    <mergeCell ref="I15:L16"/>
    <mergeCell ref="C18:G19"/>
    <mergeCell ref="I18:L19"/>
    <mergeCell ref="C30:L30"/>
    <mergeCell ref="B2:C2"/>
    <mergeCell ref="E2:M2"/>
    <mergeCell ref="B4:M4"/>
    <mergeCell ref="C6:L7"/>
    <mergeCell ref="B10:M10"/>
    <mergeCell ref="C12:G13"/>
    <mergeCell ref="I12:L13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44CA"/>
    <outlinePr summaryBelow="0" summaryRight="0"/>
  </sheetPr>
  <sheetViews>
    <sheetView showGridLines="0" workbookViewId="0"/>
  </sheetViews>
  <sheetFormatPr customHeight="1" defaultColWidth="12.63" defaultRowHeight="15.0" outlineLevelCol="1"/>
  <cols>
    <col customWidth="1" min="1" max="1" width="4.5"/>
    <col customWidth="1" min="2" max="2" width="34.25"/>
    <col customWidth="1" min="3" max="4" width="29.0"/>
    <col collapsed="1" customWidth="1" min="5" max="5" width="29.0"/>
    <col customWidth="1" hidden="1" min="6" max="12" width="29.0" outlineLevel="1"/>
  </cols>
  <sheetData>
    <row r="1" ht="8.25" customHeight="1">
      <c r="B1" s="41"/>
    </row>
    <row r="2" ht="24.0" customHeight="1">
      <c r="B2" s="2"/>
      <c r="C2" s="42" t="s">
        <v>17</v>
      </c>
      <c r="F2" s="43"/>
      <c r="G2" s="43"/>
      <c r="H2" s="43"/>
      <c r="I2" s="43"/>
      <c r="J2" s="43"/>
      <c r="K2" s="43"/>
    </row>
    <row r="3" ht="47.25" customHeight="1">
      <c r="F3" s="43"/>
      <c r="G3" s="43"/>
      <c r="H3" s="43"/>
      <c r="I3" s="43"/>
      <c r="J3" s="43"/>
      <c r="K3" s="43"/>
    </row>
    <row r="4" ht="15.75" customHeight="1">
      <c r="B4" s="44" t="str">
        <f>IF(COUNTIF(5:5,"Sim")&gt;1,"ATENÇÃO: ESCOLHER APENAS 1 SOLUÇÃO PARA ATAQUE","")</f>
        <v/>
      </c>
      <c r="F4" s="45"/>
      <c r="G4" s="45"/>
      <c r="H4" s="45"/>
      <c r="I4" s="45"/>
      <c r="J4" s="45"/>
      <c r="K4" s="45"/>
    </row>
    <row r="5" ht="15.75" customHeight="1">
      <c r="B5" s="46" t="s">
        <v>18</v>
      </c>
      <c r="C5" s="47"/>
      <c r="D5" s="47"/>
      <c r="E5" s="48"/>
      <c r="F5" s="47"/>
      <c r="G5" s="47"/>
      <c r="H5" s="47"/>
      <c r="I5" s="47"/>
      <c r="J5" s="47"/>
      <c r="K5" s="47"/>
      <c r="L5" s="4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</row>
    <row r="6" ht="15.75" customHeight="1">
      <c r="B6" s="50" t="s">
        <v>19</v>
      </c>
      <c r="C6" s="51" t="str">
        <f>IF(COUNTA(C7:C19)&lt;10,"Preencha todos os critérios",
IFERROR(VLOOKUP(C10,'Apoio Geral'!$B:$C,2,FALSE)*'Apoio Geral'!$C$32+
VLOOKUP(C11,'Apoio Geral'!$B:$C,2,FALSE)*'Apoio Geral'!$C$39+
VLOOKUP(C12,'Apoio Geral'!$B:$C,2,FALSE)*'Apoio Geral'!$C$46+
(LARGE($C$16:$L$16,1)/C16)*0.1+
VLOOKUP(C19,'Apoio Validação'!$D:$F,3,FALSE),
"Preencha todos os critérios"))</f>
        <v>Preencha todos os critérios</v>
      </c>
      <c r="D6" s="51" t="str">
        <f>IF(COUNTA(D7:D19)&lt;10,"Preencha todos os critérios",
IFERROR(VLOOKUP(D10,'Apoio Geral'!$B:$C,2,FALSE)*'Apoio Geral'!$C$32+
VLOOKUP(D11,'Apoio Geral'!$B:$C,2,FALSE)*'Apoio Geral'!$C$39+
VLOOKUP(D12,'Apoio Geral'!$B:$C,2,FALSE)*'Apoio Geral'!$C$46+
(LARGE($C$16:$L$16,1)/D16)*0.1+
VLOOKUP(D19,'Apoio Validação'!$D:$F,3,FALSE),
"Preencha todos os critérios"))</f>
        <v>Preencha todos os critérios</v>
      </c>
      <c r="E6" s="51" t="str">
        <f>IF(COUNTA(E7:E19)&lt;10,"Preencha todos os critérios",
IFERROR(VLOOKUP(E10,'Apoio Geral'!$B:$C,2,FALSE)*'Apoio Geral'!$C$32+
VLOOKUP(E11,'Apoio Geral'!$B:$C,2,FALSE)*'Apoio Geral'!$C$39+
VLOOKUP(E12,'Apoio Geral'!$B:$C,2,FALSE)*'Apoio Geral'!$C$46+
(LARGE($C$16:$L$16,1)/E16)*0.1+
VLOOKUP(E19,'Apoio Validação'!$D:$F,3,FALSE),
"Preencha todos os critérios"))</f>
        <v>Preencha todos os critérios</v>
      </c>
      <c r="F6" s="51" t="str">
        <f>IF(COUNTA(F7:F19)&lt;10,"Preencha todos os critérios",
IFERROR(VLOOKUP(F10,'Apoio Geral'!$B:$C,2,FALSE)*'Apoio Geral'!$C$32+
VLOOKUP(F11,'Apoio Geral'!$B:$C,2,FALSE)*'Apoio Geral'!$C$39+
VLOOKUP(F12,'Apoio Geral'!$B:$C,2,FALSE)*'Apoio Geral'!$C$46+
(LARGE($C$16:$L$16,1)/F16)*0.1+
VLOOKUP(F19,'Apoio Validação'!$D:$F,3,FALSE),
"Preencha todos os critérios"))</f>
        <v>Preencha todos os critérios</v>
      </c>
      <c r="G6" s="51" t="str">
        <f>IF(COUNTA(G7:G19)&lt;10,"Preencha todos os critérios",
IFERROR(VLOOKUP(G10,'Apoio Geral'!$B:$C,2,FALSE)*'Apoio Geral'!$C$32+
VLOOKUP(G11,'Apoio Geral'!$B:$C,2,FALSE)*'Apoio Geral'!$C$39+
VLOOKUP(G12,'Apoio Geral'!$B:$C,2,FALSE)*'Apoio Geral'!$C$46+
(LARGE($C$16:$L$16,1)/G16)*0.1+
VLOOKUP(G19,'Apoio Validação'!$D:$F,3,FALSE),
"Preencha todos os critérios"))</f>
        <v>Preencha todos os critérios</v>
      </c>
      <c r="H6" s="51" t="str">
        <f>IF(COUNTA(H7:H19)&lt;10,"Preencha todos os critérios",
IFERROR(VLOOKUP(H10,'Apoio Geral'!$B:$C,2,FALSE)*'Apoio Geral'!$C$32+
VLOOKUP(H11,'Apoio Geral'!$B:$C,2,FALSE)*'Apoio Geral'!$C$39+
VLOOKUP(H12,'Apoio Geral'!$B:$C,2,FALSE)*'Apoio Geral'!$C$46+
(LARGE($C$16:$L$16,1)/H16)*0.1+
VLOOKUP(H19,'Apoio Validação'!$D:$F,3,FALSE),
"Preencha todos os critérios"))</f>
        <v>Preencha todos os critérios</v>
      </c>
      <c r="I6" s="51" t="str">
        <f>IF(COUNTA(I7:I19)&lt;10,"Preencha todos os critérios",
IFERROR(VLOOKUP(I10,'Apoio Geral'!$B:$C,2,FALSE)*'Apoio Geral'!$C$32+
VLOOKUP(I11,'Apoio Geral'!$B:$C,2,FALSE)*'Apoio Geral'!$C$39+
VLOOKUP(I12,'Apoio Geral'!$B:$C,2,FALSE)*'Apoio Geral'!$C$46+
(LARGE($C$16:$L$16,1)/I16)*0.1+
VLOOKUP(I19,'Apoio Validação'!$D:$F,3,FALSE),
"Preencha todos os critérios"))</f>
        <v>Preencha todos os critérios</v>
      </c>
      <c r="J6" s="51" t="str">
        <f>IF(COUNTA(J7:J19)&lt;10,"Preencha todos os critérios",
IFERROR(VLOOKUP(J10,'Apoio Geral'!$B:$C,2,FALSE)*'Apoio Geral'!$C$32+
VLOOKUP(J11,'Apoio Geral'!$B:$C,2,FALSE)*'Apoio Geral'!$C$39+
VLOOKUP(J12,'Apoio Geral'!$B:$C,2,FALSE)*'Apoio Geral'!$C$46+
(LARGE($C$16:$L$16,1)/J16)*0.1+
VLOOKUP(J19,'Apoio Validação'!$D:$F,3,FALSE),
"Preencha todos os critérios"))</f>
        <v>Preencha todos os critérios</v>
      </c>
      <c r="K6" s="51" t="str">
        <f>IF(COUNTA(K7:K19)&lt;10,"Preencha todos os critérios",
IFERROR(VLOOKUP(K10,'Apoio Geral'!$B:$C,2,FALSE)*'Apoio Geral'!$C$32+
VLOOKUP(K11,'Apoio Geral'!$B:$C,2,FALSE)*'Apoio Geral'!$C$39+
VLOOKUP(K12,'Apoio Geral'!$B:$C,2,FALSE)*'Apoio Geral'!$C$46+
(LARGE($C$16:$L$16,1)/K16)*0.1+
VLOOKUP(K19,'Apoio Validação'!$D:$F,3,FALSE),
"Preencha todos os critérios"))</f>
        <v>Preencha todos os critérios</v>
      </c>
      <c r="L6" s="51" t="str">
        <f>IF(COUNTA(L7:L19)&lt;10,"Preencha todos os critérios",
IFERROR(VLOOKUP(L10,'Apoio Geral'!$B:$C,2,FALSE)*'Apoio Geral'!$C$32+
VLOOKUP(L11,'Apoio Geral'!$B:$C,2,FALSE)*'Apoio Geral'!$C$39+
VLOOKUP(L12,'Apoio Geral'!$B:$C,2,FALSE)*'Apoio Geral'!$C$46+
(LARGE($C$16:$L$16,1)/L16)*0.1+
VLOOKUP(L19,'Apoio Validação'!$D:$F,3,FALSE),
"Preencha todos os critérios"))</f>
        <v>Preencha todos os critérios</v>
      </c>
      <c r="O6" s="37"/>
    </row>
    <row r="7" ht="43.5" customHeight="1">
      <c r="B7" s="50" t="s">
        <v>20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41"/>
      <c r="Y7" s="41"/>
    </row>
    <row r="8" ht="43.5" customHeight="1">
      <c r="B8" s="50" t="s">
        <v>21</v>
      </c>
      <c r="C8" s="52"/>
      <c r="D8" s="52"/>
      <c r="E8" s="52"/>
      <c r="F8" s="52"/>
      <c r="G8" s="52"/>
      <c r="H8" s="52"/>
      <c r="I8" s="52"/>
      <c r="J8" s="52"/>
      <c r="K8" s="52"/>
      <c r="L8" s="52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41"/>
      <c r="Y8" s="41"/>
    </row>
    <row r="9" ht="31.5" customHeight="1">
      <c r="B9" s="54" t="s">
        <v>22</v>
      </c>
      <c r="C9" s="55"/>
      <c r="D9" s="55"/>
      <c r="E9" s="55"/>
      <c r="F9" s="55"/>
      <c r="G9" s="55"/>
      <c r="H9" s="55"/>
      <c r="I9" s="55"/>
      <c r="J9" s="55"/>
      <c r="K9" s="55"/>
      <c r="L9" s="56"/>
    </row>
    <row r="10" ht="43.5" customHeight="1">
      <c r="B10" s="50" t="s">
        <v>23</v>
      </c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41"/>
      <c r="Y10" s="41"/>
    </row>
    <row r="11" ht="43.5" customHeight="1">
      <c r="B11" s="50" t="s">
        <v>24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41"/>
      <c r="Y11" s="41"/>
    </row>
    <row r="12" ht="43.5" customHeight="1">
      <c r="B12" s="50" t="s">
        <v>25</v>
      </c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41"/>
      <c r="Y12" s="41"/>
    </row>
    <row r="13" ht="33.75" customHeight="1">
      <c r="B13" s="50" t="s">
        <v>26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41"/>
      <c r="Y13" s="41"/>
    </row>
    <row r="14" ht="21.0" customHeight="1">
      <c r="B14" s="50" t="s">
        <v>27</v>
      </c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</row>
    <row r="15" ht="36.0" customHeight="1">
      <c r="B15" s="50" t="s">
        <v>28</v>
      </c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</row>
    <row r="16" ht="36.0" customHeight="1">
      <c r="B16" s="50" t="s">
        <v>29</v>
      </c>
      <c r="C16" s="60" t="str">
        <f t="shared" ref="C16:L16" si="1">IF(AND(C13&lt;&gt;"",C14&lt;&gt;"",C15&lt;&gt;""),(IF(C15="Acima de 70%",0.7,IF(C15="Entre 30% e 70%",0.5,IF(C15="Abaixo de 30%",0.15))))*C14*C13,"")</f>
        <v/>
      </c>
      <c r="D16" s="60" t="str">
        <f t="shared" si="1"/>
        <v/>
      </c>
      <c r="E16" s="60" t="str">
        <f t="shared" si="1"/>
        <v/>
      </c>
      <c r="F16" s="60" t="str">
        <f t="shared" si="1"/>
        <v/>
      </c>
      <c r="G16" s="60" t="str">
        <f t="shared" si="1"/>
        <v/>
      </c>
      <c r="H16" s="60" t="str">
        <f t="shared" si="1"/>
        <v/>
      </c>
      <c r="I16" s="60" t="str">
        <f t="shared" si="1"/>
        <v/>
      </c>
      <c r="J16" s="60" t="str">
        <f t="shared" si="1"/>
        <v/>
      </c>
      <c r="K16" s="60" t="str">
        <f t="shared" si="1"/>
        <v/>
      </c>
      <c r="L16" s="60" t="str">
        <f t="shared" si="1"/>
        <v/>
      </c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</row>
    <row r="17" ht="15.75" customHeight="1">
      <c r="B17" s="61" t="s">
        <v>30</v>
      </c>
      <c r="C17" s="62"/>
      <c r="D17" s="62"/>
      <c r="E17" s="62"/>
      <c r="F17" s="62"/>
      <c r="G17" s="62"/>
      <c r="H17" s="62"/>
      <c r="I17" s="62"/>
      <c r="J17" s="62"/>
      <c r="K17" s="62"/>
      <c r="L17" s="63"/>
    </row>
    <row r="18" ht="15.75" customHeight="1">
      <c r="B18" s="50" t="s">
        <v>31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</row>
    <row r="19" ht="15.75" customHeight="1">
      <c r="B19" s="50" t="s">
        <v>32</v>
      </c>
      <c r="C19" s="64"/>
      <c r="D19" s="64"/>
      <c r="E19" s="64"/>
      <c r="F19" s="64"/>
      <c r="G19" s="64"/>
      <c r="H19" s="64"/>
      <c r="I19" s="64"/>
      <c r="J19" s="64"/>
      <c r="K19" s="64"/>
      <c r="L19" s="64"/>
    </row>
    <row r="20" ht="15.75" customHeight="1">
      <c r="B20" s="41"/>
    </row>
    <row r="21" ht="15.75" customHeight="1">
      <c r="B21" s="41"/>
      <c r="C21" s="24"/>
      <c r="D21" s="24"/>
      <c r="E21" s="24"/>
      <c r="F21" s="24"/>
      <c r="G21" s="24"/>
      <c r="H21" s="24"/>
      <c r="I21" s="24"/>
      <c r="J21" s="24"/>
      <c r="K21" s="24"/>
    </row>
    <row r="22" ht="15.75" customHeight="1">
      <c r="B22" s="41"/>
    </row>
    <row r="23" ht="15.75" customHeight="1">
      <c r="B23" s="4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B3"/>
    <mergeCell ref="C2:E3"/>
    <mergeCell ref="B4:E4"/>
    <mergeCell ref="B9:L9"/>
    <mergeCell ref="B17:L17"/>
  </mergeCells>
  <conditionalFormatting sqref="C18:L19">
    <cfRule type="expression" dxfId="4" priority="1">
      <formula>#REF!="Não"</formula>
    </cfRule>
  </conditionalFormatting>
  <conditionalFormatting sqref="I5">
    <cfRule type="colorScale" priority="2">
      <colorScale>
        <cfvo type="min"/>
        <cfvo type="max"/>
        <color rgb="FF57BB8A"/>
        <color rgb="FFFFFFFF"/>
      </colorScale>
    </cfRule>
  </conditionalFormatting>
  <conditionalFormatting sqref="C5:L6">
    <cfRule type="expression" dxfId="5" priority="3">
      <formula>LARGE($C$4:$L$4,1)=C5</formula>
    </cfRule>
  </conditionalFormatting>
  <conditionalFormatting sqref="C5:L6">
    <cfRule type="expression" dxfId="5" priority="4">
      <formula>LARGE($C$4:$L$4,2)=C5</formula>
    </cfRule>
  </conditionalFormatting>
  <conditionalFormatting sqref="C5:L6">
    <cfRule type="expression" dxfId="5" priority="5">
      <formula>LARGE($C$4:$L$4,3)=C5</formula>
    </cfRule>
  </conditionalFormatting>
  <conditionalFormatting sqref="C6:L6">
    <cfRule type="colorScale" priority="6">
      <colorScale>
        <cfvo type="min"/>
        <cfvo type="percent" val="50"/>
        <cfvo type="max"/>
        <color rgb="FFF4CCCC"/>
        <color rgb="FFFFFFFF"/>
        <color rgb="FF34A853"/>
      </colorScale>
    </cfRule>
  </conditionalFormatting>
  <dataValidations>
    <dataValidation type="list" allowBlank="1" sqref="C10:L10">
      <formula1>'Apoio Geral'!$B$33:$B$37</formula1>
    </dataValidation>
    <dataValidation type="list" allowBlank="1" sqref="C12:L12">
      <formula1>'Apoio Geral'!$B$47:$B$52</formula1>
    </dataValidation>
    <dataValidation type="list" allowBlank="1" sqref="C11:L11">
      <formula1>'Apoio Geral'!$B$40:$B$44</formula1>
    </dataValidation>
    <dataValidation type="list" allowBlank="1" sqref="C15:L15">
      <formula1>"Acima de 70%,Entre 30% e 70%,Abaixo de 30%"</formula1>
    </dataValidation>
    <dataValidation type="list" allowBlank="1" sqref="C5:L5">
      <formula1>"Sim"</formula1>
    </dataValidation>
    <dataValidation type="decimal" allowBlank="1" showDropDown="1" showInputMessage="1" showErrorMessage="1" prompt="Insira um número" sqref="C13:L14">
      <formula1>0.0</formula1>
      <formula2>1.0E10</formula2>
    </dataValidation>
    <dataValidation type="list" allowBlank="1" sqref="C19:L19">
      <formula1>'Apoio Validação'!$D$96:$D$104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44CA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13"/>
    <col customWidth="1" min="2" max="2" width="35.75"/>
    <col customWidth="1" min="3" max="3" width="23.63"/>
    <col customWidth="1" min="4" max="12" width="22.63"/>
  </cols>
  <sheetData>
    <row r="1" ht="14.25" customHeight="1">
      <c r="A1" s="24"/>
      <c r="B1" s="2"/>
      <c r="C1" s="65" t="str">
        <f t="shared" ref="C1:L1" si="1">IFERROR(IF(C8="Sim",COUNTA($A$1:B1)-COUNTBLANK($A$1:B1)+3,""),"")
</f>
        <v/>
      </c>
      <c r="D1" s="65" t="str">
        <f t="shared" si="1"/>
        <v/>
      </c>
      <c r="E1" s="65" t="str">
        <f t="shared" si="1"/>
        <v/>
      </c>
      <c r="F1" s="65" t="str">
        <f t="shared" si="1"/>
        <v/>
      </c>
      <c r="G1" s="65" t="str">
        <f t="shared" si="1"/>
        <v/>
      </c>
      <c r="H1" s="65" t="str">
        <f t="shared" si="1"/>
        <v/>
      </c>
      <c r="I1" s="65" t="str">
        <f t="shared" si="1"/>
        <v/>
      </c>
      <c r="J1" s="65" t="str">
        <f t="shared" si="1"/>
        <v/>
      </c>
      <c r="K1" s="65" t="str">
        <f t="shared" si="1"/>
        <v/>
      </c>
      <c r="L1" s="65" t="str">
        <f t="shared" si="1"/>
        <v/>
      </c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</row>
    <row r="2" ht="43.5" customHeight="1">
      <c r="A2" s="67"/>
      <c r="B2" s="2"/>
      <c r="C2" s="68" t="s">
        <v>33</v>
      </c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</row>
    <row r="3" ht="37.5" customHeight="1">
      <c r="A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</row>
    <row r="4" ht="10.5" customHeight="1"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ht="24.0" customHeight="1">
      <c r="A5" s="37"/>
      <c r="B5" s="69"/>
      <c r="C5" s="70" t="s">
        <v>34</v>
      </c>
      <c r="D5" s="71" t="s">
        <v>35</v>
      </c>
      <c r="E5" s="72" t="s">
        <v>36</v>
      </c>
      <c r="F5" s="73"/>
      <c r="G5" s="74" t="str">
        <f>IF(COUNTIF(8:8,"Sim")&gt;3,"Erro: Selecione até 3 empresas","")</f>
        <v/>
      </c>
      <c r="I5" s="24"/>
      <c r="J5" s="24"/>
      <c r="K5" s="73"/>
      <c r="L5" s="73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</row>
    <row r="6" ht="12.0" customHeight="1">
      <c r="A6" s="75"/>
      <c r="B6" s="76"/>
      <c r="I6" s="77"/>
      <c r="J6" s="77"/>
      <c r="K6" s="77"/>
      <c r="L6" s="77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</row>
    <row r="7" ht="15.75" customHeight="1">
      <c r="B7" s="46" t="s">
        <v>19</v>
      </c>
      <c r="C7" s="46" t="str">
        <f t="array" ref="C7">IF(COUNTA(C10:C22)&lt;13,"Finalize o Preenchimento",
IFERROR(ROUND((C18/LARGE($C$18:$L$18,1)) +
VLOOKUP(C20,'Apoio Validação'!$D$48:$E$51,2,FALSE)+
INDEX('Apoio Validação'!$D$34:$F$38,MATCH(C14,'Apoio Validação'!$D$34:$D$38,0),3)+
INDEX('Apoio Validação'!$D$61:$F$65,MATCH(C19,'Apoio Validação'!$D$61:$D$65,0),3)+
(LARGE($C$21:$L$21,1)/C21)*0.1,2),"Finalize o Preenchimento"))</f>
        <v>Finalize o Preenchimento</v>
      </c>
      <c r="D7" s="46" t="str">
        <f t="array" ref="D7">IF(COUNTA(D10:D22)&lt;13,"Finalize o Preenchimento",
IFERROR(ROUND((D18/LARGE($C$18:$L$18,1)) +
VLOOKUP(D20,'Apoio Validação'!$D$48:$E$51,2,FALSE)+
INDEX('Apoio Validação'!$D$34:$F$38,MATCH(D14,'Apoio Validação'!$D$34:$D$38,0),3)+
INDEX('Apoio Validação'!$D$61:$F$65,MATCH(D19,'Apoio Validação'!$D$61:$D$65,0),3)+
(LARGE($C$21:$L$21,1)/D21)*0.1,2),"Finalize o Preenchimento"))</f>
        <v>Finalize o Preenchimento</v>
      </c>
      <c r="E7" s="46" t="str">
        <f t="array" ref="E7">IF(COUNTA(E10:E22)&lt;13,"Finalize o Preenchimento",
IFERROR(ROUND((E18/LARGE($C$18:$L$18,1)) +
VLOOKUP(E20,'Apoio Validação'!$D$48:$E$51,2,FALSE)+
INDEX('Apoio Validação'!$D$34:$F$38,MATCH(E14,'Apoio Validação'!$D$34:$D$38,0),3)+
INDEX('Apoio Validação'!$D$61:$F$65,MATCH(E19,'Apoio Validação'!$D$61:$D$65,0),3)+
(LARGE($C$21:$L$21,1)/E21)*0.1,2),"Finalize o Preenchimento"))</f>
        <v>Finalize o Preenchimento</v>
      </c>
      <c r="F7" s="46" t="str">
        <f t="array" ref="F7">IF(COUNTA(F10:F22)&lt;13,"Finalize o Preenchimento",
IFERROR(ROUND((F18/LARGE($C$18:$L$18,1)) +
VLOOKUP(F20,'Apoio Validação'!$D$48:$E$51,2,FALSE)+
INDEX('Apoio Validação'!$D$34:$F$38,MATCH(F14,'Apoio Validação'!$D$34:$D$38,0),3)+
INDEX('Apoio Validação'!$D$61:$F$65,MATCH(F19,'Apoio Validação'!$D$61:$D$65,0),3)+
(LARGE($C$21:$L$21,1)/F21)*0.1,2),"Finalize o Preenchimento"))</f>
        <v>Finalize o Preenchimento</v>
      </c>
      <c r="G7" s="46" t="str">
        <f t="array" ref="G7">IF(COUNTA(G10:G22)&lt;13,"Finalize o Preenchimento",
IFERROR(ROUND((G18/LARGE($C$18:$L$18,1)) +
VLOOKUP(G20,'Apoio Validação'!$D$48:$E$51,2,FALSE)+
INDEX('Apoio Validação'!$D$34:$F$38,MATCH(G14,'Apoio Validação'!$D$34:$D$38,0),3)+
INDEX('Apoio Validação'!$D$61:$F$65,MATCH(G19,'Apoio Validação'!$D$61:$D$65,0),3)+
(LARGE($C$21:$L$21,1)/G21)*0.1,2),"Finalize o Preenchimento"))</f>
        <v>Finalize o Preenchimento</v>
      </c>
      <c r="H7" s="46" t="str">
        <f t="array" ref="H7">IF(COUNTA(H10:H22)&lt;13,"Finalize o Preenchimento",
IFERROR(ROUND((H18/LARGE($C$18:$L$18,1)) +
VLOOKUP(H20,'Apoio Validação'!$D$48:$E$51,2,FALSE)+
INDEX('Apoio Validação'!$D$34:$F$38,MATCH(H14,'Apoio Validação'!$D$34:$D$38,0),3)+
INDEX('Apoio Validação'!$D$61:$F$65,MATCH(H19,'Apoio Validação'!$D$61:$D$65,0),3)+
(LARGE($C$21:$L$21,1)/H21)*0.1,2),"Finalize o Preenchimento"))</f>
        <v>Finalize o Preenchimento</v>
      </c>
      <c r="I7" s="46" t="str">
        <f t="array" ref="I7">IF(COUNTA(I10:I22)&lt;13,"Finalize o Preenchimento",
IFERROR(ROUND((I18/LARGE($C$18:$L$18,1)) +
VLOOKUP(I20,'Apoio Validação'!$D$48:$E$51,2,FALSE)+
INDEX('Apoio Validação'!$D$34:$F$38,MATCH(I14,'Apoio Validação'!$D$34:$D$38,0),3)+
INDEX('Apoio Validação'!$D$61:$F$65,MATCH(I19,'Apoio Validação'!$D$61:$D$65,0),3)+
(LARGE($C$21:$L$21,1)/I21)*0.1,2),"Finalize o Preenchimento"))</f>
        <v>Finalize o Preenchimento</v>
      </c>
      <c r="J7" s="46" t="str">
        <f t="array" ref="J7">IF(COUNTA(J10:J22)&lt;13,"Finalize o Preenchimento",
IFERROR(ROUND((J18/LARGE($C$18:$L$18,1)) +
VLOOKUP(J20,'Apoio Validação'!$D$48:$E$51,2,FALSE)+
INDEX('Apoio Validação'!$D$34:$F$38,MATCH(J14,'Apoio Validação'!$D$34:$D$38,0),3)+
INDEX('Apoio Validação'!$D$61:$F$65,MATCH(J19,'Apoio Validação'!$D$61:$D$65,0),3)+
(LARGE($C$21:$L$21,1)/J21)*0.1,2),"Finalize o Preenchimento"))</f>
        <v>Finalize o Preenchimento</v>
      </c>
      <c r="K7" s="46" t="str">
        <f t="array" ref="K7">IF(COUNTA(K10:K22)&lt;13,"Finalize o Preenchimento",
IFERROR(ROUND((K18/LARGE($C$18:$L$18,1)) +
VLOOKUP(K20,'Apoio Validação'!$D$48:$E$51,2,FALSE)+
INDEX('Apoio Validação'!$D$34:$F$38,MATCH(K14,'Apoio Validação'!$D$34:$D$38,0),3)+
INDEX('Apoio Validação'!$D$61:$F$65,MATCH(K19,'Apoio Validação'!$D$61:$D$65,0),3)+
(LARGE($C$21:$L$21,1)/K21)*0.1,2),"Finalize o Preenchimento"))</f>
        <v>Finalize o Preenchimento</v>
      </c>
      <c r="L7" s="46" t="str">
        <f t="array" ref="L7">IF(COUNTA(L10:L22)&lt;13,"Finalize o Preenchimento",
IFERROR(ROUND((L18/LARGE($C$18:$L$18,1)) +
VLOOKUP(L20,'Apoio Validação'!$D$48:$E$51,2,FALSE)+
INDEX('Apoio Validação'!$D$34:$F$38,MATCH(L14,'Apoio Validação'!$D$34:$D$38,0),3)+
INDEX('Apoio Validação'!$D$61:$F$65,MATCH(L19,'Apoio Validação'!$D$61:$D$65,0),3)+
(LARGE($C$21:$L$21,1)/L21)*0.1,2),"Finalize o Preenchimento"))</f>
        <v>Finalize o Preenchimento</v>
      </c>
      <c r="O7" s="37"/>
    </row>
    <row r="8" ht="15.75" customHeight="1">
      <c r="B8" s="78" t="s">
        <v>37</v>
      </c>
      <c r="C8" s="78"/>
      <c r="D8" s="78"/>
      <c r="E8" s="78"/>
      <c r="F8" s="78"/>
      <c r="G8" s="78"/>
      <c r="H8" s="78"/>
      <c r="I8" s="78"/>
      <c r="J8" s="78"/>
      <c r="K8" s="78"/>
      <c r="L8" s="78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</row>
    <row r="9" ht="15.75" customHeight="1">
      <c r="B9" s="78" t="s">
        <v>38</v>
      </c>
      <c r="C9" s="78" t="s">
        <v>39</v>
      </c>
      <c r="D9" s="78" t="s">
        <v>40</v>
      </c>
      <c r="E9" s="78" t="s">
        <v>41</v>
      </c>
      <c r="F9" s="78" t="s">
        <v>42</v>
      </c>
      <c r="G9" s="78" t="s">
        <v>43</v>
      </c>
      <c r="H9" s="78" t="s">
        <v>44</v>
      </c>
      <c r="I9" s="78" t="s">
        <v>45</v>
      </c>
      <c r="J9" s="78" t="s">
        <v>46</v>
      </c>
      <c r="K9" s="78" t="s">
        <v>47</v>
      </c>
      <c r="L9" s="78" t="s">
        <v>48</v>
      </c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</row>
    <row r="10" ht="60.0" customHeight="1">
      <c r="B10" s="78" t="s">
        <v>49</v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</row>
    <row r="11" ht="57.75" customHeight="1">
      <c r="B11" s="78" t="s">
        <v>50</v>
      </c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</row>
    <row r="12" ht="57.75" customHeight="1">
      <c r="B12" s="78" t="s">
        <v>51</v>
      </c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</row>
    <row r="13" ht="101.25" customHeight="1">
      <c r="A13" s="53"/>
      <c r="B13" s="80" t="s">
        <v>52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</row>
    <row r="14" ht="57.75" customHeight="1">
      <c r="B14" s="78" t="s">
        <v>53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</row>
    <row r="15" ht="33.75" customHeight="1">
      <c r="B15" s="78" t="s">
        <v>26</v>
      </c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</row>
    <row r="16" ht="21.0" customHeight="1">
      <c r="A16" s="24"/>
      <c r="B16" s="78" t="s">
        <v>27</v>
      </c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</row>
    <row r="17" ht="36.0" customHeight="1">
      <c r="A17" s="82"/>
      <c r="B17" s="83" t="s">
        <v>28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</row>
    <row r="18" ht="15.75" customHeight="1">
      <c r="A18" s="86"/>
      <c r="B18" s="87" t="s">
        <v>54</v>
      </c>
      <c r="C18" s="81" t="str">
        <f t="shared" ref="C18:L18" si="2">IF(COUNTA(C15:C17)&lt;3,"",C15*C16*C17)</f>
        <v/>
      </c>
      <c r="D18" s="81" t="str">
        <f t="shared" si="2"/>
        <v/>
      </c>
      <c r="E18" s="81" t="str">
        <f t="shared" si="2"/>
        <v/>
      </c>
      <c r="F18" s="81" t="str">
        <f t="shared" si="2"/>
        <v/>
      </c>
      <c r="G18" s="81" t="str">
        <f t="shared" si="2"/>
        <v/>
      </c>
      <c r="H18" s="81" t="str">
        <f t="shared" si="2"/>
        <v/>
      </c>
      <c r="I18" s="81" t="str">
        <f t="shared" si="2"/>
        <v/>
      </c>
      <c r="J18" s="81" t="str">
        <f t="shared" si="2"/>
        <v/>
      </c>
      <c r="K18" s="81" t="str">
        <f t="shared" si="2"/>
        <v/>
      </c>
      <c r="L18" s="81" t="str">
        <f t="shared" si="2"/>
        <v/>
      </c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</row>
    <row r="19" ht="15.75" customHeight="1">
      <c r="B19" s="78" t="s">
        <v>55</v>
      </c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</row>
    <row r="20" ht="23.25" customHeight="1">
      <c r="B20" s="78" t="s">
        <v>56</v>
      </c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</row>
    <row r="21" ht="15.75" customHeight="1">
      <c r="B21" s="78" t="s">
        <v>57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</row>
    <row r="22" ht="15.75" customHeight="1">
      <c r="B22" s="78" t="s">
        <v>58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</row>
    <row r="23" ht="22.5" customHeight="1">
      <c r="B23" s="24"/>
      <c r="C23" s="24"/>
    </row>
    <row r="24" ht="22.5" customHeight="1">
      <c r="B24" s="24"/>
    </row>
    <row r="25" ht="22.5" customHeight="1">
      <c r="B25" s="2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B3"/>
    <mergeCell ref="C2:L3"/>
    <mergeCell ref="G5:H5"/>
    <mergeCell ref="B6:H6"/>
    <mergeCell ref="C23:H23"/>
    <mergeCell ref="B24:G24"/>
  </mergeCells>
  <conditionalFormatting sqref="E5:F5 I6:J6 K5:L6">
    <cfRule type="expression" dxfId="6" priority="1">
      <formula>RANK(E5,$C$7:$L$7)&lt;4</formula>
    </cfRule>
  </conditionalFormatting>
  <conditionalFormatting sqref="C10:L17 C19:L22">
    <cfRule type="containsBlanks" dxfId="7" priority="2">
      <formula>LEN(TRIM(C10))=0</formula>
    </cfRule>
  </conditionalFormatting>
  <conditionalFormatting sqref="C10:L17 C19:L22">
    <cfRule type="notContainsBlanks" dxfId="8" priority="3">
      <formula>LEN(TRIM(C10))&gt;0</formula>
    </cfRule>
  </conditionalFormatting>
  <conditionalFormatting sqref="C7:L7">
    <cfRule type="colorScale" priority="4">
      <colorScale>
        <cfvo type="min"/>
        <cfvo type="percent" val="50"/>
        <cfvo type="max"/>
        <color rgb="FFE67C73"/>
        <color rgb="FFFFD666"/>
        <color rgb="FF34A853"/>
      </colorScale>
    </cfRule>
  </conditionalFormatting>
  <dataValidations>
    <dataValidation type="decimal" allowBlank="1" showDropDown="1" showInputMessage="1" showErrorMessage="1" prompt="Informe o ciclo de vendas em dias (Ex: 30)" sqref="C21:L21">
      <formula1>0.0</formula1>
      <formula2>100000.0</formula2>
    </dataValidation>
    <dataValidation type="list" allowBlank="1" sqref="C11:L11">
      <formula1>'Apoio Geral'!$B$86:$B$93</formula1>
    </dataValidation>
    <dataValidation type="list" allowBlank="1" showInputMessage="1" showErrorMessage="1" prompt="Atenção: as notas não devem se repetir em cada critério. Caso queira utilizar esta nota, remova primeiramente a sua duplicata" sqref="C14:L14">
      <formula1>'Apoio Validação'!$D$34:$D$38</formula1>
    </dataValidation>
    <dataValidation type="list" allowBlank="1" sqref="C19:L19">
      <formula1>'Apoio Validação'!$D$61:$D$65</formula1>
    </dataValidation>
    <dataValidation type="list" allowBlank="1" showInputMessage="1" showErrorMessage="1" prompt="Informe o ciclo de vendas em dias (Ex: 30)" sqref="C20:L20">
      <formula1>'Apoio Validação'!$D$48:$D$51</formula1>
    </dataValidation>
    <dataValidation type="list" allowBlank="1" sqref="C8:L8">
      <formula1>"Sim"</formula1>
    </dataValidation>
    <dataValidation type="decimal" allowBlank="1" showDropDown="1" showInputMessage="1" showErrorMessage="1" prompt="Insira um número" sqref="C15:L17">
      <formula1>0.0</formula1>
      <formula2>1.0E10</formula2>
    </dataValidation>
    <dataValidation type="list" allowBlank="1" sqref="C12:L12">
      <formula1>'Apoio Geral'!$O$3:$O$500</formula1>
    </dataValidation>
  </dataValidations>
  <hyperlinks>
    <hyperlink r:id="rId2" ref="B13"/>
  </hyperlinks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44CA"/>
    <outlinePr summaryRight="0"/>
  </sheetPr>
  <sheetViews>
    <sheetView showGridLines="0" workbookViewId="0"/>
  </sheetViews>
  <sheetFormatPr customHeight="1" defaultColWidth="12.63" defaultRowHeight="15.0" outlineLevelCol="1" outlineLevelRow="1"/>
  <cols>
    <col customWidth="1" min="1" max="2" width="5.25"/>
    <col customWidth="1" min="3" max="3" width="49.5"/>
    <col customWidth="1" min="4" max="6" width="26.88"/>
    <col customWidth="1" hidden="1" min="7" max="8" width="26.88" outlineLevel="1"/>
  </cols>
  <sheetData>
    <row r="1" ht="12.0" customHeight="1"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ht="12.0" customHeight="1">
      <c r="B2" s="37"/>
      <c r="C2" s="2"/>
      <c r="D2" s="68" t="s">
        <v>59</v>
      </c>
      <c r="I2" s="24"/>
      <c r="J2" s="24"/>
      <c r="K2" s="24"/>
      <c r="L2" s="24"/>
      <c r="M2" s="24"/>
      <c r="N2" s="24"/>
      <c r="O2" s="24"/>
    </row>
    <row r="3" ht="12.0" customHeight="1">
      <c r="B3" s="37"/>
      <c r="I3" s="24"/>
      <c r="J3" s="24"/>
      <c r="K3" s="24"/>
      <c r="L3" s="24"/>
      <c r="M3" s="24"/>
      <c r="N3" s="24"/>
      <c r="O3" s="24"/>
    </row>
    <row r="4" ht="31.5" customHeight="1">
      <c r="B4" s="37"/>
      <c r="I4" s="90"/>
      <c r="J4" s="73"/>
      <c r="K4" s="73"/>
      <c r="L4" s="73"/>
      <c r="M4" s="73"/>
      <c r="N4" s="37"/>
      <c r="O4" s="37"/>
    </row>
    <row r="5" ht="16.5" customHeight="1">
      <c r="B5" s="37"/>
      <c r="C5" s="2"/>
      <c r="D5" s="91"/>
      <c r="G5" s="2"/>
      <c r="H5" s="2"/>
      <c r="I5" s="2"/>
      <c r="J5" s="73"/>
      <c r="K5" s="73"/>
      <c r="L5" s="73"/>
      <c r="M5" s="73"/>
      <c r="N5" s="37"/>
      <c r="O5" s="37"/>
    </row>
    <row r="6" ht="15.75" customHeight="1">
      <c r="C6" s="92" t="s">
        <v>60</v>
      </c>
      <c r="D6" s="93" t="str">
        <f>IF(COUNTIF(D8:H8,"Sim")&gt;1,"Erro: Selecione apenas 1 nicho","")</f>
        <v/>
      </c>
      <c r="G6" s="24"/>
      <c r="H6" s="24"/>
    </row>
    <row r="7" ht="15.75" customHeight="1">
      <c r="C7" s="46" t="s">
        <v>19</v>
      </c>
      <c r="D7" s="46" t="str">
        <f>IF(COUNTA(D10:D26)&lt;17,"Finalize o preenchimento",IFERROR(
VLOOKUP(D15,'Apoio Validação'!$D:$F,3,FALSE)+
VLOOKUP(D16,'Apoio Validação'!$D:$F,3,FALSE)+
VLOOKUP(D17,'Apoio Validação'!$D:$F,3,FALSE)+
VLOOKUP(D18,'Apoio Validação'!$D:$F,3,FALSE)+
VLOOKUP(D19,'Apoio Validação'!$D:$F,3,FALSE)+
IF(D20=0,0,(D20/LARGE($D$20:$F$20,1)))+
VLOOKUP(D22,'Apoio Validação'!$D:$F,3,FALSE)+
VLOOKUP(D24,'Apoio Validação'!$D:$F,3,FALSE)+
VLOOKUP(D25,'Apoio Validação'!$D:$F,3,FALSE)+
VLOOKUP(D26,'Apoio Validação'!$D:$F,3,FALSE)
,"Finalize o preenchimento"))</f>
        <v>Finalize o preenchimento</v>
      </c>
      <c r="E7" s="46" t="str">
        <f>IF(COUNTA(E10:E26)&lt;17,"Finalize o preenchimento",IFERROR(
VLOOKUP(E15,'Apoio Validação'!$D:$F,3,FALSE)+
VLOOKUP(E16,'Apoio Validação'!$D:$F,3,FALSE)+
VLOOKUP(E17,'Apoio Validação'!$D:$F,3,FALSE)+
VLOOKUP(E18,'Apoio Validação'!$D:$F,3,FALSE)+
VLOOKUP(E19,'Apoio Validação'!$D:$F,3,FALSE)+
IF(E20=0,0,(E20/LARGE($D$20:$F$20,1)))+
VLOOKUP(E22,'Apoio Validação'!$D:$F,3,FALSE)+
VLOOKUP(E24,'Apoio Validação'!$D:$F,3,FALSE)+
VLOOKUP(E25,'Apoio Validação'!$D:$F,3,FALSE)+
VLOOKUP(E26,'Apoio Validação'!$D:$F,3,FALSE)
,"Finalize o preenchimento"))</f>
        <v>Finalize o preenchimento</v>
      </c>
      <c r="F7" s="46" t="str">
        <f>IF(COUNTA(F10:F26)&lt;17,"Finalize o preenchimento",IFERROR(
VLOOKUP(F15,'Apoio Validação'!$D:$F,3,FALSE)+
VLOOKUP(F16,'Apoio Validação'!$D:$F,3,FALSE)+
VLOOKUP(F17,'Apoio Validação'!$D:$F,3,FALSE)+
VLOOKUP(F18,'Apoio Validação'!$D:$F,3,FALSE)+
VLOOKUP(F19,'Apoio Validação'!$D:$F,3,FALSE)+
IF(F20=0,0,(F20/LARGE($D$20:$F$20,1)))+
VLOOKUP(F22,'Apoio Validação'!$D:$F,3,FALSE)+
VLOOKUP(F24,'Apoio Validação'!$D:$F,3,FALSE)+
VLOOKUP(F25,'Apoio Validação'!$D:$F,3,FALSE)+
VLOOKUP(F26,'Apoio Validação'!$D:$F,3,FALSE)
,"Finalize o preenchimento"))</f>
        <v>Finalize o preenchimento</v>
      </c>
      <c r="G7" s="46" t="str">
        <f>IF(COUNTA(G10:G26)&lt;17,"Finalize o preenchimento",IFERROR(
VLOOKUP(G15,'Apoio Validação'!$D:$F,3,FALSE)+
VLOOKUP(G16,'Apoio Validação'!$D:$F,3,FALSE)+
VLOOKUP(G17,'Apoio Validação'!$D:$F,3,FALSE)+
VLOOKUP(G18,'Apoio Validação'!$D:$F,3,FALSE)+
VLOOKUP(G19,'Apoio Validação'!$D:$F,3,FALSE)+
(G20/LARGE($D$20:$F$20,1))+
VLOOKUP(G22,'Apoio Validação'!$D:$F,3,FALSE)+
VLOOKUP(G24,'Apoio Validação'!$D:$F,3,FALSE)+
VLOOKUP(G25,'Apoio Validação'!$D:$F,3,FALSE)+
VLOOKUP(G26,'Apoio Validação'!$D:$F,3,FALSE)
,"Finalize o preenchimento"))</f>
        <v>Finalize o preenchimento</v>
      </c>
      <c r="H7" s="46" t="str">
        <f>IF(COUNTA(H10:H26)&lt;17,"Finalize o preenchimento",IFERROR(
VLOOKUP(H15,'Apoio Validação'!$D:$F,3,FALSE)+
VLOOKUP(H16,'Apoio Validação'!$D:$F,3,FALSE)+
VLOOKUP(H17,'Apoio Validação'!$D:$F,3,FALSE)+
VLOOKUP(H18,'Apoio Validação'!$D:$F,3,FALSE)+
VLOOKUP(H19,'Apoio Validação'!$D:$F,3,FALSE)+
(H20/LARGE($D$20:$F$20,1))+
VLOOKUP(H22,'Apoio Validação'!$D:$F,3,FALSE)+
VLOOKUP(H24,'Apoio Validação'!$D:$F,3,FALSE)+
VLOOKUP(H25,'Apoio Validação'!$D:$F,3,FALSE)+
VLOOKUP(H26,'Apoio Validação'!$D:$F,3,FALSE)
,"Finalize o preenchimento"))</f>
        <v>Finalize o preenchimento</v>
      </c>
    </row>
    <row r="8" ht="15.75" customHeight="1">
      <c r="C8" s="78" t="s">
        <v>61</v>
      </c>
      <c r="D8" s="78"/>
      <c r="E8" s="78" t="s">
        <v>62</v>
      </c>
      <c r="F8" s="78"/>
      <c r="G8" s="78"/>
      <c r="H8" s="78"/>
    </row>
    <row r="9" ht="15.75" customHeight="1">
      <c r="B9" s="49"/>
      <c r="C9" s="78" t="s">
        <v>63</v>
      </c>
      <c r="D9" s="78" t="s">
        <v>64</v>
      </c>
      <c r="E9" s="78" t="s">
        <v>65</v>
      </c>
      <c r="F9" s="78" t="s">
        <v>66</v>
      </c>
      <c r="G9" s="78" t="s">
        <v>67</v>
      </c>
      <c r="H9" s="78" t="s">
        <v>68</v>
      </c>
      <c r="J9" s="49"/>
      <c r="K9" s="49"/>
      <c r="L9" s="49"/>
      <c r="M9" s="49"/>
      <c r="N9" s="49"/>
      <c r="O9" s="49"/>
    </row>
    <row r="10" ht="70.5" hidden="1" customHeight="1" outlineLevel="1">
      <c r="A10" s="24"/>
      <c r="B10" s="94" t="s">
        <v>69</v>
      </c>
      <c r="C10" s="95" t="s">
        <v>70</v>
      </c>
      <c r="D10" s="79"/>
      <c r="E10" s="79"/>
      <c r="F10" s="79"/>
      <c r="G10" s="79"/>
      <c r="H10" s="79"/>
      <c r="J10" s="53"/>
      <c r="K10" s="53"/>
      <c r="L10" s="53"/>
      <c r="M10" s="53"/>
      <c r="N10" s="53"/>
      <c r="O10" s="53"/>
    </row>
    <row r="11" ht="75.0" hidden="1" customHeight="1" outlineLevel="1">
      <c r="A11" s="24"/>
      <c r="B11" s="96"/>
      <c r="C11" s="95" t="s">
        <v>71</v>
      </c>
      <c r="D11" s="79"/>
      <c r="E11" s="79"/>
      <c r="F11" s="79"/>
      <c r="G11" s="79"/>
      <c r="H11" s="79"/>
      <c r="J11" s="53"/>
      <c r="K11" s="53"/>
      <c r="L11" s="53"/>
      <c r="M11" s="53"/>
      <c r="N11" s="53"/>
      <c r="O11" s="53"/>
    </row>
    <row r="12" ht="84.0" customHeight="1" collapsed="1">
      <c r="A12" s="24"/>
      <c r="B12" s="94" t="s">
        <v>72</v>
      </c>
      <c r="C12" s="95" t="s">
        <v>73</v>
      </c>
      <c r="D12" s="79" t="s">
        <v>74</v>
      </c>
      <c r="E12" s="79" t="s">
        <v>74</v>
      </c>
      <c r="F12" s="79" t="s">
        <v>74</v>
      </c>
      <c r="G12" s="79" t="s">
        <v>74</v>
      </c>
      <c r="H12" s="79" t="s">
        <v>74</v>
      </c>
      <c r="J12" s="53"/>
      <c r="K12" s="53"/>
      <c r="L12" s="53"/>
      <c r="M12" s="53"/>
      <c r="N12" s="53"/>
      <c r="O12" s="53"/>
    </row>
    <row r="13" ht="18.0" customHeight="1">
      <c r="A13" s="24"/>
      <c r="B13" s="97"/>
      <c r="C13" s="95" t="s">
        <v>75</v>
      </c>
      <c r="D13" s="79"/>
      <c r="E13" s="79"/>
      <c r="F13" s="79"/>
      <c r="G13" s="79"/>
      <c r="H13" s="79"/>
      <c r="J13" s="53"/>
      <c r="K13" s="53"/>
      <c r="L13" s="53"/>
      <c r="M13" s="53"/>
      <c r="N13" s="53"/>
      <c r="O13" s="53"/>
    </row>
    <row r="14" ht="105.75" customHeight="1">
      <c r="A14" s="24"/>
      <c r="B14" s="96"/>
      <c r="C14" s="95" t="s">
        <v>76</v>
      </c>
      <c r="D14" s="79"/>
      <c r="E14" s="79"/>
      <c r="F14" s="79"/>
      <c r="G14" s="79"/>
      <c r="H14" s="79"/>
      <c r="J14" s="53"/>
      <c r="K14" s="53"/>
      <c r="L14" s="53"/>
      <c r="M14" s="53"/>
      <c r="N14" s="53"/>
      <c r="O14" s="53"/>
    </row>
    <row r="15" ht="15.75" customHeight="1">
      <c r="A15" s="24"/>
      <c r="B15" s="94" t="s">
        <v>77</v>
      </c>
      <c r="C15" s="95" t="s">
        <v>78</v>
      </c>
      <c r="D15" s="79"/>
      <c r="E15" s="79"/>
      <c r="F15" s="79"/>
      <c r="G15" s="79"/>
      <c r="H15" s="79"/>
    </row>
    <row r="16" ht="15.75" customHeight="1">
      <c r="A16" s="24"/>
      <c r="B16" s="97"/>
      <c r="C16" s="95" t="s">
        <v>79</v>
      </c>
      <c r="D16" s="79"/>
      <c r="E16" s="79"/>
      <c r="F16" s="79"/>
      <c r="G16" s="79"/>
      <c r="H16" s="79"/>
    </row>
    <row r="17" ht="57.75" customHeight="1">
      <c r="A17" s="24"/>
      <c r="B17" s="97"/>
      <c r="C17" s="95" t="s">
        <v>80</v>
      </c>
      <c r="D17" s="79"/>
      <c r="E17" s="79"/>
      <c r="F17" s="79"/>
      <c r="G17" s="79"/>
      <c r="H17" s="79"/>
    </row>
    <row r="18" ht="57.75" customHeight="1">
      <c r="A18" s="24"/>
      <c r="B18" s="96"/>
      <c r="C18" s="95" t="s">
        <v>81</v>
      </c>
      <c r="D18" s="79"/>
      <c r="E18" s="79"/>
      <c r="F18" s="79"/>
      <c r="G18" s="79"/>
      <c r="H18" s="79"/>
    </row>
    <row r="19" ht="85.5" customHeight="1">
      <c r="A19" s="24"/>
      <c r="B19" s="98" t="s">
        <v>82</v>
      </c>
      <c r="C19" s="95" t="s">
        <v>83</v>
      </c>
      <c r="D19" s="79"/>
      <c r="E19" s="79"/>
      <c r="F19" s="79"/>
      <c r="G19" s="79"/>
      <c r="H19" s="79"/>
    </row>
    <row r="20" ht="57.75" customHeight="1">
      <c r="A20" s="24"/>
      <c r="B20" s="94" t="s">
        <v>84</v>
      </c>
      <c r="C20" s="95" t="s">
        <v>85</v>
      </c>
      <c r="D20" s="79"/>
      <c r="E20" s="79"/>
      <c r="F20" s="79"/>
      <c r="G20" s="79"/>
      <c r="H20" s="79"/>
    </row>
    <row r="21" ht="57.75" customHeight="1">
      <c r="A21" s="24"/>
      <c r="B21" s="97"/>
      <c r="C21" s="95" t="s">
        <v>86</v>
      </c>
      <c r="D21" s="79"/>
      <c r="E21" s="79"/>
      <c r="F21" s="79"/>
      <c r="G21" s="79"/>
      <c r="H21" s="79"/>
    </row>
    <row r="22" ht="57.75" customHeight="1">
      <c r="A22" s="24"/>
      <c r="B22" s="96"/>
      <c r="C22" s="95" t="s">
        <v>87</v>
      </c>
      <c r="D22" s="79"/>
      <c r="E22" s="79"/>
      <c r="F22" s="79"/>
      <c r="G22" s="79"/>
      <c r="H22" s="79"/>
    </row>
    <row r="23" ht="57.75" customHeight="1">
      <c r="A23" s="24"/>
      <c r="B23" s="94" t="s">
        <v>88</v>
      </c>
      <c r="C23" s="95" t="s">
        <v>89</v>
      </c>
      <c r="D23" s="79"/>
      <c r="E23" s="79"/>
      <c r="F23" s="79"/>
      <c r="G23" s="79"/>
      <c r="H23" s="79"/>
    </row>
    <row r="24" ht="57.75" customHeight="1">
      <c r="A24" s="24"/>
      <c r="B24" s="96"/>
      <c r="C24" s="95" t="s">
        <v>90</v>
      </c>
      <c r="D24" s="79"/>
      <c r="E24" s="79"/>
      <c r="F24" s="79"/>
      <c r="G24" s="79"/>
      <c r="H24" s="79"/>
    </row>
    <row r="25" ht="57.75" customHeight="1">
      <c r="A25" s="24"/>
      <c r="B25" s="94" t="s">
        <v>91</v>
      </c>
      <c r="C25" s="95" t="s">
        <v>92</v>
      </c>
      <c r="D25" s="79"/>
      <c r="E25" s="79"/>
      <c r="F25" s="79"/>
      <c r="G25" s="79"/>
      <c r="H25" s="79"/>
    </row>
    <row r="26" ht="57.75" customHeight="1">
      <c r="A26" s="24"/>
      <c r="B26" s="96"/>
      <c r="C26" s="95" t="s">
        <v>93</v>
      </c>
      <c r="D26" s="79"/>
      <c r="E26" s="79"/>
      <c r="F26" s="79"/>
      <c r="G26" s="79"/>
      <c r="H26" s="79"/>
    </row>
    <row r="27" ht="41.25" customHeight="1">
      <c r="D27" s="67"/>
      <c r="E27" s="67"/>
      <c r="F27" s="67"/>
      <c r="G27" s="67"/>
      <c r="H27" s="67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20:B22"/>
    <mergeCell ref="B23:B24"/>
    <mergeCell ref="B25:B26"/>
    <mergeCell ref="C2:C4"/>
    <mergeCell ref="D2:H4"/>
    <mergeCell ref="D5:F5"/>
    <mergeCell ref="D6:F6"/>
    <mergeCell ref="B10:B11"/>
    <mergeCell ref="B12:B14"/>
    <mergeCell ref="B15:B18"/>
  </mergeCells>
  <conditionalFormatting sqref="D10:H26">
    <cfRule type="containsBlanks" dxfId="7" priority="1">
      <formula>LEN(TRIM(D10))=0</formula>
    </cfRule>
  </conditionalFormatting>
  <conditionalFormatting sqref="D10:H26">
    <cfRule type="notContainsBlanks" dxfId="8" priority="2">
      <formula>LEN(TRIM(D10))&gt;0</formula>
    </cfRule>
  </conditionalFormatting>
  <conditionalFormatting sqref="J4:M5">
    <cfRule type="expression" dxfId="6" priority="3">
      <formula>RANK(J4,$D$7:$M$7)&lt;4</formula>
    </cfRule>
  </conditionalFormatting>
  <conditionalFormatting sqref="D10:H26">
    <cfRule type="expression" dxfId="4" priority="4">
      <formula>#REF!="Não"</formula>
    </cfRule>
  </conditionalFormatting>
  <conditionalFormatting sqref="D12 E10:E26 F11:H12">
    <cfRule type="expression" dxfId="4" priority="5">
      <formula>#REF!="Não"</formula>
    </cfRule>
  </conditionalFormatting>
  <conditionalFormatting sqref="D12:E12 F10:F26">
    <cfRule type="expression" dxfId="4" priority="6">
      <formula>#REF!="Não"</formula>
    </cfRule>
  </conditionalFormatting>
  <conditionalFormatting sqref="D12:F12 G10:G26 H12">
    <cfRule type="expression" dxfId="4" priority="7">
      <formula>#REF!="Não"</formula>
    </cfRule>
  </conditionalFormatting>
  <conditionalFormatting sqref="H10:H26">
    <cfRule type="expression" dxfId="4" priority="8">
      <formula>#REF!="Não"</formula>
    </cfRule>
  </conditionalFormatting>
  <dataValidations>
    <dataValidation type="list" allowBlank="1" sqref="D24:H24">
      <formula1>'Apoio Validação'!$D$138:$D$141</formula1>
    </dataValidation>
    <dataValidation type="list" allowBlank="1" sqref="D17:H17">
      <formula1>'Apoio Validação'!$D$118:$D$120</formula1>
    </dataValidation>
    <dataValidation type="list" allowBlank="1" sqref="D26:H26">
      <formula1>'Apoio Validação'!$D$153:$D$158</formula1>
    </dataValidation>
    <dataValidation type="list" allowBlank="1" sqref="D11:H11">
      <formula1>'Apoio Geral'!$O$3:$O$500</formula1>
    </dataValidation>
    <dataValidation type="list" allowBlank="1" sqref="D22:H22">
      <formula1>'Apoio Validação'!$D$82:$D$85</formula1>
    </dataValidation>
    <dataValidation type="list" allowBlank="1" sqref="D15:H15">
      <formula1>'Apoio Validação'!$D$88:$D$93</formula1>
    </dataValidation>
    <dataValidation type="list" allowBlank="1" sqref="D16:H16">
      <formula1>'Apoio Validação'!$D$112:$D$115</formula1>
    </dataValidation>
    <dataValidation type="list" allowBlank="1" sqref="D13:H13">
      <formula1>"IPP 01,IPP 02,IPP 03,IPP 04"</formula1>
    </dataValidation>
    <dataValidation type="list" allowBlank="1" sqref="D19:H19">
      <formula1>'Apoio Validação'!$D$75:$D$79</formula1>
    </dataValidation>
    <dataValidation type="list" allowBlank="1" sqref="D18:H18">
      <formula1>'Apoio Validação'!$D$123:$D$125</formula1>
    </dataValidation>
    <dataValidation type="list" allowBlank="1" sqref="D10:H10">
      <formula1>'Apoio Geral'!$B$86:$B$93</formula1>
    </dataValidation>
    <dataValidation type="list" allowBlank="1" sqref="D8:H8">
      <formula1>"Sim"</formula1>
    </dataValidation>
    <dataValidation type="decimal" allowBlank="1" showDropDown="1" showInputMessage="1" showErrorMessage="1" prompt="Insira um número entre 0 e 1000" sqref="D20:H20">
      <formula1>0.0</formula1>
      <formula2>1000.0</formula2>
    </dataValidation>
    <dataValidation type="list" allowBlank="1" sqref="D25:H25">
      <formula1>'Apoio Validação'!$D$145:$D$150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44CA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13"/>
    <col customWidth="1" min="2" max="5" width="23.63"/>
    <col customWidth="1" min="6" max="6" width="22.38"/>
  </cols>
  <sheetData>
    <row r="1" ht="12.0" customHeight="1">
      <c r="D1" s="89"/>
      <c r="E1" s="89"/>
      <c r="F1" s="89"/>
      <c r="G1" s="89"/>
    </row>
    <row r="2" ht="12.0" customHeight="1">
      <c r="B2" s="2"/>
      <c r="C2" s="42" t="s">
        <v>94</v>
      </c>
      <c r="G2" s="24"/>
    </row>
    <row r="3" ht="20.25" customHeight="1">
      <c r="G3" s="24"/>
    </row>
    <row r="4" ht="31.5" customHeight="1">
      <c r="G4" s="73"/>
    </row>
    <row r="5" ht="16.5" customHeight="1">
      <c r="B5" s="37"/>
      <c r="C5" s="37"/>
      <c r="D5" s="2"/>
      <c r="E5" s="2"/>
      <c r="F5" s="2"/>
      <c r="G5" s="73"/>
    </row>
    <row r="6" ht="11.25" customHeight="1">
      <c r="A6" s="37"/>
      <c r="B6" s="99"/>
      <c r="C6" s="99"/>
      <c r="D6" s="37"/>
      <c r="E6" s="37"/>
      <c r="F6" s="37"/>
      <c r="G6" s="37"/>
    </row>
    <row r="7" ht="15.75" customHeight="1">
      <c r="B7" s="100" t="s">
        <v>95</v>
      </c>
      <c r="C7" s="55"/>
      <c r="D7" s="55"/>
      <c r="E7" s="55"/>
      <c r="F7" s="55"/>
    </row>
    <row r="8" ht="15.75" customHeight="1">
      <c r="B8" s="101" t="s">
        <v>96</v>
      </c>
      <c r="C8" s="102" t="s">
        <v>97</v>
      </c>
      <c r="D8" s="56"/>
      <c r="E8" s="101" t="s">
        <v>98</v>
      </c>
      <c r="F8" s="101" t="s">
        <v>99</v>
      </c>
    </row>
    <row r="9" ht="87.75" customHeight="1">
      <c r="B9" s="79" t="s">
        <v>74</v>
      </c>
      <c r="C9" s="103" t="s">
        <v>74</v>
      </c>
      <c r="D9" s="104"/>
      <c r="E9" s="79" t="s">
        <v>74</v>
      </c>
      <c r="F9" s="79" t="s">
        <v>74</v>
      </c>
      <c r="G9" s="53"/>
    </row>
    <row r="10" ht="61.5" customHeight="1">
      <c r="B10" s="101" t="s">
        <v>100</v>
      </c>
      <c r="C10" s="102" t="s">
        <v>100</v>
      </c>
      <c r="D10" s="56"/>
      <c r="E10" s="101" t="s">
        <v>100</v>
      </c>
      <c r="F10" s="101" t="s">
        <v>100</v>
      </c>
      <c r="G10" s="53"/>
    </row>
    <row r="11" ht="83.25" customHeight="1">
      <c r="B11" s="105" t="s">
        <v>74</v>
      </c>
      <c r="C11" s="106" t="s">
        <v>74</v>
      </c>
      <c r="D11" s="56"/>
      <c r="E11" s="105" t="s">
        <v>74</v>
      </c>
      <c r="F11" s="105" t="s">
        <v>74</v>
      </c>
      <c r="G11" s="53"/>
    </row>
    <row r="12" ht="24.0" customHeight="1"/>
    <row r="13" ht="15.75" customHeight="1">
      <c r="A13" s="22"/>
      <c r="D13" s="22"/>
      <c r="E13" s="22"/>
      <c r="F13" s="107"/>
      <c r="G13" s="22"/>
    </row>
    <row r="14" ht="15.75" customHeight="1">
      <c r="A14" s="22"/>
      <c r="D14" s="24"/>
      <c r="E14" s="24"/>
      <c r="F14" s="22"/>
      <c r="G14" s="22"/>
    </row>
    <row r="15" ht="15.75" customHeight="1">
      <c r="A15" s="22"/>
      <c r="D15" s="24"/>
      <c r="E15" s="24"/>
      <c r="F15" s="22"/>
      <c r="G15" s="24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B4"/>
    <mergeCell ref="C2:F4"/>
    <mergeCell ref="B7:F7"/>
    <mergeCell ref="C8:D8"/>
    <mergeCell ref="C9:D9"/>
    <mergeCell ref="C10:D10"/>
    <mergeCell ref="C11:D11"/>
  </mergeCells>
  <conditionalFormatting sqref="B9:F9">
    <cfRule type="containsBlanks" dxfId="7" priority="1">
      <formula>LEN(TRIM(B9))=0</formula>
    </cfRule>
  </conditionalFormatting>
  <conditionalFormatting sqref="B9:F9">
    <cfRule type="notContainsBlanks" dxfId="8" priority="2">
      <formula>LEN(TRIM(B9))&gt;0</formula>
    </cfRule>
  </conditionalFormatting>
  <conditionalFormatting sqref="B9:F9">
    <cfRule type="expression" dxfId="4" priority="3">
      <formula>#REF!="Não"</formula>
    </cfRule>
  </conditionalFormatting>
  <conditionalFormatting sqref="B9:F9">
    <cfRule type="expression" dxfId="4" priority="4">
      <formula>#REF!="Não"</formula>
    </cfRule>
  </conditionalFormatting>
  <conditionalFormatting sqref="B9:F9">
    <cfRule type="expression" dxfId="4" priority="5">
      <formula>#REF!="Não"</formula>
    </cfRule>
  </conditionalFormatting>
  <conditionalFormatting sqref="G4:G5">
    <cfRule type="expression" dxfId="6" priority="6">
      <formula>RANK(G4,$D$6:$G$6)&lt;4</formula>
    </cfRule>
  </conditionalFormatting>
  <conditionalFormatting sqref="B7:F11 D13:D15 F14:F15">
    <cfRule type="expression" dxfId="5" priority="7">
      <formula>LARGE($C$8,1)=B7</formula>
    </cfRule>
  </conditionalFormatting>
  <conditionalFormatting sqref="B7:F11 D13:D15 F14:F15">
    <cfRule type="expression" dxfId="5" priority="8">
      <formula>LARGE($C$8,2)=B7</formula>
    </cfRule>
  </conditionalFormatting>
  <conditionalFormatting sqref="B7:F11 D13:D15 F14:F15">
    <cfRule type="expression" dxfId="5" priority="9">
      <formula>LARGE($C$8,3)=B7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44CA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6.25"/>
    <col customWidth="1" min="2" max="15" width="10.13"/>
  </cols>
  <sheetData>
    <row r="1" ht="1.5" customHeight="1">
      <c r="D1" s="45"/>
      <c r="O1" s="108"/>
      <c r="P1" s="108"/>
      <c r="Q1" s="108"/>
      <c r="R1" s="108"/>
      <c r="S1" s="108"/>
      <c r="T1" s="108"/>
      <c r="U1" s="108"/>
    </row>
    <row r="2" ht="26.25" customHeight="1">
      <c r="B2" s="2"/>
      <c r="F2" s="109" t="s">
        <v>101</v>
      </c>
      <c r="N2" s="109"/>
      <c r="O2" s="109"/>
      <c r="P2" s="110"/>
      <c r="Q2" s="108"/>
      <c r="R2" s="108"/>
      <c r="S2" s="108"/>
      <c r="T2" s="108"/>
      <c r="U2" s="108"/>
    </row>
    <row r="3" ht="32.25" customHeight="1">
      <c r="N3" s="109"/>
      <c r="O3" s="109"/>
      <c r="P3" s="111"/>
      <c r="Q3" s="108"/>
      <c r="R3" s="108"/>
      <c r="S3" s="108"/>
      <c r="T3" s="108"/>
      <c r="U3" s="108"/>
    </row>
    <row r="4" ht="35.25" customHeight="1">
      <c r="E4" s="112" t="s">
        <v>102</v>
      </c>
      <c r="O4" s="112"/>
      <c r="P4" s="111"/>
      <c r="Q4" s="108"/>
      <c r="R4" s="108"/>
      <c r="S4" s="108"/>
      <c r="T4" s="108"/>
      <c r="U4" s="108"/>
    </row>
    <row r="5" ht="15.75" customHeight="1">
      <c r="B5" s="113"/>
      <c r="C5" s="113"/>
      <c r="D5" s="114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1"/>
      <c r="Q5" s="108"/>
      <c r="R5" s="108"/>
      <c r="S5" s="108"/>
      <c r="T5" s="108"/>
      <c r="U5" s="108"/>
    </row>
    <row r="6" ht="15.75" customHeight="1">
      <c r="B6" s="113" t="s">
        <v>103</v>
      </c>
      <c r="P6" s="111"/>
      <c r="Q6" s="108"/>
      <c r="R6" s="108"/>
      <c r="S6" s="108"/>
      <c r="T6" s="108"/>
      <c r="U6" s="108"/>
    </row>
    <row r="7" ht="15.75" customHeight="1">
      <c r="B7" s="115"/>
      <c r="P7" s="111"/>
      <c r="Q7" s="108"/>
      <c r="R7" s="108"/>
      <c r="S7" s="108"/>
      <c r="T7" s="108"/>
      <c r="U7" s="108"/>
    </row>
    <row r="8" ht="15.75" customHeight="1">
      <c r="B8" s="113"/>
      <c r="C8" s="113"/>
      <c r="D8" s="114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1"/>
      <c r="Q8" s="108"/>
      <c r="R8" s="108"/>
      <c r="S8" s="108"/>
      <c r="T8" s="108"/>
      <c r="U8" s="108"/>
    </row>
    <row r="9" ht="15.75" customHeight="1">
      <c r="B9" s="116" t="s">
        <v>104</v>
      </c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8"/>
      <c r="P9" s="111"/>
      <c r="Q9" s="108"/>
      <c r="R9" s="108"/>
      <c r="S9" s="108"/>
      <c r="T9" s="108"/>
      <c r="U9" s="108"/>
    </row>
    <row r="10" ht="15.75" customHeight="1">
      <c r="B10" s="119" t="s">
        <v>105</v>
      </c>
      <c r="D10" s="45"/>
      <c r="O10" s="120"/>
      <c r="P10" s="111"/>
      <c r="Q10" s="108"/>
      <c r="R10" s="108"/>
      <c r="S10" s="108"/>
      <c r="T10" s="108"/>
      <c r="U10" s="108"/>
    </row>
    <row r="11" ht="15.75" customHeight="1">
      <c r="B11" s="119"/>
      <c r="D11" s="45"/>
      <c r="O11" s="120"/>
      <c r="P11" s="111"/>
      <c r="Q11" s="108"/>
      <c r="R11" s="108"/>
      <c r="S11" s="108"/>
      <c r="T11" s="108"/>
      <c r="U11" s="108"/>
    </row>
    <row r="12" ht="15.75" customHeight="1">
      <c r="B12" s="121" t="s">
        <v>106</v>
      </c>
      <c r="D12" s="45"/>
      <c r="O12" s="120"/>
      <c r="P12" s="111"/>
      <c r="Q12" s="108"/>
      <c r="R12" s="108"/>
      <c r="S12" s="108"/>
      <c r="T12" s="108"/>
      <c r="U12" s="108"/>
    </row>
    <row r="13" ht="15.75" customHeight="1">
      <c r="B13" s="119" t="s">
        <v>107</v>
      </c>
      <c r="D13" s="45"/>
      <c r="O13" s="122"/>
      <c r="P13" s="111"/>
      <c r="Q13" s="108"/>
      <c r="R13" s="108"/>
      <c r="S13" s="108"/>
      <c r="T13" s="108"/>
      <c r="U13" s="108"/>
    </row>
    <row r="14" ht="15.75" customHeight="1">
      <c r="B14" s="119" t="s">
        <v>108</v>
      </c>
      <c r="D14" s="45"/>
      <c r="O14" s="122"/>
      <c r="P14" s="111"/>
      <c r="Q14" s="108"/>
      <c r="R14" s="108"/>
      <c r="S14" s="108"/>
      <c r="T14" s="108"/>
      <c r="U14" s="108"/>
    </row>
    <row r="15" ht="15.75" customHeight="1">
      <c r="B15" s="119" t="s">
        <v>109</v>
      </c>
      <c r="D15" s="45"/>
      <c r="O15" s="122"/>
      <c r="P15" s="111"/>
      <c r="R15" s="108"/>
      <c r="S15" s="108"/>
      <c r="T15" s="108"/>
      <c r="U15" s="108"/>
    </row>
    <row r="16" ht="15.75" customHeight="1">
      <c r="B16" s="119" t="s">
        <v>110</v>
      </c>
      <c r="D16" s="45"/>
      <c r="O16" s="122"/>
      <c r="P16" s="111"/>
      <c r="R16" s="108"/>
      <c r="S16" s="108"/>
      <c r="T16" s="108"/>
      <c r="U16" s="108"/>
    </row>
    <row r="17" ht="15.75" customHeight="1">
      <c r="B17" s="119"/>
      <c r="D17" s="45"/>
      <c r="O17" s="122"/>
      <c r="P17" s="111"/>
      <c r="R17" s="108"/>
      <c r="S17" s="108"/>
      <c r="T17" s="108"/>
      <c r="U17" s="108"/>
    </row>
    <row r="18" ht="15.75" customHeight="1">
      <c r="B18" s="123" t="s">
        <v>111</v>
      </c>
      <c r="C18" s="124"/>
      <c r="D18" s="125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7"/>
      <c r="P18" s="111"/>
      <c r="R18" s="108"/>
      <c r="S18" s="108"/>
      <c r="T18" s="108"/>
      <c r="U18" s="108"/>
    </row>
    <row r="19" ht="15.75" customHeight="1">
      <c r="B19" s="123"/>
      <c r="C19" s="124"/>
      <c r="D19" s="125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7"/>
      <c r="P19" s="111"/>
      <c r="Q19" s="108"/>
      <c r="R19" s="108"/>
      <c r="S19" s="108"/>
      <c r="T19" s="108"/>
      <c r="U19" s="108"/>
    </row>
    <row r="20" ht="15.75" customHeight="1">
      <c r="B20" s="123" t="s">
        <v>112</v>
      </c>
      <c r="D20" s="125" t="s">
        <v>113</v>
      </c>
      <c r="O20" s="128"/>
      <c r="P20" s="111"/>
      <c r="Q20" s="108"/>
      <c r="R20" s="108"/>
      <c r="S20" s="108"/>
      <c r="T20" s="108"/>
      <c r="U20" s="108"/>
    </row>
    <row r="21" ht="15.75" customHeight="1">
      <c r="B21" s="123" t="s">
        <v>114</v>
      </c>
      <c r="D21" s="125" t="s">
        <v>115</v>
      </c>
      <c r="O21" s="128"/>
      <c r="P21" s="111"/>
      <c r="Q21" s="108"/>
      <c r="R21" s="108"/>
      <c r="S21" s="108"/>
      <c r="T21" s="108"/>
      <c r="U21" s="108"/>
    </row>
    <row r="22" ht="15.75" customHeight="1">
      <c r="B22" s="129"/>
      <c r="C22" s="130"/>
      <c r="D22" s="131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2"/>
      <c r="P22" s="111"/>
      <c r="Q22" s="108"/>
      <c r="R22" s="108"/>
      <c r="S22" s="108"/>
      <c r="T22" s="108"/>
      <c r="U22" s="108"/>
    </row>
    <row r="23" ht="15.75" customHeight="1">
      <c r="B23" s="116" t="s">
        <v>116</v>
      </c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8"/>
      <c r="P23" s="111"/>
      <c r="Q23" s="108"/>
      <c r="R23" s="108"/>
      <c r="S23" s="108"/>
      <c r="T23" s="108"/>
      <c r="U23" s="108"/>
    </row>
    <row r="24" ht="15.75" customHeight="1">
      <c r="B24" s="133" t="s">
        <v>117</v>
      </c>
      <c r="O24" s="128"/>
      <c r="P24" s="111"/>
      <c r="Q24" s="108"/>
      <c r="R24" s="108"/>
      <c r="S24" s="108"/>
      <c r="T24" s="108"/>
      <c r="U24" s="108"/>
    </row>
    <row r="25" ht="15.75" customHeight="1">
      <c r="B25" s="134"/>
      <c r="C25" s="22"/>
      <c r="D25" s="24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135"/>
      <c r="P25" s="111"/>
      <c r="Q25" s="108"/>
      <c r="R25" s="108"/>
      <c r="S25" s="108"/>
      <c r="T25" s="108"/>
      <c r="U25" s="108"/>
    </row>
    <row r="26" ht="15.75" customHeight="1">
      <c r="B26" s="136" t="s">
        <v>106</v>
      </c>
      <c r="C26" s="22"/>
      <c r="D26" s="24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135"/>
      <c r="P26" s="111"/>
      <c r="Q26" s="108"/>
      <c r="R26" s="108"/>
      <c r="S26" s="108"/>
      <c r="T26" s="108"/>
      <c r="U26" s="108"/>
    </row>
    <row r="27" ht="15.75" customHeight="1">
      <c r="B27" s="137" t="s">
        <v>118</v>
      </c>
      <c r="C27" s="22"/>
      <c r="D27" s="24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135"/>
      <c r="P27" s="111"/>
      <c r="Q27" s="108"/>
      <c r="R27" s="108"/>
      <c r="S27" s="108"/>
      <c r="T27" s="108"/>
      <c r="U27" s="108"/>
    </row>
    <row r="28" ht="15.75" customHeight="1">
      <c r="B28" s="137" t="s">
        <v>119</v>
      </c>
      <c r="C28" s="22"/>
      <c r="D28" s="24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135"/>
      <c r="P28" s="111"/>
      <c r="Q28" s="108"/>
      <c r="R28" s="108"/>
      <c r="S28" s="108"/>
      <c r="T28" s="108"/>
      <c r="U28" s="108"/>
    </row>
    <row r="29" ht="15.75" customHeight="1">
      <c r="B29" s="137" t="s">
        <v>120</v>
      </c>
      <c r="C29" s="22"/>
      <c r="D29" s="24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135"/>
      <c r="P29" s="111"/>
      <c r="Q29" s="108"/>
      <c r="R29" s="108"/>
      <c r="S29" s="108"/>
      <c r="T29" s="108"/>
      <c r="U29" s="108"/>
    </row>
    <row r="30" ht="15.75" customHeight="1">
      <c r="B30" s="134"/>
      <c r="C30" s="22"/>
      <c r="D30" s="24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135"/>
      <c r="P30" s="111"/>
      <c r="Q30" s="108"/>
      <c r="R30" s="108"/>
      <c r="S30" s="108"/>
      <c r="T30" s="108"/>
      <c r="U30" s="108"/>
    </row>
    <row r="31" ht="15.75" customHeight="1">
      <c r="B31" s="138" t="s">
        <v>112</v>
      </c>
      <c r="C31" s="134"/>
      <c r="D31" s="139" t="s">
        <v>121</v>
      </c>
      <c r="O31" s="128"/>
      <c r="P31" s="111"/>
      <c r="Q31" s="108"/>
      <c r="R31" s="108"/>
      <c r="S31" s="108"/>
      <c r="T31" s="108"/>
      <c r="U31" s="108"/>
    </row>
    <row r="32" ht="15.75" customHeight="1">
      <c r="B32" s="138" t="s">
        <v>114</v>
      </c>
      <c r="C32" s="134"/>
      <c r="D32" s="139" t="s">
        <v>122</v>
      </c>
      <c r="O32" s="128"/>
      <c r="P32" s="111"/>
      <c r="Q32" s="108"/>
      <c r="R32" s="108"/>
      <c r="S32" s="108"/>
      <c r="T32" s="108"/>
      <c r="U32" s="108"/>
    </row>
    <row r="33" ht="15.75" customHeight="1">
      <c r="B33" s="140"/>
      <c r="C33" s="141"/>
      <c r="D33" s="130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2"/>
      <c r="P33" s="111"/>
      <c r="Q33" s="108"/>
      <c r="R33" s="108"/>
      <c r="S33" s="108"/>
      <c r="T33" s="108"/>
      <c r="U33" s="108"/>
    </row>
    <row r="34" ht="15.75" customHeight="1">
      <c r="A34" s="135"/>
      <c r="B34" s="116" t="s">
        <v>123</v>
      </c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8"/>
      <c r="P34" s="22"/>
      <c r="Q34" s="22"/>
      <c r="R34" s="22"/>
      <c r="S34" s="22"/>
      <c r="T34" s="22"/>
      <c r="U34" s="22"/>
    </row>
    <row r="35" ht="15.75" customHeight="1">
      <c r="A35" s="135"/>
      <c r="B35" s="143" t="s">
        <v>124</v>
      </c>
      <c r="O35" s="128"/>
      <c r="P35" s="22"/>
      <c r="Q35" s="22"/>
      <c r="R35" s="22"/>
      <c r="S35" s="22"/>
      <c r="T35" s="22"/>
      <c r="U35" s="22"/>
    </row>
    <row r="36" ht="15.75" customHeight="1">
      <c r="A36" s="135"/>
      <c r="B36" s="22"/>
      <c r="C36" s="22"/>
      <c r="D36" s="24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135"/>
      <c r="P36" s="22"/>
      <c r="Q36" s="22"/>
      <c r="R36" s="22"/>
      <c r="S36" s="22"/>
      <c r="T36" s="22"/>
      <c r="U36" s="22"/>
    </row>
    <row r="37" ht="15.75" customHeight="1">
      <c r="A37" s="135"/>
      <c r="B37" s="144" t="s">
        <v>106</v>
      </c>
      <c r="C37" s="22"/>
      <c r="D37" s="24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135"/>
      <c r="P37" s="22"/>
      <c r="Q37" s="22"/>
      <c r="R37" s="22"/>
      <c r="S37" s="22"/>
      <c r="T37" s="22"/>
      <c r="U37" s="22"/>
    </row>
    <row r="38" ht="15.75" customHeight="1">
      <c r="A38" s="135"/>
      <c r="B38" s="145" t="s">
        <v>125</v>
      </c>
      <c r="C38" s="22"/>
      <c r="D38" s="24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135"/>
      <c r="P38" s="22"/>
      <c r="Q38" s="22"/>
      <c r="R38" s="22"/>
      <c r="S38" s="22"/>
      <c r="T38" s="22"/>
      <c r="U38" s="22"/>
    </row>
    <row r="39" ht="15.75" customHeight="1">
      <c r="A39" s="135"/>
      <c r="B39" s="145" t="s">
        <v>126</v>
      </c>
      <c r="C39" s="22"/>
      <c r="D39" s="24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135"/>
      <c r="P39" s="22"/>
      <c r="Q39" s="22"/>
      <c r="R39" s="22"/>
      <c r="S39" s="22"/>
      <c r="T39" s="22"/>
      <c r="U39" s="22"/>
    </row>
    <row r="40" ht="15.75" customHeight="1">
      <c r="A40" s="135"/>
      <c r="B40" s="145" t="s">
        <v>127</v>
      </c>
      <c r="C40" s="22"/>
      <c r="D40" s="24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135"/>
      <c r="P40" s="22"/>
      <c r="Q40" s="22"/>
      <c r="R40" s="22"/>
      <c r="S40" s="22"/>
      <c r="T40" s="22"/>
      <c r="U40" s="22"/>
    </row>
    <row r="41" ht="15.75" customHeight="1">
      <c r="A41" s="135"/>
      <c r="B41" s="145" t="s">
        <v>128</v>
      </c>
      <c r="C41" s="22"/>
      <c r="D41" s="24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135"/>
      <c r="P41" s="22"/>
      <c r="Q41" s="22"/>
      <c r="R41" s="22"/>
      <c r="S41" s="22"/>
      <c r="T41" s="22"/>
      <c r="U41" s="22"/>
    </row>
    <row r="42" ht="15.75" customHeight="1">
      <c r="A42" s="135"/>
      <c r="B42" s="22"/>
      <c r="C42" s="22"/>
      <c r="D42" s="24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135"/>
      <c r="P42" s="22"/>
      <c r="Q42" s="22"/>
      <c r="R42" s="22"/>
      <c r="S42" s="22"/>
      <c r="T42" s="22"/>
      <c r="U42" s="22"/>
    </row>
    <row r="43" ht="15.75" customHeight="1">
      <c r="A43" s="135"/>
      <c r="B43" s="146" t="s">
        <v>112</v>
      </c>
      <c r="C43" s="128"/>
      <c r="D43" s="139" t="s">
        <v>129</v>
      </c>
      <c r="O43" s="128"/>
      <c r="P43" s="22"/>
      <c r="Q43" s="22"/>
      <c r="R43" s="22"/>
      <c r="S43" s="22"/>
      <c r="T43" s="22"/>
      <c r="U43" s="22"/>
    </row>
    <row r="44" ht="15.75" customHeight="1">
      <c r="A44" s="135"/>
      <c r="B44" s="141"/>
      <c r="C44" s="141"/>
      <c r="D44" s="130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2"/>
      <c r="P44" s="22"/>
      <c r="Q44" s="22"/>
      <c r="R44" s="22"/>
      <c r="S44" s="22"/>
      <c r="T44" s="22"/>
      <c r="U44" s="22"/>
    </row>
    <row r="45" ht="15.75" customHeight="1">
      <c r="A45" s="135"/>
      <c r="B45" s="116" t="s">
        <v>130</v>
      </c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8"/>
      <c r="P45" s="22"/>
      <c r="Q45" s="22"/>
      <c r="R45" s="22"/>
      <c r="S45" s="22"/>
      <c r="T45" s="22"/>
      <c r="U45" s="22"/>
    </row>
    <row r="46" ht="15.75" customHeight="1">
      <c r="A46" s="135"/>
      <c r="B46" s="143" t="s">
        <v>131</v>
      </c>
      <c r="O46" s="128"/>
      <c r="P46" s="22"/>
      <c r="Q46" s="22"/>
      <c r="R46" s="22"/>
      <c r="S46" s="22"/>
      <c r="T46" s="22"/>
      <c r="U46" s="22"/>
    </row>
    <row r="47" ht="15.75" customHeight="1">
      <c r="A47" s="135"/>
      <c r="B47" s="22"/>
      <c r="C47" s="22"/>
      <c r="D47" s="24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135"/>
      <c r="P47" s="22"/>
      <c r="Q47" s="22"/>
      <c r="R47" s="22"/>
      <c r="S47" s="22"/>
      <c r="T47" s="22"/>
      <c r="U47" s="22"/>
    </row>
    <row r="48" ht="15.75" customHeight="1">
      <c r="A48" s="135"/>
      <c r="B48" s="144" t="s">
        <v>132</v>
      </c>
      <c r="C48" s="22"/>
      <c r="D48" s="24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135"/>
      <c r="P48" s="22"/>
      <c r="Q48" s="22"/>
      <c r="R48" s="22"/>
      <c r="S48" s="22"/>
      <c r="T48" s="22"/>
      <c r="U48" s="22"/>
    </row>
    <row r="49" ht="15.75" customHeight="1">
      <c r="A49" s="135"/>
      <c r="B49" s="145" t="s">
        <v>133</v>
      </c>
      <c r="C49" s="22"/>
      <c r="D49" s="24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135"/>
      <c r="P49" s="22"/>
      <c r="Q49" s="22"/>
      <c r="R49" s="22"/>
      <c r="S49" s="22"/>
      <c r="T49" s="22"/>
      <c r="U49" s="22"/>
    </row>
    <row r="50" ht="15.75" customHeight="1">
      <c r="A50" s="135"/>
      <c r="B50" s="145" t="s">
        <v>134</v>
      </c>
      <c r="C50" s="22"/>
      <c r="D50" s="24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135"/>
      <c r="P50" s="22"/>
      <c r="Q50" s="22"/>
      <c r="R50" s="22"/>
      <c r="S50" s="22"/>
      <c r="T50" s="22"/>
      <c r="U50" s="22"/>
    </row>
    <row r="51" ht="15.75" customHeight="1">
      <c r="A51" s="135"/>
      <c r="B51" s="145" t="s">
        <v>135</v>
      </c>
      <c r="C51" s="22"/>
      <c r="D51" s="24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135"/>
      <c r="P51" s="22"/>
      <c r="Q51" s="22"/>
      <c r="R51" s="22"/>
      <c r="S51" s="22"/>
      <c r="T51" s="22"/>
      <c r="U51" s="22"/>
    </row>
    <row r="52" ht="15.75" customHeight="1">
      <c r="A52" s="135"/>
      <c r="B52" s="145" t="s">
        <v>136</v>
      </c>
      <c r="C52" s="22"/>
      <c r="D52" s="24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135"/>
      <c r="P52" s="22"/>
      <c r="Q52" s="22"/>
      <c r="R52" s="22"/>
      <c r="S52" s="22"/>
      <c r="T52" s="22"/>
      <c r="U52" s="22"/>
    </row>
    <row r="53" ht="15.75" customHeight="1">
      <c r="A53" s="135"/>
      <c r="B53" s="145" t="s">
        <v>137</v>
      </c>
      <c r="C53" s="22"/>
      <c r="D53" s="24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135"/>
      <c r="P53" s="22"/>
      <c r="Q53" s="22"/>
      <c r="R53" s="22"/>
      <c r="S53" s="22"/>
      <c r="T53" s="22"/>
      <c r="U53" s="22"/>
    </row>
    <row r="54" ht="15.75" customHeight="1">
      <c r="A54" s="135"/>
      <c r="B54" s="147"/>
      <c r="C54" s="148"/>
      <c r="D54" s="149"/>
      <c r="O54" s="128"/>
      <c r="P54" s="22"/>
      <c r="Q54" s="22"/>
      <c r="R54" s="22"/>
      <c r="S54" s="22"/>
      <c r="T54" s="22"/>
      <c r="U54" s="22"/>
    </row>
    <row r="55" ht="15.75" customHeight="1">
      <c r="A55" s="135"/>
      <c r="B55" s="150" t="s">
        <v>112</v>
      </c>
      <c r="C55" s="148"/>
      <c r="D55" s="151" t="s">
        <v>138</v>
      </c>
      <c r="O55" s="128"/>
      <c r="P55" s="22"/>
      <c r="Q55" s="22"/>
      <c r="R55" s="22"/>
      <c r="S55" s="22"/>
      <c r="T55" s="22"/>
      <c r="U55" s="22"/>
    </row>
    <row r="56" ht="15.75" customHeight="1">
      <c r="A56" s="135"/>
      <c r="B56" s="22"/>
      <c r="C56" s="22"/>
      <c r="D56" s="24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135"/>
      <c r="P56" s="22"/>
      <c r="Q56" s="22"/>
      <c r="R56" s="22"/>
      <c r="S56" s="22"/>
      <c r="T56" s="22"/>
      <c r="U56" s="22"/>
    </row>
    <row r="57" ht="15.75" customHeight="1">
      <c r="B57" s="116" t="s">
        <v>139</v>
      </c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8"/>
      <c r="P57" s="111"/>
      <c r="Q57" s="108"/>
      <c r="R57" s="108"/>
      <c r="S57" s="108"/>
      <c r="T57" s="108"/>
      <c r="U57" s="108"/>
    </row>
    <row r="58" ht="15.75" customHeight="1">
      <c r="B58" s="152" t="s">
        <v>140</v>
      </c>
      <c r="O58" s="128"/>
      <c r="P58" s="111"/>
      <c r="Q58" s="108"/>
      <c r="R58" s="108"/>
      <c r="S58" s="108"/>
      <c r="T58" s="108"/>
      <c r="U58" s="108"/>
    </row>
    <row r="59" ht="15.75" customHeight="1">
      <c r="B59" s="119"/>
      <c r="D59" s="45"/>
      <c r="O59" s="120"/>
      <c r="P59" s="111"/>
      <c r="Q59" s="108"/>
      <c r="R59" s="108"/>
      <c r="S59" s="108"/>
      <c r="T59" s="108"/>
      <c r="U59" s="108"/>
    </row>
    <row r="60" ht="15.75" customHeight="1">
      <c r="B60" s="121" t="s">
        <v>106</v>
      </c>
      <c r="D60" s="45"/>
      <c r="O60" s="120"/>
      <c r="P60" s="111"/>
      <c r="Q60" s="108"/>
      <c r="R60" s="108"/>
      <c r="S60" s="108"/>
      <c r="T60" s="108"/>
      <c r="U60" s="108"/>
    </row>
    <row r="61" ht="15.75" customHeight="1">
      <c r="B61" s="119" t="s">
        <v>141</v>
      </c>
      <c r="D61" s="45"/>
      <c r="O61" s="122"/>
      <c r="P61" s="111"/>
      <c r="Q61" s="108"/>
      <c r="R61" s="108"/>
      <c r="S61" s="108"/>
      <c r="T61" s="108"/>
      <c r="U61" s="108"/>
    </row>
    <row r="62" ht="15.75" customHeight="1">
      <c r="B62" s="119" t="s">
        <v>142</v>
      </c>
      <c r="D62" s="45"/>
      <c r="O62" s="122"/>
      <c r="P62" s="111"/>
      <c r="Q62" s="108"/>
      <c r="R62" s="108"/>
      <c r="S62" s="108"/>
      <c r="T62" s="108"/>
      <c r="U62" s="108"/>
    </row>
    <row r="63" ht="15.75" customHeight="1">
      <c r="B63" s="119" t="s">
        <v>143</v>
      </c>
      <c r="D63" s="45"/>
      <c r="O63" s="122"/>
      <c r="P63" s="111"/>
      <c r="Q63" s="108"/>
      <c r="R63" s="108"/>
      <c r="S63" s="108"/>
      <c r="T63" s="108"/>
      <c r="U63" s="108"/>
    </row>
    <row r="64" ht="15.75" customHeight="1">
      <c r="B64" s="119" t="s">
        <v>144</v>
      </c>
      <c r="D64" s="45"/>
      <c r="O64" s="122"/>
      <c r="P64" s="111"/>
      <c r="Q64" s="108"/>
      <c r="R64" s="108"/>
      <c r="S64" s="108"/>
      <c r="T64" s="108"/>
      <c r="U64" s="108"/>
    </row>
    <row r="65" ht="15.75" customHeight="1">
      <c r="B65" s="119"/>
      <c r="D65" s="45"/>
      <c r="O65" s="122"/>
      <c r="P65" s="111"/>
      <c r="Q65" s="108"/>
      <c r="R65" s="108"/>
      <c r="S65" s="108"/>
      <c r="T65" s="108"/>
      <c r="U65" s="108"/>
    </row>
    <row r="66" ht="15.75" customHeight="1">
      <c r="B66" s="153" t="s">
        <v>112</v>
      </c>
      <c r="D66" s="125" t="s">
        <v>145</v>
      </c>
      <c r="O66" s="128"/>
      <c r="P66" s="111"/>
      <c r="Q66" s="108"/>
      <c r="R66" s="108"/>
      <c r="S66" s="108"/>
      <c r="T66" s="108"/>
      <c r="U66" s="108"/>
    </row>
    <row r="67" ht="15.75" customHeight="1">
      <c r="B67" s="153" t="s">
        <v>114</v>
      </c>
      <c r="D67" s="125" t="s">
        <v>115</v>
      </c>
      <c r="O67" s="128"/>
      <c r="P67" s="111"/>
      <c r="Q67" s="108"/>
      <c r="R67" s="108"/>
      <c r="S67" s="108"/>
      <c r="T67" s="108"/>
      <c r="U67" s="108"/>
    </row>
    <row r="68" ht="15.75" customHeight="1">
      <c r="B68" s="154"/>
      <c r="C68" s="155"/>
      <c r="D68" s="156"/>
      <c r="E68" s="155"/>
      <c r="F68" s="155"/>
      <c r="G68" s="155"/>
      <c r="H68" s="155"/>
      <c r="I68" s="155"/>
      <c r="J68" s="155"/>
      <c r="K68" s="155"/>
      <c r="L68" s="155"/>
      <c r="M68" s="155"/>
      <c r="N68" s="155"/>
      <c r="O68" s="157"/>
      <c r="P68" s="111"/>
      <c r="Q68" s="108"/>
      <c r="R68" s="108"/>
      <c r="S68" s="108"/>
      <c r="T68" s="108"/>
      <c r="U68" s="108"/>
    </row>
    <row r="69" ht="15.75" customHeight="1">
      <c r="B69" s="116" t="s">
        <v>146</v>
      </c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8"/>
      <c r="P69" s="111"/>
      <c r="Q69" s="108"/>
      <c r="R69" s="108"/>
      <c r="S69" s="108"/>
      <c r="T69" s="108"/>
      <c r="U69" s="108"/>
    </row>
    <row r="70" ht="15.75" customHeight="1">
      <c r="B70" s="119"/>
      <c r="D70" s="45"/>
      <c r="O70" s="122"/>
      <c r="P70" s="111"/>
      <c r="Q70" s="108"/>
      <c r="R70" s="108"/>
      <c r="S70" s="108"/>
      <c r="T70" s="108"/>
      <c r="U70" s="108"/>
    </row>
    <row r="71" ht="15.75" customHeight="1">
      <c r="B71" s="119" t="s">
        <v>147</v>
      </c>
      <c r="D71" s="45"/>
      <c r="O71" s="122"/>
      <c r="P71" s="111"/>
      <c r="Q71" s="108"/>
      <c r="R71" s="108"/>
      <c r="S71" s="108"/>
      <c r="T71" s="108"/>
      <c r="U71" s="108"/>
    </row>
    <row r="72" ht="15.75" customHeight="1">
      <c r="B72" s="119" t="s">
        <v>148</v>
      </c>
      <c r="D72" s="45"/>
      <c r="O72" s="122"/>
      <c r="P72" s="111"/>
      <c r="Q72" s="108"/>
      <c r="R72" s="108"/>
      <c r="S72" s="108"/>
      <c r="T72" s="108"/>
      <c r="U72" s="108"/>
    </row>
    <row r="73" ht="15.75" customHeight="1">
      <c r="B73" s="119" t="s">
        <v>149</v>
      </c>
      <c r="D73" s="45"/>
      <c r="O73" s="122"/>
      <c r="P73" s="111"/>
      <c r="Q73" s="108"/>
      <c r="R73" s="108"/>
      <c r="S73" s="108"/>
      <c r="T73" s="108"/>
      <c r="U73" s="108"/>
    </row>
    <row r="74" ht="15.75" customHeight="1">
      <c r="B74" s="119" t="s">
        <v>150</v>
      </c>
      <c r="D74" s="45"/>
      <c r="O74" s="122"/>
      <c r="P74" s="111"/>
      <c r="Q74" s="108"/>
      <c r="R74" s="108"/>
      <c r="S74" s="108"/>
      <c r="T74" s="108"/>
      <c r="U74" s="108"/>
    </row>
    <row r="75" ht="15.75" customHeight="1">
      <c r="B75" s="154"/>
      <c r="C75" s="155"/>
      <c r="D75" s="156"/>
      <c r="E75" s="155"/>
      <c r="F75" s="155"/>
      <c r="G75" s="155"/>
      <c r="H75" s="155"/>
      <c r="I75" s="155"/>
      <c r="J75" s="155"/>
      <c r="K75" s="155"/>
      <c r="L75" s="155"/>
      <c r="M75" s="155"/>
      <c r="N75" s="155"/>
      <c r="O75" s="158"/>
      <c r="P75" s="111"/>
      <c r="Q75" s="108"/>
      <c r="R75" s="108"/>
      <c r="S75" s="108"/>
      <c r="T75" s="108"/>
      <c r="U75" s="108"/>
    </row>
    <row r="76" ht="15.75" customHeight="1">
      <c r="D76" s="45"/>
      <c r="P76" s="111"/>
      <c r="Q76" s="108"/>
      <c r="R76" s="108"/>
      <c r="S76" s="108"/>
      <c r="T76" s="108"/>
      <c r="U76" s="108"/>
    </row>
    <row r="77" ht="15.75" customHeight="1">
      <c r="D77" s="45"/>
      <c r="P77" s="111"/>
      <c r="Q77" s="108"/>
      <c r="R77" s="108"/>
      <c r="S77" s="108"/>
      <c r="T77" s="108"/>
      <c r="U77" s="108"/>
    </row>
    <row r="78" ht="15.75" customHeight="1">
      <c r="D78" s="45"/>
      <c r="O78" s="111"/>
      <c r="P78" s="111"/>
      <c r="Q78" s="108"/>
      <c r="R78" s="108"/>
      <c r="S78" s="108"/>
      <c r="T78" s="108"/>
      <c r="U78" s="108"/>
    </row>
    <row r="79" ht="15.75" customHeight="1">
      <c r="D79" s="45"/>
      <c r="P79" s="111"/>
      <c r="Q79" s="108"/>
      <c r="R79" s="108"/>
      <c r="S79" s="108"/>
      <c r="T79" s="108"/>
      <c r="U79" s="108"/>
    </row>
    <row r="80" ht="15.75" customHeight="1">
      <c r="D80" s="45"/>
      <c r="P80" s="111"/>
      <c r="Q80" s="108"/>
      <c r="R80" s="108"/>
      <c r="S80" s="108"/>
      <c r="T80" s="108"/>
      <c r="U80" s="108"/>
    </row>
    <row r="81" ht="15.75" customHeight="1">
      <c r="D81" s="45"/>
      <c r="O81" s="111"/>
      <c r="P81" s="111"/>
      <c r="Q81" s="108"/>
      <c r="R81" s="108"/>
      <c r="S81" s="108"/>
      <c r="T81" s="108"/>
      <c r="U81" s="108"/>
    </row>
    <row r="82" ht="15.75" customHeight="1">
      <c r="D82" s="45"/>
      <c r="P82" s="111"/>
      <c r="Q82" s="108"/>
      <c r="R82" s="108"/>
      <c r="S82" s="108"/>
      <c r="T82" s="108"/>
      <c r="U82" s="108"/>
    </row>
    <row r="83" ht="15.75" customHeight="1">
      <c r="D83" s="45"/>
      <c r="P83" s="111"/>
      <c r="Q83" s="108"/>
      <c r="R83" s="108"/>
      <c r="S83" s="108"/>
      <c r="T83" s="108"/>
      <c r="U83" s="108"/>
    </row>
    <row r="84" ht="15.75" customHeight="1">
      <c r="D84" s="45"/>
      <c r="O84" s="111"/>
      <c r="P84" s="111"/>
      <c r="Q84" s="108"/>
      <c r="R84" s="108"/>
      <c r="S84" s="108"/>
      <c r="T84" s="108"/>
      <c r="U84" s="108"/>
    </row>
    <row r="85" ht="15.75" customHeight="1">
      <c r="D85" s="45"/>
      <c r="P85" s="111"/>
      <c r="Q85" s="108"/>
      <c r="R85" s="108"/>
      <c r="S85" s="108"/>
      <c r="T85" s="108"/>
      <c r="U85" s="108"/>
    </row>
    <row r="86" ht="15.75" customHeight="1">
      <c r="D86" s="45"/>
      <c r="P86" s="111"/>
      <c r="Q86" s="108"/>
      <c r="R86" s="108"/>
      <c r="S86" s="108"/>
      <c r="T86" s="108"/>
      <c r="U86" s="108"/>
    </row>
    <row r="87" ht="15.75" customHeight="1">
      <c r="D87" s="45"/>
      <c r="O87" s="111"/>
      <c r="P87" s="111"/>
      <c r="Q87" s="108"/>
      <c r="R87" s="108"/>
      <c r="S87" s="108"/>
      <c r="T87" s="108"/>
      <c r="U87" s="108"/>
    </row>
    <row r="88" ht="15.75" customHeight="1">
      <c r="D88" s="45"/>
      <c r="P88" s="111"/>
      <c r="Q88" s="108"/>
      <c r="R88" s="108"/>
      <c r="S88" s="108"/>
      <c r="T88" s="108"/>
      <c r="U88" s="108"/>
    </row>
    <row r="89" ht="15.75" customHeight="1">
      <c r="D89" s="45"/>
      <c r="O89" s="111"/>
      <c r="P89" s="111"/>
      <c r="Q89" s="108"/>
      <c r="R89" s="108"/>
      <c r="S89" s="108"/>
      <c r="T89" s="108"/>
      <c r="U89" s="108"/>
    </row>
    <row r="90" ht="15.75" customHeight="1">
      <c r="D90" s="45"/>
      <c r="P90" s="111"/>
      <c r="Q90" s="108"/>
      <c r="R90" s="108"/>
      <c r="S90" s="108"/>
      <c r="T90" s="108"/>
      <c r="U90" s="108"/>
    </row>
    <row r="91" ht="15.75" customHeight="1">
      <c r="D91" s="45"/>
      <c r="P91" s="111"/>
      <c r="Q91" s="108"/>
      <c r="R91" s="108"/>
      <c r="S91" s="108"/>
      <c r="T91" s="108"/>
      <c r="U91" s="108"/>
    </row>
    <row r="92" ht="15.75" customHeight="1">
      <c r="D92" s="45"/>
      <c r="O92" s="111"/>
      <c r="P92" s="111"/>
      <c r="Q92" s="108"/>
      <c r="R92" s="108"/>
      <c r="S92" s="108"/>
      <c r="T92" s="108"/>
      <c r="U92" s="108"/>
    </row>
    <row r="93" ht="15.75" customHeight="1">
      <c r="D93" s="45"/>
      <c r="P93" s="111"/>
      <c r="Q93" s="108"/>
      <c r="R93" s="108"/>
      <c r="S93" s="108"/>
      <c r="T93" s="108"/>
      <c r="U93" s="108"/>
    </row>
    <row r="94" ht="15.75" customHeight="1">
      <c r="D94" s="45"/>
      <c r="P94" s="111"/>
      <c r="Q94" s="108"/>
      <c r="R94" s="108"/>
      <c r="S94" s="108"/>
      <c r="T94" s="108"/>
      <c r="U94" s="108"/>
    </row>
    <row r="95" ht="15.75" customHeight="1">
      <c r="D95" s="45"/>
      <c r="P95" s="111"/>
      <c r="Q95" s="108"/>
      <c r="R95" s="108"/>
      <c r="S95" s="108"/>
      <c r="T95" s="108"/>
      <c r="U95" s="108"/>
    </row>
    <row r="96" ht="15.75" customHeight="1">
      <c r="D96" s="45"/>
      <c r="P96" s="111"/>
      <c r="Q96" s="108"/>
      <c r="R96" s="108"/>
      <c r="S96" s="108"/>
      <c r="T96" s="108"/>
      <c r="U96" s="108"/>
    </row>
    <row r="97" ht="15.75" customHeight="1">
      <c r="D97" s="45"/>
      <c r="P97" s="111"/>
      <c r="Q97" s="108"/>
      <c r="R97" s="108"/>
      <c r="S97" s="108"/>
      <c r="T97" s="108"/>
      <c r="U97" s="108"/>
    </row>
    <row r="98" ht="15.75" customHeight="1">
      <c r="D98" s="45"/>
      <c r="O98" s="111"/>
      <c r="P98" s="111"/>
      <c r="Q98" s="108"/>
      <c r="R98" s="108"/>
      <c r="S98" s="108"/>
      <c r="T98" s="108"/>
      <c r="U98" s="108"/>
    </row>
    <row r="99" ht="15.75" customHeight="1">
      <c r="D99" s="45"/>
      <c r="P99" s="111"/>
      <c r="Q99" s="108"/>
      <c r="R99" s="108"/>
      <c r="S99" s="108"/>
      <c r="T99" s="108"/>
      <c r="U99" s="108"/>
    </row>
    <row r="100" ht="15.75" customHeight="1">
      <c r="D100" s="45"/>
      <c r="P100" s="108"/>
      <c r="Q100" s="108"/>
      <c r="R100" s="108"/>
      <c r="S100" s="108"/>
      <c r="T100" s="108"/>
      <c r="U100" s="108"/>
    </row>
    <row r="101" ht="15.75" customHeight="1">
      <c r="D101" s="45"/>
      <c r="O101" s="113"/>
      <c r="P101" s="113"/>
      <c r="Q101" s="108"/>
      <c r="R101" s="108"/>
      <c r="S101" s="108"/>
      <c r="T101" s="108"/>
      <c r="U101" s="108"/>
    </row>
    <row r="102" ht="15.75" customHeight="1">
      <c r="D102" s="45"/>
      <c r="O102" s="111"/>
      <c r="P102" s="108"/>
      <c r="Q102" s="108"/>
      <c r="R102" s="108"/>
      <c r="S102" s="108"/>
      <c r="T102" s="108"/>
      <c r="U102" s="108"/>
    </row>
    <row r="103" ht="15.75" customHeight="1">
      <c r="D103" s="45"/>
      <c r="O103" s="108"/>
      <c r="P103" s="108"/>
      <c r="Q103" s="108"/>
      <c r="R103" s="108"/>
      <c r="S103" s="108"/>
      <c r="T103" s="108"/>
      <c r="U103" s="108"/>
    </row>
    <row r="104" ht="15.75" customHeight="1">
      <c r="D104" s="45"/>
      <c r="P104" s="111"/>
      <c r="Q104" s="108"/>
      <c r="R104" s="108"/>
      <c r="S104" s="108"/>
      <c r="T104" s="108"/>
      <c r="U104" s="108"/>
    </row>
    <row r="105" ht="15.75" customHeight="1">
      <c r="D105" s="45"/>
      <c r="O105" s="111"/>
      <c r="P105" s="111"/>
      <c r="Q105" s="108"/>
      <c r="R105" s="108"/>
      <c r="S105" s="108"/>
      <c r="T105" s="108"/>
      <c r="U105" s="108"/>
    </row>
    <row r="106" ht="15.75" customHeight="1">
      <c r="D106" s="45"/>
      <c r="P106" s="108"/>
      <c r="Q106" s="108"/>
      <c r="R106" s="108"/>
      <c r="S106" s="108"/>
      <c r="T106" s="108"/>
      <c r="U106" s="108"/>
    </row>
    <row r="107" ht="15.75" customHeight="1">
      <c r="D107" s="45"/>
      <c r="O107" s="113"/>
      <c r="P107" s="113"/>
      <c r="Q107" s="108"/>
      <c r="R107" s="108"/>
      <c r="S107" s="108"/>
      <c r="T107" s="108"/>
      <c r="U107" s="108"/>
    </row>
    <row r="108" ht="15.75" customHeight="1">
      <c r="D108" s="45"/>
      <c r="P108" s="108"/>
      <c r="Q108" s="108"/>
      <c r="R108" s="108"/>
      <c r="S108" s="108"/>
      <c r="T108" s="108"/>
      <c r="U108" s="108"/>
    </row>
    <row r="109" ht="15.75" customHeight="1">
      <c r="D109" s="45"/>
      <c r="P109" s="108"/>
      <c r="Q109" s="108"/>
      <c r="R109" s="108"/>
      <c r="S109" s="108"/>
      <c r="T109" s="108"/>
      <c r="U109" s="108"/>
    </row>
    <row r="110" ht="15.75" customHeight="1">
      <c r="D110" s="45"/>
      <c r="O110" s="113"/>
      <c r="P110" s="113"/>
      <c r="Q110" s="108"/>
      <c r="R110" s="108"/>
      <c r="S110" s="108"/>
      <c r="T110" s="108"/>
      <c r="U110" s="108"/>
    </row>
    <row r="111" ht="15.75" customHeight="1">
      <c r="D111" s="45"/>
      <c r="P111" s="108"/>
      <c r="Q111" s="108"/>
      <c r="R111" s="108"/>
      <c r="S111" s="108"/>
      <c r="T111" s="108"/>
      <c r="U111" s="108"/>
    </row>
    <row r="112" ht="15.75" customHeight="1">
      <c r="D112" s="45"/>
      <c r="P112" s="108"/>
      <c r="Q112" s="108"/>
      <c r="R112" s="108"/>
      <c r="S112" s="108"/>
      <c r="T112" s="108"/>
      <c r="U112" s="108"/>
    </row>
    <row r="113" ht="15.75" customHeight="1">
      <c r="D113" s="45"/>
      <c r="O113" s="113"/>
      <c r="P113" s="113"/>
      <c r="Q113" s="108"/>
      <c r="R113" s="108"/>
      <c r="S113" s="108"/>
      <c r="T113" s="108"/>
      <c r="U113" s="108"/>
    </row>
    <row r="114" ht="15.75" customHeight="1">
      <c r="D114" s="45"/>
      <c r="P114" s="108"/>
      <c r="Q114" s="108"/>
      <c r="R114" s="108"/>
      <c r="S114" s="108"/>
      <c r="T114" s="108"/>
      <c r="U114" s="108"/>
    </row>
    <row r="115" ht="15.75" customHeight="1">
      <c r="D115" s="45"/>
      <c r="P115" s="108"/>
      <c r="Q115" s="108"/>
      <c r="R115" s="108"/>
      <c r="S115" s="108"/>
      <c r="T115" s="108"/>
      <c r="U115" s="108"/>
    </row>
    <row r="116" ht="15.75" customHeight="1">
      <c r="D116" s="45"/>
      <c r="O116" s="113"/>
      <c r="P116" s="113"/>
      <c r="Q116" s="108"/>
      <c r="R116" s="108"/>
      <c r="S116" s="108"/>
      <c r="T116" s="108"/>
      <c r="U116" s="108"/>
    </row>
    <row r="117" ht="15.75" customHeight="1">
      <c r="D117" s="45"/>
      <c r="P117" s="108"/>
      <c r="Q117" s="108"/>
      <c r="R117" s="108"/>
      <c r="S117" s="108"/>
      <c r="T117" s="108"/>
      <c r="U117" s="108"/>
    </row>
    <row r="118" ht="15.75" customHeight="1">
      <c r="D118" s="45"/>
      <c r="P118" s="108"/>
      <c r="Q118" s="108"/>
      <c r="R118" s="108"/>
      <c r="S118" s="108"/>
      <c r="T118" s="108"/>
      <c r="U118" s="108"/>
    </row>
    <row r="119" ht="15.75" customHeight="1">
      <c r="D119" s="45"/>
      <c r="O119" s="113"/>
      <c r="P119" s="113"/>
      <c r="Q119" s="108"/>
      <c r="R119" s="108"/>
      <c r="S119" s="108"/>
      <c r="T119" s="108"/>
      <c r="U119" s="108"/>
    </row>
    <row r="120" ht="15.75" customHeight="1">
      <c r="D120" s="45"/>
      <c r="P120" s="108"/>
      <c r="Q120" s="108"/>
      <c r="R120" s="108"/>
      <c r="S120" s="108"/>
      <c r="T120" s="108"/>
      <c r="U120" s="108"/>
    </row>
    <row r="121" ht="15.75" customHeight="1">
      <c r="D121" s="45"/>
      <c r="P121" s="108"/>
      <c r="Q121" s="108"/>
      <c r="R121" s="108"/>
      <c r="S121" s="108"/>
      <c r="T121" s="108"/>
      <c r="U121" s="108"/>
    </row>
    <row r="122" ht="15.75" customHeight="1">
      <c r="D122" s="45"/>
      <c r="O122" s="113"/>
      <c r="P122" s="113"/>
      <c r="Q122" s="108"/>
      <c r="R122" s="108"/>
      <c r="S122" s="108"/>
      <c r="T122" s="108"/>
      <c r="U122" s="108"/>
    </row>
    <row r="123" ht="15.75" customHeight="1">
      <c r="D123" s="45"/>
      <c r="P123" s="108"/>
      <c r="Q123" s="108"/>
      <c r="R123" s="108"/>
      <c r="S123" s="108"/>
      <c r="T123" s="108"/>
      <c r="U123" s="108"/>
    </row>
    <row r="124" ht="15.75" customHeight="1">
      <c r="D124" s="45"/>
      <c r="P124" s="108"/>
      <c r="Q124" s="108"/>
      <c r="R124" s="108"/>
      <c r="S124" s="108"/>
      <c r="T124" s="108"/>
      <c r="U124" s="108"/>
    </row>
    <row r="125" ht="15.75" customHeight="1">
      <c r="D125" s="45"/>
      <c r="O125" s="113"/>
      <c r="P125" s="113"/>
      <c r="Q125" s="108"/>
      <c r="R125" s="108"/>
      <c r="S125" s="108"/>
      <c r="T125" s="108"/>
      <c r="U125" s="108"/>
    </row>
    <row r="126" ht="15.75" customHeight="1">
      <c r="D126" s="45"/>
      <c r="P126" s="108"/>
      <c r="Q126" s="108"/>
      <c r="R126" s="108"/>
      <c r="S126" s="108"/>
      <c r="T126" s="108"/>
      <c r="U126" s="108"/>
    </row>
    <row r="127" ht="15.75" customHeight="1">
      <c r="D127" s="45"/>
      <c r="P127" s="108"/>
      <c r="Q127" s="108"/>
      <c r="R127" s="108"/>
      <c r="S127" s="108"/>
      <c r="T127" s="108"/>
      <c r="U127" s="108"/>
    </row>
    <row r="128" ht="15.75" customHeight="1">
      <c r="D128" s="45"/>
      <c r="O128" s="113"/>
      <c r="P128" s="113"/>
      <c r="Q128" s="108"/>
      <c r="R128" s="108"/>
      <c r="S128" s="108"/>
      <c r="T128" s="108"/>
      <c r="U128" s="108"/>
    </row>
    <row r="129" ht="15.75" customHeight="1">
      <c r="D129" s="45"/>
      <c r="P129" s="108"/>
      <c r="Q129" s="108"/>
      <c r="R129" s="108"/>
      <c r="S129" s="108"/>
      <c r="T129" s="108"/>
      <c r="U129" s="108"/>
    </row>
    <row r="130" ht="15.75" customHeight="1">
      <c r="D130" s="45"/>
      <c r="P130" s="108"/>
      <c r="Q130" s="108"/>
      <c r="R130" s="108"/>
      <c r="S130" s="108"/>
      <c r="T130" s="108"/>
      <c r="U130" s="108"/>
    </row>
    <row r="131" ht="15.75" customHeight="1">
      <c r="D131" s="45"/>
      <c r="O131" s="113"/>
      <c r="P131" s="113"/>
      <c r="Q131" s="108"/>
      <c r="R131" s="108"/>
      <c r="S131" s="108"/>
      <c r="T131" s="108"/>
      <c r="U131" s="108"/>
    </row>
    <row r="132" ht="15.75" customHeight="1">
      <c r="D132" s="45"/>
      <c r="P132" s="108"/>
      <c r="Q132" s="108"/>
      <c r="R132" s="108"/>
      <c r="S132" s="108"/>
      <c r="T132" s="108"/>
      <c r="U132" s="108"/>
    </row>
    <row r="133" ht="15.75" customHeight="1">
      <c r="D133" s="45"/>
      <c r="P133" s="108"/>
      <c r="Q133" s="108"/>
      <c r="R133" s="108"/>
      <c r="S133" s="108"/>
      <c r="T133" s="108"/>
      <c r="U133" s="108"/>
    </row>
    <row r="134" ht="15.75" customHeight="1">
      <c r="D134" s="45"/>
      <c r="P134" s="108"/>
      <c r="Q134" s="108"/>
      <c r="R134" s="108"/>
      <c r="S134" s="108"/>
      <c r="T134" s="108"/>
      <c r="U134" s="108"/>
    </row>
    <row r="135" ht="15.75" customHeight="1">
      <c r="D135" s="45"/>
      <c r="P135" s="108"/>
      <c r="Q135" s="108"/>
      <c r="R135" s="108"/>
      <c r="S135" s="108"/>
      <c r="T135" s="108"/>
      <c r="U135" s="108"/>
    </row>
    <row r="136" ht="15.75" customHeight="1">
      <c r="D136" s="45"/>
      <c r="P136" s="108"/>
      <c r="Q136" s="108"/>
      <c r="R136" s="108"/>
      <c r="S136" s="108"/>
      <c r="T136" s="108"/>
      <c r="U136" s="108"/>
    </row>
    <row r="137" ht="15.75" customHeight="1">
      <c r="D137" s="45"/>
      <c r="P137" s="108"/>
      <c r="Q137" s="108"/>
      <c r="R137" s="108"/>
      <c r="S137" s="108"/>
      <c r="T137" s="108"/>
      <c r="U137" s="108"/>
    </row>
    <row r="138" ht="15.75" customHeight="1">
      <c r="D138" s="45"/>
      <c r="P138" s="108"/>
      <c r="Q138" s="108"/>
      <c r="R138" s="108"/>
      <c r="S138" s="108"/>
      <c r="T138" s="108"/>
      <c r="U138" s="108"/>
    </row>
    <row r="139" ht="15.75" customHeight="1">
      <c r="D139" s="45"/>
      <c r="P139" s="108"/>
      <c r="Q139" s="108"/>
      <c r="R139" s="108"/>
      <c r="S139" s="108"/>
      <c r="T139" s="108"/>
      <c r="U139" s="108"/>
    </row>
    <row r="140" ht="15.75" customHeight="1">
      <c r="D140" s="45"/>
      <c r="P140" s="108"/>
      <c r="Q140" s="108"/>
      <c r="R140" s="108"/>
      <c r="S140" s="108"/>
      <c r="T140" s="108"/>
      <c r="U140" s="108"/>
    </row>
    <row r="141" ht="15.75" customHeight="1">
      <c r="D141" s="45"/>
      <c r="P141" s="108"/>
      <c r="Q141" s="108"/>
      <c r="R141" s="108"/>
      <c r="S141" s="108"/>
      <c r="T141" s="108"/>
      <c r="U141" s="108"/>
    </row>
    <row r="142" ht="15.75" customHeight="1">
      <c r="D142" s="45"/>
      <c r="P142" s="108"/>
      <c r="Q142" s="108"/>
      <c r="R142" s="108"/>
      <c r="S142" s="108"/>
      <c r="T142" s="108"/>
      <c r="U142" s="108"/>
    </row>
    <row r="143" ht="15.75" customHeight="1">
      <c r="D143" s="45"/>
      <c r="P143" s="108"/>
      <c r="Q143" s="108"/>
      <c r="R143" s="108"/>
      <c r="S143" s="108"/>
      <c r="T143" s="108"/>
      <c r="U143" s="108"/>
    </row>
    <row r="144" ht="15.75" customHeight="1">
      <c r="D144" s="45"/>
      <c r="P144" s="108"/>
      <c r="Q144" s="108"/>
      <c r="R144" s="108"/>
      <c r="S144" s="108"/>
      <c r="T144" s="108"/>
      <c r="U144" s="108"/>
    </row>
    <row r="145" ht="15.75" customHeight="1">
      <c r="D145" s="45"/>
      <c r="O145" s="113"/>
      <c r="P145" s="113"/>
      <c r="Q145" s="108"/>
      <c r="R145" s="108"/>
      <c r="S145" s="108"/>
      <c r="T145" s="108"/>
      <c r="U145" s="108"/>
    </row>
    <row r="146" ht="15.75" customHeight="1">
      <c r="D146" s="45"/>
      <c r="P146" s="108"/>
      <c r="Q146" s="108"/>
      <c r="R146" s="108"/>
      <c r="S146" s="108"/>
      <c r="T146" s="108"/>
      <c r="U146" s="108"/>
    </row>
    <row r="147" ht="15.75" customHeight="1">
      <c r="D147" s="45"/>
      <c r="P147" s="108"/>
      <c r="Q147" s="108"/>
      <c r="R147" s="108"/>
      <c r="S147" s="108"/>
      <c r="T147" s="108"/>
      <c r="U147" s="108"/>
    </row>
    <row r="148" ht="15.75" customHeight="1">
      <c r="D148" s="45"/>
      <c r="O148" s="113"/>
      <c r="P148" s="113"/>
      <c r="Q148" s="108"/>
      <c r="R148" s="108"/>
      <c r="S148" s="108"/>
      <c r="T148" s="108"/>
      <c r="U148" s="108"/>
    </row>
    <row r="149" ht="15.75" customHeight="1">
      <c r="D149" s="45"/>
      <c r="O149" s="111"/>
      <c r="P149" s="108"/>
      <c r="Q149" s="108"/>
      <c r="R149" s="108"/>
      <c r="S149" s="108"/>
      <c r="T149" s="108"/>
      <c r="U149" s="108"/>
    </row>
    <row r="150" ht="15.75" customHeight="1">
      <c r="D150" s="45"/>
      <c r="O150" s="108"/>
      <c r="P150" s="108"/>
      <c r="Q150" s="108"/>
      <c r="R150" s="108"/>
      <c r="S150" s="108"/>
      <c r="T150" s="108"/>
      <c r="U150" s="108"/>
    </row>
    <row r="151" ht="15.75" customHeight="1">
      <c r="D151" s="45"/>
      <c r="P151" s="111"/>
      <c r="Q151" s="108"/>
      <c r="R151" s="108"/>
      <c r="S151" s="108"/>
      <c r="T151" s="108"/>
      <c r="U151" s="108"/>
    </row>
    <row r="152" ht="15.75" customHeight="1">
      <c r="D152" s="45"/>
      <c r="O152" s="111"/>
      <c r="P152" s="111"/>
      <c r="Q152" s="108"/>
      <c r="R152" s="108"/>
      <c r="S152" s="108"/>
      <c r="T152" s="108"/>
      <c r="U152" s="108"/>
    </row>
    <row r="153" ht="15.75" customHeight="1">
      <c r="D153" s="45"/>
      <c r="P153" s="108"/>
      <c r="Q153" s="108"/>
      <c r="R153" s="108"/>
      <c r="S153" s="108"/>
      <c r="T153" s="108"/>
      <c r="U153" s="108"/>
    </row>
    <row r="154" ht="15.75" customHeight="1">
      <c r="D154" s="45"/>
      <c r="P154" s="108"/>
      <c r="Q154" s="108"/>
      <c r="R154" s="108"/>
      <c r="S154" s="108"/>
      <c r="T154" s="108"/>
      <c r="U154" s="108"/>
    </row>
    <row r="155" ht="15.75" customHeight="1">
      <c r="D155" s="45"/>
      <c r="O155" s="113"/>
      <c r="P155" s="113"/>
      <c r="Q155" s="108"/>
      <c r="R155" s="108"/>
      <c r="S155" s="108"/>
      <c r="T155" s="108"/>
      <c r="U155" s="108"/>
    </row>
    <row r="156" ht="15.75" customHeight="1">
      <c r="D156" s="45"/>
      <c r="P156" s="108"/>
      <c r="Q156" s="108"/>
      <c r="R156" s="108"/>
      <c r="S156" s="108"/>
      <c r="T156" s="108"/>
      <c r="U156" s="108"/>
    </row>
    <row r="157" ht="15.75" customHeight="1">
      <c r="D157" s="45"/>
      <c r="P157" s="108"/>
      <c r="Q157" s="108"/>
      <c r="R157" s="108"/>
      <c r="S157" s="108"/>
      <c r="T157" s="108"/>
      <c r="U157" s="108"/>
    </row>
    <row r="158" ht="15.75" customHeight="1">
      <c r="D158" s="45"/>
      <c r="P158" s="108"/>
      <c r="Q158" s="108"/>
      <c r="R158" s="108"/>
      <c r="S158" s="108"/>
      <c r="T158" s="108"/>
      <c r="U158" s="108"/>
    </row>
    <row r="159" ht="15.75" customHeight="1">
      <c r="D159" s="45"/>
      <c r="O159" s="111"/>
      <c r="P159" s="111"/>
      <c r="Q159" s="108"/>
      <c r="R159" s="108"/>
      <c r="S159" s="108"/>
      <c r="T159" s="108"/>
      <c r="U159" s="108"/>
    </row>
    <row r="160" ht="15.75" customHeight="1">
      <c r="D160" s="45"/>
      <c r="P160" s="108"/>
      <c r="Q160" s="108"/>
      <c r="R160" s="108"/>
      <c r="S160" s="108"/>
      <c r="T160" s="108"/>
      <c r="U160" s="108"/>
    </row>
    <row r="161" ht="15.75" customHeight="1">
      <c r="D161" s="45"/>
      <c r="P161" s="108"/>
      <c r="Q161" s="108"/>
      <c r="R161" s="108"/>
      <c r="S161" s="108"/>
      <c r="T161" s="108"/>
      <c r="U161" s="108"/>
    </row>
    <row r="162" ht="15.75" customHeight="1">
      <c r="D162" s="45"/>
      <c r="O162" s="111"/>
      <c r="P162" s="111"/>
      <c r="Q162" s="108"/>
      <c r="R162" s="108"/>
      <c r="S162" s="108"/>
      <c r="T162" s="108"/>
      <c r="U162" s="108"/>
    </row>
    <row r="163" ht="15.75" customHeight="1">
      <c r="D163" s="45"/>
      <c r="P163" s="108"/>
      <c r="Q163" s="108"/>
      <c r="R163" s="108"/>
      <c r="S163" s="108"/>
      <c r="T163" s="108"/>
      <c r="U163" s="108"/>
    </row>
    <row r="164" ht="15.75" customHeight="1">
      <c r="D164" s="45"/>
      <c r="P164" s="108"/>
      <c r="Q164" s="108"/>
      <c r="R164" s="108"/>
      <c r="S164" s="108"/>
      <c r="T164" s="108"/>
      <c r="U164" s="108"/>
    </row>
    <row r="165" ht="15.75" customHeight="1">
      <c r="D165" s="45"/>
      <c r="O165" s="111"/>
      <c r="P165" s="111"/>
      <c r="Q165" s="108"/>
      <c r="R165" s="108"/>
      <c r="S165" s="108"/>
      <c r="T165" s="108"/>
      <c r="U165" s="108"/>
    </row>
    <row r="166" ht="15.75" customHeight="1">
      <c r="B166" s="86"/>
      <c r="C166" s="86"/>
      <c r="D166" s="159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108"/>
      <c r="Q166" s="108"/>
      <c r="R166" s="108"/>
      <c r="S166" s="108"/>
      <c r="T166" s="108"/>
      <c r="U166" s="108"/>
    </row>
    <row r="167" ht="15.75" customHeight="1">
      <c r="D167" s="45"/>
      <c r="P167" s="108"/>
      <c r="Q167" s="108"/>
      <c r="R167" s="108"/>
      <c r="S167" s="108"/>
      <c r="T167" s="108"/>
      <c r="U167" s="108"/>
    </row>
    <row r="168" ht="15.75" customHeight="1">
      <c r="D168" s="45"/>
      <c r="O168" s="111"/>
      <c r="P168" s="111"/>
      <c r="Q168" s="108"/>
      <c r="R168" s="108"/>
      <c r="S168" s="108"/>
      <c r="T168" s="108"/>
      <c r="U168" s="108"/>
    </row>
    <row r="169" ht="15.75" customHeight="1">
      <c r="D169" s="45"/>
      <c r="P169" s="108"/>
      <c r="Q169" s="108"/>
      <c r="R169" s="108"/>
      <c r="S169" s="108"/>
      <c r="T169" s="108"/>
      <c r="U169" s="108"/>
    </row>
    <row r="170" ht="15.75" customHeight="1">
      <c r="D170" s="45"/>
      <c r="P170" s="108"/>
      <c r="Q170" s="108"/>
      <c r="R170" s="108"/>
      <c r="S170" s="108"/>
      <c r="T170" s="108"/>
      <c r="U170" s="108"/>
    </row>
    <row r="171" ht="15.75" customHeight="1">
      <c r="D171" s="45"/>
      <c r="O171" s="111"/>
      <c r="P171" s="111"/>
      <c r="Q171" s="108"/>
      <c r="R171" s="108"/>
      <c r="S171" s="108"/>
      <c r="T171" s="108"/>
      <c r="U171" s="108"/>
    </row>
    <row r="172" ht="15.75" customHeight="1">
      <c r="D172" s="45"/>
      <c r="P172" s="108"/>
      <c r="Q172" s="108"/>
      <c r="R172" s="108"/>
      <c r="S172" s="108"/>
      <c r="T172" s="108"/>
      <c r="U172" s="108"/>
    </row>
    <row r="173" ht="15.75" customHeight="1">
      <c r="D173" s="45"/>
      <c r="P173" s="108"/>
      <c r="Q173" s="108"/>
      <c r="R173" s="108"/>
      <c r="S173" s="108"/>
      <c r="T173" s="108"/>
      <c r="U173" s="108"/>
    </row>
    <row r="174" ht="15.75" customHeight="1">
      <c r="D174" s="45"/>
      <c r="O174" s="111"/>
      <c r="P174" s="111"/>
      <c r="Q174" s="108"/>
      <c r="R174" s="108"/>
      <c r="S174" s="108"/>
      <c r="T174" s="108"/>
      <c r="U174" s="108"/>
    </row>
    <row r="175" ht="15.75" customHeight="1">
      <c r="D175" s="45"/>
      <c r="P175" s="108"/>
      <c r="Q175" s="108"/>
      <c r="R175" s="108"/>
      <c r="S175" s="108"/>
      <c r="T175" s="108"/>
      <c r="U175" s="108"/>
    </row>
    <row r="176" ht="15.75" customHeight="1">
      <c r="D176" s="45"/>
      <c r="P176" s="108"/>
      <c r="Q176" s="108"/>
      <c r="R176" s="108"/>
      <c r="S176" s="108"/>
      <c r="T176" s="108"/>
      <c r="U176" s="108"/>
    </row>
    <row r="177" ht="15.75" customHeight="1">
      <c r="D177" s="45"/>
      <c r="O177" s="111"/>
      <c r="P177" s="111"/>
      <c r="Q177" s="108"/>
      <c r="R177" s="108"/>
      <c r="S177" s="108"/>
      <c r="T177" s="108"/>
      <c r="U177" s="108"/>
    </row>
    <row r="178" ht="15.75" customHeight="1">
      <c r="D178" s="45"/>
      <c r="P178" s="108"/>
      <c r="Q178" s="108"/>
      <c r="R178" s="108"/>
      <c r="S178" s="108"/>
      <c r="T178" s="108"/>
      <c r="U178" s="108"/>
    </row>
    <row r="179" ht="15.75" customHeight="1">
      <c r="D179" s="45"/>
      <c r="P179" s="108"/>
      <c r="Q179" s="108"/>
      <c r="R179" s="108"/>
      <c r="S179" s="108"/>
      <c r="T179" s="108"/>
      <c r="U179" s="108"/>
    </row>
    <row r="180" ht="15.75" customHeight="1">
      <c r="D180" s="45"/>
      <c r="O180" s="111"/>
      <c r="P180" s="111"/>
      <c r="Q180" s="108"/>
      <c r="R180" s="108"/>
      <c r="S180" s="108"/>
      <c r="T180" s="108"/>
      <c r="U180" s="108"/>
    </row>
    <row r="181" ht="15.75" customHeight="1">
      <c r="D181" s="45"/>
      <c r="P181" s="108"/>
      <c r="Q181" s="108"/>
      <c r="R181" s="108"/>
      <c r="S181" s="108"/>
      <c r="T181" s="108"/>
      <c r="U181" s="108"/>
    </row>
    <row r="182" ht="15.75" customHeight="1">
      <c r="D182" s="45"/>
      <c r="P182" s="108"/>
      <c r="Q182" s="108"/>
      <c r="R182" s="108"/>
      <c r="S182" s="108"/>
      <c r="T182" s="108"/>
      <c r="U182" s="108"/>
    </row>
    <row r="183" ht="15.75" customHeight="1">
      <c r="D183" s="45"/>
      <c r="O183" s="111"/>
      <c r="P183" s="111"/>
      <c r="Q183" s="108"/>
      <c r="R183" s="108"/>
      <c r="S183" s="108"/>
      <c r="T183" s="108"/>
      <c r="U183" s="108"/>
    </row>
    <row r="184" ht="15.75" customHeight="1">
      <c r="D184" s="45"/>
      <c r="P184" s="108"/>
      <c r="Q184" s="108"/>
      <c r="R184" s="108"/>
      <c r="S184" s="108"/>
      <c r="T184" s="108"/>
      <c r="U184" s="108"/>
    </row>
    <row r="185" ht="15.75" customHeight="1">
      <c r="D185" s="45"/>
      <c r="P185" s="108"/>
      <c r="Q185" s="108"/>
      <c r="R185" s="108"/>
      <c r="S185" s="108"/>
      <c r="T185" s="108"/>
      <c r="U185" s="108"/>
    </row>
    <row r="186" ht="15.75" customHeight="1">
      <c r="D186" s="45"/>
      <c r="O186" s="111"/>
      <c r="P186" s="111"/>
      <c r="Q186" s="108"/>
      <c r="R186" s="108"/>
      <c r="S186" s="108"/>
      <c r="T186" s="108"/>
      <c r="U186" s="108"/>
    </row>
    <row r="187" ht="15.75" customHeight="1">
      <c r="D187" s="45"/>
      <c r="P187" s="108"/>
      <c r="Q187" s="108"/>
      <c r="R187" s="108"/>
      <c r="S187" s="108"/>
      <c r="T187" s="108"/>
      <c r="U187" s="108"/>
    </row>
    <row r="188" ht="15.75" customHeight="1">
      <c r="D188" s="45"/>
      <c r="P188" s="108"/>
      <c r="Q188" s="108"/>
      <c r="R188" s="108"/>
      <c r="S188" s="108"/>
      <c r="T188" s="108"/>
      <c r="U188" s="108"/>
    </row>
    <row r="189" ht="15.75" customHeight="1">
      <c r="D189" s="45"/>
      <c r="O189" s="111"/>
      <c r="P189" s="111"/>
      <c r="Q189" s="108"/>
      <c r="R189" s="108"/>
      <c r="S189" s="108"/>
      <c r="T189" s="108"/>
      <c r="U189" s="108"/>
    </row>
    <row r="190" ht="15.75" customHeight="1">
      <c r="D190" s="45"/>
      <c r="P190" s="108"/>
      <c r="Q190" s="108"/>
      <c r="R190" s="108"/>
      <c r="S190" s="108"/>
      <c r="T190" s="108"/>
      <c r="U190" s="108"/>
    </row>
    <row r="191" ht="15.75" customHeight="1">
      <c r="D191" s="45"/>
      <c r="P191" s="108"/>
      <c r="Q191" s="108"/>
      <c r="R191" s="108"/>
      <c r="S191" s="108"/>
      <c r="T191" s="108"/>
      <c r="U191" s="108"/>
    </row>
    <row r="192" ht="15.75" customHeight="1">
      <c r="D192" s="45"/>
      <c r="O192" s="111"/>
      <c r="P192" s="111"/>
      <c r="Q192" s="108"/>
      <c r="R192" s="108"/>
      <c r="S192" s="108"/>
      <c r="T192" s="108"/>
      <c r="U192" s="108"/>
    </row>
    <row r="193" ht="15.75" customHeight="1">
      <c r="D193" s="45"/>
      <c r="P193" s="108"/>
      <c r="Q193" s="108"/>
      <c r="R193" s="108"/>
      <c r="S193" s="108"/>
      <c r="T193" s="108"/>
      <c r="U193" s="108"/>
    </row>
    <row r="194" ht="15.75" customHeight="1">
      <c r="D194" s="45"/>
      <c r="P194" s="108"/>
      <c r="Q194" s="108"/>
      <c r="R194" s="108"/>
      <c r="S194" s="108"/>
      <c r="T194" s="108"/>
      <c r="U194" s="108"/>
    </row>
    <row r="195" ht="15.75" customHeight="1">
      <c r="D195" s="45"/>
      <c r="O195" s="111"/>
      <c r="P195" s="111"/>
      <c r="Q195" s="108"/>
      <c r="R195" s="108"/>
      <c r="S195" s="108"/>
      <c r="T195" s="108"/>
      <c r="U195" s="108"/>
    </row>
    <row r="196" ht="15.75" customHeight="1">
      <c r="D196" s="45"/>
      <c r="P196" s="108"/>
      <c r="Q196" s="108"/>
      <c r="R196" s="108"/>
      <c r="S196" s="108"/>
      <c r="T196" s="108"/>
      <c r="U196" s="108"/>
    </row>
    <row r="197" ht="15.75" customHeight="1">
      <c r="D197" s="45"/>
      <c r="P197" s="108"/>
      <c r="Q197" s="108"/>
      <c r="R197" s="108"/>
      <c r="S197" s="108"/>
      <c r="T197" s="108"/>
      <c r="U197" s="108"/>
    </row>
    <row r="198" ht="15.75" customHeight="1">
      <c r="D198" s="45"/>
      <c r="O198" s="111"/>
      <c r="P198" s="111"/>
      <c r="Q198" s="108"/>
      <c r="R198" s="108"/>
      <c r="S198" s="108"/>
      <c r="T198" s="108"/>
      <c r="U198" s="108"/>
    </row>
    <row r="199" ht="15.75" customHeight="1">
      <c r="D199" s="45"/>
      <c r="P199" s="108"/>
      <c r="Q199" s="108"/>
      <c r="R199" s="108"/>
      <c r="S199" s="108"/>
      <c r="T199" s="108"/>
      <c r="U199" s="108"/>
    </row>
    <row r="200" ht="15.75" customHeight="1">
      <c r="D200" s="45"/>
      <c r="P200" s="108"/>
      <c r="Q200" s="108"/>
      <c r="R200" s="108"/>
      <c r="S200" s="108"/>
      <c r="T200" s="108"/>
      <c r="U200" s="108"/>
    </row>
    <row r="201" ht="15.75" customHeight="1">
      <c r="D201" s="45"/>
      <c r="O201" s="111"/>
      <c r="P201" s="111"/>
      <c r="Q201" s="108"/>
      <c r="R201" s="108"/>
      <c r="S201" s="108"/>
      <c r="T201" s="108"/>
      <c r="U201" s="108"/>
    </row>
    <row r="202" ht="15.75" customHeight="1">
      <c r="D202" s="45"/>
      <c r="P202" s="108"/>
      <c r="Q202" s="108"/>
      <c r="R202" s="108"/>
      <c r="S202" s="108"/>
      <c r="T202" s="108"/>
      <c r="U202" s="108"/>
    </row>
    <row r="203" ht="15.75" customHeight="1">
      <c r="D203" s="45"/>
      <c r="P203" s="108"/>
      <c r="Q203" s="108"/>
      <c r="R203" s="108"/>
      <c r="S203" s="108"/>
      <c r="T203" s="108"/>
      <c r="U203" s="108"/>
    </row>
    <row r="204" ht="15.75" customHeight="1">
      <c r="D204" s="45"/>
      <c r="O204" s="111"/>
      <c r="P204" s="111"/>
      <c r="Q204" s="108"/>
      <c r="R204" s="108"/>
      <c r="S204" s="108"/>
      <c r="T204" s="108"/>
      <c r="U204" s="108"/>
    </row>
    <row r="205" ht="15.75" customHeight="1">
      <c r="D205" s="45"/>
      <c r="P205" s="108"/>
      <c r="Q205" s="108"/>
      <c r="R205" s="108"/>
      <c r="S205" s="108"/>
      <c r="T205" s="108"/>
      <c r="U205" s="108"/>
    </row>
    <row r="206" ht="15.75" customHeight="1">
      <c r="D206" s="45"/>
      <c r="P206" s="108"/>
      <c r="Q206" s="108"/>
      <c r="R206" s="108"/>
      <c r="S206" s="108"/>
      <c r="T206" s="108"/>
      <c r="U206" s="108"/>
    </row>
    <row r="207" ht="15.75" customHeight="1">
      <c r="D207" s="45"/>
      <c r="P207" s="108"/>
      <c r="Q207" s="108"/>
      <c r="R207" s="108"/>
      <c r="S207" s="108"/>
      <c r="T207" s="108"/>
      <c r="U207" s="108"/>
    </row>
    <row r="208" ht="15.75" customHeight="1">
      <c r="D208" s="45"/>
      <c r="O208" s="108"/>
      <c r="P208" s="108"/>
      <c r="Q208" s="108"/>
      <c r="R208" s="108"/>
      <c r="S208" s="108"/>
      <c r="T208" s="108"/>
      <c r="U208" s="108"/>
    </row>
    <row r="209" ht="15.75" customHeight="1">
      <c r="D209" s="45"/>
      <c r="O209" s="111"/>
      <c r="P209" s="111"/>
      <c r="Q209" s="108"/>
      <c r="R209" s="108"/>
      <c r="S209" s="108"/>
      <c r="T209" s="108"/>
      <c r="U209" s="108"/>
    </row>
    <row r="210" ht="15.75" customHeight="1">
      <c r="D210" s="45"/>
      <c r="P210" s="108"/>
      <c r="Q210" s="108"/>
      <c r="R210" s="108"/>
      <c r="S210" s="108"/>
      <c r="T210" s="108"/>
      <c r="U210" s="108"/>
    </row>
    <row r="211" ht="15.75" customHeight="1">
      <c r="D211" s="45"/>
      <c r="P211" s="108"/>
      <c r="Q211" s="108"/>
      <c r="R211" s="108"/>
      <c r="S211" s="108"/>
      <c r="T211" s="108"/>
      <c r="U211" s="108"/>
    </row>
    <row r="212" ht="15.75" customHeight="1">
      <c r="D212" s="45"/>
      <c r="O212" s="113"/>
      <c r="P212" s="113"/>
      <c r="Q212" s="108"/>
      <c r="R212" s="108"/>
      <c r="S212" s="108"/>
      <c r="T212" s="108"/>
      <c r="U212" s="108"/>
    </row>
    <row r="213" ht="15.75" customHeight="1">
      <c r="D213" s="45"/>
      <c r="P213" s="108"/>
      <c r="Q213" s="108"/>
      <c r="R213" s="108"/>
      <c r="S213" s="108"/>
      <c r="T213" s="108"/>
      <c r="U213" s="108"/>
    </row>
    <row r="214" ht="15.75" customHeight="1">
      <c r="D214" s="45"/>
      <c r="P214" s="108"/>
      <c r="Q214" s="108"/>
      <c r="R214" s="108"/>
      <c r="S214" s="108"/>
      <c r="T214" s="108"/>
      <c r="U214" s="108"/>
    </row>
    <row r="215" ht="15.75" customHeight="1">
      <c r="D215" s="45"/>
      <c r="O215" s="113"/>
      <c r="P215" s="113"/>
      <c r="Q215" s="108"/>
      <c r="R215" s="108"/>
      <c r="S215" s="108"/>
      <c r="T215" s="108"/>
      <c r="U215" s="108"/>
    </row>
    <row r="216" ht="15.75" customHeight="1">
      <c r="D216" s="45"/>
      <c r="P216" s="108"/>
      <c r="Q216" s="108"/>
      <c r="R216" s="108"/>
      <c r="S216" s="108"/>
      <c r="T216" s="108"/>
      <c r="U216" s="108"/>
    </row>
    <row r="217" ht="15.75" customHeight="1">
      <c r="D217" s="45"/>
      <c r="P217" s="108"/>
      <c r="Q217" s="108"/>
      <c r="R217" s="108"/>
      <c r="S217" s="108"/>
      <c r="T217" s="108"/>
      <c r="U217" s="108"/>
    </row>
    <row r="218" ht="15.75" customHeight="1">
      <c r="D218" s="45"/>
      <c r="O218" s="108"/>
      <c r="P218" s="108"/>
      <c r="Q218" s="108"/>
      <c r="R218" s="108"/>
      <c r="S218" s="108"/>
      <c r="T218" s="108"/>
      <c r="U218" s="108"/>
    </row>
    <row r="219" ht="15.75" customHeight="1">
      <c r="D219" s="45"/>
      <c r="P219" s="108"/>
      <c r="Q219" s="108"/>
      <c r="R219" s="108"/>
      <c r="S219" s="108"/>
      <c r="T219" s="108"/>
      <c r="U219" s="108"/>
    </row>
    <row r="220" ht="15.75" customHeight="1">
      <c r="D220" s="45"/>
      <c r="P220" s="108"/>
      <c r="Q220" s="108"/>
      <c r="R220" s="108"/>
      <c r="S220" s="108"/>
      <c r="T220" s="108"/>
      <c r="U220" s="108"/>
    </row>
    <row r="221" ht="15.75" customHeight="1">
      <c r="D221" s="45"/>
      <c r="O221" s="113"/>
      <c r="P221" s="113"/>
      <c r="Q221" s="108"/>
      <c r="R221" s="108"/>
      <c r="S221" s="108"/>
      <c r="T221" s="108"/>
      <c r="U221" s="108"/>
    </row>
    <row r="222" ht="15.75" customHeight="1">
      <c r="D222" s="45"/>
      <c r="P222" s="108"/>
      <c r="Q222" s="108"/>
      <c r="R222" s="108"/>
      <c r="S222" s="108"/>
      <c r="T222" s="108"/>
      <c r="U222" s="108"/>
    </row>
    <row r="223" ht="15.75" customHeight="1">
      <c r="D223" s="45"/>
      <c r="P223" s="108"/>
      <c r="Q223" s="108"/>
      <c r="R223" s="108"/>
      <c r="S223" s="108"/>
      <c r="T223" s="108"/>
      <c r="U223" s="108"/>
    </row>
    <row r="224" ht="15.75" customHeight="1">
      <c r="D224" s="45"/>
      <c r="O224" s="113"/>
      <c r="P224" s="113"/>
      <c r="Q224" s="108"/>
      <c r="R224" s="108"/>
      <c r="S224" s="108"/>
      <c r="T224" s="108"/>
      <c r="U224" s="108"/>
    </row>
    <row r="225" ht="15.75" customHeight="1">
      <c r="D225" s="45"/>
      <c r="P225" s="108"/>
      <c r="Q225" s="108"/>
      <c r="R225" s="108"/>
      <c r="S225" s="108"/>
      <c r="T225" s="108"/>
      <c r="U225" s="108"/>
    </row>
    <row r="226" ht="15.75" customHeight="1">
      <c r="D226" s="45"/>
      <c r="P226" s="108"/>
      <c r="Q226" s="108"/>
      <c r="R226" s="108"/>
      <c r="S226" s="108"/>
      <c r="T226" s="108"/>
      <c r="U226" s="108"/>
    </row>
    <row r="227" ht="15.75" customHeight="1">
      <c r="D227" s="45"/>
      <c r="O227" s="113"/>
      <c r="P227" s="113"/>
      <c r="Q227" s="108"/>
      <c r="R227" s="108"/>
      <c r="S227" s="108"/>
      <c r="T227" s="108"/>
      <c r="U227" s="108"/>
    </row>
    <row r="228" ht="15.75" customHeight="1">
      <c r="D228" s="45"/>
      <c r="P228" s="108"/>
      <c r="Q228" s="108"/>
      <c r="R228" s="108"/>
      <c r="S228" s="108"/>
      <c r="T228" s="108"/>
      <c r="U228" s="108"/>
    </row>
    <row r="229" ht="15.75" customHeight="1">
      <c r="D229" s="45"/>
      <c r="P229" s="108"/>
      <c r="Q229" s="108"/>
      <c r="R229" s="108"/>
      <c r="S229" s="108"/>
      <c r="T229" s="108"/>
      <c r="U229" s="108"/>
    </row>
    <row r="230" ht="15.75" customHeight="1">
      <c r="D230" s="45"/>
      <c r="O230" s="113"/>
      <c r="P230" s="113"/>
      <c r="Q230" s="108"/>
      <c r="R230" s="108"/>
      <c r="S230" s="108"/>
      <c r="T230" s="108"/>
      <c r="U230" s="108"/>
    </row>
    <row r="231" ht="15.75" customHeight="1">
      <c r="D231" s="45"/>
      <c r="P231" s="108"/>
      <c r="Q231" s="108"/>
      <c r="R231" s="108"/>
      <c r="S231" s="108"/>
      <c r="T231" s="108"/>
      <c r="U231" s="108"/>
    </row>
    <row r="232" ht="15.75" customHeight="1">
      <c r="D232" s="45"/>
      <c r="P232" s="108"/>
      <c r="Q232" s="108"/>
      <c r="R232" s="108"/>
      <c r="S232" s="108"/>
      <c r="T232" s="108"/>
      <c r="U232" s="108"/>
    </row>
    <row r="233" ht="15.75" customHeight="1">
      <c r="D233" s="45"/>
      <c r="O233" s="113"/>
      <c r="P233" s="113"/>
      <c r="Q233" s="108"/>
      <c r="R233" s="108"/>
      <c r="S233" s="108"/>
      <c r="T233" s="108"/>
      <c r="U233" s="108"/>
    </row>
    <row r="234" ht="15.75" customHeight="1">
      <c r="D234" s="45"/>
      <c r="P234" s="108"/>
      <c r="Q234" s="108"/>
      <c r="R234" s="108"/>
      <c r="S234" s="108"/>
      <c r="T234" s="108"/>
      <c r="U234" s="108"/>
    </row>
    <row r="235" ht="15.75" customHeight="1">
      <c r="D235" s="45"/>
      <c r="P235" s="108"/>
      <c r="Q235" s="108"/>
      <c r="R235" s="108"/>
      <c r="S235" s="108"/>
      <c r="T235" s="108"/>
      <c r="U235" s="108"/>
    </row>
    <row r="236" ht="15.75" customHeight="1">
      <c r="D236" s="45"/>
      <c r="O236" s="108"/>
      <c r="P236" s="108"/>
      <c r="Q236" s="108"/>
      <c r="R236" s="108"/>
      <c r="S236" s="108"/>
      <c r="T236" s="108"/>
      <c r="U236" s="108"/>
    </row>
    <row r="237" ht="15.75" customHeight="1">
      <c r="D237" s="45"/>
      <c r="P237" s="108"/>
      <c r="Q237" s="108"/>
      <c r="R237" s="108"/>
      <c r="S237" s="108"/>
      <c r="T237" s="108"/>
      <c r="U237" s="108"/>
    </row>
    <row r="238" ht="15.75" customHeight="1">
      <c r="D238" s="45"/>
      <c r="P238" s="108"/>
      <c r="Q238" s="108"/>
      <c r="R238" s="108"/>
      <c r="S238" s="108"/>
      <c r="T238" s="108"/>
      <c r="U238" s="108"/>
    </row>
    <row r="239" ht="15.75" customHeight="1">
      <c r="D239" s="45"/>
      <c r="O239" s="113"/>
      <c r="P239" s="113"/>
      <c r="Q239" s="108"/>
      <c r="R239" s="108"/>
      <c r="S239" s="108"/>
      <c r="T239" s="108"/>
      <c r="U239" s="108"/>
    </row>
    <row r="240" ht="15.75" customHeight="1">
      <c r="D240" s="45"/>
      <c r="P240" s="108"/>
      <c r="Q240" s="108"/>
      <c r="R240" s="108"/>
      <c r="S240" s="108"/>
      <c r="T240" s="108"/>
      <c r="U240" s="108"/>
    </row>
    <row r="241" ht="15.75" customHeight="1">
      <c r="D241" s="45"/>
      <c r="P241" s="108"/>
      <c r="Q241" s="108"/>
      <c r="R241" s="108"/>
      <c r="S241" s="108"/>
      <c r="T241" s="108"/>
      <c r="U241" s="108"/>
    </row>
    <row r="242" ht="15.75" customHeight="1">
      <c r="D242" s="45"/>
      <c r="O242" s="113"/>
      <c r="P242" s="113"/>
      <c r="Q242" s="108"/>
      <c r="R242" s="108"/>
      <c r="S242" s="108"/>
      <c r="T242" s="108"/>
      <c r="U242" s="108"/>
    </row>
    <row r="243" ht="15.75" customHeight="1">
      <c r="D243" s="45"/>
      <c r="P243" s="108"/>
      <c r="Q243" s="108"/>
      <c r="R243" s="108"/>
      <c r="S243" s="108"/>
      <c r="T243" s="108"/>
      <c r="U243" s="108"/>
    </row>
    <row r="244" ht="15.75" customHeight="1">
      <c r="D244" s="45"/>
      <c r="P244" s="108"/>
      <c r="Q244" s="108"/>
      <c r="R244" s="108"/>
      <c r="S244" s="108"/>
      <c r="T244" s="108"/>
      <c r="U244" s="108"/>
    </row>
    <row r="245" ht="15.75" customHeight="1">
      <c r="D245" s="45"/>
      <c r="O245" s="113"/>
      <c r="P245" s="113"/>
      <c r="Q245" s="108"/>
      <c r="R245" s="108"/>
      <c r="S245" s="108"/>
      <c r="T245" s="108"/>
      <c r="U245" s="108"/>
    </row>
    <row r="246" ht="15.75" customHeight="1">
      <c r="D246" s="45"/>
      <c r="P246" s="108"/>
      <c r="Q246" s="108"/>
      <c r="R246" s="108"/>
      <c r="S246" s="108"/>
      <c r="T246" s="108"/>
      <c r="U246" s="108"/>
    </row>
    <row r="247" ht="15.75" customHeight="1">
      <c r="D247" s="45"/>
      <c r="P247" s="108"/>
      <c r="Q247" s="108"/>
      <c r="R247" s="108"/>
      <c r="S247" s="108"/>
      <c r="T247" s="108"/>
      <c r="U247" s="108"/>
    </row>
    <row r="248" ht="15.75" customHeight="1">
      <c r="D248" s="45"/>
      <c r="O248" s="113"/>
      <c r="P248" s="113"/>
      <c r="Q248" s="108"/>
      <c r="R248" s="108"/>
      <c r="S248" s="108"/>
      <c r="T248" s="108"/>
      <c r="U248" s="108"/>
    </row>
    <row r="249" ht="15.75" customHeight="1">
      <c r="D249" s="45"/>
      <c r="P249" s="108"/>
      <c r="Q249" s="108"/>
      <c r="R249" s="108"/>
      <c r="S249" s="108"/>
      <c r="T249" s="108"/>
      <c r="U249" s="108"/>
    </row>
    <row r="250" ht="15.75" customHeight="1">
      <c r="D250" s="45"/>
      <c r="P250" s="108"/>
      <c r="Q250" s="108"/>
      <c r="R250" s="108"/>
      <c r="S250" s="108"/>
      <c r="T250" s="108"/>
      <c r="U250" s="108"/>
    </row>
    <row r="251" ht="15.75" customHeight="1">
      <c r="D251" s="45"/>
      <c r="O251" s="113"/>
      <c r="P251" s="113"/>
      <c r="Q251" s="108"/>
      <c r="R251" s="108"/>
      <c r="S251" s="108"/>
      <c r="T251" s="108"/>
      <c r="U251" s="108"/>
    </row>
    <row r="252" ht="15.75" customHeight="1">
      <c r="D252" s="45"/>
      <c r="P252" s="108"/>
      <c r="Q252" s="108"/>
      <c r="R252" s="108"/>
      <c r="S252" s="108"/>
      <c r="T252" s="108"/>
      <c r="U252" s="108"/>
    </row>
    <row r="253" ht="15.75" customHeight="1">
      <c r="D253" s="45"/>
      <c r="P253" s="108"/>
      <c r="Q253" s="108"/>
      <c r="R253" s="108"/>
      <c r="S253" s="108"/>
      <c r="T253" s="108"/>
      <c r="U253" s="108"/>
    </row>
    <row r="254" ht="15.75" customHeight="1">
      <c r="D254" s="45"/>
      <c r="O254" s="108"/>
      <c r="P254" s="108"/>
      <c r="Q254" s="108"/>
      <c r="R254" s="108"/>
      <c r="S254" s="108"/>
      <c r="T254" s="108"/>
      <c r="U254" s="108"/>
    </row>
    <row r="255" ht="15.75" customHeight="1">
      <c r="D255" s="45"/>
      <c r="P255" s="108"/>
      <c r="Q255" s="108"/>
      <c r="R255" s="108"/>
      <c r="S255" s="108"/>
      <c r="T255" s="108"/>
      <c r="U255" s="108"/>
    </row>
    <row r="256" ht="15.75" customHeight="1">
      <c r="D256" s="45"/>
      <c r="P256" s="108"/>
      <c r="Q256" s="108"/>
      <c r="R256" s="108"/>
      <c r="S256" s="108"/>
      <c r="T256" s="108"/>
      <c r="U256" s="108"/>
    </row>
    <row r="257" ht="15.75" customHeight="1">
      <c r="D257" s="45"/>
      <c r="O257" s="113"/>
      <c r="P257" s="113"/>
      <c r="Q257" s="108"/>
      <c r="R257" s="108"/>
      <c r="S257" s="108"/>
      <c r="T257" s="108"/>
      <c r="U257" s="108"/>
    </row>
    <row r="258" ht="15.75" customHeight="1">
      <c r="D258" s="45"/>
      <c r="P258" s="108"/>
      <c r="Q258" s="108"/>
      <c r="R258" s="108"/>
      <c r="S258" s="108"/>
      <c r="T258" s="108"/>
      <c r="U258" s="108"/>
    </row>
    <row r="259" ht="15.75" customHeight="1">
      <c r="D259" s="45"/>
      <c r="P259" s="108"/>
      <c r="Q259" s="108"/>
      <c r="R259" s="108"/>
      <c r="S259" s="108"/>
      <c r="T259" s="108"/>
      <c r="U259" s="108"/>
    </row>
    <row r="260" ht="15.75" customHeight="1">
      <c r="D260" s="45"/>
      <c r="O260" s="113"/>
      <c r="P260" s="113"/>
      <c r="Q260" s="108"/>
      <c r="R260" s="108"/>
      <c r="S260" s="108"/>
      <c r="T260" s="108"/>
      <c r="U260" s="108"/>
    </row>
    <row r="261" ht="15.75" customHeight="1">
      <c r="D261" s="45"/>
      <c r="P261" s="108"/>
      <c r="Q261" s="108"/>
      <c r="R261" s="108"/>
      <c r="S261" s="108"/>
      <c r="T261" s="108"/>
      <c r="U261" s="108"/>
    </row>
    <row r="262" ht="15.75" customHeight="1">
      <c r="D262" s="45"/>
      <c r="P262" s="108"/>
      <c r="Q262" s="108"/>
      <c r="R262" s="108"/>
      <c r="S262" s="108"/>
      <c r="T262" s="108"/>
      <c r="U262" s="108"/>
    </row>
    <row r="263" ht="15.75" customHeight="1">
      <c r="D263" s="45"/>
      <c r="O263" s="113"/>
      <c r="P263" s="113"/>
      <c r="Q263" s="108"/>
      <c r="R263" s="108"/>
      <c r="S263" s="108"/>
      <c r="T263" s="108"/>
      <c r="U263" s="108"/>
    </row>
    <row r="264" ht="15.75" customHeight="1">
      <c r="D264" s="45"/>
      <c r="P264" s="108"/>
      <c r="Q264" s="108"/>
      <c r="R264" s="108"/>
      <c r="S264" s="108"/>
      <c r="T264" s="108"/>
      <c r="U264" s="108"/>
    </row>
    <row r="265" ht="15.75" customHeight="1">
      <c r="D265" s="45"/>
      <c r="P265" s="108"/>
      <c r="Q265" s="108"/>
      <c r="R265" s="108"/>
      <c r="S265" s="108"/>
      <c r="T265" s="108"/>
      <c r="U265" s="108"/>
    </row>
    <row r="266" ht="15.75" customHeight="1">
      <c r="D266" s="45"/>
      <c r="O266" s="108"/>
      <c r="P266" s="108"/>
      <c r="Q266" s="108"/>
      <c r="R266" s="108"/>
      <c r="S266" s="108"/>
      <c r="T266" s="108"/>
      <c r="U266" s="108"/>
    </row>
    <row r="267" ht="15.75" customHeight="1">
      <c r="D267" s="45"/>
      <c r="P267" s="108"/>
      <c r="Q267" s="108"/>
      <c r="R267" s="108"/>
      <c r="S267" s="108"/>
      <c r="T267" s="108"/>
      <c r="U267" s="108"/>
    </row>
    <row r="268" ht="15.75" customHeight="1">
      <c r="D268" s="45"/>
      <c r="P268" s="108"/>
      <c r="Q268" s="108"/>
      <c r="R268" s="108"/>
      <c r="S268" s="108"/>
      <c r="T268" s="108"/>
      <c r="U268" s="108"/>
    </row>
    <row r="269" ht="15.75" customHeight="1">
      <c r="D269" s="45"/>
      <c r="O269" s="108"/>
      <c r="P269" s="108"/>
      <c r="Q269" s="108"/>
      <c r="R269" s="108"/>
      <c r="S269" s="108"/>
      <c r="T269" s="108"/>
      <c r="U269" s="108"/>
    </row>
    <row r="270" ht="15.75" customHeight="1">
      <c r="D270" s="45"/>
      <c r="P270" s="108"/>
      <c r="Q270" s="108"/>
      <c r="R270" s="108"/>
      <c r="S270" s="108"/>
      <c r="T270" s="108"/>
      <c r="U270" s="108"/>
    </row>
    <row r="271" ht="15.75" customHeight="1">
      <c r="D271" s="45"/>
      <c r="P271" s="108"/>
      <c r="Q271" s="108"/>
      <c r="R271" s="108"/>
      <c r="S271" s="108"/>
      <c r="T271" s="108"/>
      <c r="U271" s="108"/>
    </row>
    <row r="272" ht="15.75" customHeight="1">
      <c r="D272" s="45"/>
      <c r="O272" s="108"/>
      <c r="P272" s="108"/>
      <c r="Q272" s="108"/>
      <c r="R272" s="108"/>
      <c r="S272" s="108"/>
      <c r="T272" s="108"/>
      <c r="U272" s="108"/>
    </row>
    <row r="273" ht="15.75" customHeight="1">
      <c r="D273" s="45"/>
      <c r="P273" s="108"/>
      <c r="Q273" s="108"/>
      <c r="R273" s="108"/>
      <c r="S273" s="108"/>
      <c r="T273" s="108"/>
      <c r="U273" s="108"/>
    </row>
    <row r="274" ht="15.75" customHeight="1">
      <c r="D274" s="45"/>
      <c r="P274" s="108"/>
      <c r="Q274" s="108"/>
      <c r="R274" s="108"/>
      <c r="S274" s="108"/>
      <c r="T274" s="108"/>
      <c r="U274" s="108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B20:C20"/>
    <mergeCell ref="B21:C21"/>
    <mergeCell ref="B43:C43"/>
    <mergeCell ref="B54:C54"/>
    <mergeCell ref="B55:C55"/>
    <mergeCell ref="B66:C66"/>
    <mergeCell ref="B67:C67"/>
    <mergeCell ref="B2:D4"/>
    <mergeCell ref="F2:M3"/>
    <mergeCell ref="E4:N4"/>
    <mergeCell ref="B6:O6"/>
    <mergeCell ref="B7:O7"/>
    <mergeCell ref="B9:O9"/>
    <mergeCell ref="D20:O20"/>
    <mergeCell ref="D21:O21"/>
    <mergeCell ref="B23:O23"/>
    <mergeCell ref="B24:O24"/>
    <mergeCell ref="D31:O31"/>
    <mergeCell ref="D32:O32"/>
    <mergeCell ref="B34:O34"/>
    <mergeCell ref="B35:O35"/>
    <mergeCell ref="D66:O66"/>
    <mergeCell ref="D67:O67"/>
    <mergeCell ref="B69:O69"/>
    <mergeCell ref="D43:O43"/>
    <mergeCell ref="B45:O45"/>
    <mergeCell ref="B46:O46"/>
    <mergeCell ref="D54:O54"/>
    <mergeCell ref="D55:O55"/>
    <mergeCell ref="B57:O57"/>
    <mergeCell ref="B58:O5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44.13"/>
    <col customWidth="1" min="3" max="5" width="32.88"/>
    <col customWidth="1" min="6" max="6" width="27.13"/>
    <col customWidth="1" min="8" max="8" width="28.63"/>
  </cols>
  <sheetData>
    <row r="1" ht="15.75" customHeight="1"/>
    <row r="2" ht="15.75" customHeight="1">
      <c r="B2" s="160"/>
      <c r="C2" s="161"/>
      <c r="D2" s="161"/>
      <c r="E2" s="161"/>
      <c r="F2" s="161"/>
      <c r="H2" s="24" t="s">
        <v>151</v>
      </c>
    </row>
    <row r="3" ht="15.75" customHeight="1">
      <c r="B3" s="160"/>
      <c r="C3" s="161"/>
      <c r="D3" s="161"/>
      <c r="E3" s="161"/>
      <c r="F3" s="161"/>
      <c r="H3" s="24" t="s">
        <v>152</v>
      </c>
      <c r="I3" s="24" t="s">
        <v>153</v>
      </c>
    </row>
    <row r="4" ht="15.75" customHeight="1">
      <c r="B4" s="160"/>
      <c r="C4" s="161"/>
      <c r="D4" s="161"/>
      <c r="E4" s="161"/>
      <c r="F4" s="161"/>
      <c r="G4" s="24"/>
      <c r="H4" s="24" t="s">
        <v>154</v>
      </c>
      <c r="I4" s="24" t="s">
        <v>153</v>
      </c>
    </row>
    <row r="5" ht="15.75" customHeight="1">
      <c r="B5" s="160"/>
      <c r="C5" s="161"/>
      <c r="D5" s="161"/>
      <c r="E5" s="161"/>
      <c r="F5" s="161"/>
      <c r="G5" s="24"/>
      <c r="H5" s="24" t="s">
        <v>155</v>
      </c>
      <c r="I5" s="24" t="s">
        <v>153</v>
      </c>
    </row>
    <row r="6" ht="15.75" customHeight="1">
      <c r="B6" s="160"/>
      <c r="C6" s="161"/>
      <c r="D6" s="161"/>
      <c r="E6" s="161"/>
      <c r="F6" s="161"/>
      <c r="G6" s="24"/>
    </row>
    <row r="7" ht="15.75" customHeight="1">
      <c r="B7" s="160"/>
      <c r="C7" s="161"/>
      <c r="D7" s="161"/>
      <c r="E7" s="161"/>
      <c r="F7" s="161"/>
      <c r="H7" s="24" t="s">
        <v>156</v>
      </c>
      <c r="I7" s="24" t="s">
        <v>157</v>
      </c>
    </row>
    <row r="8" ht="15.75" customHeight="1">
      <c r="B8" s="160"/>
      <c r="C8" s="161"/>
      <c r="D8" s="161"/>
      <c r="E8" s="161"/>
      <c r="F8" s="161"/>
      <c r="G8" s="24"/>
      <c r="H8" s="24" t="s">
        <v>158</v>
      </c>
      <c r="I8" s="24" t="s">
        <v>157</v>
      </c>
    </row>
    <row r="9" ht="15.75" customHeight="1">
      <c r="B9" s="160"/>
      <c r="C9" s="161"/>
      <c r="D9" s="161"/>
      <c r="E9" s="161"/>
      <c r="F9" s="161"/>
      <c r="H9" s="24" t="s">
        <v>159</v>
      </c>
      <c r="I9" s="24" t="s">
        <v>157</v>
      </c>
    </row>
    <row r="10" ht="15.75" customHeight="1">
      <c r="B10" s="160"/>
      <c r="C10" s="161"/>
      <c r="D10" s="161"/>
      <c r="E10" s="161"/>
      <c r="F10" s="161"/>
    </row>
    <row r="11" ht="15.75" customHeight="1">
      <c r="B11" s="160"/>
      <c r="C11" s="161"/>
      <c r="D11" s="161"/>
      <c r="E11" s="161"/>
      <c r="F11" s="161"/>
      <c r="H11" s="24" t="s">
        <v>160</v>
      </c>
      <c r="I11" s="24" t="s">
        <v>161</v>
      </c>
    </row>
    <row r="12" ht="15.75" customHeight="1">
      <c r="B12" s="160"/>
      <c r="C12" s="161"/>
      <c r="D12" s="161"/>
      <c r="E12" s="161"/>
      <c r="F12" s="161"/>
      <c r="H12" s="24" t="s">
        <v>162</v>
      </c>
      <c r="I12" s="24" t="s">
        <v>161</v>
      </c>
    </row>
    <row r="13" ht="15.75" customHeight="1">
      <c r="B13" s="160"/>
      <c r="C13" s="161"/>
      <c r="D13" s="161"/>
      <c r="E13" s="161"/>
      <c r="F13" s="161"/>
      <c r="H13" s="24" t="s">
        <v>162</v>
      </c>
      <c r="I13" s="24" t="s">
        <v>161</v>
      </c>
    </row>
    <row r="14" ht="15.75" customHeight="1">
      <c r="B14" s="160"/>
      <c r="C14" s="161"/>
      <c r="D14" s="161"/>
      <c r="E14" s="161"/>
      <c r="F14" s="161"/>
    </row>
    <row r="15" ht="15.75" customHeight="1">
      <c r="B15" s="160"/>
      <c r="C15" s="161"/>
      <c r="D15" s="161"/>
      <c r="E15" s="161"/>
      <c r="F15" s="161"/>
      <c r="H15" s="24" t="s">
        <v>163</v>
      </c>
      <c r="I15" s="24" t="s">
        <v>164</v>
      </c>
    </row>
    <row r="16" ht="15.75" customHeight="1">
      <c r="H16" s="24" t="s">
        <v>165</v>
      </c>
      <c r="I16" s="24" t="s">
        <v>164</v>
      </c>
    </row>
    <row r="17" ht="15.75" customHeight="1">
      <c r="H17" s="24" t="s">
        <v>166</v>
      </c>
      <c r="I17" s="24" t="s">
        <v>164</v>
      </c>
    </row>
    <row r="18" ht="15.75" customHeight="1"/>
    <row r="19" ht="15.75" customHeight="1">
      <c r="H19" s="24" t="s">
        <v>167</v>
      </c>
      <c r="I19" s="24" t="s">
        <v>168</v>
      </c>
    </row>
    <row r="20" ht="15.75" customHeight="1">
      <c r="H20" s="24" t="s">
        <v>169</v>
      </c>
      <c r="I20" s="24" t="s">
        <v>168</v>
      </c>
    </row>
    <row r="21" ht="15.75" customHeight="1">
      <c r="H21" s="24" t="s">
        <v>170</v>
      </c>
      <c r="I21" s="24" t="s">
        <v>168</v>
      </c>
    </row>
    <row r="22" ht="15.75" customHeight="1">
      <c r="B22" s="162" t="s">
        <v>171</v>
      </c>
      <c r="C22" s="24" t="s">
        <v>172</v>
      </c>
    </row>
    <row r="23" ht="15.75" customHeight="1">
      <c r="B23" s="162" t="s">
        <v>173</v>
      </c>
      <c r="C23" s="24" t="s">
        <v>174</v>
      </c>
      <c r="H23" s="24" t="s">
        <v>175</v>
      </c>
      <c r="I23" s="24" t="s">
        <v>176</v>
      </c>
    </row>
    <row r="24" ht="15.75" customHeight="1">
      <c r="B24" s="162" t="s">
        <v>177</v>
      </c>
      <c r="C24" s="24" t="s">
        <v>178</v>
      </c>
      <c r="H24" s="24" t="s">
        <v>179</v>
      </c>
      <c r="I24" s="24" t="s">
        <v>176</v>
      </c>
    </row>
    <row r="25" ht="15.75" customHeight="1">
      <c r="B25" s="162" t="s">
        <v>180</v>
      </c>
      <c r="C25" s="24" t="s">
        <v>178</v>
      </c>
      <c r="H25" s="24" t="s">
        <v>181</v>
      </c>
      <c r="I25" s="24" t="s">
        <v>176</v>
      </c>
    </row>
    <row r="26" ht="15.75" customHeight="1">
      <c r="B26" s="162" t="s">
        <v>182</v>
      </c>
      <c r="C26" s="24" t="s">
        <v>183</v>
      </c>
      <c r="D26" s="24" t="s">
        <v>184</v>
      </c>
    </row>
    <row r="27" ht="15.75" customHeight="1">
      <c r="B27" s="162" t="s">
        <v>185</v>
      </c>
      <c r="C27" s="24" t="s">
        <v>183</v>
      </c>
      <c r="D27" s="24" t="s">
        <v>186</v>
      </c>
      <c r="E27" s="24">
        <v>5.0</v>
      </c>
      <c r="H27" s="24" t="s">
        <v>187</v>
      </c>
      <c r="I27" s="24" t="s">
        <v>188</v>
      </c>
    </row>
    <row r="28" ht="15.75" customHeight="1">
      <c r="B28" s="162" t="s">
        <v>189</v>
      </c>
      <c r="C28" s="24" t="s">
        <v>183</v>
      </c>
      <c r="D28" s="24" t="s">
        <v>190</v>
      </c>
      <c r="E28" s="24">
        <v>4.0</v>
      </c>
      <c r="H28" s="24" t="s">
        <v>191</v>
      </c>
      <c r="I28" s="24" t="s">
        <v>188</v>
      </c>
    </row>
    <row r="29" ht="15.75" customHeight="1">
      <c r="B29" s="163" t="s">
        <v>192</v>
      </c>
      <c r="C29" s="24" t="s">
        <v>183</v>
      </c>
      <c r="D29" s="24" t="s">
        <v>193</v>
      </c>
      <c r="E29" s="24">
        <v>3.0</v>
      </c>
      <c r="H29" s="24" t="s">
        <v>194</v>
      </c>
      <c r="I29" s="24" t="s">
        <v>188</v>
      </c>
    </row>
    <row r="30" ht="15.75" customHeight="1">
      <c r="D30" s="24" t="s">
        <v>195</v>
      </c>
      <c r="E30" s="24">
        <v>2.0</v>
      </c>
    </row>
    <row r="31" ht="15.75" customHeight="1">
      <c r="D31" s="24" t="s">
        <v>196</v>
      </c>
      <c r="E31" s="24">
        <v>1.0</v>
      </c>
      <c r="H31" s="24" t="s">
        <v>197</v>
      </c>
      <c r="I31" s="24" t="s">
        <v>198</v>
      </c>
    </row>
    <row r="32" ht="15.75" customHeight="1">
      <c r="H32" s="24" t="s">
        <v>199</v>
      </c>
      <c r="I32" s="24" t="s">
        <v>198</v>
      </c>
    </row>
    <row r="33" ht="15.75" customHeight="1">
      <c r="D33" s="24" t="s">
        <v>200</v>
      </c>
      <c r="H33" s="24" t="s">
        <v>201</v>
      </c>
      <c r="I33" s="24" t="s">
        <v>198</v>
      </c>
    </row>
    <row r="34" ht="15.75" customHeight="1">
      <c r="D34" s="24" t="s">
        <v>202</v>
      </c>
      <c r="E34" s="24">
        <v>7.0</v>
      </c>
      <c r="F34" s="24">
        <f t="shared" ref="F34:F38" si="1">E34/$E$34</f>
        <v>1</v>
      </c>
    </row>
    <row r="35" ht="15.75" customHeight="1">
      <c r="D35" s="24" t="s">
        <v>203</v>
      </c>
      <c r="E35" s="24">
        <v>5.0</v>
      </c>
      <c r="F35" s="24">
        <f t="shared" si="1"/>
        <v>0.7142857143</v>
      </c>
      <c r="H35" s="24" t="s">
        <v>204</v>
      </c>
      <c r="I35" s="24" t="s">
        <v>205</v>
      </c>
    </row>
    <row r="36" ht="15.75" customHeight="1">
      <c r="D36" s="24" t="s">
        <v>152</v>
      </c>
      <c r="E36" s="24">
        <v>3.0</v>
      </c>
      <c r="F36" s="24">
        <f t="shared" si="1"/>
        <v>0.4285714286</v>
      </c>
      <c r="H36" s="24" t="s">
        <v>206</v>
      </c>
      <c r="I36" s="24" t="s">
        <v>205</v>
      </c>
    </row>
    <row r="37" ht="15.75" customHeight="1">
      <c r="D37" s="24" t="s">
        <v>154</v>
      </c>
      <c r="E37" s="24">
        <v>2.0</v>
      </c>
      <c r="F37" s="24">
        <f t="shared" si="1"/>
        <v>0.2857142857</v>
      </c>
      <c r="H37" s="24" t="s">
        <v>207</v>
      </c>
      <c r="I37" s="24" t="s">
        <v>205</v>
      </c>
    </row>
    <row r="38" ht="15.75" customHeight="1">
      <c r="D38" s="24" t="s">
        <v>155</v>
      </c>
      <c r="E38" s="24">
        <v>1.0</v>
      </c>
      <c r="F38" s="24">
        <f t="shared" si="1"/>
        <v>0.1428571429</v>
      </c>
      <c r="H38" s="24" t="s">
        <v>208</v>
      </c>
      <c r="I38" s="24" t="s">
        <v>205</v>
      </c>
    </row>
    <row r="39" ht="15.75" customHeight="1">
      <c r="H39" s="24" t="s">
        <v>209</v>
      </c>
      <c r="I39" s="24" t="s">
        <v>205</v>
      </c>
    </row>
    <row r="40" ht="15.75" customHeight="1">
      <c r="D40" s="24" t="s">
        <v>210</v>
      </c>
    </row>
    <row r="41" ht="15.75" customHeight="1">
      <c r="D41" s="24" t="s">
        <v>211</v>
      </c>
      <c r="E41" s="24">
        <v>7.0</v>
      </c>
      <c r="F41" s="24">
        <f t="shared" ref="F41:F45" si="2">E41/$E$41</f>
        <v>1</v>
      </c>
      <c r="H41" s="24" t="s">
        <v>212</v>
      </c>
      <c r="I41" s="24" t="s">
        <v>213</v>
      </c>
    </row>
    <row r="42" ht="15.75" customHeight="1">
      <c r="D42" s="24" t="s">
        <v>214</v>
      </c>
      <c r="E42" s="24">
        <v>5.0</v>
      </c>
      <c r="F42" s="24">
        <f t="shared" si="2"/>
        <v>0.7142857143</v>
      </c>
    </row>
    <row r="43" ht="15.75" customHeight="1">
      <c r="D43" s="24" t="s">
        <v>156</v>
      </c>
      <c r="E43" s="24">
        <v>3.0</v>
      </c>
      <c r="F43" s="24">
        <f t="shared" si="2"/>
        <v>0.4285714286</v>
      </c>
      <c r="H43" s="24" t="s">
        <v>215</v>
      </c>
      <c r="I43" s="24" t="s">
        <v>216</v>
      </c>
    </row>
    <row r="44" ht="15.75" customHeight="1">
      <c r="D44" s="24" t="s">
        <v>158</v>
      </c>
      <c r="E44" s="24">
        <v>2.0</v>
      </c>
      <c r="F44" s="24">
        <f t="shared" si="2"/>
        <v>0.2857142857</v>
      </c>
      <c r="H44" s="24" t="s">
        <v>217</v>
      </c>
      <c r="I44" s="24" t="s">
        <v>216</v>
      </c>
    </row>
    <row r="45" ht="15.75" customHeight="1">
      <c r="D45" s="24" t="s">
        <v>159</v>
      </c>
      <c r="E45" s="24">
        <v>1.0</v>
      </c>
      <c r="F45" s="24">
        <f t="shared" si="2"/>
        <v>0.1428571429</v>
      </c>
    </row>
    <row r="46" ht="15.75" customHeight="1">
      <c r="H46" s="24" t="s">
        <v>80</v>
      </c>
    </row>
    <row r="47" ht="15.75" customHeight="1">
      <c r="D47" s="164" t="s">
        <v>218</v>
      </c>
      <c r="E47" s="164"/>
      <c r="H47" s="24"/>
      <c r="I47" s="165"/>
    </row>
    <row r="48" ht="15.75" customHeight="1">
      <c r="D48" s="164" t="s">
        <v>219</v>
      </c>
      <c r="E48" s="164">
        <v>0.5</v>
      </c>
      <c r="H48" s="24"/>
      <c r="I48" s="165"/>
    </row>
    <row r="49" ht="15.75" customHeight="1">
      <c r="D49" s="164" t="s">
        <v>220</v>
      </c>
      <c r="E49" s="164">
        <v>0.7</v>
      </c>
      <c r="H49" s="24"/>
      <c r="I49" s="165"/>
    </row>
    <row r="50" ht="15.75" customHeight="1">
      <c r="D50" s="164" t="s">
        <v>221</v>
      </c>
      <c r="E50" s="164">
        <v>0.9</v>
      </c>
      <c r="H50" s="24"/>
      <c r="I50" s="165"/>
    </row>
    <row r="51" ht="15.75" customHeight="1">
      <c r="D51" s="164" t="s">
        <v>222</v>
      </c>
      <c r="E51" s="164">
        <v>1.0</v>
      </c>
      <c r="H51" s="24"/>
      <c r="I51" s="165"/>
    </row>
    <row r="52" ht="15.75" customHeight="1">
      <c r="D52" s="24"/>
      <c r="H52" s="24"/>
      <c r="I52" s="165"/>
    </row>
    <row r="53" ht="15.75" customHeight="1">
      <c r="D53" s="24" t="s">
        <v>223</v>
      </c>
      <c r="H53" s="24" t="s">
        <v>224</v>
      </c>
      <c r="I53" s="165" t="s">
        <v>225</v>
      </c>
    </row>
    <row r="54" ht="15.75" customHeight="1">
      <c r="D54" s="24" t="s">
        <v>162</v>
      </c>
      <c r="E54" s="24">
        <v>7.0</v>
      </c>
      <c r="F54" s="24">
        <f t="shared" ref="F54:F58" si="3">E54/$E$54</f>
        <v>1</v>
      </c>
      <c r="H54" s="24" t="s">
        <v>226</v>
      </c>
      <c r="I54" s="165" t="s">
        <v>225</v>
      </c>
    </row>
    <row r="55" ht="15.75" customHeight="1">
      <c r="D55" s="24" t="s">
        <v>227</v>
      </c>
      <c r="E55" s="24">
        <v>5.0</v>
      </c>
      <c r="F55" s="24">
        <f t="shared" si="3"/>
        <v>0.7142857143</v>
      </c>
    </row>
    <row r="56" ht="15.75" customHeight="1">
      <c r="D56" s="24" t="s">
        <v>160</v>
      </c>
      <c r="E56" s="24">
        <v>3.0</v>
      </c>
      <c r="F56" s="24">
        <f t="shared" si="3"/>
        <v>0.4285714286</v>
      </c>
      <c r="H56" s="24" t="s">
        <v>228</v>
      </c>
      <c r="I56" s="165" t="s">
        <v>229</v>
      </c>
    </row>
    <row r="57" ht="15.75" customHeight="1">
      <c r="D57" s="24" t="s">
        <v>162</v>
      </c>
      <c r="E57" s="24">
        <v>2.0</v>
      </c>
      <c r="F57" s="24">
        <f t="shared" si="3"/>
        <v>0.2857142857</v>
      </c>
      <c r="H57" s="24" t="s">
        <v>230</v>
      </c>
      <c r="I57" s="165" t="s">
        <v>229</v>
      </c>
    </row>
    <row r="58" ht="15.75" customHeight="1">
      <c r="D58" s="24" t="s">
        <v>162</v>
      </c>
      <c r="E58" s="24">
        <v>1.0</v>
      </c>
      <c r="F58" s="24">
        <f t="shared" si="3"/>
        <v>0.1428571429</v>
      </c>
    </row>
    <row r="59" ht="15.75" customHeight="1">
      <c r="A59" s="166">
        <f>SUM(A60:A75)</f>
        <v>10</v>
      </c>
      <c r="H59" s="24" t="s">
        <v>231</v>
      </c>
      <c r="I59" s="24" t="s">
        <v>232</v>
      </c>
    </row>
    <row r="60" ht="15.75" customHeight="1">
      <c r="A60" s="167">
        <v>0.5</v>
      </c>
      <c r="B60" s="24" t="s">
        <v>233</v>
      </c>
      <c r="D60" s="24" t="s">
        <v>234</v>
      </c>
      <c r="H60" s="24" t="s">
        <v>235</v>
      </c>
      <c r="I60" s="24" t="s">
        <v>232</v>
      </c>
    </row>
    <row r="61" ht="15.75" customHeight="1">
      <c r="A61" s="167">
        <v>0.8</v>
      </c>
      <c r="B61" s="24" t="s">
        <v>236</v>
      </c>
      <c r="D61" s="24" t="s">
        <v>237</v>
      </c>
      <c r="E61" s="24">
        <v>10.0</v>
      </c>
      <c r="F61" s="24">
        <f t="shared" ref="F61:F65" si="4">E61/$E$61</f>
        <v>1</v>
      </c>
      <c r="H61" s="24" t="s">
        <v>238</v>
      </c>
      <c r="I61" s="24" t="s">
        <v>232</v>
      </c>
    </row>
    <row r="62" ht="15.75" customHeight="1">
      <c r="A62" s="167">
        <v>0.8</v>
      </c>
      <c r="B62" s="24" t="s">
        <v>239</v>
      </c>
      <c r="D62" s="24" t="s">
        <v>240</v>
      </c>
      <c r="E62" s="24">
        <v>9.0</v>
      </c>
      <c r="F62" s="24">
        <f t="shared" si="4"/>
        <v>0.9</v>
      </c>
    </row>
    <row r="63" ht="15.75" customHeight="1">
      <c r="A63" s="167">
        <v>0.5</v>
      </c>
      <c r="B63" s="24" t="s">
        <v>241</v>
      </c>
      <c r="D63" s="24" t="s">
        <v>163</v>
      </c>
      <c r="E63" s="24">
        <v>7.0</v>
      </c>
      <c r="F63" s="24">
        <f t="shared" si="4"/>
        <v>0.7</v>
      </c>
      <c r="H63" s="24" t="s">
        <v>242</v>
      </c>
      <c r="I63" s="24" t="s">
        <v>243</v>
      </c>
    </row>
    <row r="64" ht="15.75" customHeight="1">
      <c r="A64" s="167">
        <v>0.9</v>
      </c>
      <c r="B64" s="24" t="s">
        <v>244</v>
      </c>
      <c r="D64" s="24" t="s">
        <v>165</v>
      </c>
      <c r="E64" s="24">
        <v>5.0</v>
      </c>
      <c r="F64" s="24">
        <f t="shared" si="4"/>
        <v>0.5</v>
      </c>
      <c r="H64" s="24" t="s">
        <v>245</v>
      </c>
      <c r="I64" s="24" t="s">
        <v>243</v>
      </c>
    </row>
    <row r="65" ht="15.75" customHeight="1">
      <c r="A65" s="167">
        <v>0.3</v>
      </c>
      <c r="B65" s="24" t="s">
        <v>246</v>
      </c>
      <c r="D65" s="24" t="s">
        <v>166</v>
      </c>
      <c r="E65" s="24">
        <v>1.0</v>
      </c>
      <c r="F65" s="24">
        <f t="shared" si="4"/>
        <v>0.1</v>
      </c>
    </row>
    <row r="66" ht="15.75" customHeight="1">
      <c r="A66" s="167">
        <v>0.3</v>
      </c>
      <c r="B66" s="24" t="s">
        <v>247</v>
      </c>
      <c r="H66" s="24" t="s">
        <v>248</v>
      </c>
      <c r="I66" s="24" t="s">
        <v>249</v>
      </c>
    </row>
    <row r="67" ht="15.75" customHeight="1">
      <c r="A67" s="167">
        <v>0.3</v>
      </c>
      <c r="B67" s="24" t="s">
        <v>250</v>
      </c>
      <c r="D67" s="24" t="s">
        <v>251</v>
      </c>
      <c r="H67" s="24" t="s">
        <v>252</v>
      </c>
      <c r="I67" s="24" t="s">
        <v>249</v>
      </c>
    </row>
    <row r="68" ht="15.75" customHeight="1">
      <c r="A68" s="167">
        <v>0.9</v>
      </c>
      <c r="B68" s="24" t="s">
        <v>253</v>
      </c>
      <c r="D68" s="24" t="s">
        <v>254</v>
      </c>
      <c r="E68" s="24">
        <v>7.0</v>
      </c>
      <c r="F68" s="24">
        <f t="shared" ref="F68:F72" si="5">E68/$E$34</f>
        <v>1</v>
      </c>
      <c r="H68" s="24" t="s">
        <v>255</v>
      </c>
      <c r="I68" s="24" t="s">
        <v>249</v>
      </c>
    </row>
    <row r="69" ht="15.75" customHeight="1">
      <c r="A69" s="167">
        <v>0.6</v>
      </c>
      <c r="B69" s="24" t="s">
        <v>256</v>
      </c>
      <c r="D69" s="24" t="s">
        <v>257</v>
      </c>
      <c r="E69" s="24">
        <v>5.0</v>
      </c>
      <c r="F69" s="24">
        <f t="shared" si="5"/>
        <v>0.7142857143</v>
      </c>
    </row>
    <row r="70" ht="15.75" customHeight="1">
      <c r="A70" s="167">
        <v>0.7</v>
      </c>
      <c r="B70" s="24" t="s">
        <v>258</v>
      </c>
      <c r="D70" s="24" t="s">
        <v>167</v>
      </c>
      <c r="E70" s="24">
        <v>3.0</v>
      </c>
      <c r="F70" s="24">
        <f t="shared" si="5"/>
        <v>0.4285714286</v>
      </c>
      <c r="H70" s="24" t="s">
        <v>259</v>
      </c>
      <c r="I70" s="24" t="s">
        <v>260</v>
      </c>
    </row>
    <row r="71" ht="15.75" customHeight="1">
      <c r="A71" s="167">
        <v>0.5</v>
      </c>
      <c r="B71" s="24" t="s">
        <v>261</v>
      </c>
      <c r="D71" s="24" t="s">
        <v>169</v>
      </c>
      <c r="E71" s="24">
        <v>2.0</v>
      </c>
      <c r="F71" s="24">
        <f t="shared" si="5"/>
        <v>0.2857142857</v>
      </c>
      <c r="H71" s="24" t="s">
        <v>262</v>
      </c>
    </row>
    <row r="72" ht="15.75" customHeight="1">
      <c r="A72" s="167">
        <v>0.7</v>
      </c>
      <c r="B72" s="24" t="s">
        <v>263</v>
      </c>
      <c r="D72" s="24" t="s">
        <v>170</v>
      </c>
      <c r="E72" s="24">
        <v>1.0</v>
      </c>
      <c r="F72" s="24">
        <f t="shared" si="5"/>
        <v>0.1428571429</v>
      </c>
      <c r="H72" s="24" t="s">
        <v>264</v>
      </c>
    </row>
    <row r="73" ht="15.75" customHeight="1">
      <c r="A73" s="167">
        <v>1.0</v>
      </c>
      <c r="B73" s="24" t="s">
        <v>265</v>
      </c>
    </row>
    <row r="74" ht="15.75" customHeight="1">
      <c r="A74" s="167">
        <v>0.3</v>
      </c>
      <c r="B74" s="24" t="s">
        <v>266</v>
      </c>
      <c r="D74" s="24" t="s">
        <v>267</v>
      </c>
    </row>
    <row r="75" ht="15.75" customHeight="1">
      <c r="A75" s="167">
        <v>0.9</v>
      </c>
      <c r="B75" s="24" t="s">
        <v>268</v>
      </c>
      <c r="D75" s="24" t="s">
        <v>269</v>
      </c>
      <c r="E75" s="24">
        <v>10.0</v>
      </c>
      <c r="F75" s="24">
        <f t="shared" ref="F75:F79" si="6">E75/$E$75</f>
        <v>1</v>
      </c>
    </row>
    <row r="76" ht="15.75" customHeight="1">
      <c r="D76" s="24" t="s">
        <v>270</v>
      </c>
      <c r="E76" s="24">
        <v>9.0</v>
      </c>
      <c r="F76" s="24">
        <f t="shared" si="6"/>
        <v>0.9</v>
      </c>
    </row>
    <row r="77" ht="15.75" customHeight="1">
      <c r="D77" s="24" t="s">
        <v>175</v>
      </c>
      <c r="E77" s="24">
        <v>7.0</v>
      </c>
      <c r="F77" s="24">
        <f t="shared" si="6"/>
        <v>0.7</v>
      </c>
    </row>
    <row r="78" ht="15.75" customHeight="1">
      <c r="D78" s="24" t="s">
        <v>179</v>
      </c>
      <c r="E78" s="24">
        <v>5.0</v>
      </c>
      <c r="F78" s="24">
        <f t="shared" si="6"/>
        <v>0.5</v>
      </c>
    </row>
    <row r="79" ht="15.75" customHeight="1">
      <c r="D79" s="24" t="s">
        <v>181</v>
      </c>
      <c r="E79" s="24">
        <v>1.0</v>
      </c>
      <c r="F79" s="24">
        <f t="shared" si="6"/>
        <v>0.1</v>
      </c>
    </row>
    <row r="80" ht="15.75" customHeight="1"/>
    <row r="81" ht="15.75" customHeight="1">
      <c r="D81" s="24" t="s">
        <v>271</v>
      </c>
    </row>
    <row r="82" ht="15.75" customHeight="1">
      <c r="D82" s="24" t="s">
        <v>272</v>
      </c>
      <c r="E82" s="24">
        <v>10.0</v>
      </c>
      <c r="F82" s="24">
        <f t="shared" ref="F82:F85" si="7">E82/$E$82*0.5</f>
        <v>0.5</v>
      </c>
    </row>
    <row r="83" ht="15.75" customHeight="1">
      <c r="D83" s="24" t="s">
        <v>187</v>
      </c>
      <c r="E83" s="24">
        <v>6.0</v>
      </c>
      <c r="F83" s="24">
        <f t="shared" si="7"/>
        <v>0.3</v>
      </c>
    </row>
    <row r="84" ht="15.75" customHeight="1">
      <c r="D84" s="24" t="s">
        <v>191</v>
      </c>
      <c r="E84" s="24">
        <v>3.0</v>
      </c>
      <c r="F84" s="24">
        <f t="shared" si="7"/>
        <v>0.15</v>
      </c>
    </row>
    <row r="85" ht="15.75" customHeight="1">
      <c r="D85" s="24" t="s">
        <v>194</v>
      </c>
      <c r="E85" s="24">
        <v>0.0</v>
      </c>
      <c r="F85" s="24">
        <f t="shared" si="7"/>
        <v>0</v>
      </c>
    </row>
    <row r="86" ht="15.75" customHeight="1"/>
    <row r="87" ht="15.75" customHeight="1">
      <c r="D87" s="24" t="s">
        <v>78</v>
      </c>
    </row>
    <row r="88" ht="15.75" customHeight="1">
      <c r="D88" s="24" t="s">
        <v>273</v>
      </c>
      <c r="E88" s="24">
        <v>10.0</v>
      </c>
      <c r="F88" s="24">
        <f t="shared" ref="F88:F93" si="8">E88/$E$88</f>
        <v>1</v>
      </c>
    </row>
    <row r="89" ht="15.75" customHeight="1">
      <c r="D89" s="24" t="s">
        <v>274</v>
      </c>
      <c r="E89" s="24">
        <v>10.0</v>
      </c>
      <c r="F89" s="24">
        <f t="shared" si="8"/>
        <v>1</v>
      </c>
    </row>
    <row r="90" ht="15.75" customHeight="1">
      <c r="D90" s="24" t="s">
        <v>275</v>
      </c>
      <c r="E90" s="24">
        <v>9.0</v>
      </c>
      <c r="F90" s="24">
        <f t="shared" si="8"/>
        <v>0.9</v>
      </c>
    </row>
    <row r="91" ht="15.75" customHeight="1">
      <c r="D91" s="24" t="s">
        <v>276</v>
      </c>
      <c r="E91" s="24">
        <v>7.0</v>
      </c>
      <c r="F91" s="24">
        <f t="shared" si="8"/>
        <v>0.7</v>
      </c>
    </row>
    <row r="92" ht="15.75" customHeight="1">
      <c r="D92" s="24" t="s">
        <v>277</v>
      </c>
      <c r="E92" s="24">
        <v>5.0</v>
      </c>
      <c r="F92" s="24">
        <f t="shared" si="8"/>
        <v>0.5</v>
      </c>
    </row>
    <row r="93" ht="15.75" customHeight="1">
      <c r="D93" s="24" t="s">
        <v>278</v>
      </c>
      <c r="E93" s="24">
        <v>1.0</v>
      </c>
      <c r="F93" s="24">
        <f t="shared" si="8"/>
        <v>0.1</v>
      </c>
    </row>
    <row r="94" ht="15.75" customHeight="1"/>
    <row r="95" ht="15.75" customHeight="1">
      <c r="D95" s="24" t="s">
        <v>279</v>
      </c>
    </row>
    <row r="96" ht="15.75" customHeight="1">
      <c r="A96" s="24" t="str">
        <f t="shared" ref="A96:A104" si="9">C96&amp;" - "&amp;B96</f>
        <v>1 - Alto risco e alta dificuldade de implantação e/ou uso</v>
      </c>
      <c r="B96" s="24" t="s">
        <v>280</v>
      </c>
      <c r="C96" s="24">
        <v>1.0</v>
      </c>
      <c r="D96" s="24" t="s">
        <v>204</v>
      </c>
      <c r="E96" s="24">
        <v>1.0</v>
      </c>
      <c r="F96" s="24">
        <f t="shared" ref="F96:F104" si="10">E96/10</f>
        <v>0.1</v>
      </c>
    </row>
    <row r="97" ht="15.75" customHeight="1">
      <c r="A97" s="24" t="str">
        <f t="shared" si="9"/>
        <v>2 - Alto risco e média dificuldade de implantação e/ou uso</v>
      </c>
      <c r="B97" s="24" t="s">
        <v>281</v>
      </c>
      <c r="C97" s="24">
        <v>2.0</v>
      </c>
      <c r="D97" s="24" t="s">
        <v>206</v>
      </c>
      <c r="E97" s="24">
        <v>2.0</v>
      </c>
      <c r="F97" s="24">
        <f t="shared" si="10"/>
        <v>0.2</v>
      </c>
    </row>
    <row r="98" ht="15.75" customHeight="1">
      <c r="A98" s="24" t="str">
        <f t="shared" si="9"/>
        <v>3 - Risco médio e alta dificuldade de implantação e/ou uso</v>
      </c>
      <c r="B98" s="24" t="s">
        <v>282</v>
      </c>
      <c r="C98" s="24">
        <v>3.0</v>
      </c>
      <c r="D98" s="24" t="s">
        <v>207</v>
      </c>
      <c r="E98" s="24">
        <v>3.0</v>
      </c>
      <c r="F98" s="24">
        <f t="shared" si="10"/>
        <v>0.3</v>
      </c>
    </row>
    <row r="99" ht="15.75" customHeight="1">
      <c r="A99" s="24" t="str">
        <f t="shared" si="9"/>
        <v>4 - Alto risco e baixa dificuldade de implantação e/ou uso</v>
      </c>
      <c r="B99" s="24" t="s">
        <v>283</v>
      </c>
      <c r="C99" s="24">
        <v>4.0</v>
      </c>
      <c r="D99" s="24" t="s">
        <v>208</v>
      </c>
      <c r="E99" s="24">
        <v>4.0</v>
      </c>
      <c r="F99" s="24">
        <f t="shared" si="10"/>
        <v>0.4</v>
      </c>
    </row>
    <row r="100" ht="15.75" customHeight="1">
      <c r="A100" s="24" t="str">
        <f t="shared" si="9"/>
        <v>5 - Risco médio e média dificuldade de implantação e/ou uso</v>
      </c>
      <c r="B100" s="24" t="s">
        <v>284</v>
      </c>
      <c r="C100" s="24">
        <v>5.0</v>
      </c>
      <c r="D100" s="24" t="s">
        <v>209</v>
      </c>
      <c r="E100" s="24">
        <v>5.0</v>
      </c>
      <c r="F100" s="24">
        <f t="shared" si="10"/>
        <v>0.5</v>
      </c>
    </row>
    <row r="101" ht="15.75" customHeight="1">
      <c r="A101" s="24" t="str">
        <f t="shared" si="9"/>
        <v>6 - Risco baixo e alta dificuldade de implantação e/ou uso</v>
      </c>
      <c r="B101" s="24" t="s">
        <v>285</v>
      </c>
      <c r="C101" s="24">
        <v>6.0</v>
      </c>
      <c r="D101" s="24" t="s">
        <v>286</v>
      </c>
      <c r="E101" s="24">
        <v>6.0</v>
      </c>
      <c r="F101" s="24">
        <f t="shared" si="10"/>
        <v>0.6</v>
      </c>
    </row>
    <row r="102" ht="15.75" customHeight="1">
      <c r="A102" s="24" t="str">
        <f t="shared" si="9"/>
        <v>7 - Risco médio e baxa dificuldade de implantação e/ou uso</v>
      </c>
      <c r="B102" s="24" t="s">
        <v>287</v>
      </c>
      <c r="C102" s="24">
        <v>7.0</v>
      </c>
      <c r="D102" s="24" t="s">
        <v>288</v>
      </c>
      <c r="E102" s="24">
        <v>7.0</v>
      </c>
      <c r="F102" s="24">
        <f t="shared" si="10"/>
        <v>0.7</v>
      </c>
    </row>
    <row r="103" ht="15.75" customHeight="1">
      <c r="A103" s="24" t="str">
        <f t="shared" si="9"/>
        <v>8 - Risco baixo e média probabilidade de implantação e/ou uso</v>
      </c>
      <c r="B103" s="24" t="s">
        <v>289</v>
      </c>
      <c r="C103" s="24">
        <v>8.0</v>
      </c>
      <c r="D103" s="24" t="s">
        <v>290</v>
      </c>
      <c r="E103" s="24">
        <v>8.0</v>
      </c>
      <c r="F103" s="24">
        <f t="shared" si="10"/>
        <v>0.8</v>
      </c>
    </row>
    <row r="104" ht="15.75" customHeight="1">
      <c r="A104" s="24" t="str">
        <f t="shared" si="9"/>
        <v>9 - Risco baixo e baixa probabilidade de implantação e/ou uso</v>
      </c>
      <c r="B104" s="24" t="s">
        <v>291</v>
      </c>
      <c r="C104" s="24">
        <v>9.0</v>
      </c>
      <c r="D104" s="24" t="s">
        <v>292</v>
      </c>
      <c r="E104" s="24">
        <v>9.0</v>
      </c>
      <c r="F104" s="24">
        <f t="shared" si="10"/>
        <v>0.9</v>
      </c>
    </row>
    <row r="105" ht="15.75" customHeight="1"/>
    <row r="106" ht="15.75" customHeight="1">
      <c r="D106" s="24" t="s">
        <v>293</v>
      </c>
    </row>
    <row r="107" ht="15.75" customHeight="1">
      <c r="D107" s="24" t="s">
        <v>212</v>
      </c>
    </row>
    <row r="108" ht="15.75" customHeight="1">
      <c r="B108" s="22"/>
      <c r="C108" s="22"/>
      <c r="D108" s="24" t="s">
        <v>294</v>
      </c>
    </row>
    <row r="109" ht="15.75" customHeight="1">
      <c r="B109" s="22"/>
      <c r="C109" s="22"/>
    </row>
    <row r="110" ht="15.75" customHeight="1">
      <c r="B110" s="22"/>
      <c r="C110" s="22"/>
    </row>
    <row r="111" ht="15.75" customHeight="1">
      <c r="B111" s="22"/>
      <c r="C111" s="22"/>
      <c r="D111" s="24" t="s">
        <v>79</v>
      </c>
    </row>
    <row r="112" ht="15.75" customHeight="1">
      <c r="B112" s="22"/>
      <c r="C112" s="22"/>
      <c r="D112" s="24" t="s">
        <v>295</v>
      </c>
      <c r="E112" s="24">
        <v>1.0</v>
      </c>
      <c r="F112" s="24">
        <f t="shared" ref="F112:F115" si="11">E112/$E$115*0.3</f>
        <v>0.03</v>
      </c>
    </row>
    <row r="113" ht="15.75" customHeight="1">
      <c r="B113" s="22"/>
      <c r="C113" s="22"/>
      <c r="D113" s="24" t="s">
        <v>296</v>
      </c>
      <c r="E113" s="24">
        <v>4.0</v>
      </c>
      <c r="F113" s="24">
        <f t="shared" si="11"/>
        <v>0.12</v>
      </c>
    </row>
    <row r="114" ht="15.75" customHeight="1">
      <c r="B114" s="22"/>
      <c r="C114" s="22"/>
      <c r="D114" s="24" t="s">
        <v>297</v>
      </c>
      <c r="E114" s="24">
        <v>7.0</v>
      </c>
      <c r="F114" s="24">
        <f t="shared" si="11"/>
        <v>0.21</v>
      </c>
    </row>
    <row r="115" ht="15.75" customHeight="1">
      <c r="B115" s="22"/>
      <c r="C115" s="22"/>
      <c r="D115" s="24" t="s">
        <v>298</v>
      </c>
      <c r="E115" s="24">
        <v>10.0</v>
      </c>
      <c r="F115" s="24">
        <f t="shared" si="11"/>
        <v>0.3</v>
      </c>
    </row>
    <row r="116" ht="15.75" customHeight="1">
      <c r="B116" s="22"/>
      <c r="C116" s="22"/>
    </row>
    <row r="117" ht="15.75" customHeight="1">
      <c r="B117" s="22"/>
      <c r="C117" s="22"/>
      <c r="D117" s="24" t="s">
        <v>80</v>
      </c>
    </row>
    <row r="118" ht="15.75" customHeight="1">
      <c r="B118" s="145"/>
      <c r="C118" s="22"/>
      <c r="D118" s="24" t="s">
        <v>299</v>
      </c>
      <c r="E118" s="24">
        <v>1.0</v>
      </c>
      <c r="F118" s="24">
        <f t="shared" ref="F118:F120" si="12">E118/$E$120*0.3</f>
        <v>0.03</v>
      </c>
    </row>
    <row r="119" ht="15.75" customHeight="1">
      <c r="B119" s="145"/>
      <c r="C119" s="22"/>
      <c r="D119" s="24" t="s">
        <v>300</v>
      </c>
      <c r="E119" s="24">
        <v>6.0</v>
      </c>
      <c r="F119" s="24">
        <f t="shared" si="12"/>
        <v>0.18</v>
      </c>
    </row>
    <row r="120" ht="15.75" customHeight="1">
      <c r="D120" s="24" t="s">
        <v>301</v>
      </c>
      <c r="E120" s="24">
        <v>10.0</v>
      </c>
      <c r="F120" s="24">
        <f t="shared" si="12"/>
        <v>0.3</v>
      </c>
    </row>
    <row r="121" ht="15.75" customHeight="1"/>
    <row r="122" ht="15.75" customHeight="1">
      <c r="D122" s="24" t="s">
        <v>81</v>
      </c>
    </row>
    <row r="123" ht="15.75" customHeight="1">
      <c r="D123" s="24" t="s">
        <v>302</v>
      </c>
      <c r="E123" s="24">
        <v>1.0</v>
      </c>
      <c r="F123" s="24">
        <f t="shared" ref="F123:F125" si="13">E123/$E$125*0.3</f>
        <v>0.03</v>
      </c>
    </row>
    <row r="124" ht="15.75" customHeight="1">
      <c r="D124" s="24" t="s">
        <v>303</v>
      </c>
      <c r="E124" s="24">
        <v>6.0</v>
      </c>
      <c r="F124" s="24">
        <f t="shared" si="13"/>
        <v>0.18</v>
      </c>
    </row>
    <row r="125" ht="15.75" customHeight="1">
      <c r="D125" s="24" t="s">
        <v>304</v>
      </c>
      <c r="E125" s="24">
        <v>10.0</v>
      </c>
      <c r="F125" s="24">
        <f t="shared" si="13"/>
        <v>0.3</v>
      </c>
    </row>
    <row r="126" ht="15.75" customHeight="1"/>
    <row r="127" ht="15.75" customHeight="1"/>
    <row r="128" ht="15.75" customHeight="1"/>
    <row r="129" ht="15.75" customHeight="1">
      <c r="D129" s="24" t="s">
        <v>305</v>
      </c>
    </row>
    <row r="130" ht="15.75" customHeight="1">
      <c r="A130" s="24" t="str">
        <f t="shared" ref="A130:A134" si="14">C130&amp;" - "&amp;B130</f>
        <v>1 - Possuo muitos concorrentes diretos e muito bem consolidados e posicionados</v>
      </c>
      <c r="B130" s="24" t="s">
        <v>306</v>
      </c>
      <c r="C130" s="24">
        <v>1.0</v>
      </c>
      <c r="D130" s="24" t="s">
        <v>231</v>
      </c>
      <c r="E130" s="24">
        <v>1.0</v>
      </c>
      <c r="F130" s="24">
        <f t="shared" ref="F130:F134" si="15">E130/$E$134</f>
        <v>0.1</v>
      </c>
    </row>
    <row r="131" ht="15.75" customHeight="1">
      <c r="A131" s="24" t="str">
        <f t="shared" si="14"/>
        <v>2 - Possuo muitos concorrentes diretos e alguns bem consolidados</v>
      </c>
      <c r="B131" s="24" t="s">
        <v>307</v>
      </c>
      <c r="C131" s="24">
        <v>2.0</v>
      </c>
      <c r="D131" s="24" t="s">
        <v>235</v>
      </c>
      <c r="E131" s="24">
        <v>4.0</v>
      </c>
      <c r="F131" s="24">
        <f t="shared" si="15"/>
        <v>0.4</v>
      </c>
    </row>
    <row r="132" ht="15.75" customHeight="1">
      <c r="A132" s="24" t="str">
        <f t="shared" si="14"/>
        <v>3 - Possuo poucos concorrentes diretos, mas muito bem consolidados e posicionados</v>
      </c>
      <c r="B132" s="24" t="s">
        <v>308</v>
      </c>
      <c r="C132" s="24">
        <v>3.0</v>
      </c>
      <c r="D132" s="24" t="s">
        <v>238</v>
      </c>
      <c r="E132" s="24">
        <v>6.0</v>
      </c>
      <c r="F132" s="24">
        <f t="shared" si="15"/>
        <v>0.6</v>
      </c>
    </row>
    <row r="133" ht="15.75" customHeight="1">
      <c r="A133" s="24" t="str">
        <f t="shared" si="14"/>
        <v>4 - Possuo muitos concorrentes diretos, mas nenhum com extrema relevância</v>
      </c>
      <c r="B133" s="24" t="s">
        <v>309</v>
      </c>
      <c r="C133" s="24">
        <v>4.0</v>
      </c>
      <c r="D133" s="24" t="s">
        <v>310</v>
      </c>
      <c r="E133" s="24">
        <v>9.0</v>
      </c>
      <c r="F133" s="24">
        <f t="shared" si="15"/>
        <v>0.9</v>
      </c>
    </row>
    <row r="134" ht="15.75" customHeight="1">
      <c r="A134" s="24" t="str">
        <f t="shared" si="14"/>
        <v>5 - Possuo poucos concorrentes diretos, mas nenhum com extrema relevância</v>
      </c>
      <c r="B134" s="24" t="s">
        <v>311</v>
      </c>
      <c r="C134" s="24">
        <v>5.0</v>
      </c>
      <c r="D134" s="24" t="s">
        <v>312</v>
      </c>
      <c r="E134" s="24">
        <v>10.0</v>
      </c>
      <c r="F134" s="24">
        <f t="shared" si="15"/>
        <v>1</v>
      </c>
    </row>
    <row r="135" ht="15.75" customHeight="1"/>
    <row r="136" ht="15.75" customHeight="1"/>
    <row r="137" ht="15.75" customHeight="1">
      <c r="D137" s="24" t="s">
        <v>90</v>
      </c>
    </row>
    <row r="138" ht="15.75" customHeight="1">
      <c r="D138" s="24" t="s">
        <v>313</v>
      </c>
      <c r="E138" s="24">
        <v>10.0</v>
      </c>
      <c r="F138" s="24">
        <f t="shared" ref="F138:F141" si="16">E138/$E$138</f>
        <v>1</v>
      </c>
    </row>
    <row r="139" ht="15.75" customHeight="1">
      <c r="D139" s="24" t="s">
        <v>314</v>
      </c>
      <c r="E139" s="24">
        <v>8.0</v>
      </c>
      <c r="F139" s="24">
        <f t="shared" si="16"/>
        <v>0.8</v>
      </c>
    </row>
    <row r="140" ht="15.75" customHeight="1">
      <c r="D140" s="24" t="s">
        <v>242</v>
      </c>
      <c r="E140" s="24">
        <v>6.0</v>
      </c>
      <c r="F140" s="24">
        <f t="shared" si="16"/>
        <v>0.6</v>
      </c>
    </row>
    <row r="141" ht="15.75" customHeight="1">
      <c r="D141" s="24" t="s">
        <v>245</v>
      </c>
      <c r="E141" s="24">
        <v>1.0</v>
      </c>
      <c r="F141" s="24">
        <f t="shared" si="16"/>
        <v>0.1</v>
      </c>
    </row>
    <row r="142" ht="15.75" customHeight="1"/>
    <row r="143" ht="15.75" customHeight="1"/>
    <row r="144" ht="15.75" customHeight="1">
      <c r="D144" s="24" t="s">
        <v>315</v>
      </c>
    </row>
    <row r="145" ht="15.75" customHeight="1">
      <c r="D145" s="24" t="s">
        <v>316</v>
      </c>
      <c r="E145" s="24">
        <v>10.0</v>
      </c>
      <c r="F145" s="24">
        <f t="shared" ref="F145:F150" si="17">E145/$E$145</f>
        <v>1</v>
      </c>
    </row>
    <row r="146" ht="15.75" customHeight="1">
      <c r="D146" s="24" t="s">
        <v>317</v>
      </c>
      <c r="E146" s="24">
        <v>9.0</v>
      </c>
      <c r="F146" s="24">
        <f t="shared" si="17"/>
        <v>0.9</v>
      </c>
    </row>
    <row r="147" ht="15.75" customHeight="1">
      <c r="D147" s="24" t="s">
        <v>318</v>
      </c>
      <c r="E147" s="24">
        <v>7.0</v>
      </c>
      <c r="F147" s="24">
        <f t="shared" si="17"/>
        <v>0.7</v>
      </c>
    </row>
    <row r="148" ht="15.75" customHeight="1">
      <c r="D148" s="24" t="s">
        <v>248</v>
      </c>
      <c r="E148" s="24">
        <v>5.0</v>
      </c>
      <c r="F148" s="24">
        <f t="shared" si="17"/>
        <v>0.5</v>
      </c>
    </row>
    <row r="149" ht="15.75" customHeight="1">
      <c r="D149" s="24" t="s">
        <v>252</v>
      </c>
      <c r="E149" s="24">
        <v>4.0</v>
      </c>
      <c r="F149" s="24">
        <f t="shared" si="17"/>
        <v>0.4</v>
      </c>
    </row>
    <row r="150" ht="15.75" customHeight="1">
      <c r="D150" s="24" t="s">
        <v>255</v>
      </c>
      <c r="E150" s="24">
        <v>1.0</v>
      </c>
      <c r="F150" s="24">
        <f t="shared" si="17"/>
        <v>0.1</v>
      </c>
    </row>
    <row r="151" ht="15.75" customHeight="1"/>
    <row r="152" ht="15.75" customHeight="1">
      <c r="D152" s="24" t="s">
        <v>319</v>
      </c>
    </row>
    <row r="153" ht="15.75" customHeight="1">
      <c r="D153" s="24" t="s">
        <v>259</v>
      </c>
      <c r="E153" s="24">
        <v>1.0</v>
      </c>
      <c r="F153" s="24">
        <f t="shared" ref="F153:F158" si="18">E153/$E$158*0.5</f>
        <v>0.05</v>
      </c>
    </row>
    <row r="154" ht="15.75" customHeight="1">
      <c r="D154" s="24" t="s">
        <v>262</v>
      </c>
      <c r="E154" s="24">
        <v>4.0</v>
      </c>
      <c r="F154" s="24">
        <f t="shared" si="18"/>
        <v>0.2</v>
      </c>
    </row>
    <row r="155" ht="15.75" customHeight="1">
      <c r="D155" s="24" t="s">
        <v>264</v>
      </c>
      <c r="E155" s="24">
        <v>5.0</v>
      </c>
      <c r="F155" s="24">
        <f t="shared" si="18"/>
        <v>0.25</v>
      </c>
    </row>
    <row r="156" ht="15.75" customHeight="1">
      <c r="D156" s="24" t="s">
        <v>320</v>
      </c>
      <c r="E156" s="24">
        <v>7.0</v>
      </c>
      <c r="F156" s="24">
        <f t="shared" si="18"/>
        <v>0.35</v>
      </c>
    </row>
    <row r="157" ht="15.75" customHeight="1">
      <c r="D157" s="24" t="s">
        <v>321</v>
      </c>
      <c r="E157" s="24">
        <v>9.0</v>
      </c>
      <c r="F157" s="24">
        <f t="shared" si="18"/>
        <v>0.45</v>
      </c>
    </row>
    <row r="158" ht="15.75" customHeight="1">
      <c r="D158" s="24" t="s">
        <v>322</v>
      </c>
      <c r="E158" s="24">
        <v>10.0</v>
      </c>
      <c r="F158" s="24">
        <f t="shared" si="18"/>
        <v>0.5</v>
      </c>
    </row>
    <row r="159" ht="15.75" customHeight="1"/>
    <row r="160" ht="15.75" customHeight="1">
      <c r="D160" s="24" t="s">
        <v>323</v>
      </c>
    </row>
    <row r="161" ht="15.75" customHeight="1">
      <c r="D161" s="24" t="s">
        <v>324</v>
      </c>
    </row>
    <row r="162" ht="15.75" customHeight="1">
      <c r="D162" s="24" t="s">
        <v>325</v>
      </c>
    </row>
    <row r="163" ht="15.75" customHeight="1">
      <c r="D163" s="24" t="s">
        <v>326</v>
      </c>
    </row>
    <row r="164" ht="15.75" customHeight="1">
      <c r="D164" s="24" t="s">
        <v>327</v>
      </c>
    </row>
    <row r="165" ht="15.75" customHeight="1"/>
    <row r="166" ht="15.75" customHeight="1">
      <c r="D166" s="24" t="s">
        <v>328</v>
      </c>
    </row>
    <row r="167" ht="15.75" customHeight="1">
      <c r="D167" s="24" t="s">
        <v>329</v>
      </c>
    </row>
    <row r="168" ht="15.75" customHeight="1">
      <c r="D168" s="24" t="s">
        <v>330</v>
      </c>
    </row>
    <row r="169" ht="15.75" customHeight="1">
      <c r="D169" s="24" t="s">
        <v>331</v>
      </c>
    </row>
    <row r="170" ht="15.75" customHeight="1">
      <c r="D170" s="24" t="s">
        <v>332</v>
      </c>
    </row>
    <row r="171" ht="15.75" customHeight="1">
      <c r="D171" s="24" t="s">
        <v>333</v>
      </c>
    </row>
    <row r="172" ht="15.75" customHeight="1"/>
    <row r="173" ht="15.75" customHeight="1">
      <c r="D173" s="24" t="s">
        <v>334</v>
      </c>
    </row>
    <row r="174" ht="15.75" customHeight="1">
      <c r="D174" s="24" t="s">
        <v>335</v>
      </c>
    </row>
    <row r="175" ht="15.75" customHeight="1">
      <c r="D175" s="24" t="s">
        <v>336</v>
      </c>
    </row>
    <row r="176" ht="15.75" customHeight="1">
      <c r="D176" s="24" t="s">
        <v>337</v>
      </c>
    </row>
    <row r="177" ht="15.75" customHeight="1">
      <c r="D177" s="24" t="s">
        <v>338</v>
      </c>
    </row>
    <row r="178" ht="15.75" customHeight="1"/>
    <row r="179" ht="15.75" customHeight="1">
      <c r="D179" s="24" t="s">
        <v>339</v>
      </c>
    </row>
    <row r="180" ht="15.75" customHeight="1">
      <c r="D180" s="164" t="s">
        <v>340</v>
      </c>
    </row>
    <row r="181" ht="15.75" customHeight="1">
      <c r="D181" s="164" t="s">
        <v>341</v>
      </c>
    </row>
    <row r="182" ht="15.75" customHeight="1">
      <c r="D182" s="164" t="s">
        <v>342</v>
      </c>
    </row>
    <row r="183" ht="15.75" customHeight="1">
      <c r="D183" s="164" t="s">
        <v>343</v>
      </c>
    </row>
    <row r="184" ht="15.75" customHeight="1">
      <c r="D184" s="164" t="s">
        <v>344</v>
      </c>
    </row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1.38"/>
    <col customWidth="1" min="3" max="3" width="24.13"/>
    <col customWidth="1" min="4" max="6" width="19.88"/>
    <col customWidth="1" min="15" max="15" width="20.75"/>
    <col customWidth="1" min="17" max="26" width="19.38"/>
  </cols>
  <sheetData>
    <row r="1" ht="15.75" customHeight="1">
      <c r="B1" s="168"/>
      <c r="C1" s="168"/>
      <c r="D1" s="168"/>
      <c r="E1" s="168"/>
      <c r="F1" s="168"/>
      <c r="Q1" s="169" t="s">
        <v>345</v>
      </c>
      <c r="R1" s="27"/>
      <c r="S1" s="27"/>
      <c r="T1" s="27"/>
      <c r="U1" s="27"/>
      <c r="V1" s="27"/>
      <c r="W1" s="27"/>
      <c r="X1" s="27"/>
      <c r="Y1" s="27"/>
      <c r="Z1" s="28"/>
    </row>
    <row r="2" ht="15.75" customHeight="1">
      <c r="B2" s="170" t="s">
        <v>346</v>
      </c>
      <c r="C2" s="117"/>
      <c r="D2" s="117"/>
      <c r="E2" s="117"/>
      <c r="F2" s="118"/>
      <c r="O2" s="171" t="s">
        <v>347</v>
      </c>
      <c r="P2" s="24">
        <f>COLUMN(P1)</f>
        <v>16</v>
      </c>
      <c r="Q2" s="172" t="str">
        <f t="shared" ref="Q2:U2" si="1">IF(Q3="Sim",COUNTIF(B3:Q3,"Sim"),"")</f>
        <v>#N/A</v>
      </c>
      <c r="R2" s="173" t="str">
        <f t="shared" si="1"/>
        <v>#N/A</v>
      </c>
      <c r="S2" s="173" t="str">
        <f t="shared" si="1"/>
        <v>#N/A</v>
      </c>
      <c r="T2" s="173" t="str">
        <f t="shared" si="1"/>
        <v>#N/A</v>
      </c>
      <c r="U2" s="173" t="str">
        <f t="shared" si="1"/>
        <v>#N/A</v>
      </c>
      <c r="V2" s="173" t="str">
        <f t="shared" ref="V2:Z2" si="2">IF(V3="Sim",COUNTIF(N3:V3,"Sim"),"")</f>
        <v>#N/A</v>
      </c>
      <c r="W2" s="173" t="str">
        <f t="shared" si="2"/>
        <v>#N/A</v>
      </c>
      <c r="X2" s="173" t="str">
        <f t="shared" si="2"/>
        <v>#N/A</v>
      </c>
      <c r="Y2" s="173" t="str">
        <f t="shared" si="2"/>
        <v>#N/A</v>
      </c>
      <c r="Z2" s="174" t="str">
        <f t="shared" si="2"/>
        <v>#N/A</v>
      </c>
    </row>
    <row r="3" ht="15.75" customHeight="1">
      <c r="B3" s="175" t="str">
        <f t="shared" ref="B3:F3" si="3">IF($B$4&lt;&gt;"","",_xlfn.RANK.EQ(B6,$B$6:$F$6,FALSE))</f>
        <v>#VALUE!</v>
      </c>
      <c r="C3" s="168" t="str">
        <f t="shared" si="3"/>
        <v>#VALUE!</v>
      </c>
      <c r="D3" s="168" t="str">
        <f t="shared" si="3"/>
        <v>#VALUE!</v>
      </c>
      <c r="E3" s="168" t="str">
        <f t="shared" si="3"/>
        <v>#VALUE!</v>
      </c>
      <c r="F3" s="176" t="str">
        <f t="shared" si="3"/>
        <v>#VALUE!</v>
      </c>
      <c r="O3" s="173" t="s">
        <v>348</v>
      </c>
      <c r="Q3" s="172" t="str">
        <f>HLOOKUP(Q4,'Análise de Empresas'!$C$7:$L$10,2,FALSE)</f>
        <v>#N/A</v>
      </c>
      <c r="R3" s="173" t="str">
        <f>HLOOKUP(R4,'Análise de Empresas'!$C$7:$L$10,2,FALSE)</f>
        <v>#N/A</v>
      </c>
      <c r="S3" s="173" t="str">
        <f>HLOOKUP(S4,'Análise de Empresas'!$C$7:$L$10,2,FALSE)</f>
        <v>#N/A</v>
      </c>
      <c r="T3" s="173" t="str">
        <f>HLOOKUP(T4,'Análise de Empresas'!$C$7:$L$10,2,FALSE)</f>
        <v>#N/A</v>
      </c>
      <c r="U3" s="173" t="str">
        <f>HLOOKUP(U4,'Análise de Empresas'!$C$7:$L$10,2,FALSE)</f>
        <v>#N/A</v>
      </c>
      <c r="V3" s="173" t="str">
        <f>HLOOKUP(V4,'Análise de Empresas'!$C$7:$L$10,2,FALSE)</f>
        <v>#N/A</v>
      </c>
      <c r="W3" s="173" t="str">
        <f>HLOOKUP(W4,'Análise de Empresas'!$C$7:$L$10,2,FALSE)</f>
        <v>#N/A</v>
      </c>
      <c r="X3" s="173" t="str">
        <f>HLOOKUP(X4,'Análise de Empresas'!$C$7:$L$10,2,FALSE)</f>
        <v>#N/A</v>
      </c>
      <c r="Y3" s="173" t="str">
        <f>HLOOKUP(Y4,'Análise de Empresas'!$C$7:$L$10,2,FALSE)</f>
        <v>#N/A</v>
      </c>
      <c r="Z3" s="174" t="str">
        <f>HLOOKUP(Z4,'Análise de Empresas'!$C$7:$L$10,2,FALSE)</f>
        <v>#N/A</v>
      </c>
    </row>
    <row r="4" ht="15.75" customHeight="1">
      <c r="B4" s="175" t="str">
        <f>'Análise de Nichos'!D5</f>
        <v/>
      </c>
      <c r="F4" s="128"/>
      <c r="O4" s="177" t="s">
        <v>349</v>
      </c>
      <c r="Q4" s="172" t="str">
        <f>IFERROR(LARGE('Análise de Empresas'!$C$7:$L$7,COLUMN(A1)),"")</f>
        <v/>
      </c>
      <c r="R4" s="173" t="str">
        <f>IFERROR(LARGE('Análise de Empresas'!$C$7:$L$7,COLUMN(B1)),"")</f>
        <v/>
      </c>
      <c r="S4" s="173" t="str">
        <f>IFERROR(LARGE('Análise de Empresas'!$C$7:$L$7,COLUMN(C1)),"")</f>
        <v/>
      </c>
      <c r="T4" s="173" t="str">
        <f>IFERROR(LARGE('Análise de Empresas'!$C$7:$L$7,COLUMN(D1)),"")</f>
        <v/>
      </c>
      <c r="U4" s="173" t="str">
        <f>IFERROR(LARGE('Análise de Empresas'!$C$7:$L$7,COLUMN(E1)),"")</f>
        <v/>
      </c>
      <c r="V4" s="173" t="str">
        <f>IFERROR(LARGE('Análise de Empresas'!$C$7:$L$7,COLUMN(F1)),"")</f>
        <v/>
      </c>
      <c r="W4" s="173" t="str">
        <f>IFERROR(LARGE('Análise de Empresas'!$C$7:$L$7,COLUMN(N1)),"")</f>
        <v/>
      </c>
      <c r="X4" s="173" t="str">
        <f>IFERROR(LARGE('Análise de Empresas'!$C$7:$L$7,COLUMN(O1)),"")</f>
        <v/>
      </c>
      <c r="Y4" s="173" t="str">
        <f>IFERROR(LARGE('Análise de Empresas'!$C$7:$L$7,COLUMN(P1)),"")</f>
        <v/>
      </c>
      <c r="Z4" s="174" t="str">
        <f>IFERROR(LARGE('Análise de Empresas'!$C$7:$L$7,COLUMN(Q1)),"")</f>
        <v/>
      </c>
    </row>
    <row r="5" ht="15.75" customHeight="1">
      <c r="B5" s="175"/>
      <c r="C5" s="168"/>
      <c r="D5" s="168"/>
      <c r="E5" s="168"/>
      <c r="F5" s="176"/>
      <c r="O5" s="178" t="s">
        <v>350</v>
      </c>
      <c r="Q5" s="172" t="str">
        <f>HLOOKUP(Q4,'Análise de Empresas'!$C$7:$L$10,4,FALSE)</f>
        <v>#N/A</v>
      </c>
      <c r="R5" s="173" t="str">
        <f>HLOOKUP(R4,'Análise de Empresas'!$C$7:$L$10,4,FALSE)</f>
        <v>#N/A</v>
      </c>
      <c r="S5" s="173" t="str">
        <f>HLOOKUP(S4,'Análise de Empresas'!$C$7:$L$10,4,FALSE)</f>
        <v>#N/A</v>
      </c>
      <c r="T5" s="173" t="str">
        <f>HLOOKUP(T4,'Análise de Empresas'!$C$7:$L$10,4,FALSE)</f>
        <v>#N/A</v>
      </c>
      <c r="U5" s="173" t="str">
        <f>HLOOKUP(U4,'Análise de Empresas'!$C$7:$L$10,4,FALSE)</f>
        <v>#N/A</v>
      </c>
      <c r="V5" s="173" t="str">
        <f>HLOOKUP(V4,'Análise de Empresas'!$C$7:$L$10,4,FALSE)</f>
        <v>#N/A</v>
      </c>
      <c r="W5" s="173" t="str">
        <f>HLOOKUP(W4,'Análise de Empresas'!$C$7:$L$10,4,FALSE)</f>
        <v>#N/A</v>
      </c>
      <c r="X5" s="173" t="str">
        <f>HLOOKUP(X4,'Análise de Empresas'!$C$7:$L$10,4,FALSE)</f>
        <v>#N/A</v>
      </c>
      <c r="Y5" s="173" t="str">
        <f>HLOOKUP(Y4,'Análise de Empresas'!$C$7:$L$10,4,FALSE)</f>
        <v>#N/A</v>
      </c>
      <c r="Z5" s="174" t="str">
        <f>HLOOKUP(Z4,'Análise de Empresas'!$C$7:$L$10,4,FALSE)</f>
        <v>#N/A</v>
      </c>
    </row>
    <row r="6" ht="26.25" customHeight="1">
      <c r="B6" s="175" t="str">
        <f>'Análise de Nichos'!D7</f>
        <v>Finalize o preenchimento</v>
      </c>
      <c r="C6" s="168" t="str">
        <f>'Análise de Nichos'!E7</f>
        <v>Finalize o preenchimento</v>
      </c>
      <c r="D6" s="168" t="str">
        <f>'Análise de Nichos'!F7</f>
        <v>Finalize o preenchimento</v>
      </c>
      <c r="E6" s="168" t="str">
        <f>'Análise de Nichos'!G7</f>
        <v>Finalize o preenchimento</v>
      </c>
      <c r="F6" s="176" t="str">
        <f>'Análise de Nichos'!H7</f>
        <v>Finalize o preenchimento</v>
      </c>
      <c r="O6" s="178" t="s">
        <v>351</v>
      </c>
      <c r="Q6" s="172">
        <f>COUNTIF(Q3:Z3,"Sim")</f>
        <v>0</v>
      </c>
      <c r="R6" s="173"/>
      <c r="S6" s="173"/>
      <c r="T6" s="173"/>
      <c r="U6" s="173"/>
      <c r="V6" s="173"/>
      <c r="W6" s="173"/>
      <c r="X6" s="173"/>
      <c r="Y6" s="173"/>
      <c r="Z6" s="174"/>
    </row>
    <row r="7" ht="26.25" customHeight="1">
      <c r="B7" s="175" t="str">
        <f>'Análise de Nichos'!D9</f>
        <v>Nicho 1</v>
      </c>
      <c r="C7" s="168" t="str">
        <f>'Análise de Nichos'!E9</f>
        <v>Nicho 2</v>
      </c>
      <c r="D7" s="168" t="str">
        <f>'Análise de Nichos'!F9</f>
        <v>Nicho 3</v>
      </c>
      <c r="E7" s="168" t="str">
        <f>'Análise de Nichos'!G9</f>
        <v>Nicho 4</v>
      </c>
      <c r="F7" s="176" t="str">
        <f>'Análise de Nichos'!H9</f>
        <v>Nicho 5</v>
      </c>
      <c r="O7" s="178" t="s">
        <v>352</v>
      </c>
      <c r="Q7" s="179" t="s">
        <v>353</v>
      </c>
      <c r="Z7" s="180"/>
    </row>
    <row r="8" ht="26.25" customHeight="1">
      <c r="B8" s="181" t="str">
        <f>'Análise de Nichos'!D10</f>
        <v/>
      </c>
      <c r="C8" s="182" t="str">
        <f>'Análise de Nichos'!E10</f>
        <v/>
      </c>
      <c r="D8" s="182" t="str">
        <f>'Análise de Nichos'!F10</f>
        <v/>
      </c>
      <c r="E8" s="182" t="str">
        <f>'Análise de Nichos'!G10</f>
        <v/>
      </c>
      <c r="F8" s="183" t="str">
        <f>'Análise de Nichos'!H10</f>
        <v/>
      </c>
      <c r="O8" s="178" t="s">
        <v>354</v>
      </c>
      <c r="Q8" s="172" t="str">
        <f t="shared" ref="Q8:V8" si="4">IF(COUNTIF(A8:P8,"Sim")&lt;$Q$6,"Sim","")</f>
        <v/>
      </c>
      <c r="R8" s="173" t="str">
        <f t="shared" si="4"/>
        <v/>
      </c>
      <c r="S8" s="173" t="str">
        <f t="shared" si="4"/>
        <v/>
      </c>
      <c r="T8" s="173" t="str">
        <f t="shared" si="4"/>
        <v/>
      </c>
      <c r="U8" s="173" t="str">
        <f t="shared" si="4"/>
        <v/>
      </c>
      <c r="V8" s="173" t="str">
        <f t="shared" si="4"/>
        <v/>
      </c>
      <c r="W8" s="173" t="str">
        <f t="shared" ref="W8:Z8" si="5">IF(COUNTIF(N8:V8,"Sim")&lt;$Q$6,"Sim","")</f>
        <v/>
      </c>
      <c r="X8" s="173" t="str">
        <f t="shared" si="5"/>
        <v/>
      </c>
      <c r="Y8" s="173" t="str">
        <f t="shared" si="5"/>
        <v/>
      </c>
      <c r="Z8" s="174" t="str">
        <f t="shared" si="5"/>
        <v/>
      </c>
    </row>
    <row r="9" ht="15.75" customHeight="1">
      <c r="B9" s="184">
        <v>1.0</v>
      </c>
      <c r="C9" s="53">
        <v>2.0</v>
      </c>
      <c r="D9" s="184">
        <v>3.0</v>
      </c>
      <c r="E9" s="184">
        <v>4.0</v>
      </c>
      <c r="F9" s="184">
        <v>5.0</v>
      </c>
      <c r="O9" s="178" t="s">
        <v>355</v>
      </c>
      <c r="Q9" s="172" t="str">
        <f t="shared" ref="Q9:V9" si="6">IF(Q8="Sim",COUNTIF(A8:Q8,"Sim"),"")</f>
        <v/>
      </c>
      <c r="R9" s="173" t="str">
        <f t="shared" si="6"/>
        <v/>
      </c>
      <c r="S9" s="173" t="str">
        <f t="shared" si="6"/>
        <v/>
      </c>
      <c r="T9" s="173" t="str">
        <f t="shared" si="6"/>
        <v/>
      </c>
      <c r="U9" s="173" t="str">
        <f t="shared" si="6"/>
        <v/>
      </c>
      <c r="V9" s="173" t="str">
        <f t="shared" si="6"/>
        <v/>
      </c>
      <c r="W9" s="173" t="str">
        <f t="shared" ref="W9:Z9" si="7">IF(W8="Sim",COUNTIF(N8:W8,"Sim"),"")</f>
        <v/>
      </c>
      <c r="X9" s="173" t="str">
        <f t="shared" si="7"/>
        <v/>
      </c>
      <c r="Y9" s="173" t="str">
        <f t="shared" si="7"/>
        <v/>
      </c>
      <c r="Z9" s="174" t="str">
        <f t="shared" si="7"/>
        <v/>
      </c>
    </row>
    <row r="10" ht="15.75" customHeight="1">
      <c r="B10" s="184"/>
      <c r="C10" s="53"/>
      <c r="D10" s="184"/>
      <c r="E10" s="184"/>
      <c r="F10" s="184"/>
      <c r="O10" s="178" t="s">
        <v>356</v>
      </c>
      <c r="Q10" s="172" t="str">
        <f t="shared" ref="Q10:Z10" si="8">IFERROR(HLOOKUP(Q9,Q2:Z5,3,FALSE),"")</f>
        <v/>
      </c>
      <c r="R10" s="173" t="str">
        <f t="shared" si="8"/>
        <v/>
      </c>
      <c r="S10" s="173" t="str">
        <f t="shared" si="8"/>
        <v/>
      </c>
      <c r="T10" s="173" t="str">
        <f t="shared" si="8"/>
        <v/>
      </c>
      <c r="U10" s="173" t="str">
        <f t="shared" si="8"/>
        <v/>
      </c>
      <c r="V10" s="173" t="str">
        <f t="shared" si="8"/>
        <v/>
      </c>
      <c r="W10" s="173" t="str">
        <f t="shared" si="8"/>
        <v/>
      </c>
      <c r="X10" s="173" t="str">
        <f t="shared" si="8"/>
        <v/>
      </c>
      <c r="Y10" s="173" t="str">
        <f t="shared" si="8"/>
        <v/>
      </c>
      <c r="Z10" s="174" t="str">
        <f t="shared" si="8"/>
        <v/>
      </c>
    </row>
    <row r="11" ht="15.75" customHeight="1">
      <c r="B11" s="170" t="s">
        <v>357</v>
      </c>
      <c r="C11" s="118"/>
      <c r="D11" s="24"/>
      <c r="E11" s="185" t="s">
        <v>358</v>
      </c>
      <c r="F11" s="186" t="str">
        <f>HLOOKUP('[A finalizar] Posicionamento'!D4,B3:F7,5,FALSE)</f>
        <v>#REF!</v>
      </c>
      <c r="O11" s="178" t="s">
        <v>359</v>
      </c>
      <c r="Q11" s="172" t="str">
        <f t="shared" ref="Q11:Z11" si="9">IFERROR(HLOOKUP(Q9,Q2:Z5,4,FALSE),"")</f>
        <v/>
      </c>
      <c r="R11" s="173" t="str">
        <f t="shared" si="9"/>
        <v/>
      </c>
      <c r="S11" s="173" t="str">
        <f t="shared" si="9"/>
        <v/>
      </c>
      <c r="T11" s="173" t="str">
        <f t="shared" si="9"/>
        <v/>
      </c>
      <c r="U11" s="173" t="str">
        <f t="shared" si="9"/>
        <v/>
      </c>
      <c r="V11" s="173" t="str">
        <f t="shared" si="9"/>
        <v/>
      </c>
      <c r="W11" s="173" t="str">
        <f t="shared" si="9"/>
        <v/>
      </c>
      <c r="X11" s="173" t="str">
        <f t="shared" si="9"/>
        <v/>
      </c>
      <c r="Y11" s="173" t="str">
        <f t="shared" si="9"/>
        <v/>
      </c>
      <c r="Z11" s="174" t="str">
        <f t="shared" si="9"/>
        <v/>
      </c>
    </row>
    <row r="12" ht="15.75" customHeight="1">
      <c r="B12" s="187" t="s">
        <v>360</v>
      </c>
      <c r="C12" s="128"/>
      <c r="D12" s="184"/>
      <c r="E12" s="184"/>
      <c r="F12" s="184"/>
      <c r="O12" s="178" t="s">
        <v>361</v>
      </c>
      <c r="Q12" s="172" t="str">
        <f>IFERROR(HLOOKUP(Q10,'Análise de Empresas'!$C$7:$L$13,5,FALSE),"")</f>
        <v/>
      </c>
      <c r="R12" s="173" t="str">
        <f>IFERROR(HLOOKUP(R10,'Análise de Empresas'!$C$7:$L$13,5,FALSE),"")</f>
        <v/>
      </c>
      <c r="S12" s="173" t="str">
        <f>IFERROR(HLOOKUP(S10,'Análise de Empresas'!$C$7:$L$13,5,FALSE),"")</f>
        <v/>
      </c>
      <c r="T12" s="173" t="str">
        <f>IFERROR(HLOOKUP(T10,'Análise de Empresas'!$C$7:$L$13,5,FALSE),"")</f>
        <v/>
      </c>
      <c r="U12" s="173" t="str">
        <f>IFERROR(HLOOKUP(U10,'Análise de Empresas'!$C$7:$L$13,5,FALSE),"")</f>
        <v/>
      </c>
      <c r="V12" s="173" t="str">
        <f>IFERROR(HLOOKUP(V10,'Análise de Empresas'!$C$7:$L$13,5,FALSE),"")</f>
        <v/>
      </c>
      <c r="W12" s="173" t="str">
        <f>IFERROR(HLOOKUP(W10,'Análise de Empresas'!$C$7:$L$13,5,FALSE),"")</f>
        <v/>
      </c>
      <c r="X12" s="173" t="str">
        <f>IFERROR(HLOOKUP(X10,'Análise de Empresas'!$C$7:$L$13,5,FALSE),"")</f>
        <v/>
      </c>
      <c r="Y12" s="173" t="str">
        <f>IFERROR(HLOOKUP(Y10,'Análise de Empresas'!$C$7:$L$13,5,FALSE),"")</f>
        <v/>
      </c>
      <c r="Z12" s="174" t="str">
        <f>IFERROR(HLOOKUP(Z10,'Análise de Empresas'!$C$7:$L$13,5,FALSE),"")</f>
        <v/>
      </c>
    </row>
    <row r="13" ht="15.75" customHeight="1">
      <c r="B13" s="188">
        <f t="shared" ref="B13:B15" si="10">B14*0.8</f>
        <v>3.072</v>
      </c>
      <c r="C13" s="176" t="s">
        <v>362</v>
      </c>
      <c r="D13" s="184"/>
      <c r="E13" s="184"/>
      <c r="F13" s="184"/>
      <c r="O13" s="178" t="s">
        <v>363</v>
      </c>
      <c r="Q13" s="172" t="str">
        <f>IFERROR(HLOOKUP(Q10,'Análise de Empresas'!$C$7:$L$13,6,FALSE),"")</f>
        <v/>
      </c>
      <c r="R13" s="173" t="str">
        <f>IFERROR(HLOOKUP(R10,'Análise de Empresas'!$C$7:$L$13,6,FALSE),"")</f>
        <v/>
      </c>
      <c r="S13" s="173" t="str">
        <f>IFERROR(HLOOKUP(S10,'Análise de Empresas'!$C$7:$L$13,6,FALSE),"")</f>
        <v/>
      </c>
      <c r="T13" s="173" t="str">
        <f>IFERROR(HLOOKUP(T10,'Análise de Empresas'!$C$7:$L$13,6,FALSE),"")</f>
        <v/>
      </c>
      <c r="U13" s="173" t="str">
        <f>IFERROR(HLOOKUP(U10,'Análise de Empresas'!$C$7:$L$13,6,FALSE),"")</f>
        <v/>
      </c>
      <c r="V13" s="173" t="str">
        <f>IFERROR(HLOOKUP(V10,'Análise de Empresas'!$C$7:$L$13,6,FALSE),"")</f>
        <v/>
      </c>
      <c r="W13" s="173" t="str">
        <f>IFERROR(HLOOKUP(W10,'Análise de Empresas'!$C$7:$L$13,6,FALSE),"")</f>
        <v/>
      </c>
      <c r="X13" s="173" t="str">
        <f>IFERROR(HLOOKUP(X10,'Análise de Empresas'!$C$7:$L$13,6,FALSE),"")</f>
        <v/>
      </c>
      <c r="Y13" s="173" t="str">
        <f>IFERROR(HLOOKUP(Y10,'Análise de Empresas'!$C$7:$L$13,6,FALSE),"")</f>
        <v/>
      </c>
      <c r="Z13" s="174" t="str">
        <f>IFERROR(HLOOKUP(Z10,'Análise de Empresas'!$C$7:$L$13,6,FALSE),"")</f>
        <v/>
      </c>
    </row>
    <row r="14" ht="15.75" customHeight="1">
      <c r="B14" s="188">
        <f t="shared" si="10"/>
        <v>3.84</v>
      </c>
      <c r="C14" s="176" t="s">
        <v>364</v>
      </c>
      <c r="D14" s="184"/>
      <c r="E14" s="184"/>
      <c r="F14" s="184"/>
      <c r="O14" s="178" t="s">
        <v>365</v>
      </c>
      <c r="Q14" s="189" t="str">
        <f>IFERROR(HLOOKUP(Q10,'Análise de Empresas'!$C$7:$L$13,7,FALSE),"")</f>
        <v/>
      </c>
      <c r="R14" s="41" t="str">
        <f>IFERROR(HLOOKUP(R10,'Análise de Empresas'!$C$7:$L$13,7,FALSE),"")</f>
        <v/>
      </c>
      <c r="S14" s="41" t="str">
        <f>IFERROR(HLOOKUP(S10,'Análise de Empresas'!$C$7:$L$13,7,FALSE),"")</f>
        <v/>
      </c>
      <c r="T14" s="41" t="str">
        <f>IFERROR(HLOOKUP(T10,'Análise de Empresas'!$C$7:$L$13,7,FALSE),"")</f>
        <v/>
      </c>
      <c r="U14" s="41" t="str">
        <f>IFERROR(HLOOKUP(U10,'Análise de Empresas'!$C$7:$L$13,7,FALSE),"")</f>
        <v/>
      </c>
      <c r="V14" s="41" t="str">
        <f>IFERROR(HLOOKUP(V10,'Análise de Empresas'!$C$7:$L$13,7,FALSE),"")</f>
        <v/>
      </c>
      <c r="W14" s="41" t="str">
        <f>IFERROR(HLOOKUP(W10,'Análise de Empresas'!$C$7:$L$13,7,FALSE),"")</f>
        <v/>
      </c>
      <c r="X14" s="41" t="str">
        <f>IFERROR(HLOOKUP(X10,'Análise de Empresas'!$C$7:$L$13,7,FALSE),"")</f>
        <v/>
      </c>
      <c r="Y14" s="41" t="str">
        <f>IFERROR(HLOOKUP(Y10,'Análise de Empresas'!$C$7:$L$13,7,FALSE),"")</f>
        <v/>
      </c>
      <c r="Z14" s="190" t="str">
        <f>IFERROR(HLOOKUP(Z10,'Análise de Empresas'!$C$7:$L$13,7,FALSE),"")</f>
        <v/>
      </c>
    </row>
    <row r="15" ht="69.0" customHeight="1">
      <c r="B15" s="188">
        <f t="shared" si="10"/>
        <v>4.8</v>
      </c>
      <c r="C15" s="176" t="s">
        <v>366</v>
      </c>
      <c r="D15" s="184"/>
      <c r="E15" s="184"/>
      <c r="F15" s="184"/>
      <c r="O15" s="177" t="s">
        <v>367</v>
      </c>
      <c r="Q15" s="191" t="str">
        <f t="shared" ref="Q15:T15" si="11">Q12&amp;CHAR(10)&amp;Q13&amp;CHAR(10)&amp;Q14</f>
        <v>
</v>
      </c>
      <c r="R15" s="191" t="str">
        <f t="shared" si="11"/>
        <v>
</v>
      </c>
      <c r="S15" s="191" t="str">
        <f t="shared" si="11"/>
        <v>
</v>
      </c>
      <c r="T15" s="191" t="str">
        <f t="shared" si="11"/>
        <v>
</v>
      </c>
      <c r="U15" s="192"/>
      <c r="V15" s="192"/>
      <c r="W15" s="192"/>
      <c r="X15" s="192"/>
      <c r="Y15" s="192"/>
      <c r="Z15" s="193"/>
    </row>
    <row r="16" ht="15.75" customHeight="1">
      <c r="B16" s="194">
        <v>6.0</v>
      </c>
      <c r="C16" s="183" t="s">
        <v>368</v>
      </c>
      <c r="D16" s="184"/>
      <c r="E16" s="184"/>
      <c r="F16" s="184"/>
      <c r="O16" s="178" t="s">
        <v>369</v>
      </c>
    </row>
    <row r="17" ht="15.75" customHeight="1">
      <c r="B17" s="184"/>
      <c r="C17" s="53"/>
      <c r="D17" s="184"/>
      <c r="E17" s="184"/>
      <c r="F17" s="184"/>
      <c r="O17" s="178" t="s">
        <v>370</v>
      </c>
    </row>
    <row r="18" ht="15.75" customHeight="1">
      <c r="B18" s="170" t="s">
        <v>371</v>
      </c>
      <c r="C18" s="118"/>
      <c r="D18" s="184"/>
      <c r="E18" s="184"/>
      <c r="F18" s="184"/>
      <c r="O18" s="178" t="s">
        <v>372</v>
      </c>
    </row>
    <row r="19" ht="15.75" customHeight="1">
      <c r="B19" s="187" t="s">
        <v>360</v>
      </c>
      <c r="C19" s="128"/>
      <c r="D19" s="184"/>
      <c r="E19" s="184"/>
      <c r="F19" s="184"/>
      <c r="O19" s="178" t="s">
        <v>373</v>
      </c>
    </row>
    <row r="20" ht="15.75" customHeight="1">
      <c r="B20" s="188">
        <f t="shared" ref="B20:B21" si="12">B21*0.9</f>
        <v>3.78675</v>
      </c>
      <c r="C20" s="176" t="s">
        <v>374</v>
      </c>
      <c r="D20" s="184"/>
      <c r="E20" s="184"/>
      <c r="F20" s="184"/>
      <c r="O20" s="178" t="s">
        <v>375</v>
      </c>
    </row>
    <row r="21" ht="15.75" customHeight="1">
      <c r="B21" s="188">
        <f t="shared" si="12"/>
        <v>4.2075</v>
      </c>
      <c r="C21" s="176" t="s">
        <v>376</v>
      </c>
      <c r="D21" s="184"/>
      <c r="E21" s="184"/>
      <c r="F21" s="184"/>
      <c r="O21" s="178" t="s">
        <v>377</v>
      </c>
    </row>
    <row r="22" ht="15.75" customHeight="1">
      <c r="B22" s="188">
        <f>B23*0.85</f>
        <v>4.675</v>
      </c>
      <c r="C22" s="176" t="s">
        <v>378</v>
      </c>
      <c r="D22" s="184"/>
      <c r="E22" s="184"/>
      <c r="F22" s="184"/>
      <c r="O22" s="178" t="s">
        <v>379</v>
      </c>
    </row>
    <row r="23" ht="15.75" customHeight="1">
      <c r="B23" s="194">
        <v>5.5</v>
      </c>
      <c r="C23" s="183" t="s">
        <v>380</v>
      </c>
      <c r="D23" s="184"/>
      <c r="E23" s="184"/>
      <c r="F23" s="184"/>
      <c r="O23" s="178" t="s">
        <v>381</v>
      </c>
    </row>
    <row r="24" ht="15.75" customHeight="1">
      <c r="B24" s="184"/>
      <c r="C24" s="53"/>
      <c r="D24" s="184"/>
      <c r="E24" s="184"/>
      <c r="F24" s="184"/>
      <c r="O24" s="178" t="s">
        <v>382</v>
      </c>
    </row>
    <row r="25" ht="15.75" customHeight="1">
      <c r="B25" s="184"/>
      <c r="C25" s="53"/>
      <c r="D25" s="184"/>
      <c r="E25" s="184"/>
      <c r="F25" s="184"/>
      <c r="O25" s="178" t="s">
        <v>383</v>
      </c>
    </row>
    <row r="26" ht="15.75" customHeight="1">
      <c r="B26" s="184"/>
      <c r="C26" s="53"/>
      <c r="D26" s="184"/>
      <c r="E26" s="184"/>
      <c r="F26" s="184"/>
      <c r="O26" s="178" t="s">
        <v>384</v>
      </c>
    </row>
    <row r="27" ht="15.75" customHeight="1">
      <c r="B27" s="184"/>
      <c r="C27" s="53"/>
      <c r="D27" s="184"/>
      <c r="E27" s="184"/>
      <c r="F27" s="184"/>
      <c r="O27" s="178" t="s">
        <v>385</v>
      </c>
    </row>
    <row r="28" ht="15.75" customHeight="1">
      <c r="B28" s="184"/>
      <c r="C28" s="53"/>
      <c r="D28" s="184"/>
      <c r="E28" s="184"/>
      <c r="F28" s="184"/>
      <c r="O28" s="178" t="s">
        <v>386</v>
      </c>
    </row>
    <row r="29" ht="15.75" customHeight="1">
      <c r="B29" s="184"/>
      <c r="C29" s="53"/>
      <c r="D29" s="184"/>
      <c r="E29" s="184"/>
      <c r="F29" s="184"/>
      <c r="O29" s="178" t="s">
        <v>387</v>
      </c>
    </row>
    <row r="30" ht="15.75" customHeight="1">
      <c r="B30" s="184"/>
      <c r="C30" s="53"/>
      <c r="D30" s="184"/>
      <c r="E30" s="184"/>
      <c r="F30" s="184"/>
      <c r="O30" s="178" t="s">
        <v>388</v>
      </c>
    </row>
    <row r="31" ht="15.75" customHeight="1">
      <c r="B31" s="195" t="s">
        <v>389</v>
      </c>
      <c r="C31" s="195" t="s">
        <v>19</v>
      </c>
      <c r="D31" s="24"/>
      <c r="E31" s="24"/>
      <c r="F31" s="195" t="s">
        <v>390</v>
      </c>
      <c r="G31" s="24"/>
      <c r="H31" s="24"/>
      <c r="O31" s="178" t="s">
        <v>391</v>
      </c>
    </row>
    <row r="32" ht="15.75" customHeight="1">
      <c r="B32" s="196" t="s">
        <v>392</v>
      </c>
      <c r="C32" s="197">
        <v>5.0</v>
      </c>
      <c r="E32" s="50" t="s">
        <v>393</v>
      </c>
      <c r="F32" s="198">
        <v>5.0</v>
      </c>
      <c r="G32" s="24"/>
      <c r="J32" s="199"/>
      <c r="K32" s="199"/>
      <c r="L32" s="199"/>
      <c r="M32" s="199"/>
      <c r="N32" s="200"/>
      <c r="O32" s="178" t="s">
        <v>394</v>
      </c>
    </row>
    <row r="33" ht="15.75" customHeight="1">
      <c r="A33" s="41"/>
      <c r="B33" s="201" t="s">
        <v>395</v>
      </c>
      <c r="C33" s="202">
        <v>0.0</v>
      </c>
      <c r="D33" s="24"/>
      <c r="E33" s="50" t="s">
        <v>396</v>
      </c>
      <c r="F33" s="198">
        <v>3.0</v>
      </c>
      <c r="I33" s="41"/>
      <c r="J33" s="41"/>
      <c r="K33" s="41"/>
      <c r="L33" s="41"/>
      <c r="M33" s="41"/>
      <c r="N33" s="41"/>
      <c r="O33" s="178" t="s">
        <v>397</v>
      </c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</row>
    <row r="34" ht="15.75" customHeight="1">
      <c r="A34" s="41"/>
      <c r="B34" s="201" t="s">
        <v>398</v>
      </c>
      <c r="C34" s="202">
        <v>0.6</v>
      </c>
      <c r="D34" s="24"/>
      <c r="E34" s="50" t="s">
        <v>399</v>
      </c>
      <c r="F34" s="198">
        <v>4.0</v>
      </c>
      <c r="I34" s="41"/>
      <c r="J34" s="41"/>
      <c r="K34" s="41"/>
      <c r="L34" s="41"/>
      <c r="M34" s="41"/>
      <c r="N34" s="41"/>
      <c r="O34" s="178" t="s">
        <v>400</v>
      </c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</row>
    <row r="35" ht="15.75" customHeight="1">
      <c r="A35" s="41"/>
      <c r="B35" s="201" t="s">
        <v>401</v>
      </c>
      <c r="C35" s="202">
        <v>1.0</v>
      </c>
      <c r="D35" s="24"/>
      <c r="E35" s="50" t="s">
        <v>402</v>
      </c>
      <c r="F35" s="198">
        <v>3.0</v>
      </c>
      <c r="I35" s="41"/>
      <c r="J35" s="41"/>
      <c r="K35" s="41"/>
      <c r="L35" s="41"/>
      <c r="M35" s="41"/>
      <c r="N35" s="41"/>
      <c r="O35" s="178" t="s">
        <v>403</v>
      </c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</row>
    <row r="36" ht="15.75" customHeight="1">
      <c r="A36" s="41"/>
      <c r="B36" s="201"/>
      <c r="C36" s="202"/>
      <c r="I36" s="41"/>
      <c r="J36" s="41"/>
      <c r="K36" s="41"/>
      <c r="L36" s="41"/>
      <c r="M36" s="41"/>
      <c r="N36" s="41"/>
      <c r="O36" s="178" t="s">
        <v>404</v>
      </c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</row>
    <row r="37" ht="15.75" customHeight="1">
      <c r="A37" s="41"/>
      <c r="B37" s="203"/>
      <c r="C37" s="202"/>
      <c r="I37" s="41"/>
      <c r="J37" s="41"/>
      <c r="K37" s="41"/>
      <c r="L37" s="41"/>
      <c r="M37" s="41"/>
      <c r="N37" s="41"/>
      <c r="O37" s="178" t="s">
        <v>405</v>
      </c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</row>
    <row r="38" ht="15.75" customHeight="1">
      <c r="A38" s="41"/>
      <c r="B38" s="203"/>
      <c r="C38" s="202"/>
      <c r="I38" s="41"/>
      <c r="J38" s="41"/>
      <c r="K38" s="41"/>
      <c r="L38" s="41"/>
      <c r="M38" s="41"/>
      <c r="N38" s="41"/>
      <c r="O38" s="177" t="s">
        <v>406</v>
      </c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</row>
    <row r="39" ht="15.75" customHeight="1">
      <c r="A39" s="41"/>
      <c r="B39" s="196" t="s">
        <v>407</v>
      </c>
      <c r="C39" s="197">
        <v>3.0</v>
      </c>
      <c r="I39" s="41"/>
      <c r="J39" s="41"/>
      <c r="K39" s="41"/>
      <c r="L39" s="41"/>
      <c r="M39" s="41"/>
      <c r="N39" s="41"/>
      <c r="O39" s="178" t="s">
        <v>408</v>
      </c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</row>
    <row r="40" ht="15.75" customHeight="1">
      <c r="A40" s="41"/>
      <c r="B40" s="203" t="s">
        <v>409</v>
      </c>
      <c r="C40" s="202">
        <v>0.0</v>
      </c>
      <c r="I40" s="41"/>
      <c r="J40" s="41"/>
      <c r="K40" s="41"/>
      <c r="L40" s="41"/>
      <c r="M40" s="41"/>
      <c r="N40" s="41"/>
      <c r="O40" s="178" t="s">
        <v>410</v>
      </c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</row>
    <row r="41" ht="15.75" customHeight="1">
      <c r="A41" s="41"/>
      <c r="B41" s="203" t="s">
        <v>411</v>
      </c>
      <c r="C41" s="204">
        <v>0.2</v>
      </c>
      <c r="D41" s="173"/>
      <c r="E41" s="173"/>
      <c r="F41" s="173"/>
      <c r="G41" s="41"/>
      <c r="H41" s="41"/>
      <c r="I41" s="41"/>
      <c r="J41" s="41"/>
      <c r="K41" s="41"/>
      <c r="L41" s="41"/>
      <c r="M41" s="41"/>
      <c r="N41" s="41"/>
      <c r="O41" s="178" t="s">
        <v>412</v>
      </c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</row>
    <row r="42" ht="15.75" customHeight="1">
      <c r="A42" s="41"/>
      <c r="B42" s="205" t="s">
        <v>413</v>
      </c>
      <c r="C42" s="204">
        <v>0.5</v>
      </c>
      <c r="D42" s="173"/>
      <c r="E42" s="173"/>
      <c r="F42" s="173"/>
      <c r="G42" s="41"/>
      <c r="H42" s="41"/>
      <c r="I42" s="41"/>
      <c r="J42" s="41"/>
      <c r="K42" s="41"/>
      <c r="L42" s="41"/>
      <c r="M42" s="41"/>
      <c r="N42" s="41"/>
      <c r="O42" s="178" t="s">
        <v>414</v>
      </c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</row>
    <row r="43" ht="15.75" customHeight="1">
      <c r="A43" s="41"/>
      <c r="B43" s="205" t="s">
        <v>415</v>
      </c>
      <c r="C43" s="204">
        <v>0.8</v>
      </c>
      <c r="D43" s="173"/>
      <c r="E43" s="173"/>
      <c r="F43" s="173"/>
      <c r="G43" s="41"/>
      <c r="H43" s="41"/>
      <c r="I43" s="41"/>
      <c r="J43" s="41"/>
      <c r="K43" s="41"/>
      <c r="L43" s="41"/>
      <c r="M43" s="41"/>
      <c r="N43" s="41"/>
      <c r="O43" s="178" t="s">
        <v>416</v>
      </c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</row>
    <row r="44" ht="15.75" customHeight="1">
      <c r="A44" s="41"/>
      <c r="B44" s="205" t="s">
        <v>417</v>
      </c>
      <c r="C44" s="204">
        <v>1.0</v>
      </c>
      <c r="D44" s="173"/>
      <c r="E44" s="173"/>
      <c r="F44" s="173"/>
      <c r="G44" s="41"/>
      <c r="H44" s="41"/>
      <c r="I44" s="41"/>
      <c r="J44" s="41"/>
      <c r="K44" s="41"/>
      <c r="L44" s="41"/>
      <c r="M44" s="41"/>
      <c r="N44" s="41"/>
      <c r="O44" s="178" t="s">
        <v>418</v>
      </c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</row>
    <row r="45" ht="15.75" customHeight="1">
      <c r="A45" s="41"/>
      <c r="B45" s="206"/>
      <c r="C45" s="204"/>
      <c r="D45" s="173"/>
      <c r="E45" s="173"/>
      <c r="F45" s="173"/>
      <c r="G45" s="41"/>
      <c r="H45" s="41"/>
      <c r="I45" s="41"/>
      <c r="J45" s="41"/>
      <c r="K45" s="41"/>
      <c r="L45" s="41"/>
      <c r="M45" s="41"/>
      <c r="N45" s="41"/>
      <c r="O45" s="178" t="s">
        <v>419</v>
      </c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</row>
    <row r="46" ht="15.75" customHeight="1">
      <c r="A46" s="41"/>
      <c r="B46" s="196" t="s">
        <v>420</v>
      </c>
      <c r="C46" s="197">
        <v>3.0</v>
      </c>
      <c r="E46" s="173"/>
      <c r="F46" s="173"/>
      <c r="G46" s="41"/>
      <c r="H46" s="41"/>
      <c r="I46" s="41"/>
      <c r="J46" s="41"/>
      <c r="K46" s="41"/>
      <c r="L46" s="41"/>
      <c r="M46" s="41"/>
      <c r="N46" s="41"/>
      <c r="O46" s="178" t="s">
        <v>421</v>
      </c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</row>
    <row r="47" ht="15.75" customHeight="1">
      <c r="A47" s="41"/>
      <c r="B47" s="207" t="s">
        <v>259</v>
      </c>
      <c r="C47" s="202">
        <v>0.1</v>
      </c>
      <c r="D47" s="173"/>
      <c r="E47" s="173"/>
      <c r="F47" s="173"/>
      <c r="G47" s="41"/>
      <c r="H47" s="41"/>
      <c r="I47" s="41"/>
      <c r="J47" s="41"/>
      <c r="K47" s="41"/>
      <c r="L47" s="41"/>
      <c r="M47" s="41"/>
      <c r="N47" s="41"/>
      <c r="O47" s="178" t="s">
        <v>422</v>
      </c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</row>
    <row r="48" ht="15.75" customHeight="1">
      <c r="A48" s="41"/>
      <c r="B48" s="207" t="s">
        <v>262</v>
      </c>
      <c r="C48" s="202">
        <v>0.3</v>
      </c>
      <c r="D48" s="173"/>
      <c r="E48" s="173"/>
      <c r="F48" s="173"/>
      <c r="G48" s="41"/>
      <c r="H48" s="41"/>
      <c r="I48" s="41"/>
      <c r="J48" s="41"/>
      <c r="K48" s="41"/>
      <c r="L48" s="41"/>
      <c r="M48" s="41"/>
      <c r="N48" s="41"/>
      <c r="O48" s="178" t="s">
        <v>423</v>
      </c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</row>
    <row r="49" ht="15.75" customHeight="1">
      <c r="A49" s="41"/>
      <c r="B49" s="207" t="s">
        <v>264</v>
      </c>
      <c r="C49" s="202">
        <v>0.5</v>
      </c>
      <c r="D49" s="173"/>
      <c r="E49" s="173"/>
      <c r="F49" s="173"/>
      <c r="G49" s="41"/>
      <c r="H49" s="41"/>
      <c r="I49" s="41"/>
      <c r="J49" s="41"/>
      <c r="K49" s="41"/>
      <c r="L49" s="41"/>
      <c r="M49" s="41"/>
      <c r="N49" s="41"/>
      <c r="O49" s="178" t="s">
        <v>424</v>
      </c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</row>
    <row r="50" ht="15.75" customHeight="1">
      <c r="A50" s="41"/>
      <c r="B50" s="207" t="s">
        <v>320</v>
      </c>
      <c r="C50" s="202">
        <v>0.7</v>
      </c>
      <c r="D50" s="173"/>
      <c r="E50" s="173"/>
      <c r="F50" s="173"/>
      <c r="G50" s="41"/>
      <c r="H50" s="41"/>
      <c r="I50" s="41"/>
      <c r="J50" s="41"/>
      <c r="K50" s="41"/>
      <c r="L50" s="41"/>
      <c r="M50" s="41"/>
      <c r="N50" s="41"/>
      <c r="O50" s="184" t="s">
        <v>425</v>
      </c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</row>
    <row r="51" ht="15.75" customHeight="1">
      <c r="A51" s="41"/>
      <c r="B51" s="207" t="s">
        <v>321</v>
      </c>
      <c r="C51" s="202">
        <v>0.9</v>
      </c>
      <c r="D51" s="173"/>
      <c r="E51" s="173"/>
      <c r="F51" s="173"/>
      <c r="G51" s="41"/>
      <c r="H51" s="41"/>
      <c r="I51" s="41"/>
      <c r="J51" s="41"/>
      <c r="K51" s="41"/>
      <c r="L51" s="41"/>
      <c r="M51" s="41"/>
      <c r="N51" s="41"/>
      <c r="O51" s="178" t="s">
        <v>426</v>
      </c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</row>
    <row r="52" ht="15.75" customHeight="1">
      <c r="B52" s="207" t="s">
        <v>322</v>
      </c>
      <c r="C52" s="202">
        <v>1.0</v>
      </c>
      <c r="D52" s="184"/>
      <c r="E52" s="184"/>
      <c r="F52" s="184"/>
      <c r="O52" s="178" t="s">
        <v>427</v>
      </c>
    </row>
    <row r="53" ht="15.75" customHeight="1">
      <c r="B53" s="208"/>
      <c r="C53" s="202"/>
      <c r="E53" s="184"/>
      <c r="F53" s="184"/>
      <c r="O53" s="178" t="s">
        <v>428</v>
      </c>
    </row>
    <row r="54" ht="15.75" customHeight="1">
      <c r="B54" s="208"/>
      <c r="C54" s="202"/>
      <c r="D54" s="184"/>
      <c r="E54" s="184"/>
      <c r="F54" s="184"/>
      <c r="O54" s="178" t="s">
        <v>429</v>
      </c>
    </row>
    <row r="55" ht="15.75" customHeight="1">
      <c r="B55" s="209"/>
      <c r="C55" s="210"/>
      <c r="D55" s="184"/>
      <c r="E55" s="184"/>
      <c r="F55" s="184"/>
      <c r="O55" s="178" t="s">
        <v>430</v>
      </c>
    </row>
    <row r="56" ht="15.75" customHeight="1">
      <c r="B56" s="50" t="s">
        <v>54</v>
      </c>
      <c r="C56" s="211">
        <v>4.0</v>
      </c>
      <c r="D56" s="184"/>
      <c r="E56" s="184"/>
      <c r="F56" s="184"/>
      <c r="O56" s="178" t="s">
        <v>431</v>
      </c>
    </row>
    <row r="57" ht="15.75" customHeight="1">
      <c r="B57" s="50" t="s">
        <v>432</v>
      </c>
      <c r="C57" s="211">
        <v>4.0</v>
      </c>
      <c r="D57" s="184"/>
      <c r="E57" s="184"/>
      <c r="F57" s="184"/>
      <c r="O57" s="178" t="s">
        <v>433</v>
      </c>
    </row>
    <row r="58" ht="15.75" customHeight="1">
      <c r="B58" s="184"/>
      <c r="C58" s="53"/>
      <c r="D58" s="184"/>
      <c r="E58" s="184"/>
      <c r="F58" s="184"/>
      <c r="O58" s="178" t="s">
        <v>434</v>
      </c>
    </row>
    <row r="59" ht="15.75" customHeight="1">
      <c r="B59" s="184"/>
      <c r="C59" s="53"/>
      <c r="D59" s="184"/>
      <c r="E59" s="184"/>
      <c r="F59" s="184"/>
      <c r="O59" s="177" t="s">
        <v>435</v>
      </c>
    </row>
    <row r="60" ht="15.75" customHeight="1">
      <c r="B60" s="212" t="s">
        <v>436</v>
      </c>
      <c r="C60" s="27"/>
      <c r="D60" s="27"/>
      <c r="E60" s="27"/>
      <c r="F60" s="27"/>
      <c r="G60" s="27"/>
      <c r="H60" s="27"/>
      <c r="I60" s="27"/>
      <c r="J60" s="27"/>
      <c r="K60" s="27"/>
      <c r="L60" s="28"/>
      <c r="O60" s="177" t="s">
        <v>437</v>
      </c>
    </row>
    <row r="61" ht="15.75" customHeight="1">
      <c r="B61" s="213" t="s">
        <v>17</v>
      </c>
      <c r="L61" s="180"/>
      <c r="O61" s="178" t="s">
        <v>438</v>
      </c>
    </row>
    <row r="62" ht="15.75" customHeight="1">
      <c r="B62" s="214"/>
      <c r="C62" s="215">
        <v>10.0</v>
      </c>
      <c r="D62" s="216">
        <v>9.0</v>
      </c>
      <c r="E62" s="216">
        <v>8.0</v>
      </c>
      <c r="F62" s="216">
        <v>7.0</v>
      </c>
      <c r="G62" s="216">
        <v>6.0</v>
      </c>
      <c r="H62" s="216">
        <v>5.0</v>
      </c>
      <c r="I62" s="216">
        <v>4.0</v>
      </c>
      <c r="J62" s="216">
        <v>3.0</v>
      </c>
      <c r="K62" s="216">
        <v>2.0</v>
      </c>
      <c r="L62" s="216">
        <v>1.0</v>
      </c>
      <c r="O62" s="178" t="s">
        <v>439</v>
      </c>
    </row>
    <row r="63" ht="15.75" customHeight="1">
      <c r="B63" s="50" t="s">
        <v>440</v>
      </c>
      <c r="C63" s="53" t="str">
        <f t="shared" ref="C63:L63" si="13">IFERROR(HLOOKUP(C$62,#REF!,1,FALSE),"")</f>
        <v/>
      </c>
      <c r="D63" s="184" t="str">
        <f t="shared" si="13"/>
        <v/>
      </c>
      <c r="E63" s="184" t="str">
        <f t="shared" si="13"/>
        <v/>
      </c>
      <c r="F63" s="184" t="str">
        <f t="shared" si="13"/>
        <v/>
      </c>
      <c r="G63" s="184" t="str">
        <f t="shared" si="13"/>
        <v/>
      </c>
      <c r="H63" s="184" t="str">
        <f t="shared" si="13"/>
        <v/>
      </c>
      <c r="I63" s="184" t="str">
        <f t="shared" si="13"/>
        <v/>
      </c>
      <c r="J63" s="184" t="str">
        <f t="shared" si="13"/>
        <v/>
      </c>
      <c r="K63" s="184" t="str">
        <f t="shared" si="13"/>
        <v/>
      </c>
      <c r="L63" s="217" t="str">
        <f t="shared" si="13"/>
        <v/>
      </c>
      <c r="O63" s="177" t="s">
        <v>441</v>
      </c>
    </row>
    <row r="64" ht="15.75" customHeight="1">
      <c r="B64" s="50" t="s">
        <v>442</v>
      </c>
      <c r="C64" s="53" t="str">
        <f t="shared" ref="C64:L64" si="14">IFERROR(HLOOKUP(C$62,#REF!,1,FALSE),"")</f>
        <v/>
      </c>
      <c r="D64" s="184" t="str">
        <f t="shared" si="14"/>
        <v/>
      </c>
      <c r="E64" s="184" t="str">
        <f t="shared" si="14"/>
        <v/>
      </c>
      <c r="F64" s="184" t="str">
        <f t="shared" si="14"/>
        <v/>
      </c>
      <c r="G64" s="184" t="str">
        <f t="shared" si="14"/>
        <v/>
      </c>
      <c r="H64" s="184" t="str">
        <f t="shared" si="14"/>
        <v/>
      </c>
      <c r="I64" s="184" t="str">
        <f t="shared" si="14"/>
        <v/>
      </c>
      <c r="J64" s="184" t="str">
        <f t="shared" si="14"/>
        <v/>
      </c>
      <c r="K64" s="184" t="str">
        <f t="shared" si="14"/>
        <v/>
      </c>
      <c r="L64" s="217" t="str">
        <f t="shared" si="14"/>
        <v/>
      </c>
      <c r="O64" s="178" t="s">
        <v>443</v>
      </c>
    </row>
    <row r="65" ht="15.75" customHeight="1">
      <c r="B65" s="50" t="s">
        <v>444</v>
      </c>
      <c r="C65" s="53" t="str">
        <f t="shared" ref="C65:L65" si="15">IFERROR(HLOOKUP(C$62,#REF!,1,FALSE),"")</f>
        <v/>
      </c>
      <c r="D65" s="184" t="str">
        <f t="shared" si="15"/>
        <v/>
      </c>
      <c r="E65" s="184" t="str">
        <f t="shared" si="15"/>
        <v/>
      </c>
      <c r="F65" s="184" t="str">
        <f t="shared" si="15"/>
        <v/>
      </c>
      <c r="G65" s="184" t="str">
        <f t="shared" si="15"/>
        <v/>
      </c>
      <c r="H65" s="184" t="str">
        <f t="shared" si="15"/>
        <v/>
      </c>
      <c r="I65" s="184" t="str">
        <f t="shared" si="15"/>
        <v/>
      </c>
      <c r="J65" s="184" t="str">
        <f t="shared" si="15"/>
        <v/>
      </c>
      <c r="K65" s="184" t="str">
        <f t="shared" si="15"/>
        <v/>
      </c>
      <c r="L65" s="217" t="str">
        <f t="shared" si="15"/>
        <v/>
      </c>
      <c r="O65" s="178" t="s">
        <v>445</v>
      </c>
    </row>
    <row r="66" ht="15.75" customHeight="1">
      <c r="B66" s="50" t="s">
        <v>446</v>
      </c>
      <c r="C66" s="218" t="str">
        <f t="shared" ref="C66:L66" si="16">IFERROR(HLOOKUP(C$62,#REF!,1,FALSE),"")</f>
        <v/>
      </c>
      <c r="D66" s="219" t="str">
        <f t="shared" si="16"/>
        <v/>
      </c>
      <c r="E66" s="219" t="str">
        <f t="shared" si="16"/>
        <v/>
      </c>
      <c r="F66" s="219" t="str">
        <f t="shared" si="16"/>
        <v/>
      </c>
      <c r="G66" s="219" t="str">
        <f t="shared" si="16"/>
        <v/>
      </c>
      <c r="H66" s="219" t="str">
        <f t="shared" si="16"/>
        <v/>
      </c>
      <c r="I66" s="219" t="str">
        <f t="shared" si="16"/>
        <v/>
      </c>
      <c r="J66" s="219" t="str">
        <f t="shared" si="16"/>
        <v/>
      </c>
      <c r="K66" s="219" t="str">
        <f t="shared" si="16"/>
        <v/>
      </c>
      <c r="L66" s="220" t="str">
        <f t="shared" si="16"/>
        <v/>
      </c>
      <c r="O66" s="178" t="s">
        <v>447</v>
      </c>
    </row>
    <row r="67" ht="15.75" customHeight="1">
      <c r="B67" s="213" t="s">
        <v>448</v>
      </c>
      <c r="L67" s="180"/>
      <c r="O67" s="178" t="s">
        <v>449</v>
      </c>
    </row>
    <row r="68" ht="15.75" customHeight="1">
      <c r="B68" s="50" t="s">
        <v>450</v>
      </c>
      <c r="C68" s="53" t="str">
        <f>IFERROR(HLOOKUP(C$62,'Análise de Empresas'!14:14,1,FALSE),"")</f>
        <v/>
      </c>
      <c r="D68" s="53" t="str">
        <f>IFERROR(HLOOKUP(D$62,'Análise de Empresas'!14:14,1,FALSE),"")</f>
        <v/>
      </c>
      <c r="E68" s="53" t="str">
        <f>IFERROR(HLOOKUP(E$62,'Análise de Empresas'!14:14,1,FALSE),"")</f>
        <v/>
      </c>
      <c r="F68" s="53" t="str">
        <f>IFERROR(HLOOKUP(F$62,'Análise de Empresas'!14:14,1,FALSE),"")</f>
        <v/>
      </c>
      <c r="G68" s="53" t="str">
        <f>IFERROR(HLOOKUP(G$62,'Análise de Empresas'!14:14,1,FALSE),"")</f>
        <v/>
      </c>
      <c r="H68" s="53" t="str">
        <f>IFERROR(HLOOKUP(H$62,'Análise de Empresas'!14:14,1,FALSE),"")</f>
        <v/>
      </c>
      <c r="I68" s="53" t="str">
        <f>IFERROR(HLOOKUP(I$62,'Análise de Empresas'!14:14,1,FALSE),"")</f>
        <v/>
      </c>
      <c r="J68" s="53" t="str">
        <f>IFERROR(HLOOKUP(J$62,'Análise de Empresas'!14:14,1,FALSE),"")</f>
        <v/>
      </c>
      <c r="K68" s="53" t="str">
        <f>IFERROR(HLOOKUP(K$62,'Análise de Empresas'!14:14,1,FALSE),"")</f>
        <v/>
      </c>
      <c r="L68" s="53" t="str">
        <f>IFERROR(HLOOKUP(L$62,'Análise de Empresas'!14:14,1,FALSE),"")</f>
        <v/>
      </c>
      <c r="O68" s="177" t="s">
        <v>451</v>
      </c>
    </row>
    <row r="69" ht="15.75" customHeight="1">
      <c r="B69" s="50" t="s">
        <v>452</v>
      </c>
      <c r="C69" s="53" t="str">
        <f t="shared" ref="C69:L69" si="17">IFERROR(HLOOKUP(C$62,#REF!,1,FALSE),"")</f>
        <v/>
      </c>
      <c r="D69" s="53" t="str">
        <f t="shared" si="17"/>
        <v/>
      </c>
      <c r="E69" s="53" t="str">
        <f t="shared" si="17"/>
        <v/>
      </c>
      <c r="F69" s="53" t="str">
        <f t="shared" si="17"/>
        <v/>
      </c>
      <c r="G69" s="53" t="str">
        <f t="shared" si="17"/>
        <v/>
      </c>
      <c r="H69" s="53" t="str">
        <f t="shared" si="17"/>
        <v/>
      </c>
      <c r="I69" s="53" t="str">
        <f t="shared" si="17"/>
        <v/>
      </c>
      <c r="J69" s="53" t="str">
        <f t="shared" si="17"/>
        <v/>
      </c>
      <c r="K69" s="53" t="str">
        <f t="shared" si="17"/>
        <v/>
      </c>
      <c r="L69" s="53" t="str">
        <f t="shared" si="17"/>
        <v/>
      </c>
      <c r="O69" s="178" t="s">
        <v>453</v>
      </c>
    </row>
    <row r="70" ht="15.75" customHeight="1">
      <c r="B70" s="184"/>
      <c r="C70" s="53"/>
      <c r="E70" s="184"/>
      <c r="F70" s="184"/>
      <c r="O70" s="177" t="s">
        <v>454</v>
      </c>
    </row>
    <row r="71" ht="15.75" customHeight="1">
      <c r="B71" s="184"/>
      <c r="C71" s="53"/>
      <c r="E71" s="184"/>
      <c r="F71" s="184"/>
      <c r="O71" s="178" t="s">
        <v>455</v>
      </c>
    </row>
    <row r="72" ht="15.75" customHeight="1">
      <c r="B72" s="212" t="s">
        <v>456</v>
      </c>
      <c r="C72" s="27"/>
      <c r="D72" s="27"/>
      <c r="E72" s="27"/>
      <c r="F72" s="27"/>
      <c r="G72" s="27"/>
      <c r="H72" s="27"/>
      <c r="I72" s="27"/>
      <c r="J72" s="27"/>
      <c r="K72" s="27"/>
      <c r="L72" s="28"/>
      <c r="O72" s="178" t="s">
        <v>457</v>
      </c>
    </row>
    <row r="73" ht="15.75" customHeight="1">
      <c r="B73" s="213" t="s">
        <v>17</v>
      </c>
      <c r="L73" s="180"/>
      <c r="O73" s="178" t="s">
        <v>458</v>
      </c>
    </row>
    <row r="74" ht="15.75" customHeight="1">
      <c r="B74" s="214"/>
      <c r="C74" s="215">
        <v>10.0</v>
      </c>
      <c r="D74" s="216">
        <v>9.0</v>
      </c>
      <c r="E74" s="216">
        <v>8.0</v>
      </c>
      <c r="F74" s="216">
        <v>7.0</v>
      </c>
      <c r="G74" s="216">
        <v>6.0</v>
      </c>
      <c r="H74" s="216">
        <v>5.0</v>
      </c>
      <c r="I74" s="216">
        <v>4.0</v>
      </c>
      <c r="J74" s="216">
        <v>3.0</v>
      </c>
      <c r="K74" s="216">
        <v>2.0</v>
      </c>
      <c r="L74" s="216">
        <v>1.0</v>
      </c>
      <c r="O74" s="178" t="s">
        <v>459</v>
      </c>
    </row>
    <row r="75" ht="15.75" customHeight="1">
      <c r="B75" s="50" t="s">
        <v>460</v>
      </c>
      <c r="C75" s="53">
        <f t="shared" ref="C75:L75" si="18">IF(C63&lt;&gt;"","",C$74)</f>
        <v>10</v>
      </c>
      <c r="D75" s="184">
        <f t="shared" si="18"/>
        <v>9</v>
      </c>
      <c r="E75" s="184">
        <f t="shared" si="18"/>
        <v>8</v>
      </c>
      <c r="F75" s="184">
        <f t="shared" si="18"/>
        <v>7</v>
      </c>
      <c r="G75" s="184">
        <f t="shared" si="18"/>
        <v>6</v>
      </c>
      <c r="H75" s="184">
        <f t="shared" si="18"/>
        <v>5</v>
      </c>
      <c r="I75" s="184">
        <f t="shared" si="18"/>
        <v>4</v>
      </c>
      <c r="J75" s="184">
        <f t="shared" si="18"/>
        <v>3</v>
      </c>
      <c r="K75" s="184">
        <f t="shared" si="18"/>
        <v>2</v>
      </c>
      <c r="L75" s="217">
        <f t="shared" si="18"/>
        <v>1</v>
      </c>
      <c r="O75" s="177" t="s">
        <v>461</v>
      </c>
    </row>
    <row r="76" ht="15.75" customHeight="1">
      <c r="B76" s="50" t="s">
        <v>462</v>
      </c>
      <c r="C76" s="53">
        <f t="shared" ref="C76:L76" si="19">IF(C64&lt;&gt;"","",C$74)</f>
        <v>10</v>
      </c>
      <c r="D76" s="184">
        <f t="shared" si="19"/>
        <v>9</v>
      </c>
      <c r="E76" s="184">
        <f t="shared" si="19"/>
        <v>8</v>
      </c>
      <c r="F76" s="184">
        <f t="shared" si="19"/>
        <v>7</v>
      </c>
      <c r="G76" s="184">
        <f t="shared" si="19"/>
        <v>6</v>
      </c>
      <c r="H76" s="184">
        <f t="shared" si="19"/>
        <v>5</v>
      </c>
      <c r="I76" s="184">
        <f t="shared" si="19"/>
        <v>4</v>
      </c>
      <c r="J76" s="184">
        <f t="shared" si="19"/>
        <v>3</v>
      </c>
      <c r="K76" s="184">
        <f t="shared" si="19"/>
        <v>2</v>
      </c>
      <c r="L76" s="217">
        <f t="shared" si="19"/>
        <v>1</v>
      </c>
      <c r="O76" s="178" t="s">
        <v>463</v>
      </c>
    </row>
    <row r="77" ht="15.75" customHeight="1">
      <c r="B77" s="50" t="s">
        <v>464</v>
      </c>
      <c r="C77" s="53">
        <f t="shared" ref="C77:L77" si="20">IF(C65&lt;&gt;"","",C$74)</f>
        <v>10</v>
      </c>
      <c r="D77" s="184">
        <f t="shared" si="20"/>
        <v>9</v>
      </c>
      <c r="E77" s="184">
        <f t="shared" si="20"/>
        <v>8</v>
      </c>
      <c r="F77" s="184">
        <f t="shared" si="20"/>
        <v>7</v>
      </c>
      <c r="G77" s="184">
        <f t="shared" si="20"/>
        <v>6</v>
      </c>
      <c r="H77" s="184">
        <f t="shared" si="20"/>
        <v>5</v>
      </c>
      <c r="I77" s="184">
        <f t="shared" si="20"/>
        <v>4</v>
      </c>
      <c r="J77" s="184">
        <f t="shared" si="20"/>
        <v>3</v>
      </c>
      <c r="K77" s="184">
        <f t="shared" si="20"/>
        <v>2</v>
      </c>
      <c r="L77" s="217">
        <f t="shared" si="20"/>
        <v>1</v>
      </c>
      <c r="O77" s="178" t="s">
        <v>465</v>
      </c>
    </row>
    <row r="78" ht="15.75" customHeight="1">
      <c r="B78" s="50" t="s">
        <v>466</v>
      </c>
      <c r="C78" s="218">
        <f t="shared" ref="C78:L78" si="21">IF(C66&lt;&gt;"","",C$74)</f>
        <v>10</v>
      </c>
      <c r="D78" s="219">
        <f t="shared" si="21"/>
        <v>9</v>
      </c>
      <c r="E78" s="219">
        <f t="shared" si="21"/>
        <v>8</v>
      </c>
      <c r="F78" s="219">
        <f t="shared" si="21"/>
        <v>7</v>
      </c>
      <c r="G78" s="219">
        <f t="shared" si="21"/>
        <v>6</v>
      </c>
      <c r="H78" s="219">
        <f t="shared" si="21"/>
        <v>5</v>
      </c>
      <c r="I78" s="219">
        <f t="shared" si="21"/>
        <v>4</v>
      </c>
      <c r="J78" s="219">
        <f t="shared" si="21"/>
        <v>3</v>
      </c>
      <c r="K78" s="219">
        <f t="shared" si="21"/>
        <v>2</v>
      </c>
      <c r="L78" s="220">
        <f t="shared" si="21"/>
        <v>1</v>
      </c>
      <c r="O78" s="178" t="s">
        <v>467</v>
      </c>
    </row>
    <row r="79" ht="15.75" customHeight="1">
      <c r="B79" s="213" t="s">
        <v>448</v>
      </c>
      <c r="L79" s="180"/>
      <c r="O79" s="178" t="s">
        <v>468</v>
      </c>
    </row>
    <row r="80" ht="15.75" customHeight="1">
      <c r="B80" s="50" t="s">
        <v>469</v>
      </c>
      <c r="C80" s="53">
        <f t="shared" ref="C80:L80" si="22">IF(C68&lt;&gt;"","",C$74)</f>
        <v>10</v>
      </c>
      <c r="D80" s="53">
        <f t="shared" si="22"/>
        <v>9</v>
      </c>
      <c r="E80" s="53">
        <f t="shared" si="22"/>
        <v>8</v>
      </c>
      <c r="F80" s="53">
        <f t="shared" si="22"/>
        <v>7</v>
      </c>
      <c r="G80" s="53">
        <f t="shared" si="22"/>
        <v>6</v>
      </c>
      <c r="H80" s="53">
        <f t="shared" si="22"/>
        <v>5</v>
      </c>
      <c r="I80" s="53">
        <f t="shared" si="22"/>
        <v>4</v>
      </c>
      <c r="J80" s="53">
        <f t="shared" si="22"/>
        <v>3</v>
      </c>
      <c r="K80" s="53">
        <f t="shared" si="22"/>
        <v>2</v>
      </c>
      <c r="L80" s="53">
        <f t="shared" si="22"/>
        <v>1</v>
      </c>
      <c r="O80" s="178" t="s">
        <v>470</v>
      </c>
    </row>
    <row r="81" ht="15.75" customHeight="1">
      <c r="B81" s="50" t="s">
        <v>471</v>
      </c>
      <c r="C81" s="53">
        <f t="shared" ref="C81:L81" si="23">IF(C69&lt;&gt;"","",C$74)</f>
        <v>10</v>
      </c>
      <c r="D81" s="53">
        <f t="shared" si="23"/>
        <v>9</v>
      </c>
      <c r="E81" s="53">
        <f t="shared" si="23"/>
        <v>8</v>
      </c>
      <c r="F81" s="53">
        <f t="shared" si="23"/>
        <v>7</v>
      </c>
      <c r="G81" s="53">
        <f t="shared" si="23"/>
        <v>6</v>
      </c>
      <c r="H81" s="53">
        <f t="shared" si="23"/>
        <v>5</v>
      </c>
      <c r="I81" s="53">
        <f t="shared" si="23"/>
        <v>4</v>
      </c>
      <c r="J81" s="53">
        <f t="shared" si="23"/>
        <v>3</v>
      </c>
      <c r="K81" s="53">
        <f t="shared" si="23"/>
        <v>2</v>
      </c>
      <c r="L81" s="53">
        <f t="shared" si="23"/>
        <v>1</v>
      </c>
      <c r="O81" s="178" t="s">
        <v>472</v>
      </c>
    </row>
    <row r="82" ht="15.75" customHeight="1">
      <c r="B82" s="184"/>
      <c r="C82" s="53"/>
      <c r="E82" s="184"/>
      <c r="F82" s="184"/>
      <c r="O82" s="177" t="s">
        <v>473</v>
      </c>
    </row>
    <row r="83" ht="15.75" customHeight="1">
      <c r="B83" s="184"/>
      <c r="C83" s="53"/>
      <c r="D83" s="184"/>
      <c r="E83" s="184"/>
      <c r="F83" s="184"/>
      <c r="O83" s="178" t="s">
        <v>474</v>
      </c>
    </row>
    <row r="84" ht="15.75" customHeight="1">
      <c r="B84" s="184"/>
      <c r="C84" s="53"/>
      <c r="D84" s="184"/>
      <c r="E84" s="184"/>
      <c r="F84" s="184"/>
      <c r="O84" s="178" t="s">
        <v>475</v>
      </c>
    </row>
    <row r="85" ht="15.75" customHeight="1">
      <c r="B85" s="213" t="s">
        <v>476</v>
      </c>
      <c r="C85" s="53"/>
      <c r="D85" s="221" t="s">
        <v>477</v>
      </c>
      <c r="E85" s="222" t="s">
        <v>478</v>
      </c>
      <c r="F85" s="222" t="s">
        <v>479</v>
      </c>
      <c r="G85" s="222" t="s">
        <v>480</v>
      </c>
      <c r="O85" s="177" t="s">
        <v>481</v>
      </c>
    </row>
    <row r="86" ht="15.75" customHeight="1">
      <c r="B86" s="215" t="s">
        <v>186</v>
      </c>
      <c r="C86" s="53"/>
      <c r="D86" s="199" t="s">
        <v>482</v>
      </c>
      <c r="E86" s="223">
        <v>300.0</v>
      </c>
      <c r="F86" s="223">
        <v>600.0</v>
      </c>
      <c r="G86" s="224">
        <v>350.0</v>
      </c>
      <c r="O86" s="178" t="s">
        <v>483</v>
      </c>
    </row>
    <row r="87" ht="15.75" customHeight="1">
      <c r="B87" s="215" t="s">
        <v>190</v>
      </c>
      <c r="C87" s="53"/>
      <c r="D87" s="199" t="s">
        <v>484</v>
      </c>
      <c r="E87" s="223">
        <v>601.0</v>
      </c>
      <c r="F87" s="223">
        <v>1500.0</v>
      </c>
      <c r="G87" s="224">
        <v>300.0</v>
      </c>
      <c r="O87" s="178" t="s">
        <v>485</v>
      </c>
    </row>
    <row r="88" ht="15.75" customHeight="1">
      <c r="B88" s="215" t="s">
        <v>193</v>
      </c>
      <c r="C88" s="53"/>
      <c r="D88" s="199" t="s">
        <v>486</v>
      </c>
      <c r="E88" s="223">
        <v>1501.0</v>
      </c>
      <c r="F88" s="223">
        <v>2500.0</v>
      </c>
      <c r="G88" s="224">
        <v>250.0</v>
      </c>
      <c r="O88" s="177" t="s">
        <v>487</v>
      </c>
    </row>
    <row r="89" ht="15.75" customHeight="1">
      <c r="B89" s="215" t="s">
        <v>195</v>
      </c>
      <c r="C89" s="53"/>
      <c r="D89" s="199" t="s">
        <v>488</v>
      </c>
      <c r="E89" s="223">
        <v>2501.0</v>
      </c>
      <c r="F89" s="223">
        <v>5000.0</v>
      </c>
      <c r="G89" s="224">
        <v>182.0</v>
      </c>
      <c r="O89" s="178" t="s">
        <v>489</v>
      </c>
    </row>
    <row r="90" ht="15.75" customHeight="1">
      <c r="B90" s="215" t="s">
        <v>490</v>
      </c>
      <c r="C90" s="53"/>
      <c r="D90" s="199" t="s">
        <v>491</v>
      </c>
      <c r="E90" s="223">
        <v>5001.0</v>
      </c>
      <c r="F90" s="223">
        <v>10000.0</v>
      </c>
      <c r="G90" s="224">
        <v>133.0</v>
      </c>
      <c r="O90" s="178" t="s">
        <v>492</v>
      </c>
    </row>
    <row r="91" ht="15.75" customHeight="1">
      <c r="B91" s="215" t="s">
        <v>493</v>
      </c>
      <c r="C91" s="53"/>
      <c r="D91" s="199" t="s">
        <v>494</v>
      </c>
      <c r="E91" s="223">
        <v>10001.0</v>
      </c>
      <c r="F91" s="223">
        <v>50000.0</v>
      </c>
      <c r="G91" s="224">
        <v>92.0</v>
      </c>
      <c r="O91" s="178" t="s">
        <v>495</v>
      </c>
    </row>
    <row r="92" ht="15.75" customHeight="1">
      <c r="B92" s="215" t="s">
        <v>496</v>
      </c>
      <c r="C92" s="53"/>
      <c r="D92" s="184"/>
      <c r="E92" s="184"/>
      <c r="F92" s="184"/>
      <c r="O92" s="178" t="s">
        <v>497</v>
      </c>
    </row>
    <row r="93" ht="15.75" customHeight="1">
      <c r="B93" s="215" t="s">
        <v>498</v>
      </c>
      <c r="C93" s="53"/>
      <c r="D93" s="184"/>
      <c r="E93" s="184"/>
      <c r="F93" s="184"/>
      <c r="O93" s="178" t="s">
        <v>499</v>
      </c>
    </row>
    <row r="94" ht="15.75" customHeight="1">
      <c r="B94" s="184"/>
      <c r="C94" s="53"/>
      <c r="D94" s="184"/>
      <c r="E94" s="184"/>
      <c r="F94" s="184"/>
      <c r="O94" s="177" t="s">
        <v>500</v>
      </c>
    </row>
    <row r="95" ht="15.75" customHeight="1">
      <c r="B95" s="184"/>
      <c r="C95" s="53"/>
      <c r="D95" s="184"/>
      <c r="E95" s="184"/>
      <c r="F95" s="184"/>
      <c r="O95" s="225" t="s">
        <v>501</v>
      </c>
    </row>
    <row r="96" ht="15.75" customHeight="1">
      <c r="B96" s="184"/>
      <c r="C96" s="53"/>
      <c r="D96" s="184"/>
      <c r="E96" s="184"/>
      <c r="F96" s="184"/>
      <c r="O96" s="225" t="s">
        <v>502</v>
      </c>
    </row>
    <row r="97" ht="15.75" customHeight="1">
      <c r="B97" s="184"/>
      <c r="C97" s="53"/>
      <c r="D97" s="184"/>
      <c r="E97" s="184"/>
      <c r="F97" s="184"/>
      <c r="O97" s="225" t="s">
        <v>503</v>
      </c>
    </row>
    <row r="98" ht="15.75" customHeight="1">
      <c r="B98" s="184"/>
      <c r="C98" s="53"/>
      <c r="D98" s="184"/>
      <c r="E98" s="184"/>
      <c r="F98" s="184"/>
      <c r="O98" s="225" t="s">
        <v>504</v>
      </c>
    </row>
    <row r="99" ht="15.75" customHeight="1">
      <c r="B99" s="184"/>
      <c r="C99" s="53"/>
      <c r="D99" s="184"/>
      <c r="E99" s="184"/>
      <c r="F99" s="184"/>
      <c r="O99" s="178" t="s">
        <v>505</v>
      </c>
    </row>
    <row r="100" ht="15.75" customHeight="1">
      <c r="B100" s="184"/>
      <c r="C100" s="53"/>
      <c r="D100" s="184"/>
      <c r="E100" s="184"/>
      <c r="F100" s="184"/>
      <c r="O100" s="178" t="s">
        <v>506</v>
      </c>
    </row>
    <row r="101" ht="15.75" customHeight="1">
      <c r="B101" s="184"/>
      <c r="C101" s="53"/>
      <c r="D101" s="184"/>
      <c r="E101" s="184"/>
      <c r="F101" s="184"/>
      <c r="O101" s="178" t="s">
        <v>507</v>
      </c>
    </row>
    <row r="102" ht="15.75" customHeight="1">
      <c r="B102" s="184"/>
      <c r="C102" s="53"/>
      <c r="D102" s="184"/>
      <c r="E102" s="184"/>
      <c r="F102" s="184"/>
      <c r="O102" s="178" t="s">
        <v>508</v>
      </c>
    </row>
    <row r="103" ht="15.75" customHeight="1">
      <c r="B103" s="184"/>
      <c r="C103" s="53"/>
      <c r="D103" s="184"/>
      <c r="E103" s="184"/>
      <c r="F103" s="184"/>
      <c r="O103" s="178" t="s">
        <v>509</v>
      </c>
    </row>
    <row r="104" ht="15.75" customHeight="1">
      <c r="B104" s="184"/>
      <c r="C104" s="53"/>
      <c r="D104" s="184"/>
      <c r="E104" s="184"/>
      <c r="F104" s="184"/>
      <c r="O104" s="178" t="s">
        <v>510</v>
      </c>
    </row>
    <row r="105" ht="15.75" customHeight="1">
      <c r="B105" s="184"/>
      <c r="C105" s="53"/>
      <c r="D105" s="184"/>
      <c r="E105" s="184"/>
      <c r="F105" s="184"/>
      <c r="O105" s="178" t="s">
        <v>511</v>
      </c>
    </row>
    <row r="106" ht="15.75" customHeight="1">
      <c r="B106" s="184"/>
      <c r="C106" s="53"/>
      <c r="D106" s="184"/>
      <c r="E106" s="184"/>
      <c r="F106" s="184"/>
      <c r="O106" s="178" t="s">
        <v>512</v>
      </c>
    </row>
    <row r="107" ht="15.75" customHeight="1">
      <c r="B107" s="184"/>
      <c r="C107" s="53"/>
      <c r="D107" s="184"/>
      <c r="E107" s="184"/>
      <c r="F107" s="184"/>
      <c r="O107" s="177" t="s">
        <v>513</v>
      </c>
    </row>
    <row r="108" ht="15.75" customHeight="1">
      <c r="B108" s="184"/>
      <c r="C108" s="53"/>
      <c r="D108" s="184"/>
      <c r="E108" s="184"/>
      <c r="F108" s="184"/>
      <c r="O108" s="178" t="s">
        <v>514</v>
      </c>
    </row>
    <row r="109" ht="15.75" customHeight="1">
      <c r="B109" s="184"/>
      <c r="C109" s="53"/>
      <c r="D109" s="184"/>
      <c r="E109" s="184"/>
      <c r="F109" s="184"/>
      <c r="O109" s="178" t="s">
        <v>515</v>
      </c>
    </row>
    <row r="110" ht="15.75" customHeight="1">
      <c r="B110" s="184"/>
      <c r="C110" s="53"/>
      <c r="D110" s="184"/>
      <c r="E110" s="184"/>
      <c r="F110" s="184"/>
      <c r="O110" s="178" t="s">
        <v>516</v>
      </c>
    </row>
    <row r="111" ht="15.75" customHeight="1">
      <c r="B111" s="184"/>
      <c r="C111" s="53"/>
      <c r="D111" s="184"/>
      <c r="E111" s="184"/>
      <c r="F111" s="184"/>
      <c r="O111" s="178" t="s">
        <v>517</v>
      </c>
    </row>
    <row r="112" ht="15.75" customHeight="1">
      <c r="B112" s="184"/>
      <c r="C112" s="53"/>
      <c r="D112" s="184"/>
      <c r="E112" s="184"/>
      <c r="F112" s="184"/>
      <c r="O112" s="178" t="s">
        <v>518</v>
      </c>
    </row>
    <row r="113" ht="15.75" customHeight="1">
      <c r="B113" s="184"/>
      <c r="C113" s="53"/>
      <c r="D113" s="184"/>
      <c r="E113" s="184"/>
      <c r="F113" s="184"/>
      <c r="O113" s="178" t="s">
        <v>519</v>
      </c>
    </row>
    <row r="114" ht="15.75" customHeight="1">
      <c r="B114" s="184"/>
      <c r="C114" s="53"/>
      <c r="D114" s="184"/>
      <c r="E114" s="184"/>
      <c r="F114" s="184"/>
      <c r="O114" s="178" t="s">
        <v>520</v>
      </c>
    </row>
    <row r="115" ht="15.75" customHeight="1">
      <c r="B115" s="184"/>
      <c r="C115" s="53"/>
      <c r="D115" s="184"/>
      <c r="E115" s="184"/>
      <c r="F115" s="184"/>
      <c r="O115" s="178" t="s">
        <v>521</v>
      </c>
    </row>
    <row r="116" ht="15.75" customHeight="1">
      <c r="B116" s="184"/>
      <c r="C116" s="53"/>
      <c r="D116" s="184"/>
      <c r="E116" s="184"/>
      <c r="F116" s="184"/>
      <c r="O116" s="178" t="s">
        <v>522</v>
      </c>
    </row>
    <row r="117" ht="15.75" customHeight="1">
      <c r="B117" s="184"/>
      <c r="C117" s="53"/>
      <c r="D117" s="184"/>
      <c r="E117" s="184"/>
      <c r="F117" s="184"/>
      <c r="O117" s="178" t="s">
        <v>523</v>
      </c>
    </row>
    <row r="118" ht="15.75" customHeight="1">
      <c r="B118" s="184"/>
      <c r="C118" s="53"/>
      <c r="D118" s="184"/>
      <c r="E118" s="184"/>
      <c r="F118" s="184"/>
      <c r="O118" s="177" t="s">
        <v>524</v>
      </c>
    </row>
    <row r="119" ht="15.75" customHeight="1">
      <c r="B119" s="184"/>
      <c r="C119" s="53"/>
      <c r="D119" s="184"/>
      <c r="E119" s="184"/>
      <c r="F119" s="184"/>
      <c r="O119" s="178" t="s">
        <v>525</v>
      </c>
    </row>
    <row r="120" ht="15.75" customHeight="1">
      <c r="B120" s="184"/>
      <c r="C120" s="53"/>
      <c r="D120" s="184"/>
      <c r="E120" s="184"/>
      <c r="F120" s="184"/>
      <c r="O120" s="178" t="s">
        <v>526</v>
      </c>
    </row>
    <row r="121" ht="15.75" customHeight="1">
      <c r="B121" s="184"/>
      <c r="C121" s="53"/>
      <c r="D121" s="184"/>
      <c r="E121" s="184"/>
      <c r="F121" s="184"/>
      <c r="O121" s="178" t="s">
        <v>527</v>
      </c>
    </row>
    <row r="122" ht="15.75" customHeight="1">
      <c r="B122" s="184"/>
      <c r="C122" s="53"/>
      <c r="D122" s="184"/>
      <c r="E122" s="184"/>
      <c r="F122" s="184"/>
      <c r="O122" s="178" t="s">
        <v>528</v>
      </c>
    </row>
    <row r="123" ht="15.75" customHeight="1">
      <c r="B123" s="184"/>
      <c r="C123" s="53"/>
      <c r="D123" s="184"/>
      <c r="E123" s="184"/>
      <c r="F123" s="184"/>
      <c r="O123" s="178" t="s">
        <v>529</v>
      </c>
    </row>
    <row r="124" ht="15.75" customHeight="1">
      <c r="B124" s="184"/>
      <c r="C124" s="53"/>
      <c r="D124" s="184"/>
      <c r="E124" s="184"/>
      <c r="F124" s="184"/>
      <c r="O124" s="177" t="s">
        <v>530</v>
      </c>
    </row>
    <row r="125" ht="15.75" customHeight="1">
      <c r="B125" s="184"/>
      <c r="C125" s="53"/>
      <c r="D125" s="184"/>
      <c r="E125" s="184"/>
      <c r="F125" s="184"/>
      <c r="O125" s="178" t="s">
        <v>531</v>
      </c>
    </row>
    <row r="126" ht="15.75" customHeight="1">
      <c r="B126" s="184"/>
      <c r="C126" s="53"/>
      <c r="D126" s="184"/>
      <c r="E126" s="184"/>
      <c r="F126" s="184"/>
      <c r="O126" s="177" t="s">
        <v>532</v>
      </c>
    </row>
    <row r="127" ht="15.75" customHeight="1">
      <c r="B127" s="184"/>
      <c r="C127" s="53"/>
      <c r="D127" s="184"/>
      <c r="E127" s="184"/>
      <c r="F127" s="184"/>
      <c r="O127" s="178" t="s">
        <v>533</v>
      </c>
    </row>
    <row r="128" ht="15.75" customHeight="1">
      <c r="B128" s="184"/>
      <c r="C128" s="53"/>
      <c r="D128" s="184"/>
      <c r="E128" s="184"/>
      <c r="F128" s="184"/>
      <c r="O128" s="178" t="s">
        <v>534</v>
      </c>
    </row>
    <row r="129" ht="15.75" customHeight="1">
      <c r="B129" s="184"/>
      <c r="C129" s="53"/>
      <c r="D129" s="184"/>
      <c r="E129" s="184"/>
      <c r="F129" s="184"/>
      <c r="O129" s="177" t="s">
        <v>535</v>
      </c>
    </row>
    <row r="130" ht="15.75" customHeight="1">
      <c r="B130" s="184"/>
      <c r="C130" s="53"/>
      <c r="D130" s="184"/>
      <c r="E130" s="184"/>
      <c r="F130" s="184"/>
      <c r="O130" s="178" t="s">
        <v>536</v>
      </c>
    </row>
    <row r="131" ht="15.75" customHeight="1">
      <c r="B131" s="184"/>
      <c r="C131" s="53"/>
      <c r="D131" s="184"/>
      <c r="E131" s="184"/>
      <c r="F131" s="184"/>
      <c r="O131" s="177" t="s">
        <v>537</v>
      </c>
    </row>
    <row r="132" ht="15.75" customHeight="1">
      <c r="B132" s="184"/>
      <c r="C132" s="53"/>
      <c r="D132" s="184"/>
      <c r="E132" s="184"/>
      <c r="F132" s="184"/>
      <c r="O132" s="178" t="s">
        <v>538</v>
      </c>
    </row>
    <row r="133" ht="15.75" customHeight="1">
      <c r="B133" s="184"/>
      <c r="C133" s="53"/>
      <c r="D133" s="184"/>
      <c r="E133" s="184"/>
      <c r="F133" s="184"/>
      <c r="O133" s="177" t="s">
        <v>539</v>
      </c>
    </row>
    <row r="134" ht="15.75" customHeight="1">
      <c r="B134" s="184"/>
      <c r="C134" s="53"/>
      <c r="D134" s="184"/>
      <c r="E134" s="184"/>
      <c r="F134" s="184"/>
      <c r="O134" s="178" t="s">
        <v>540</v>
      </c>
    </row>
    <row r="135" ht="15.75" customHeight="1">
      <c r="B135" s="184"/>
      <c r="C135" s="53"/>
      <c r="D135" s="184"/>
      <c r="E135" s="184"/>
      <c r="F135" s="184"/>
      <c r="O135" s="178" t="s">
        <v>541</v>
      </c>
    </row>
    <row r="136" ht="15.75" customHeight="1">
      <c r="B136" s="184"/>
      <c r="C136" s="53"/>
      <c r="D136" s="184"/>
      <c r="E136" s="184"/>
      <c r="F136" s="184"/>
      <c r="O136" s="177" t="s">
        <v>542</v>
      </c>
    </row>
    <row r="137" ht="15.75" customHeight="1">
      <c r="B137" s="184"/>
      <c r="C137" s="53"/>
      <c r="D137" s="184"/>
      <c r="E137" s="184"/>
      <c r="F137" s="184"/>
      <c r="O137" s="178" t="s">
        <v>543</v>
      </c>
    </row>
    <row r="138" ht="15.75" customHeight="1">
      <c r="B138" s="184"/>
      <c r="C138" s="53"/>
      <c r="D138" s="184"/>
      <c r="E138" s="184"/>
      <c r="F138" s="184"/>
      <c r="O138" s="177" t="s">
        <v>544</v>
      </c>
    </row>
    <row r="139" ht="15.75" customHeight="1">
      <c r="B139" s="184"/>
      <c r="C139" s="53"/>
      <c r="D139" s="184"/>
      <c r="E139" s="184"/>
      <c r="F139" s="184"/>
      <c r="O139" s="178" t="s">
        <v>545</v>
      </c>
    </row>
    <row r="140" ht="15.75" customHeight="1">
      <c r="B140" s="184"/>
      <c r="C140" s="53"/>
      <c r="D140" s="184"/>
      <c r="E140" s="184"/>
      <c r="F140" s="184"/>
      <c r="O140" s="177" t="s">
        <v>546</v>
      </c>
    </row>
    <row r="141" ht="15.75" customHeight="1">
      <c r="B141" s="184"/>
      <c r="C141" s="53"/>
      <c r="D141" s="184"/>
      <c r="E141" s="184"/>
      <c r="F141" s="184"/>
      <c r="O141" s="178" t="s">
        <v>547</v>
      </c>
    </row>
    <row r="142" ht="15.75" customHeight="1">
      <c r="B142" s="184"/>
      <c r="C142" s="53"/>
      <c r="D142" s="184"/>
      <c r="E142" s="184"/>
      <c r="F142" s="184"/>
      <c r="O142" s="178" t="s">
        <v>548</v>
      </c>
    </row>
    <row r="143" ht="15.75" customHeight="1">
      <c r="B143" s="184"/>
      <c r="C143" s="53"/>
      <c r="D143" s="184"/>
      <c r="E143" s="184"/>
      <c r="F143" s="184"/>
      <c r="O143" s="178" t="s">
        <v>549</v>
      </c>
    </row>
    <row r="144" ht="15.75" customHeight="1">
      <c r="B144" s="184"/>
      <c r="C144" s="53"/>
      <c r="D144" s="184"/>
      <c r="E144" s="184"/>
      <c r="F144" s="184"/>
      <c r="O144" s="178" t="s">
        <v>550</v>
      </c>
    </row>
    <row r="145" ht="15.75" customHeight="1">
      <c r="B145" s="184"/>
      <c r="C145" s="53"/>
      <c r="D145" s="184"/>
      <c r="E145" s="184"/>
      <c r="F145" s="184"/>
      <c r="O145" s="178" t="s">
        <v>551</v>
      </c>
    </row>
    <row r="146" ht="15.75" customHeight="1">
      <c r="B146" s="184"/>
      <c r="C146" s="53"/>
      <c r="D146" s="184"/>
      <c r="E146" s="184"/>
      <c r="F146" s="184"/>
      <c r="O146" s="178" t="s">
        <v>552</v>
      </c>
    </row>
    <row r="147" ht="15.75" customHeight="1">
      <c r="B147" s="184"/>
      <c r="C147" s="53"/>
      <c r="D147" s="184"/>
      <c r="E147" s="184"/>
      <c r="F147" s="184"/>
      <c r="O147" s="178" t="s">
        <v>553</v>
      </c>
    </row>
    <row r="148" ht="15.75" customHeight="1">
      <c r="B148" s="184"/>
      <c r="C148" s="53"/>
      <c r="D148" s="184"/>
      <c r="E148" s="184"/>
      <c r="F148" s="184"/>
      <c r="O148" s="177" t="s">
        <v>554</v>
      </c>
    </row>
    <row r="149" ht="15.75" customHeight="1">
      <c r="B149" s="184"/>
      <c r="C149" s="53"/>
      <c r="D149" s="184"/>
      <c r="E149" s="184"/>
      <c r="F149" s="184"/>
      <c r="O149" s="178" t="s">
        <v>555</v>
      </c>
    </row>
    <row r="150" ht="15.75" customHeight="1">
      <c r="B150" s="184"/>
      <c r="C150" s="53"/>
      <c r="D150" s="184"/>
      <c r="E150" s="184"/>
      <c r="F150" s="184"/>
      <c r="O150" s="226" t="s">
        <v>556</v>
      </c>
    </row>
    <row r="151" ht="15.75" customHeight="1">
      <c r="B151" s="184"/>
      <c r="C151" s="53"/>
      <c r="D151" s="184"/>
      <c r="E151" s="184"/>
      <c r="F151" s="184"/>
      <c r="O151" s="226" t="s">
        <v>557</v>
      </c>
    </row>
    <row r="152" ht="15.75" customHeight="1">
      <c r="B152" s="184"/>
      <c r="C152" s="53"/>
      <c r="D152" s="184"/>
      <c r="E152" s="184"/>
      <c r="F152" s="184"/>
      <c r="O152" s="226" t="s">
        <v>558</v>
      </c>
    </row>
    <row r="153" ht="15.75" customHeight="1">
      <c r="B153" s="184"/>
      <c r="C153" s="53"/>
      <c r="D153" s="184"/>
      <c r="E153" s="184"/>
      <c r="F153" s="184"/>
      <c r="O153" s="226" t="s">
        <v>559</v>
      </c>
    </row>
    <row r="154" ht="15.75" customHeight="1">
      <c r="B154" s="184"/>
      <c r="C154" s="53"/>
      <c r="D154" s="184"/>
      <c r="E154" s="184"/>
      <c r="F154" s="184"/>
      <c r="O154" s="226" t="s">
        <v>560</v>
      </c>
    </row>
    <row r="155" ht="15.75" customHeight="1">
      <c r="B155" s="184"/>
      <c r="C155" s="53"/>
      <c r="D155" s="184"/>
      <c r="E155" s="184"/>
      <c r="F155" s="184"/>
      <c r="O155" s="226" t="s">
        <v>561</v>
      </c>
    </row>
    <row r="156" ht="15.75" customHeight="1">
      <c r="B156" s="184"/>
      <c r="C156" s="53"/>
      <c r="D156" s="184"/>
      <c r="E156" s="184"/>
      <c r="F156" s="184"/>
      <c r="O156" s="226" t="s">
        <v>562</v>
      </c>
    </row>
    <row r="157" ht="15.75" customHeight="1">
      <c r="B157" s="184"/>
      <c r="C157" s="53"/>
      <c r="D157" s="184"/>
      <c r="E157" s="184"/>
      <c r="F157" s="184"/>
      <c r="O157" s="226" t="s">
        <v>563</v>
      </c>
    </row>
    <row r="158" ht="15.75" customHeight="1">
      <c r="B158" s="184"/>
      <c r="C158" s="53"/>
      <c r="D158" s="184"/>
      <c r="E158" s="184"/>
      <c r="F158" s="184"/>
      <c r="O158" s="226" t="s">
        <v>564</v>
      </c>
    </row>
    <row r="159" ht="15.75" customHeight="1">
      <c r="B159" s="184"/>
      <c r="C159" s="53"/>
      <c r="D159" s="184"/>
      <c r="E159" s="184"/>
      <c r="F159" s="184"/>
      <c r="O159" s="226" t="s">
        <v>565</v>
      </c>
    </row>
    <row r="160" ht="15.75" customHeight="1">
      <c r="B160" s="184"/>
      <c r="C160" s="53"/>
      <c r="D160" s="184"/>
      <c r="E160" s="184"/>
      <c r="F160" s="184"/>
      <c r="O160" s="226" t="s">
        <v>566</v>
      </c>
    </row>
    <row r="161" ht="15.75" customHeight="1">
      <c r="B161" s="184"/>
      <c r="C161" s="53"/>
      <c r="D161" s="184"/>
      <c r="E161" s="184"/>
      <c r="F161" s="184"/>
      <c r="O161" s="226" t="s">
        <v>567</v>
      </c>
    </row>
    <row r="162" ht="15.75" customHeight="1">
      <c r="B162" s="184"/>
      <c r="C162" s="53"/>
      <c r="D162" s="184"/>
      <c r="E162" s="184"/>
      <c r="F162" s="184"/>
      <c r="O162" s="226" t="s">
        <v>568</v>
      </c>
    </row>
    <row r="163" ht="15.75" customHeight="1">
      <c r="B163" s="184"/>
      <c r="C163" s="53"/>
      <c r="D163" s="184"/>
      <c r="E163" s="184"/>
      <c r="F163" s="184"/>
      <c r="O163" s="226" t="s">
        <v>569</v>
      </c>
    </row>
    <row r="164" ht="15.75" customHeight="1">
      <c r="B164" s="184"/>
      <c r="C164" s="53"/>
      <c r="D164" s="184"/>
      <c r="E164" s="184"/>
      <c r="F164" s="184"/>
      <c r="O164" s="226" t="s">
        <v>570</v>
      </c>
    </row>
    <row r="165" ht="15.75" customHeight="1">
      <c r="B165" s="184"/>
      <c r="C165" s="53"/>
      <c r="D165" s="184"/>
      <c r="E165" s="184"/>
      <c r="F165" s="184"/>
      <c r="O165" s="226" t="s">
        <v>571</v>
      </c>
    </row>
    <row r="166" ht="15.75" customHeight="1">
      <c r="B166" s="184"/>
      <c r="C166" s="53"/>
      <c r="D166" s="184"/>
      <c r="E166" s="184"/>
      <c r="F166" s="184"/>
      <c r="O166" s="226" t="s">
        <v>572</v>
      </c>
    </row>
    <row r="167" ht="15.75" customHeight="1">
      <c r="B167" s="184"/>
      <c r="C167" s="53"/>
      <c r="D167" s="184"/>
      <c r="E167" s="184"/>
      <c r="F167" s="184"/>
      <c r="O167" s="226" t="s">
        <v>573</v>
      </c>
    </row>
    <row r="168" ht="15.75" customHeight="1">
      <c r="B168" s="184"/>
      <c r="C168" s="53"/>
      <c r="D168" s="184"/>
      <c r="E168" s="184"/>
      <c r="F168" s="184"/>
      <c r="O168" s="226" t="s">
        <v>574</v>
      </c>
    </row>
    <row r="169" ht="15.75" customHeight="1">
      <c r="B169" s="184"/>
      <c r="C169" s="53"/>
      <c r="D169" s="184"/>
      <c r="E169" s="184"/>
      <c r="F169" s="184"/>
      <c r="O169" s="226" t="s">
        <v>575</v>
      </c>
    </row>
    <row r="170" ht="15.75" customHeight="1">
      <c r="B170" s="184"/>
      <c r="C170" s="53"/>
      <c r="D170" s="184"/>
      <c r="E170" s="184"/>
      <c r="F170" s="184"/>
      <c r="O170" s="226" t="s">
        <v>576</v>
      </c>
    </row>
    <row r="171" ht="15.75" customHeight="1">
      <c r="B171" s="184"/>
      <c r="C171" s="53"/>
      <c r="D171" s="184"/>
      <c r="E171" s="184"/>
      <c r="F171" s="184"/>
      <c r="O171" s="226" t="s">
        <v>577</v>
      </c>
    </row>
    <row r="172" ht="15.75" customHeight="1">
      <c r="B172" s="184"/>
      <c r="C172" s="53"/>
      <c r="D172" s="184"/>
      <c r="E172" s="184"/>
      <c r="F172" s="184"/>
      <c r="O172" s="226" t="s">
        <v>578</v>
      </c>
    </row>
    <row r="173" ht="15.75" customHeight="1">
      <c r="B173" s="184"/>
      <c r="C173" s="53"/>
      <c r="D173" s="184"/>
      <c r="E173" s="184"/>
      <c r="F173" s="184"/>
      <c r="O173" s="226" t="s">
        <v>579</v>
      </c>
    </row>
    <row r="174" ht="15.75" customHeight="1">
      <c r="B174" s="184"/>
      <c r="C174" s="53"/>
      <c r="D174" s="184"/>
      <c r="E174" s="184"/>
      <c r="F174" s="184"/>
      <c r="O174" s="226" t="s">
        <v>580</v>
      </c>
    </row>
    <row r="175" ht="15.75" customHeight="1">
      <c r="B175" s="184"/>
      <c r="C175" s="53"/>
      <c r="D175" s="184"/>
      <c r="E175" s="184"/>
      <c r="F175" s="184"/>
      <c r="O175" s="226" t="s">
        <v>581</v>
      </c>
    </row>
    <row r="176" ht="15.75" customHeight="1">
      <c r="B176" s="184"/>
      <c r="C176" s="53"/>
      <c r="D176" s="184"/>
      <c r="E176" s="184"/>
      <c r="F176" s="184"/>
      <c r="O176" s="226" t="s">
        <v>582</v>
      </c>
    </row>
    <row r="177" ht="15.75" customHeight="1">
      <c r="B177" s="184"/>
      <c r="C177" s="53"/>
      <c r="D177" s="184"/>
      <c r="E177" s="184"/>
      <c r="F177" s="184"/>
      <c r="O177" s="226" t="s">
        <v>583</v>
      </c>
    </row>
    <row r="178" ht="15.75" customHeight="1">
      <c r="B178" s="184"/>
      <c r="C178" s="53"/>
      <c r="D178" s="184"/>
      <c r="E178" s="184"/>
      <c r="F178" s="184"/>
      <c r="O178" s="226" t="s">
        <v>584</v>
      </c>
    </row>
    <row r="179" ht="15.75" customHeight="1">
      <c r="B179" s="184"/>
      <c r="C179" s="53"/>
      <c r="D179" s="184"/>
      <c r="E179" s="184"/>
      <c r="F179" s="184"/>
      <c r="O179" s="226" t="s">
        <v>585</v>
      </c>
    </row>
    <row r="180" ht="15.75" customHeight="1">
      <c r="B180" s="184"/>
      <c r="C180" s="53"/>
      <c r="D180" s="184"/>
      <c r="E180" s="184"/>
      <c r="F180" s="184"/>
      <c r="O180" s="226" t="s">
        <v>586</v>
      </c>
    </row>
    <row r="181" ht="15.75" customHeight="1">
      <c r="B181" s="184"/>
      <c r="C181" s="53"/>
      <c r="D181" s="184"/>
      <c r="E181" s="184"/>
      <c r="F181" s="184"/>
      <c r="O181" s="226" t="s">
        <v>587</v>
      </c>
    </row>
    <row r="182" ht="15.75" customHeight="1">
      <c r="B182" s="184"/>
      <c r="C182" s="53"/>
      <c r="D182" s="184"/>
      <c r="E182" s="184"/>
      <c r="F182" s="184"/>
      <c r="O182" s="226" t="s">
        <v>588</v>
      </c>
    </row>
    <row r="183" ht="15.75" customHeight="1">
      <c r="B183" s="184"/>
      <c r="C183" s="53"/>
      <c r="D183" s="184"/>
      <c r="E183" s="184"/>
      <c r="F183" s="184"/>
      <c r="O183" s="226" t="s">
        <v>589</v>
      </c>
    </row>
    <row r="184" ht="15.75" customHeight="1">
      <c r="B184" s="184"/>
      <c r="C184" s="53"/>
      <c r="D184" s="184"/>
      <c r="E184" s="184"/>
      <c r="F184" s="184"/>
      <c r="O184" s="226" t="s">
        <v>590</v>
      </c>
    </row>
    <row r="185" ht="15.75" customHeight="1">
      <c r="B185" s="184"/>
      <c r="C185" s="53"/>
      <c r="D185" s="184"/>
      <c r="E185" s="184"/>
      <c r="F185" s="184"/>
      <c r="O185" s="226" t="s">
        <v>591</v>
      </c>
    </row>
    <row r="186" ht="15.75" customHeight="1">
      <c r="B186" s="184"/>
      <c r="C186" s="53"/>
      <c r="D186" s="184"/>
      <c r="E186" s="184"/>
      <c r="F186" s="184"/>
      <c r="O186" s="226" t="s">
        <v>592</v>
      </c>
    </row>
    <row r="187" ht="15.75" customHeight="1">
      <c r="B187" s="184"/>
      <c r="C187" s="53"/>
      <c r="D187" s="184"/>
      <c r="E187" s="184"/>
      <c r="F187" s="184"/>
      <c r="O187" s="226" t="s">
        <v>593</v>
      </c>
    </row>
    <row r="188" ht="15.75" customHeight="1">
      <c r="B188" s="184"/>
      <c r="C188" s="53"/>
      <c r="D188" s="184"/>
      <c r="E188" s="184"/>
      <c r="F188" s="184"/>
      <c r="O188" s="226" t="s">
        <v>594</v>
      </c>
    </row>
    <row r="189" ht="15.75" customHeight="1">
      <c r="B189" s="184"/>
      <c r="C189" s="53"/>
      <c r="D189" s="184"/>
      <c r="E189" s="184"/>
      <c r="F189" s="184"/>
      <c r="O189" s="226" t="s">
        <v>595</v>
      </c>
    </row>
    <row r="190" ht="15.75" customHeight="1">
      <c r="B190" s="184"/>
      <c r="C190" s="53"/>
      <c r="D190" s="184"/>
      <c r="E190" s="184"/>
      <c r="F190" s="184"/>
      <c r="O190" s="226" t="s">
        <v>596</v>
      </c>
    </row>
    <row r="191" ht="15.75" customHeight="1">
      <c r="B191" s="184"/>
      <c r="C191" s="53"/>
      <c r="D191" s="184"/>
      <c r="E191" s="184"/>
      <c r="F191" s="184"/>
      <c r="O191" s="226" t="s">
        <v>597</v>
      </c>
    </row>
    <row r="192" ht="15.75" customHeight="1">
      <c r="B192" s="184"/>
      <c r="C192" s="53"/>
      <c r="D192" s="184"/>
      <c r="E192" s="184"/>
      <c r="F192" s="184"/>
      <c r="O192" s="226" t="s">
        <v>598</v>
      </c>
    </row>
    <row r="193" ht="15.75" customHeight="1">
      <c r="B193" s="184"/>
      <c r="C193" s="53"/>
      <c r="D193" s="184"/>
      <c r="E193" s="184"/>
      <c r="F193" s="184"/>
      <c r="O193" s="226" t="s">
        <v>599</v>
      </c>
    </row>
    <row r="194" ht="15.75" customHeight="1">
      <c r="B194" s="184"/>
      <c r="C194" s="53"/>
      <c r="D194" s="184"/>
      <c r="E194" s="184"/>
      <c r="F194" s="184"/>
      <c r="O194" s="226" t="s">
        <v>600</v>
      </c>
    </row>
    <row r="195" ht="15.75" customHeight="1">
      <c r="B195" s="184"/>
      <c r="C195" s="53"/>
      <c r="D195" s="184"/>
      <c r="E195" s="184"/>
      <c r="F195" s="184"/>
      <c r="O195" s="226" t="s">
        <v>601</v>
      </c>
    </row>
    <row r="196" ht="15.75" customHeight="1">
      <c r="B196" s="184"/>
      <c r="C196" s="53"/>
      <c r="D196" s="184"/>
      <c r="E196" s="184"/>
      <c r="F196" s="184"/>
      <c r="O196" s="226" t="s">
        <v>602</v>
      </c>
    </row>
    <row r="197" ht="15.75" customHeight="1">
      <c r="B197" s="184"/>
      <c r="C197" s="53"/>
      <c r="D197" s="184"/>
      <c r="E197" s="184"/>
      <c r="F197" s="184"/>
      <c r="O197" s="226" t="s">
        <v>603</v>
      </c>
    </row>
    <row r="198" ht="15.75" customHeight="1">
      <c r="B198" s="184"/>
      <c r="C198" s="53"/>
      <c r="D198" s="184"/>
      <c r="E198" s="184"/>
      <c r="F198" s="184"/>
      <c r="O198" s="226" t="s">
        <v>604</v>
      </c>
    </row>
    <row r="199" ht="15.75" customHeight="1">
      <c r="B199" s="184"/>
      <c r="C199" s="53"/>
      <c r="D199" s="184"/>
      <c r="E199" s="184"/>
      <c r="F199" s="184"/>
      <c r="O199" s="226" t="s">
        <v>605</v>
      </c>
    </row>
    <row r="200" ht="15.75" customHeight="1">
      <c r="B200" s="184"/>
      <c r="C200" s="53"/>
      <c r="D200" s="184"/>
      <c r="E200" s="184"/>
      <c r="F200" s="184"/>
      <c r="O200" s="226" t="s">
        <v>606</v>
      </c>
    </row>
    <row r="201" ht="15.75" customHeight="1">
      <c r="B201" s="184"/>
      <c r="C201" s="53"/>
      <c r="D201" s="184"/>
      <c r="E201" s="184"/>
      <c r="F201" s="184"/>
      <c r="O201" s="226" t="s">
        <v>607</v>
      </c>
    </row>
    <row r="202" ht="15.75" customHeight="1">
      <c r="B202" s="184"/>
      <c r="C202" s="53"/>
      <c r="D202" s="184"/>
      <c r="E202" s="184"/>
      <c r="F202" s="184"/>
      <c r="O202" s="226" t="s">
        <v>608</v>
      </c>
    </row>
    <row r="203" ht="15.75" customHeight="1">
      <c r="B203" s="184"/>
      <c r="C203" s="53"/>
      <c r="D203" s="184"/>
      <c r="E203" s="184"/>
      <c r="F203" s="184"/>
      <c r="O203" s="226" t="s">
        <v>609</v>
      </c>
    </row>
    <row r="204" ht="15.75" customHeight="1">
      <c r="B204" s="184"/>
      <c r="C204" s="53"/>
      <c r="D204" s="184"/>
      <c r="E204" s="184"/>
      <c r="F204" s="184"/>
      <c r="O204" s="226" t="s">
        <v>610</v>
      </c>
    </row>
    <row r="205" ht="15.75" customHeight="1">
      <c r="B205" s="184"/>
      <c r="C205" s="53"/>
      <c r="D205" s="184"/>
      <c r="E205" s="184"/>
      <c r="F205" s="184"/>
      <c r="O205" s="226" t="s">
        <v>611</v>
      </c>
    </row>
    <row r="206" ht="15.75" customHeight="1">
      <c r="B206" s="184"/>
      <c r="C206" s="53"/>
      <c r="D206" s="184"/>
      <c r="E206" s="184"/>
      <c r="F206" s="184"/>
      <c r="O206" s="226" t="s">
        <v>612</v>
      </c>
    </row>
    <row r="207" ht="15.75" customHeight="1">
      <c r="B207" s="184"/>
      <c r="C207" s="53"/>
      <c r="D207" s="184"/>
      <c r="E207" s="184"/>
      <c r="F207" s="184"/>
      <c r="O207" s="226" t="s">
        <v>613</v>
      </c>
    </row>
    <row r="208" ht="15.75" customHeight="1">
      <c r="B208" s="184"/>
      <c r="C208" s="53"/>
      <c r="D208" s="184"/>
      <c r="E208" s="184"/>
      <c r="F208" s="184"/>
      <c r="O208" s="226" t="s">
        <v>614</v>
      </c>
    </row>
    <row r="209" ht="15.75" customHeight="1">
      <c r="B209" s="184"/>
      <c r="C209" s="53"/>
      <c r="D209" s="184"/>
      <c r="E209" s="184"/>
      <c r="F209" s="184"/>
      <c r="O209" s="226" t="s">
        <v>615</v>
      </c>
    </row>
    <row r="210" ht="15.75" customHeight="1">
      <c r="B210" s="184"/>
      <c r="C210" s="53"/>
      <c r="D210" s="184"/>
      <c r="E210" s="184"/>
      <c r="F210" s="184"/>
      <c r="O210" s="226" t="s">
        <v>616</v>
      </c>
    </row>
    <row r="211" ht="15.75" customHeight="1">
      <c r="B211" s="184"/>
      <c r="C211" s="53"/>
      <c r="D211" s="184"/>
      <c r="E211" s="184"/>
      <c r="F211" s="184"/>
      <c r="O211" s="226" t="s">
        <v>617</v>
      </c>
    </row>
    <row r="212" ht="15.75" customHeight="1">
      <c r="B212" s="184"/>
      <c r="C212" s="53"/>
      <c r="D212" s="184"/>
      <c r="E212" s="184"/>
      <c r="F212" s="184"/>
      <c r="O212" s="226" t="s">
        <v>618</v>
      </c>
    </row>
    <row r="213" ht="15.75" customHeight="1">
      <c r="B213" s="184"/>
      <c r="C213" s="53"/>
      <c r="D213" s="184"/>
      <c r="E213" s="184"/>
      <c r="F213" s="184"/>
      <c r="O213" s="226" t="s">
        <v>619</v>
      </c>
    </row>
    <row r="214" ht="15.75" customHeight="1">
      <c r="B214" s="184"/>
      <c r="C214" s="53"/>
      <c r="D214" s="184"/>
      <c r="E214" s="184"/>
      <c r="F214" s="184"/>
      <c r="O214" s="226" t="s">
        <v>620</v>
      </c>
    </row>
    <row r="215" ht="15.75" customHeight="1">
      <c r="B215" s="184"/>
      <c r="C215" s="53"/>
      <c r="D215" s="184"/>
      <c r="E215" s="184"/>
      <c r="F215" s="184"/>
      <c r="O215" s="226" t="s">
        <v>621</v>
      </c>
    </row>
    <row r="216" ht="15.75" customHeight="1">
      <c r="B216" s="184"/>
      <c r="C216" s="53"/>
      <c r="D216" s="184"/>
      <c r="E216" s="184"/>
      <c r="F216" s="184"/>
      <c r="O216" s="226" t="s">
        <v>622</v>
      </c>
    </row>
    <row r="217" ht="15.75" customHeight="1">
      <c r="B217" s="184"/>
      <c r="C217" s="53"/>
      <c r="D217" s="184"/>
      <c r="E217" s="184"/>
      <c r="F217" s="184"/>
      <c r="O217" s="226" t="s">
        <v>623</v>
      </c>
    </row>
    <row r="218" ht="15.75" customHeight="1">
      <c r="B218" s="184"/>
      <c r="C218" s="53"/>
      <c r="D218" s="184"/>
      <c r="E218" s="184"/>
      <c r="F218" s="184"/>
      <c r="O218" s="226" t="s">
        <v>624</v>
      </c>
    </row>
    <row r="219" ht="15.75" customHeight="1">
      <c r="B219" s="184"/>
      <c r="C219" s="53"/>
      <c r="D219" s="184"/>
      <c r="E219" s="184"/>
      <c r="F219" s="184"/>
      <c r="O219" s="226" t="s">
        <v>625</v>
      </c>
    </row>
    <row r="220" ht="15.75" customHeight="1">
      <c r="B220" s="184"/>
      <c r="C220" s="53"/>
      <c r="D220" s="184"/>
      <c r="E220" s="184"/>
      <c r="F220" s="184"/>
      <c r="O220" s="226" t="s">
        <v>626</v>
      </c>
    </row>
    <row r="221" ht="15.75" customHeight="1">
      <c r="B221" s="184"/>
      <c r="C221" s="53"/>
      <c r="D221" s="184"/>
      <c r="E221" s="184"/>
      <c r="F221" s="184"/>
      <c r="O221" s="226" t="s">
        <v>627</v>
      </c>
    </row>
    <row r="222" ht="15.75" customHeight="1">
      <c r="B222" s="184"/>
      <c r="C222" s="53"/>
      <c r="D222" s="184"/>
      <c r="E222" s="184"/>
      <c r="F222" s="184"/>
      <c r="O222" s="226" t="s">
        <v>628</v>
      </c>
    </row>
    <row r="223" ht="15.75" customHeight="1">
      <c r="B223" s="184"/>
      <c r="C223" s="53"/>
      <c r="D223" s="184"/>
      <c r="E223" s="184"/>
      <c r="F223" s="184"/>
      <c r="O223" s="226" t="s">
        <v>629</v>
      </c>
    </row>
    <row r="224" ht="15.75" customHeight="1">
      <c r="B224" s="184"/>
      <c r="C224" s="53"/>
      <c r="D224" s="184"/>
      <c r="E224" s="184"/>
      <c r="F224" s="184"/>
      <c r="O224" s="226" t="s">
        <v>630</v>
      </c>
    </row>
    <row r="225" ht="15.75" customHeight="1">
      <c r="B225" s="184"/>
      <c r="C225" s="53"/>
      <c r="D225" s="184"/>
      <c r="E225" s="184"/>
      <c r="F225" s="184"/>
      <c r="O225" s="226" t="s">
        <v>631</v>
      </c>
    </row>
    <row r="226" ht="15.75" customHeight="1">
      <c r="B226" s="184"/>
      <c r="C226" s="53"/>
      <c r="D226" s="184"/>
      <c r="E226" s="184"/>
      <c r="F226" s="184"/>
      <c r="O226" s="226" t="s">
        <v>632</v>
      </c>
    </row>
    <row r="227" ht="15.75" customHeight="1">
      <c r="B227" s="184"/>
      <c r="C227" s="53"/>
      <c r="D227" s="184"/>
      <c r="E227" s="184"/>
      <c r="F227" s="184"/>
      <c r="O227" s="226" t="s">
        <v>633</v>
      </c>
    </row>
    <row r="228" ht="15.75" customHeight="1">
      <c r="B228" s="184"/>
      <c r="C228" s="53"/>
      <c r="D228" s="184"/>
      <c r="E228" s="184"/>
      <c r="F228" s="184"/>
      <c r="O228" s="226" t="s">
        <v>634</v>
      </c>
    </row>
    <row r="229" ht="15.75" customHeight="1">
      <c r="B229" s="184"/>
      <c r="C229" s="53"/>
      <c r="D229" s="184"/>
      <c r="E229" s="184"/>
      <c r="F229" s="184"/>
      <c r="O229" s="226" t="s">
        <v>635</v>
      </c>
    </row>
    <row r="230" ht="15.75" customHeight="1">
      <c r="B230" s="184"/>
      <c r="C230" s="53"/>
      <c r="D230" s="184"/>
      <c r="E230" s="184"/>
      <c r="F230" s="184"/>
      <c r="O230" s="226" t="s">
        <v>636</v>
      </c>
    </row>
    <row r="231" ht="15.75" customHeight="1">
      <c r="B231" s="184"/>
      <c r="C231" s="53"/>
      <c r="D231" s="184"/>
      <c r="E231" s="184"/>
      <c r="F231" s="184"/>
      <c r="O231" s="226" t="s">
        <v>637</v>
      </c>
    </row>
    <row r="232" ht="15.75" customHeight="1">
      <c r="B232" s="184"/>
      <c r="C232" s="53"/>
      <c r="D232" s="184"/>
      <c r="E232" s="184"/>
      <c r="F232" s="184"/>
      <c r="O232" s="226" t="s">
        <v>638</v>
      </c>
    </row>
    <row r="233" ht="15.75" customHeight="1">
      <c r="B233" s="184"/>
      <c r="C233" s="53"/>
      <c r="D233" s="184"/>
      <c r="E233" s="184"/>
      <c r="F233" s="184"/>
      <c r="O233" s="226" t="s">
        <v>639</v>
      </c>
    </row>
    <row r="234" ht="15.75" customHeight="1">
      <c r="B234" s="184"/>
      <c r="C234" s="53"/>
      <c r="D234" s="184"/>
      <c r="E234" s="184"/>
      <c r="F234" s="184"/>
      <c r="O234" s="226" t="s">
        <v>640</v>
      </c>
    </row>
    <row r="235" ht="15.75" customHeight="1">
      <c r="B235" s="184"/>
      <c r="C235" s="53"/>
      <c r="D235" s="184"/>
      <c r="E235" s="184"/>
      <c r="F235" s="184"/>
      <c r="O235" s="226" t="s">
        <v>641</v>
      </c>
    </row>
    <row r="236" ht="15.75" customHeight="1">
      <c r="B236" s="184"/>
      <c r="C236" s="53"/>
      <c r="D236" s="184"/>
      <c r="E236" s="184"/>
      <c r="F236" s="184"/>
      <c r="O236" s="226" t="s">
        <v>642</v>
      </c>
    </row>
    <row r="237" ht="15.75" customHeight="1">
      <c r="B237" s="184"/>
      <c r="C237" s="53"/>
      <c r="D237" s="184"/>
      <c r="E237" s="184"/>
      <c r="F237" s="184"/>
      <c r="O237" s="226" t="s">
        <v>643</v>
      </c>
    </row>
    <row r="238" ht="15.75" customHeight="1">
      <c r="B238" s="184"/>
      <c r="C238" s="53"/>
      <c r="D238" s="184"/>
      <c r="E238" s="184"/>
      <c r="F238" s="184"/>
      <c r="O238" s="226" t="s">
        <v>644</v>
      </c>
    </row>
    <row r="239" ht="15.75" customHeight="1">
      <c r="B239" s="184"/>
      <c r="C239" s="53"/>
      <c r="D239" s="184"/>
      <c r="E239" s="184"/>
      <c r="F239" s="184"/>
      <c r="O239" s="226" t="s">
        <v>645</v>
      </c>
    </row>
    <row r="240" ht="15.75" customHeight="1">
      <c r="B240" s="184"/>
      <c r="C240" s="53"/>
      <c r="D240" s="184"/>
      <c r="E240" s="184"/>
      <c r="F240" s="184"/>
      <c r="O240" s="226" t="s">
        <v>646</v>
      </c>
    </row>
    <row r="241" ht="15.75" customHeight="1">
      <c r="B241" s="184"/>
      <c r="C241" s="53"/>
      <c r="D241" s="184"/>
      <c r="E241" s="184"/>
      <c r="F241" s="184"/>
      <c r="O241" s="226" t="s">
        <v>647</v>
      </c>
    </row>
    <row r="242" ht="15.75" customHeight="1">
      <c r="B242" s="184"/>
      <c r="C242" s="53"/>
      <c r="D242" s="184"/>
      <c r="E242" s="184"/>
      <c r="F242" s="184"/>
      <c r="O242" s="226" t="s">
        <v>648</v>
      </c>
    </row>
    <row r="243" ht="15.75" customHeight="1">
      <c r="B243" s="184"/>
      <c r="C243" s="53"/>
      <c r="D243" s="184"/>
      <c r="E243" s="184"/>
      <c r="F243" s="184"/>
      <c r="O243" s="226" t="s">
        <v>649</v>
      </c>
    </row>
    <row r="244" ht="15.75" customHeight="1">
      <c r="B244" s="184"/>
      <c r="C244" s="53"/>
      <c r="D244" s="184"/>
      <c r="E244" s="184"/>
      <c r="F244" s="184"/>
      <c r="O244" s="226" t="s">
        <v>650</v>
      </c>
    </row>
    <row r="245" ht="15.75" customHeight="1">
      <c r="B245" s="184"/>
      <c r="C245" s="53"/>
      <c r="D245" s="184"/>
      <c r="E245" s="184"/>
      <c r="F245" s="184"/>
      <c r="O245" s="226" t="s">
        <v>651</v>
      </c>
    </row>
    <row r="246" ht="15.75" customHeight="1">
      <c r="B246" s="184"/>
      <c r="C246" s="53"/>
      <c r="D246" s="184"/>
      <c r="E246" s="184"/>
      <c r="F246" s="184"/>
      <c r="O246" s="226" t="s">
        <v>652</v>
      </c>
    </row>
    <row r="247" ht="15.75" customHeight="1">
      <c r="B247" s="184"/>
      <c r="C247" s="53"/>
      <c r="D247" s="184"/>
      <c r="E247" s="184"/>
      <c r="F247" s="184"/>
      <c r="O247" s="226" t="s">
        <v>653</v>
      </c>
    </row>
    <row r="248" ht="15.75" customHeight="1">
      <c r="B248" s="184"/>
      <c r="C248" s="53"/>
      <c r="D248" s="184"/>
      <c r="E248" s="184"/>
      <c r="F248" s="184"/>
      <c r="O248" s="226" t="s">
        <v>654</v>
      </c>
    </row>
    <row r="249" ht="15.75" customHeight="1">
      <c r="B249" s="184"/>
      <c r="C249" s="53"/>
      <c r="D249" s="184"/>
      <c r="E249" s="184"/>
      <c r="F249" s="184"/>
      <c r="O249" s="226" t="s">
        <v>655</v>
      </c>
    </row>
    <row r="250" ht="15.75" customHeight="1">
      <c r="B250" s="184"/>
      <c r="C250" s="53"/>
      <c r="D250" s="184"/>
      <c r="E250" s="184"/>
      <c r="F250" s="184"/>
      <c r="O250" s="226" t="s">
        <v>656</v>
      </c>
    </row>
    <row r="251" ht="15.75" customHeight="1">
      <c r="B251" s="184"/>
      <c r="C251" s="53"/>
      <c r="D251" s="184"/>
      <c r="E251" s="184"/>
      <c r="F251" s="184"/>
      <c r="O251" s="226" t="s">
        <v>657</v>
      </c>
    </row>
    <row r="252" ht="15.75" customHeight="1">
      <c r="B252" s="184"/>
      <c r="C252" s="53"/>
      <c r="D252" s="184"/>
      <c r="E252" s="184"/>
      <c r="F252" s="184"/>
      <c r="O252" s="226" t="s">
        <v>658</v>
      </c>
    </row>
    <row r="253" ht="15.75" customHeight="1">
      <c r="B253" s="184"/>
      <c r="C253" s="53"/>
      <c r="D253" s="184"/>
      <c r="E253" s="184"/>
      <c r="F253" s="184"/>
      <c r="O253" s="226" t="s">
        <v>659</v>
      </c>
    </row>
    <row r="254" ht="15.75" customHeight="1">
      <c r="B254" s="184"/>
      <c r="C254" s="53"/>
      <c r="D254" s="184"/>
      <c r="E254" s="184"/>
      <c r="F254" s="184"/>
      <c r="O254" s="226" t="s">
        <v>660</v>
      </c>
    </row>
    <row r="255" ht="15.75" customHeight="1">
      <c r="B255" s="184"/>
      <c r="C255" s="53"/>
      <c r="D255" s="184"/>
      <c r="E255" s="184"/>
      <c r="F255" s="184"/>
      <c r="O255" s="226" t="s">
        <v>661</v>
      </c>
    </row>
    <row r="256" ht="15.75" customHeight="1">
      <c r="B256" s="184"/>
      <c r="C256" s="53"/>
      <c r="D256" s="184"/>
      <c r="E256" s="184"/>
      <c r="F256" s="184"/>
      <c r="O256" s="226" t="s">
        <v>662</v>
      </c>
    </row>
    <row r="257" ht="15.75" customHeight="1">
      <c r="B257" s="184"/>
      <c r="C257" s="53"/>
      <c r="D257" s="184"/>
      <c r="E257" s="184"/>
      <c r="F257" s="184"/>
      <c r="O257" s="226" t="s">
        <v>663</v>
      </c>
    </row>
    <row r="258" ht="15.75" customHeight="1">
      <c r="B258" s="184"/>
      <c r="C258" s="53"/>
      <c r="D258" s="184"/>
      <c r="E258" s="184"/>
      <c r="F258" s="184"/>
      <c r="O258" s="226" t="s">
        <v>664</v>
      </c>
    </row>
    <row r="259" ht="15.75" customHeight="1">
      <c r="B259" s="184"/>
      <c r="C259" s="53"/>
      <c r="D259" s="184"/>
      <c r="E259" s="184"/>
      <c r="F259" s="184"/>
      <c r="O259" s="226" t="s">
        <v>665</v>
      </c>
    </row>
    <row r="260" ht="15.75" customHeight="1">
      <c r="B260" s="184"/>
      <c r="C260" s="53"/>
      <c r="D260" s="184"/>
      <c r="E260" s="184"/>
      <c r="F260" s="184"/>
      <c r="O260" s="226" t="s">
        <v>666</v>
      </c>
    </row>
    <row r="261" ht="15.75" customHeight="1">
      <c r="B261" s="184"/>
      <c r="C261" s="53"/>
      <c r="D261" s="184"/>
      <c r="E261" s="184"/>
      <c r="F261" s="184"/>
      <c r="O261" s="226" t="s">
        <v>667</v>
      </c>
    </row>
    <row r="262" ht="15.75" customHeight="1">
      <c r="B262" s="184"/>
      <c r="C262" s="53"/>
      <c r="D262" s="184"/>
      <c r="E262" s="184"/>
      <c r="F262" s="184"/>
      <c r="O262" s="226" t="s">
        <v>668</v>
      </c>
    </row>
    <row r="263" ht="15.75" customHeight="1">
      <c r="B263" s="184"/>
      <c r="C263" s="53"/>
      <c r="D263" s="184"/>
      <c r="E263" s="184"/>
      <c r="F263" s="184"/>
      <c r="O263" s="226" t="s">
        <v>669</v>
      </c>
    </row>
    <row r="264" ht="15.75" customHeight="1">
      <c r="B264" s="184"/>
      <c r="C264" s="53"/>
      <c r="D264" s="184"/>
      <c r="E264" s="184"/>
      <c r="F264" s="184"/>
      <c r="O264" s="226" t="s">
        <v>670</v>
      </c>
    </row>
    <row r="265" ht="15.75" customHeight="1">
      <c r="B265" s="184"/>
      <c r="C265" s="53"/>
      <c r="D265" s="184"/>
      <c r="E265" s="184"/>
      <c r="F265" s="184"/>
      <c r="O265" s="226" t="s">
        <v>671</v>
      </c>
    </row>
    <row r="266" ht="15.75" customHeight="1">
      <c r="B266" s="184"/>
      <c r="C266" s="53"/>
      <c r="D266" s="184"/>
      <c r="E266" s="184"/>
      <c r="F266" s="184"/>
      <c r="O266" s="226" t="s">
        <v>672</v>
      </c>
    </row>
    <row r="267" ht="15.75" customHeight="1">
      <c r="B267" s="184"/>
      <c r="C267" s="53"/>
      <c r="D267" s="184"/>
      <c r="E267" s="184"/>
      <c r="F267" s="184"/>
      <c r="O267" s="226" t="s">
        <v>673</v>
      </c>
    </row>
    <row r="268" ht="15.75" customHeight="1">
      <c r="B268" s="184"/>
      <c r="C268" s="53"/>
      <c r="D268" s="184"/>
      <c r="E268" s="184"/>
      <c r="F268" s="184"/>
      <c r="O268" s="226" t="s">
        <v>674</v>
      </c>
    </row>
    <row r="269" ht="15.75" customHeight="1">
      <c r="B269" s="184"/>
      <c r="C269" s="53"/>
      <c r="D269" s="184"/>
      <c r="E269" s="184"/>
      <c r="F269" s="184"/>
      <c r="O269" s="226" t="s">
        <v>675</v>
      </c>
    </row>
    <row r="270" ht="15.75" customHeight="1">
      <c r="B270" s="184"/>
      <c r="C270" s="53"/>
      <c r="D270" s="184"/>
      <c r="E270" s="184"/>
      <c r="F270" s="184"/>
      <c r="O270" s="226" t="s">
        <v>676</v>
      </c>
    </row>
    <row r="271" ht="15.75" customHeight="1">
      <c r="B271" s="184"/>
      <c r="C271" s="53"/>
      <c r="D271" s="184"/>
      <c r="E271" s="184"/>
      <c r="F271" s="184"/>
      <c r="O271" s="226" t="s">
        <v>677</v>
      </c>
    </row>
    <row r="272" ht="15.75" customHeight="1">
      <c r="B272" s="184"/>
      <c r="C272" s="53"/>
      <c r="D272" s="184"/>
      <c r="E272" s="184"/>
      <c r="F272" s="184"/>
      <c r="O272" s="226" t="s">
        <v>678</v>
      </c>
    </row>
    <row r="273" ht="15.75" customHeight="1">
      <c r="B273" s="184"/>
      <c r="C273" s="53"/>
      <c r="D273" s="184"/>
      <c r="E273" s="184"/>
      <c r="F273" s="184"/>
      <c r="O273" s="226" t="s">
        <v>679</v>
      </c>
    </row>
    <row r="274" ht="15.75" customHeight="1">
      <c r="B274" s="184"/>
      <c r="C274" s="53"/>
      <c r="D274" s="184"/>
      <c r="E274" s="184"/>
      <c r="F274" s="184"/>
      <c r="O274" s="226" t="s">
        <v>680</v>
      </c>
    </row>
    <row r="275" ht="15.75" customHeight="1">
      <c r="B275" s="184"/>
      <c r="C275" s="53"/>
      <c r="D275" s="184"/>
      <c r="E275" s="184"/>
      <c r="F275" s="184"/>
      <c r="O275" s="226" t="s">
        <v>681</v>
      </c>
    </row>
    <row r="276" ht="15.75" customHeight="1">
      <c r="B276" s="184"/>
      <c r="C276" s="53"/>
      <c r="D276" s="184"/>
      <c r="E276" s="184"/>
      <c r="F276" s="184"/>
      <c r="O276" s="226" t="s">
        <v>682</v>
      </c>
    </row>
    <row r="277" ht="15.75" customHeight="1">
      <c r="B277" s="184"/>
      <c r="C277" s="53"/>
      <c r="D277" s="184"/>
      <c r="E277" s="184"/>
      <c r="F277" s="184"/>
      <c r="O277" s="226" t="s">
        <v>683</v>
      </c>
    </row>
    <row r="278" ht="15.75" customHeight="1">
      <c r="B278" s="184"/>
      <c r="C278" s="53"/>
      <c r="D278" s="184"/>
      <c r="E278" s="184"/>
      <c r="F278" s="184"/>
      <c r="O278" s="226" t="s">
        <v>684</v>
      </c>
    </row>
    <row r="279" ht="15.75" customHeight="1">
      <c r="B279" s="184"/>
      <c r="C279" s="53"/>
      <c r="D279" s="184"/>
      <c r="E279" s="184"/>
      <c r="F279" s="184"/>
      <c r="O279" s="226" t="s">
        <v>685</v>
      </c>
    </row>
    <row r="280" ht="15.75" customHeight="1">
      <c r="B280" s="184"/>
      <c r="C280" s="53"/>
      <c r="D280" s="184"/>
      <c r="E280" s="184"/>
      <c r="F280" s="184"/>
      <c r="O280" s="226" t="s">
        <v>686</v>
      </c>
    </row>
    <row r="281" ht="15.75" customHeight="1">
      <c r="B281" s="184"/>
      <c r="C281" s="53"/>
      <c r="D281" s="184"/>
      <c r="E281" s="184"/>
      <c r="F281" s="184"/>
      <c r="O281" s="226" t="s">
        <v>687</v>
      </c>
    </row>
    <row r="282" ht="15.75" customHeight="1">
      <c r="B282" s="184"/>
      <c r="C282" s="53"/>
      <c r="D282" s="184"/>
      <c r="E282" s="184"/>
      <c r="F282" s="184"/>
      <c r="O282" s="226" t="s">
        <v>688</v>
      </c>
    </row>
    <row r="283" ht="15.75" customHeight="1">
      <c r="B283" s="184"/>
      <c r="C283" s="53"/>
      <c r="D283" s="184"/>
      <c r="E283" s="184"/>
      <c r="F283" s="184"/>
      <c r="O283" s="226" t="s">
        <v>689</v>
      </c>
    </row>
    <row r="284" ht="15.75" customHeight="1">
      <c r="B284" s="184"/>
      <c r="C284" s="53"/>
      <c r="D284" s="184"/>
      <c r="E284" s="184"/>
      <c r="F284" s="184"/>
      <c r="O284" s="226" t="s">
        <v>690</v>
      </c>
    </row>
    <row r="285" ht="15.75" customHeight="1">
      <c r="B285" s="184"/>
      <c r="C285" s="53"/>
      <c r="D285" s="184"/>
      <c r="E285" s="184"/>
      <c r="F285" s="184"/>
      <c r="O285" s="226" t="s">
        <v>642</v>
      </c>
    </row>
    <row r="286" ht="15.75" customHeight="1">
      <c r="B286" s="184"/>
      <c r="C286" s="53"/>
      <c r="D286" s="184"/>
      <c r="E286" s="184"/>
      <c r="F286" s="184"/>
      <c r="O286" s="226" t="s">
        <v>691</v>
      </c>
    </row>
    <row r="287" ht="15.75" customHeight="1">
      <c r="B287" s="184"/>
      <c r="C287" s="53"/>
      <c r="D287" s="184"/>
      <c r="E287" s="184"/>
      <c r="F287" s="184"/>
      <c r="O287" s="226" t="s">
        <v>692</v>
      </c>
    </row>
    <row r="288" ht="15.75" customHeight="1">
      <c r="B288" s="184"/>
      <c r="C288" s="53"/>
      <c r="D288" s="184"/>
      <c r="E288" s="184"/>
      <c r="F288" s="184"/>
      <c r="O288" s="226" t="s">
        <v>693</v>
      </c>
    </row>
    <row r="289" ht="15.75" customHeight="1">
      <c r="B289" s="184"/>
      <c r="C289" s="53"/>
      <c r="D289" s="184"/>
      <c r="E289" s="184"/>
      <c r="F289" s="184"/>
      <c r="O289" s="226" t="s">
        <v>694</v>
      </c>
    </row>
    <row r="290" ht="15.75" customHeight="1">
      <c r="B290" s="184"/>
      <c r="C290" s="53"/>
      <c r="D290" s="184"/>
      <c r="E290" s="184"/>
      <c r="F290" s="184"/>
      <c r="O290" s="226" t="s">
        <v>695</v>
      </c>
    </row>
    <row r="291" ht="15.75" customHeight="1">
      <c r="B291" s="184"/>
      <c r="C291" s="53"/>
      <c r="D291" s="184"/>
      <c r="E291" s="184"/>
      <c r="F291" s="184"/>
      <c r="O291" s="226" t="s">
        <v>696</v>
      </c>
    </row>
    <row r="292" ht="15.75" customHeight="1">
      <c r="B292" s="184"/>
      <c r="C292" s="53"/>
      <c r="D292" s="184"/>
      <c r="E292" s="184"/>
      <c r="F292" s="184"/>
      <c r="O292" s="226" t="s">
        <v>697</v>
      </c>
    </row>
    <row r="293" ht="15.75" customHeight="1">
      <c r="B293" s="184"/>
      <c r="C293" s="53"/>
      <c r="D293" s="184"/>
      <c r="E293" s="184"/>
      <c r="F293" s="184"/>
      <c r="O293" s="226" t="s">
        <v>698</v>
      </c>
    </row>
    <row r="294" ht="15.75" customHeight="1">
      <c r="B294" s="184"/>
      <c r="C294" s="53"/>
      <c r="D294" s="184"/>
      <c r="E294" s="184"/>
      <c r="F294" s="184"/>
      <c r="O294" s="226" t="s">
        <v>699</v>
      </c>
    </row>
    <row r="295" ht="15.75" customHeight="1">
      <c r="B295" s="184"/>
      <c r="C295" s="53"/>
      <c r="D295" s="184"/>
      <c r="E295" s="184"/>
      <c r="F295" s="184"/>
      <c r="O295" s="226" t="s">
        <v>700</v>
      </c>
    </row>
    <row r="296" ht="15.75" customHeight="1">
      <c r="B296" s="184"/>
      <c r="C296" s="53"/>
      <c r="D296" s="184"/>
      <c r="E296" s="184"/>
      <c r="F296" s="184"/>
      <c r="O296" s="226" t="s">
        <v>701</v>
      </c>
    </row>
    <row r="297" ht="15.75" customHeight="1">
      <c r="B297" s="184"/>
      <c r="C297" s="53"/>
      <c r="D297" s="184"/>
      <c r="E297" s="184"/>
      <c r="F297" s="184"/>
      <c r="O297" s="226" t="s">
        <v>702</v>
      </c>
    </row>
    <row r="298" ht="15.75" customHeight="1">
      <c r="B298" s="184"/>
      <c r="C298" s="53"/>
      <c r="D298" s="184"/>
      <c r="E298" s="184"/>
      <c r="F298" s="184"/>
      <c r="O298" s="226" t="s">
        <v>703</v>
      </c>
    </row>
    <row r="299" ht="15.75" customHeight="1">
      <c r="B299" s="184"/>
      <c r="C299" s="53"/>
      <c r="D299" s="184"/>
      <c r="E299" s="184"/>
      <c r="F299" s="184"/>
      <c r="O299" s="226" t="s">
        <v>704</v>
      </c>
    </row>
    <row r="300" ht="15.75" customHeight="1">
      <c r="B300" s="184"/>
      <c r="C300" s="53"/>
      <c r="D300" s="184"/>
      <c r="E300" s="184"/>
      <c r="F300" s="184"/>
      <c r="O300" s="226" t="s">
        <v>705</v>
      </c>
    </row>
    <row r="301" ht="15.75" customHeight="1">
      <c r="B301" s="184"/>
      <c r="C301" s="53"/>
      <c r="D301" s="184"/>
      <c r="E301" s="184"/>
      <c r="F301" s="184"/>
      <c r="O301" s="226" t="s">
        <v>706</v>
      </c>
    </row>
    <row r="302" ht="15.75" customHeight="1">
      <c r="B302" s="184"/>
      <c r="C302" s="53"/>
      <c r="D302" s="184"/>
      <c r="E302" s="184"/>
      <c r="F302" s="184"/>
      <c r="O302" s="226" t="s">
        <v>707</v>
      </c>
    </row>
    <row r="303" ht="15.75" customHeight="1">
      <c r="B303" s="184"/>
      <c r="C303" s="53"/>
      <c r="D303" s="184"/>
      <c r="E303" s="184"/>
      <c r="F303" s="184"/>
      <c r="O303" s="226" t="s">
        <v>708</v>
      </c>
    </row>
    <row r="304" ht="15.75" customHeight="1">
      <c r="B304" s="184"/>
      <c r="C304" s="53"/>
      <c r="D304" s="184"/>
      <c r="E304" s="184"/>
      <c r="F304" s="184"/>
      <c r="O304" s="226" t="s">
        <v>709</v>
      </c>
    </row>
    <row r="305" ht="15.75" customHeight="1">
      <c r="B305" s="184"/>
      <c r="C305" s="53"/>
      <c r="D305" s="184"/>
      <c r="E305" s="184"/>
      <c r="F305" s="184"/>
      <c r="O305" s="226" t="s">
        <v>710</v>
      </c>
    </row>
    <row r="306" ht="15.75" customHeight="1">
      <c r="B306" s="184"/>
      <c r="C306" s="53"/>
      <c r="D306" s="184"/>
      <c r="E306" s="184"/>
      <c r="F306" s="184"/>
      <c r="O306" s="226" t="s">
        <v>711</v>
      </c>
    </row>
    <row r="307" ht="15.75" customHeight="1">
      <c r="B307" s="184"/>
      <c r="C307" s="53"/>
      <c r="D307" s="184"/>
      <c r="E307" s="184"/>
      <c r="F307" s="184"/>
      <c r="O307" s="226" t="s">
        <v>712</v>
      </c>
    </row>
    <row r="308" ht="15.75" customHeight="1">
      <c r="B308" s="184"/>
      <c r="C308" s="53"/>
      <c r="D308" s="184"/>
      <c r="E308" s="184"/>
      <c r="F308" s="184"/>
      <c r="O308" s="226" t="s">
        <v>713</v>
      </c>
    </row>
    <row r="309" ht="15.75" customHeight="1">
      <c r="B309" s="184"/>
      <c r="C309" s="53"/>
      <c r="D309" s="184"/>
      <c r="E309" s="184"/>
      <c r="F309" s="184"/>
      <c r="O309" s="226" t="s">
        <v>714</v>
      </c>
    </row>
    <row r="310" ht="15.75" customHeight="1">
      <c r="B310" s="184"/>
      <c r="C310" s="53"/>
      <c r="D310" s="184"/>
      <c r="E310" s="184"/>
      <c r="F310" s="184"/>
      <c r="O310" s="226" t="s">
        <v>715</v>
      </c>
    </row>
    <row r="311" ht="15.75" customHeight="1">
      <c r="B311" s="184"/>
      <c r="C311" s="53"/>
      <c r="D311" s="184"/>
      <c r="E311" s="184"/>
      <c r="F311" s="184"/>
      <c r="O311" s="226" t="s">
        <v>716</v>
      </c>
    </row>
    <row r="312" ht="15.75" customHeight="1">
      <c r="B312" s="184"/>
      <c r="C312" s="53"/>
      <c r="D312" s="184"/>
      <c r="E312" s="184"/>
      <c r="F312" s="184"/>
      <c r="O312" s="226" t="s">
        <v>717</v>
      </c>
    </row>
    <row r="313" ht="15.75" customHeight="1">
      <c r="B313" s="184"/>
      <c r="C313" s="53"/>
      <c r="D313" s="184"/>
      <c r="E313" s="184"/>
      <c r="F313" s="184"/>
      <c r="O313" s="226" t="s">
        <v>718</v>
      </c>
    </row>
    <row r="314" ht="15.75" customHeight="1">
      <c r="B314" s="184"/>
      <c r="C314" s="53"/>
      <c r="D314" s="184"/>
      <c r="E314" s="184"/>
      <c r="F314" s="184"/>
      <c r="O314" s="226" t="s">
        <v>719</v>
      </c>
    </row>
    <row r="315" ht="15.75" customHeight="1">
      <c r="B315" s="184"/>
      <c r="C315" s="53"/>
      <c r="D315" s="184"/>
      <c r="E315" s="184"/>
      <c r="F315" s="184"/>
      <c r="O315" s="226" t="s">
        <v>720</v>
      </c>
    </row>
    <row r="316" ht="15.75" customHeight="1">
      <c r="B316" s="184"/>
      <c r="C316" s="53"/>
      <c r="D316" s="184"/>
      <c r="E316" s="184"/>
      <c r="F316" s="184"/>
      <c r="O316" s="226" t="s">
        <v>721</v>
      </c>
    </row>
    <row r="317" ht="15.75" customHeight="1">
      <c r="B317" s="184"/>
      <c r="C317" s="53"/>
      <c r="D317" s="184"/>
      <c r="E317" s="184"/>
      <c r="F317" s="184"/>
      <c r="O317" s="226" t="s">
        <v>722</v>
      </c>
    </row>
    <row r="318" ht="15.75" customHeight="1">
      <c r="B318" s="184"/>
      <c r="C318" s="53"/>
      <c r="D318" s="184"/>
      <c r="E318" s="184"/>
      <c r="F318" s="184"/>
      <c r="O318" s="226" t="s">
        <v>723</v>
      </c>
    </row>
    <row r="319" ht="15.75" customHeight="1">
      <c r="B319" s="184"/>
      <c r="C319" s="53"/>
      <c r="D319" s="184"/>
      <c r="E319" s="184"/>
      <c r="F319" s="184"/>
      <c r="O319" s="226" t="s">
        <v>724</v>
      </c>
    </row>
    <row r="320" ht="15.75" customHeight="1">
      <c r="B320" s="184"/>
      <c r="C320" s="53"/>
      <c r="D320" s="184"/>
      <c r="E320" s="184"/>
      <c r="F320" s="184"/>
      <c r="O320" s="226" t="s">
        <v>725</v>
      </c>
    </row>
    <row r="321" ht="15.75" customHeight="1">
      <c r="B321" s="184"/>
      <c r="C321" s="53"/>
      <c r="D321" s="184"/>
      <c r="E321" s="184"/>
      <c r="F321" s="184"/>
      <c r="O321" s="226" t="s">
        <v>726</v>
      </c>
    </row>
    <row r="322" ht="15.75" customHeight="1">
      <c r="B322" s="184"/>
      <c r="C322" s="53"/>
      <c r="D322" s="184"/>
      <c r="E322" s="184"/>
      <c r="F322" s="184"/>
      <c r="O322" s="226" t="s">
        <v>727</v>
      </c>
    </row>
    <row r="323" ht="15.75" customHeight="1">
      <c r="B323" s="184"/>
      <c r="C323" s="53"/>
      <c r="D323" s="184"/>
      <c r="E323" s="184"/>
      <c r="F323" s="184"/>
      <c r="O323" s="226" t="s">
        <v>728</v>
      </c>
    </row>
    <row r="324" ht="15.75" customHeight="1">
      <c r="B324" s="184"/>
      <c r="C324" s="53"/>
      <c r="D324" s="184"/>
      <c r="E324" s="184"/>
      <c r="F324" s="184"/>
      <c r="O324" s="226" t="s">
        <v>729</v>
      </c>
    </row>
    <row r="325" ht="15.75" customHeight="1">
      <c r="B325" s="184"/>
      <c r="C325" s="53"/>
      <c r="D325" s="184"/>
      <c r="E325" s="184"/>
      <c r="F325" s="184"/>
      <c r="O325" s="226" t="s">
        <v>730</v>
      </c>
    </row>
    <row r="326" ht="15.75" customHeight="1">
      <c r="B326" s="184"/>
      <c r="C326" s="53"/>
      <c r="D326" s="184"/>
      <c r="E326" s="184"/>
      <c r="F326" s="184"/>
      <c r="O326" s="226" t="s">
        <v>731</v>
      </c>
    </row>
    <row r="327" ht="15.75" customHeight="1">
      <c r="B327" s="184"/>
      <c r="C327" s="53"/>
      <c r="D327" s="184"/>
      <c r="E327" s="184"/>
      <c r="F327" s="184"/>
      <c r="O327" s="226" t="s">
        <v>732</v>
      </c>
    </row>
    <row r="328" ht="15.75" customHeight="1">
      <c r="B328" s="184"/>
      <c r="C328" s="53"/>
      <c r="D328" s="184"/>
      <c r="E328" s="184"/>
      <c r="F328" s="184"/>
      <c r="O328" s="226" t="s">
        <v>733</v>
      </c>
    </row>
    <row r="329" ht="15.75" customHeight="1">
      <c r="B329" s="184"/>
      <c r="C329" s="53"/>
      <c r="D329" s="184"/>
      <c r="E329" s="184"/>
      <c r="F329" s="184"/>
      <c r="O329" s="226" t="s">
        <v>734</v>
      </c>
    </row>
    <row r="330" ht="15.75" customHeight="1">
      <c r="B330" s="184"/>
      <c r="C330" s="53"/>
      <c r="D330" s="184"/>
      <c r="E330" s="184"/>
      <c r="F330" s="184"/>
      <c r="O330" s="226" t="s">
        <v>735</v>
      </c>
    </row>
    <row r="331" ht="15.75" customHeight="1">
      <c r="B331" s="184"/>
      <c r="C331" s="53"/>
      <c r="D331" s="184"/>
      <c r="E331" s="184"/>
      <c r="F331" s="184"/>
      <c r="O331" s="226" t="s">
        <v>736</v>
      </c>
    </row>
    <row r="332" ht="15.75" customHeight="1">
      <c r="B332" s="184"/>
      <c r="C332" s="53"/>
      <c r="D332" s="184"/>
      <c r="E332" s="184"/>
      <c r="F332" s="184"/>
      <c r="O332" s="226" t="s">
        <v>737</v>
      </c>
    </row>
    <row r="333" ht="15.75" customHeight="1">
      <c r="B333" s="184"/>
      <c r="C333" s="53"/>
      <c r="D333" s="184"/>
      <c r="E333" s="184"/>
      <c r="F333" s="184"/>
      <c r="O333" s="226" t="s">
        <v>738</v>
      </c>
    </row>
    <row r="334" ht="15.75" customHeight="1">
      <c r="B334" s="184"/>
      <c r="C334" s="53"/>
      <c r="D334" s="184"/>
      <c r="E334" s="184"/>
      <c r="F334" s="184"/>
      <c r="O334" s="226" t="s">
        <v>739</v>
      </c>
    </row>
    <row r="335" ht="15.75" customHeight="1">
      <c r="B335" s="184"/>
      <c r="C335" s="53"/>
      <c r="D335" s="184"/>
      <c r="E335" s="184"/>
      <c r="F335" s="184"/>
      <c r="O335" s="226" t="s">
        <v>740</v>
      </c>
    </row>
    <row r="336" ht="15.75" customHeight="1">
      <c r="B336" s="184"/>
      <c r="C336" s="53"/>
      <c r="D336" s="184"/>
      <c r="E336" s="184"/>
      <c r="F336" s="184"/>
      <c r="O336" s="226" t="s">
        <v>741</v>
      </c>
    </row>
    <row r="337" ht="15.75" customHeight="1">
      <c r="B337" s="184"/>
      <c r="C337" s="53"/>
      <c r="D337" s="184"/>
      <c r="E337" s="184"/>
      <c r="F337" s="184"/>
      <c r="O337" s="226" t="s">
        <v>742</v>
      </c>
    </row>
    <row r="338" ht="15.75" customHeight="1">
      <c r="B338" s="184"/>
      <c r="C338" s="53"/>
      <c r="D338" s="184"/>
      <c r="E338" s="184"/>
      <c r="F338" s="184"/>
      <c r="O338" s="226" t="s">
        <v>743</v>
      </c>
    </row>
    <row r="339" ht="15.75" customHeight="1">
      <c r="B339" s="184"/>
      <c r="C339" s="53"/>
      <c r="D339" s="184"/>
      <c r="E339" s="184"/>
      <c r="F339" s="184"/>
      <c r="O339" s="226" t="s">
        <v>744</v>
      </c>
    </row>
    <row r="340" ht="15.75" customHeight="1">
      <c r="B340" s="184"/>
      <c r="C340" s="53"/>
      <c r="D340" s="184"/>
      <c r="E340" s="184"/>
      <c r="F340" s="184"/>
      <c r="O340" s="226" t="s">
        <v>745</v>
      </c>
    </row>
    <row r="341" ht="15.75" customHeight="1">
      <c r="B341" s="184"/>
      <c r="C341" s="53"/>
      <c r="D341" s="184"/>
      <c r="E341" s="184"/>
      <c r="F341" s="184"/>
      <c r="O341" s="226" t="s">
        <v>746</v>
      </c>
    </row>
    <row r="342" ht="15.75" customHeight="1">
      <c r="B342" s="184"/>
      <c r="C342" s="53"/>
      <c r="D342" s="184"/>
      <c r="E342" s="184"/>
      <c r="F342" s="184"/>
      <c r="O342" s="226" t="s">
        <v>747</v>
      </c>
    </row>
    <row r="343" ht="15.75" customHeight="1">
      <c r="B343" s="184"/>
      <c r="C343" s="53"/>
      <c r="D343" s="184"/>
      <c r="E343" s="184"/>
      <c r="F343" s="184"/>
      <c r="O343" s="226" t="s">
        <v>748</v>
      </c>
    </row>
    <row r="344" ht="15.75" customHeight="1">
      <c r="B344" s="184"/>
      <c r="C344" s="53"/>
      <c r="D344" s="184"/>
      <c r="E344" s="184"/>
      <c r="F344" s="184"/>
      <c r="O344" s="226" t="s">
        <v>749</v>
      </c>
    </row>
    <row r="345" ht="15.75" customHeight="1">
      <c r="B345" s="184"/>
      <c r="C345" s="53"/>
      <c r="D345" s="184"/>
      <c r="E345" s="184"/>
      <c r="F345" s="184"/>
      <c r="O345" s="226" t="s">
        <v>750</v>
      </c>
    </row>
    <row r="346" ht="15.75" customHeight="1">
      <c r="B346" s="184"/>
      <c r="C346" s="53"/>
      <c r="D346" s="184"/>
      <c r="E346" s="184"/>
      <c r="F346" s="184"/>
      <c r="O346" s="226" t="s">
        <v>751</v>
      </c>
    </row>
    <row r="347" ht="15.75" customHeight="1">
      <c r="B347" s="184"/>
      <c r="C347" s="53"/>
      <c r="D347" s="184"/>
      <c r="E347" s="184"/>
      <c r="F347" s="184"/>
      <c r="O347" s="226" t="s">
        <v>752</v>
      </c>
    </row>
    <row r="348" ht="15.75" customHeight="1">
      <c r="B348" s="184"/>
      <c r="C348" s="53"/>
      <c r="D348" s="184"/>
      <c r="E348" s="184"/>
      <c r="F348" s="184"/>
      <c r="O348" s="226" t="s">
        <v>753</v>
      </c>
    </row>
    <row r="349" ht="15.75" customHeight="1">
      <c r="B349" s="184"/>
      <c r="C349" s="53"/>
      <c r="D349" s="184"/>
      <c r="E349" s="184"/>
      <c r="F349" s="184"/>
      <c r="O349" s="226" t="s">
        <v>754</v>
      </c>
    </row>
    <row r="350" ht="15.75" customHeight="1">
      <c r="B350" s="184"/>
      <c r="C350" s="53"/>
      <c r="D350" s="184"/>
      <c r="E350" s="184"/>
      <c r="F350" s="184"/>
      <c r="O350" s="226" t="s">
        <v>755</v>
      </c>
    </row>
    <row r="351" ht="15.75" customHeight="1">
      <c r="B351" s="184"/>
      <c r="C351" s="53"/>
      <c r="D351" s="184"/>
      <c r="E351" s="184"/>
      <c r="F351" s="184"/>
      <c r="O351" s="226" t="s">
        <v>756</v>
      </c>
    </row>
    <row r="352" ht="15.75" customHeight="1">
      <c r="B352" s="184"/>
      <c r="C352" s="53"/>
      <c r="D352" s="184"/>
      <c r="E352" s="184"/>
      <c r="F352" s="184"/>
      <c r="O352" s="226" t="s">
        <v>757</v>
      </c>
    </row>
    <row r="353" ht="15.75" customHeight="1">
      <c r="B353" s="184"/>
      <c r="C353" s="53"/>
      <c r="D353" s="184"/>
      <c r="E353" s="184"/>
      <c r="F353" s="184"/>
      <c r="O353" s="226" t="s">
        <v>758</v>
      </c>
    </row>
    <row r="354" ht="15.75" customHeight="1">
      <c r="B354" s="184"/>
      <c r="C354" s="53"/>
      <c r="D354" s="184"/>
      <c r="E354" s="184"/>
      <c r="F354" s="184"/>
      <c r="O354" s="226" t="s">
        <v>759</v>
      </c>
    </row>
    <row r="355" ht="15.75" customHeight="1">
      <c r="B355" s="184"/>
      <c r="C355" s="53"/>
      <c r="D355" s="184"/>
      <c r="E355" s="184"/>
      <c r="F355" s="184"/>
      <c r="O355" s="226" t="s">
        <v>760</v>
      </c>
    </row>
    <row r="356" ht="15.75" customHeight="1">
      <c r="B356" s="184"/>
      <c r="C356" s="53"/>
      <c r="D356" s="184"/>
      <c r="E356" s="184"/>
      <c r="F356" s="184"/>
      <c r="O356" s="226" t="s">
        <v>761</v>
      </c>
    </row>
    <row r="357" ht="15.75" customHeight="1">
      <c r="B357" s="184"/>
      <c r="C357" s="53"/>
      <c r="D357" s="184"/>
      <c r="E357" s="184"/>
      <c r="F357" s="184"/>
      <c r="O357" s="226" t="s">
        <v>762</v>
      </c>
    </row>
    <row r="358" ht="15.75" customHeight="1">
      <c r="B358" s="184"/>
      <c r="C358" s="53"/>
      <c r="D358" s="184"/>
      <c r="E358" s="184"/>
      <c r="F358" s="184"/>
      <c r="O358" s="226" t="s">
        <v>763</v>
      </c>
    </row>
    <row r="359" ht="15.75" customHeight="1">
      <c r="B359" s="184"/>
      <c r="C359" s="53"/>
      <c r="D359" s="184"/>
      <c r="E359" s="184"/>
      <c r="F359" s="184"/>
      <c r="O359" s="226" t="s">
        <v>764</v>
      </c>
    </row>
    <row r="360" ht="15.75" customHeight="1">
      <c r="B360" s="184"/>
      <c r="C360" s="53"/>
      <c r="D360" s="184"/>
      <c r="E360" s="184"/>
      <c r="F360" s="184"/>
      <c r="O360" s="226" t="s">
        <v>765</v>
      </c>
    </row>
    <row r="361" ht="15.75" customHeight="1">
      <c r="B361" s="184"/>
      <c r="C361" s="53"/>
      <c r="D361" s="184"/>
      <c r="E361" s="184"/>
      <c r="F361" s="184"/>
      <c r="O361" s="226" t="s">
        <v>766</v>
      </c>
    </row>
    <row r="362" ht="15.75" customHeight="1">
      <c r="B362" s="184"/>
      <c r="C362" s="53"/>
      <c r="D362" s="184"/>
      <c r="E362" s="184"/>
      <c r="F362" s="184"/>
      <c r="O362" s="226" t="s">
        <v>767</v>
      </c>
    </row>
    <row r="363" ht="15.75" customHeight="1">
      <c r="B363" s="184"/>
      <c r="C363" s="53"/>
      <c r="D363" s="184"/>
      <c r="E363" s="184"/>
      <c r="F363" s="184"/>
      <c r="O363" s="226" t="s">
        <v>768</v>
      </c>
    </row>
    <row r="364" ht="15.75" customHeight="1">
      <c r="B364" s="184"/>
      <c r="C364" s="53"/>
      <c r="D364" s="184"/>
      <c r="E364" s="184"/>
      <c r="F364" s="184"/>
      <c r="O364" s="226" t="s">
        <v>769</v>
      </c>
    </row>
    <row r="365" ht="15.75" customHeight="1">
      <c r="B365" s="184"/>
      <c r="C365" s="53"/>
      <c r="D365" s="184"/>
      <c r="E365" s="184"/>
      <c r="F365" s="184"/>
      <c r="O365" s="226" t="s">
        <v>770</v>
      </c>
    </row>
    <row r="366" ht="15.75" customHeight="1">
      <c r="B366" s="184"/>
      <c r="C366" s="53"/>
      <c r="D366" s="184"/>
      <c r="E366" s="184"/>
      <c r="F366" s="184"/>
      <c r="O366" s="226" t="s">
        <v>771</v>
      </c>
    </row>
    <row r="367" ht="15.75" customHeight="1">
      <c r="B367" s="184"/>
      <c r="C367" s="53"/>
      <c r="D367" s="184"/>
      <c r="E367" s="184"/>
      <c r="F367" s="184"/>
      <c r="O367" s="226" t="s">
        <v>772</v>
      </c>
    </row>
    <row r="368" ht="15.75" customHeight="1">
      <c r="B368" s="184"/>
      <c r="C368" s="53"/>
      <c r="D368" s="184"/>
      <c r="E368" s="184"/>
      <c r="F368" s="184"/>
      <c r="O368" s="226" t="s">
        <v>773</v>
      </c>
    </row>
    <row r="369" ht="15.75" customHeight="1">
      <c r="B369" s="184"/>
      <c r="C369" s="53"/>
      <c r="D369" s="184"/>
      <c r="E369" s="184"/>
      <c r="F369" s="184"/>
      <c r="O369" s="226" t="s">
        <v>774</v>
      </c>
    </row>
    <row r="370" ht="15.75" customHeight="1">
      <c r="B370" s="184"/>
      <c r="C370" s="53"/>
      <c r="D370" s="184"/>
      <c r="E370" s="184"/>
      <c r="F370" s="184"/>
      <c r="O370" s="226" t="s">
        <v>775</v>
      </c>
    </row>
    <row r="371" ht="15.75" customHeight="1">
      <c r="B371" s="184"/>
      <c r="C371" s="53"/>
      <c r="D371" s="184"/>
      <c r="E371" s="184"/>
      <c r="F371" s="184"/>
      <c r="O371" s="226" t="s">
        <v>776</v>
      </c>
    </row>
    <row r="372" ht="15.75" customHeight="1">
      <c r="B372" s="184"/>
      <c r="C372" s="53"/>
      <c r="D372" s="184"/>
      <c r="E372" s="184"/>
      <c r="F372" s="184"/>
      <c r="O372" s="226" t="s">
        <v>777</v>
      </c>
    </row>
    <row r="373" ht="15.75" customHeight="1">
      <c r="B373" s="184"/>
      <c r="C373" s="53"/>
      <c r="D373" s="184"/>
      <c r="E373" s="184"/>
      <c r="F373" s="184"/>
      <c r="O373" s="226" t="s">
        <v>778</v>
      </c>
    </row>
    <row r="374" ht="15.75" customHeight="1">
      <c r="B374" s="184"/>
      <c r="C374" s="53"/>
      <c r="D374" s="184"/>
      <c r="E374" s="184"/>
      <c r="F374" s="184"/>
      <c r="O374" s="226" t="s">
        <v>779</v>
      </c>
    </row>
    <row r="375" ht="15.75" customHeight="1">
      <c r="B375" s="184"/>
      <c r="C375" s="53"/>
      <c r="D375" s="184"/>
      <c r="E375" s="184"/>
      <c r="F375" s="184"/>
      <c r="O375" s="226" t="s">
        <v>780</v>
      </c>
    </row>
    <row r="376" ht="15.75" customHeight="1">
      <c r="B376" s="184"/>
      <c r="C376" s="53"/>
      <c r="D376" s="184"/>
      <c r="E376" s="184"/>
      <c r="F376" s="184"/>
      <c r="O376" s="226" t="s">
        <v>781</v>
      </c>
    </row>
    <row r="377" ht="15.75" customHeight="1">
      <c r="B377" s="184"/>
      <c r="C377" s="53"/>
      <c r="D377" s="184"/>
      <c r="E377" s="184"/>
      <c r="F377" s="184"/>
      <c r="O377" s="226" t="s">
        <v>782</v>
      </c>
    </row>
    <row r="378" ht="15.75" customHeight="1">
      <c r="B378" s="184"/>
      <c r="C378" s="53"/>
      <c r="D378" s="184"/>
      <c r="E378" s="184"/>
      <c r="F378" s="184"/>
      <c r="O378" s="226" t="s">
        <v>783</v>
      </c>
    </row>
    <row r="379" ht="15.75" customHeight="1">
      <c r="B379" s="184"/>
      <c r="C379" s="53"/>
      <c r="D379" s="184"/>
      <c r="E379" s="184"/>
      <c r="F379" s="184"/>
      <c r="O379" s="226" t="s">
        <v>784</v>
      </c>
    </row>
    <row r="380" ht="15.75" customHeight="1">
      <c r="B380" s="184"/>
      <c r="C380" s="53"/>
      <c r="D380" s="184"/>
      <c r="E380" s="184"/>
      <c r="F380" s="184"/>
      <c r="O380" s="226" t="s">
        <v>785</v>
      </c>
    </row>
    <row r="381" ht="15.75" customHeight="1">
      <c r="B381" s="184"/>
      <c r="C381" s="53"/>
      <c r="D381" s="184"/>
      <c r="E381" s="184"/>
      <c r="F381" s="184"/>
      <c r="O381" s="226" t="s">
        <v>786</v>
      </c>
    </row>
    <row r="382" ht="15.75" customHeight="1">
      <c r="B382" s="184"/>
      <c r="C382" s="53"/>
      <c r="D382" s="184"/>
      <c r="E382" s="184"/>
      <c r="F382" s="184"/>
      <c r="O382" s="226" t="s">
        <v>787</v>
      </c>
    </row>
    <row r="383" ht="15.75" customHeight="1">
      <c r="B383" s="184"/>
      <c r="C383" s="53"/>
      <c r="D383" s="184"/>
      <c r="E383" s="184"/>
      <c r="F383" s="184"/>
      <c r="O383" s="226" t="s">
        <v>788</v>
      </c>
    </row>
    <row r="384" ht="15.75" customHeight="1">
      <c r="B384" s="184"/>
      <c r="C384" s="53"/>
      <c r="D384" s="184"/>
      <c r="E384" s="184"/>
      <c r="F384" s="184"/>
      <c r="O384" s="226" t="s">
        <v>789</v>
      </c>
    </row>
    <row r="385" ht="15.75" customHeight="1">
      <c r="B385" s="184"/>
      <c r="C385" s="53"/>
      <c r="D385" s="184"/>
      <c r="E385" s="184"/>
      <c r="F385" s="184"/>
      <c r="O385" s="226" t="s">
        <v>790</v>
      </c>
    </row>
    <row r="386" ht="15.75" customHeight="1">
      <c r="B386" s="184"/>
      <c r="C386" s="53"/>
      <c r="D386" s="184"/>
      <c r="E386" s="184"/>
      <c r="F386" s="184"/>
      <c r="O386" s="226" t="s">
        <v>791</v>
      </c>
    </row>
    <row r="387" ht="15.75" customHeight="1">
      <c r="B387" s="184"/>
      <c r="C387" s="53"/>
      <c r="D387" s="184"/>
      <c r="E387" s="184"/>
      <c r="F387" s="184"/>
      <c r="O387" s="226" t="s">
        <v>792</v>
      </c>
    </row>
    <row r="388" ht="15.75" customHeight="1">
      <c r="B388" s="184"/>
      <c r="C388" s="53"/>
      <c r="D388" s="184"/>
      <c r="E388" s="184"/>
      <c r="F388" s="184"/>
      <c r="O388" s="226" t="s">
        <v>793</v>
      </c>
    </row>
    <row r="389" ht="15.75" customHeight="1">
      <c r="B389" s="184"/>
      <c r="C389" s="53"/>
      <c r="D389" s="184"/>
      <c r="E389" s="184"/>
      <c r="F389" s="184"/>
      <c r="O389" s="226" t="s">
        <v>794</v>
      </c>
    </row>
    <row r="390" ht="15.75" customHeight="1">
      <c r="B390" s="184"/>
      <c r="C390" s="53"/>
      <c r="D390" s="184"/>
      <c r="E390" s="184"/>
      <c r="F390" s="184"/>
      <c r="O390" s="226" t="s">
        <v>795</v>
      </c>
    </row>
    <row r="391" ht="15.75" customHeight="1">
      <c r="B391" s="184"/>
      <c r="C391" s="53"/>
      <c r="D391" s="184"/>
      <c r="E391" s="184"/>
      <c r="F391" s="184"/>
      <c r="O391" s="226" t="s">
        <v>796</v>
      </c>
    </row>
    <row r="392" ht="15.75" customHeight="1">
      <c r="B392" s="184"/>
      <c r="C392" s="53"/>
      <c r="D392" s="184"/>
      <c r="E392" s="184"/>
      <c r="F392" s="184"/>
      <c r="O392" s="226" t="s">
        <v>797</v>
      </c>
    </row>
    <row r="393" ht="15.75" customHeight="1">
      <c r="B393" s="184"/>
      <c r="C393" s="53"/>
      <c r="D393" s="184"/>
      <c r="E393" s="184"/>
      <c r="F393" s="184"/>
      <c r="O393" s="226" t="s">
        <v>798</v>
      </c>
    </row>
    <row r="394" ht="15.75" customHeight="1">
      <c r="B394" s="184"/>
      <c r="C394" s="53"/>
      <c r="D394" s="184"/>
      <c r="E394" s="184"/>
      <c r="F394" s="184"/>
      <c r="O394" s="226" t="s">
        <v>799</v>
      </c>
    </row>
    <row r="395" ht="15.75" customHeight="1">
      <c r="B395" s="184"/>
      <c r="C395" s="53"/>
      <c r="D395" s="184"/>
      <c r="E395" s="184"/>
      <c r="F395" s="184"/>
      <c r="O395" s="226" t="s">
        <v>800</v>
      </c>
    </row>
    <row r="396" ht="15.75" customHeight="1">
      <c r="B396" s="184"/>
      <c r="C396" s="53"/>
      <c r="D396" s="184"/>
      <c r="E396" s="184"/>
      <c r="F396" s="184"/>
      <c r="O396" s="226" t="s">
        <v>801</v>
      </c>
    </row>
    <row r="397" ht="15.75" customHeight="1">
      <c r="B397" s="184"/>
      <c r="C397" s="53"/>
      <c r="D397" s="184"/>
      <c r="E397" s="184"/>
      <c r="F397" s="184"/>
      <c r="O397" s="226" t="s">
        <v>802</v>
      </c>
    </row>
    <row r="398" ht="15.75" customHeight="1">
      <c r="B398" s="184"/>
      <c r="C398" s="53"/>
      <c r="D398" s="184"/>
      <c r="E398" s="184"/>
      <c r="F398" s="184"/>
      <c r="O398" s="226" t="s">
        <v>803</v>
      </c>
    </row>
    <row r="399" ht="15.75" customHeight="1">
      <c r="B399" s="184"/>
      <c r="C399" s="53"/>
      <c r="D399" s="184"/>
      <c r="E399" s="184"/>
      <c r="F399" s="184"/>
      <c r="O399" s="226" t="s">
        <v>804</v>
      </c>
    </row>
    <row r="400" ht="15.75" customHeight="1">
      <c r="B400" s="184"/>
      <c r="C400" s="53"/>
      <c r="D400" s="184"/>
      <c r="E400" s="184"/>
      <c r="F400" s="184"/>
      <c r="O400" s="226" t="s">
        <v>805</v>
      </c>
    </row>
    <row r="401" ht="15.75" customHeight="1">
      <c r="B401" s="184"/>
      <c r="C401" s="53"/>
      <c r="D401" s="184"/>
      <c r="E401" s="184"/>
      <c r="F401" s="184"/>
      <c r="O401" s="226" t="s">
        <v>806</v>
      </c>
    </row>
    <row r="402" ht="15.75" customHeight="1">
      <c r="B402" s="184"/>
      <c r="C402" s="53"/>
      <c r="D402" s="184"/>
      <c r="E402" s="184"/>
      <c r="F402" s="184"/>
      <c r="O402" s="226" t="s">
        <v>807</v>
      </c>
    </row>
    <row r="403" ht="15.75" customHeight="1">
      <c r="B403" s="184"/>
      <c r="C403" s="53"/>
      <c r="D403" s="184"/>
      <c r="E403" s="184"/>
      <c r="F403" s="184"/>
      <c r="O403" s="226" t="s">
        <v>808</v>
      </c>
    </row>
    <row r="404" ht="15.75" customHeight="1">
      <c r="B404" s="184"/>
      <c r="C404" s="53"/>
      <c r="D404" s="184"/>
      <c r="E404" s="184"/>
      <c r="F404" s="184"/>
      <c r="O404" s="226" t="s">
        <v>809</v>
      </c>
    </row>
    <row r="405" ht="15.75" customHeight="1">
      <c r="B405" s="184"/>
      <c r="C405" s="53"/>
      <c r="D405" s="184"/>
      <c r="E405" s="184"/>
      <c r="F405" s="184"/>
      <c r="O405" s="226" t="s">
        <v>810</v>
      </c>
    </row>
    <row r="406" ht="15.75" customHeight="1">
      <c r="B406" s="184"/>
      <c r="C406" s="53"/>
      <c r="D406" s="184"/>
      <c r="E406" s="184"/>
      <c r="F406" s="184"/>
      <c r="O406" s="226" t="s">
        <v>811</v>
      </c>
    </row>
    <row r="407" ht="15.75" customHeight="1">
      <c r="B407" s="184"/>
      <c r="C407" s="53"/>
      <c r="D407" s="184"/>
      <c r="E407" s="184"/>
      <c r="F407" s="184"/>
      <c r="O407" s="226" t="s">
        <v>812</v>
      </c>
    </row>
    <row r="408" ht="15.75" customHeight="1">
      <c r="B408" s="184"/>
      <c r="C408" s="53"/>
      <c r="D408" s="184"/>
      <c r="E408" s="184"/>
      <c r="F408" s="184"/>
      <c r="O408" s="226" t="s">
        <v>813</v>
      </c>
    </row>
    <row r="409" ht="15.75" customHeight="1">
      <c r="B409" s="184"/>
      <c r="C409" s="53"/>
      <c r="D409" s="184"/>
      <c r="E409" s="184"/>
      <c r="F409" s="184"/>
      <c r="O409" s="226" t="s">
        <v>814</v>
      </c>
    </row>
    <row r="410" ht="15.75" customHeight="1">
      <c r="B410" s="184"/>
      <c r="C410" s="53"/>
      <c r="D410" s="184"/>
      <c r="E410" s="184"/>
      <c r="F410" s="184"/>
      <c r="O410" s="226" t="s">
        <v>815</v>
      </c>
    </row>
    <row r="411" ht="15.75" customHeight="1">
      <c r="B411" s="184"/>
      <c r="C411" s="53"/>
      <c r="D411" s="184"/>
      <c r="E411" s="184"/>
      <c r="F411" s="184"/>
      <c r="O411" s="226" t="s">
        <v>816</v>
      </c>
    </row>
    <row r="412" ht="15.75" customHeight="1">
      <c r="B412" s="184"/>
      <c r="C412" s="53"/>
      <c r="D412" s="184"/>
      <c r="E412" s="184"/>
      <c r="F412" s="184"/>
      <c r="O412" s="226" t="s">
        <v>817</v>
      </c>
    </row>
    <row r="413" ht="15.75" customHeight="1">
      <c r="B413" s="184"/>
      <c r="C413" s="53"/>
      <c r="D413" s="184"/>
      <c r="E413" s="184"/>
      <c r="F413" s="184"/>
      <c r="O413" s="226" t="s">
        <v>818</v>
      </c>
    </row>
    <row r="414" ht="15.75" customHeight="1">
      <c r="B414" s="184"/>
      <c r="C414" s="53"/>
      <c r="D414" s="184"/>
      <c r="E414" s="184"/>
      <c r="F414" s="184"/>
      <c r="O414" s="226" t="s">
        <v>819</v>
      </c>
    </row>
    <row r="415" ht="15.75" customHeight="1">
      <c r="B415" s="184"/>
      <c r="C415" s="53"/>
      <c r="D415" s="184"/>
      <c r="E415" s="184"/>
      <c r="F415" s="184"/>
      <c r="O415" s="226" t="s">
        <v>820</v>
      </c>
    </row>
    <row r="416" ht="15.75" customHeight="1">
      <c r="B416" s="184"/>
      <c r="C416" s="53"/>
      <c r="D416" s="184"/>
      <c r="E416" s="184"/>
      <c r="F416" s="184"/>
      <c r="O416" s="226" t="s">
        <v>821</v>
      </c>
    </row>
    <row r="417" ht="15.75" customHeight="1">
      <c r="B417" s="184"/>
      <c r="C417" s="53"/>
      <c r="D417" s="184"/>
      <c r="E417" s="184"/>
      <c r="F417" s="184"/>
      <c r="O417" s="226" t="s">
        <v>822</v>
      </c>
    </row>
    <row r="418" ht="15.75" customHeight="1">
      <c r="B418" s="184"/>
      <c r="C418" s="53"/>
      <c r="D418" s="184"/>
      <c r="E418" s="184"/>
      <c r="F418" s="184"/>
      <c r="O418" s="226" t="s">
        <v>823</v>
      </c>
    </row>
    <row r="419" ht="15.75" customHeight="1">
      <c r="B419" s="184"/>
      <c r="C419" s="53"/>
      <c r="D419" s="184"/>
      <c r="E419" s="184"/>
      <c r="F419" s="184"/>
    </row>
    <row r="420" ht="15.75" customHeight="1">
      <c r="B420" s="184"/>
      <c r="C420" s="53"/>
      <c r="D420" s="184"/>
      <c r="E420" s="184"/>
      <c r="F420" s="184"/>
    </row>
    <row r="421" ht="15.75" customHeight="1">
      <c r="B421" s="184"/>
      <c r="C421" s="53"/>
      <c r="D421" s="184"/>
      <c r="E421" s="184"/>
      <c r="F421" s="184"/>
    </row>
    <row r="422" ht="15.75" customHeight="1">
      <c r="B422" s="184"/>
      <c r="C422" s="53"/>
      <c r="D422" s="184"/>
      <c r="E422" s="184"/>
      <c r="F422" s="184"/>
    </row>
    <row r="423" ht="15.75" customHeight="1">
      <c r="B423" s="184"/>
      <c r="C423" s="53"/>
      <c r="D423" s="184"/>
      <c r="E423" s="184"/>
      <c r="F423" s="184"/>
    </row>
    <row r="424" ht="15.75" customHeight="1">
      <c r="B424" s="184"/>
      <c r="C424" s="53"/>
      <c r="D424" s="184"/>
      <c r="E424" s="184"/>
      <c r="F424" s="184"/>
    </row>
    <row r="425" ht="15.75" customHeight="1">
      <c r="B425" s="184"/>
      <c r="C425" s="53"/>
      <c r="D425" s="184"/>
      <c r="E425" s="184"/>
      <c r="F425" s="184"/>
    </row>
    <row r="426" ht="15.75" customHeight="1">
      <c r="B426" s="184"/>
      <c r="C426" s="53"/>
      <c r="D426" s="184"/>
      <c r="E426" s="184"/>
      <c r="F426" s="184"/>
    </row>
    <row r="427" ht="15.75" customHeight="1">
      <c r="B427" s="184"/>
      <c r="C427" s="53"/>
      <c r="D427" s="184"/>
      <c r="E427" s="184"/>
      <c r="F427" s="184"/>
    </row>
    <row r="428" ht="15.75" customHeight="1">
      <c r="B428" s="184"/>
      <c r="C428" s="53"/>
      <c r="D428" s="184"/>
      <c r="E428" s="184"/>
      <c r="F428" s="184"/>
    </row>
    <row r="429" ht="15.75" customHeight="1">
      <c r="B429" s="184"/>
      <c r="C429" s="53"/>
      <c r="D429" s="184"/>
      <c r="E429" s="184"/>
      <c r="F429" s="184"/>
    </row>
    <row r="430" ht="15.75" customHeight="1">
      <c r="B430" s="184"/>
      <c r="C430" s="53"/>
      <c r="D430" s="184"/>
      <c r="E430" s="184"/>
      <c r="F430" s="184"/>
    </row>
    <row r="431" ht="15.75" customHeight="1">
      <c r="B431" s="184"/>
      <c r="C431" s="53"/>
      <c r="D431" s="184"/>
      <c r="E431" s="184"/>
      <c r="F431" s="184"/>
    </row>
    <row r="432" ht="15.75" customHeight="1">
      <c r="B432" s="184"/>
      <c r="C432" s="53"/>
      <c r="D432" s="184"/>
      <c r="E432" s="184"/>
      <c r="F432" s="184"/>
    </row>
    <row r="433" ht="15.75" customHeight="1">
      <c r="B433" s="184"/>
      <c r="C433" s="53"/>
      <c r="D433" s="184"/>
      <c r="E433" s="184"/>
      <c r="F433" s="184"/>
    </row>
    <row r="434" ht="15.75" customHeight="1">
      <c r="B434" s="184"/>
      <c r="C434" s="53"/>
      <c r="D434" s="184"/>
      <c r="E434" s="184"/>
      <c r="F434" s="184"/>
    </row>
    <row r="435" ht="15.75" customHeight="1">
      <c r="B435" s="184"/>
      <c r="C435" s="53"/>
      <c r="D435" s="184"/>
      <c r="E435" s="184"/>
      <c r="F435" s="184"/>
    </row>
    <row r="436" ht="15.75" customHeight="1">
      <c r="B436" s="184"/>
      <c r="C436" s="53"/>
      <c r="D436" s="184"/>
      <c r="E436" s="184"/>
      <c r="F436" s="184"/>
    </row>
    <row r="437" ht="15.75" customHeight="1">
      <c r="B437" s="184"/>
      <c r="C437" s="53"/>
      <c r="D437" s="184"/>
      <c r="E437" s="184"/>
      <c r="F437" s="184"/>
    </row>
    <row r="438" ht="15.75" customHeight="1">
      <c r="B438" s="184"/>
      <c r="C438" s="53"/>
      <c r="D438" s="184"/>
      <c r="E438" s="184"/>
      <c r="F438" s="184"/>
    </row>
    <row r="439" ht="15.75" customHeight="1">
      <c r="B439" s="184"/>
      <c r="C439" s="53"/>
      <c r="D439" s="184"/>
      <c r="E439" s="184"/>
      <c r="F439" s="184"/>
    </row>
    <row r="440" ht="15.75" customHeight="1">
      <c r="B440" s="184"/>
      <c r="C440" s="53"/>
      <c r="D440" s="184"/>
      <c r="E440" s="184"/>
      <c r="F440" s="184"/>
    </row>
    <row r="441" ht="15.75" customHeight="1">
      <c r="B441" s="184"/>
      <c r="C441" s="53"/>
      <c r="D441" s="184"/>
      <c r="E441" s="184"/>
      <c r="F441" s="184"/>
    </row>
    <row r="442" ht="15.75" customHeight="1">
      <c r="B442" s="184"/>
      <c r="C442" s="53"/>
      <c r="D442" s="184"/>
      <c r="E442" s="184"/>
      <c r="F442" s="184"/>
    </row>
    <row r="443" ht="15.75" customHeight="1">
      <c r="B443" s="184"/>
      <c r="C443" s="53"/>
      <c r="D443" s="184"/>
      <c r="E443" s="184"/>
      <c r="F443" s="184"/>
    </row>
    <row r="444" ht="15.75" customHeight="1">
      <c r="B444" s="184"/>
      <c r="C444" s="53"/>
      <c r="D444" s="184"/>
      <c r="E444" s="184"/>
      <c r="F444" s="184"/>
    </row>
    <row r="445" ht="15.75" customHeight="1">
      <c r="B445" s="184"/>
      <c r="C445" s="53"/>
      <c r="D445" s="184"/>
      <c r="E445" s="184"/>
      <c r="F445" s="184"/>
    </row>
    <row r="446" ht="15.75" customHeight="1">
      <c r="B446" s="184"/>
      <c r="C446" s="53"/>
      <c r="D446" s="184"/>
      <c r="E446" s="184"/>
      <c r="F446" s="184"/>
    </row>
    <row r="447" ht="15.75" customHeight="1">
      <c r="B447" s="184"/>
      <c r="C447" s="53"/>
      <c r="D447" s="184"/>
      <c r="E447" s="184"/>
      <c r="F447" s="184"/>
    </row>
    <row r="448" ht="15.75" customHeight="1">
      <c r="B448" s="184"/>
      <c r="C448" s="53"/>
      <c r="D448" s="184"/>
      <c r="E448" s="184"/>
      <c r="F448" s="184"/>
    </row>
    <row r="449" ht="15.75" customHeight="1">
      <c r="B449" s="184"/>
      <c r="C449" s="53"/>
      <c r="D449" s="184"/>
      <c r="E449" s="184"/>
      <c r="F449" s="184"/>
    </row>
    <row r="450" ht="15.75" customHeight="1">
      <c r="B450" s="184"/>
      <c r="C450" s="53"/>
      <c r="D450" s="184"/>
      <c r="E450" s="184"/>
      <c r="F450" s="184"/>
    </row>
    <row r="451" ht="15.75" customHeight="1">
      <c r="B451" s="184"/>
      <c r="C451" s="53"/>
      <c r="D451" s="184"/>
      <c r="E451" s="184"/>
      <c r="F451" s="184"/>
    </row>
    <row r="452" ht="15.75" customHeight="1">
      <c r="B452" s="184"/>
      <c r="C452" s="53"/>
      <c r="D452" s="184"/>
      <c r="E452" s="184"/>
      <c r="F452" s="184"/>
    </row>
    <row r="453" ht="15.75" customHeight="1">
      <c r="B453" s="184"/>
      <c r="C453" s="53"/>
      <c r="D453" s="184"/>
      <c r="E453" s="184"/>
      <c r="F453" s="184"/>
    </row>
    <row r="454" ht="15.75" customHeight="1">
      <c r="B454" s="184"/>
      <c r="C454" s="53"/>
      <c r="D454" s="184"/>
      <c r="E454" s="184"/>
      <c r="F454" s="184"/>
    </row>
    <row r="455" ht="15.75" customHeight="1">
      <c r="B455" s="184"/>
      <c r="C455" s="53"/>
      <c r="D455" s="184"/>
      <c r="E455" s="184"/>
      <c r="F455" s="184"/>
    </row>
    <row r="456" ht="15.75" customHeight="1">
      <c r="B456" s="184"/>
      <c r="C456" s="53"/>
      <c r="D456" s="184"/>
      <c r="E456" s="184"/>
      <c r="F456" s="184"/>
    </row>
    <row r="457" ht="15.75" customHeight="1">
      <c r="B457" s="184"/>
      <c r="C457" s="53"/>
      <c r="D457" s="184"/>
      <c r="E457" s="184"/>
      <c r="F457" s="184"/>
    </row>
    <row r="458" ht="15.75" customHeight="1">
      <c r="B458" s="184"/>
      <c r="C458" s="53"/>
      <c r="D458" s="184"/>
      <c r="E458" s="184"/>
      <c r="F458" s="184"/>
    </row>
    <row r="459" ht="15.75" customHeight="1">
      <c r="B459" s="184"/>
      <c r="C459" s="53"/>
      <c r="D459" s="184"/>
      <c r="E459" s="184"/>
      <c r="F459" s="184"/>
    </row>
    <row r="460" ht="15.75" customHeight="1">
      <c r="B460" s="184"/>
      <c r="C460" s="53"/>
      <c r="D460" s="184"/>
      <c r="E460" s="184"/>
      <c r="F460" s="184"/>
    </row>
    <row r="461" ht="15.75" customHeight="1">
      <c r="B461" s="184"/>
      <c r="C461" s="53"/>
      <c r="D461" s="184"/>
      <c r="E461" s="184"/>
      <c r="F461" s="184"/>
    </row>
    <row r="462" ht="15.75" customHeight="1">
      <c r="B462" s="184"/>
      <c r="C462" s="53"/>
      <c r="D462" s="184"/>
      <c r="E462" s="184"/>
      <c r="F462" s="184"/>
    </row>
    <row r="463" ht="15.75" customHeight="1">
      <c r="B463" s="184"/>
      <c r="C463" s="53"/>
      <c r="D463" s="184"/>
      <c r="E463" s="184"/>
      <c r="F463" s="184"/>
    </row>
    <row r="464" ht="15.75" customHeight="1">
      <c r="B464" s="184"/>
      <c r="C464" s="53"/>
      <c r="D464" s="184"/>
      <c r="E464" s="184"/>
      <c r="F464" s="184"/>
    </row>
    <row r="465" ht="15.75" customHeight="1">
      <c r="B465" s="184"/>
      <c r="C465" s="53"/>
      <c r="D465" s="184"/>
      <c r="E465" s="184"/>
      <c r="F465" s="184"/>
    </row>
    <row r="466" ht="15.75" customHeight="1">
      <c r="B466" s="184"/>
      <c r="C466" s="53"/>
      <c r="D466" s="184"/>
      <c r="E466" s="184"/>
      <c r="F466" s="184"/>
    </row>
    <row r="467" ht="15.75" customHeight="1">
      <c r="B467" s="184"/>
      <c r="C467" s="53"/>
      <c r="D467" s="184"/>
      <c r="E467" s="184"/>
      <c r="F467" s="184"/>
    </row>
    <row r="468" ht="15.75" customHeight="1">
      <c r="B468" s="184"/>
      <c r="C468" s="53"/>
      <c r="D468" s="184"/>
      <c r="E468" s="184"/>
      <c r="F468" s="184"/>
    </row>
    <row r="469" ht="15.75" customHeight="1">
      <c r="B469" s="184"/>
      <c r="C469" s="53"/>
      <c r="D469" s="184"/>
      <c r="E469" s="184"/>
      <c r="F469" s="184"/>
    </row>
    <row r="470" ht="15.75" customHeight="1">
      <c r="B470" s="184"/>
      <c r="C470" s="53"/>
      <c r="D470" s="184"/>
      <c r="E470" s="184"/>
      <c r="F470" s="184"/>
    </row>
    <row r="471" ht="15.75" customHeight="1">
      <c r="B471" s="184"/>
      <c r="C471" s="53"/>
      <c r="D471" s="184"/>
      <c r="E471" s="184"/>
      <c r="F471" s="184"/>
    </row>
    <row r="472" ht="15.75" customHeight="1">
      <c r="B472" s="184"/>
      <c r="C472" s="53"/>
      <c r="D472" s="184"/>
      <c r="E472" s="184"/>
      <c r="F472" s="184"/>
    </row>
    <row r="473" ht="15.75" customHeight="1">
      <c r="B473" s="184"/>
      <c r="C473" s="53"/>
      <c r="D473" s="184"/>
      <c r="E473" s="184"/>
      <c r="F473" s="184"/>
    </row>
    <row r="474" ht="15.75" customHeight="1">
      <c r="B474" s="184"/>
      <c r="C474" s="53"/>
      <c r="D474" s="184"/>
      <c r="E474" s="184"/>
      <c r="F474" s="184"/>
    </row>
    <row r="475" ht="15.75" customHeight="1">
      <c r="B475" s="184"/>
      <c r="C475" s="53"/>
      <c r="D475" s="184"/>
      <c r="E475" s="184"/>
      <c r="F475" s="184"/>
    </row>
    <row r="476" ht="15.75" customHeight="1">
      <c r="B476" s="184"/>
      <c r="C476" s="53"/>
      <c r="D476" s="184"/>
      <c r="E476" s="184"/>
      <c r="F476" s="184"/>
    </row>
    <row r="477" ht="15.75" customHeight="1">
      <c r="B477" s="184"/>
      <c r="C477" s="53"/>
      <c r="D477" s="184"/>
      <c r="E477" s="184"/>
      <c r="F477" s="184"/>
    </row>
    <row r="478" ht="15.75" customHeight="1">
      <c r="B478" s="184"/>
      <c r="C478" s="53"/>
      <c r="D478" s="184"/>
      <c r="E478" s="184"/>
      <c r="F478" s="184"/>
    </row>
    <row r="479" ht="15.75" customHeight="1">
      <c r="B479" s="184"/>
      <c r="C479" s="53"/>
      <c r="D479" s="184"/>
      <c r="E479" s="184"/>
      <c r="F479" s="184"/>
    </row>
    <row r="480" ht="15.75" customHeight="1">
      <c r="B480" s="184"/>
      <c r="C480" s="53"/>
      <c r="D480" s="184"/>
      <c r="E480" s="184"/>
      <c r="F480" s="184"/>
    </row>
    <row r="481" ht="15.75" customHeight="1">
      <c r="B481" s="184"/>
      <c r="C481" s="53"/>
      <c r="D481" s="184"/>
      <c r="E481" s="184"/>
      <c r="F481" s="184"/>
    </row>
    <row r="482" ht="15.75" customHeight="1">
      <c r="B482" s="184"/>
      <c r="C482" s="53"/>
      <c r="D482" s="184"/>
      <c r="E482" s="184"/>
      <c r="F482" s="184"/>
    </row>
    <row r="483" ht="15.75" customHeight="1">
      <c r="B483" s="184"/>
      <c r="C483" s="53"/>
      <c r="D483" s="184"/>
      <c r="E483" s="184"/>
      <c r="F483" s="184"/>
    </row>
    <row r="484" ht="15.75" customHeight="1">
      <c r="B484" s="184"/>
      <c r="C484" s="53"/>
      <c r="D484" s="184"/>
      <c r="E484" s="184"/>
      <c r="F484" s="184"/>
    </row>
    <row r="485" ht="15.75" customHeight="1">
      <c r="B485" s="184"/>
      <c r="C485" s="53"/>
      <c r="D485" s="184"/>
      <c r="E485" s="184"/>
      <c r="F485" s="184"/>
    </row>
    <row r="486" ht="15.75" customHeight="1">
      <c r="B486" s="184"/>
      <c r="C486" s="53"/>
      <c r="D486" s="184"/>
      <c r="E486" s="184"/>
      <c r="F486" s="184"/>
    </row>
    <row r="487" ht="15.75" customHeight="1">
      <c r="B487" s="184"/>
      <c r="C487" s="53"/>
      <c r="D487" s="184"/>
      <c r="E487" s="184"/>
      <c r="F487" s="184"/>
    </row>
    <row r="488" ht="15.75" customHeight="1">
      <c r="B488" s="184"/>
      <c r="C488" s="53"/>
      <c r="D488" s="184"/>
      <c r="E488" s="184"/>
      <c r="F488" s="184"/>
    </row>
    <row r="489" ht="15.75" customHeight="1">
      <c r="B489" s="184"/>
      <c r="C489" s="53"/>
      <c r="D489" s="184"/>
      <c r="E489" s="184"/>
      <c r="F489" s="184"/>
    </row>
    <row r="490" ht="15.75" customHeight="1">
      <c r="B490" s="184"/>
      <c r="C490" s="53"/>
      <c r="D490" s="184"/>
      <c r="E490" s="184"/>
      <c r="F490" s="184"/>
    </row>
    <row r="491" ht="15.75" customHeight="1">
      <c r="B491" s="184"/>
      <c r="C491" s="53"/>
      <c r="D491" s="184"/>
      <c r="E491" s="184"/>
      <c r="F491" s="184"/>
    </row>
    <row r="492" ht="15.75" customHeight="1">
      <c r="B492" s="184"/>
      <c r="C492" s="53"/>
      <c r="D492" s="184"/>
      <c r="E492" s="184"/>
      <c r="F492" s="184"/>
    </row>
    <row r="493" ht="15.75" customHeight="1">
      <c r="B493" s="184"/>
      <c r="C493" s="53"/>
      <c r="D493" s="184"/>
      <c r="E493" s="184"/>
      <c r="F493" s="184"/>
    </row>
    <row r="494" ht="15.75" customHeight="1">
      <c r="B494" s="184"/>
      <c r="C494" s="53"/>
      <c r="D494" s="184"/>
      <c r="E494" s="184"/>
      <c r="F494" s="184"/>
    </row>
    <row r="495" ht="15.75" customHeight="1">
      <c r="B495" s="184"/>
      <c r="C495" s="53"/>
      <c r="D495" s="184"/>
      <c r="E495" s="184"/>
      <c r="F495" s="184"/>
    </row>
    <row r="496" ht="15.75" customHeight="1">
      <c r="B496" s="184"/>
      <c r="C496" s="53"/>
      <c r="D496" s="184"/>
      <c r="E496" s="184"/>
      <c r="F496" s="184"/>
    </row>
    <row r="497" ht="15.75" customHeight="1">
      <c r="B497" s="184"/>
      <c r="C497" s="53"/>
      <c r="D497" s="184"/>
      <c r="E497" s="184"/>
      <c r="F497" s="184"/>
    </row>
    <row r="498" ht="15.75" customHeight="1">
      <c r="B498" s="184"/>
      <c r="C498" s="53"/>
      <c r="D498" s="184"/>
      <c r="E498" s="184"/>
      <c r="F498" s="184"/>
    </row>
    <row r="499" ht="15.75" customHeight="1">
      <c r="B499" s="184"/>
      <c r="C499" s="53"/>
      <c r="D499" s="184"/>
      <c r="E499" s="184"/>
      <c r="F499" s="184"/>
    </row>
    <row r="500" ht="15.75" customHeight="1">
      <c r="B500" s="184"/>
      <c r="C500" s="53"/>
      <c r="D500" s="184"/>
      <c r="E500" s="184"/>
      <c r="F500" s="184"/>
    </row>
    <row r="501" ht="15.75" customHeight="1">
      <c r="B501" s="184"/>
      <c r="C501" s="53"/>
      <c r="D501" s="184"/>
      <c r="E501" s="184"/>
      <c r="F501" s="184"/>
    </row>
    <row r="502" ht="15.75" customHeight="1">
      <c r="B502" s="184"/>
      <c r="C502" s="53"/>
      <c r="D502" s="184"/>
      <c r="E502" s="184"/>
      <c r="F502" s="184"/>
    </row>
    <row r="503" ht="15.75" customHeight="1">
      <c r="B503" s="184"/>
      <c r="C503" s="53"/>
      <c r="D503" s="184"/>
      <c r="E503" s="184"/>
      <c r="F503" s="184"/>
    </row>
    <row r="504" ht="15.75" customHeight="1">
      <c r="B504" s="184"/>
      <c r="C504" s="53"/>
      <c r="D504" s="184"/>
      <c r="E504" s="184"/>
      <c r="F504" s="184"/>
    </row>
    <row r="505" ht="15.75" customHeight="1">
      <c r="B505" s="184"/>
      <c r="C505" s="53"/>
      <c r="D505" s="184"/>
      <c r="E505" s="184"/>
      <c r="F505" s="184"/>
    </row>
    <row r="506" ht="15.75" customHeight="1">
      <c r="B506" s="184"/>
      <c r="C506" s="53"/>
      <c r="D506" s="184"/>
      <c r="E506" s="184"/>
      <c r="F506" s="184"/>
    </row>
    <row r="507" ht="15.75" customHeight="1">
      <c r="B507" s="184"/>
      <c r="C507" s="53"/>
      <c r="D507" s="184"/>
      <c r="E507" s="184"/>
      <c r="F507" s="184"/>
    </row>
    <row r="508" ht="15.75" customHeight="1">
      <c r="B508" s="184"/>
      <c r="C508" s="53"/>
      <c r="D508" s="184"/>
      <c r="E508" s="184"/>
      <c r="F508" s="184"/>
    </row>
    <row r="509" ht="15.75" customHeight="1">
      <c r="B509" s="184"/>
      <c r="C509" s="53"/>
      <c r="D509" s="184"/>
      <c r="E509" s="184"/>
      <c r="F509" s="184"/>
    </row>
    <row r="510" ht="15.75" customHeight="1">
      <c r="B510" s="184"/>
      <c r="C510" s="53"/>
      <c r="D510" s="184"/>
      <c r="E510" s="184"/>
      <c r="F510" s="184"/>
    </row>
    <row r="511" ht="15.75" customHeight="1">
      <c r="B511" s="184"/>
      <c r="C511" s="53"/>
      <c r="D511" s="184"/>
      <c r="E511" s="184"/>
      <c r="F511" s="184"/>
    </row>
    <row r="512" ht="15.75" customHeight="1">
      <c r="B512" s="184"/>
      <c r="C512" s="53"/>
      <c r="D512" s="184"/>
      <c r="E512" s="184"/>
      <c r="F512" s="184"/>
    </row>
    <row r="513" ht="15.75" customHeight="1">
      <c r="B513" s="184"/>
      <c r="C513" s="53"/>
      <c r="D513" s="184"/>
      <c r="E513" s="184"/>
      <c r="F513" s="184"/>
    </row>
    <row r="514" ht="15.75" customHeight="1">
      <c r="B514" s="184"/>
      <c r="C514" s="53"/>
      <c r="D514" s="184"/>
      <c r="E514" s="184"/>
      <c r="F514" s="184"/>
    </row>
    <row r="515" ht="15.75" customHeight="1">
      <c r="B515" s="184"/>
      <c r="C515" s="53"/>
      <c r="D515" s="184"/>
      <c r="E515" s="184"/>
      <c r="F515" s="184"/>
    </row>
    <row r="516" ht="15.75" customHeight="1">
      <c r="B516" s="184"/>
      <c r="C516" s="53"/>
      <c r="D516" s="184"/>
      <c r="E516" s="184"/>
      <c r="F516" s="184"/>
    </row>
    <row r="517" ht="15.75" customHeight="1">
      <c r="B517" s="184"/>
      <c r="C517" s="53"/>
      <c r="D517" s="184"/>
      <c r="E517" s="184"/>
      <c r="F517" s="184"/>
    </row>
    <row r="518" ht="15.75" customHeight="1">
      <c r="B518" s="184"/>
      <c r="C518" s="53"/>
      <c r="D518" s="184"/>
      <c r="E518" s="184"/>
      <c r="F518" s="184"/>
    </row>
    <row r="519" ht="15.75" customHeight="1">
      <c r="B519" s="184"/>
      <c r="C519" s="53"/>
      <c r="D519" s="184"/>
      <c r="E519" s="184"/>
      <c r="F519" s="184"/>
    </row>
    <row r="520" ht="15.75" customHeight="1">
      <c r="B520" s="184"/>
      <c r="C520" s="53"/>
      <c r="D520" s="184"/>
      <c r="E520" s="184"/>
      <c r="F520" s="184"/>
    </row>
    <row r="521" ht="15.75" customHeight="1">
      <c r="B521" s="184"/>
      <c r="C521" s="53"/>
      <c r="D521" s="184"/>
      <c r="E521" s="184"/>
      <c r="F521" s="184"/>
    </row>
    <row r="522" ht="15.75" customHeight="1">
      <c r="B522" s="184"/>
      <c r="C522" s="53"/>
      <c r="D522" s="184"/>
      <c r="E522" s="184"/>
      <c r="F522" s="184"/>
    </row>
    <row r="523" ht="15.75" customHeight="1">
      <c r="B523" s="184"/>
      <c r="C523" s="53"/>
      <c r="D523" s="184"/>
      <c r="E523" s="184"/>
      <c r="F523" s="184"/>
    </row>
    <row r="524" ht="15.75" customHeight="1">
      <c r="B524" s="184"/>
      <c r="C524" s="53"/>
      <c r="D524" s="184"/>
      <c r="E524" s="184"/>
      <c r="F524" s="184"/>
    </row>
    <row r="525" ht="15.75" customHeight="1">
      <c r="B525" s="184"/>
      <c r="C525" s="53"/>
      <c r="D525" s="184"/>
      <c r="E525" s="184"/>
      <c r="F525" s="184"/>
    </row>
    <row r="526" ht="15.75" customHeight="1">
      <c r="B526" s="184"/>
      <c r="C526" s="53"/>
      <c r="D526" s="184"/>
      <c r="E526" s="184"/>
      <c r="F526" s="184"/>
    </row>
    <row r="527" ht="15.75" customHeight="1">
      <c r="B527" s="184"/>
      <c r="C527" s="53"/>
      <c r="D527" s="184"/>
      <c r="E527" s="184"/>
      <c r="F527" s="184"/>
    </row>
    <row r="528" ht="15.75" customHeight="1">
      <c r="B528" s="184"/>
      <c r="C528" s="53"/>
      <c r="D528" s="184"/>
      <c r="E528" s="184"/>
      <c r="F528" s="184"/>
    </row>
    <row r="529" ht="15.75" customHeight="1">
      <c r="B529" s="184"/>
      <c r="C529" s="53"/>
      <c r="D529" s="184"/>
      <c r="E529" s="184"/>
      <c r="F529" s="184"/>
    </row>
    <row r="530" ht="15.75" customHeight="1">
      <c r="B530" s="184"/>
      <c r="C530" s="53"/>
      <c r="D530" s="184"/>
      <c r="E530" s="184"/>
      <c r="F530" s="184"/>
    </row>
    <row r="531" ht="15.75" customHeight="1">
      <c r="B531" s="184"/>
      <c r="C531" s="53"/>
      <c r="D531" s="184"/>
      <c r="E531" s="184"/>
      <c r="F531" s="184"/>
    </row>
    <row r="532" ht="15.75" customHeight="1">
      <c r="B532" s="184"/>
      <c r="C532" s="53"/>
      <c r="D532" s="184"/>
      <c r="E532" s="184"/>
      <c r="F532" s="184"/>
    </row>
    <row r="533" ht="15.75" customHeight="1">
      <c r="B533" s="184"/>
      <c r="C533" s="53"/>
      <c r="D533" s="184"/>
      <c r="E533" s="184"/>
      <c r="F533" s="184"/>
    </row>
    <row r="534" ht="15.75" customHeight="1">
      <c r="B534" s="184"/>
      <c r="C534" s="53"/>
      <c r="D534" s="184"/>
      <c r="E534" s="184"/>
      <c r="F534" s="184"/>
    </row>
    <row r="535" ht="15.75" customHeight="1">
      <c r="B535" s="184"/>
      <c r="C535" s="53"/>
      <c r="D535" s="184"/>
      <c r="E535" s="184"/>
      <c r="F535" s="184"/>
    </row>
    <row r="536" ht="15.75" customHeight="1">
      <c r="B536" s="184"/>
      <c r="C536" s="53"/>
      <c r="D536" s="184"/>
      <c r="E536" s="184"/>
      <c r="F536" s="184"/>
    </row>
    <row r="537" ht="15.75" customHeight="1">
      <c r="B537" s="184"/>
      <c r="C537" s="53"/>
      <c r="D537" s="184"/>
      <c r="E537" s="184"/>
      <c r="F537" s="184"/>
    </row>
    <row r="538" ht="15.75" customHeight="1">
      <c r="B538" s="184"/>
      <c r="C538" s="53"/>
      <c r="D538" s="184"/>
      <c r="E538" s="184"/>
      <c r="F538" s="184"/>
    </row>
    <row r="539" ht="15.75" customHeight="1">
      <c r="B539" s="184"/>
      <c r="C539" s="53"/>
      <c r="D539" s="184"/>
      <c r="E539" s="184"/>
      <c r="F539" s="184"/>
    </row>
    <row r="540" ht="15.75" customHeight="1">
      <c r="B540" s="184"/>
      <c r="C540" s="53"/>
      <c r="D540" s="184"/>
      <c r="E540" s="184"/>
      <c r="F540" s="184"/>
    </row>
    <row r="541" ht="15.75" customHeight="1">
      <c r="B541" s="184"/>
      <c r="C541" s="53"/>
      <c r="D541" s="184"/>
      <c r="E541" s="184"/>
      <c r="F541" s="184"/>
    </row>
    <row r="542" ht="15.75" customHeight="1">
      <c r="B542" s="184"/>
      <c r="C542" s="53"/>
      <c r="D542" s="184"/>
      <c r="E542" s="184"/>
      <c r="F542" s="184"/>
    </row>
    <row r="543" ht="15.75" customHeight="1">
      <c r="B543" s="184"/>
      <c r="C543" s="53"/>
      <c r="D543" s="184"/>
      <c r="E543" s="184"/>
      <c r="F543" s="184"/>
    </row>
    <row r="544" ht="15.75" customHeight="1">
      <c r="B544" s="184"/>
      <c r="C544" s="53"/>
      <c r="D544" s="184"/>
      <c r="E544" s="184"/>
      <c r="F544" s="184"/>
    </row>
    <row r="545" ht="15.75" customHeight="1">
      <c r="B545" s="184"/>
      <c r="C545" s="53"/>
      <c r="D545" s="184"/>
      <c r="E545" s="184"/>
      <c r="F545" s="184"/>
    </row>
    <row r="546" ht="15.75" customHeight="1">
      <c r="B546" s="184"/>
      <c r="C546" s="53"/>
      <c r="D546" s="184"/>
      <c r="E546" s="184"/>
      <c r="F546" s="184"/>
    </row>
    <row r="547" ht="15.75" customHeight="1">
      <c r="B547" s="184"/>
      <c r="C547" s="53"/>
      <c r="D547" s="184"/>
      <c r="E547" s="184"/>
      <c r="F547" s="184"/>
    </row>
    <row r="548" ht="15.75" customHeight="1">
      <c r="B548" s="184"/>
      <c r="C548" s="53"/>
      <c r="D548" s="184"/>
      <c r="E548" s="184"/>
      <c r="F548" s="184"/>
    </row>
    <row r="549" ht="15.75" customHeight="1">
      <c r="B549" s="184"/>
      <c r="C549" s="53"/>
      <c r="D549" s="184"/>
      <c r="E549" s="184"/>
      <c r="F549" s="184"/>
    </row>
    <row r="550" ht="15.75" customHeight="1">
      <c r="B550" s="184"/>
      <c r="C550" s="53"/>
      <c r="D550" s="184"/>
      <c r="E550" s="184"/>
      <c r="F550" s="184"/>
    </row>
    <row r="551" ht="15.75" customHeight="1">
      <c r="B551" s="184"/>
      <c r="C551" s="53"/>
      <c r="D551" s="184"/>
      <c r="E551" s="184"/>
      <c r="F551" s="184"/>
    </row>
    <row r="552" ht="15.75" customHeight="1">
      <c r="B552" s="184"/>
      <c r="C552" s="53"/>
      <c r="D552" s="184"/>
      <c r="E552" s="184"/>
      <c r="F552" s="184"/>
    </row>
    <row r="553" ht="15.75" customHeight="1">
      <c r="B553" s="184"/>
      <c r="C553" s="53"/>
      <c r="D553" s="184"/>
      <c r="E553" s="184"/>
      <c r="F553" s="184"/>
    </row>
    <row r="554" ht="15.75" customHeight="1">
      <c r="B554" s="184"/>
      <c r="C554" s="53"/>
      <c r="D554" s="184"/>
      <c r="E554" s="184"/>
      <c r="F554" s="184"/>
    </row>
    <row r="555" ht="15.75" customHeight="1">
      <c r="B555" s="184"/>
      <c r="C555" s="53"/>
      <c r="D555" s="184"/>
      <c r="E555" s="184"/>
      <c r="F555" s="184"/>
    </row>
    <row r="556" ht="15.75" customHeight="1">
      <c r="B556" s="184"/>
      <c r="C556" s="53"/>
      <c r="D556" s="184"/>
      <c r="E556" s="184"/>
      <c r="F556" s="184"/>
    </row>
    <row r="557" ht="15.75" customHeight="1">
      <c r="B557" s="184"/>
      <c r="C557" s="53"/>
      <c r="D557" s="184"/>
      <c r="E557" s="184"/>
      <c r="F557" s="184"/>
    </row>
    <row r="558" ht="15.75" customHeight="1">
      <c r="B558" s="184"/>
      <c r="C558" s="53"/>
      <c r="D558" s="184"/>
      <c r="E558" s="184"/>
      <c r="F558" s="184"/>
    </row>
    <row r="559" ht="15.75" customHeight="1">
      <c r="B559" s="184"/>
      <c r="C559" s="53"/>
      <c r="D559" s="184"/>
      <c r="E559" s="184"/>
      <c r="F559" s="184"/>
    </row>
    <row r="560" ht="15.75" customHeight="1">
      <c r="B560" s="184"/>
      <c r="C560" s="53"/>
      <c r="D560" s="184"/>
      <c r="E560" s="184"/>
      <c r="F560" s="184"/>
    </row>
    <row r="561" ht="15.75" customHeight="1">
      <c r="B561" s="184"/>
      <c r="C561" s="53"/>
      <c r="D561" s="184"/>
      <c r="E561" s="184"/>
      <c r="F561" s="184"/>
    </row>
    <row r="562" ht="15.75" customHeight="1">
      <c r="B562" s="184"/>
      <c r="C562" s="53"/>
      <c r="D562" s="184"/>
      <c r="E562" s="184"/>
      <c r="F562" s="184"/>
    </row>
    <row r="563" ht="15.75" customHeight="1">
      <c r="B563" s="184"/>
      <c r="C563" s="53"/>
      <c r="D563" s="184"/>
      <c r="E563" s="184"/>
      <c r="F563" s="184"/>
    </row>
    <row r="564" ht="15.75" customHeight="1">
      <c r="B564" s="184"/>
      <c r="C564" s="53"/>
      <c r="D564" s="184"/>
      <c r="E564" s="184"/>
      <c r="F564" s="184"/>
    </row>
    <row r="565" ht="15.75" customHeight="1">
      <c r="B565" s="184"/>
      <c r="C565" s="53"/>
      <c r="D565" s="184"/>
      <c r="E565" s="184"/>
      <c r="F565" s="184"/>
    </row>
    <row r="566" ht="15.75" customHeight="1">
      <c r="B566" s="184"/>
      <c r="C566" s="53"/>
      <c r="D566" s="184"/>
      <c r="E566" s="184"/>
      <c r="F566" s="184"/>
    </row>
    <row r="567" ht="15.75" customHeight="1">
      <c r="B567" s="184"/>
      <c r="C567" s="53"/>
      <c r="D567" s="184"/>
      <c r="E567" s="184"/>
      <c r="F567" s="184"/>
    </row>
    <row r="568" ht="15.75" customHeight="1">
      <c r="B568" s="184"/>
      <c r="C568" s="53"/>
      <c r="D568" s="184"/>
      <c r="E568" s="184"/>
      <c r="F568" s="184"/>
    </row>
    <row r="569" ht="15.75" customHeight="1">
      <c r="B569" s="184"/>
      <c r="C569" s="53"/>
      <c r="D569" s="184"/>
      <c r="E569" s="184"/>
      <c r="F569" s="184"/>
    </row>
    <row r="570" ht="15.75" customHeight="1">
      <c r="B570" s="184"/>
      <c r="C570" s="53"/>
      <c r="D570" s="184"/>
      <c r="E570" s="184"/>
      <c r="F570" s="184"/>
    </row>
    <row r="571" ht="15.75" customHeight="1">
      <c r="B571" s="184"/>
      <c r="C571" s="53"/>
      <c r="D571" s="184"/>
      <c r="E571" s="184"/>
      <c r="F571" s="184"/>
    </row>
    <row r="572" ht="15.75" customHeight="1">
      <c r="B572" s="184"/>
      <c r="C572" s="53"/>
      <c r="D572" s="184"/>
      <c r="E572" s="184"/>
      <c r="F572" s="184"/>
    </row>
    <row r="573" ht="15.75" customHeight="1">
      <c r="B573" s="184"/>
      <c r="C573" s="53"/>
      <c r="D573" s="184"/>
      <c r="E573" s="184"/>
      <c r="F573" s="184"/>
    </row>
    <row r="574" ht="15.75" customHeight="1">
      <c r="B574" s="184"/>
      <c r="C574" s="53"/>
      <c r="D574" s="184"/>
      <c r="E574" s="184"/>
      <c r="F574" s="184"/>
    </row>
    <row r="575" ht="15.75" customHeight="1">
      <c r="B575" s="184"/>
      <c r="C575" s="53"/>
      <c r="D575" s="184"/>
      <c r="E575" s="184"/>
      <c r="F575" s="184"/>
    </row>
    <row r="576" ht="15.75" customHeight="1">
      <c r="B576" s="184"/>
      <c r="C576" s="53"/>
      <c r="D576" s="184"/>
      <c r="E576" s="184"/>
      <c r="F576" s="184"/>
    </row>
    <row r="577" ht="15.75" customHeight="1">
      <c r="B577" s="184"/>
      <c r="C577" s="53"/>
      <c r="D577" s="184"/>
      <c r="E577" s="184"/>
      <c r="F577" s="184"/>
    </row>
    <row r="578" ht="15.75" customHeight="1">
      <c r="B578" s="184"/>
      <c r="C578" s="53"/>
      <c r="D578" s="184"/>
      <c r="E578" s="184"/>
      <c r="F578" s="184"/>
    </row>
    <row r="579" ht="15.75" customHeight="1">
      <c r="B579" s="184"/>
      <c r="C579" s="53"/>
      <c r="D579" s="184"/>
      <c r="E579" s="184"/>
      <c r="F579" s="184"/>
    </row>
    <row r="580" ht="15.75" customHeight="1">
      <c r="B580" s="184"/>
      <c r="C580" s="53"/>
      <c r="D580" s="184"/>
      <c r="E580" s="184"/>
      <c r="F580" s="184"/>
    </row>
    <row r="581" ht="15.75" customHeight="1">
      <c r="B581" s="184"/>
      <c r="C581" s="53"/>
      <c r="D581" s="184"/>
      <c r="E581" s="184"/>
      <c r="F581" s="184"/>
    </row>
    <row r="582" ht="15.75" customHeight="1">
      <c r="B582" s="184"/>
      <c r="C582" s="53"/>
      <c r="D582" s="184"/>
      <c r="E582" s="184"/>
      <c r="F582" s="184"/>
    </row>
    <row r="583" ht="15.75" customHeight="1">
      <c r="B583" s="184"/>
      <c r="C583" s="53"/>
      <c r="D583" s="184"/>
      <c r="E583" s="184"/>
      <c r="F583" s="184"/>
    </row>
    <row r="584" ht="15.75" customHeight="1">
      <c r="B584" s="184"/>
      <c r="C584" s="53"/>
      <c r="D584" s="184"/>
      <c r="E584" s="184"/>
      <c r="F584" s="184"/>
    </row>
    <row r="585" ht="15.75" customHeight="1">
      <c r="B585" s="184"/>
      <c r="C585" s="53"/>
      <c r="D585" s="184"/>
      <c r="E585" s="184"/>
      <c r="F585" s="184"/>
    </row>
    <row r="586" ht="15.75" customHeight="1">
      <c r="B586" s="184"/>
      <c r="C586" s="53"/>
      <c r="D586" s="184"/>
      <c r="E586" s="184"/>
      <c r="F586" s="184"/>
    </row>
    <row r="587" ht="15.75" customHeight="1">
      <c r="B587" s="184"/>
      <c r="C587" s="53"/>
      <c r="D587" s="184"/>
      <c r="E587" s="184"/>
      <c r="F587" s="184"/>
    </row>
    <row r="588" ht="15.75" customHeight="1">
      <c r="B588" s="184"/>
      <c r="C588" s="53"/>
      <c r="D588" s="184"/>
      <c r="E588" s="184"/>
      <c r="F588" s="184"/>
    </row>
    <row r="589" ht="15.75" customHeight="1">
      <c r="B589" s="184"/>
      <c r="C589" s="53"/>
      <c r="D589" s="184"/>
      <c r="E589" s="184"/>
      <c r="F589" s="184"/>
    </row>
    <row r="590" ht="15.75" customHeight="1">
      <c r="B590" s="184"/>
      <c r="C590" s="53"/>
      <c r="D590" s="184"/>
      <c r="E590" s="184"/>
      <c r="F590" s="184"/>
    </row>
    <row r="591" ht="15.75" customHeight="1">
      <c r="B591" s="184"/>
      <c r="C591" s="53"/>
      <c r="D591" s="184"/>
      <c r="E591" s="184"/>
      <c r="F591" s="184"/>
    </row>
    <row r="592" ht="15.75" customHeight="1">
      <c r="B592" s="184"/>
      <c r="C592" s="53"/>
      <c r="D592" s="184"/>
      <c r="E592" s="184"/>
      <c r="F592" s="184"/>
    </row>
    <row r="593" ht="15.75" customHeight="1">
      <c r="B593" s="184"/>
      <c r="C593" s="53"/>
      <c r="D593" s="184"/>
      <c r="E593" s="184"/>
      <c r="F593" s="184"/>
    </row>
    <row r="594" ht="15.75" customHeight="1">
      <c r="B594" s="184"/>
      <c r="C594" s="53"/>
      <c r="D594" s="184"/>
      <c r="E594" s="184"/>
      <c r="F594" s="184"/>
    </row>
    <row r="595" ht="15.75" customHeight="1">
      <c r="B595" s="184"/>
      <c r="C595" s="53"/>
      <c r="D595" s="184"/>
      <c r="E595" s="184"/>
      <c r="F595" s="184"/>
    </row>
    <row r="596" ht="15.75" customHeight="1">
      <c r="B596" s="184"/>
      <c r="C596" s="53"/>
      <c r="D596" s="184"/>
      <c r="E596" s="184"/>
      <c r="F596" s="184"/>
    </row>
    <row r="597" ht="15.75" customHeight="1">
      <c r="B597" s="184"/>
      <c r="C597" s="53"/>
      <c r="D597" s="184"/>
      <c r="E597" s="184"/>
      <c r="F597" s="184"/>
    </row>
    <row r="598" ht="15.75" customHeight="1">
      <c r="B598" s="184"/>
      <c r="C598" s="53"/>
      <c r="D598" s="184"/>
      <c r="E598" s="184"/>
      <c r="F598" s="184"/>
    </row>
    <row r="599" ht="15.75" customHeight="1">
      <c r="B599" s="184"/>
      <c r="C599" s="53"/>
      <c r="D599" s="184"/>
      <c r="E599" s="184"/>
      <c r="F599" s="184"/>
    </row>
    <row r="600" ht="15.75" customHeight="1">
      <c r="B600" s="184"/>
      <c r="C600" s="53"/>
      <c r="D600" s="184"/>
      <c r="E600" s="184"/>
      <c r="F600" s="184"/>
    </row>
    <row r="601" ht="15.75" customHeight="1">
      <c r="B601" s="184"/>
      <c r="C601" s="53"/>
      <c r="D601" s="184"/>
      <c r="E601" s="184"/>
      <c r="F601" s="184"/>
    </row>
    <row r="602" ht="15.75" customHeight="1">
      <c r="B602" s="184"/>
      <c r="C602" s="53"/>
      <c r="D602" s="184"/>
      <c r="E602" s="184"/>
      <c r="F602" s="184"/>
    </row>
    <row r="603" ht="15.75" customHeight="1">
      <c r="B603" s="184"/>
      <c r="C603" s="53"/>
      <c r="D603" s="184"/>
      <c r="E603" s="184"/>
      <c r="F603" s="184"/>
    </row>
    <row r="604" ht="15.75" customHeight="1">
      <c r="B604" s="184"/>
      <c r="C604" s="53"/>
      <c r="D604" s="184"/>
      <c r="E604" s="184"/>
      <c r="F604" s="184"/>
    </row>
    <row r="605" ht="15.75" customHeight="1">
      <c r="B605" s="184"/>
      <c r="C605" s="53"/>
      <c r="D605" s="184"/>
      <c r="E605" s="184"/>
      <c r="F605" s="184"/>
    </row>
    <row r="606" ht="15.75" customHeight="1">
      <c r="B606" s="184"/>
      <c r="C606" s="53"/>
      <c r="D606" s="184"/>
      <c r="E606" s="184"/>
      <c r="F606" s="184"/>
    </row>
    <row r="607" ht="15.75" customHeight="1">
      <c r="B607" s="184"/>
      <c r="C607" s="53"/>
      <c r="D607" s="184"/>
      <c r="E607" s="184"/>
      <c r="F607" s="184"/>
    </row>
    <row r="608" ht="15.75" customHeight="1">
      <c r="B608" s="184"/>
      <c r="C608" s="53"/>
      <c r="D608" s="184"/>
      <c r="E608" s="184"/>
      <c r="F608" s="184"/>
    </row>
    <row r="609" ht="15.75" customHeight="1">
      <c r="B609" s="184"/>
      <c r="C609" s="53"/>
      <c r="D609" s="184"/>
      <c r="E609" s="184"/>
      <c r="F609" s="184"/>
    </row>
    <row r="610" ht="15.75" customHeight="1">
      <c r="B610" s="184"/>
      <c r="C610" s="53"/>
      <c r="D610" s="184"/>
      <c r="E610" s="184"/>
      <c r="F610" s="184"/>
    </row>
    <row r="611" ht="15.75" customHeight="1">
      <c r="B611" s="184"/>
      <c r="C611" s="53"/>
      <c r="D611" s="184"/>
      <c r="E611" s="184"/>
      <c r="F611" s="184"/>
    </row>
    <row r="612" ht="15.75" customHeight="1">
      <c r="B612" s="184"/>
      <c r="C612" s="53"/>
      <c r="D612" s="184"/>
      <c r="E612" s="184"/>
      <c r="F612" s="184"/>
    </row>
    <row r="613" ht="15.75" customHeight="1">
      <c r="B613" s="184"/>
      <c r="C613" s="53"/>
      <c r="D613" s="184"/>
      <c r="E613" s="184"/>
      <c r="F613" s="184"/>
    </row>
    <row r="614" ht="15.75" customHeight="1">
      <c r="B614" s="184"/>
      <c r="C614" s="53"/>
      <c r="D614" s="184"/>
      <c r="E614" s="184"/>
      <c r="F614" s="184"/>
    </row>
    <row r="615" ht="15.75" customHeight="1">
      <c r="B615" s="184"/>
      <c r="C615" s="53"/>
      <c r="D615" s="184"/>
      <c r="E615" s="184"/>
      <c r="F615" s="184"/>
    </row>
    <row r="616" ht="15.75" customHeight="1">
      <c r="B616" s="184"/>
      <c r="C616" s="53"/>
      <c r="D616" s="184"/>
      <c r="E616" s="184"/>
      <c r="F616" s="184"/>
    </row>
    <row r="617" ht="15.75" customHeight="1">
      <c r="B617" s="184"/>
      <c r="C617" s="53"/>
      <c r="D617" s="184"/>
      <c r="E617" s="184"/>
      <c r="F617" s="184"/>
    </row>
    <row r="618" ht="15.75" customHeight="1">
      <c r="B618" s="184"/>
      <c r="C618" s="53"/>
      <c r="D618" s="184"/>
      <c r="E618" s="184"/>
      <c r="F618" s="184"/>
    </row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9:C19"/>
    <mergeCell ref="B60:L60"/>
    <mergeCell ref="B61:L61"/>
    <mergeCell ref="B67:L67"/>
    <mergeCell ref="B72:L72"/>
    <mergeCell ref="B73:L73"/>
    <mergeCell ref="B79:L79"/>
    <mergeCell ref="Q1:Z1"/>
    <mergeCell ref="B2:F2"/>
    <mergeCell ref="B4:F4"/>
    <mergeCell ref="Q7:Z7"/>
    <mergeCell ref="B11:C11"/>
    <mergeCell ref="B12:C12"/>
    <mergeCell ref="B18:C18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21.13"/>
    <col customWidth="1" min="3" max="3" width="25.63"/>
    <col customWidth="1" min="4" max="6" width="12.63"/>
    <col customWidth="1" min="12" max="12" width="23.25"/>
    <col customWidth="1" min="13" max="13" width="32.5"/>
    <col customWidth="1" min="14" max="14" width="32.75"/>
    <col customWidth="1" min="15" max="15" width="25.0"/>
  </cols>
  <sheetData>
    <row r="1" ht="15.75" customHeight="1">
      <c r="A1" s="227" t="s">
        <v>824</v>
      </c>
      <c r="B1" s="8"/>
      <c r="C1" s="228" t="s">
        <v>825</v>
      </c>
      <c r="D1" s="228" t="s">
        <v>826</v>
      </c>
      <c r="J1" s="229" t="s">
        <v>827</v>
      </c>
      <c r="K1" s="230"/>
      <c r="L1" s="230"/>
      <c r="M1" s="229" t="s">
        <v>828</v>
      </c>
      <c r="N1" s="229" t="s">
        <v>829</v>
      </c>
      <c r="O1" s="231" t="s">
        <v>830</v>
      </c>
      <c r="P1" s="231" t="s">
        <v>831</v>
      </c>
    </row>
    <row r="2" ht="15.75" customHeight="1">
      <c r="A2" s="232" t="s">
        <v>832</v>
      </c>
      <c r="B2" s="232" t="s">
        <v>833</v>
      </c>
      <c r="C2" s="178" t="s">
        <v>834</v>
      </c>
      <c r="D2" s="233" t="s">
        <v>835</v>
      </c>
      <c r="J2" s="234" t="s">
        <v>836</v>
      </c>
      <c r="K2" s="234">
        <v>1.0</v>
      </c>
      <c r="L2" s="234" t="s">
        <v>837</v>
      </c>
      <c r="M2" s="234" t="s">
        <v>838</v>
      </c>
      <c r="N2" s="168" t="s">
        <v>834</v>
      </c>
      <c r="O2" s="235" t="s">
        <v>839</v>
      </c>
      <c r="P2" s="235" t="s">
        <v>840</v>
      </c>
    </row>
    <row r="3" ht="15.75" customHeight="1">
      <c r="A3" s="236" t="s">
        <v>660</v>
      </c>
      <c r="B3" s="236" t="s">
        <v>841</v>
      </c>
      <c r="C3" s="178" t="s">
        <v>842</v>
      </c>
      <c r="D3" s="237" t="s">
        <v>843</v>
      </c>
      <c r="J3" s="234" t="s">
        <v>844</v>
      </c>
      <c r="K3" s="234">
        <v>1.0</v>
      </c>
      <c r="L3" s="234" t="s">
        <v>845</v>
      </c>
      <c r="M3" s="234" t="s">
        <v>846</v>
      </c>
      <c r="N3" s="238" t="s">
        <v>842</v>
      </c>
      <c r="O3" s="235" t="s">
        <v>847</v>
      </c>
      <c r="P3" s="235" t="s">
        <v>848</v>
      </c>
    </row>
    <row r="4" ht="15.75" customHeight="1">
      <c r="A4" s="236" t="s">
        <v>849</v>
      </c>
      <c r="B4" s="236" t="s">
        <v>850</v>
      </c>
      <c r="C4" s="178" t="s">
        <v>792</v>
      </c>
      <c r="D4" s="237" t="s">
        <v>851</v>
      </c>
      <c r="J4" s="234" t="s">
        <v>852</v>
      </c>
      <c r="K4" s="234">
        <v>1.0</v>
      </c>
      <c r="L4" s="234" t="s">
        <v>853</v>
      </c>
      <c r="M4" s="234" t="s">
        <v>854</v>
      </c>
      <c r="N4" s="235" t="s">
        <v>792</v>
      </c>
      <c r="O4" s="235" t="s">
        <v>855</v>
      </c>
      <c r="P4" s="235" t="s">
        <v>856</v>
      </c>
    </row>
    <row r="5" ht="15.75" customHeight="1">
      <c r="A5" s="236" t="s">
        <v>857</v>
      </c>
      <c r="B5" s="236" t="s">
        <v>858</v>
      </c>
      <c r="C5" s="178" t="s">
        <v>349</v>
      </c>
      <c r="D5" s="237" t="s">
        <v>859</v>
      </c>
      <c r="J5" s="234" t="s">
        <v>836</v>
      </c>
      <c r="K5" s="234">
        <v>2.0</v>
      </c>
      <c r="L5" s="234" t="s">
        <v>860</v>
      </c>
      <c r="M5" s="234" t="s">
        <v>838</v>
      </c>
      <c r="N5" s="235" t="s">
        <v>349</v>
      </c>
      <c r="O5" s="235" t="s">
        <v>861</v>
      </c>
      <c r="P5" s="235" t="s">
        <v>862</v>
      </c>
    </row>
    <row r="6" ht="15.75" customHeight="1">
      <c r="A6" s="236" t="s">
        <v>863</v>
      </c>
      <c r="B6" s="236" t="s">
        <v>864</v>
      </c>
      <c r="C6" s="178" t="s">
        <v>865</v>
      </c>
      <c r="D6" s="237" t="s">
        <v>866</v>
      </c>
      <c r="J6" s="234" t="s">
        <v>852</v>
      </c>
      <c r="K6" s="234">
        <v>1.0</v>
      </c>
      <c r="L6" s="234" t="s">
        <v>867</v>
      </c>
      <c r="M6" s="234" t="s">
        <v>865</v>
      </c>
      <c r="N6" s="235" t="s">
        <v>865</v>
      </c>
      <c r="O6" s="235" t="s">
        <v>868</v>
      </c>
      <c r="P6" s="235" t="s">
        <v>869</v>
      </c>
    </row>
    <row r="7" ht="15.75" customHeight="1">
      <c r="A7" s="236" t="s">
        <v>870</v>
      </c>
      <c r="B7" s="236" t="s">
        <v>871</v>
      </c>
      <c r="C7" s="178" t="s">
        <v>872</v>
      </c>
      <c r="J7" s="234" t="s">
        <v>873</v>
      </c>
      <c r="K7" s="234">
        <v>1.0</v>
      </c>
      <c r="L7" s="234" t="s">
        <v>874</v>
      </c>
      <c r="M7" s="234" t="s">
        <v>875</v>
      </c>
      <c r="N7" s="235" t="s">
        <v>872</v>
      </c>
      <c r="O7" s="235" t="s">
        <v>876</v>
      </c>
      <c r="P7" s="235" t="s">
        <v>877</v>
      </c>
    </row>
    <row r="8" ht="15.75" customHeight="1">
      <c r="A8" s="236" t="s">
        <v>878</v>
      </c>
      <c r="B8" s="236" t="s">
        <v>879</v>
      </c>
      <c r="C8" s="178" t="s">
        <v>880</v>
      </c>
      <c r="J8" s="234" t="s">
        <v>844</v>
      </c>
      <c r="K8" s="234">
        <v>1.0</v>
      </c>
      <c r="L8" s="234" t="s">
        <v>881</v>
      </c>
      <c r="M8" s="234" t="s">
        <v>882</v>
      </c>
      <c r="N8" s="235" t="s">
        <v>880</v>
      </c>
      <c r="O8" s="235" t="s">
        <v>883</v>
      </c>
      <c r="P8" s="235" t="s">
        <v>884</v>
      </c>
    </row>
    <row r="9" ht="15.75" customHeight="1">
      <c r="A9" s="236" t="s">
        <v>885</v>
      </c>
      <c r="B9" s="236" t="s">
        <v>886</v>
      </c>
      <c r="C9" s="178" t="s">
        <v>887</v>
      </c>
      <c r="J9" s="234" t="s">
        <v>852</v>
      </c>
      <c r="K9" s="234">
        <v>1.0</v>
      </c>
      <c r="L9" s="234" t="s">
        <v>888</v>
      </c>
      <c r="M9" s="234" t="s">
        <v>889</v>
      </c>
      <c r="N9" s="235" t="s">
        <v>887</v>
      </c>
      <c r="O9" s="235" t="s">
        <v>890</v>
      </c>
      <c r="P9" s="235" t="s">
        <v>891</v>
      </c>
    </row>
    <row r="10" ht="15.75" customHeight="1">
      <c r="A10" s="236" t="s">
        <v>892</v>
      </c>
      <c r="B10" s="236" t="s">
        <v>893</v>
      </c>
      <c r="C10" s="178" t="s">
        <v>894</v>
      </c>
      <c r="J10" s="234" t="s">
        <v>852</v>
      </c>
      <c r="K10" s="234">
        <v>1.0</v>
      </c>
      <c r="L10" s="234" t="s">
        <v>895</v>
      </c>
      <c r="M10" s="234" t="s">
        <v>896</v>
      </c>
      <c r="N10" s="235" t="s">
        <v>894</v>
      </c>
      <c r="O10" s="235" t="s">
        <v>897</v>
      </c>
      <c r="P10" s="235" t="s">
        <v>898</v>
      </c>
    </row>
    <row r="11" ht="15.75" customHeight="1">
      <c r="A11" s="236" t="s">
        <v>899</v>
      </c>
      <c r="B11" s="236" t="s">
        <v>900</v>
      </c>
      <c r="C11" s="178" t="s">
        <v>901</v>
      </c>
      <c r="J11" s="234" t="s">
        <v>873</v>
      </c>
      <c r="K11" s="234">
        <v>2.0</v>
      </c>
      <c r="L11" s="234" t="s">
        <v>902</v>
      </c>
      <c r="M11" s="234" t="s">
        <v>875</v>
      </c>
      <c r="N11" s="235" t="s">
        <v>901</v>
      </c>
      <c r="O11" s="235" t="s">
        <v>903</v>
      </c>
      <c r="P11" s="235" t="s">
        <v>904</v>
      </c>
    </row>
    <row r="12" ht="15.75" customHeight="1">
      <c r="A12" s="236" t="s">
        <v>905</v>
      </c>
      <c r="B12" s="236" t="s">
        <v>906</v>
      </c>
      <c r="C12" s="178" t="s">
        <v>907</v>
      </c>
      <c r="J12" s="234" t="s">
        <v>844</v>
      </c>
      <c r="K12" s="234">
        <v>1.0</v>
      </c>
      <c r="L12" s="234" t="s">
        <v>908</v>
      </c>
      <c r="M12" s="234" t="s">
        <v>909</v>
      </c>
      <c r="N12" s="235" t="s">
        <v>907</v>
      </c>
      <c r="O12" s="235" t="s">
        <v>910</v>
      </c>
      <c r="P12" s="235" t="s">
        <v>911</v>
      </c>
    </row>
    <row r="13" ht="15.75" customHeight="1">
      <c r="A13" s="236" t="s">
        <v>912</v>
      </c>
      <c r="B13" s="236" t="s">
        <v>913</v>
      </c>
      <c r="C13" s="178" t="s">
        <v>536</v>
      </c>
      <c r="J13" s="234" t="s">
        <v>873</v>
      </c>
      <c r="K13" s="234">
        <v>1.0</v>
      </c>
      <c r="L13" s="234" t="s">
        <v>914</v>
      </c>
      <c r="M13" s="234" t="s">
        <v>873</v>
      </c>
      <c r="N13" s="235" t="s">
        <v>536</v>
      </c>
      <c r="O13" s="235" t="s">
        <v>915</v>
      </c>
      <c r="P13" s="235" t="s">
        <v>916</v>
      </c>
    </row>
    <row r="14" ht="15.75" customHeight="1">
      <c r="A14" s="236" t="s">
        <v>917</v>
      </c>
      <c r="B14" s="236" t="s">
        <v>918</v>
      </c>
      <c r="C14" s="178" t="s">
        <v>919</v>
      </c>
      <c r="J14" s="234" t="s">
        <v>844</v>
      </c>
      <c r="K14" s="234">
        <v>1.0</v>
      </c>
      <c r="L14" s="234" t="s">
        <v>920</v>
      </c>
      <c r="M14" s="234" t="s">
        <v>921</v>
      </c>
      <c r="N14" s="238" t="s">
        <v>919</v>
      </c>
      <c r="O14" s="235" t="s">
        <v>922</v>
      </c>
      <c r="P14" s="235" t="s">
        <v>923</v>
      </c>
    </row>
    <row r="15" ht="15.75" customHeight="1">
      <c r="A15" s="236" t="s">
        <v>924</v>
      </c>
      <c r="B15" s="236" t="s">
        <v>925</v>
      </c>
      <c r="C15" s="178" t="s">
        <v>926</v>
      </c>
      <c r="J15" s="234" t="s">
        <v>844</v>
      </c>
      <c r="K15" s="234">
        <v>1.0</v>
      </c>
      <c r="L15" s="234" t="s">
        <v>927</v>
      </c>
      <c r="M15" s="234" t="s">
        <v>928</v>
      </c>
      <c r="N15" s="235" t="s">
        <v>926</v>
      </c>
      <c r="O15" s="235" t="s">
        <v>929</v>
      </c>
      <c r="P15" s="235" t="s">
        <v>930</v>
      </c>
    </row>
    <row r="16" ht="15.75" customHeight="1">
      <c r="A16" s="236" t="s">
        <v>931</v>
      </c>
      <c r="B16" s="236" t="s">
        <v>932</v>
      </c>
      <c r="C16" s="178" t="s">
        <v>933</v>
      </c>
      <c r="J16" s="234" t="s">
        <v>844</v>
      </c>
      <c r="K16" s="234">
        <v>2.0</v>
      </c>
      <c r="L16" s="234" t="s">
        <v>934</v>
      </c>
      <c r="M16" s="234" t="s">
        <v>928</v>
      </c>
      <c r="N16" s="235" t="s">
        <v>933</v>
      </c>
      <c r="O16" s="235" t="s">
        <v>935</v>
      </c>
      <c r="P16" s="235" t="s">
        <v>936</v>
      </c>
    </row>
    <row r="17" ht="15.75" customHeight="1">
      <c r="A17" s="236" t="s">
        <v>937</v>
      </c>
      <c r="B17" s="236" t="s">
        <v>938</v>
      </c>
      <c r="C17" s="178" t="s">
        <v>939</v>
      </c>
      <c r="J17" s="234" t="s">
        <v>852</v>
      </c>
      <c r="K17" s="234">
        <v>2.0</v>
      </c>
      <c r="L17" s="234" t="s">
        <v>940</v>
      </c>
      <c r="M17" s="234" t="s">
        <v>854</v>
      </c>
      <c r="N17" s="235" t="s">
        <v>939</v>
      </c>
      <c r="O17" s="235" t="s">
        <v>941</v>
      </c>
      <c r="P17" s="235" t="s">
        <v>942</v>
      </c>
    </row>
    <row r="18" ht="15.75" customHeight="1">
      <c r="A18" s="236" t="s">
        <v>943</v>
      </c>
      <c r="B18" s="236" t="s">
        <v>944</v>
      </c>
      <c r="C18" s="178" t="s">
        <v>945</v>
      </c>
      <c r="J18" s="234" t="s">
        <v>836</v>
      </c>
      <c r="K18" s="234">
        <v>1.0</v>
      </c>
      <c r="L18" s="234" t="s">
        <v>946</v>
      </c>
      <c r="M18" s="234" t="s">
        <v>947</v>
      </c>
      <c r="N18" s="235" t="s">
        <v>945</v>
      </c>
      <c r="O18" s="235" t="s">
        <v>948</v>
      </c>
      <c r="P18" s="235" t="s">
        <v>949</v>
      </c>
    </row>
    <row r="19" ht="15.75" customHeight="1">
      <c r="A19" s="236" t="s">
        <v>950</v>
      </c>
      <c r="B19" s="236" t="s">
        <v>951</v>
      </c>
      <c r="C19" s="178" t="s">
        <v>952</v>
      </c>
      <c r="J19" s="234" t="s">
        <v>836</v>
      </c>
      <c r="K19" s="234">
        <v>1.0</v>
      </c>
      <c r="L19" s="234" t="s">
        <v>953</v>
      </c>
      <c r="M19" s="234" t="s">
        <v>954</v>
      </c>
      <c r="N19" s="235" t="s">
        <v>952</v>
      </c>
      <c r="O19" s="235" t="s">
        <v>955</v>
      </c>
      <c r="P19" s="235" t="s">
        <v>956</v>
      </c>
    </row>
    <row r="20" ht="15.75" customHeight="1">
      <c r="A20" s="236" t="s">
        <v>957</v>
      </c>
      <c r="B20" s="236" t="s">
        <v>958</v>
      </c>
      <c r="C20" s="178" t="s">
        <v>959</v>
      </c>
      <c r="J20" s="234" t="s">
        <v>844</v>
      </c>
      <c r="K20" s="234">
        <v>1.0</v>
      </c>
      <c r="L20" s="234" t="s">
        <v>960</v>
      </c>
      <c r="M20" s="234" t="s">
        <v>924</v>
      </c>
      <c r="N20" s="235" t="s">
        <v>959</v>
      </c>
      <c r="O20" s="235" t="s">
        <v>961</v>
      </c>
      <c r="P20" s="235" t="s">
        <v>962</v>
      </c>
    </row>
    <row r="21" ht="15.75" customHeight="1">
      <c r="A21" s="236" t="s">
        <v>963</v>
      </c>
      <c r="B21" s="236" t="s">
        <v>963</v>
      </c>
      <c r="C21" s="178" t="s">
        <v>964</v>
      </c>
      <c r="J21" s="234" t="s">
        <v>844</v>
      </c>
      <c r="K21" s="234">
        <v>2.0</v>
      </c>
      <c r="L21" s="234" t="s">
        <v>965</v>
      </c>
      <c r="M21" s="234" t="s">
        <v>924</v>
      </c>
      <c r="N21" s="235" t="s">
        <v>964</v>
      </c>
      <c r="O21" s="235" t="s">
        <v>966</v>
      </c>
      <c r="P21" s="235" t="s">
        <v>967</v>
      </c>
    </row>
    <row r="22" ht="15.75" customHeight="1">
      <c r="A22" s="236" t="s">
        <v>968</v>
      </c>
      <c r="B22" s="236" t="s">
        <v>969</v>
      </c>
      <c r="C22" s="178" t="s">
        <v>970</v>
      </c>
      <c r="J22" s="234" t="s">
        <v>844</v>
      </c>
      <c r="K22" s="234">
        <v>2.0</v>
      </c>
      <c r="L22" s="234" t="s">
        <v>971</v>
      </c>
      <c r="M22" s="234" t="s">
        <v>909</v>
      </c>
      <c r="N22" s="235" t="s">
        <v>970</v>
      </c>
      <c r="O22" s="235" t="s">
        <v>972</v>
      </c>
      <c r="P22" s="235" t="s">
        <v>973</v>
      </c>
    </row>
    <row r="23" ht="15.75" customHeight="1">
      <c r="A23" s="236" t="s">
        <v>974</v>
      </c>
      <c r="B23" s="236" t="s">
        <v>975</v>
      </c>
      <c r="C23" s="178" t="s">
        <v>976</v>
      </c>
      <c r="J23" s="234" t="s">
        <v>836</v>
      </c>
      <c r="K23" s="234">
        <v>1.0</v>
      </c>
      <c r="L23" s="234" t="s">
        <v>977</v>
      </c>
      <c r="M23" s="234" t="s">
        <v>978</v>
      </c>
      <c r="N23" s="235" t="s">
        <v>976</v>
      </c>
      <c r="O23" s="235" t="s">
        <v>979</v>
      </c>
      <c r="P23" s="235" t="s">
        <v>980</v>
      </c>
    </row>
    <row r="24" ht="15.75" customHeight="1">
      <c r="A24" s="236" t="s">
        <v>981</v>
      </c>
      <c r="B24" s="236" t="s">
        <v>982</v>
      </c>
      <c r="C24" s="178" t="s">
        <v>623</v>
      </c>
      <c r="J24" s="234" t="s">
        <v>844</v>
      </c>
      <c r="K24" s="234">
        <v>1.0</v>
      </c>
      <c r="L24" s="234" t="s">
        <v>983</v>
      </c>
      <c r="M24" s="234" t="s">
        <v>984</v>
      </c>
      <c r="N24" s="235" t="s">
        <v>623</v>
      </c>
      <c r="O24" s="235" t="s">
        <v>985</v>
      </c>
      <c r="P24" s="235" t="s">
        <v>986</v>
      </c>
    </row>
    <row r="25" ht="15.75" customHeight="1">
      <c r="A25" s="236" t="s">
        <v>987</v>
      </c>
      <c r="B25" s="236" t="s">
        <v>987</v>
      </c>
      <c r="C25" s="178" t="s">
        <v>988</v>
      </c>
      <c r="J25" s="234" t="s">
        <v>844</v>
      </c>
      <c r="K25" s="234">
        <v>1.0</v>
      </c>
      <c r="L25" s="234" t="s">
        <v>989</v>
      </c>
      <c r="M25" s="234" t="s">
        <v>990</v>
      </c>
      <c r="N25" s="235" t="s">
        <v>988</v>
      </c>
      <c r="O25" s="235" t="s">
        <v>991</v>
      </c>
      <c r="P25" s="235" t="s">
        <v>992</v>
      </c>
    </row>
    <row r="26" ht="15.75" customHeight="1">
      <c r="A26" s="236" t="s">
        <v>993</v>
      </c>
      <c r="B26" s="236" t="s">
        <v>994</v>
      </c>
      <c r="C26" s="178" t="s">
        <v>995</v>
      </c>
      <c r="J26" s="234" t="s">
        <v>844</v>
      </c>
      <c r="K26" s="234">
        <v>3.0</v>
      </c>
      <c r="L26" s="234" t="s">
        <v>996</v>
      </c>
      <c r="M26" s="234" t="s">
        <v>924</v>
      </c>
      <c r="N26" s="235" t="s">
        <v>995</v>
      </c>
      <c r="O26" s="235" t="s">
        <v>997</v>
      </c>
      <c r="P26" s="235" t="s">
        <v>998</v>
      </c>
    </row>
    <row r="27" ht="15.75" customHeight="1">
      <c r="A27" s="236" t="s">
        <v>999</v>
      </c>
      <c r="B27" s="236" t="s">
        <v>1000</v>
      </c>
      <c r="C27" s="178" t="s">
        <v>1001</v>
      </c>
      <c r="J27" s="234" t="s">
        <v>873</v>
      </c>
      <c r="K27" s="234">
        <v>3.0</v>
      </c>
      <c r="L27" s="234" t="s">
        <v>1002</v>
      </c>
      <c r="M27" s="234" t="s">
        <v>875</v>
      </c>
      <c r="N27" s="235" t="s">
        <v>1001</v>
      </c>
      <c r="O27" s="235" t="s">
        <v>1003</v>
      </c>
      <c r="P27" s="235" t="s">
        <v>1004</v>
      </c>
    </row>
    <row r="28" ht="15.75" customHeight="1">
      <c r="A28" s="236" t="s">
        <v>1005</v>
      </c>
      <c r="B28" s="236" t="s">
        <v>1006</v>
      </c>
      <c r="C28" s="178" t="s">
        <v>1007</v>
      </c>
      <c r="J28" s="234" t="s">
        <v>873</v>
      </c>
      <c r="K28" s="234">
        <v>2.0</v>
      </c>
      <c r="L28" s="234" t="s">
        <v>1008</v>
      </c>
      <c r="M28" s="234" t="s">
        <v>873</v>
      </c>
      <c r="N28" s="235" t="s">
        <v>1009</v>
      </c>
      <c r="O28" s="235" t="s">
        <v>1010</v>
      </c>
      <c r="P28" s="235" t="s">
        <v>1011</v>
      </c>
    </row>
    <row r="29" ht="15.75" customHeight="1">
      <c r="A29" s="236" t="s">
        <v>1012</v>
      </c>
      <c r="B29" s="236" t="s">
        <v>1013</v>
      </c>
      <c r="C29" s="178" t="s">
        <v>1009</v>
      </c>
      <c r="J29" s="234" t="s">
        <v>844</v>
      </c>
      <c r="K29" s="234">
        <v>1.0</v>
      </c>
      <c r="L29" s="234" t="s">
        <v>1014</v>
      </c>
      <c r="M29" s="234" t="s">
        <v>892</v>
      </c>
      <c r="N29" s="235" t="s">
        <v>1007</v>
      </c>
      <c r="O29" s="168" t="s">
        <v>1015</v>
      </c>
      <c r="P29" s="168" t="s">
        <v>1016</v>
      </c>
    </row>
    <row r="30" ht="15.75" customHeight="1">
      <c r="A30" s="236" t="s">
        <v>1017</v>
      </c>
      <c r="B30" s="236" t="s">
        <v>1018</v>
      </c>
      <c r="C30" s="178" t="s">
        <v>400</v>
      </c>
      <c r="J30" s="234" t="s">
        <v>852</v>
      </c>
      <c r="K30" s="234">
        <v>2.0</v>
      </c>
      <c r="L30" s="234" t="s">
        <v>1019</v>
      </c>
      <c r="M30" s="234" t="s">
        <v>889</v>
      </c>
      <c r="N30" s="235" t="s">
        <v>400</v>
      </c>
      <c r="O30" s="168" t="s">
        <v>1020</v>
      </c>
      <c r="P30" s="168" t="s">
        <v>1021</v>
      </c>
    </row>
    <row r="31" ht="15.75" customHeight="1">
      <c r="A31" s="236" t="s">
        <v>1022</v>
      </c>
      <c r="B31" s="236" t="s">
        <v>1023</v>
      </c>
      <c r="C31" s="178" t="s">
        <v>1024</v>
      </c>
      <c r="J31" s="234" t="s">
        <v>852</v>
      </c>
      <c r="K31" s="234">
        <v>3.0</v>
      </c>
      <c r="L31" s="234" t="s">
        <v>1025</v>
      </c>
      <c r="M31" s="234" t="s">
        <v>889</v>
      </c>
      <c r="N31" s="235" t="s">
        <v>1024</v>
      </c>
      <c r="O31" s="168" t="s">
        <v>1026</v>
      </c>
      <c r="P31" s="168" t="s">
        <v>1027</v>
      </c>
    </row>
    <row r="32" ht="15.75" customHeight="1">
      <c r="A32" s="236" t="s">
        <v>1028</v>
      </c>
      <c r="B32" s="236" t="s">
        <v>1029</v>
      </c>
      <c r="C32" s="178" t="s">
        <v>529</v>
      </c>
      <c r="J32" s="234" t="s">
        <v>836</v>
      </c>
      <c r="K32" s="234">
        <v>2.0</v>
      </c>
      <c r="L32" s="234" t="s">
        <v>1030</v>
      </c>
      <c r="M32" s="234" t="s">
        <v>954</v>
      </c>
      <c r="N32" s="235" t="s">
        <v>529</v>
      </c>
      <c r="O32" s="168" t="s">
        <v>1031</v>
      </c>
      <c r="P32" s="168" t="s">
        <v>1032</v>
      </c>
    </row>
    <row r="33" ht="15.75" customHeight="1">
      <c r="A33" s="236" t="s">
        <v>1033</v>
      </c>
      <c r="B33" s="236" t="s">
        <v>1034</v>
      </c>
      <c r="C33" s="178" t="s">
        <v>1035</v>
      </c>
      <c r="J33" s="234" t="s">
        <v>844</v>
      </c>
      <c r="K33" s="234">
        <v>1.0</v>
      </c>
      <c r="L33" s="234" t="s">
        <v>1036</v>
      </c>
      <c r="M33" s="234" t="s">
        <v>1037</v>
      </c>
      <c r="N33" s="235" t="s">
        <v>1035</v>
      </c>
      <c r="O33" s="168" t="s">
        <v>1038</v>
      </c>
      <c r="P33" s="168" t="s">
        <v>1039</v>
      </c>
    </row>
    <row r="34" ht="15.75" customHeight="1">
      <c r="A34" s="236" t="s">
        <v>1040</v>
      </c>
      <c r="B34" s="236" t="s">
        <v>1041</v>
      </c>
      <c r="C34" s="178" t="s">
        <v>660</v>
      </c>
      <c r="J34" s="234" t="s">
        <v>844</v>
      </c>
      <c r="K34" s="234">
        <v>1.0</v>
      </c>
      <c r="L34" s="234" t="s">
        <v>1042</v>
      </c>
      <c r="M34" s="234" t="s">
        <v>1043</v>
      </c>
      <c r="N34" s="235" t="s">
        <v>660</v>
      </c>
      <c r="O34" s="239" t="s">
        <v>1044</v>
      </c>
      <c r="P34" s="235" t="s">
        <v>1045</v>
      </c>
    </row>
    <row r="35" ht="15.75" customHeight="1">
      <c r="A35" s="236" t="s">
        <v>1046</v>
      </c>
      <c r="B35" s="236" t="s">
        <v>1047</v>
      </c>
      <c r="C35" s="178" t="s">
        <v>1048</v>
      </c>
      <c r="J35" s="234" t="s">
        <v>836</v>
      </c>
      <c r="K35" s="234">
        <v>1.0</v>
      </c>
      <c r="L35" s="234" t="s">
        <v>1049</v>
      </c>
      <c r="M35" s="234" t="s">
        <v>1050</v>
      </c>
      <c r="N35" s="235" t="s">
        <v>1048</v>
      </c>
      <c r="O35" s="168" t="s">
        <v>1051</v>
      </c>
      <c r="P35" s="168" t="s">
        <v>1052</v>
      </c>
    </row>
    <row r="36" ht="15.75" customHeight="1">
      <c r="A36" s="236" t="s">
        <v>558</v>
      </c>
      <c r="B36" s="236" t="s">
        <v>1053</v>
      </c>
      <c r="C36" s="178" t="s">
        <v>1054</v>
      </c>
      <c r="J36" s="234" t="s">
        <v>836</v>
      </c>
      <c r="K36" s="234">
        <v>3.0</v>
      </c>
      <c r="L36" s="234" t="s">
        <v>1055</v>
      </c>
      <c r="M36" s="234" t="s">
        <v>954</v>
      </c>
      <c r="N36" s="235" t="s">
        <v>1054</v>
      </c>
      <c r="O36" s="239" t="s">
        <v>1056</v>
      </c>
      <c r="P36" s="168" t="s">
        <v>1057</v>
      </c>
    </row>
    <row r="37" ht="15.75" customHeight="1">
      <c r="A37" s="236" t="s">
        <v>1058</v>
      </c>
      <c r="B37" s="236" t="s">
        <v>1059</v>
      </c>
      <c r="C37" s="178" t="s">
        <v>1060</v>
      </c>
      <c r="J37" s="234" t="s">
        <v>844</v>
      </c>
      <c r="K37" s="234">
        <v>1.0</v>
      </c>
      <c r="L37" s="234" t="s">
        <v>1061</v>
      </c>
      <c r="M37" s="234" t="s">
        <v>1062</v>
      </c>
      <c r="N37" s="238" t="s">
        <v>1060</v>
      </c>
      <c r="O37" s="168" t="s">
        <v>1063</v>
      </c>
      <c r="P37" s="168" t="s">
        <v>1064</v>
      </c>
    </row>
    <row r="38" ht="15.75" customHeight="1">
      <c r="A38" s="236" t="s">
        <v>1065</v>
      </c>
      <c r="B38" s="236" t="s">
        <v>1066</v>
      </c>
      <c r="C38" s="178" t="s">
        <v>1067</v>
      </c>
      <c r="J38" s="234" t="s">
        <v>844</v>
      </c>
      <c r="K38" s="234">
        <v>3.0</v>
      </c>
      <c r="L38" s="234" t="s">
        <v>1068</v>
      </c>
      <c r="M38" s="234" t="s">
        <v>909</v>
      </c>
      <c r="N38" s="235" t="s">
        <v>1067</v>
      </c>
      <c r="O38" s="168" t="s">
        <v>1069</v>
      </c>
      <c r="P38" s="168" t="s">
        <v>1070</v>
      </c>
    </row>
    <row r="39" ht="15.75" customHeight="1">
      <c r="A39" s="236" t="s">
        <v>1071</v>
      </c>
      <c r="B39" s="236" t="s">
        <v>1072</v>
      </c>
      <c r="C39" s="178" t="s">
        <v>664</v>
      </c>
      <c r="J39" s="234" t="s">
        <v>844</v>
      </c>
      <c r="K39" s="234">
        <v>4.0</v>
      </c>
      <c r="L39" s="234" t="s">
        <v>1073</v>
      </c>
      <c r="M39" s="234" t="s">
        <v>909</v>
      </c>
      <c r="N39" s="235" t="s">
        <v>664</v>
      </c>
      <c r="O39" s="168" t="s">
        <v>1069</v>
      </c>
      <c r="P39" s="240" t="s">
        <v>1074</v>
      </c>
    </row>
    <row r="40" ht="15.75" customHeight="1">
      <c r="A40" s="236" t="s">
        <v>1075</v>
      </c>
      <c r="B40" s="236" t="s">
        <v>1076</v>
      </c>
      <c r="C40" s="178" t="s">
        <v>1077</v>
      </c>
      <c r="J40" s="234" t="s">
        <v>844</v>
      </c>
      <c r="K40" s="234">
        <v>3.0</v>
      </c>
      <c r="L40" s="234" t="s">
        <v>1078</v>
      </c>
      <c r="M40" s="234" t="s">
        <v>928</v>
      </c>
      <c r="N40" s="235" t="s">
        <v>1077</v>
      </c>
      <c r="O40" s="235" t="s">
        <v>1079</v>
      </c>
      <c r="P40" s="168" t="s">
        <v>1080</v>
      </c>
    </row>
    <row r="41" ht="15.75" customHeight="1">
      <c r="A41" s="236" t="s">
        <v>1081</v>
      </c>
      <c r="B41" s="236" t="s">
        <v>1082</v>
      </c>
      <c r="C41" s="178" t="s">
        <v>1083</v>
      </c>
      <c r="J41" s="234" t="s">
        <v>844</v>
      </c>
      <c r="K41" s="234">
        <v>2.0</v>
      </c>
      <c r="L41" s="234" t="s">
        <v>1084</v>
      </c>
      <c r="M41" s="234" t="s">
        <v>892</v>
      </c>
      <c r="N41" s="235" t="s">
        <v>1083</v>
      </c>
      <c r="O41" s="168" t="s">
        <v>1015</v>
      </c>
      <c r="P41" s="168" t="s">
        <v>1085</v>
      </c>
    </row>
    <row r="42" ht="15.75" customHeight="1">
      <c r="A42" s="236" t="s">
        <v>1086</v>
      </c>
      <c r="B42" s="236" t="s">
        <v>1087</v>
      </c>
      <c r="C42" s="178" t="s">
        <v>1088</v>
      </c>
      <c r="J42" s="234" t="s">
        <v>844</v>
      </c>
      <c r="K42" s="234">
        <v>2.0</v>
      </c>
      <c r="L42" s="234" t="s">
        <v>1089</v>
      </c>
      <c r="M42" s="234" t="s">
        <v>984</v>
      </c>
      <c r="N42" s="235" t="s">
        <v>1088</v>
      </c>
      <c r="O42" s="235" t="s">
        <v>1090</v>
      </c>
      <c r="P42" s="168" t="s">
        <v>1091</v>
      </c>
    </row>
    <row r="43" ht="15.75" customHeight="1">
      <c r="A43" s="236" t="s">
        <v>1092</v>
      </c>
      <c r="B43" s="236" t="s">
        <v>1093</v>
      </c>
      <c r="C43" s="178" t="s">
        <v>1094</v>
      </c>
      <c r="J43" s="234" t="s">
        <v>836</v>
      </c>
      <c r="K43" s="234">
        <v>1.0</v>
      </c>
      <c r="L43" s="234" t="s">
        <v>1095</v>
      </c>
      <c r="M43" s="234" t="s">
        <v>1096</v>
      </c>
      <c r="N43" s="235" t="s">
        <v>1094</v>
      </c>
      <c r="O43" s="168" t="s">
        <v>1097</v>
      </c>
      <c r="P43" s="168" t="s">
        <v>1098</v>
      </c>
    </row>
    <row r="44" ht="15.75" customHeight="1">
      <c r="A44" s="236" t="s">
        <v>536</v>
      </c>
      <c r="B44" s="236" t="s">
        <v>1099</v>
      </c>
      <c r="C44" s="178" t="s">
        <v>1100</v>
      </c>
      <c r="J44" s="234" t="s">
        <v>852</v>
      </c>
      <c r="K44" s="234">
        <v>4.0</v>
      </c>
      <c r="L44" s="234" t="s">
        <v>1101</v>
      </c>
      <c r="M44" s="234" t="s">
        <v>889</v>
      </c>
      <c r="N44" s="235" t="s">
        <v>1100</v>
      </c>
      <c r="O44" s="168" t="s">
        <v>1102</v>
      </c>
      <c r="P44" s="168" t="s">
        <v>1103</v>
      </c>
    </row>
    <row r="45" ht="15.75" customHeight="1">
      <c r="C45" s="178" t="s">
        <v>1104</v>
      </c>
      <c r="J45" s="234" t="s">
        <v>844</v>
      </c>
      <c r="K45" s="234">
        <v>2.0</v>
      </c>
      <c r="L45" s="234" t="s">
        <v>1105</v>
      </c>
      <c r="M45" s="234" t="s">
        <v>990</v>
      </c>
      <c r="N45" s="235" t="s">
        <v>1104</v>
      </c>
      <c r="O45" s="239" t="s">
        <v>1106</v>
      </c>
      <c r="P45" s="241" t="s">
        <v>1107</v>
      </c>
    </row>
    <row r="46" ht="15.75" customHeight="1">
      <c r="C46" s="178" t="s">
        <v>1108</v>
      </c>
      <c r="J46" s="234" t="s">
        <v>844</v>
      </c>
      <c r="K46" s="234">
        <v>3.0</v>
      </c>
      <c r="L46" s="234" t="s">
        <v>1109</v>
      </c>
      <c r="M46" s="234" t="s">
        <v>984</v>
      </c>
      <c r="N46" s="235" t="s">
        <v>1108</v>
      </c>
      <c r="O46" s="235" t="s">
        <v>1110</v>
      </c>
      <c r="P46" s="168" t="s">
        <v>1111</v>
      </c>
    </row>
    <row r="47" ht="15.75" customHeight="1">
      <c r="C47" s="178" t="s">
        <v>711</v>
      </c>
      <c r="J47" s="234" t="s">
        <v>844</v>
      </c>
      <c r="K47" s="234">
        <v>4.0</v>
      </c>
      <c r="L47" s="234" t="s">
        <v>1112</v>
      </c>
      <c r="M47" s="234" t="s">
        <v>984</v>
      </c>
      <c r="N47" s="235" t="s">
        <v>711</v>
      </c>
      <c r="O47" s="235" t="s">
        <v>1113</v>
      </c>
      <c r="P47" s="168" t="s">
        <v>1114</v>
      </c>
    </row>
    <row r="48" ht="15.75" customHeight="1">
      <c r="C48" s="178" t="s">
        <v>1115</v>
      </c>
      <c r="J48" s="234" t="s">
        <v>844</v>
      </c>
      <c r="K48" s="234">
        <v>2.0</v>
      </c>
      <c r="L48" s="234" t="s">
        <v>1116</v>
      </c>
      <c r="M48" s="234" t="s">
        <v>882</v>
      </c>
      <c r="N48" s="235" t="s">
        <v>1115</v>
      </c>
      <c r="O48" s="238" t="s">
        <v>1117</v>
      </c>
      <c r="P48" s="168" t="s">
        <v>1118</v>
      </c>
    </row>
    <row r="49" ht="15.75" customHeight="1">
      <c r="C49" s="178" t="s">
        <v>1119</v>
      </c>
      <c r="J49" s="234" t="s">
        <v>844</v>
      </c>
      <c r="K49" s="234">
        <v>3.0</v>
      </c>
      <c r="L49" s="234" t="s">
        <v>1120</v>
      </c>
      <c r="M49" s="234" t="s">
        <v>892</v>
      </c>
      <c r="N49" s="168" t="s">
        <v>1119</v>
      </c>
      <c r="O49" s="168" t="s">
        <v>1121</v>
      </c>
      <c r="P49" s="168" t="s">
        <v>1122</v>
      </c>
    </row>
    <row r="50" ht="15.75" customHeight="1">
      <c r="C50" s="178" t="s">
        <v>1123</v>
      </c>
      <c r="J50" s="234" t="s">
        <v>844</v>
      </c>
      <c r="K50" s="234">
        <v>1.0</v>
      </c>
      <c r="L50" s="234" t="s">
        <v>1124</v>
      </c>
      <c r="M50" s="234" t="s">
        <v>1125</v>
      </c>
      <c r="N50" s="235" t="s">
        <v>1123</v>
      </c>
      <c r="O50" s="235" t="s">
        <v>1126</v>
      </c>
      <c r="P50" s="168" t="s">
        <v>1127</v>
      </c>
    </row>
    <row r="51" ht="15.75" customHeight="1">
      <c r="C51" s="178" t="s">
        <v>1128</v>
      </c>
      <c r="J51" s="234" t="s">
        <v>852</v>
      </c>
      <c r="K51" s="234">
        <v>3.0</v>
      </c>
      <c r="L51" s="234" t="s">
        <v>1129</v>
      </c>
      <c r="M51" s="234" t="s">
        <v>854</v>
      </c>
      <c r="N51" s="235" t="s">
        <v>1128</v>
      </c>
      <c r="O51" s="168" t="s">
        <v>1130</v>
      </c>
      <c r="P51" s="168" t="s">
        <v>1131</v>
      </c>
    </row>
    <row r="52" ht="15.75" customHeight="1">
      <c r="C52" s="178" t="s">
        <v>1132</v>
      </c>
      <c r="J52" s="234" t="s">
        <v>852</v>
      </c>
      <c r="K52" s="234">
        <v>2.0</v>
      </c>
      <c r="L52" s="234" t="s">
        <v>1133</v>
      </c>
      <c r="M52" s="234" t="s">
        <v>896</v>
      </c>
      <c r="N52" s="235" t="s">
        <v>1132</v>
      </c>
      <c r="O52" s="168" t="s">
        <v>1134</v>
      </c>
      <c r="P52" s="168" t="s">
        <v>1135</v>
      </c>
    </row>
    <row r="53" ht="15.75" customHeight="1">
      <c r="C53" s="178" t="s">
        <v>689</v>
      </c>
      <c r="J53" s="234" t="s">
        <v>844</v>
      </c>
      <c r="K53" s="234">
        <v>5.0</v>
      </c>
      <c r="L53" s="234" t="s">
        <v>1136</v>
      </c>
      <c r="M53" s="234" t="s">
        <v>909</v>
      </c>
      <c r="N53" s="235" t="s">
        <v>689</v>
      </c>
      <c r="O53" s="235" t="s">
        <v>1137</v>
      </c>
      <c r="P53" s="235" t="s">
        <v>1138</v>
      </c>
    </row>
    <row r="54" ht="15.75" customHeight="1">
      <c r="C54" s="178" t="s">
        <v>1139</v>
      </c>
      <c r="J54" s="234" t="s">
        <v>852</v>
      </c>
      <c r="K54" s="234">
        <v>4.0</v>
      </c>
      <c r="L54" s="234" t="s">
        <v>1140</v>
      </c>
      <c r="M54" s="234" t="s">
        <v>854</v>
      </c>
      <c r="N54" s="235" t="s">
        <v>1139</v>
      </c>
      <c r="O54" s="235" t="s">
        <v>1141</v>
      </c>
      <c r="P54" s="235" t="s">
        <v>1142</v>
      </c>
    </row>
    <row r="55" ht="15.75" customHeight="1">
      <c r="C55" s="178" t="s">
        <v>1143</v>
      </c>
      <c r="J55" s="234" t="s">
        <v>844</v>
      </c>
      <c r="K55" s="234">
        <v>4.0</v>
      </c>
      <c r="L55" s="234" t="s">
        <v>1144</v>
      </c>
      <c r="M55" s="234" t="s">
        <v>924</v>
      </c>
      <c r="N55" s="235" t="s">
        <v>1143</v>
      </c>
      <c r="O55" s="235" t="s">
        <v>1145</v>
      </c>
      <c r="P55" s="235" t="s">
        <v>1146</v>
      </c>
    </row>
    <row r="56" ht="15.75" customHeight="1">
      <c r="C56" s="178" t="s">
        <v>1147</v>
      </c>
      <c r="J56" s="234" t="s">
        <v>852</v>
      </c>
      <c r="K56" s="234">
        <v>3.0</v>
      </c>
      <c r="L56" s="234" t="s">
        <v>1148</v>
      </c>
      <c r="M56" s="234" t="s">
        <v>896</v>
      </c>
      <c r="N56" s="235" t="s">
        <v>1147</v>
      </c>
      <c r="O56" s="235" t="s">
        <v>1149</v>
      </c>
      <c r="P56" s="235" t="s">
        <v>1150</v>
      </c>
    </row>
    <row r="57" ht="15.75" customHeight="1">
      <c r="C57" s="178" t="s">
        <v>1151</v>
      </c>
      <c r="J57" s="234" t="s">
        <v>844</v>
      </c>
      <c r="K57" s="234">
        <v>5.0</v>
      </c>
      <c r="L57" s="234" t="s">
        <v>1152</v>
      </c>
      <c r="M57" s="234" t="s">
        <v>984</v>
      </c>
      <c r="N57" s="235" t="s">
        <v>1151</v>
      </c>
      <c r="O57" s="235" t="s">
        <v>1153</v>
      </c>
      <c r="P57" s="235" t="s">
        <v>1154</v>
      </c>
    </row>
    <row r="58" ht="15.75" customHeight="1">
      <c r="C58" s="178" t="s">
        <v>1155</v>
      </c>
      <c r="J58" s="234" t="s">
        <v>844</v>
      </c>
      <c r="K58" s="234">
        <v>2.0</v>
      </c>
      <c r="L58" s="234" t="s">
        <v>1156</v>
      </c>
      <c r="M58" s="234" t="s">
        <v>1062</v>
      </c>
      <c r="N58" s="238" t="s">
        <v>1155</v>
      </c>
      <c r="O58" s="235" t="s">
        <v>1157</v>
      </c>
      <c r="P58" s="235" t="s">
        <v>1158</v>
      </c>
    </row>
    <row r="59" ht="15.75" customHeight="1">
      <c r="C59" s="178" t="s">
        <v>1159</v>
      </c>
      <c r="J59" s="234" t="s">
        <v>844</v>
      </c>
      <c r="K59" s="234">
        <v>2.0</v>
      </c>
      <c r="L59" s="234" t="s">
        <v>1160</v>
      </c>
      <c r="M59" s="234" t="s">
        <v>921</v>
      </c>
      <c r="N59" s="238" t="s">
        <v>1159</v>
      </c>
      <c r="O59" s="235" t="s">
        <v>1161</v>
      </c>
      <c r="P59" s="235" t="s">
        <v>1162</v>
      </c>
    </row>
    <row r="60" ht="15.75" customHeight="1">
      <c r="C60" s="178" t="s">
        <v>1163</v>
      </c>
      <c r="J60" s="234" t="s">
        <v>852</v>
      </c>
      <c r="K60" s="234">
        <v>5.0</v>
      </c>
      <c r="L60" s="234" t="s">
        <v>1164</v>
      </c>
      <c r="M60" s="234" t="s">
        <v>889</v>
      </c>
      <c r="N60" s="235" t="s">
        <v>1165</v>
      </c>
      <c r="O60" s="235" t="s">
        <v>1166</v>
      </c>
      <c r="P60" s="235" t="s">
        <v>1167</v>
      </c>
    </row>
    <row r="61" ht="15.75" customHeight="1">
      <c r="C61" s="178" t="s">
        <v>1168</v>
      </c>
      <c r="J61" s="234" t="s">
        <v>844</v>
      </c>
      <c r="K61" s="234">
        <v>3.0</v>
      </c>
      <c r="L61" s="234" t="s">
        <v>1169</v>
      </c>
      <c r="M61" s="234" t="s">
        <v>990</v>
      </c>
      <c r="N61" s="235" t="s">
        <v>1163</v>
      </c>
      <c r="O61" s="235" t="s">
        <v>1170</v>
      </c>
      <c r="P61" s="235" t="s">
        <v>1171</v>
      </c>
    </row>
    <row r="62" ht="15.75" customHeight="1">
      <c r="C62" s="178" t="s">
        <v>1165</v>
      </c>
      <c r="J62" s="234" t="s">
        <v>844</v>
      </c>
      <c r="K62" s="234">
        <v>3.0</v>
      </c>
      <c r="L62" s="234" t="s">
        <v>1172</v>
      </c>
      <c r="M62" s="234" t="s">
        <v>921</v>
      </c>
      <c r="N62" s="238" t="s">
        <v>1168</v>
      </c>
      <c r="O62" s="235" t="s">
        <v>1173</v>
      </c>
      <c r="P62" s="235" t="s">
        <v>1174</v>
      </c>
    </row>
    <row r="63" ht="15.75" customHeight="1">
      <c r="C63" s="178" t="s">
        <v>1175</v>
      </c>
      <c r="J63" s="234" t="s">
        <v>836</v>
      </c>
      <c r="K63" s="234">
        <v>4.0</v>
      </c>
      <c r="L63" s="234" t="s">
        <v>1176</v>
      </c>
      <c r="M63" s="234" t="s">
        <v>954</v>
      </c>
      <c r="N63" s="235" t="s">
        <v>1175</v>
      </c>
      <c r="O63" s="235" t="s">
        <v>1177</v>
      </c>
      <c r="P63" s="235" t="s">
        <v>1178</v>
      </c>
    </row>
    <row r="64" ht="15.75" customHeight="1">
      <c r="C64" s="178" t="s">
        <v>1179</v>
      </c>
      <c r="J64" s="234" t="s">
        <v>836</v>
      </c>
      <c r="K64" s="234">
        <v>2.0</v>
      </c>
      <c r="L64" s="234" t="s">
        <v>1180</v>
      </c>
      <c r="M64" s="234" t="s">
        <v>1050</v>
      </c>
      <c r="N64" s="235" t="s">
        <v>1179</v>
      </c>
      <c r="O64" s="235" t="s">
        <v>1181</v>
      </c>
      <c r="P64" s="235" t="s">
        <v>1182</v>
      </c>
    </row>
    <row r="65" ht="15.75" customHeight="1">
      <c r="C65" s="178" t="s">
        <v>1183</v>
      </c>
      <c r="J65" s="234" t="s">
        <v>836</v>
      </c>
      <c r="K65" s="234">
        <v>3.0</v>
      </c>
      <c r="L65" s="234" t="s">
        <v>1184</v>
      </c>
      <c r="M65" s="234" t="s">
        <v>1050</v>
      </c>
      <c r="N65" s="235" t="s">
        <v>1183</v>
      </c>
      <c r="O65" s="235" t="s">
        <v>1185</v>
      </c>
      <c r="P65" s="235" t="s">
        <v>1186</v>
      </c>
    </row>
    <row r="66" ht="15.75" customHeight="1">
      <c r="C66" s="178" t="s">
        <v>1187</v>
      </c>
      <c r="J66" s="234" t="s">
        <v>836</v>
      </c>
      <c r="K66" s="234">
        <v>2.0</v>
      </c>
      <c r="L66" s="234" t="s">
        <v>1188</v>
      </c>
      <c r="M66" s="234" t="s">
        <v>978</v>
      </c>
      <c r="N66" s="235" t="s">
        <v>1187</v>
      </c>
      <c r="O66" s="235" t="s">
        <v>1189</v>
      </c>
      <c r="P66" s="235" t="s">
        <v>1190</v>
      </c>
    </row>
    <row r="67" ht="15.75" customHeight="1">
      <c r="C67" s="178" t="s">
        <v>1191</v>
      </c>
      <c r="J67" s="234" t="s">
        <v>844</v>
      </c>
      <c r="K67" s="234">
        <v>4.0</v>
      </c>
      <c r="L67" s="234" t="s">
        <v>1192</v>
      </c>
      <c r="M67" s="234" t="s">
        <v>921</v>
      </c>
      <c r="N67" s="238" t="s">
        <v>1191</v>
      </c>
      <c r="O67" s="235" t="s">
        <v>1193</v>
      </c>
      <c r="P67" s="235" t="s">
        <v>1194</v>
      </c>
    </row>
    <row r="68" ht="15.75" customHeight="1">
      <c r="C68" s="178" t="s">
        <v>784</v>
      </c>
      <c r="J68" s="234" t="s">
        <v>852</v>
      </c>
      <c r="K68" s="234">
        <v>4.0</v>
      </c>
      <c r="L68" s="234" t="s">
        <v>1195</v>
      </c>
      <c r="M68" s="234" t="s">
        <v>896</v>
      </c>
      <c r="N68" s="235" t="s">
        <v>784</v>
      </c>
      <c r="O68" s="235" t="s">
        <v>1196</v>
      </c>
      <c r="P68" s="235" t="s">
        <v>1197</v>
      </c>
    </row>
    <row r="69" ht="15.75" customHeight="1">
      <c r="C69" s="178" t="s">
        <v>1198</v>
      </c>
      <c r="J69" s="234" t="s">
        <v>844</v>
      </c>
      <c r="K69" s="234">
        <v>3.0</v>
      </c>
      <c r="L69" s="234" t="s">
        <v>1199</v>
      </c>
      <c r="M69" s="234" t="s">
        <v>1062</v>
      </c>
      <c r="N69" s="238" t="s">
        <v>1198</v>
      </c>
      <c r="O69" s="235" t="s">
        <v>1200</v>
      </c>
      <c r="P69" s="235" t="s">
        <v>1201</v>
      </c>
    </row>
    <row r="70" ht="15.75" customHeight="1">
      <c r="C70" s="178" t="s">
        <v>1202</v>
      </c>
      <c r="J70" s="234" t="s">
        <v>852</v>
      </c>
      <c r="K70" s="234">
        <v>1.0</v>
      </c>
      <c r="L70" s="234" t="s">
        <v>1203</v>
      </c>
      <c r="M70" s="234" t="s">
        <v>1204</v>
      </c>
      <c r="N70" s="235" t="s">
        <v>1202</v>
      </c>
      <c r="O70" s="235" t="s">
        <v>1205</v>
      </c>
      <c r="P70" s="235" t="s">
        <v>1206</v>
      </c>
    </row>
    <row r="71" ht="15.75" customHeight="1">
      <c r="C71" s="178" t="s">
        <v>602</v>
      </c>
      <c r="J71" s="234" t="s">
        <v>844</v>
      </c>
      <c r="K71" s="234">
        <v>4.0</v>
      </c>
      <c r="L71" s="234" t="s">
        <v>1207</v>
      </c>
      <c r="M71" s="234" t="s">
        <v>1062</v>
      </c>
      <c r="N71" s="235" t="s">
        <v>602</v>
      </c>
      <c r="O71" s="235" t="s">
        <v>1208</v>
      </c>
      <c r="P71" s="235" t="s">
        <v>1209</v>
      </c>
    </row>
    <row r="72" ht="15.75" customHeight="1">
      <c r="C72" s="178" t="s">
        <v>1210</v>
      </c>
      <c r="J72" s="234" t="s">
        <v>844</v>
      </c>
      <c r="K72" s="234">
        <v>4.0</v>
      </c>
      <c r="L72" s="234" t="s">
        <v>1211</v>
      </c>
      <c r="M72" s="234" t="s">
        <v>892</v>
      </c>
      <c r="N72" s="235" t="s">
        <v>1210</v>
      </c>
      <c r="O72" s="235" t="s">
        <v>1212</v>
      </c>
      <c r="P72" s="235" t="s">
        <v>1213</v>
      </c>
    </row>
    <row r="73" ht="15.75" customHeight="1">
      <c r="C73" s="178" t="s">
        <v>1214</v>
      </c>
      <c r="J73" s="234" t="s">
        <v>844</v>
      </c>
      <c r="K73" s="234">
        <v>2.0</v>
      </c>
      <c r="L73" s="234" t="s">
        <v>1215</v>
      </c>
      <c r="M73" s="234" t="s">
        <v>1043</v>
      </c>
      <c r="N73" s="235" t="s">
        <v>1214</v>
      </c>
      <c r="O73" s="235" t="s">
        <v>797</v>
      </c>
      <c r="P73" s="235" t="s">
        <v>1216</v>
      </c>
    </row>
    <row r="74" ht="15.75" customHeight="1">
      <c r="C74" s="178" t="s">
        <v>1217</v>
      </c>
      <c r="J74" s="234" t="s">
        <v>852</v>
      </c>
      <c r="K74" s="234">
        <v>5.0</v>
      </c>
      <c r="L74" s="234" t="s">
        <v>1218</v>
      </c>
      <c r="M74" s="234" t="s">
        <v>854</v>
      </c>
      <c r="N74" s="238" t="s">
        <v>1214</v>
      </c>
      <c r="O74" s="235" t="s">
        <v>1219</v>
      </c>
      <c r="P74" s="235" t="s">
        <v>1220</v>
      </c>
    </row>
    <row r="75" ht="15.75" customHeight="1">
      <c r="C75" s="178" t="s">
        <v>1221</v>
      </c>
      <c r="J75" s="234" t="s">
        <v>836</v>
      </c>
      <c r="K75" s="234">
        <v>3.0</v>
      </c>
      <c r="L75" s="234" t="s">
        <v>1222</v>
      </c>
      <c r="M75" s="234" t="s">
        <v>838</v>
      </c>
      <c r="N75" s="235" t="s">
        <v>1217</v>
      </c>
      <c r="O75" s="235" t="s">
        <v>1223</v>
      </c>
      <c r="P75" s="235" t="s">
        <v>1224</v>
      </c>
    </row>
    <row r="76" ht="15.75" customHeight="1">
      <c r="C76" s="178" t="s">
        <v>1225</v>
      </c>
      <c r="J76" s="234" t="s">
        <v>844</v>
      </c>
      <c r="K76" s="234">
        <v>2.0</v>
      </c>
      <c r="L76" s="234" t="s">
        <v>1226</v>
      </c>
      <c r="M76" s="234" t="s">
        <v>1125</v>
      </c>
      <c r="N76" s="235" t="s">
        <v>1221</v>
      </c>
      <c r="O76" s="235" t="s">
        <v>1227</v>
      </c>
      <c r="P76" s="242" t="s">
        <v>1228</v>
      </c>
    </row>
    <row r="77" ht="15.75" customHeight="1">
      <c r="C77" s="178" t="s">
        <v>1229</v>
      </c>
      <c r="J77" s="234" t="s">
        <v>836</v>
      </c>
      <c r="K77" s="234">
        <v>5.0</v>
      </c>
      <c r="L77" s="234" t="s">
        <v>1230</v>
      </c>
      <c r="M77" s="234" t="s">
        <v>954</v>
      </c>
      <c r="N77" s="235" t="s">
        <v>1225</v>
      </c>
      <c r="O77" s="235" t="s">
        <v>1231</v>
      </c>
      <c r="P77" s="235" t="s">
        <v>1232</v>
      </c>
    </row>
    <row r="78" ht="15.75" customHeight="1">
      <c r="C78" s="178" t="s">
        <v>1233</v>
      </c>
      <c r="J78" s="234" t="s">
        <v>844</v>
      </c>
      <c r="K78" s="234">
        <v>3.0</v>
      </c>
      <c r="L78" s="234" t="s">
        <v>1234</v>
      </c>
      <c r="M78" s="234" t="s">
        <v>882</v>
      </c>
      <c r="N78" s="235" t="s">
        <v>1229</v>
      </c>
      <c r="O78" s="235" t="s">
        <v>1235</v>
      </c>
      <c r="P78" s="235" t="s">
        <v>1236</v>
      </c>
    </row>
    <row r="79" ht="15.75" customHeight="1">
      <c r="C79" s="178" t="s">
        <v>1237</v>
      </c>
      <c r="J79" s="234" t="s">
        <v>836</v>
      </c>
      <c r="K79" s="234">
        <v>2.0</v>
      </c>
      <c r="L79" s="234" t="s">
        <v>1238</v>
      </c>
      <c r="M79" s="234" t="s">
        <v>947</v>
      </c>
      <c r="N79" s="235" t="s">
        <v>1233</v>
      </c>
      <c r="O79" s="235" t="s">
        <v>1239</v>
      </c>
      <c r="P79" s="235" t="s">
        <v>1240</v>
      </c>
    </row>
    <row r="80" ht="15.75" customHeight="1">
      <c r="C80" s="178" t="s">
        <v>1241</v>
      </c>
      <c r="J80" s="234" t="s">
        <v>836</v>
      </c>
      <c r="K80" s="234">
        <v>2.0</v>
      </c>
      <c r="L80" s="234" t="s">
        <v>1242</v>
      </c>
      <c r="M80" s="234" t="s">
        <v>1096</v>
      </c>
      <c r="N80" s="235" t="s">
        <v>1237</v>
      </c>
      <c r="O80" s="235" t="s">
        <v>1243</v>
      </c>
      <c r="P80" s="235" t="s">
        <v>1244</v>
      </c>
    </row>
    <row r="81" ht="15.75" customHeight="1">
      <c r="C81" s="178" t="s">
        <v>1245</v>
      </c>
      <c r="J81" s="234" t="s">
        <v>844</v>
      </c>
      <c r="K81" s="234">
        <v>1.0</v>
      </c>
      <c r="L81" s="234" t="s">
        <v>1246</v>
      </c>
      <c r="M81" s="234" t="s">
        <v>1247</v>
      </c>
      <c r="N81" s="238" t="s">
        <v>1241</v>
      </c>
      <c r="O81" s="235" t="s">
        <v>1248</v>
      </c>
      <c r="P81" s="235" t="s">
        <v>1249</v>
      </c>
    </row>
    <row r="82" ht="15.75" customHeight="1">
      <c r="C82" s="178" t="s">
        <v>1250</v>
      </c>
      <c r="J82" s="234" t="s">
        <v>836</v>
      </c>
      <c r="K82" s="234">
        <v>3.0</v>
      </c>
      <c r="L82" s="234" t="s">
        <v>1251</v>
      </c>
      <c r="M82" s="234" t="s">
        <v>1096</v>
      </c>
      <c r="N82" s="235" t="s">
        <v>1245</v>
      </c>
      <c r="O82" s="235" t="s">
        <v>1252</v>
      </c>
      <c r="P82" s="235" t="s">
        <v>1253</v>
      </c>
    </row>
    <row r="83" ht="15.75" customHeight="1">
      <c r="C83" s="178" t="s">
        <v>1254</v>
      </c>
      <c r="J83" s="234" t="s">
        <v>873</v>
      </c>
      <c r="K83" s="234">
        <v>3.0</v>
      </c>
      <c r="L83" s="234" t="s">
        <v>1255</v>
      </c>
      <c r="M83" s="234" t="s">
        <v>873</v>
      </c>
      <c r="N83" s="235" t="s">
        <v>1250</v>
      </c>
      <c r="O83" s="235" t="s">
        <v>1256</v>
      </c>
      <c r="P83" s="235" t="s">
        <v>1257</v>
      </c>
    </row>
    <row r="84" ht="15.75" customHeight="1">
      <c r="C84" s="178" t="s">
        <v>1258</v>
      </c>
      <c r="J84" s="234" t="s">
        <v>844</v>
      </c>
      <c r="K84" s="234">
        <v>5.0</v>
      </c>
      <c r="L84" s="234" t="s">
        <v>1259</v>
      </c>
      <c r="M84" s="234" t="s">
        <v>921</v>
      </c>
      <c r="N84" s="238" t="s">
        <v>729</v>
      </c>
      <c r="O84" s="235" t="s">
        <v>1260</v>
      </c>
      <c r="P84" s="235" t="s">
        <v>1261</v>
      </c>
    </row>
    <row r="85" ht="15.75" customHeight="1">
      <c r="C85" s="178" t="s">
        <v>729</v>
      </c>
      <c r="J85" s="234" t="s">
        <v>844</v>
      </c>
      <c r="K85" s="234">
        <v>5.0</v>
      </c>
      <c r="L85" s="234" t="s">
        <v>1262</v>
      </c>
      <c r="M85" s="234" t="s">
        <v>924</v>
      </c>
      <c r="N85" s="235" t="s">
        <v>1263</v>
      </c>
      <c r="O85" s="235" t="s">
        <v>1264</v>
      </c>
      <c r="P85" s="235" t="s">
        <v>1265</v>
      </c>
    </row>
    <row r="86" ht="15.75" customHeight="1">
      <c r="C86" s="178" t="s">
        <v>1263</v>
      </c>
      <c r="J86" s="234" t="s">
        <v>844</v>
      </c>
      <c r="K86" s="234">
        <v>5.0</v>
      </c>
      <c r="L86" s="234" t="s">
        <v>1266</v>
      </c>
      <c r="M86" s="234" t="s">
        <v>892</v>
      </c>
      <c r="N86" s="235" t="s">
        <v>1254</v>
      </c>
      <c r="O86" s="235" t="s">
        <v>1267</v>
      </c>
      <c r="P86" s="235" t="s">
        <v>1268</v>
      </c>
    </row>
    <row r="87" ht="15.75" customHeight="1">
      <c r="C87" s="178" t="s">
        <v>1269</v>
      </c>
      <c r="J87" s="234" t="s">
        <v>844</v>
      </c>
      <c r="K87" s="234">
        <v>2.0</v>
      </c>
      <c r="L87" s="234" t="s">
        <v>1270</v>
      </c>
      <c r="M87" s="234" t="s">
        <v>1247</v>
      </c>
      <c r="N87" s="238" t="s">
        <v>1258</v>
      </c>
      <c r="O87" s="235" t="s">
        <v>1271</v>
      </c>
      <c r="P87" s="235" t="s">
        <v>1272</v>
      </c>
    </row>
    <row r="88" ht="15.75" customHeight="1">
      <c r="C88" s="178" t="s">
        <v>1273</v>
      </c>
      <c r="J88" s="234" t="s">
        <v>852</v>
      </c>
      <c r="K88" s="234">
        <v>6.0</v>
      </c>
      <c r="L88" s="234" t="s">
        <v>1274</v>
      </c>
      <c r="M88" s="234" t="s">
        <v>854</v>
      </c>
      <c r="N88" s="235" t="s">
        <v>1269</v>
      </c>
      <c r="O88" s="235" t="s">
        <v>1275</v>
      </c>
      <c r="P88" s="235" t="s">
        <v>1276</v>
      </c>
    </row>
    <row r="89" ht="15.75" customHeight="1">
      <c r="C89" s="178" t="s">
        <v>1277</v>
      </c>
      <c r="J89" s="234" t="s">
        <v>836</v>
      </c>
      <c r="K89" s="234">
        <v>1.0</v>
      </c>
      <c r="L89" s="234" t="s">
        <v>1278</v>
      </c>
      <c r="M89" s="243" t="s">
        <v>1279</v>
      </c>
      <c r="N89" s="235" t="s">
        <v>1273</v>
      </c>
      <c r="O89" s="235" t="s">
        <v>1280</v>
      </c>
      <c r="P89" s="235" t="s">
        <v>1281</v>
      </c>
    </row>
    <row r="90" ht="15.75" customHeight="1">
      <c r="C90" s="178" t="s">
        <v>1282</v>
      </c>
      <c r="J90" s="234" t="s">
        <v>873</v>
      </c>
      <c r="K90" s="234">
        <v>4.0</v>
      </c>
      <c r="L90" s="234" t="s">
        <v>1283</v>
      </c>
      <c r="M90" s="234" t="s">
        <v>873</v>
      </c>
      <c r="N90" s="235" t="s">
        <v>1284</v>
      </c>
      <c r="O90" s="235" t="s">
        <v>1285</v>
      </c>
      <c r="P90" s="235" t="s">
        <v>1286</v>
      </c>
    </row>
    <row r="91" ht="15.75" customHeight="1">
      <c r="C91" s="178" t="s">
        <v>1284</v>
      </c>
      <c r="J91" s="234" t="s">
        <v>852</v>
      </c>
      <c r="K91" s="234">
        <v>5.0</v>
      </c>
      <c r="L91" s="234" t="s">
        <v>1287</v>
      </c>
      <c r="M91" s="234" t="s">
        <v>896</v>
      </c>
      <c r="N91" s="235" t="s">
        <v>1282</v>
      </c>
      <c r="O91" s="235" t="s">
        <v>1288</v>
      </c>
      <c r="P91" s="235" t="s">
        <v>1289</v>
      </c>
    </row>
    <row r="92" ht="15.75" customHeight="1">
      <c r="C92" s="178" t="s">
        <v>1290</v>
      </c>
      <c r="J92" s="234" t="s">
        <v>844</v>
      </c>
      <c r="K92" s="234">
        <v>6.0</v>
      </c>
      <c r="L92" s="234" t="s">
        <v>1291</v>
      </c>
      <c r="M92" s="234" t="s">
        <v>892</v>
      </c>
      <c r="N92" s="235" t="s">
        <v>1277</v>
      </c>
      <c r="O92" s="235" t="s">
        <v>1292</v>
      </c>
      <c r="P92" s="235" t="s">
        <v>1293</v>
      </c>
    </row>
    <row r="93" ht="15.75" customHeight="1">
      <c r="C93" s="178" t="s">
        <v>1294</v>
      </c>
      <c r="J93" s="234" t="s">
        <v>844</v>
      </c>
      <c r="K93" s="234">
        <v>5.0</v>
      </c>
      <c r="L93" s="234" t="s">
        <v>1295</v>
      </c>
      <c r="M93" s="234" t="s">
        <v>1062</v>
      </c>
      <c r="N93" s="238" t="s">
        <v>1290</v>
      </c>
      <c r="O93" s="235" t="s">
        <v>1296</v>
      </c>
      <c r="P93" s="235" t="s">
        <v>1297</v>
      </c>
    </row>
    <row r="94" ht="15.75" customHeight="1">
      <c r="C94" s="178" t="s">
        <v>1298</v>
      </c>
      <c r="J94" s="234" t="s">
        <v>852</v>
      </c>
      <c r="K94" s="234">
        <v>6.0</v>
      </c>
      <c r="L94" s="234" t="s">
        <v>1299</v>
      </c>
      <c r="M94" s="234" t="s">
        <v>896</v>
      </c>
      <c r="N94" s="244" t="s">
        <v>1298</v>
      </c>
      <c r="O94" s="235" t="s">
        <v>1300</v>
      </c>
      <c r="P94" s="235" t="s">
        <v>1301</v>
      </c>
    </row>
    <row r="95" ht="15.75" customHeight="1">
      <c r="C95" s="178" t="s">
        <v>1302</v>
      </c>
      <c r="J95" s="234" t="s">
        <v>852</v>
      </c>
      <c r="K95" s="234">
        <v>7.0</v>
      </c>
      <c r="L95" s="234" t="s">
        <v>1303</v>
      </c>
      <c r="M95" s="234" t="s">
        <v>854</v>
      </c>
      <c r="N95" s="244" t="s">
        <v>1302</v>
      </c>
      <c r="O95" s="235" t="s">
        <v>1304</v>
      </c>
      <c r="P95" s="235" t="s">
        <v>1305</v>
      </c>
    </row>
    <row r="96" ht="15.75" customHeight="1">
      <c r="C96" s="178" t="s">
        <v>1306</v>
      </c>
      <c r="J96" s="234" t="s">
        <v>844</v>
      </c>
      <c r="K96" s="234">
        <v>6.0</v>
      </c>
      <c r="L96" s="234" t="s">
        <v>1307</v>
      </c>
      <c r="M96" s="234" t="s">
        <v>984</v>
      </c>
      <c r="N96" s="244" t="s">
        <v>1294</v>
      </c>
      <c r="O96" s="235" t="s">
        <v>1308</v>
      </c>
      <c r="P96" s="235" t="s">
        <v>1309</v>
      </c>
    </row>
    <row r="97" ht="15.75" customHeight="1">
      <c r="C97" s="178" t="s">
        <v>354</v>
      </c>
      <c r="J97" s="234" t="s">
        <v>836</v>
      </c>
      <c r="K97" s="234">
        <v>4.0</v>
      </c>
      <c r="L97" s="234" t="s">
        <v>1310</v>
      </c>
      <c r="M97" s="234" t="s">
        <v>838</v>
      </c>
      <c r="N97" s="244" t="s">
        <v>1306</v>
      </c>
      <c r="O97" s="235" t="s">
        <v>1311</v>
      </c>
      <c r="P97" s="235" t="s">
        <v>1312</v>
      </c>
    </row>
    <row r="98" ht="15.75" customHeight="1">
      <c r="C98" s="178" t="s">
        <v>1313</v>
      </c>
      <c r="J98" s="234" t="s">
        <v>836</v>
      </c>
      <c r="K98" s="234">
        <v>5.0</v>
      </c>
      <c r="L98" s="234" t="s">
        <v>1314</v>
      </c>
      <c r="M98" s="234" t="s">
        <v>838</v>
      </c>
      <c r="N98" s="235" t="s">
        <v>354</v>
      </c>
      <c r="O98" s="235" t="s">
        <v>1315</v>
      </c>
      <c r="P98" s="235" t="s">
        <v>1316</v>
      </c>
    </row>
    <row r="99" ht="15.75" customHeight="1">
      <c r="C99" s="178" t="s">
        <v>688</v>
      </c>
      <c r="J99" s="234" t="s">
        <v>844</v>
      </c>
      <c r="K99" s="234">
        <v>7.0</v>
      </c>
      <c r="L99" s="234" t="s">
        <v>1317</v>
      </c>
      <c r="M99" s="234" t="s">
        <v>984</v>
      </c>
      <c r="N99" s="235" t="s">
        <v>1313</v>
      </c>
      <c r="O99" s="235" t="s">
        <v>1308</v>
      </c>
      <c r="P99" s="235" t="s">
        <v>1318</v>
      </c>
    </row>
    <row r="100" ht="15.75" customHeight="1">
      <c r="C100" s="178" t="s">
        <v>1319</v>
      </c>
      <c r="J100" s="234" t="s">
        <v>844</v>
      </c>
      <c r="K100" s="234">
        <v>2.0</v>
      </c>
      <c r="L100" s="234" t="s">
        <v>1320</v>
      </c>
      <c r="M100" s="234" t="s">
        <v>1037</v>
      </c>
      <c r="N100" s="235" t="s">
        <v>688</v>
      </c>
      <c r="O100" s="235" t="s">
        <v>1321</v>
      </c>
      <c r="P100" s="235" t="s">
        <v>1322</v>
      </c>
    </row>
    <row r="101" ht="15.75" customHeight="1">
      <c r="C101" s="178" t="s">
        <v>1323</v>
      </c>
      <c r="J101" s="234" t="s">
        <v>836</v>
      </c>
      <c r="K101" s="234">
        <v>2.0</v>
      </c>
      <c r="L101" s="234" t="s">
        <v>1324</v>
      </c>
      <c r="M101" s="243" t="s">
        <v>1279</v>
      </c>
      <c r="N101" s="235" t="s">
        <v>1319</v>
      </c>
      <c r="O101" s="235" t="s">
        <v>1325</v>
      </c>
      <c r="P101" s="235" t="s">
        <v>1326</v>
      </c>
    </row>
    <row r="102" ht="15.75" customHeight="1">
      <c r="C102" s="178" t="s">
        <v>1327</v>
      </c>
      <c r="J102" s="234" t="s">
        <v>836</v>
      </c>
      <c r="K102" s="234">
        <v>4.0</v>
      </c>
      <c r="L102" s="234" t="s">
        <v>1328</v>
      </c>
      <c r="M102" s="234" t="s">
        <v>1096</v>
      </c>
      <c r="N102" s="235" t="s">
        <v>1323</v>
      </c>
      <c r="O102" s="235" t="s">
        <v>1329</v>
      </c>
      <c r="P102" s="235" t="s">
        <v>1330</v>
      </c>
    </row>
    <row r="103" ht="15.75" customHeight="1">
      <c r="C103" s="178" t="s">
        <v>1331</v>
      </c>
      <c r="J103" s="234" t="s">
        <v>852</v>
      </c>
      <c r="K103" s="234">
        <v>8.0</v>
      </c>
      <c r="L103" s="234" t="s">
        <v>1332</v>
      </c>
      <c r="M103" s="234" t="s">
        <v>854</v>
      </c>
      <c r="N103" s="235" t="s">
        <v>1327</v>
      </c>
      <c r="O103" s="235" t="s">
        <v>1333</v>
      </c>
      <c r="P103" s="235" t="s">
        <v>1334</v>
      </c>
    </row>
    <row r="104" ht="15.75" customHeight="1">
      <c r="C104" s="178" t="s">
        <v>1335</v>
      </c>
      <c r="J104" s="234" t="s">
        <v>844</v>
      </c>
      <c r="K104" s="234">
        <v>3.0</v>
      </c>
      <c r="L104" s="234" t="s">
        <v>1336</v>
      </c>
      <c r="M104" s="234" t="s">
        <v>1043</v>
      </c>
      <c r="N104" s="235" t="s">
        <v>1337</v>
      </c>
      <c r="O104" s="235" t="s">
        <v>1338</v>
      </c>
      <c r="P104" s="235" t="s">
        <v>1339</v>
      </c>
    </row>
    <row r="105" ht="15.75" customHeight="1">
      <c r="C105" s="178" t="s">
        <v>1340</v>
      </c>
      <c r="J105" s="234" t="s">
        <v>844</v>
      </c>
      <c r="K105" s="234">
        <v>4.0</v>
      </c>
      <c r="L105" s="234" t="s">
        <v>1341</v>
      </c>
      <c r="M105" s="234" t="s">
        <v>928</v>
      </c>
      <c r="N105" s="235" t="s">
        <v>1342</v>
      </c>
      <c r="O105" s="235" t="s">
        <v>1343</v>
      </c>
      <c r="P105" s="235" t="s">
        <v>1344</v>
      </c>
    </row>
    <row r="106" ht="15.75" customHeight="1">
      <c r="C106" s="178" t="s">
        <v>1345</v>
      </c>
      <c r="J106" s="234" t="s">
        <v>844</v>
      </c>
      <c r="K106" s="234">
        <v>3.0</v>
      </c>
      <c r="L106" s="234" t="s">
        <v>1346</v>
      </c>
      <c r="M106" s="234" t="s">
        <v>1247</v>
      </c>
      <c r="N106" s="238" t="s">
        <v>1331</v>
      </c>
      <c r="O106" s="235" t="s">
        <v>1347</v>
      </c>
      <c r="P106" s="235" t="s">
        <v>1348</v>
      </c>
    </row>
    <row r="107" ht="15.75" customHeight="1">
      <c r="C107" s="178" t="s">
        <v>1337</v>
      </c>
      <c r="J107" s="234" t="s">
        <v>852</v>
      </c>
      <c r="K107" s="234">
        <v>2.0</v>
      </c>
      <c r="L107" s="234" t="s">
        <v>1349</v>
      </c>
      <c r="M107" s="234" t="s">
        <v>865</v>
      </c>
      <c r="N107" s="235" t="s">
        <v>1335</v>
      </c>
      <c r="O107" s="235" t="s">
        <v>1350</v>
      </c>
      <c r="P107" s="235" t="s">
        <v>1351</v>
      </c>
    </row>
    <row r="108" ht="15.75" customHeight="1">
      <c r="C108" s="178" t="s">
        <v>1342</v>
      </c>
      <c r="J108" s="234" t="s">
        <v>873</v>
      </c>
      <c r="K108" s="234">
        <v>5.0</v>
      </c>
      <c r="L108" s="234" t="s">
        <v>1352</v>
      </c>
      <c r="M108" s="234" t="s">
        <v>873</v>
      </c>
      <c r="N108" s="235" t="s">
        <v>1340</v>
      </c>
      <c r="O108" s="235" t="s">
        <v>1353</v>
      </c>
      <c r="P108" s="235" t="s">
        <v>1354</v>
      </c>
    </row>
    <row r="109" ht="15.75" customHeight="1">
      <c r="C109" s="178" t="s">
        <v>1355</v>
      </c>
      <c r="J109" s="234" t="s">
        <v>836</v>
      </c>
      <c r="K109" s="234">
        <v>3.0</v>
      </c>
      <c r="L109" s="234" t="s">
        <v>1356</v>
      </c>
      <c r="M109" s="234" t="s">
        <v>947</v>
      </c>
      <c r="N109" s="235" t="s">
        <v>1345</v>
      </c>
      <c r="O109" s="235" t="s">
        <v>1357</v>
      </c>
      <c r="P109" s="235" t="s">
        <v>1358</v>
      </c>
    </row>
    <row r="110" ht="15.75" customHeight="1">
      <c r="C110" s="178" t="s">
        <v>1359</v>
      </c>
      <c r="J110" s="234" t="s">
        <v>844</v>
      </c>
      <c r="K110" s="234">
        <v>1.0</v>
      </c>
      <c r="L110" s="234" t="s">
        <v>1360</v>
      </c>
      <c r="M110" s="234" t="s">
        <v>1361</v>
      </c>
      <c r="N110" s="235" t="s">
        <v>1355</v>
      </c>
      <c r="O110" s="235" t="s">
        <v>1362</v>
      </c>
      <c r="P110" s="235" t="s">
        <v>1363</v>
      </c>
    </row>
    <row r="111" ht="15.75" customHeight="1">
      <c r="C111" s="178" t="s">
        <v>1364</v>
      </c>
      <c r="J111" s="234" t="s">
        <v>844</v>
      </c>
      <c r="K111" s="234">
        <v>2.0</v>
      </c>
      <c r="L111" s="234" t="s">
        <v>1365</v>
      </c>
      <c r="M111" s="234" t="s">
        <v>1361</v>
      </c>
      <c r="N111" s="235" t="s">
        <v>1359</v>
      </c>
      <c r="O111" s="235" t="s">
        <v>1362</v>
      </c>
      <c r="P111" s="235" t="s">
        <v>1366</v>
      </c>
    </row>
    <row r="112" ht="15.75" customHeight="1">
      <c r="C112" s="178" t="s">
        <v>1367</v>
      </c>
      <c r="J112" s="234" t="s">
        <v>836</v>
      </c>
      <c r="K112" s="234">
        <v>3.0</v>
      </c>
      <c r="L112" s="234" t="s">
        <v>1368</v>
      </c>
      <c r="M112" s="243" t="s">
        <v>1279</v>
      </c>
      <c r="N112" s="235" t="s">
        <v>1364</v>
      </c>
      <c r="O112" s="235" t="s">
        <v>1369</v>
      </c>
      <c r="P112" s="235" t="s">
        <v>1370</v>
      </c>
    </row>
    <row r="113" ht="15.75" customHeight="1">
      <c r="C113" s="178" t="s">
        <v>1371</v>
      </c>
      <c r="J113" s="234" t="s">
        <v>844</v>
      </c>
      <c r="K113" s="234">
        <v>1.0</v>
      </c>
      <c r="L113" s="234" t="s">
        <v>1372</v>
      </c>
      <c r="M113" s="234" t="s">
        <v>1373</v>
      </c>
      <c r="N113" s="235" t="s">
        <v>1371</v>
      </c>
      <c r="O113" s="235" t="s">
        <v>1374</v>
      </c>
      <c r="P113" s="235" t="s">
        <v>1375</v>
      </c>
    </row>
    <row r="114" ht="15.75" customHeight="1">
      <c r="C114" s="178" t="s">
        <v>1376</v>
      </c>
      <c r="J114" s="234" t="s">
        <v>844</v>
      </c>
      <c r="K114" s="234">
        <v>2.0</v>
      </c>
      <c r="L114" s="234" t="s">
        <v>1377</v>
      </c>
      <c r="M114" s="234" t="s">
        <v>1373</v>
      </c>
      <c r="N114" s="235" t="s">
        <v>1367</v>
      </c>
      <c r="O114" s="235" t="s">
        <v>1378</v>
      </c>
      <c r="P114" s="235" t="s">
        <v>1379</v>
      </c>
    </row>
    <row r="115" ht="15.75" customHeight="1">
      <c r="C115" s="178" t="s">
        <v>1380</v>
      </c>
      <c r="J115" s="234" t="s">
        <v>852</v>
      </c>
      <c r="K115" s="234">
        <v>9.0</v>
      </c>
      <c r="L115" s="234" t="s">
        <v>1381</v>
      </c>
      <c r="M115" s="234" t="s">
        <v>854</v>
      </c>
      <c r="N115" s="235" t="s">
        <v>1376</v>
      </c>
      <c r="O115" s="235" t="s">
        <v>1382</v>
      </c>
      <c r="P115" s="235" t="s">
        <v>1383</v>
      </c>
    </row>
    <row r="116" ht="15.75" customHeight="1">
      <c r="C116" s="178" t="s">
        <v>1384</v>
      </c>
      <c r="J116" s="234" t="s">
        <v>852</v>
      </c>
      <c r="K116" s="234">
        <v>7.0</v>
      </c>
      <c r="L116" s="234" t="s">
        <v>1385</v>
      </c>
      <c r="M116" s="234" t="s">
        <v>896</v>
      </c>
      <c r="N116" s="235" t="s">
        <v>1380</v>
      </c>
      <c r="O116" s="235" t="s">
        <v>1386</v>
      </c>
      <c r="P116" s="235" t="s">
        <v>1387</v>
      </c>
    </row>
    <row r="117" ht="15.75" customHeight="1">
      <c r="C117" s="178" t="s">
        <v>1388</v>
      </c>
      <c r="J117" s="234" t="s">
        <v>844</v>
      </c>
      <c r="K117" s="234">
        <v>4.0</v>
      </c>
      <c r="L117" s="234" t="s">
        <v>1389</v>
      </c>
      <c r="M117" s="234" t="s">
        <v>1247</v>
      </c>
      <c r="N117" s="238" t="s">
        <v>1384</v>
      </c>
      <c r="O117" s="235" t="s">
        <v>1390</v>
      </c>
      <c r="P117" s="235" t="s">
        <v>1391</v>
      </c>
    </row>
    <row r="118" ht="15.75" customHeight="1">
      <c r="C118" s="178" t="s">
        <v>769</v>
      </c>
      <c r="J118" s="234" t="s">
        <v>844</v>
      </c>
      <c r="K118" s="234">
        <v>4.0</v>
      </c>
      <c r="L118" s="234" t="s">
        <v>1392</v>
      </c>
      <c r="M118" s="234" t="s">
        <v>1043</v>
      </c>
      <c r="N118" s="235" t="s">
        <v>1388</v>
      </c>
      <c r="O118" s="235" t="s">
        <v>1393</v>
      </c>
      <c r="P118" s="235" t="s">
        <v>1394</v>
      </c>
    </row>
    <row r="119" ht="15.75" customHeight="1">
      <c r="C119" s="178" t="s">
        <v>1395</v>
      </c>
      <c r="J119" s="234" t="s">
        <v>873</v>
      </c>
      <c r="K119" s="234">
        <v>6.0</v>
      </c>
      <c r="L119" s="234" t="s">
        <v>1396</v>
      </c>
      <c r="M119" s="234" t="s">
        <v>873</v>
      </c>
      <c r="N119" s="235" t="s">
        <v>769</v>
      </c>
      <c r="O119" s="235" t="s">
        <v>1397</v>
      </c>
      <c r="P119" s="235" t="s">
        <v>1398</v>
      </c>
    </row>
    <row r="120" ht="15.75" customHeight="1">
      <c r="C120" s="178" t="s">
        <v>1399</v>
      </c>
      <c r="J120" s="234" t="s">
        <v>873</v>
      </c>
      <c r="K120" s="234">
        <v>7.0</v>
      </c>
      <c r="L120" s="234" t="s">
        <v>1400</v>
      </c>
      <c r="M120" s="234" t="s">
        <v>873</v>
      </c>
      <c r="N120" s="235" t="s">
        <v>1395</v>
      </c>
      <c r="O120" s="235" t="s">
        <v>1401</v>
      </c>
      <c r="P120" s="235" t="s">
        <v>1402</v>
      </c>
    </row>
    <row r="121" ht="15.75" customHeight="1">
      <c r="C121" s="178" t="s">
        <v>1403</v>
      </c>
      <c r="J121" s="234" t="s">
        <v>844</v>
      </c>
      <c r="K121" s="234">
        <v>5.0</v>
      </c>
      <c r="L121" s="234" t="s">
        <v>1404</v>
      </c>
      <c r="M121" s="234" t="s">
        <v>928</v>
      </c>
      <c r="N121" s="235" t="s">
        <v>1399</v>
      </c>
      <c r="O121" s="235" t="s">
        <v>1405</v>
      </c>
      <c r="P121" s="235" t="s">
        <v>1406</v>
      </c>
    </row>
    <row r="122" ht="15.75" customHeight="1">
      <c r="C122" s="178" t="s">
        <v>1407</v>
      </c>
      <c r="J122" s="234" t="s">
        <v>844</v>
      </c>
      <c r="K122" s="234">
        <v>3.0</v>
      </c>
      <c r="L122" s="234" t="s">
        <v>1408</v>
      </c>
      <c r="M122" s="234" t="s">
        <v>1373</v>
      </c>
      <c r="N122" s="235" t="s">
        <v>1403</v>
      </c>
      <c r="O122" s="235" t="s">
        <v>1409</v>
      </c>
      <c r="P122" s="235" t="s">
        <v>1410</v>
      </c>
    </row>
    <row r="123" ht="15.75" customHeight="1">
      <c r="C123" s="178" t="s">
        <v>1411</v>
      </c>
      <c r="J123" s="234" t="s">
        <v>844</v>
      </c>
      <c r="K123" s="234">
        <v>6.0</v>
      </c>
      <c r="L123" s="234" t="s">
        <v>1412</v>
      </c>
      <c r="M123" s="234" t="s">
        <v>921</v>
      </c>
      <c r="N123" s="238" t="s">
        <v>1407</v>
      </c>
      <c r="O123" s="235" t="s">
        <v>1413</v>
      </c>
      <c r="P123" s="235" t="s">
        <v>1414</v>
      </c>
    </row>
    <row r="124" ht="15.75" customHeight="1">
      <c r="C124" s="178" t="s">
        <v>950</v>
      </c>
      <c r="J124" s="234" t="s">
        <v>852</v>
      </c>
      <c r="K124" s="234">
        <v>10.0</v>
      </c>
      <c r="L124" s="234" t="s">
        <v>1415</v>
      </c>
      <c r="M124" s="234" t="s">
        <v>854</v>
      </c>
      <c r="N124" s="235" t="s">
        <v>1411</v>
      </c>
      <c r="O124" s="235" t="s">
        <v>1416</v>
      </c>
      <c r="P124" s="235" t="s">
        <v>1417</v>
      </c>
    </row>
    <row r="125" ht="15.75" customHeight="1">
      <c r="C125" s="178" t="s">
        <v>1418</v>
      </c>
      <c r="J125" s="234" t="s">
        <v>844</v>
      </c>
      <c r="K125" s="234">
        <v>6.0</v>
      </c>
      <c r="L125" s="234" t="s">
        <v>1419</v>
      </c>
      <c r="M125" s="234" t="s">
        <v>924</v>
      </c>
      <c r="N125" s="238" t="s">
        <v>950</v>
      </c>
      <c r="O125" s="235" t="s">
        <v>642</v>
      </c>
      <c r="P125" s="235" t="s">
        <v>1420</v>
      </c>
    </row>
    <row r="126" ht="15.75" customHeight="1">
      <c r="C126" s="178" t="s">
        <v>680</v>
      </c>
      <c r="J126" s="234" t="s">
        <v>836</v>
      </c>
      <c r="K126" s="234">
        <v>4.0</v>
      </c>
      <c r="L126" s="234" t="s">
        <v>1421</v>
      </c>
      <c r="M126" s="234" t="s">
        <v>947</v>
      </c>
      <c r="N126" s="235" t="s">
        <v>1418</v>
      </c>
      <c r="O126" s="235" t="s">
        <v>1422</v>
      </c>
      <c r="P126" s="235" t="s">
        <v>1423</v>
      </c>
    </row>
    <row r="127" ht="15.75" customHeight="1">
      <c r="C127" s="178" t="s">
        <v>1424</v>
      </c>
      <c r="J127" s="234" t="s">
        <v>844</v>
      </c>
      <c r="K127" s="234">
        <v>4.0</v>
      </c>
      <c r="L127" s="234" t="s">
        <v>1425</v>
      </c>
      <c r="M127" s="234" t="s">
        <v>990</v>
      </c>
      <c r="N127" s="235" t="s">
        <v>680</v>
      </c>
      <c r="O127" s="235" t="s">
        <v>1426</v>
      </c>
      <c r="P127" s="235" t="s">
        <v>1427</v>
      </c>
    </row>
    <row r="128" ht="15.75" customHeight="1">
      <c r="C128" s="178" t="s">
        <v>629</v>
      </c>
      <c r="J128" s="234" t="s">
        <v>844</v>
      </c>
      <c r="K128" s="234">
        <v>6.0</v>
      </c>
      <c r="L128" s="234" t="s">
        <v>1428</v>
      </c>
      <c r="M128" s="234" t="s">
        <v>1062</v>
      </c>
      <c r="N128" s="238" t="s">
        <v>1424</v>
      </c>
      <c r="O128" s="235" t="s">
        <v>1429</v>
      </c>
      <c r="P128" s="235" t="s">
        <v>1430</v>
      </c>
    </row>
    <row r="129" ht="15.75" customHeight="1">
      <c r="C129" s="178" t="s">
        <v>1431</v>
      </c>
      <c r="J129" s="234" t="s">
        <v>844</v>
      </c>
      <c r="K129" s="234">
        <v>7.0</v>
      </c>
      <c r="L129" s="234" t="s">
        <v>1432</v>
      </c>
      <c r="M129" s="234" t="s">
        <v>924</v>
      </c>
      <c r="N129" s="235" t="s">
        <v>629</v>
      </c>
      <c r="O129" s="235" t="s">
        <v>1433</v>
      </c>
      <c r="P129" s="235" t="s">
        <v>1434</v>
      </c>
    </row>
    <row r="130" ht="15.75" customHeight="1">
      <c r="C130" s="178" t="s">
        <v>657</v>
      </c>
      <c r="J130" s="234" t="s">
        <v>844</v>
      </c>
      <c r="K130" s="234">
        <v>7.0</v>
      </c>
      <c r="L130" s="234" t="s">
        <v>1435</v>
      </c>
      <c r="M130" s="234" t="s">
        <v>921</v>
      </c>
      <c r="N130" s="238" t="s">
        <v>1431</v>
      </c>
      <c r="O130" s="235" t="s">
        <v>1436</v>
      </c>
      <c r="P130" s="235" t="s">
        <v>1437</v>
      </c>
    </row>
    <row r="131" ht="15.75" customHeight="1">
      <c r="C131" s="178" t="s">
        <v>1438</v>
      </c>
      <c r="J131" s="234" t="s">
        <v>844</v>
      </c>
      <c r="K131" s="234">
        <v>5.0</v>
      </c>
      <c r="L131" s="234" t="s">
        <v>1439</v>
      </c>
      <c r="M131" s="234" t="s">
        <v>1043</v>
      </c>
      <c r="N131" s="235" t="s">
        <v>657</v>
      </c>
      <c r="O131" s="235" t="s">
        <v>1338</v>
      </c>
      <c r="P131" s="235" t="s">
        <v>1440</v>
      </c>
    </row>
    <row r="132" ht="15.75" customHeight="1">
      <c r="C132" s="178" t="s">
        <v>1441</v>
      </c>
      <c r="J132" s="234" t="s">
        <v>844</v>
      </c>
      <c r="K132" s="234">
        <v>8.0</v>
      </c>
      <c r="L132" s="234" t="s">
        <v>1442</v>
      </c>
      <c r="M132" s="234" t="s">
        <v>921</v>
      </c>
      <c r="N132" s="238" t="s">
        <v>1438</v>
      </c>
      <c r="O132" s="235" t="s">
        <v>1443</v>
      </c>
      <c r="P132" s="235" t="s">
        <v>1444</v>
      </c>
    </row>
    <row r="133" ht="15.75" customHeight="1">
      <c r="C133" s="178" t="s">
        <v>1445</v>
      </c>
      <c r="J133" s="234" t="s">
        <v>844</v>
      </c>
      <c r="K133" s="234">
        <v>5.0</v>
      </c>
      <c r="L133" s="234" t="s">
        <v>1446</v>
      </c>
      <c r="M133" s="234" t="s">
        <v>990</v>
      </c>
      <c r="N133" s="235" t="s">
        <v>1441</v>
      </c>
      <c r="O133" s="235" t="s">
        <v>1447</v>
      </c>
      <c r="P133" s="235" t="s">
        <v>1448</v>
      </c>
    </row>
    <row r="134" ht="15.75" customHeight="1">
      <c r="C134" s="178" t="s">
        <v>1449</v>
      </c>
      <c r="J134" s="234" t="s">
        <v>852</v>
      </c>
      <c r="K134" s="234">
        <v>6.0</v>
      </c>
      <c r="L134" s="234" t="s">
        <v>1450</v>
      </c>
      <c r="M134" s="234" t="s">
        <v>889</v>
      </c>
      <c r="N134" s="235" t="s">
        <v>1445</v>
      </c>
      <c r="O134" s="235" t="s">
        <v>1451</v>
      </c>
      <c r="P134" s="235" t="s">
        <v>1452</v>
      </c>
    </row>
    <row r="135" ht="15.75" customHeight="1">
      <c r="C135" s="178" t="s">
        <v>1453</v>
      </c>
      <c r="J135" s="234" t="s">
        <v>844</v>
      </c>
      <c r="K135" s="234">
        <v>7.0</v>
      </c>
      <c r="L135" s="234" t="s">
        <v>1454</v>
      </c>
      <c r="M135" s="234" t="s">
        <v>1062</v>
      </c>
      <c r="N135" s="238" t="s">
        <v>1449</v>
      </c>
      <c r="O135" s="235" t="s">
        <v>1455</v>
      </c>
      <c r="P135" s="235" t="s">
        <v>1456</v>
      </c>
    </row>
    <row r="136" ht="15.75" customHeight="1">
      <c r="C136" s="178" t="s">
        <v>1457</v>
      </c>
      <c r="J136" s="234" t="s">
        <v>873</v>
      </c>
      <c r="K136" s="234">
        <v>8.0</v>
      </c>
      <c r="L136" s="234" t="s">
        <v>1458</v>
      </c>
      <c r="M136" s="234" t="s">
        <v>873</v>
      </c>
      <c r="N136" s="235" t="s">
        <v>1453</v>
      </c>
      <c r="O136" s="235" t="s">
        <v>1459</v>
      </c>
      <c r="P136" s="235" t="s">
        <v>1460</v>
      </c>
    </row>
    <row r="137" ht="15.75" customHeight="1">
      <c r="C137" s="178" t="s">
        <v>1461</v>
      </c>
      <c r="J137" s="234" t="s">
        <v>873</v>
      </c>
      <c r="K137" s="234">
        <v>9.0</v>
      </c>
      <c r="L137" s="234" t="s">
        <v>1462</v>
      </c>
      <c r="M137" s="234" t="s">
        <v>873</v>
      </c>
      <c r="N137" s="238" t="s">
        <v>1457</v>
      </c>
      <c r="O137" s="235" t="s">
        <v>1463</v>
      </c>
      <c r="P137" s="235" t="s">
        <v>1464</v>
      </c>
    </row>
    <row r="138" ht="15.75" customHeight="1">
      <c r="C138" s="178" t="s">
        <v>1465</v>
      </c>
      <c r="J138" s="234" t="s">
        <v>836</v>
      </c>
      <c r="K138" s="234">
        <v>6.0</v>
      </c>
      <c r="L138" s="234" t="s">
        <v>1466</v>
      </c>
      <c r="M138" s="234" t="s">
        <v>838</v>
      </c>
      <c r="N138" s="235" t="s">
        <v>1461</v>
      </c>
      <c r="O138" s="235" t="s">
        <v>1467</v>
      </c>
      <c r="P138" s="235" t="s">
        <v>1468</v>
      </c>
    </row>
    <row r="139" ht="15.75" customHeight="1">
      <c r="C139" s="178" t="s">
        <v>616</v>
      </c>
      <c r="J139" s="234" t="s">
        <v>844</v>
      </c>
      <c r="K139" s="234">
        <v>8.0</v>
      </c>
      <c r="L139" s="234" t="s">
        <v>1469</v>
      </c>
      <c r="M139" s="234" t="s">
        <v>1062</v>
      </c>
      <c r="N139" s="238" t="s">
        <v>1465</v>
      </c>
      <c r="O139" s="235" t="s">
        <v>1470</v>
      </c>
      <c r="P139" s="235" t="s">
        <v>1471</v>
      </c>
    </row>
    <row r="140" ht="15.75" customHeight="1">
      <c r="C140" s="178" t="s">
        <v>1472</v>
      </c>
      <c r="J140" s="234" t="s">
        <v>844</v>
      </c>
      <c r="K140" s="234">
        <v>4.0</v>
      </c>
      <c r="L140" s="234" t="s">
        <v>1473</v>
      </c>
      <c r="M140" s="234" t="s">
        <v>1373</v>
      </c>
      <c r="N140" s="235" t="s">
        <v>616</v>
      </c>
      <c r="O140" s="235" t="s">
        <v>1474</v>
      </c>
      <c r="P140" s="235" t="s">
        <v>1475</v>
      </c>
    </row>
    <row r="141" ht="15.75" customHeight="1">
      <c r="C141" s="178" t="s">
        <v>702</v>
      </c>
      <c r="J141" s="234" t="s">
        <v>844</v>
      </c>
      <c r="K141" s="234">
        <v>2.0</v>
      </c>
      <c r="L141" s="234" t="s">
        <v>1476</v>
      </c>
      <c r="M141" s="234" t="s">
        <v>846</v>
      </c>
      <c r="N141" s="235" t="s">
        <v>1472</v>
      </c>
      <c r="O141" s="235" t="s">
        <v>1477</v>
      </c>
      <c r="P141" s="235" t="s">
        <v>1478</v>
      </c>
    </row>
    <row r="142" ht="15.75" customHeight="1">
      <c r="C142" s="178" t="s">
        <v>1479</v>
      </c>
      <c r="J142" s="234" t="s">
        <v>844</v>
      </c>
      <c r="K142" s="234">
        <v>3.0</v>
      </c>
      <c r="L142" s="234" t="s">
        <v>1480</v>
      </c>
      <c r="M142" s="234" t="s">
        <v>1037</v>
      </c>
      <c r="N142" s="235" t="s">
        <v>702</v>
      </c>
      <c r="O142" s="235" t="s">
        <v>1481</v>
      </c>
      <c r="P142" s="235" t="s">
        <v>1482</v>
      </c>
    </row>
    <row r="143" ht="15.75" customHeight="1">
      <c r="C143" s="178" t="s">
        <v>1483</v>
      </c>
      <c r="J143" s="234" t="s">
        <v>844</v>
      </c>
      <c r="K143" s="234">
        <v>4.0</v>
      </c>
      <c r="L143" s="234" t="s">
        <v>1484</v>
      </c>
      <c r="M143" s="234" t="s">
        <v>882</v>
      </c>
      <c r="N143" s="235" t="s">
        <v>1483</v>
      </c>
      <c r="O143" s="235" t="s">
        <v>1485</v>
      </c>
      <c r="P143" s="235" t="s">
        <v>1486</v>
      </c>
    </row>
    <row r="144" ht="15.75" customHeight="1">
      <c r="C144" s="178" t="s">
        <v>1487</v>
      </c>
      <c r="J144" s="234" t="s">
        <v>844</v>
      </c>
      <c r="K144" s="234">
        <v>5.0</v>
      </c>
      <c r="L144" s="234" t="s">
        <v>1488</v>
      </c>
      <c r="M144" s="234" t="s">
        <v>882</v>
      </c>
      <c r="N144" s="235" t="s">
        <v>1479</v>
      </c>
      <c r="O144" s="235" t="s">
        <v>1489</v>
      </c>
      <c r="P144" s="235" t="s">
        <v>1490</v>
      </c>
    </row>
    <row r="145" ht="15.75" customHeight="1">
      <c r="C145" s="178" t="s">
        <v>558</v>
      </c>
      <c r="J145" s="234" t="s">
        <v>844</v>
      </c>
      <c r="K145" s="234">
        <v>4.0</v>
      </c>
      <c r="L145" s="234" t="s">
        <v>1491</v>
      </c>
      <c r="M145" s="234" t="s">
        <v>1037</v>
      </c>
      <c r="N145" s="235" t="s">
        <v>1487</v>
      </c>
      <c r="O145" s="235" t="s">
        <v>1492</v>
      </c>
      <c r="P145" s="235" t="s">
        <v>1493</v>
      </c>
    </row>
    <row r="146" ht="15.75" customHeight="1">
      <c r="C146" s="178" t="s">
        <v>1494</v>
      </c>
      <c r="J146" s="234" t="s">
        <v>873</v>
      </c>
      <c r="K146" s="234">
        <v>10.0</v>
      </c>
      <c r="L146" s="234" t="s">
        <v>1495</v>
      </c>
      <c r="M146" s="234" t="s">
        <v>873</v>
      </c>
      <c r="N146" s="235" t="s">
        <v>558</v>
      </c>
      <c r="O146" s="235" t="s">
        <v>1496</v>
      </c>
      <c r="P146" s="235" t="s">
        <v>1497</v>
      </c>
    </row>
    <row r="147" ht="15.75" customHeight="1">
      <c r="C147" s="178" t="s">
        <v>1498</v>
      </c>
      <c r="J147" s="234" t="s">
        <v>844</v>
      </c>
      <c r="K147" s="234">
        <v>9.0</v>
      </c>
      <c r="L147" s="234" t="s">
        <v>1499</v>
      </c>
      <c r="M147" s="234" t="s">
        <v>921</v>
      </c>
      <c r="N147" s="238" t="s">
        <v>1494</v>
      </c>
      <c r="O147" s="235" t="s">
        <v>1500</v>
      </c>
      <c r="P147" s="235" t="s">
        <v>1501</v>
      </c>
    </row>
    <row r="148" ht="15.75" customHeight="1">
      <c r="C148" s="178" t="s">
        <v>1502</v>
      </c>
      <c r="J148" s="234" t="s">
        <v>836</v>
      </c>
      <c r="K148" s="234">
        <v>5.0</v>
      </c>
      <c r="L148" s="234" t="s">
        <v>1503</v>
      </c>
      <c r="M148" s="234" t="s">
        <v>1096</v>
      </c>
      <c r="N148" s="235" t="s">
        <v>1498</v>
      </c>
      <c r="O148" s="235" t="s">
        <v>1504</v>
      </c>
      <c r="P148" s="235" t="s">
        <v>1505</v>
      </c>
    </row>
    <row r="149" ht="15.75" customHeight="1">
      <c r="J149" s="234" t="s">
        <v>852</v>
      </c>
      <c r="K149" s="234">
        <v>3.0</v>
      </c>
      <c r="L149" s="234" t="s">
        <v>1506</v>
      </c>
      <c r="M149" s="234" t="s">
        <v>865</v>
      </c>
      <c r="N149" s="238" t="s">
        <v>1502</v>
      </c>
      <c r="O149" s="235" t="s">
        <v>1507</v>
      </c>
      <c r="P149" s="235" t="s">
        <v>1508</v>
      </c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J$1:$P$149"/>
  <mergeCells count="1">
    <mergeCell ref="A1:B1"/>
  </mergeCells>
  <drawing r:id="rId2"/>
  <legacyDrawing r:id="rId3"/>
</worksheet>
</file>