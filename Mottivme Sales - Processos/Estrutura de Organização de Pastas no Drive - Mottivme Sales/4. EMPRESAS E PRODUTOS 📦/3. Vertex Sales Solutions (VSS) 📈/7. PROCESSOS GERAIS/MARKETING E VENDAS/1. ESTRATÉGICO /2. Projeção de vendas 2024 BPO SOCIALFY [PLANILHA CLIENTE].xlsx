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 1 | E.E" sheetId="1" r:id="rId4"/>
    <sheet state="visible" name="PRODUTO 2 | P.C" sheetId="2" r:id="rId5"/>
    <sheet state="visible" name="PRODUTO  | M.N" sheetId="3" r:id="rId6"/>
    <sheet state="visible" name="PRODUTO 4 | P.E" sheetId="4" r:id="rId7"/>
    <sheet state="visible" name="GERAL LP" sheetId="5" r:id="rId8"/>
    <sheet state="visible" name="GERAL IG" sheetId="6" r:id="rId9"/>
  </sheets>
  <definedNames/>
  <calcPr/>
</workbook>
</file>

<file path=xl/sharedStrings.xml><?xml version="1.0" encoding="utf-8"?>
<sst xmlns="http://schemas.openxmlformats.org/spreadsheetml/2006/main" count="395" uniqueCount="57">
  <si>
    <t xml:space="preserve">       Projeção de vendas 2023</t>
  </si>
  <si>
    <t>Projeção por produto | Volume | Ticket Médio | Total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</si>
  <si>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</si>
  <si>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</si>
  <si>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</si>
  <si>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</si>
  <si>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</si>
  <si>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</si>
  <si>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</si>
  <si>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</si>
  <si>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</si>
  <si>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</si>
  <si>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</si>
  <si>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</si>
  <si>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Período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</si>
  <si>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</si>
  <si>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</si>
  <si>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</si>
  <si>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</si>
  <si>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</si>
  <si>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</si>
  <si>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</si>
  <si>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</si>
  <si>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</si>
  <si>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</si>
  <si>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</si>
  <si>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</si>
  <si>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</si>
  <si>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MENTORIA ESTRATEGISTA EMPRESARIAL</t>
  </si>
  <si>
    <t>Meta QTD</t>
  </si>
  <si>
    <t>Ticket Médio</t>
  </si>
  <si>
    <t>Meta R$</t>
  </si>
  <si>
    <t>PROCESSO COMERCIAL</t>
  </si>
  <si>
    <t>O MAPA DO SEU NEGÓCIO</t>
  </si>
  <si>
    <t>PLANEJAMENTO ESTRATÉGICO</t>
  </si>
  <si>
    <t>TOTAL GERAL</t>
  </si>
  <si>
    <t>Projeção de aquisição de clientes, outros canais (outbound)</t>
  </si>
  <si>
    <t>Social Selling</t>
  </si>
  <si>
    <t>Networks</t>
  </si>
  <si>
    <t>Programa de indicação</t>
  </si>
  <si>
    <t xml:space="preserve">Imersão </t>
  </si>
  <si>
    <t>Projeção das taxas de conversão e necessidade de leads (inbound)</t>
  </si>
  <si>
    <t>De proposta para venda (% de conversão depois que a proposta é enviada):</t>
  </si>
  <si>
    <t>De cadastro para proposta (% de proposta que envia para os cadastros realizados):</t>
  </si>
  <si>
    <t>De tráfego para cadastro (% do trafego dos sites que se cadastra):</t>
  </si>
  <si>
    <t>Necessidade de tráfego</t>
  </si>
  <si>
    <t>Cadastros</t>
  </si>
  <si>
    <t>Propostas</t>
  </si>
  <si>
    <t>Vendas</t>
  </si>
  <si>
    <t>CPC médio:</t>
  </si>
  <si>
    <t>% de trafego orgânico garantido: (volume que seus conteúdos já geram)</t>
  </si>
  <si>
    <t>Necessidade de investimento em mídia:</t>
  </si>
  <si>
    <t>do total de vendas projetado</t>
  </si>
  <si>
    <t>Máedia Mensal</t>
  </si>
  <si>
    <t>Prospecção</t>
  </si>
  <si>
    <t>Média Mensal</t>
  </si>
  <si>
    <t>FGPT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</si>
</sst>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_-&quot;R$&quot;\ * #,##0_-;\-&quot;R$&quot;\ * #,##0_-;_-&quot;R$&quot;\ * &quot;-&quot;??_-;_-@"/>
    <numFmt numFmtId="166" formatCode="[$R$ -416]#,##0.00"/>
    <numFmt numFmtId="167" formatCode="[$R$ -416]#,##0"/>
  </numFmts>
  <fonts count="14">
    <font>
      <sz val="12.0"/>
      <color theme="1"/>
      <name val="Calibri"/>
      <scheme val="minor"/>
    </font>
    <font>
      <sz val="12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  <font>
      <sz val="22.0"/>
      <color theme="1"/>
      <name val="Calibri"/>
    </font>
    <font>
      <sz val="14.0"/>
      <color theme="0"/>
      <name val="Calibri"/>
    </font>
    <font>
      <b/>
      <sz val="14.0"/>
      <color theme="1"/>
      <name val="Calibri"/>
    </font>
    <font>
      <sz val="14.0"/>
      <color rgb="FFFFFFFF"/>
      <name val="Calibri"/>
    </font>
    <font>
      <sz val="14.0"/>
      <color rgb="FF385623"/>
      <name val="Calibri"/>
    </font>
    <font/>
    <font>
      <sz val="21.0"/>
      <color rgb="FF000000"/>
      <name val="Calibri"/>
    </font>
    <font>
      <sz val="14.0"/>
      <color rgb="FF38761D"/>
      <name val="Calibri"/>
    </font>
    <font>
      <sz val="14.0"/>
      <color rgb="FF000000"/>
      <name val="Calibri"/>
    </font>
    <font>
      <b/>
      <sz val="14.0"/>
      <color rgb="FF385623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EADFF"/>
        <bgColor rgb="FF2EADFF"/>
      </patternFill>
    </fill>
    <fill>
      <patternFill patternType="solid">
        <fgColor rgb="FFF3F3F3"/>
        <bgColor rgb="FFF3F3F3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</fills>
  <borders count="31">
    <border/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</border>
    <border>
      <left/>
      <righ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3" fontId="1" numFmtId="0" xfId="0" applyBorder="1" applyFill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9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0" fontId="5" numFmtId="0" xfId="0" applyFont="1"/>
    <xf borderId="0" fillId="0" fontId="5" numFmtId="165" xfId="0" applyAlignment="1" applyFont="1" applyNumberFormat="1">
      <alignment horizontal="center"/>
    </xf>
    <xf borderId="2" fillId="5" fontId="7" numFmtId="0" xfId="0" applyAlignment="1" applyBorder="1" applyFill="1" applyFont="1">
      <alignment horizontal="center" shrinkToFit="0" textRotation="90" vertical="center" wrapText="1"/>
    </xf>
    <xf borderId="3" fillId="6" fontId="3" numFmtId="0" xfId="0" applyAlignment="1" applyBorder="1" applyFill="1" applyFont="1">
      <alignment horizontal="left"/>
    </xf>
    <xf borderId="4" fillId="0" fontId="8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0" fillId="0" fontId="5" numFmtId="165" xfId="0" applyFont="1" applyNumberFormat="1"/>
    <xf borderId="6" fillId="0" fontId="9" numFmtId="0" xfId="0" applyBorder="1" applyFont="1"/>
    <xf borderId="7" fillId="6" fontId="3" numFmtId="0" xfId="0" applyAlignment="1" applyBorder="1" applyFont="1">
      <alignment horizontal="left"/>
    </xf>
    <xf borderId="8" fillId="0" fontId="8" numFmtId="165" xfId="0" applyAlignment="1" applyBorder="1" applyFont="1" applyNumberFormat="1">
      <alignment horizontal="center"/>
    </xf>
    <xf borderId="9" fillId="4" fontId="3" numFmtId="165" xfId="0" applyAlignment="1" applyBorder="1" applyFont="1" applyNumberFormat="1">
      <alignment horizontal="center"/>
    </xf>
    <xf borderId="0" fillId="0" fontId="5" numFmtId="164" xfId="0" applyFont="1" applyNumberFormat="1"/>
    <xf borderId="10" fillId="0" fontId="9" numFmtId="0" xfId="0" applyBorder="1" applyFont="1"/>
    <xf borderId="11" fillId="6" fontId="3" numFmtId="0" xfId="0" applyAlignment="1" applyBorder="1" applyFont="1">
      <alignment horizontal="left"/>
    </xf>
    <xf borderId="12" fillId="0" fontId="6" numFmtId="165" xfId="0" applyAlignment="1" applyBorder="1" applyFont="1" applyNumberFormat="1">
      <alignment horizontal="center"/>
    </xf>
    <xf borderId="13" fillId="4" fontId="6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shrinkToFit="0" textRotation="90" vertical="center" wrapText="1"/>
    </xf>
    <xf borderId="0" fillId="0" fontId="3" numFmtId="0" xfId="0" applyAlignment="1" applyFont="1">
      <alignment horizontal="left"/>
    </xf>
    <xf borderId="0" fillId="4" fontId="3" numFmtId="165" xfId="0" applyAlignment="1" applyFont="1" applyNumberFormat="1">
      <alignment horizontal="center"/>
    </xf>
    <xf borderId="14" fillId="5" fontId="7" numFmtId="0" xfId="0" applyAlignment="1" applyBorder="1" applyFont="1">
      <alignment horizontal="center" shrinkToFit="0" textRotation="90" vertical="center" wrapText="1"/>
    </xf>
    <xf borderId="15" fillId="6" fontId="3" numFmtId="0" xfId="0" applyAlignment="1" applyBorder="1" applyFont="1">
      <alignment horizontal="left"/>
    </xf>
    <xf borderId="16" fillId="0" fontId="8" numFmtId="0" xfId="0" applyAlignment="1" applyBorder="1" applyFont="1">
      <alignment horizontal="center"/>
    </xf>
    <xf borderId="17" fillId="4" fontId="3" numFmtId="0" xfId="0" applyAlignment="1" applyBorder="1" applyFont="1">
      <alignment horizontal="center"/>
    </xf>
    <xf borderId="0" fillId="0" fontId="3" numFmtId="164" xfId="0" applyFont="1" applyNumberFormat="1"/>
    <xf borderId="18" fillId="0" fontId="9" numFmtId="0" xfId="0" applyBorder="1" applyFont="1"/>
    <xf borderId="19" fillId="4" fontId="3" numFmtId="165" xfId="0" applyAlignment="1" applyBorder="1" applyFont="1" applyNumberFormat="1">
      <alignment horizontal="center"/>
    </xf>
    <xf borderId="20" fillId="0" fontId="9" numFmtId="0" xfId="0" applyBorder="1" applyFont="1"/>
    <xf borderId="21" fillId="6" fontId="3" numFmtId="0" xfId="0" applyAlignment="1" applyBorder="1" applyFont="1">
      <alignment horizontal="left"/>
    </xf>
    <xf borderId="22" fillId="0" fontId="3" numFmtId="165" xfId="0" applyAlignment="1" applyBorder="1" applyFont="1" applyNumberFormat="1">
      <alignment horizontal="center"/>
    </xf>
    <xf borderId="23" fillId="4" fontId="6" numFmtId="165" xfId="0" applyAlignment="1" applyBorder="1" applyFont="1" applyNumberFormat="1">
      <alignment horizontal="center"/>
    </xf>
    <xf borderId="0" fillId="0" fontId="3" numFmtId="165" xfId="0" applyFont="1" applyNumberFormat="1"/>
    <xf borderId="0" fillId="0" fontId="10" numFmtId="0" xfId="0" applyAlignment="1" applyFont="1">
      <alignment vertical="center"/>
    </xf>
    <xf borderId="24" fillId="0" fontId="3" numFmtId="0" xfId="0" applyAlignment="1" applyBorder="1" applyFont="1">
      <alignment vertical="center"/>
    </xf>
    <xf borderId="4" fillId="0" fontId="11" numFmtId="3" xfId="0" applyAlignment="1" applyBorder="1" applyFont="1" applyNumberFormat="1">
      <alignment vertical="center"/>
    </xf>
    <xf borderId="5" fillId="0" fontId="3" numFmtId="3" xfId="0" applyAlignment="1" applyBorder="1" applyFont="1" applyNumberFormat="1">
      <alignment vertical="center"/>
    </xf>
    <xf borderId="0" fillId="0" fontId="3" numFmtId="164" xfId="0" applyAlignment="1" applyFont="1" applyNumberFormat="1">
      <alignment vertical="center"/>
    </xf>
    <xf borderId="25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11" numFmtId="3" xfId="0" applyAlignment="1" applyBorder="1" applyFont="1" applyNumberFormat="1">
      <alignment vertical="center"/>
    </xf>
    <xf borderId="9" fillId="0" fontId="3" numFmtId="3" xfId="0" applyAlignment="1" applyBorder="1" applyFont="1" applyNumberFormat="1">
      <alignment vertical="center"/>
    </xf>
    <xf borderId="26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2" fillId="0" fontId="11" numFmtId="3" xfId="0" applyAlignment="1" applyBorder="1" applyFont="1" applyNumberFormat="1">
      <alignment vertical="center"/>
    </xf>
    <xf borderId="13" fillId="0" fontId="3" numFmtId="3" xfId="0" applyAlignment="1" applyBorder="1" applyFont="1" applyNumberFormat="1">
      <alignment vertical="center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center"/>
    </xf>
    <xf borderId="27" fillId="4" fontId="6" numFmtId="0" xfId="0" applyAlignment="1" applyBorder="1" applyFont="1">
      <alignment vertical="center"/>
    </xf>
    <xf borderId="28" fillId="4" fontId="6" numFmtId="0" xfId="0" applyAlignment="1" applyBorder="1" applyFont="1">
      <alignment vertical="center"/>
    </xf>
    <xf borderId="28" fillId="4" fontId="6" numFmtId="3" xfId="0" applyAlignment="1" applyBorder="1" applyFont="1" applyNumberFormat="1">
      <alignment vertical="center"/>
    </xf>
    <xf borderId="29" fillId="4" fontId="6" numFmtId="3" xfId="0" applyAlignment="1" applyBorder="1" applyFont="1" applyNumberForma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13" numFmtId="9" xfId="0" applyAlignment="1" applyFont="1" applyNumberFormat="1">
      <alignment horizontal="center" vertical="center"/>
    </xf>
    <xf borderId="0" fillId="0" fontId="3" numFmtId="165" xfId="0" applyAlignment="1" applyFont="1" applyNumberFormat="1">
      <alignment vertical="center"/>
    </xf>
    <xf borderId="24" fillId="0" fontId="6" numFmtId="0" xfId="0" applyAlignment="1" applyBorder="1" applyFont="1">
      <alignment horizontal="left" shrinkToFit="0" vertical="center" wrapText="1"/>
    </xf>
    <xf borderId="4" fillId="0" fontId="9" numFmtId="0" xfId="0" applyBorder="1" applyFont="1"/>
    <xf borderId="4" fillId="0" fontId="6" numFmtId="164" xfId="0" applyAlignment="1" applyBorder="1" applyFont="1" applyNumberFormat="1">
      <alignment vertical="center"/>
    </xf>
    <xf borderId="5" fillId="0" fontId="6" numFmtId="164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vertical="center"/>
    </xf>
    <xf borderId="9" fillId="0" fontId="3" numFmtId="16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26" fillId="4" fontId="3" numFmtId="0" xfId="0" applyAlignment="1" applyBorder="1" applyFont="1">
      <alignment vertical="center"/>
    </xf>
    <xf borderId="12" fillId="4" fontId="1" numFmtId="0" xfId="0" applyAlignment="1" applyBorder="1" applyFont="1">
      <alignment vertical="center"/>
    </xf>
    <xf borderId="12" fillId="4" fontId="3" numFmtId="164" xfId="0" applyAlignment="1" applyBorder="1" applyFont="1" applyNumberFormat="1">
      <alignment vertical="center"/>
    </xf>
    <xf borderId="13" fillId="4" fontId="3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2" numFmtId="0" xfId="0" applyAlignment="1" applyFont="1">
      <alignment shrinkToFit="0" vertical="center" wrapText="1"/>
    </xf>
    <xf borderId="0" fillId="0" fontId="11" numFmtId="166" xfId="0" applyAlignment="1" applyFont="1" applyNumberFormat="1">
      <alignment vertical="center"/>
    </xf>
    <xf borderId="0" fillId="0" fontId="11" numFmtId="9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4" fillId="0" fontId="8" numFmtId="0" xfId="0" applyAlignment="1" applyBorder="1" applyFont="1">
      <alignment horizontal="center" vertical="bottom"/>
    </xf>
    <xf borderId="30" fillId="0" fontId="8" numFmtId="165" xfId="0" applyAlignment="1" applyBorder="1" applyFont="1" applyNumberFormat="1">
      <alignment horizontal="center" vertical="bottom"/>
    </xf>
    <xf borderId="5" fillId="7" fontId="6" numFmtId="164" xfId="0" applyAlignment="1" applyBorder="1" applyFill="1" applyFont="1" applyNumberFormat="1">
      <alignment vertical="center"/>
    </xf>
    <xf borderId="9" fillId="7" fontId="3" numFmtId="164" xfId="0" applyAlignment="1" applyBorder="1" applyFont="1" applyNumberFormat="1">
      <alignment vertical="center"/>
    </xf>
    <xf borderId="13" fillId="7" fontId="3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 t="str">
        <f>E7</f>
        <v/>
      </c>
      <c r="AG6" s="17">
        <f>E8</f>
        <v>10000</v>
      </c>
      <c r="AH6" s="17">
        <f>E9</f>
        <v>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28.5" customHeight="1">
      <c r="A7" s="9"/>
      <c r="B7" s="18" t="s">
        <v>28</v>
      </c>
      <c r="C7" s="19" t="s">
        <v>29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>
        <f>SUM(D7:O7)</f>
        <v>0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 t="str">
        <f>F7</f>
        <v/>
      </c>
      <c r="AG7" s="22">
        <f>F8</f>
        <v>10000</v>
      </c>
      <c r="AH7" s="22">
        <f>F9</f>
        <v>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28.5" customHeight="1">
      <c r="A8" s="9"/>
      <c r="B8" s="23"/>
      <c r="C8" s="24" t="s">
        <v>30</v>
      </c>
      <c r="D8" s="25">
        <v>10000.0</v>
      </c>
      <c r="E8" s="25">
        <v>10000.0</v>
      </c>
      <c r="F8" s="25">
        <v>10000.0</v>
      </c>
      <c r="G8" s="25">
        <v>10000.0</v>
      </c>
      <c r="H8" s="25">
        <v>10000.0</v>
      </c>
      <c r="I8" s="25">
        <v>10000.0</v>
      </c>
      <c r="J8" s="25">
        <v>10000.0</v>
      </c>
      <c r="K8" s="25">
        <v>10000.0</v>
      </c>
      <c r="L8" s="25">
        <v>10000.0</v>
      </c>
      <c r="M8" s="25">
        <v>10000.0</v>
      </c>
      <c r="N8" s="25">
        <v>10000.0</v>
      </c>
      <c r="O8" s="25">
        <v>10000.0</v>
      </c>
      <c r="P8" s="26" t="str">
        <f>P9/P7</f>
        <v>#DIV/0!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8.5" customHeight="1">
      <c r="A9" s="9"/>
      <c r="B9" s="28"/>
      <c r="C9" s="29" t="s">
        <v>31</v>
      </c>
      <c r="D9" s="30">
        <f t="shared" ref="D9:O9" si="3">D8*D7</f>
        <v>0</v>
      </c>
      <c r="E9" s="30">
        <f t="shared" si="3"/>
        <v>0</v>
      </c>
      <c r="F9" s="30">
        <f t="shared" si="3"/>
        <v>0</v>
      </c>
      <c r="G9" s="30">
        <f t="shared" si="3"/>
        <v>0</v>
      </c>
      <c r="H9" s="30">
        <f t="shared" si="3"/>
        <v>0</v>
      </c>
      <c r="I9" s="30">
        <f t="shared" si="3"/>
        <v>0</v>
      </c>
      <c r="J9" s="30">
        <f t="shared" si="3"/>
        <v>0</v>
      </c>
      <c r="K9" s="30">
        <f t="shared" si="3"/>
        <v>0</v>
      </c>
      <c r="L9" s="30">
        <f t="shared" si="3"/>
        <v>0</v>
      </c>
      <c r="M9" s="30">
        <f t="shared" si="3"/>
        <v>0</v>
      </c>
      <c r="N9" s="30">
        <f t="shared" si="3"/>
        <v>0</v>
      </c>
      <c r="O9" s="30">
        <f t="shared" si="3"/>
        <v>0</v>
      </c>
      <c r="P9" s="31">
        <f>SUM(D9:O9)</f>
        <v>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 t="s">
        <v>32</v>
      </c>
      <c r="C11" s="19" t="s">
        <v>29</v>
      </c>
      <c r="D11" s="20">
        <v>50.0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>
        <f>SUM(D11:O11)</f>
        <v>50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 t="str">
        <f>F11</f>
        <v/>
      </c>
      <c r="AG11" s="22" t="str">
        <f>F12</f>
        <v/>
      </c>
      <c r="AH11" s="22">
        <f>F13</f>
        <v>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>
        <v>9000.0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P13/P11</f>
        <v>9000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450000</v>
      </c>
      <c r="E13" s="30">
        <f t="shared" si="5"/>
        <v>0</v>
      </c>
      <c r="F13" s="30">
        <f t="shared" si="5"/>
        <v>0</v>
      </c>
      <c r="G13" s="30">
        <f t="shared" si="5"/>
        <v>0</v>
      </c>
      <c r="H13" s="30">
        <f t="shared" si="5"/>
        <v>0</v>
      </c>
      <c r="I13" s="30">
        <f t="shared" si="5"/>
        <v>0</v>
      </c>
      <c r="J13" s="30">
        <f t="shared" si="5"/>
        <v>0</v>
      </c>
      <c r="K13" s="30">
        <f t="shared" si="5"/>
        <v>0</v>
      </c>
      <c r="L13" s="30">
        <f t="shared" si="5"/>
        <v>0</v>
      </c>
      <c r="M13" s="30">
        <f t="shared" si="5"/>
        <v>0</v>
      </c>
      <c r="N13" s="30">
        <f t="shared" si="5"/>
        <v>0</v>
      </c>
      <c r="O13" s="30">
        <f t="shared" si="5"/>
        <v>0</v>
      </c>
      <c r="P13" s="31">
        <f>SUM(D13:O13)</f>
        <v>450000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 t="s">
        <v>33</v>
      </c>
      <c r="C15" s="19" t="s">
        <v>29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>
        <f>SUM(D15:O15)</f>
        <v>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 t="str">
        <f>F15</f>
        <v/>
      </c>
      <c r="AG15" s="22" t="str">
        <f>F16</f>
        <v/>
      </c>
      <c r="AH15" s="22">
        <f>F17</f>
        <v>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 t="str">
        <f>P17/P15</f>
        <v>#DIV/0!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0</v>
      </c>
      <c r="E17" s="30">
        <f t="shared" si="7"/>
        <v>0</v>
      </c>
      <c r="F17" s="30">
        <f t="shared" si="7"/>
        <v>0</v>
      </c>
      <c r="G17" s="30">
        <f t="shared" si="7"/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1">
        <f>SUM(D17:O17)</f>
        <v>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 t="s">
        <v>34</v>
      </c>
      <c r="C19" s="19" t="s">
        <v>29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>
        <f>SUM(D19:O19)</f>
        <v>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 t="str">
        <f>F19</f>
        <v/>
      </c>
      <c r="AG19" s="22" t="str">
        <f>F20</f>
        <v/>
      </c>
      <c r="AH19" s="22">
        <f>F21</f>
        <v>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 t="str">
        <f>P21/P19</f>
        <v>#DIV/0!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0</v>
      </c>
      <c r="E21" s="30">
        <f t="shared" si="9"/>
        <v>0</v>
      </c>
      <c r="F21" s="30">
        <f t="shared" si="9"/>
        <v>0</v>
      </c>
      <c r="G21" s="30">
        <f t="shared" si="9"/>
        <v>0</v>
      </c>
      <c r="H21" s="30">
        <f t="shared" si="9"/>
        <v>0</v>
      </c>
      <c r="I21" s="30">
        <f t="shared" si="9"/>
        <v>0</v>
      </c>
      <c r="J21" s="30">
        <f t="shared" si="9"/>
        <v>0</v>
      </c>
      <c r="K21" s="30">
        <f t="shared" si="9"/>
        <v>0</v>
      </c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1">
        <f>SUM(D21:O21)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50</v>
      </c>
      <c r="E23" s="37">
        <f t="shared" si="10"/>
        <v>0</v>
      </c>
      <c r="F23" s="37">
        <f t="shared" si="10"/>
        <v>0</v>
      </c>
      <c r="G23" s="37">
        <f t="shared" si="10"/>
        <v>0</v>
      </c>
      <c r="H23" s="37">
        <f t="shared" si="10"/>
        <v>0</v>
      </c>
      <c r="I23" s="37">
        <f t="shared" si="10"/>
        <v>0</v>
      </c>
      <c r="J23" s="37">
        <f t="shared" si="10"/>
        <v>0</v>
      </c>
      <c r="K23" s="37">
        <f t="shared" si="10"/>
        <v>0</v>
      </c>
      <c r="L23" s="37">
        <f t="shared" si="10"/>
        <v>0</v>
      </c>
      <c r="M23" s="37">
        <f t="shared" si="10"/>
        <v>0</v>
      </c>
      <c r="N23" s="37">
        <f t="shared" si="10"/>
        <v>0</v>
      </c>
      <c r="O23" s="37">
        <f t="shared" si="10"/>
        <v>0</v>
      </c>
      <c r="P23" s="38">
        <f>SUM(D23:O23)</f>
        <v>50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>
        <f t="shared" ref="D24:P24" si="11">D25/D23</f>
        <v>9000</v>
      </c>
      <c r="E24" s="25" t="str">
        <f t="shared" si="11"/>
        <v>#DIV/0!</v>
      </c>
      <c r="F24" s="25" t="str">
        <f t="shared" si="11"/>
        <v>#DIV/0!</v>
      </c>
      <c r="G24" s="25" t="str">
        <f t="shared" si="11"/>
        <v>#DIV/0!</v>
      </c>
      <c r="H24" s="25" t="str">
        <f t="shared" si="11"/>
        <v>#DIV/0!</v>
      </c>
      <c r="I24" s="25" t="str">
        <f t="shared" si="11"/>
        <v>#DIV/0!</v>
      </c>
      <c r="J24" s="25" t="str">
        <f t="shared" si="11"/>
        <v>#DIV/0!</v>
      </c>
      <c r="K24" s="25" t="str">
        <f t="shared" si="11"/>
        <v>#DIV/0!</v>
      </c>
      <c r="L24" s="25" t="str">
        <f t="shared" si="11"/>
        <v>#DIV/0!</v>
      </c>
      <c r="M24" s="25" t="str">
        <f t="shared" si="11"/>
        <v>#DIV/0!</v>
      </c>
      <c r="N24" s="25" t="str">
        <f t="shared" si="11"/>
        <v>#DIV/0!</v>
      </c>
      <c r="O24" s="25" t="str">
        <f t="shared" si="11"/>
        <v>#DIV/0!</v>
      </c>
      <c r="P24" s="41">
        <f t="shared" si="11"/>
        <v>9000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450000</v>
      </c>
      <c r="E25" s="44">
        <f t="shared" si="12"/>
        <v>0</v>
      </c>
      <c r="F25" s="44">
        <f t="shared" si="12"/>
        <v>0</v>
      </c>
      <c r="G25" s="44">
        <f t="shared" si="12"/>
        <v>0</v>
      </c>
      <c r="H25" s="44">
        <f t="shared" si="12"/>
        <v>0</v>
      </c>
      <c r="I25" s="44">
        <f t="shared" si="12"/>
        <v>0</v>
      </c>
      <c r="J25" s="44">
        <f t="shared" si="12"/>
        <v>0</v>
      </c>
      <c r="K25" s="44">
        <f t="shared" si="12"/>
        <v>0</v>
      </c>
      <c r="L25" s="44">
        <f t="shared" si="12"/>
        <v>0</v>
      </c>
      <c r="M25" s="44">
        <f t="shared" si="12"/>
        <v>0</v>
      </c>
      <c r="N25" s="44">
        <f t="shared" si="12"/>
        <v>0</v>
      </c>
      <c r="O25" s="44">
        <f t="shared" si="12"/>
        <v>0</v>
      </c>
      <c r="P25" s="45">
        <f>SUM(D25:O25)</f>
        <v>450000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49">
        <v>5.0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>
        <f t="shared" ref="P29:P33" si="13">SUM(D29:O29)</f>
        <v>5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5.0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>
        <f t="shared" si="13"/>
        <v>5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5.0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5">
        <f t="shared" si="13"/>
        <v>5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6" t="s">
        <v>40</v>
      </c>
      <c r="C32" s="57"/>
      <c r="D32" s="58">
        <v>9.0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5">
        <f t="shared" si="13"/>
        <v>9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24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24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0.15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0.01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173333.3333</v>
      </c>
      <c r="E44" s="72">
        <f t="shared" si="15"/>
        <v>0</v>
      </c>
      <c r="F44" s="72">
        <f t="shared" si="15"/>
        <v>0</v>
      </c>
      <c r="G44" s="72">
        <f t="shared" si="15"/>
        <v>0</v>
      </c>
      <c r="H44" s="72">
        <f t="shared" si="15"/>
        <v>0</v>
      </c>
      <c r="I44" s="72">
        <f t="shared" si="15"/>
        <v>0</v>
      </c>
      <c r="J44" s="72">
        <f t="shared" si="15"/>
        <v>0</v>
      </c>
      <c r="K44" s="72">
        <f t="shared" si="15"/>
        <v>0</v>
      </c>
      <c r="L44" s="72">
        <f t="shared" si="15"/>
        <v>0</v>
      </c>
      <c r="M44" s="72">
        <f t="shared" si="15"/>
        <v>0</v>
      </c>
      <c r="N44" s="72">
        <f t="shared" si="15"/>
        <v>0</v>
      </c>
      <c r="O44" s="72">
        <f t="shared" si="15"/>
        <v>0</v>
      </c>
      <c r="P44" s="73">
        <f t="shared" si="15"/>
        <v>173333.3333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1733.333333</v>
      </c>
      <c r="E45" s="74">
        <f t="shared" si="16"/>
        <v>0</v>
      </c>
      <c r="F45" s="74">
        <f t="shared" si="16"/>
        <v>0</v>
      </c>
      <c r="G45" s="74">
        <f t="shared" si="16"/>
        <v>0</v>
      </c>
      <c r="H45" s="74">
        <f t="shared" si="16"/>
        <v>0</v>
      </c>
      <c r="I45" s="74">
        <f t="shared" si="16"/>
        <v>0</v>
      </c>
      <c r="J45" s="74">
        <f t="shared" si="16"/>
        <v>0</v>
      </c>
      <c r="K45" s="74">
        <f t="shared" si="16"/>
        <v>0</v>
      </c>
      <c r="L45" s="74">
        <f t="shared" si="16"/>
        <v>0</v>
      </c>
      <c r="M45" s="74">
        <f t="shared" si="16"/>
        <v>0</v>
      </c>
      <c r="N45" s="74">
        <f t="shared" si="16"/>
        <v>0</v>
      </c>
      <c r="O45" s="74">
        <f t="shared" si="16"/>
        <v>0</v>
      </c>
      <c r="P45" s="75">
        <f t="shared" si="16"/>
        <v>1733.333333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260</v>
      </c>
      <c r="E46" s="74">
        <f t="shared" si="17"/>
        <v>0</v>
      </c>
      <c r="F46" s="74">
        <f t="shared" si="17"/>
        <v>0</v>
      </c>
      <c r="G46" s="74">
        <f t="shared" si="17"/>
        <v>0</v>
      </c>
      <c r="H46" s="74">
        <f t="shared" si="17"/>
        <v>0</v>
      </c>
      <c r="I46" s="74">
        <f t="shared" si="17"/>
        <v>0</v>
      </c>
      <c r="J46" s="74">
        <f t="shared" si="17"/>
        <v>0</v>
      </c>
      <c r="K46" s="74">
        <f t="shared" si="17"/>
        <v>0</v>
      </c>
      <c r="L46" s="74">
        <f t="shared" si="17"/>
        <v>0</v>
      </c>
      <c r="M46" s="74">
        <f t="shared" si="17"/>
        <v>0</v>
      </c>
      <c r="N46" s="74">
        <f t="shared" si="17"/>
        <v>0</v>
      </c>
      <c r="O46" s="74">
        <f t="shared" si="17"/>
        <v>0</v>
      </c>
      <c r="P46" s="75">
        <f t="shared" si="17"/>
        <v>260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26</v>
      </c>
      <c r="E47" s="79">
        <f t="shared" si="18"/>
        <v>0</v>
      </c>
      <c r="F47" s="79">
        <f t="shared" si="18"/>
        <v>0</v>
      </c>
      <c r="G47" s="79">
        <f t="shared" si="18"/>
        <v>0</v>
      </c>
      <c r="H47" s="79">
        <f t="shared" si="18"/>
        <v>0</v>
      </c>
      <c r="I47" s="79">
        <f t="shared" si="18"/>
        <v>0</v>
      </c>
      <c r="J47" s="79">
        <f t="shared" si="18"/>
        <v>0</v>
      </c>
      <c r="K47" s="79">
        <f t="shared" si="18"/>
        <v>0</v>
      </c>
      <c r="L47" s="79">
        <f t="shared" si="18"/>
        <v>0</v>
      </c>
      <c r="M47" s="79">
        <f t="shared" si="18"/>
        <v>0</v>
      </c>
      <c r="N47" s="79">
        <f t="shared" si="18"/>
        <v>0</v>
      </c>
      <c r="O47" s="79">
        <f t="shared" si="18"/>
        <v>0</v>
      </c>
      <c r="P47" s="80">
        <f t="shared" si="18"/>
        <v>26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5.0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0.0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866666.6667</v>
      </c>
      <c r="F51" s="87">
        <f>E51/P25</f>
        <v>1.925925926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53</v>
      </c>
      <c r="E52" s="86">
        <f>E51/12</f>
        <v>72222.22222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>
        <f>E7</f>
        <v>1</v>
      </c>
      <c r="AG6" s="17">
        <f>E8</f>
        <v>12000</v>
      </c>
      <c r="AH6" s="17">
        <f>E9</f>
        <v>12000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28.5" customHeight="1">
      <c r="A7" s="9"/>
      <c r="B7" s="18" t="s">
        <v>32</v>
      </c>
      <c r="C7" s="19" t="s">
        <v>29</v>
      </c>
      <c r="D7" s="20">
        <v>0.0</v>
      </c>
      <c r="E7" s="20">
        <v>1.0</v>
      </c>
      <c r="F7" s="20">
        <v>4.0</v>
      </c>
      <c r="G7" s="20">
        <v>2.0</v>
      </c>
      <c r="H7" s="20">
        <v>2.0</v>
      </c>
      <c r="I7" s="20">
        <v>4.0</v>
      </c>
      <c r="J7" s="20">
        <v>4.0</v>
      </c>
      <c r="K7" s="20">
        <v>5.0</v>
      </c>
      <c r="L7" s="20">
        <v>5.0</v>
      </c>
      <c r="M7" s="20">
        <v>5.0</v>
      </c>
      <c r="N7" s="20">
        <v>5.0</v>
      </c>
      <c r="O7" s="20">
        <v>5.0</v>
      </c>
      <c r="P7" s="21">
        <f>SUM(D7:O7)</f>
        <v>42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>
        <f>F7</f>
        <v>4</v>
      </c>
      <c r="AG7" s="22">
        <f>F8</f>
        <v>12000</v>
      </c>
      <c r="AH7" s="22">
        <f>F9</f>
        <v>48000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28.5" customHeight="1">
      <c r="A8" s="9"/>
      <c r="B8" s="23"/>
      <c r="C8" s="24" t="s">
        <v>30</v>
      </c>
      <c r="D8" s="25">
        <v>0.0</v>
      </c>
      <c r="E8" s="25">
        <v>12000.0</v>
      </c>
      <c r="F8" s="25">
        <v>12000.0</v>
      </c>
      <c r="G8" s="25">
        <v>12000.0</v>
      </c>
      <c r="H8" s="25">
        <v>12000.0</v>
      </c>
      <c r="I8" s="25">
        <v>12000.0</v>
      </c>
      <c r="J8" s="25">
        <v>12000.0</v>
      </c>
      <c r="K8" s="25">
        <v>12000.0</v>
      </c>
      <c r="L8" s="25">
        <v>12000.0</v>
      </c>
      <c r="M8" s="25">
        <v>12000.0</v>
      </c>
      <c r="N8" s="25">
        <v>12000.0</v>
      </c>
      <c r="O8" s="25">
        <v>12000.0</v>
      </c>
      <c r="P8" s="26">
        <f>P9/P7</f>
        <v>12000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8.5" customHeight="1">
      <c r="A9" s="9"/>
      <c r="B9" s="28"/>
      <c r="C9" s="29" t="s">
        <v>31</v>
      </c>
      <c r="D9" s="30">
        <f t="shared" ref="D9:O9" si="3">D8*D7</f>
        <v>0</v>
      </c>
      <c r="E9" s="30">
        <f t="shared" si="3"/>
        <v>12000</v>
      </c>
      <c r="F9" s="30">
        <f t="shared" si="3"/>
        <v>48000</v>
      </c>
      <c r="G9" s="30">
        <f t="shared" si="3"/>
        <v>24000</v>
      </c>
      <c r="H9" s="30">
        <f t="shared" si="3"/>
        <v>24000</v>
      </c>
      <c r="I9" s="30">
        <f t="shared" si="3"/>
        <v>48000</v>
      </c>
      <c r="J9" s="30">
        <f t="shared" si="3"/>
        <v>48000</v>
      </c>
      <c r="K9" s="30">
        <f t="shared" si="3"/>
        <v>60000</v>
      </c>
      <c r="L9" s="30">
        <f t="shared" si="3"/>
        <v>60000</v>
      </c>
      <c r="M9" s="30">
        <f t="shared" si="3"/>
        <v>60000</v>
      </c>
      <c r="N9" s="30">
        <f t="shared" si="3"/>
        <v>60000</v>
      </c>
      <c r="O9" s="30">
        <f t="shared" si="3"/>
        <v>60000</v>
      </c>
      <c r="P9" s="31">
        <f>SUM(D9:O9)</f>
        <v>504000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/>
      <c r="C11" s="19" t="s">
        <v>29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>
        <f>SUM(D11:O11)</f>
        <v>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 t="str">
        <f>F11</f>
        <v/>
      </c>
      <c r="AG11" s="22" t="str">
        <f>F12</f>
        <v/>
      </c>
      <c r="AH11" s="22">
        <f>F13</f>
        <v>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 t="str">
        <f>P13/P11</f>
        <v>#DIV/0!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0</v>
      </c>
      <c r="E13" s="30">
        <f t="shared" si="5"/>
        <v>0</v>
      </c>
      <c r="F13" s="30">
        <f t="shared" si="5"/>
        <v>0</v>
      </c>
      <c r="G13" s="30">
        <f t="shared" si="5"/>
        <v>0</v>
      </c>
      <c r="H13" s="30">
        <f t="shared" si="5"/>
        <v>0</v>
      </c>
      <c r="I13" s="30">
        <f t="shared" si="5"/>
        <v>0</v>
      </c>
      <c r="J13" s="30">
        <f t="shared" si="5"/>
        <v>0</v>
      </c>
      <c r="K13" s="30">
        <f t="shared" si="5"/>
        <v>0</v>
      </c>
      <c r="L13" s="30">
        <f t="shared" si="5"/>
        <v>0</v>
      </c>
      <c r="M13" s="30">
        <f t="shared" si="5"/>
        <v>0</v>
      </c>
      <c r="N13" s="30">
        <f t="shared" si="5"/>
        <v>0</v>
      </c>
      <c r="O13" s="30">
        <f t="shared" si="5"/>
        <v>0</v>
      </c>
      <c r="P13" s="31">
        <f>SUM(D13:O13)</f>
        <v>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/>
      <c r="C15" s="19" t="s">
        <v>29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>
        <f>SUM(D15:O15)</f>
        <v>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 t="str">
        <f>F15</f>
        <v/>
      </c>
      <c r="AG15" s="22" t="str">
        <f>F16</f>
        <v/>
      </c>
      <c r="AH15" s="22">
        <f>F17</f>
        <v>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 t="str">
        <f>P17/P15</f>
        <v>#DIV/0!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0</v>
      </c>
      <c r="E17" s="30">
        <f t="shared" si="7"/>
        <v>0</v>
      </c>
      <c r="F17" s="30">
        <f t="shared" si="7"/>
        <v>0</v>
      </c>
      <c r="G17" s="30">
        <f t="shared" si="7"/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1">
        <f>SUM(D17:O17)</f>
        <v>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/>
      <c r="C19" s="19" t="s">
        <v>29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>
        <f>SUM(D19:O19)</f>
        <v>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 t="str">
        <f>F19</f>
        <v/>
      </c>
      <c r="AG19" s="22" t="str">
        <f>F20</f>
        <v/>
      </c>
      <c r="AH19" s="22">
        <f>F21</f>
        <v>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 t="str">
        <f>P21/P19</f>
        <v>#DIV/0!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0</v>
      </c>
      <c r="E21" s="30">
        <f t="shared" si="9"/>
        <v>0</v>
      </c>
      <c r="F21" s="30">
        <f t="shared" si="9"/>
        <v>0</v>
      </c>
      <c r="G21" s="30">
        <f t="shared" si="9"/>
        <v>0</v>
      </c>
      <c r="H21" s="30">
        <f t="shared" si="9"/>
        <v>0</v>
      </c>
      <c r="I21" s="30">
        <f t="shared" si="9"/>
        <v>0</v>
      </c>
      <c r="J21" s="30">
        <f t="shared" si="9"/>
        <v>0</v>
      </c>
      <c r="K21" s="30">
        <f t="shared" si="9"/>
        <v>0</v>
      </c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1">
        <f>SUM(D21:O21)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0</v>
      </c>
      <c r="E23" s="37">
        <f t="shared" si="10"/>
        <v>1</v>
      </c>
      <c r="F23" s="37">
        <f t="shared" si="10"/>
        <v>4</v>
      </c>
      <c r="G23" s="37">
        <f t="shared" si="10"/>
        <v>2</v>
      </c>
      <c r="H23" s="37">
        <f t="shared" si="10"/>
        <v>2</v>
      </c>
      <c r="I23" s="37">
        <f t="shared" si="10"/>
        <v>4</v>
      </c>
      <c r="J23" s="37">
        <f t="shared" si="10"/>
        <v>4</v>
      </c>
      <c r="K23" s="37">
        <f t="shared" si="10"/>
        <v>5</v>
      </c>
      <c r="L23" s="37">
        <f t="shared" si="10"/>
        <v>5</v>
      </c>
      <c r="M23" s="37">
        <f t="shared" si="10"/>
        <v>5</v>
      </c>
      <c r="N23" s="37">
        <f t="shared" si="10"/>
        <v>5</v>
      </c>
      <c r="O23" s="37">
        <f t="shared" si="10"/>
        <v>5</v>
      </c>
      <c r="P23" s="38">
        <f>SUM(D23:O23)</f>
        <v>42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 t="str">
        <f t="shared" ref="D24:P24" si="11">D25/D23</f>
        <v>#DIV/0!</v>
      </c>
      <c r="E24" s="25">
        <f t="shared" si="11"/>
        <v>12000</v>
      </c>
      <c r="F24" s="25">
        <f t="shared" si="11"/>
        <v>12000</v>
      </c>
      <c r="G24" s="25">
        <f t="shared" si="11"/>
        <v>12000</v>
      </c>
      <c r="H24" s="25">
        <f t="shared" si="11"/>
        <v>12000</v>
      </c>
      <c r="I24" s="25">
        <f t="shared" si="11"/>
        <v>12000</v>
      </c>
      <c r="J24" s="25">
        <f t="shared" si="11"/>
        <v>12000</v>
      </c>
      <c r="K24" s="25">
        <f t="shared" si="11"/>
        <v>12000</v>
      </c>
      <c r="L24" s="25">
        <f t="shared" si="11"/>
        <v>12000</v>
      </c>
      <c r="M24" s="25">
        <f t="shared" si="11"/>
        <v>12000</v>
      </c>
      <c r="N24" s="25">
        <f t="shared" si="11"/>
        <v>12000</v>
      </c>
      <c r="O24" s="25">
        <f t="shared" si="11"/>
        <v>12000</v>
      </c>
      <c r="P24" s="41">
        <f t="shared" si="11"/>
        <v>12000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0</v>
      </c>
      <c r="E25" s="44">
        <f t="shared" si="12"/>
        <v>12000</v>
      </c>
      <c r="F25" s="44">
        <f t="shared" si="12"/>
        <v>48000</v>
      </c>
      <c r="G25" s="44">
        <f t="shared" si="12"/>
        <v>24000</v>
      </c>
      <c r="H25" s="44">
        <f t="shared" si="12"/>
        <v>24000</v>
      </c>
      <c r="I25" s="44">
        <f t="shared" si="12"/>
        <v>48000</v>
      </c>
      <c r="J25" s="44">
        <f t="shared" si="12"/>
        <v>48000</v>
      </c>
      <c r="K25" s="44">
        <f t="shared" si="12"/>
        <v>60000</v>
      </c>
      <c r="L25" s="44">
        <f t="shared" si="12"/>
        <v>60000</v>
      </c>
      <c r="M25" s="44">
        <f t="shared" si="12"/>
        <v>60000</v>
      </c>
      <c r="N25" s="44">
        <f t="shared" si="12"/>
        <v>60000</v>
      </c>
      <c r="O25" s="44">
        <f t="shared" si="12"/>
        <v>60000</v>
      </c>
      <c r="P25" s="45">
        <f>SUM(D25:O25)</f>
        <v>504000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49">
        <v>0.0</v>
      </c>
      <c r="E29" s="49">
        <v>0.0</v>
      </c>
      <c r="F29" s="49">
        <v>0.0</v>
      </c>
      <c r="G29" s="49">
        <v>0.0</v>
      </c>
      <c r="H29" s="49">
        <v>0.0</v>
      </c>
      <c r="I29" s="49">
        <v>0.0</v>
      </c>
      <c r="J29" s="49">
        <v>0.0</v>
      </c>
      <c r="K29" s="49">
        <v>0.0</v>
      </c>
      <c r="L29" s="49">
        <v>0.0</v>
      </c>
      <c r="M29" s="49">
        <v>0.0</v>
      </c>
      <c r="N29" s="49">
        <v>0.0</v>
      </c>
      <c r="O29" s="49">
        <v>0.0</v>
      </c>
      <c r="P29" s="50">
        <f t="shared" ref="P29:P33" si="13">SUM(D29:O29)</f>
        <v>0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5">
        <f t="shared" si="13"/>
        <v>0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5">
        <f t="shared" si="13"/>
        <v>0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2" t="s">
        <v>54</v>
      </c>
      <c r="C32" s="53"/>
      <c r="D32" s="54">
        <v>0.0</v>
      </c>
      <c r="E32" s="54">
        <v>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5">
        <f t="shared" si="13"/>
        <v>0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0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0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0.3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0.01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0</v>
      </c>
      <c r="E44" s="72">
        <f t="shared" si="15"/>
        <v>3333.333333</v>
      </c>
      <c r="F44" s="72">
        <f t="shared" si="15"/>
        <v>13333.33333</v>
      </c>
      <c r="G44" s="72">
        <f t="shared" si="15"/>
        <v>6666.666667</v>
      </c>
      <c r="H44" s="72">
        <f t="shared" si="15"/>
        <v>6666.666667</v>
      </c>
      <c r="I44" s="72">
        <f t="shared" si="15"/>
        <v>13333.33333</v>
      </c>
      <c r="J44" s="72">
        <f t="shared" si="15"/>
        <v>13333.33333</v>
      </c>
      <c r="K44" s="72">
        <f t="shared" si="15"/>
        <v>16666.66667</v>
      </c>
      <c r="L44" s="72">
        <f t="shared" si="15"/>
        <v>16666.66667</v>
      </c>
      <c r="M44" s="72">
        <f t="shared" si="15"/>
        <v>16666.66667</v>
      </c>
      <c r="N44" s="72">
        <f t="shared" si="15"/>
        <v>16666.66667</v>
      </c>
      <c r="O44" s="72">
        <f t="shared" si="15"/>
        <v>16666.66667</v>
      </c>
      <c r="P44" s="73">
        <f t="shared" si="15"/>
        <v>140000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0</v>
      </c>
      <c r="E45" s="74">
        <f t="shared" si="16"/>
        <v>33.33333333</v>
      </c>
      <c r="F45" s="74">
        <f t="shared" si="16"/>
        <v>133.3333333</v>
      </c>
      <c r="G45" s="74">
        <f t="shared" si="16"/>
        <v>66.66666667</v>
      </c>
      <c r="H45" s="74">
        <f t="shared" si="16"/>
        <v>66.66666667</v>
      </c>
      <c r="I45" s="74">
        <f t="shared" si="16"/>
        <v>133.3333333</v>
      </c>
      <c r="J45" s="74">
        <f t="shared" si="16"/>
        <v>133.3333333</v>
      </c>
      <c r="K45" s="74">
        <f t="shared" si="16"/>
        <v>166.6666667</v>
      </c>
      <c r="L45" s="74">
        <f t="shared" si="16"/>
        <v>166.6666667</v>
      </c>
      <c r="M45" s="74">
        <f t="shared" si="16"/>
        <v>166.6666667</v>
      </c>
      <c r="N45" s="74">
        <f t="shared" si="16"/>
        <v>166.6666667</v>
      </c>
      <c r="O45" s="74">
        <f t="shared" si="16"/>
        <v>166.6666667</v>
      </c>
      <c r="P45" s="75">
        <f t="shared" si="16"/>
        <v>1400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0</v>
      </c>
      <c r="E46" s="74">
        <f t="shared" si="17"/>
        <v>10</v>
      </c>
      <c r="F46" s="74">
        <f t="shared" si="17"/>
        <v>40</v>
      </c>
      <c r="G46" s="74">
        <f t="shared" si="17"/>
        <v>20</v>
      </c>
      <c r="H46" s="74">
        <f t="shared" si="17"/>
        <v>20</v>
      </c>
      <c r="I46" s="74">
        <f t="shared" si="17"/>
        <v>40</v>
      </c>
      <c r="J46" s="74">
        <f t="shared" si="17"/>
        <v>40</v>
      </c>
      <c r="K46" s="74">
        <f t="shared" si="17"/>
        <v>50</v>
      </c>
      <c r="L46" s="74">
        <f t="shared" si="17"/>
        <v>50</v>
      </c>
      <c r="M46" s="74">
        <f t="shared" si="17"/>
        <v>50</v>
      </c>
      <c r="N46" s="74">
        <f t="shared" si="17"/>
        <v>50</v>
      </c>
      <c r="O46" s="74">
        <f t="shared" si="17"/>
        <v>50</v>
      </c>
      <c r="P46" s="75">
        <f t="shared" si="17"/>
        <v>420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0</v>
      </c>
      <c r="E47" s="79">
        <f t="shared" si="18"/>
        <v>1</v>
      </c>
      <c r="F47" s="79">
        <f t="shared" si="18"/>
        <v>4</v>
      </c>
      <c r="G47" s="79">
        <f t="shared" si="18"/>
        <v>2</v>
      </c>
      <c r="H47" s="79">
        <f t="shared" si="18"/>
        <v>2</v>
      </c>
      <c r="I47" s="79">
        <f t="shared" si="18"/>
        <v>4</v>
      </c>
      <c r="J47" s="79">
        <f t="shared" si="18"/>
        <v>4</v>
      </c>
      <c r="K47" s="79">
        <f t="shared" si="18"/>
        <v>5</v>
      </c>
      <c r="L47" s="79">
        <f t="shared" si="18"/>
        <v>5</v>
      </c>
      <c r="M47" s="79">
        <f t="shared" si="18"/>
        <v>5</v>
      </c>
      <c r="N47" s="79">
        <f t="shared" si="18"/>
        <v>5</v>
      </c>
      <c r="O47" s="79">
        <f t="shared" si="18"/>
        <v>5</v>
      </c>
      <c r="P47" s="80">
        <f t="shared" si="18"/>
        <v>42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0.14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0.1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17640</v>
      </c>
      <c r="F51" s="87">
        <f>E51/P25</f>
        <v>0.035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53</v>
      </c>
      <c r="E52" s="86">
        <f>E51/12</f>
        <v>1470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>
        <f>E7</f>
        <v>2</v>
      </c>
      <c r="AG6" s="17">
        <f>E8</f>
        <v>2750</v>
      </c>
      <c r="AH6" s="17">
        <f>E9</f>
        <v>5500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28.5" customHeight="1">
      <c r="A7" s="9"/>
      <c r="B7" s="18" t="s">
        <v>33</v>
      </c>
      <c r="C7" s="19" t="s">
        <v>29</v>
      </c>
      <c r="D7" s="20">
        <v>0.0</v>
      </c>
      <c r="E7" s="20">
        <v>2.0</v>
      </c>
      <c r="F7" s="20">
        <v>5.0</v>
      </c>
      <c r="G7" s="20">
        <v>5.0</v>
      </c>
      <c r="H7" s="20">
        <v>5.0</v>
      </c>
      <c r="I7" s="20">
        <v>5.0</v>
      </c>
      <c r="J7" s="20">
        <v>5.0</v>
      </c>
      <c r="K7" s="20">
        <v>5.0</v>
      </c>
      <c r="L7" s="20">
        <v>5.0</v>
      </c>
      <c r="M7" s="20">
        <v>5.0</v>
      </c>
      <c r="N7" s="20">
        <v>5.0</v>
      </c>
      <c r="O7" s="20">
        <v>5.0</v>
      </c>
      <c r="P7" s="21">
        <f>SUM(D7:O7)</f>
        <v>52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>
        <f>F7</f>
        <v>5</v>
      </c>
      <c r="AG7" s="22">
        <f>F8</f>
        <v>2750</v>
      </c>
      <c r="AH7" s="22">
        <f>F9</f>
        <v>13750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28.5" customHeight="1">
      <c r="A8" s="9"/>
      <c r="B8" s="23"/>
      <c r="C8" s="24" t="s">
        <v>30</v>
      </c>
      <c r="D8" s="25">
        <v>2750.0</v>
      </c>
      <c r="E8" s="25">
        <v>2750.0</v>
      </c>
      <c r="F8" s="25">
        <v>2750.0</v>
      </c>
      <c r="G8" s="25">
        <v>2750.0</v>
      </c>
      <c r="H8" s="25">
        <v>2750.0</v>
      </c>
      <c r="I8" s="25">
        <v>2750.0</v>
      </c>
      <c r="J8" s="25">
        <v>2750.0</v>
      </c>
      <c r="K8" s="25">
        <v>2750.0</v>
      </c>
      <c r="L8" s="25">
        <v>2750.0</v>
      </c>
      <c r="M8" s="25">
        <v>2750.0</v>
      </c>
      <c r="N8" s="25">
        <v>2750.0</v>
      </c>
      <c r="O8" s="25">
        <v>2750.0</v>
      </c>
      <c r="P8" s="26">
        <f>P9/P7</f>
        <v>2750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8.5" customHeight="1">
      <c r="A9" s="9"/>
      <c r="B9" s="28"/>
      <c r="C9" s="29" t="s">
        <v>31</v>
      </c>
      <c r="D9" s="30">
        <f t="shared" ref="D9:O9" si="3">D8*D7</f>
        <v>0</v>
      </c>
      <c r="E9" s="30">
        <f t="shared" si="3"/>
        <v>5500</v>
      </c>
      <c r="F9" s="30">
        <f t="shared" si="3"/>
        <v>13750</v>
      </c>
      <c r="G9" s="30">
        <f t="shared" si="3"/>
        <v>13750</v>
      </c>
      <c r="H9" s="30">
        <f t="shared" si="3"/>
        <v>13750</v>
      </c>
      <c r="I9" s="30">
        <f t="shared" si="3"/>
        <v>13750</v>
      </c>
      <c r="J9" s="30">
        <f t="shared" si="3"/>
        <v>13750</v>
      </c>
      <c r="K9" s="30">
        <f t="shared" si="3"/>
        <v>13750</v>
      </c>
      <c r="L9" s="30">
        <f t="shared" si="3"/>
        <v>13750</v>
      </c>
      <c r="M9" s="30">
        <f t="shared" si="3"/>
        <v>13750</v>
      </c>
      <c r="N9" s="30">
        <f t="shared" si="3"/>
        <v>13750</v>
      </c>
      <c r="O9" s="30">
        <f t="shared" si="3"/>
        <v>13750</v>
      </c>
      <c r="P9" s="31">
        <f>SUM(D9:O9)</f>
        <v>143000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 t="s">
        <v>33</v>
      </c>
      <c r="C11" s="19" t="s">
        <v>29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>
        <f>SUM(D11:O11)</f>
        <v>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 t="str">
        <f>F11</f>
        <v/>
      </c>
      <c r="AG11" s="22" t="str">
        <f>F12</f>
        <v/>
      </c>
      <c r="AH11" s="22">
        <f>F13</f>
        <v>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 t="str">
        <f>P13/P11</f>
        <v>#DIV/0!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0</v>
      </c>
      <c r="E13" s="30">
        <f t="shared" si="5"/>
        <v>0</v>
      </c>
      <c r="F13" s="30">
        <f t="shared" si="5"/>
        <v>0</v>
      </c>
      <c r="G13" s="30">
        <f t="shared" si="5"/>
        <v>0</v>
      </c>
      <c r="H13" s="30">
        <f t="shared" si="5"/>
        <v>0</v>
      </c>
      <c r="I13" s="30">
        <f t="shared" si="5"/>
        <v>0</v>
      </c>
      <c r="J13" s="30">
        <f t="shared" si="5"/>
        <v>0</v>
      </c>
      <c r="K13" s="30">
        <f t="shared" si="5"/>
        <v>0</v>
      </c>
      <c r="L13" s="30">
        <f t="shared" si="5"/>
        <v>0</v>
      </c>
      <c r="M13" s="30">
        <f t="shared" si="5"/>
        <v>0</v>
      </c>
      <c r="N13" s="30">
        <f t="shared" si="5"/>
        <v>0</v>
      </c>
      <c r="O13" s="30">
        <f t="shared" si="5"/>
        <v>0</v>
      </c>
      <c r="P13" s="31">
        <f>SUM(D13:O13)</f>
        <v>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/>
      <c r="C15" s="19" t="s">
        <v>29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>
        <f>SUM(D15:O15)</f>
        <v>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 t="str">
        <f>F15</f>
        <v/>
      </c>
      <c r="AG15" s="22" t="str">
        <f>F16</f>
        <v/>
      </c>
      <c r="AH15" s="22">
        <f>F17</f>
        <v>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 t="str">
        <f>P17/P15</f>
        <v>#DIV/0!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0</v>
      </c>
      <c r="E17" s="30">
        <f t="shared" si="7"/>
        <v>0</v>
      </c>
      <c r="F17" s="30">
        <f t="shared" si="7"/>
        <v>0</v>
      </c>
      <c r="G17" s="30">
        <f t="shared" si="7"/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1">
        <f>SUM(D17:O17)</f>
        <v>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 t="s">
        <v>34</v>
      </c>
      <c r="C19" s="19" t="s">
        <v>29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>
        <f>SUM(D19:O19)</f>
        <v>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 t="str">
        <f>F19</f>
        <v/>
      </c>
      <c r="AG19" s="22" t="str">
        <f>F20</f>
        <v/>
      </c>
      <c r="AH19" s="22">
        <f>F21</f>
        <v>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 t="str">
        <f>P21/P19</f>
        <v>#DIV/0!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0</v>
      </c>
      <c r="E21" s="30">
        <f t="shared" si="9"/>
        <v>0</v>
      </c>
      <c r="F21" s="30">
        <f t="shared" si="9"/>
        <v>0</v>
      </c>
      <c r="G21" s="30">
        <f t="shared" si="9"/>
        <v>0</v>
      </c>
      <c r="H21" s="30">
        <f t="shared" si="9"/>
        <v>0</v>
      </c>
      <c r="I21" s="30">
        <f t="shared" si="9"/>
        <v>0</v>
      </c>
      <c r="J21" s="30">
        <f t="shared" si="9"/>
        <v>0</v>
      </c>
      <c r="K21" s="30">
        <f t="shared" si="9"/>
        <v>0</v>
      </c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1">
        <f>SUM(D21:O21)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0</v>
      </c>
      <c r="E23" s="37">
        <f t="shared" si="10"/>
        <v>2</v>
      </c>
      <c r="F23" s="37">
        <f t="shared" si="10"/>
        <v>5</v>
      </c>
      <c r="G23" s="37">
        <f t="shared" si="10"/>
        <v>5</v>
      </c>
      <c r="H23" s="37">
        <f t="shared" si="10"/>
        <v>5</v>
      </c>
      <c r="I23" s="37">
        <f t="shared" si="10"/>
        <v>5</v>
      </c>
      <c r="J23" s="37">
        <f t="shared" si="10"/>
        <v>5</v>
      </c>
      <c r="K23" s="37">
        <f t="shared" si="10"/>
        <v>5</v>
      </c>
      <c r="L23" s="37">
        <f t="shared" si="10"/>
        <v>5</v>
      </c>
      <c r="M23" s="37">
        <f t="shared" si="10"/>
        <v>5</v>
      </c>
      <c r="N23" s="37">
        <f t="shared" si="10"/>
        <v>5</v>
      </c>
      <c r="O23" s="37">
        <f t="shared" si="10"/>
        <v>5</v>
      </c>
      <c r="P23" s="38">
        <f>SUM(D23:O23)</f>
        <v>52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 t="str">
        <f t="shared" ref="D24:P24" si="11">D25/D23</f>
        <v>#DIV/0!</v>
      </c>
      <c r="E24" s="25">
        <f t="shared" si="11"/>
        <v>2750</v>
      </c>
      <c r="F24" s="25">
        <f t="shared" si="11"/>
        <v>2750</v>
      </c>
      <c r="G24" s="25">
        <f t="shared" si="11"/>
        <v>2750</v>
      </c>
      <c r="H24" s="25">
        <f t="shared" si="11"/>
        <v>2750</v>
      </c>
      <c r="I24" s="25">
        <f t="shared" si="11"/>
        <v>2750</v>
      </c>
      <c r="J24" s="25">
        <f t="shared" si="11"/>
        <v>2750</v>
      </c>
      <c r="K24" s="25">
        <f t="shared" si="11"/>
        <v>2750</v>
      </c>
      <c r="L24" s="25">
        <f t="shared" si="11"/>
        <v>2750</v>
      </c>
      <c r="M24" s="25">
        <f t="shared" si="11"/>
        <v>2750</v>
      </c>
      <c r="N24" s="25">
        <f t="shared" si="11"/>
        <v>2750</v>
      </c>
      <c r="O24" s="25">
        <f t="shared" si="11"/>
        <v>2750</v>
      </c>
      <c r="P24" s="41">
        <f t="shared" si="11"/>
        <v>2750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0</v>
      </c>
      <c r="E25" s="44">
        <f t="shared" si="12"/>
        <v>5500</v>
      </c>
      <c r="F25" s="44">
        <f t="shared" si="12"/>
        <v>13750</v>
      </c>
      <c r="G25" s="44">
        <f t="shared" si="12"/>
        <v>13750</v>
      </c>
      <c r="H25" s="44">
        <f t="shared" si="12"/>
        <v>13750</v>
      </c>
      <c r="I25" s="44">
        <f t="shared" si="12"/>
        <v>13750</v>
      </c>
      <c r="J25" s="44">
        <f t="shared" si="12"/>
        <v>13750</v>
      </c>
      <c r="K25" s="44">
        <f t="shared" si="12"/>
        <v>13750</v>
      </c>
      <c r="L25" s="44">
        <f t="shared" si="12"/>
        <v>13750</v>
      </c>
      <c r="M25" s="44">
        <f t="shared" si="12"/>
        <v>13750</v>
      </c>
      <c r="N25" s="44">
        <f t="shared" si="12"/>
        <v>13750</v>
      </c>
      <c r="O25" s="44">
        <f t="shared" si="12"/>
        <v>13750</v>
      </c>
      <c r="P25" s="45">
        <f>SUM(D25:O25)</f>
        <v>143000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49">
        <v>0.0</v>
      </c>
      <c r="E29" s="49">
        <v>0.0</v>
      </c>
      <c r="F29" s="49">
        <v>0.0</v>
      </c>
      <c r="G29" s="49">
        <v>0.0</v>
      </c>
      <c r="H29" s="49">
        <v>0.0</v>
      </c>
      <c r="I29" s="49">
        <v>0.0</v>
      </c>
      <c r="J29" s="49">
        <v>0.0</v>
      </c>
      <c r="K29" s="49">
        <v>0.0</v>
      </c>
      <c r="L29" s="49">
        <v>0.0</v>
      </c>
      <c r="M29" s="49">
        <v>0.0</v>
      </c>
      <c r="N29" s="49">
        <v>0.0</v>
      </c>
      <c r="O29" s="49">
        <v>0.0</v>
      </c>
      <c r="P29" s="50">
        <f t="shared" ref="P29:P33" si="13">SUM(D29:O29)</f>
        <v>0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5">
        <f t="shared" si="13"/>
        <v>0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5">
        <f t="shared" si="13"/>
        <v>0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2" t="s">
        <v>54</v>
      </c>
      <c r="C32" s="53"/>
      <c r="D32" s="54">
        <v>0.0</v>
      </c>
      <c r="E32" s="54">
        <v>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5">
        <f t="shared" si="13"/>
        <v>0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0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0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0.3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0.01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0</v>
      </c>
      <c r="E44" s="72">
        <f t="shared" si="15"/>
        <v>6666.666667</v>
      </c>
      <c r="F44" s="72">
        <f t="shared" si="15"/>
        <v>16666.66667</v>
      </c>
      <c r="G44" s="72">
        <f t="shared" si="15"/>
        <v>16666.66667</v>
      </c>
      <c r="H44" s="72">
        <f t="shared" si="15"/>
        <v>16666.66667</v>
      </c>
      <c r="I44" s="72">
        <f t="shared" si="15"/>
        <v>16666.66667</v>
      </c>
      <c r="J44" s="72">
        <f t="shared" si="15"/>
        <v>16666.66667</v>
      </c>
      <c r="K44" s="72">
        <f t="shared" si="15"/>
        <v>16666.66667</v>
      </c>
      <c r="L44" s="72">
        <f t="shared" si="15"/>
        <v>16666.66667</v>
      </c>
      <c r="M44" s="72">
        <f t="shared" si="15"/>
        <v>16666.66667</v>
      </c>
      <c r="N44" s="72">
        <f t="shared" si="15"/>
        <v>16666.66667</v>
      </c>
      <c r="O44" s="72">
        <f t="shared" si="15"/>
        <v>16666.66667</v>
      </c>
      <c r="P44" s="73">
        <f t="shared" si="15"/>
        <v>173333.3333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0</v>
      </c>
      <c r="E45" s="74">
        <f t="shared" si="16"/>
        <v>66.66666667</v>
      </c>
      <c r="F45" s="74">
        <f t="shared" si="16"/>
        <v>166.6666667</v>
      </c>
      <c r="G45" s="74">
        <f t="shared" si="16"/>
        <v>166.6666667</v>
      </c>
      <c r="H45" s="74">
        <f t="shared" si="16"/>
        <v>166.6666667</v>
      </c>
      <c r="I45" s="74">
        <f t="shared" si="16"/>
        <v>166.6666667</v>
      </c>
      <c r="J45" s="74">
        <f t="shared" si="16"/>
        <v>166.6666667</v>
      </c>
      <c r="K45" s="74">
        <f t="shared" si="16"/>
        <v>166.6666667</v>
      </c>
      <c r="L45" s="74">
        <f t="shared" si="16"/>
        <v>166.6666667</v>
      </c>
      <c r="M45" s="74">
        <f t="shared" si="16"/>
        <v>166.6666667</v>
      </c>
      <c r="N45" s="74">
        <f t="shared" si="16"/>
        <v>166.6666667</v>
      </c>
      <c r="O45" s="74">
        <f t="shared" si="16"/>
        <v>166.6666667</v>
      </c>
      <c r="P45" s="75">
        <f t="shared" si="16"/>
        <v>1733.333333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0</v>
      </c>
      <c r="E46" s="74">
        <f t="shared" si="17"/>
        <v>20</v>
      </c>
      <c r="F46" s="74">
        <f t="shared" si="17"/>
        <v>50</v>
      </c>
      <c r="G46" s="74">
        <f t="shared" si="17"/>
        <v>50</v>
      </c>
      <c r="H46" s="74">
        <f t="shared" si="17"/>
        <v>50</v>
      </c>
      <c r="I46" s="74">
        <f t="shared" si="17"/>
        <v>50</v>
      </c>
      <c r="J46" s="74">
        <f t="shared" si="17"/>
        <v>50</v>
      </c>
      <c r="K46" s="74">
        <f t="shared" si="17"/>
        <v>50</v>
      </c>
      <c r="L46" s="74">
        <f t="shared" si="17"/>
        <v>50</v>
      </c>
      <c r="M46" s="74">
        <f t="shared" si="17"/>
        <v>50</v>
      </c>
      <c r="N46" s="74">
        <f t="shared" si="17"/>
        <v>50</v>
      </c>
      <c r="O46" s="74">
        <f t="shared" si="17"/>
        <v>50</v>
      </c>
      <c r="P46" s="75">
        <f t="shared" si="17"/>
        <v>520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0</v>
      </c>
      <c r="E47" s="79">
        <f t="shared" si="18"/>
        <v>2</v>
      </c>
      <c r="F47" s="79">
        <f t="shared" si="18"/>
        <v>5</v>
      </c>
      <c r="G47" s="79">
        <f t="shared" si="18"/>
        <v>5</v>
      </c>
      <c r="H47" s="79">
        <f t="shared" si="18"/>
        <v>5</v>
      </c>
      <c r="I47" s="79">
        <f t="shared" si="18"/>
        <v>5</v>
      </c>
      <c r="J47" s="79">
        <f t="shared" si="18"/>
        <v>5</v>
      </c>
      <c r="K47" s="79">
        <f t="shared" si="18"/>
        <v>5</v>
      </c>
      <c r="L47" s="79">
        <f t="shared" si="18"/>
        <v>5</v>
      </c>
      <c r="M47" s="79">
        <f t="shared" si="18"/>
        <v>5</v>
      </c>
      <c r="N47" s="79">
        <f t="shared" si="18"/>
        <v>5</v>
      </c>
      <c r="O47" s="79">
        <f t="shared" si="18"/>
        <v>5</v>
      </c>
      <c r="P47" s="80">
        <f t="shared" si="18"/>
        <v>52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0.14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0.1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21840</v>
      </c>
      <c r="F51" s="87">
        <f>E51/P25</f>
        <v>0.1527272727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53</v>
      </c>
      <c r="E52" s="86">
        <f>E51/12</f>
        <v>1820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>
        <f>E7</f>
        <v>2</v>
      </c>
      <c r="AG6" s="17">
        <f>E8</f>
        <v>2500</v>
      </c>
      <c r="AH6" s="17">
        <f>E9</f>
        <v>5000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35.25" customHeight="1">
      <c r="A7" s="9"/>
      <c r="B7" s="18" t="s">
        <v>34</v>
      </c>
      <c r="C7" s="19" t="s">
        <v>29</v>
      </c>
      <c r="D7" s="88">
        <v>1.0</v>
      </c>
      <c r="E7" s="88">
        <v>2.0</v>
      </c>
      <c r="F7" s="88">
        <v>3.0</v>
      </c>
      <c r="G7" s="88">
        <v>3.0</v>
      </c>
      <c r="H7" s="88">
        <v>3.0</v>
      </c>
      <c r="I7" s="88">
        <v>3.0</v>
      </c>
      <c r="J7" s="88">
        <v>3.0</v>
      </c>
      <c r="K7" s="88">
        <v>3.0</v>
      </c>
      <c r="L7" s="88">
        <v>3.0</v>
      </c>
      <c r="M7" s="88">
        <v>3.0</v>
      </c>
      <c r="N7" s="88">
        <v>3.0</v>
      </c>
      <c r="O7" s="88">
        <v>3.0</v>
      </c>
      <c r="P7" s="21">
        <f>SUM(D7:O7)</f>
        <v>33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>
        <f>F7</f>
        <v>3</v>
      </c>
      <c r="AG7" s="22">
        <f>F8</f>
        <v>2500</v>
      </c>
      <c r="AH7" s="22">
        <f>F9</f>
        <v>7500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35.25" customHeight="1">
      <c r="A8" s="9"/>
      <c r="B8" s="23"/>
      <c r="C8" s="24" t="s">
        <v>30</v>
      </c>
      <c r="D8" s="89">
        <v>2500.0</v>
      </c>
      <c r="E8" s="89">
        <v>2500.0</v>
      </c>
      <c r="F8" s="89">
        <v>2500.0</v>
      </c>
      <c r="G8" s="89">
        <v>2500.0</v>
      </c>
      <c r="H8" s="89">
        <v>2500.0</v>
      </c>
      <c r="I8" s="89">
        <v>2500.0</v>
      </c>
      <c r="J8" s="89">
        <v>2500.0</v>
      </c>
      <c r="K8" s="89">
        <v>2500.0</v>
      </c>
      <c r="L8" s="89">
        <v>2500.0</v>
      </c>
      <c r="M8" s="89">
        <v>2500.0</v>
      </c>
      <c r="N8" s="89">
        <v>2500.0</v>
      </c>
      <c r="O8" s="89">
        <v>2500.0</v>
      </c>
      <c r="P8" s="26">
        <f>P9/P7</f>
        <v>2500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35.25" customHeight="1">
      <c r="A9" s="9"/>
      <c r="B9" s="28"/>
      <c r="C9" s="29" t="s">
        <v>31</v>
      </c>
      <c r="D9" s="30">
        <f t="shared" ref="D9:O9" si="3">D8*D7</f>
        <v>2500</v>
      </c>
      <c r="E9" s="30">
        <f t="shared" si="3"/>
        <v>5000</v>
      </c>
      <c r="F9" s="30">
        <f t="shared" si="3"/>
        <v>7500</v>
      </c>
      <c r="G9" s="30">
        <f t="shared" si="3"/>
        <v>7500</v>
      </c>
      <c r="H9" s="30">
        <f t="shared" si="3"/>
        <v>7500</v>
      </c>
      <c r="I9" s="30">
        <f t="shared" si="3"/>
        <v>7500</v>
      </c>
      <c r="J9" s="30">
        <f t="shared" si="3"/>
        <v>7500</v>
      </c>
      <c r="K9" s="30">
        <f t="shared" si="3"/>
        <v>7500</v>
      </c>
      <c r="L9" s="30">
        <f t="shared" si="3"/>
        <v>7500</v>
      </c>
      <c r="M9" s="30">
        <f t="shared" si="3"/>
        <v>7500</v>
      </c>
      <c r="N9" s="30">
        <f t="shared" si="3"/>
        <v>7500</v>
      </c>
      <c r="O9" s="30">
        <f t="shared" si="3"/>
        <v>7500</v>
      </c>
      <c r="P9" s="31">
        <f>SUM(D9:O9)</f>
        <v>82500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/>
      <c r="C11" s="19" t="s">
        <v>29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>
        <f>SUM(D11:O11)</f>
        <v>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 t="str">
        <f>F11</f>
        <v/>
      </c>
      <c r="AG11" s="22" t="str">
        <f>F12</f>
        <v/>
      </c>
      <c r="AH11" s="22">
        <f>F13</f>
        <v>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 t="str">
        <f>P13/P11</f>
        <v>#DIV/0!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0</v>
      </c>
      <c r="E13" s="30">
        <f t="shared" si="5"/>
        <v>0</v>
      </c>
      <c r="F13" s="30">
        <f t="shared" si="5"/>
        <v>0</v>
      </c>
      <c r="G13" s="30">
        <f t="shared" si="5"/>
        <v>0</v>
      </c>
      <c r="H13" s="30">
        <f t="shared" si="5"/>
        <v>0</v>
      </c>
      <c r="I13" s="30">
        <f t="shared" si="5"/>
        <v>0</v>
      </c>
      <c r="J13" s="30">
        <f t="shared" si="5"/>
        <v>0</v>
      </c>
      <c r="K13" s="30">
        <f t="shared" si="5"/>
        <v>0</v>
      </c>
      <c r="L13" s="30">
        <f t="shared" si="5"/>
        <v>0</v>
      </c>
      <c r="M13" s="30">
        <f t="shared" si="5"/>
        <v>0</v>
      </c>
      <c r="N13" s="30">
        <f t="shared" si="5"/>
        <v>0</v>
      </c>
      <c r="O13" s="30">
        <f t="shared" si="5"/>
        <v>0</v>
      </c>
      <c r="P13" s="31">
        <f>SUM(D13:O13)</f>
        <v>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/>
      <c r="C15" s="19" t="s">
        <v>29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>
        <f>SUM(D15:O15)</f>
        <v>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 t="str">
        <f>F15</f>
        <v/>
      </c>
      <c r="AG15" s="22" t="str">
        <f>F16</f>
        <v/>
      </c>
      <c r="AH15" s="22">
        <f>F17</f>
        <v>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 t="str">
        <f>P17/P15</f>
        <v>#DIV/0!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0</v>
      </c>
      <c r="E17" s="30">
        <f t="shared" si="7"/>
        <v>0</v>
      </c>
      <c r="F17" s="30">
        <f t="shared" si="7"/>
        <v>0</v>
      </c>
      <c r="G17" s="30">
        <f t="shared" si="7"/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1">
        <f>SUM(D17:O17)</f>
        <v>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/>
      <c r="C19" s="19" t="s">
        <v>29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>
        <f>SUM(D19:O19)</f>
        <v>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 t="str">
        <f>F19</f>
        <v/>
      </c>
      <c r="AG19" s="22" t="str">
        <f>F20</f>
        <v/>
      </c>
      <c r="AH19" s="22">
        <f>F21</f>
        <v>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 t="str">
        <f>P21/P19</f>
        <v>#DIV/0!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0</v>
      </c>
      <c r="E21" s="30">
        <f t="shared" si="9"/>
        <v>0</v>
      </c>
      <c r="F21" s="30">
        <f t="shared" si="9"/>
        <v>0</v>
      </c>
      <c r="G21" s="30">
        <f t="shared" si="9"/>
        <v>0</v>
      </c>
      <c r="H21" s="30">
        <f t="shared" si="9"/>
        <v>0</v>
      </c>
      <c r="I21" s="30">
        <f t="shared" si="9"/>
        <v>0</v>
      </c>
      <c r="J21" s="30">
        <f t="shared" si="9"/>
        <v>0</v>
      </c>
      <c r="K21" s="30">
        <f t="shared" si="9"/>
        <v>0</v>
      </c>
      <c r="L21" s="30">
        <f t="shared" si="9"/>
        <v>0</v>
      </c>
      <c r="M21" s="30">
        <f t="shared" si="9"/>
        <v>0</v>
      </c>
      <c r="N21" s="30">
        <f t="shared" si="9"/>
        <v>0</v>
      </c>
      <c r="O21" s="30">
        <f t="shared" si="9"/>
        <v>0</v>
      </c>
      <c r="P21" s="31">
        <f>SUM(D21:O21)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1</v>
      </c>
      <c r="E23" s="37">
        <f t="shared" si="10"/>
        <v>2</v>
      </c>
      <c r="F23" s="37">
        <f t="shared" si="10"/>
        <v>3</v>
      </c>
      <c r="G23" s="37">
        <f t="shared" si="10"/>
        <v>3</v>
      </c>
      <c r="H23" s="37">
        <f t="shared" si="10"/>
        <v>3</v>
      </c>
      <c r="I23" s="37">
        <f t="shared" si="10"/>
        <v>3</v>
      </c>
      <c r="J23" s="37">
        <f t="shared" si="10"/>
        <v>3</v>
      </c>
      <c r="K23" s="37">
        <f t="shared" si="10"/>
        <v>3</v>
      </c>
      <c r="L23" s="37">
        <f t="shared" si="10"/>
        <v>3</v>
      </c>
      <c r="M23" s="37">
        <f t="shared" si="10"/>
        <v>3</v>
      </c>
      <c r="N23" s="37">
        <f t="shared" si="10"/>
        <v>3</v>
      </c>
      <c r="O23" s="37">
        <f t="shared" si="10"/>
        <v>3</v>
      </c>
      <c r="P23" s="38">
        <f>SUM(D23:O23)</f>
        <v>33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>
        <f t="shared" ref="D24:P24" si="11">D25/D23</f>
        <v>2500</v>
      </c>
      <c r="E24" s="25">
        <f t="shared" si="11"/>
        <v>2500</v>
      </c>
      <c r="F24" s="25">
        <f t="shared" si="11"/>
        <v>2500</v>
      </c>
      <c r="G24" s="25">
        <f t="shared" si="11"/>
        <v>2500</v>
      </c>
      <c r="H24" s="25">
        <f t="shared" si="11"/>
        <v>2500</v>
      </c>
      <c r="I24" s="25">
        <f t="shared" si="11"/>
        <v>2500</v>
      </c>
      <c r="J24" s="25">
        <f t="shared" si="11"/>
        <v>2500</v>
      </c>
      <c r="K24" s="25">
        <f t="shared" si="11"/>
        <v>2500</v>
      </c>
      <c r="L24" s="25">
        <f t="shared" si="11"/>
        <v>2500</v>
      </c>
      <c r="M24" s="25">
        <f t="shared" si="11"/>
        <v>2500</v>
      </c>
      <c r="N24" s="25">
        <f t="shared" si="11"/>
        <v>2500</v>
      </c>
      <c r="O24" s="25">
        <f t="shared" si="11"/>
        <v>2500</v>
      </c>
      <c r="P24" s="41">
        <f t="shared" si="11"/>
        <v>2500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2500</v>
      </c>
      <c r="E25" s="44">
        <f t="shared" si="12"/>
        <v>5000</v>
      </c>
      <c r="F25" s="44">
        <f t="shared" si="12"/>
        <v>7500</v>
      </c>
      <c r="G25" s="44">
        <f t="shared" si="12"/>
        <v>7500</v>
      </c>
      <c r="H25" s="44">
        <f t="shared" si="12"/>
        <v>7500</v>
      </c>
      <c r="I25" s="44">
        <f t="shared" si="12"/>
        <v>7500</v>
      </c>
      <c r="J25" s="44">
        <f t="shared" si="12"/>
        <v>7500</v>
      </c>
      <c r="K25" s="44">
        <f t="shared" si="12"/>
        <v>7500</v>
      </c>
      <c r="L25" s="44">
        <f t="shared" si="12"/>
        <v>7500</v>
      </c>
      <c r="M25" s="44">
        <f t="shared" si="12"/>
        <v>7500</v>
      </c>
      <c r="N25" s="44">
        <f t="shared" si="12"/>
        <v>7500</v>
      </c>
      <c r="O25" s="44">
        <f t="shared" si="12"/>
        <v>7500</v>
      </c>
      <c r="P25" s="45">
        <f>SUM(D25:O25)</f>
        <v>82500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49">
        <v>0.0</v>
      </c>
      <c r="E29" s="49">
        <v>0.0</v>
      </c>
      <c r="F29" s="49">
        <v>0.0</v>
      </c>
      <c r="G29" s="49">
        <v>0.0</v>
      </c>
      <c r="H29" s="49">
        <v>0.0</v>
      </c>
      <c r="I29" s="49">
        <v>0.0</v>
      </c>
      <c r="J29" s="49">
        <v>0.0</v>
      </c>
      <c r="K29" s="49">
        <v>0.0</v>
      </c>
      <c r="L29" s="49">
        <v>0.0</v>
      </c>
      <c r="M29" s="49">
        <v>0.0</v>
      </c>
      <c r="N29" s="49">
        <v>0.0</v>
      </c>
      <c r="O29" s="49">
        <v>0.0</v>
      </c>
      <c r="P29" s="50">
        <f t="shared" ref="P29:P33" si="13">SUM(D29:O29)</f>
        <v>0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5">
        <f t="shared" si="13"/>
        <v>0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5">
        <f t="shared" si="13"/>
        <v>0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2" t="s">
        <v>54</v>
      </c>
      <c r="C32" s="53"/>
      <c r="D32" s="54">
        <v>0.0</v>
      </c>
      <c r="E32" s="54">
        <v>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5">
        <f t="shared" si="13"/>
        <v>0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0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0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0.3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0.03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1111.111111</v>
      </c>
      <c r="E44" s="72">
        <f t="shared" si="15"/>
        <v>2222.222222</v>
      </c>
      <c r="F44" s="72">
        <f t="shared" si="15"/>
        <v>3333.333333</v>
      </c>
      <c r="G44" s="72">
        <f t="shared" si="15"/>
        <v>3333.333333</v>
      </c>
      <c r="H44" s="72">
        <f t="shared" si="15"/>
        <v>3333.333333</v>
      </c>
      <c r="I44" s="72">
        <f t="shared" si="15"/>
        <v>3333.333333</v>
      </c>
      <c r="J44" s="72">
        <f t="shared" si="15"/>
        <v>3333.333333</v>
      </c>
      <c r="K44" s="72">
        <f t="shared" si="15"/>
        <v>3333.333333</v>
      </c>
      <c r="L44" s="72">
        <f t="shared" si="15"/>
        <v>3333.333333</v>
      </c>
      <c r="M44" s="72">
        <f t="shared" si="15"/>
        <v>3333.333333</v>
      </c>
      <c r="N44" s="72">
        <f t="shared" si="15"/>
        <v>3333.333333</v>
      </c>
      <c r="O44" s="72">
        <f t="shared" si="15"/>
        <v>3333.333333</v>
      </c>
      <c r="P44" s="73">
        <f t="shared" si="15"/>
        <v>36666.66667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33.33333333</v>
      </c>
      <c r="E45" s="74">
        <f t="shared" si="16"/>
        <v>66.66666667</v>
      </c>
      <c r="F45" s="74">
        <f t="shared" si="16"/>
        <v>100</v>
      </c>
      <c r="G45" s="74">
        <f t="shared" si="16"/>
        <v>100</v>
      </c>
      <c r="H45" s="74">
        <f t="shared" si="16"/>
        <v>100</v>
      </c>
      <c r="I45" s="74">
        <f t="shared" si="16"/>
        <v>100</v>
      </c>
      <c r="J45" s="74">
        <f t="shared" si="16"/>
        <v>100</v>
      </c>
      <c r="K45" s="74">
        <f t="shared" si="16"/>
        <v>100</v>
      </c>
      <c r="L45" s="74">
        <f t="shared" si="16"/>
        <v>100</v>
      </c>
      <c r="M45" s="74">
        <f t="shared" si="16"/>
        <v>100</v>
      </c>
      <c r="N45" s="74">
        <f t="shared" si="16"/>
        <v>100</v>
      </c>
      <c r="O45" s="74">
        <f t="shared" si="16"/>
        <v>100</v>
      </c>
      <c r="P45" s="75">
        <f t="shared" si="16"/>
        <v>1100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10</v>
      </c>
      <c r="E46" s="74">
        <f t="shared" si="17"/>
        <v>20</v>
      </c>
      <c r="F46" s="74">
        <f t="shared" si="17"/>
        <v>30</v>
      </c>
      <c r="G46" s="74">
        <f t="shared" si="17"/>
        <v>30</v>
      </c>
      <c r="H46" s="74">
        <f t="shared" si="17"/>
        <v>30</v>
      </c>
      <c r="I46" s="74">
        <f t="shared" si="17"/>
        <v>30</v>
      </c>
      <c r="J46" s="74">
        <f t="shared" si="17"/>
        <v>30</v>
      </c>
      <c r="K46" s="74">
        <f t="shared" si="17"/>
        <v>30</v>
      </c>
      <c r="L46" s="74">
        <f t="shared" si="17"/>
        <v>30</v>
      </c>
      <c r="M46" s="74">
        <f t="shared" si="17"/>
        <v>30</v>
      </c>
      <c r="N46" s="74">
        <f t="shared" si="17"/>
        <v>30</v>
      </c>
      <c r="O46" s="74">
        <f t="shared" si="17"/>
        <v>30</v>
      </c>
      <c r="P46" s="75">
        <f t="shared" si="17"/>
        <v>330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1</v>
      </c>
      <c r="E47" s="79">
        <f t="shared" si="18"/>
        <v>2</v>
      </c>
      <c r="F47" s="79">
        <f t="shared" si="18"/>
        <v>3</v>
      </c>
      <c r="G47" s="79">
        <f t="shared" si="18"/>
        <v>3</v>
      </c>
      <c r="H47" s="79">
        <f t="shared" si="18"/>
        <v>3</v>
      </c>
      <c r="I47" s="79">
        <f t="shared" si="18"/>
        <v>3</v>
      </c>
      <c r="J47" s="79">
        <f t="shared" si="18"/>
        <v>3</v>
      </c>
      <c r="K47" s="79">
        <f t="shared" si="18"/>
        <v>3</v>
      </c>
      <c r="L47" s="79">
        <f t="shared" si="18"/>
        <v>3</v>
      </c>
      <c r="M47" s="79">
        <f t="shared" si="18"/>
        <v>3</v>
      </c>
      <c r="N47" s="79">
        <f t="shared" si="18"/>
        <v>3</v>
      </c>
      <c r="O47" s="79">
        <f t="shared" si="18"/>
        <v>3</v>
      </c>
      <c r="P47" s="80">
        <f t="shared" si="18"/>
        <v>33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0.14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0.0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5133.333333</v>
      </c>
      <c r="F51" s="87">
        <f>E51/P25</f>
        <v>0.06222222222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55</v>
      </c>
      <c r="E52" s="86">
        <f>E51/12</f>
        <v>427.7777778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>
        <f>E7</f>
        <v>3</v>
      </c>
      <c r="AG6" s="17">
        <f>E8</f>
        <v>10000</v>
      </c>
      <c r="AH6" s="17">
        <f>E9</f>
        <v>30000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28.5" customHeight="1">
      <c r="A7" s="9"/>
      <c r="B7" s="18" t="s">
        <v>28</v>
      </c>
      <c r="C7" s="19" t="s">
        <v>29</v>
      </c>
      <c r="D7" s="20">
        <v>3.0</v>
      </c>
      <c r="E7" s="20">
        <v>3.0</v>
      </c>
      <c r="F7" s="20">
        <v>3.0</v>
      </c>
      <c r="G7" s="20">
        <v>3.0</v>
      </c>
      <c r="H7" s="20">
        <v>3.0</v>
      </c>
      <c r="I7" s="20">
        <v>3.0</v>
      </c>
      <c r="J7" s="20">
        <v>3.0</v>
      </c>
      <c r="K7" s="20">
        <v>3.0</v>
      </c>
      <c r="L7" s="20">
        <v>3.0</v>
      </c>
      <c r="M7" s="20">
        <v>3.0</v>
      </c>
      <c r="N7" s="20">
        <v>3.0</v>
      </c>
      <c r="O7" s="20">
        <v>3.0</v>
      </c>
      <c r="P7" s="21">
        <f>SUM(D7:O7)</f>
        <v>36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>
        <f>F7</f>
        <v>3</v>
      </c>
      <c r="AG7" s="22">
        <f>F8</f>
        <v>10000</v>
      </c>
      <c r="AH7" s="22">
        <f>F9</f>
        <v>30000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28.5" customHeight="1">
      <c r="A8" s="9"/>
      <c r="B8" s="23"/>
      <c r="C8" s="24" t="s">
        <v>30</v>
      </c>
      <c r="D8" s="25">
        <v>10000.0</v>
      </c>
      <c r="E8" s="25">
        <v>10000.0</v>
      </c>
      <c r="F8" s="25">
        <v>10000.0</v>
      </c>
      <c r="G8" s="25">
        <v>10000.0</v>
      </c>
      <c r="H8" s="25">
        <v>10000.0</v>
      </c>
      <c r="I8" s="25">
        <v>10000.0</v>
      </c>
      <c r="J8" s="25">
        <v>10000.0</v>
      </c>
      <c r="K8" s="25">
        <v>10000.0</v>
      </c>
      <c r="L8" s="25">
        <v>10000.0</v>
      </c>
      <c r="M8" s="25">
        <v>10000.0</v>
      </c>
      <c r="N8" s="25">
        <v>10000.0</v>
      </c>
      <c r="O8" s="25">
        <v>10000.0</v>
      </c>
      <c r="P8" s="26">
        <f>P9/P7</f>
        <v>10000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8.5" customHeight="1">
      <c r="A9" s="9"/>
      <c r="B9" s="28"/>
      <c r="C9" s="29" t="s">
        <v>31</v>
      </c>
      <c r="D9" s="30">
        <f t="shared" ref="D9:O9" si="3">D8*D7</f>
        <v>30000</v>
      </c>
      <c r="E9" s="30">
        <f t="shared" si="3"/>
        <v>30000</v>
      </c>
      <c r="F9" s="30">
        <f t="shared" si="3"/>
        <v>30000</v>
      </c>
      <c r="G9" s="30">
        <f t="shared" si="3"/>
        <v>30000</v>
      </c>
      <c r="H9" s="30">
        <f t="shared" si="3"/>
        <v>30000</v>
      </c>
      <c r="I9" s="30">
        <f t="shared" si="3"/>
        <v>30000</v>
      </c>
      <c r="J9" s="30">
        <f t="shared" si="3"/>
        <v>30000</v>
      </c>
      <c r="K9" s="30">
        <f t="shared" si="3"/>
        <v>30000</v>
      </c>
      <c r="L9" s="30">
        <f t="shared" si="3"/>
        <v>30000</v>
      </c>
      <c r="M9" s="30">
        <f t="shared" si="3"/>
        <v>30000</v>
      </c>
      <c r="N9" s="30">
        <f t="shared" si="3"/>
        <v>30000</v>
      </c>
      <c r="O9" s="30">
        <f t="shared" si="3"/>
        <v>30000</v>
      </c>
      <c r="P9" s="31">
        <f>SUM(D9:O9)</f>
        <v>360000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 t="s">
        <v>32</v>
      </c>
      <c r="C11" s="19" t="s">
        <v>29</v>
      </c>
      <c r="D11" s="20">
        <v>2.0</v>
      </c>
      <c r="E11" s="20">
        <v>2.0</v>
      </c>
      <c r="F11" s="20">
        <v>2.0</v>
      </c>
      <c r="G11" s="20">
        <v>2.0</v>
      </c>
      <c r="H11" s="20">
        <v>2.0</v>
      </c>
      <c r="I11" s="20">
        <v>2.0</v>
      </c>
      <c r="J11" s="20">
        <v>2.0</v>
      </c>
      <c r="K11" s="20">
        <v>2.0</v>
      </c>
      <c r="L11" s="20">
        <v>2.0</v>
      </c>
      <c r="M11" s="20">
        <v>2.0</v>
      </c>
      <c r="N11" s="20">
        <v>2.0</v>
      </c>
      <c r="O11" s="20">
        <v>2.0</v>
      </c>
      <c r="P11" s="21">
        <f>SUM(D11:O11)</f>
        <v>24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>
        <f>F11</f>
        <v>2</v>
      </c>
      <c r="AG11" s="22">
        <f>F12</f>
        <v>4970</v>
      </c>
      <c r="AH11" s="22">
        <f>F13</f>
        <v>9940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>
        <v>4970.0</v>
      </c>
      <c r="E12" s="25">
        <v>4970.0</v>
      </c>
      <c r="F12" s="25">
        <v>4970.0</v>
      </c>
      <c r="G12" s="25">
        <v>4970.0</v>
      </c>
      <c r="H12" s="25">
        <v>4970.0</v>
      </c>
      <c r="I12" s="25">
        <v>4970.0</v>
      </c>
      <c r="J12" s="25">
        <v>4970.0</v>
      </c>
      <c r="K12" s="25">
        <v>4970.0</v>
      </c>
      <c r="L12" s="25">
        <v>4970.0</v>
      </c>
      <c r="M12" s="25">
        <v>4970.0</v>
      </c>
      <c r="N12" s="25">
        <v>4970.0</v>
      </c>
      <c r="O12" s="25">
        <v>4970.0</v>
      </c>
      <c r="P12" s="26">
        <f>P13/P11</f>
        <v>4970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9940</v>
      </c>
      <c r="E13" s="30">
        <f t="shared" si="5"/>
        <v>9940</v>
      </c>
      <c r="F13" s="30">
        <f t="shared" si="5"/>
        <v>9940</v>
      </c>
      <c r="G13" s="30">
        <f t="shared" si="5"/>
        <v>9940</v>
      </c>
      <c r="H13" s="30">
        <f t="shared" si="5"/>
        <v>9940</v>
      </c>
      <c r="I13" s="30">
        <f t="shared" si="5"/>
        <v>9940</v>
      </c>
      <c r="J13" s="30">
        <f t="shared" si="5"/>
        <v>9940</v>
      </c>
      <c r="K13" s="30">
        <f t="shared" si="5"/>
        <v>9940</v>
      </c>
      <c r="L13" s="30">
        <f t="shared" si="5"/>
        <v>9940</v>
      </c>
      <c r="M13" s="30">
        <f t="shared" si="5"/>
        <v>9940</v>
      </c>
      <c r="N13" s="30">
        <f t="shared" si="5"/>
        <v>9940</v>
      </c>
      <c r="O13" s="30">
        <f t="shared" si="5"/>
        <v>9940</v>
      </c>
      <c r="P13" s="31">
        <f>SUM(D13:O13)</f>
        <v>119280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 t="s">
        <v>56</v>
      </c>
      <c r="C15" s="19" t="s">
        <v>29</v>
      </c>
      <c r="D15" s="20">
        <v>5.0</v>
      </c>
      <c r="E15" s="20">
        <v>5.0</v>
      </c>
      <c r="F15" s="20">
        <v>5.0</v>
      </c>
      <c r="G15" s="20">
        <v>5.0</v>
      </c>
      <c r="H15" s="20">
        <v>5.0</v>
      </c>
      <c r="I15" s="20">
        <v>5.0</v>
      </c>
      <c r="J15" s="20">
        <v>5.0</v>
      </c>
      <c r="K15" s="20">
        <v>5.0</v>
      </c>
      <c r="L15" s="20">
        <v>5.0</v>
      </c>
      <c r="M15" s="20">
        <v>5.0</v>
      </c>
      <c r="N15" s="20">
        <v>5.0</v>
      </c>
      <c r="O15" s="20">
        <v>5.0</v>
      </c>
      <c r="P15" s="21">
        <f>SUM(D15:O15)</f>
        <v>60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>
        <f>F15</f>
        <v>5</v>
      </c>
      <c r="AG15" s="22">
        <f>F16</f>
        <v>2470</v>
      </c>
      <c r="AH15" s="22">
        <f>F17</f>
        <v>12350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>
        <v>2470.0</v>
      </c>
      <c r="E16" s="25">
        <v>2470.0</v>
      </c>
      <c r="F16" s="25">
        <v>2470.0</v>
      </c>
      <c r="G16" s="25">
        <v>2470.0</v>
      </c>
      <c r="H16" s="25">
        <v>2470.0</v>
      </c>
      <c r="I16" s="25">
        <v>2470.0</v>
      </c>
      <c r="J16" s="25">
        <v>2470.0</v>
      </c>
      <c r="K16" s="25">
        <v>2470.0</v>
      </c>
      <c r="L16" s="25">
        <v>2470.0</v>
      </c>
      <c r="M16" s="25">
        <v>2470.0</v>
      </c>
      <c r="N16" s="25">
        <v>2470.0</v>
      </c>
      <c r="O16" s="25">
        <v>2470.0</v>
      </c>
      <c r="P16" s="26">
        <f>P17/P15</f>
        <v>2470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12350</v>
      </c>
      <c r="E17" s="30">
        <f t="shared" si="7"/>
        <v>12350</v>
      </c>
      <c r="F17" s="30">
        <f t="shared" si="7"/>
        <v>12350</v>
      </c>
      <c r="G17" s="30">
        <f t="shared" si="7"/>
        <v>12350</v>
      </c>
      <c r="H17" s="30">
        <f t="shared" si="7"/>
        <v>12350</v>
      </c>
      <c r="I17" s="30">
        <f t="shared" si="7"/>
        <v>12350</v>
      </c>
      <c r="J17" s="30">
        <f t="shared" si="7"/>
        <v>12350</v>
      </c>
      <c r="K17" s="30">
        <f t="shared" si="7"/>
        <v>12350</v>
      </c>
      <c r="L17" s="30">
        <f t="shared" si="7"/>
        <v>12350</v>
      </c>
      <c r="M17" s="30">
        <f t="shared" si="7"/>
        <v>12350</v>
      </c>
      <c r="N17" s="30">
        <f t="shared" si="7"/>
        <v>12350</v>
      </c>
      <c r="O17" s="30">
        <f t="shared" si="7"/>
        <v>12350</v>
      </c>
      <c r="P17" s="31">
        <f>SUM(D17:O17)</f>
        <v>148200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 t="s">
        <v>34</v>
      </c>
      <c r="C19" s="19" t="s">
        <v>29</v>
      </c>
      <c r="D19" s="20">
        <v>1.0</v>
      </c>
      <c r="E19" s="20">
        <v>2.0</v>
      </c>
      <c r="F19" s="20">
        <v>3.0</v>
      </c>
      <c r="G19" s="20">
        <v>3.0</v>
      </c>
      <c r="H19" s="20">
        <v>3.0</v>
      </c>
      <c r="I19" s="20">
        <v>3.0</v>
      </c>
      <c r="J19" s="20">
        <v>3.0</v>
      </c>
      <c r="K19" s="20">
        <v>3.0</v>
      </c>
      <c r="L19" s="20">
        <v>3.0</v>
      </c>
      <c r="M19" s="20">
        <v>3.0</v>
      </c>
      <c r="N19" s="20">
        <v>3.0</v>
      </c>
      <c r="O19" s="20">
        <v>3.0</v>
      </c>
      <c r="P19" s="21">
        <f>SUM(D19:O19)</f>
        <v>33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>
        <f>F19</f>
        <v>3</v>
      </c>
      <c r="AG19" s="22">
        <f>F20</f>
        <v>2500</v>
      </c>
      <c r="AH19" s="22">
        <f>F21</f>
        <v>7500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>
        <v>2500.0</v>
      </c>
      <c r="E20" s="25">
        <v>2500.0</v>
      </c>
      <c r="F20" s="25">
        <v>2500.0</v>
      </c>
      <c r="G20" s="25">
        <v>2500.0</v>
      </c>
      <c r="H20" s="25">
        <v>2500.0</v>
      </c>
      <c r="I20" s="25">
        <v>2500.0</v>
      </c>
      <c r="J20" s="25">
        <v>2500.0</v>
      </c>
      <c r="K20" s="25">
        <v>2500.0</v>
      </c>
      <c r="L20" s="25">
        <v>2500.0</v>
      </c>
      <c r="M20" s="25">
        <v>2500.0</v>
      </c>
      <c r="N20" s="25">
        <v>2500.0</v>
      </c>
      <c r="O20" s="25">
        <v>2500.0</v>
      </c>
      <c r="P20" s="26">
        <f>P21/P19</f>
        <v>2500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2500</v>
      </c>
      <c r="E21" s="30">
        <f t="shared" si="9"/>
        <v>5000</v>
      </c>
      <c r="F21" s="30">
        <f t="shared" si="9"/>
        <v>7500</v>
      </c>
      <c r="G21" s="30">
        <f t="shared" si="9"/>
        <v>7500</v>
      </c>
      <c r="H21" s="30">
        <f t="shared" si="9"/>
        <v>7500</v>
      </c>
      <c r="I21" s="30">
        <f t="shared" si="9"/>
        <v>7500</v>
      </c>
      <c r="J21" s="30">
        <f t="shared" si="9"/>
        <v>7500</v>
      </c>
      <c r="K21" s="30">
        <f t="shared" si="9"/>
        <v>7500</v>
      </c>
      <c r="L21" s="30">
        <f t="shared" si="9"/>
        <v>7500</v>
      </c>
      <c r="M21" s="30">
        <f t="shared" si="9"/>
        <v>7500</v>
      </c>
      <c r="N21" s="30">
        <f t="shared" si="9"/>
        <v>7500</v>
      </c>
      <c r="O21" s="30">
        <f t="shared" si="9"/>
        <v>7500</v>
      </c>
      <c r="P21" s="31">
        <f>SUM(D21:O21)</f>
        <v>82500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11</v>
      </c>
      <c r="E23" s="37">
        <f t="shared" si="10"/>
        <v>12</v>
      </c>
      <c r="F23" s="37">
        <f t="shared" si="10"/>
        <v>13</v>
      </c>
      <c r="G23" s="37">
        <f t="shared" si="10"/>
        <v>13</v>
      </c>
      <c r="H23" s="37">
        <f t="shared" si="10"/>
        <v>13</v>
      </c>
      <c r="I23" s="37">
        <f t="shared" si="10"/>
        <v>13</v>
      </c>
      <c r="J23" s="37">
        <f t="shared" si="10"/>
        <v>13</v>
      </c>
      <c r="K23" s="37">
        <f t="shared" si="10"/>
        <v>13</v>
      </c>
      <c r="L23" s="37">
        <f t="shared" si="10"/>
        <v>13</v>
      </c>
      <c r="M23" s="37">
        <f t="shared" si="10"/>
        <v>13</v>
      </c>
      <c r="N23" s="37">
        <f t="shared" si="10"/>
        <v>13</v>
      </c>
      <c r="O23" s="37">
        <f t="shared" si="10"/>
        <v>13</v>
      </c>
      <c r="P23" s="38">
        <f>SUM(D23:O23)</f>
        <v>153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>
        <f t="shared" ref="D24:P24" si="11">D25/D23</f>
        <v>4980.909091</v>
      </c>
      <c r="E24" s="25">
        <f t="shared" si="11"/>
        <v>4774.166667</v>
      </c>
      <c r="F24" s="25">
        <f t="shared" si="11"/>
        <v>4599.230769</v>
      </c>
      <c r="G24" s="25">
        <f t="shared" si="11"/>
        <v>4599.230769</v>
      </c>
      <c r="H24" s="25">
        <f t="shared" si="11"/>
        <v>4599.230769</v>
      </c>
      <c r="I24" s="25">
        <f t="shared" si="11"/>
        <v>4599.230769</v>
      </c>
      <c r="J24" s="25">
        <f t="shared" si="11"/>
        <v>4599.230769</v>
      </c>
      <c r="K24" s="25">
        <f t="shared" si="11"/>
        <v>4599.230769</v>
      </c>
      <c r="L24" s="25">
        <f t="shared" si="11"/>
        <v>4599.230769</v>
      </c>
      <c r="M24" s="25">
        <f t="shared" si="11"/>
        <v>4599.230769</v>
      </c>
      <c r="N24" s="25">
        <f t="shared" si="11"/>
        <v>4599.230769</v>
      </c>
      <c r="O24" s="25">
        <f t="shared" si="11"/>
        <v>4599.230769</v>
      </c>
      <c r="P24" s="41">
        <f t="shared" si="11"/>
        <v>4640.392157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54790</v>
      </c>
      <c r="E25" s="44">
        <f t="shared" si="12"/>
        <v>57290</v>
      </c>
      <c r="F25" s="44">
        <f t="shared" si="12"/>
        <v>59790</v>
      </c>
      <c r="G25" s="44">
        <f t="shared" si="12"/>
        <v>59790</v>
      </c>
      <c r="H25" s="44">
        <f t="shared" si="12"/>
        <v>59790</v>
      </c>
      <c r="I25" s="44">
        <f t="shared" si="12"/>
        <v>59790</v>
      </c>
      <c r="J25" s="44">
        <f t="shared" si="12"/>
        <v>59790</v>
      </c>
      <c r="K25" s="44">
        <f t="shared" si="12"/>
        <v>59790</v>
      </c>
      <c r="L25" s="44">
        <f t="shared" si="12"/>
        <v>59790</v>
      </c>
      <c r="M25" s="44">
        <f t="shared" si="12"/>
        <v>59790</v>
      </c>
      <c r="N25" s="44">
        <f t="shared" si="12"/>
        <v>59790</v>
      </c>
      <c r="O25" s="44">
        <f t="shared" si="12"/>
        <v>59790</v>
      </c>
      <c r="P25" s="45">
        <f>SUM(D25:O25)</f>
        <v>709980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54">
        <v>0.0</v>
      </c>
      <c r="E29" s="54">
        <v>0.0</v>
      </c>
      <c r="F29" s="54">
        <v>0.0</v>
      </c>
      <c r="G29" s="54">
        <v>0.0</v>
      </c>
      <c r="H29" s="54">
        <v>0.0</v>
      </c>
      <c r="I29" s="54">
        <v>0.0</v>
      </c>
      <c r="J29" s="54">
        <v>0.0</v>
      </c>
      <c r="K29" s="54">
        <v>0.0</v>
      </c>
      <c r="L29" s="54">
        <v>0.0</v>
      </c>
      <c r="M29" s="54">
        <v>0.0</v>
      </c>
      <c r="N29" s="54">
        <v>0.0</v>
      </c>
      <c r="O29" s="54">
        <v>0.0</v>
      </c>
      <c r="P29" s="50">
        <f t="shared" ref="P29:P33" si="13">SUM(D29:O29)</f>
        <v>0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5">
        <f t="shared" si="13"/>
        <v>0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5">
        <f t="shared" si="13"/>
        <v>0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2" t="s">
        <v>54</v>
      </c>
      <c r="C32" s="53"/>
      <c r="D32" s="54">
        <v>0.0</v>
      </c>
      <c r="E32" s="54">
        <v>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5">
        <f t="shared" si="13"/>
        <v>0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4">
        <v>0.0</v>
      </c>
      <c r="E33" s="54">
        <v>0.0</v>
      </c>
      <c r="F33" s="54">
        <v>0.0</v>
      </c>
      <c r="G33" s="54">
        <v>0.0</v>
      </c>
      <c r="H33" s="54">
        <v>0.0</v>
      </c>
      <c r="I33" s="54">
        <v>0.0</v>
      </c>
      <c r="J33" s="54">
        <v>0.0</v>
      </c>
      <c r="K33" s="54">
        <v>0.0</v>
      </c>
      <c r="L33" s="54">
        <v>0.0</v>
      </c>
      <c r="M33" s="54">
        <v>0.0</v>
      </c>
      <c r="N33" s="54">
        <v>0.0</v>
      </c>
      <c r="O33" s="54">
        <v>0.0</v>
      </c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0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0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0.3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0.03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12222.22222</v>
      </c>
      <c r="E44" s="72">
        <f t="shared" si="15"/>
        <v>13333.33333</v>
      </c>
      <c r="F44" s="72">
        <f t="shared" si="15"/>
        <v>14444.44444</v>
      </c>
      <c r="G44" s="72">
        <f t="shared" si="15"/>
        <v>14444.44444</v>
      </c>
      <c r="H44" s="72">
        <f t="shared" si="15"/>
        <v>14444.44444</v>
      </c>
      <c r="I44" s="72">
        <f t="shared" si="15"/>
        <v>14444.44444</v>
      </c>
      <c r="J44" s="72">
        <f t="shared" si="15"/>
        <v>14444.44444</v>
      </c>
      <c r="K44" s="72">
        <f t="shared" si="15"/>
        <v>14444.44444</v>
      </c>
      <c r="L44" s="72">
        <f t="shared" si="15"/>
        <v>14444.44444</v>
      </c>
      <c r="M44" s="72">
        <f t="shared" si="15"/>
        <v>14444.44444</v>
      </c>
      <c r="N44" s="72">
        <f t="shared" si="15"/>
        <v>14444.44444</v>
      </c>
      <c r="O44" s="72">
        <f t="shared" si="15"/>
        <v>14444.44444</v>
      </c>
      <c r="P44" s="90">
        <f t="shared" si="15"/>
        <v>170000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366.6666667</v>
      </c>
      <c r="E45" s="74">
        <f t="shared" si="16"/>
        <v>400</v>
      </c>
      <c r="F45" s="74">
        <f t="shared" si="16"/>
        <v>433.3333333</v>
      </c>
      <c r="G45" s="74">
        <f t="shared" si="16"/>
        <v>433.3333333</v>
      </c>
      <c r="H45" s="74">
        <f t="shared" si="16"/>
        <v>433.3333333</v>
      </c>
      <c r="I45" s="74">
        <f t="shared" si="16"/>
        <v>433.3333333</v>
      </c>
      <c r="J45" s="74">
        <f t="shared" si="16"/>
        <v>433.3333333</v>
      </c>
      <c r="K45" s="74">
        <f t="shared" si="16"/>
        <v>433.3333333</v>
      </c>
      <c r="L45" s="74">
        <f t="shared" si="16"/>
        <v>433.3333333</v>
      </c>
      <c r="M45" s="74">
        <f t="shared" si="16"/>
        <v>433.3333333</v>
      </c>
      <c r="N45" s="74">
        <f t="shared" si="16"/>
        <v>433.3333333</v>
      </c>
      <c r="O45" s="74">
        <f t="shared" si="16"/>
        <v>433.3333333</v>
      </c>
      <c r="P45" s="91">
        <f t="shared" si="16"/>
        <v>5100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110</v>
      </c>
      <c r="E46" s="74">
        <f t="shared" si="17"/>
        <v>120</v>
      </c>
      <c r="F46" s="74">
        <f t="shared" si="17"/>
        <v>130</v>
      </c>
      <c r="G46" s="74">
        <f t="shared" si="17"/>
        <v>130</v>
      </c>
      <c r="H46" s="74">
        <f t="shared" si="17"/>
        <v>130</v>
      </c>
      <c r="I46" s="74">
        <f t="shared" si="17"/>
        <v>130</v>
      </c>
      <c r="J46" s="74">
        <f t="shared" si="17"/>
        <v>130</v>
      </c>
      <c r="K46" s="74">
        <f t="shared" si="17"/>
        <v>130</v>
      </c>
      <c r="L46" s="74">
        <f t="shared" si="17"/>
        <v>130</v>
      </c>
      <c r="M46" s="74">
        <f t="shared" si="17"/>
        <v>130</v>
      </c>
      <c r="N46" s="74">
        <f t="shared" si="17"/>
        <v>130</v>
      </c>
      <c r="O46" s="74">
        <f t="shared" si="17"/>
        <v>130</v>
      </c>
      <c r="P46" s="91">
        <f t="shared" si="17"/>
        <v>1530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11</v>
      </c>
      <c r="E47" s="79">
        <f t="shared" si="18"/>
        <v>12</v>
      </c>
      <c r="F47" s="79">
        <f t="shared" si="18"/>
        <v>13</v>
      </c>
      <c r="G47" s="79">
        <f t="shared" si="18"/>
        <v>13</v>
      </c>
      <c r="H47" s="79">
        <f t="shared" si="18"/>
        <v>13</v>
      </c>
      <c r="I47" s="79">
        <f t="shared" si="18"/>
        <v>13</v>
      </c>
      <c r="J47" s="79">
        <f t="shared" si="18"/>
        <v>13</v>
      </c>
      <c r="K47" s="79">
        <f t="shared" si="18"/>
        <v>13</v>
      </c>
      <c r="L47" s="79">
        <f t="shared" si="18"/>
        <v>13</v>
      </c>
      <c r="M47" s="79">
        <f t="shared" si="18"/>
        <v>13</v>
      </c>
      <c r="N47" s="79">
        <f t="shared" si="18"/>
        <v>13</v>
      </c>
      <c r="O47" s="79">
        <f t="shared" si="18"/>
        <v>13</v>
      </c>
      <c r="P47" s="92">
        <f t="shared" si="18"/>
        <v>153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0.28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0.2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38080</v>
      </c>
      <c r="F51" s="87">
        <f>E51/P25</f>
        <v>0.05363531367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53</v>
      </c>
      <c r="E52" s="86">
        <f>E51/12</f>
        <v>3173.333333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22"/>
    <col customWidth="1" min="2" max="2" width="10.0"/>
    <col customWidth="1" min="3" max="3" width="17.78"/>
    <col customWidth="1" min="4" max="4" width="19.0"/>
    <col customWidth="1" min="5" max="8" width="15.67"/>
    <col customWidth="1" min="9" max="9" width="13.78"/>
    <col customWidth="1" min="10" max="10" width="14.78"/>
    <col customWidth="1" min="11" max="11" width="16.78"/>
    <col customWidth="1" min="12" max="12" width="13.78"/>
    <col customWidth="1" min="13" max="13" width="15.67"/>
    <col customWidth="1" min="14" max="14" width="16.11"/>
    <col customWidth="1" min="15" max="15" width="13.78"/>
    <col customWidth="1" min="16" max="16" width="16.11"/>
    <col customWidth="1" min="17" max="20" width="12.44"/>
    <col customWidth="1" min="21" max="30" width="10.78"/>
    <col customWidth="1" min="31" max="31" width="11.0"/>
    <col customWidth="1" min="32" max="43" width="12.44"/>
  </cols>
  <sheetData>
    <row r="1" ht="54.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4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ht="45.0" customHeight="1">
      <c r="A4" s="4"/>
      <c r="B4" s="5" t="s">
        <v>1</v>
      </c>
      <c r="C4" s="4"/>
      <c r="D4" s="6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ht="15.75" customHeight="1">
      <c r="A5" s="9"/>
      <c r="B5" s="9"/>
      <c r="C5" s="9"/>
      <c r="D5" s="9"/>
      <c r="E5" s="10"/>
      <c r="F5" s="11"/>
      <c r="G5" s="11"/>
      <c r="H5" s="9"/>
      <c r="I5" s="4"/>
      <c r="J5" s="4"/>
      <c r="K5" s="4"/>
      <c r="L5" s="4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3"/>
      <c r="AF5" s="13" t="s">
        <v>2</v>
      </c>
      <c r="AG5" s="13" t="s">
        <v>3</v>
      </c>
      <c r="AH5" s="13" t="s">
        <v>4</v>
      </c>
      <c r="AI5" s="13" t="s">
        <v>5</v>
      </c>
      <c r="AJ5" s="13" t="s">
        <v>6</v>
      </c>
      <c r="AK5" s="13" t="s">
        <v>7</v>
      </c>
      <c r="AL5" s="13" t="s">
        <v>8</v>
      </c>
      <c r="AM5" s="13" t="s">
        <v>9</v>
      </c>
      <c r="AN5" s="13" t="s">
        <v>10</v>
      </c>
      <c r="AO5" s="13" t="s">
        <v>11</v>
      </c>
      <c r="AP5" s="13" t="s">
        <v>12</v>
      </c>
      <c r="AQ5" s="13" t="s">
        <v>13</v>
      </c>
    </row>
    <row r="6" ht="15.75" customHeight="1">
      <c r="A6" s="9"/>
      <c r="B6" s="9"/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  <c r="M6" s="14" t="s">
        <v>24</v>
      </c>
      <c r="N6" s="14" t="s">
        <v>25</v>
      </c>
      <c r="O6" s="14" t="s">
        <v>26</v>
      </c>
      <c r="P6" s="15" t="s">
        <v>27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6"/>
      <c r="AF6" s="17">
        <f>E7</f>
        <v>3</v>
      </c>
      <c r="AG6" s="17">
        <f>E8</f>
        <v>10000</v>
      </c>
      <c r="AH6" s="17">
        <f>E9</f>
        <v>30000</v>
      </c>
      <c r="AI6" s="17" t="str">
        <f t="shared" ref="AI6:AQ6" si="1">#REF!</f>
        <v>#REF!</v>
      </c>
      <c r="AJ6" s="17" t="str">
        <f t="shared" si="1"/>
        <v>#REF!</v>
      </c>
      <c r="AK6" s="17" t="str">
        <f t="shared" si="1"/>
        <v>#REF!</v>
      </c>
      <c r="AL6" s="17" t="str">
        <f t="shared" si="1"/>
        <v>#REF!</v>
      </c>
      <c r="AM6" s="17" t="str">
        <f t="shared" si="1"/>
        <v>#REF!</v>
      </c>
      <c r="AN6" s="17" t="str">
        <f t="shared" si="1"/>
        <v>#REF!</v>
      </c>
      <c r="AO6" s="17" t="str">
        <f t="shared" si="1"/>
        <v>#REF!</v>
      </c>
      <c r="AP6" s="17" t="str">
        <f t="shared" si="1"/>
        <v>#REF!</v>
      </c>
      <c r="AQ6" s="17" t="str">
        <f t="shared" si="1"/>
        <v>#REF!</v>
      </c>
    </row>
    <row r="7" ht="28.5" customHeight="1">
      <c r="A7" s="9"/>
      <c r="B7" s="18" t="s">
        <v>28</v>
      </c>
      <c r="C7" s="19" t="s">
        <v>29</v>
      </c>
      <c r="D7" s="20">
        <v>3.0</v>
      </c>
      <c r="E7" s="20">
        <v>3.0</v>
      </c>
      <c r="F7" s="20">
        <v>3.0</v>
      </c>
      <c r="G7" s="20">
        <v>3.0</v>
      </c>
      <c r="H7" s="20">
        <v>3.0</v>
      </c>
      <c r="I7" s="20">
        <v>3.0</v>
      </c>
      <c r="J7" s="20">
        <v>3.0</v>
      </c>
      <c r="K7" s="20">
        <v>3.0</v>
      </c>
      <c r="L7" s="20">
        <v>3.0</v>
      </c>
      <c r="M7" s="20">
        <v>3.0</v>
      </c>
      <c r="N7" s="20">
        <v>3.0</v>
      </c>
      <c r="O7" s="20">
        <v>3.0</v>
      </c>
      <c r="P7" s="21">
        <f>SUM(D7:O7)</f>
        <v>36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6"/>
      <c r="AF7" s="22">
        <f>F7</f>
        <v>3</v>
      </c>
      <c r="AG7" s="22">
        <f>F8</f>
        <v>10000</v>
      </c>
      <c r="AH7" s="22">
        <f>F9</f>
        <v>30000</v>
      </c>
      <c r="AI7" s="22" t="str">
        <f t="shared" ref="AI7:AQ7" si="2">#REF!</f>
        <v>#REF!</v>
      </c>
      <c r="AJ7" s="22" t="str">
        <f t="shared" si="2"/>
        <v>#REF!</v>
      </c>
      <c r="AK7" s="22" t="str">
        <f t="shared" si="2"/>
        <v>#REF!</v>
      </c>
      <c r="AL7" s="22" t="str">
        <f t="shared" si="2"/>
        <v>#REF!</v>
      </c>
      <c r="AM7" s="22" t="str">
        <f t="shared" si="2"/>
        <v>#REF!</v>
      </c>
      <c r="AN7" s="22" t="str">
        <f t="shared" si="2"/>
        <v>#REF!</v>
      </c>
      <c r="AO7" s="22" t="str">
        <f t="shared" si="2"/>
        <v>#REF!</v>
      </c>
      <c r="AP7" s="22" t="str">
        <f t="shared" si="2"/>
        <v>#REF!</v>
      </c>
      <c r="AQ7" s="22" t="str">
        <f t="shared" si="2"/>
        <v>#REF!</v>
      </c>
    </row>
    <row r="8" ht="28.5" customHeight="1">
      <c r="A8" s="9"/>
      <c r="B8" s="23"/>
      <c r="C8" s="24" t="s">
        <v>30</v>
      </c>
      <c r="D8" s="25">
        <v>10000.0</v>
      </c>
      <c r="E8" s="25">
        <v>10000.0</v>
      </c>
      <c r="F8" s="25">
        <v>10000.0</v>
      </c>
      <c r="G8" s="25">
        <v>10000.0</v>
      </c>
      <c r="H8" s="25">
        <v>10000.0</v>
      </c>
      <c r="I8" s="25">
        <v>10000.0</v>
      </c>
      <c r="J8" s="25">
        <v>10000.0</v>
      </c>
      <c r="K8" s="25">
        <v>10000.0</v>
      </c>
      <c r="L8" s="25">
        <v>10000.0</v>
      </c>
      <c r="M8" s="25">
        <v>10000.0</v>
      </c>
      <c r="N8" s="25">
        <v>10000.0</v>
      </c>
      <c r="O8" s="25">
        <v>10000.0</v>
      </c>
      <c r="P8" s="26">
        <f>P9/P7</f>
        <v>10000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6">
        <v>1.0</v>
      </c>
      <c r="AF8" s="27" t="str">
        <f>IF(#REF!&gt;=$AE$8,(AF$6-AF$7)/#REF!,0)</f>
        <v>#REF!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8.5" customHeight="1">
      <c r="A9" s="9"/>
      <c r="B9" s="28"/>
      <c r="C9" s="29" t="s">
        <v>31</v>
      </c>
      <c r="D9" s="30">
        <f t="shared" ref="D9:O9" si="3">D8*D7</f>
        <v>30000</v>
      </c>
      <c r="E9" s="30">
        <f t="shared" si="3"/>
        <v>30000</v>
      </c>
      <c r="F9" s="30">
        <f t="shared" si="3"/>
        <v>30000</v>
      </c>
      <c r="G9" s="30">
        <f t="shared" si="3"/>
        <v>30000</v>
      </c>
      <c r="H9" s="30">
        <f t="shared" si="3"/>
        <v>30000</v>
      </c>
      <c r="I9" s="30">
        <f t="shared" si="3"/>
        <v>30000</v>
      </c>
      <c r="J9" s="30">
        <f t="shared" si="3"/>
        <v>30000</v>
      </c>
      <c r="K9" s="30">
        <f t="shared" si="3"/>
        <v>30000</v>
      </c>
      <c r="L9" s="30">
        <f t="shared" si="3"/>
        <v>30000</v>
      </c>
      <c r="M9" s="30">
        <f t="shared" si="3"/>
        <v>30000</v>
      </c>
      <c r="N9" s="30">
        <f t="shared" si="3"/>
        <v>30000</v>
      </c>
      <c r="O9" s="30">
        <f t="shared" si="3"/>
        <v>30000</v>
      </c>
      <c r="P9" s="31">
        <f>SUM(D9:O9)</f>
        <v>360000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6">
        <v>2.0</v>
      </c>
      <c r="AF9" s="27" t="str">
        <f>IF(#REF!&gt;=$AE$9,(AF$6-AF$7)/#REF!,0)</f>
        <v>#REF!</v>
      </c>
      <c r="AG9" s="27" t="str">
        <f>IF(#REF!&gt;=$AE$8,(AG$6-AG$7)/#REF!,0)</f>
        <v>#REF!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9.75" customHeight="1">
      <c r="A10" s="9"/>
      <c r="B10" s="32"/>
      <c r="C10" s="3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4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6"/>
      <c r="AF10" s="27"/>
      <c r="AG10" s="27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8.5" customHeight="1">
      <c r="A11" s="9"/>
      <c r="B11" s="18" t="s">
        <v>32</v>
      </c>
      <c r="C11" s="19" t="s">
        <v>29</v>
      </c>
      <c r="D11" s="20">
        <v>2.0</v>
      </c>
      <c r="E11" s="20">
        <v>2.0</v>
      </c>
      <c r="F11" s="20">
        <v>2.0</v>
      </c>
      <c r="G11" s="20">
        <v>2.0</v>
      </c>
      <c r="H11" s="20">
        <v>2.0</v>
      </c>
      <c r="I11" s="20">
        <v>2.0</v>
      </c>
      <c r="J11" s="20">
        <v>2.0</v>
      </c>
      <c r="K11" s="20">
        <v>2.0</v>
      </c>
      <c r="L11" s="20">
        <v>2.0</v>
      </c>
      <c r="M11" s="20">
        <v>2.0</v>
      </c>
      <c r="N11" s="20">
        <v>2.0</v>
      </c>
      <c r="O11" s="20">
        <v>2.0</v>
      </c>
      <c r="P11" s="21">
        <f>SUM(D11:O11)</f>
        <v>24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6"/>
      <c r="AF11" s="22">
        <f>F11</f>
        <v>2</v>
      </c>
      <c r="AG11" s="22">
        <f>F12</f>
        <v>4970</v>
      </c>
      <c r="AH11" s="22">
        <f>F13</f>
        <v>9940</v>
      </c>
      <c r="AI11" s="22" t="str">
        <f t="shared" ref="AI11:AQ11" si="4">#REF!</f>
        <v>#REF!</v>
      </c>
      <c r="AJ11" s="22" t="str">
        <f t="shared" si="4"/>
        <v>#REF!</v>
      </c>
      <c r="AK11" s="22" t="str">
        <f t="shared" si="4"/>
        <v>#REF!</v>
      </c>
      <c r="AL11" s="22" t="str">
        <f t="shared" si="4"/>
        <v>#REF!</v>
      </c>
      <c r="AM11" s="22" t="str">
        <f t="shared" si="4"/>
        <v>#REF!</v>
      </c>
      <c r="AN11" s="22" t="str">
        <f t="shared" si="4"/>
        <v>#REF!</v>
      </c>
      <c r="AO11" s="22" t="str">
        <f t="shared" si="4"/>
        <v>#REF!</v>
      </c>
      <c r="AP11" s="22" t="str">
        <f t="shared" si="4"/>
        <v>#REF!</v>
      </c>
      <c r="AQ11" s="22" t="str">
        <f t="shared" si="4"/>
        <v>#REF!</v>
      </c>
    </row>
    <row r="12" ht="28.5" customHeight="1">
      <c r="A12" s="9"/>
      <c r="B12" s="23"/>
      <c r="C12" s="24" t="s">
        <v>30</v>
      </c>
      <c r="D12" s="25">
        <v>4970.0</v>
      </c>
      <c r="E12" s="25">
        <v>4970.0</v>
      </c>
      <c r="F12" s="25">
        <v>4970.0</v>
      </c>
      <c r="G12" s="25">
        <v>4970.0</v>
      </c>
      <c r="H12" s="25">
        <v>4970.0</v>
      </c>
      <c r="I12" s="25">
        <v>4970.0</v>
      </c>
      <c r="J12" s="25">
        <v>4970.0</v>
      </c>
      <c r="K12" s="25">
        <v>4970.0</v>
      </c>
      <c r="L12" s="25">
        <v>4970.0</v>
      </c>
      <c r="M12" s="25">
        <v>4970.0</v>
      </c>
      <c r="N12" s="25">
        <v>4970.0</v>
      </c>
      <c r="O12" s="25">
        <v>4970.0</v>
      </c>
      <c r="P12" s="26">
        <f>P13/P11</f>
        <v>4970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6">
        <v>1.0</v>
      </c>
      <c r="AF12" s="27" t="str">
        <f>IF(#REF!&gt;=$AE$8,(AF$6-AF$7)/#REF!,0)</f>
        <v>#REF!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8.5" customHeight="1">
      <c r="A13" s="9"/>
      <c r="B13" s="28"/>
      <c r="C13" s="29" t="s">
        <v>31</v>
      </c>
      <c r="D13" s="30">
        <f t="shared" ref="D13:O13" si="5">D12*D11</f>
        <v>9940</v>
      </c>
      <c r="E13" s="30">
        <f t="shared" si="5"/>
        <v>9940</v>
      </c>
      <c r="F13" s="30">
        <f t="shared" si="5"/>
        <v>9940</v>
      </c>
      <c r="G13" s="30">
        <f t="shared" si="5"/>
        <v>9940</v>
      </c>
      <c r="H13" s="30">
        <f t="shared" si="5"/>
        <v>9940</v>
      </c>
      <c r="I13" s="30">
        <f t="shared" si="5"/>
        <v>9940</v>
      </c>
      <c r="J13" s="30">
        <f t="shared" si="5"/>
        <v>9940</v>
      </c>
      <c r="K13" s="30">
        <f t="shared" si="5"/>
        <v>9940</v>
      </c>
      <c r="L13" s="30">
        <f t="shared" si="5"/>
        <v>9940</v>
      </c>
      <c r="M13" s="30">
        <f t="shared" si="5"/>
        <v>9940</v>
      </c>
      <c r="N13" s="30">
        <f t="shared" si="5"/>
        <v>9940</v>
      </c>
      <c r="O13" s="30">
        <f t="shared" si="5"/>
        <v>9940</v>
      </c>
      <c r="P13" s="31">
        <f>SUM(D13:O13)</f>
        <v>119280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6">
        <v>2.0</v>
      </c>
      <c r="AF13" s="27" t="str">
        <f>IF(#REF!&gt;=$AE$9,(AF$6-AF$7)/#REF!,0)</f>
        <v>#REF!</v>
      </c>
      <c r="AG13" s="27" t="str">
        <f>IF(#REF!&gt;=$AE$8,(AG$6-AG$7)/#REF!,0)</f>
        <v>#REF!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9.75" customHeight="1">
      <c r="A14" s="9"/>
      <c r="B14" s="32"/>
      <c r="C14" s="3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  <c r="AF14" s="27"/>
      <c r="AG14" s="27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8.5" customHeight="1">
      <c r="A15" s="9"/>
      <c r="B15" s="18" t="s">
        <v>56</v>
      </c>
      <c r="C15" s="19" t="s">
        <v>29</v>
      </c>
      <c r="D15" s="20">
        <v>5.0</v>
      </c>
      <c r="E15" s="20">
        <v>5.0</v>
      </c>
      <c r="F15" s="20">
        <v>5.0</v>
      </c>
      <c r="G15" s="20">
        <v>5.0</v>
      </c>
      <c r="H15" s="20">
        <v>5.0</v>
      </c>
      <c r="I15" s="20">
        <v>5.0</v>
      </c>
      <c r="J15" s="20">
        <v>5.0</v>
      </c>
      <c r="K15" s="20">
        <v>5.0</v>
      </c>
      <c r="L15" s="20">
        <v>5.0</v>
      </c>
      <c r="M15" s="20">
        <v>5.0</v>
      </c>
      <c r="N15" s="20">
        <v>5.0</v>
      </c>
      <c r="O15" s="20">
        <v>5.0</v>
      </c>
      <c r="P15" s="21">
        <f>SUM(D15:O15)</f>
        <v>60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6"/>
      <c r="AF15" s="22">
        <f>F15</f>
        <v>5</v>
      </c>
      <c r="AG15" s="22">
        <f>F16</f>
        <v>2470</v>
      </c>
      <c r="AH15" s="22">
        <f>F17</f>
        <v>12350</v>
      </c>
      <c r="AI15" s="22" t="str">
        <f t="shared" ref="AI15:AQ15" si="6">#REF!</f>
        <v>#REF!</v>
      </c>
      <c r="AJ15" s="22" t="str">
        <f t="shared" si="6"/>
        <v>#REF!</v>
      </c>
      <c r="AK15" s="22" t="str">
        <f t="shared" si="6"/>
        <v>#REF!</v>
      </c>
      <c r="AL15" s="22" t="str">
        <f t="shared" si="6"/>
        <v>#REF!</v>
      </c>
      <c r="AM15" s="22" t="str">
        <f t="shared" si="6"/>
        <v>#REF!</v>
      </c>
      <c r="AN15" s="22" t="str">
        <f t="shared" si="6"/>
        <v>#REF!</v>
      </c>
      <c r="AO15" s="22" t="str">
        <f t="shared" si="6"/>
        <v>#REF!</v>
      </c>
      <c r="AP15" s="22" t="str">
        <f t="shared" si="6"/>
        <v>#REF!</v>
      </c>
      <c r="AQ15" s="22" t="str">
        <f t="shared" si="6"/>
        <v>#REF!</v>
      </c>
    </row>
    <row r="16" ht="28.5" customHeight="1">
      <c r="A16" s="9"/>
      <c r="B16" s="23"/>
      <c r="C16" s="24" t="s">
        <v>30</v>
      </c>
      <c r="D16" s="25">
        <v>2470.0</v>
      </c>
      <c r="E16" s="25">
        <v>2470.0</v>
      </c>
      <c r="F16" s="25">
        <v>2470.0</v>
      </c>
      <c r="G16" s="25">
        <v>2470.0</v>
      </c>
      <c r="H16" s="25">
        <v>2470.0</v>
      </c>
      <c r="I16" s="25">
        <v>2470.0</v>
      </c>
      <c r="J16" s="25">
        <v>2470.0</v>
      </c>
      <c r="K16" s="25">
        <v>2470.0</v>
      </c>
      <c r="L16" s="25">
        <v>2470.0</v>
      </c>
      <c r="M16" s="25">
        <v>2470.0</v>
      </c>
      <c r="N16" s="25">
        <v>2470.0</v>
      </c>
      <c r="O16" s="25">
        <v>2470.0</v>
      </c>
      <c r="P16" s="26">
        <f>P17/P15</f>
        <v>2470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6">
        <v>1.0</v>
      </c>
      <c r="AF16" s="27" t="str">
        <f>IF(#REF!&gt;=$AE$8,(AF$6-AF$7)/#REF!,0)</f>
        <v>#REF!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8.5" customHeight="1">
      <c r="A17" s="9"/>
      <c r="B17" s="28"/>
      <c r="C17" s="29" t="s">
        <v>31</v>
      </c>
      <c r="D17" s="30">
        <f t="shared" ref="D17:O17" si="7">D16*D15</f>
        <v>12350</v>
      </c>
      <c r="E17" s="30">
        <f t="shared" si="7"/>
        <v>12350</v>
      </c>
      <c r="F17" s="30">
        <f t="shared" si="7"/>
        <v>12350</v>
      </c>
      <c r="G17" s="30">
        <f t="shared" si="7"/>
        <v>12350</v>
      </c>
      <c r="H17" s="30">
        <f t="shared" si="7"/>
        <v>12350</v>
      </c>
      <c r="I17" s="30">
        <f t="shared" si="7"/>
        <v>12350</v>
      </c>
      <c r="J17" s="30">
        <f t="shared" si="7"/>
        <v>12350</v>
      </c>
      <c r="K17" s="30">
        <f t="shared" si="7"/>
        <v>12350</v>
      </c>
      <c r="L17" s="30">
        <f t="shared" si="7"/>
        <v>12350</v>
      </c>
      <c r="M17" s="30">
        <f t="shared" si="7"/>
        <v>12350</v>
      </c>
      <c r="N17" s="30">
        <f t="shared" si="7"/>
        <v>12350</v>
      </c>
      <c r="O17" s="30">
        <f t="shared" si="7"/>
        <v>12350</v>
      </c>
      <c r="P17" s="31">
        <f>SUM(D17:O17)</f>
        <v>148200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6">
        <v>2.0</v>
      </c>
      <c r="AF17" s="27" t="str">
        <f>IF(#REF!&gt;=$AE$9,(AF$6-AF$7)/#REF!,0)</f>
        <v>#REF!</v>
      </c>
      <c r="AG17" s="27" t="str">
        <f>IF(#REF!&gt;=$AE$8,(AG$6-AG$7)/#REF!,0)</f>
        <v>#REF!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9.75" customHeight="1">
      <c r="A18" s="9"/>
      <c r="B18" s="32"/>
      <c r="C18" s="3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4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6"/>
      <c r="AF18" s="27"/>
      <c r="AG18" s="27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8.5" customHeight="1">
      <c r="A19" s="9"/>
      <c r="B19" s="18" t="s">
        <v>34</v>
      </c>
      <c r="C19" s="19" t="s">
        <v>29</v>
      </c>
      <c r="D19" s="20">
        <v>1.0</v>
      </c>
      <c r="E19" s="20">
        <v>2.0</v>
      </c>
      <c r="F19" s="20">
        <v>3.0</v>
      </c>
      <c r="G19" s="20">
        <v>3.0</v>
      </c>
      <c r="H19" s="20">
        <v>3.0</v>
      </c>
      <c r="I19" s="20">
        <v>3.0</v>
      </c>
      <c r="J19" s="20">
        <v>3.0</v>
      </c>
      <c r="K19" s="20">
        <v>3.0</v>
      </c>
      <c r="L19" s="20">
        <v>3.0</v>
      </c>
      <c r="M19" s="20">
        <v>3.0</v>
      </c>
      <c r="N19" s="20">
        <v>3.0</v>
      </c>
      <c r="O19" s="20">
        <v>3.0</v>
      </c>
      <c r="P19" s="21">
        <f>SUM(D19:O19)</f>
        <v>33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6"/>
      <c r="AF19" s="22">
        <f>F19</f>
        <v>3</v>
      </c>
      <c r="AG19" s="22">
        <f>F20</f>
        <v>2500</v>
      </c>
      <c r="AH19" s="22">
        <f>F21</f>
        <v>7500</v>
      </c>
      <c r="AI19" s="22" t="str">
        <f t="shared" ref="AI19:AQ19" si="8">#REF!</f>
        <v>#REF!</v>
      </c>
      <c r="AJ19" s="22" t="str">
        <f t="shared" si="8"/>
        <v>#REF!</v>
      </c>
      <c r="AK19" s="22" t="str">
        <f t="shared" si="8"/>
        <v>#REF!</v>
      </c>
      <c r="AL19" s="22" t="str">
        <f t="shared" si="8"/>
        <v>#REF!</v>
      </c>
      <c r="AM19" s="22" t="str">
        <f t="shared" si="8"/>
        <v>#REF!</v>
      </c>
      <c r="AN19" s="22" t="str">
        <f t="shared" si="8"/>
        <v>#REF!</v>
      </c>
      <c r="AO19" s="22" t="str">
        <f t="shared" si="8"/>
        <v>#REF!</v>
      </c>
      <c r="AP19" s="22" t="str">
        <f t="shared" si="8"/>
        <v>#REF!</v>
      </c>
      <c r="AQ19" s="22" t="str">
        <f t="shared" si="8"/>
        <v>#REF!</v>
      </c>
    </row>
    <row r="20" ht="28.5" customHeight="1">
      <c r="A20" s="9"/>
      <c r="B20" s="23"/>
      <c r="C20" s="24" t="s">
        <v>30</v>
      </c>
      <c r="D20" s="25">
        <v>2500.0</v>
      </c>
      <c r="E20" s="25">
        <v>2500.0</v>
      </c>
      <c r="F20" s="25">
        <v>2500.0</v>
      </c>
      <c r="G20" s="25">
        <v>2500.0</v>
      </c>
      <c r="H20" s="25">
        <v>2500.0</v>
      </c>
      <c r="I20" s="25">
        <v>2500.0</v>
      </c>
      <c r="J20" s="25">
        <v>2500.0</v>
      </c>
      <c r="K20" s="25">
        <v>2500.0</v>
      </c>
      <c r="L20" s="25">
        <v>2500.0</v>
      </c>
      <c r="M20" s="25">
        <v>2500.0</v>
      </c>
      <c r="N20" s="25">
        <v>2500.0</v>
      </c>
      <c r="O20" s="25">
        <v>2500.0</v>
      </c>
      <c r="P20" s="26">
        <f>P21/P19</f>
        <v>2500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6">
        <v>1.0</v>
      </c>
      <c r="AF20" s="27" t="str">
        <f>IF(#REF!&gt;=$AE$8,(AF$6-AF$7)/#REF!,0)</f>
        <v>#REF!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36.0" customHeight="1">
      <c r="A21" s="9"/>
      <c r="B21" s="28"/>
      <c r="C21" s="29" t="s">
        <v>31</v>
      </c>
      <c r="D21" s="30">
        <f t="shared" ref="D21:O21" si="9">D20*D19</f>
        <v>2500</v>
      </c>
      <c r="E21" s="30">
        <f t="shared" si="9"/>
        <v>5000</v>
      </c>
      <c r="F21" s="30">
        <f t="shared" si="9"/>
        <v>7500</v>
      </c>
      <c r="G21" s="30">
        <f t="shared" si="9"/>
        <v>7500</v>
      </c>
      <c r="H21" s="30">
        <f t="shared" si="9"/>
        <v>7500</v>
      </c>
      <c r="I21" s="30">
        <f t="shared" si="9"/>
        <v>7500</v>
      </c>
      <c r="J21" s="30">
        <f t="shared" si="9"/>
        <v>7500</v>
      </c>
      <c r="K21" s="30">
        <f t="shared" si="9"/>
        <v>7500</v>
      </c>
      <c r="L21" s="30">
        <f t="shared" si="9"/>
        <v>7500</v>
      </c>
      <c r="M21" s="30">
        <f t="shared" si="9"/>
        <v>7500</v>
      </c>
      <c r="N21" s="30">
        <f t="shared" si="9"/>
        <v>7500</v>
      </c>
      <c r="O21" s="30">
        <f t="shared" si="9"/>
        <v>7500</v>
      </c>
      <c r="P21" s="31">
        <f>SUM(D21:O21)</f>
        <v>82500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6">
        <v>2.0</v>
      </c>
      <c r="AF21" s="27" t="str">
        <f>IF(#REF!&gt;=$AE$9,(AF$6-AF$7)/#REF!,0)</f>
        <v>#REF!</v>
      </c>
      <c r="AG21" s="27" t="str">
        <f>IF(#REF!&gt;=$AE$8,(AG$6-AG$7)/#REF!,0)</f>
        <v>#REF!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15.75" customHeight="1">
      <c r="A22" s="9"/>
      <c r="B22" s="32"/>
      <c r="C22" s="3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34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  <c r="AF22" s="27"/>
      <c r="AG22" s="27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31.5" customHeight="1">
      <c r="A23" s="9"/>
      <c r="B23" s="35" t="s">
        <v>35</v>
      </c>
      <c r="C23" s="36" t="s">
        <v>29</v>
      </c>
      <c r="D23" s="37">
        <f t="shared" ref="D23:O23" si="10">SUM(D19,D15,D11,D7)</f>
        <v>11</v>
      </c>
      <c r="E23" s="37">
        <f t="shared" si="10"/>
        <v>12</v>
      </c>
      <c r="F23" s="37">
        <f t="shared" si="10"/>
        <v>13</v>
      </c>
      <c r="G23" s="37">
        <f t="shared" si="10"/>
        <v>13</v>
      </c>
      <c r="H23" s="37">
        <f t="shared" si="10"/>
        <v>13</v>
      </c>
      <c r="I23" s="37">
        <f t="shared" si="10"/>
        <v>13</v>
      </c>
      <c r="J23" s="37">
        <f t="shared" si="10"/>
        <v>13</v>
      </c>
      <c r="K23" s="37">
        <f t="shared" si="10"/>
        <v>13</v>
      </c>
      <c r="L23" s="37">
        <f t="shared" si="10"/>
        <v>13</v>
      </c>
      <c r="M23" s="37">
        <f t="shared" si="10"/>
        <v>13</v>
      </c>
      <c r="N23" s="37">
        <f t="shared" si="10"/>
        <v>13</v>
      </c>
      <c r="O23" s="37">
        <f t="shared" si="10"/>
        <v>13</v>
      </c>
      <c r="P23" s="38">
        <f>SUM(D23:O23)</f>
        <v>153</v>
      </c>
      <c r="Q23" s="39"/>
      <c r="R23" s="39"/>
      <c r="S23" s="39"/>
      <c r="T23" s="3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31.5" customHeight="1">
      <c r="A24" s="9"/>
      <c r="B24" s="40"/>
      <c r="C24" s="24" t="s">
        <v>30</v>
      </c>
      <c r="D24" s="25">
        <f t="shared" ref="D24:P24" si="11">D25/D23</f>
        <v>4980.909091</v>
      </c>
      <c r="E24" s="25">
        <f t="shared" si="11"/>
        <v>4774.166667</v>
      </c>
      <c r="F24" s="25">
        <f t="shared" si="11"/>
        <v>4599.230769</v>
      </c>
      <c r="G24" s="25">
        <f t="shared" si="11"/>
        <v>4599.230769</v>
      </c>
      <c r="H24" s="25">
        <f t="shared" si="11"/>
        <v>4599.230769</v>
      </c>
      <c r="I24" s="25">
        <f t="shared" si="11"/>
        <v>4599.230769</v>
      </c>
      <c r="J24" s="25">
        <f t="shared" si="11"/>
        <v>4599.230769</v>
      </c>
      <c r="K24" s="25">
        <f t="shared" si="11"/>
        <v>4599.230769</v>
      </c>
      <c r="L24" s="25">
        <f t="shared" si="11"/>
        <v>4599.230769</v>
      </c>
      <c r="M24" s="25">
        <f t="shared" si="11"/>
        <v>4599.230769</v>
      </c>
      <c r="N24" s="25">
        <f t="shared" si="11"/>
        <v>4599.230769</v>
      </c>
      <c r="O24" s="25">
        <f t="shared" si="11"/>
        <v>4599.230769</v>
      </c>
      <c r="P24" s="41">
        <f t="shared" si="11"/>
        <v>4640.392157</v>
      </c>
      <c r="Q24" s="39"/>
      <c r="R24" s="39"/>
      <c r="S24" s="39"/>
      <c r="T24" s="3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31.5" customHeight="1">
      <c r="A25" s="9"/>
      <c r="B25" s="42"/>
      <c r="C25" s="43" t="s">
        <v>31</v>
      </c>
      <c r="D25" s="44">
        <f t="shared" ref="D25:O25" si="12">SUM(D21,D17,D13,D9)</f>
        <v>54790</v>
      </c>
      <c r="E25" s="44">
        <f t="shared" si="12"/>
        <v>57290</v>
      </c>
      <c r="F25" s="44">
        <f t="shared" si="12"/>
        <v>59790</v>
      </c>
      <c r="G25" s="44">
        <f t="shared" si="12"/>
        <v>59790</v>
      </c>
      <c r="H25" s="44">
        <f t="shared" si="12"/>
        <v>59790</v>
      </c>
      <c r="I25" s="44">
        <f t="shared" si="12"/>
        <v>59790</v>
      </c>
      <c r="J25" s="44">
        <f t="shared" si="12"/>
        <v>59790</v>
      </c>
      <c r="K25" s="44">
        <f t="shared" si="12"/>
        <v>59790</v>
      </c>
      <c r="L25" s="44">
        <f t="shared" si="12"/>
        <v>59790</v>
      </c>
      <c r="M25" s="44">
        <f t="shared" si="12"/>
        <v>59790</v>
      </c>
      <c r="N25" s="44">
        <f t="shared" si="12"/>
        <v>59790</v>
      </c>
      <c r="O25" s="44">
        <f t="shared" si="12"/>
        <v>59790</v>
      </c>
      <c r="P25" s="45">
        <f>SUM(D25:O25)</f>
        <v>709980</v>
      </c>
      <c r="Q25" s="39"/>
      <c r="R25" s="39"/>
      <c r="S25" s="39"/>
      <c r="T25" s="3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35.25" customHeight="1">
      <c r="A26" s="9"/>
      <c r="B26" s="9"/>
      <c r="C26" s="9"/>
      <c r="D26" s="9"/>
      <c r="E26" s="10"/>
      <c r="F26" s="11"/>
      <c r="G26" s="11"/>
      <c r="H26" s="9"/>
      <c r="I26" s="9"/>
      <c r="J26" s="9"/>
      <c r="K26" s="9"/>
      <c r="L26" s="46"/>
      <c r="M26" s="46"/>
      <c r="N26" s="46"/>
      <c r="O26" s="46"/>
      <c r="P26" s="39"/>
      <c r="Q26" s="39"/>
      <c r="R26" s="39"/>
      <c r="S26" s="39"/>
      <c r="T26" s="3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39.0" customHeight="1">
      <c r="A27" s="9"/>
      <c r="B27" s="47" t="s">
        <v>36</v>
      </c>
      <c r="C27" s="9"/>
      <c r="D27" s="9"/>
      <c r="E27" s="10"/>
      <c r="F27" s="11"/>
      <c r="G27" s="11"/>
      <c r="H27" s="9"/>
      <c r="I27" s="9"/>
      <c r="J27" s="9"/>
      <c r="K27" s="9"/>
      <c r="L27" s="46"/>
      <c r="M27" s="46"/>
      <c r="N27" s="46"/>
      <c r="O27" s="46"/>
      <c r="P27" s="39"/>
      <c r="Q27" s="39"/>
      <c r="R27" s="39"/>
      <c r="S27" s="39"/>
      <c r="T27" s="3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5.75" customHeight="1">
      <c r="A28" s="9"/>
      <c r="B28" s="9"/>
      <c r="C28" s="9"/>
      <c r="D28" s="9"/>
      <c r="E28" s="10"/>
      <c r="F28" s="11"/>
      <c r="G28" s="11"/>
      <c r="H28" s="9"/>
      <c r="I28" s="9"/>
      <c r="J28" s="9"/>
      <c r="K28" s="9"/>
      <c r="L28" s="46"/>
      <c r="M28" s="46"/>
      <c r="N28" s="46"/>
      <c r="O28" s="46"/>
      <c r="P28" s="39"/>
      <c r="Q28" s="39"/>
      <c r="R28" s="39"/>
      <c r="S28" s="39"/>
      <c r="T28" s="3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24.75" customHeight="1">
      <c r="A29" s="4"/>
      <c r="B29" s="48" t="s">
        <v>37</v>
      </c>
      <c r="C29" s="48"/>
      <c r="D29" s="54">
        <v>0.0</v>
      </c>
      <c r="E29" s="54">
        <v>0.0</v>
      </c>
      <c r="F29" s="54">
        <v>0.0</v>
      </c>
      <c r="G29" s="54">
        <v>0.0</v>
      </c>
      <c r="H29" s="54">
        <v>0.0</v>
      </c>
      <c r="I29" s="54">
        <v>0.0</v>
      </c>
      <c r="J29" s="54">
        <v>0.0</v>
      </c>
      <c r="K29" s="54">
        <v>0.0</v>
      </c>
      <c r="L29" s="54">
        <v>0.0</v>
      </c>
      <c r="M29" s="54">
        <v>0.0</v>
      </c>
      <c r="N29" s="54">
        <v>0.0</v>
      </c>
      <c r="O29" s="54">
        <v>0.0</v>
      </c>
      <c r="P29" s="50">
        <f t="shared" ref="P29:P33" si="13">SUM(D29:O29)</f>
        <v>0</v>
      </c>
      <c r="Q29" s="51"/>
      <c r="R29" s="51"/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24.75" customHeight="1">
      <c r="A30" s="4"/>
      <c r="B30" s="52" t="s">
        <v>38</v>
      </c>
      <c r="C30" s="53"/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5">
        <f t="shared" si="13"/>
        <v>0</v>
      </c>
      <c r="Q30" s="51"/>
      <c r="R30" s="51"/>
      <c r="S30" s="51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24.75" customHeight="1">
      <c r="A31" s="4"/>
      <c r="B31" s="52" t="s">
        <v>39</v>
      </c>
      <c r="C31" s="53"/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5">
        <f t="shared" si="13"/>
        <v>0</v>
      </c>
      <c r="Q31" s="51"/>
      <c r="R31" s="51"/>
      <c r="S31" s="51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24.75" customHeight="1">
      <c r="A32" s="4"/>
      <c r="B32" s="52" t="s">
        <v>54</v>
      </c>
      <c r="C32" s="53"/>
      <c r="D32" s="54">
        <v>0.0</v>
      </c>
      <c r="E32" s="54">
        <v>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5">
        <f t="shared" si="13"/>
        <v>0</v>
      </c>
      <c r="Q32" s="51"/>
      <c r="R32" s="51"/>
      <c r="S32" s="51"/>
      <c r="T32" s="5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24.75" customHeight="1">
      <c r="A33" s="4"/>
      <c r="B33" s="56"/>
      <c r="C33" s="57"/>
      <c r="D33" s="54">
        <v>0.0</v>
      </c>
      <c r="E33" s="54">
        <v>0.0</v>
      </c>
      <c r="F33" s="54">
        <v>0.0</v>
      </c>
      <c r="G33" s="54">
        <v>0.0</v>
      </c>
      <c r="H33" s="54">
        <v>0.0</v>
      </c>
      <c r="I33" s="54">
        <v>0.0</v>
      </c>
      <c r="J33" s="54">
        <v>0.0</v>
      </c>
      <c r="K33" s="54">
        <v>0.0</v>
      </c>
      <c r="L33" s="54">
        <v>0.0</v>
      </c>
      <c r="M33" s="54">
        <v>0.0</v>
      </c>
      <c r="N33" s="54">
        <v>0.0</v>
      </c>
      <c r="O33" s="54">
        <v>0.0</v>
      </c>
      <c r="P33" s="59">
        <f t="shared" si="13"/>
        <v>0</v>
      </c>
      <c r="Q33" s="51"/>
      <c r="R33" s="51"/>
      <c r="S33" s="51"/>
      <c r="T33" s="5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60"/>
      <c r="B34" s="60"/>
      <c r="C34" s="60"/>
      <c r="D34" s="61"/>
      <c r="E34" s="62"/>
      <c r="F34" s="62"/>
      <c r="G34" s="62"/>
      <c r="H34" s="61"/>
      <c r="I34" s="61"/>
      <c r="J34" s="61"/>
      <c r="K34" s="61"/>
      <c r="L34" s="61"/>
      <c r="M34" s="61"/>
      <c r="N34" s="61"/>
      <c r="O34" s="61"/>
      <c r="P34" s="6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</row>
    <row r="35" ht="15.75" customHeight="1">
      <c r="A35" s="60"/>
      <c r="B35" s="63" t="s">
        <v>27</v>
      </c>
      <c r="C35" s="64"/>
      <c r="D35" s="65">
        <f t="shared" ref="D35:P35" si="14">SUM(D29:D33)</f>
        <v>0</v>
      </c>
      <c r="E35" s="65">
        <f t="shared" si="14"/>
        <v>0</v>
      </c>
      <c r="F35" s="65">
        <f t="shared" si="14"/>
        <v>0</v>
      </c>
      <c r="G35" s="65">
        <f t="shared" si="14"/>
        <v>0</v>
      </c>
      <c r="H35" s="65">
        <f t="shared" si="14"/>
        <v>0</v>
      </c>
      <c r="I35" s="65">
        <f t="shared" si="14"/>
        <v>0</v>
      </c>
      <c r="J35" s="65">
        <f t="shared" si="14"/>
        <v>0</v>
      </c>
      <c r="K35" s="65">
        <f t="shared" si="14"/>
        <v>0</v>
      </c>
      <c r="L35" s="65">
        <f t="shared" si="14"/>
        <v>0</v>
      </c>
      <c r="M35" s="65">
        <f t="shared" si="14"/>
        <v>0</v>
      </c>
      <c r="N35" s="65">
        <f t="shared" si="14"/>
        <v>0</v>
      </c>
      <c r="O35" s="65">
        <f t="shared" si="14"/>
        <v>0</v>
      </c>
      <c r="P35" s="66">
        <f t="shared" si="14"/>
        <v>0</v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ht="15.75" customHeight="1">
      <c r="A36" s="9"/>
      <c r="B36" s="5"/>
      <c r="C36" s="9"/>
      <c r="D36" s="9"/>
      <c r="E36" s="10"/>
      <c r="F36" s="11"/>
      <c r="G36" s="11"/>
      <c r="H36" s="9"/>
      <c r="I36" s="9"/>
      <c r="J36" s="9"/>
      <c r="K36" s="9"/>
      <c r="L36" s="9"/>
      <c r="M36" s="46"/>
      <c r="N36" s="46"/>
      <c r="O36" s="46"/>
      <c r="P36" s="46"/>
      <c r="Q36" s="39"/>
      <c r="R36" s="39"/>
      <c r="S36" s="39"/>
      <c r="T36" s="3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9"/>
      <c r="B37" s="5"/>
      <c r="C37" s="9"/>
      <c r="D37" s="9"/>
      <c r="E37" s="10"/>
      <c r="F37" s="11"/>
      <c r="G37" s="11"/>
      <c r="H37" s="9"/>
      <c r="I37" s="9"/>
      <c r="J37" s="9"/>
      <c r="K37" s="9"/>
      <c r="L37" s="9"/>
      <c r="M37" s="46"/>
      <c r="N37" s="46"/>
      <c r="O37" s="46"/>
      <c r="P37" s="46"/>
      <c r="Q37" s="39"/>
      <c r="R37" s="39"/>
      <c r="S37" s="39"/>
      <c r="T37" s="3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9"/>
      <c r="B38" s="47" t="s">
        <v>41</v>
      </c>
      <c r="C38" s="9"/>
      <c r="D38" s="9"/>
      <c r="E38" s="10"/>
      <c r="F38" s="11"/>
      <c r="G38" s="11"/>
      <c r="H38" s="9"/>
      <c r="I38" s="9"/>
      <c r="J38" s="9"/>
      <c r="K38" s="9"/>
      <c r="L38" s="9"/>
      <c r="M38" s="46"/>
      <c r="N38" s="46"/>
      <c r="O38" s="46"/>
      <c r="P38" s="46"/>
      <c r="Q38" s="39"/>
      <c r="R38" s="39"/>
      <c r="S38" s="39"/>
      <c r="T38" s="3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42.0" customHeight="1">
      <c r="A39" s="4"/>
      <c r="B39" s="67" t="s">
        <v>42</v>
      </c>
      <c r="F39" s="68">
        <v>0.1</v>
      </c>
      <c r="G39" s="8"/>
      <c r="H39" s="4"/>
      <c r="I39" s="4"/>
      <c r="J39" s="4"/>
      <c r="K39" s="4"/>
      <c r="L39" s="4"/>
      <c r="M39" s="4"/>
      <c r="N39" s="69"/>
      <c r="O39" s="69"/>
      <c r="P39" s="69"/>
      <c r="Q39" s="69"/>
      <c r="R39" s="51"/>
      <c r="S39" s="51"/>
      <c r="T39" s="5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42.0" customHeight="1">
      <c r="A40" s="4"/>
      <c r="B40" s="67" t="s">
        <v>43</v>
      </c>
      <c r="F40" s="68">
        <v>0.3</v>
      </c>
      <c r="G40" s="8"/>
      <c r="H40" s="4"/>
      <c r="I40" s="4"/>
      <c r="J40" s="4"/>
      <c r="K40" s="4"/>
      <c r="L40" s="4"/>
      <c r="M40" s="4"/>
      <c r="N40" s="4"/>
      <c r="O40" s="69"/>
      <c r="P40" s="69"/>
      <c r="Q40" s="69"/>
      <c r="R40" s="69"/>
      <c r="S40" s="51"/>
      <c r="T40" s="51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42.0" customHeight="1">
      <c r="A41" s="4"/>
      <c r="B41" s="67" t="s">
        <v>44</v>
      </c>
      <c r="F41" s="68">
        <v>0.05</v>
      </c>
      <c r="G41" s="8"/>
      <c r="H41" s="4"/>
      <c r="I41" s="4"/>
      <c r="J41" s="4"/>
      <c r="K41" s="4"/>
      <c r="L41" s="4"/>
      <c r="M41" s="4"/>
      <c r="N41" s="4"/>
      <c r="O41" s="4"/>
      <c r="P41" s="69"/>
      <c r="Q41" s="69"/>
      <c r="R41" s="69"/>
      <c r="S41" s="69"/>
      <c r="T41" s="5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9"/>
      <c r="B42" s="9"/>
      <c r="C42" s="9"/>
      <c r="D42" s="9"/>
      <c r="E42" s="10"/>
      <c r="F42" s="11"/>
      <c r="G42" s="11"/>
      <c r="H42" s="9"/>
      <c r="I42" s="9"/>
      <c r="J42" s="9"/>
      <c r="K42" s="9"/>
      <c r="L42" s="9"/>
      <c r="M42" s="9"/>
      <c r="N42" s="9"/>
      <c r="O42" s="9"/>
      <c r="P42" s="46"/>
      <c r="Q42" s="46"/>
      <c r="R42" s="46"/>
      <c r="S42" s="46"/>
      <c r="T42" s="4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9"/>
      <c r="B43" s="9"/>
      <c r="C43" s="9"/>
      <c r="D43" s="9"/>
      <c r="E43" s="10"/>
      <c r="F43" s="11"/>
      <c r="G43" s="11"/>
      <c r="H43" s="9"/>
      <c r="I43" s="9"/>
      <c r="J43" s="9"/>
      <c r="K43" s="9"/>
      <c r="L43" s="9"/>
      <c r="M43" s="9"/>
      <c r="N43" s="9"/>
      <c r="O43" s="9"/>
      <c r="P43" s="9"/>
      <c r="Q43" s="46"/>
      <c r="R43" s="46"/>
      <c r="S43" s="46"/>
      <c r="T43" s="46"/>
      <c r="U43" s="46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39.75" customHeight="1">
      <c r="A44" s="4"/>
      <c r="B44" s="70" t="s">
        <v>45</v>
      </c>
      <c r="C44" s="71"/>
      <c r="D44" s="72">
        <f t="shared" ref="D44:P44" si="15">D45/$F$41</f>
        <v>7333.333333</v>
      </c>
      <c r="E44" s="72">
        <f t="shared" si="15"/>
        <v>8000</v>
      </c>
      <c r="F44" s="72">
        <f t="shared" si="15"/>
        <v>8666.666667</v>
      </c>
      <c r="G44" s="72">
        <f t="shared" si="15"/>
        <v>8666.666667</v>
      </c>
      <c r="H44" s="72">
        <f t="shared" si="15"/>
        <v>8666.666667</v>
      </c>
      <c r="I44" s="72">
        <f t="shared" si="15"/>
        <v>8666.666667</v>
      </c>
      <c r="J44" s="72">
        <f t="shared" si="15"/>
        <v>8666.666667</v>
      </c>
      <c r="K44" s="72">
        <f t="shared" si="15"/>
        <v>8666.666667</v>
      </c>
      <c r="L44" s="72">
        <f t="shared" si="15"/>
        <v>8666.666667</v>
      </c>
      <c r="M44" s="72">
        <f t="shared" si="15"/>
        <v>8666.666667</v>
      </c>
      <c r="N44" s="72">
        <f t="shared" si="15"/>
        <v>8666.666667</v>
      </c>
      <c r="O44" s="72">
        <f t="shared" si="15"/>
        <v>8666.666667</v>
      </c>
      <c r="P44" s="90">
        <f t="shared" si="15"/>
        <v>102000</v>
      </c>
      <c r="Q44" s="4"/>
      <c r="R44" s="69"/>
      <c r="S44" s="69"/>
      <c r="T44" s="69"/>
      <c r="U44" s="69"/>
      <c r="V44" s="69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39.75" customHeight="1">
      <c r="A45" s="4"/>
      <c r="B45" s="52" t="s">
        <v>46</v>
      </c>
      <c r="C45" s="53"/>
      <c r="D45" s="74">
        <f t="shared" ref="D45:P45" si="16">D46/$F$40</f>
        <v>366.6666667</v>
      </c>
      <c r="E45" s="74">
        <f t="shared" si="16"/>
        <v>400</v>
      </c>
      <c r="F45" s="74">
        <f t="shared" si="16"/>
        <v>433.3333333</v>
      </c>
      <c r="G45" s="74">
        <f t="shared" si="16"/>
        <v>433.3333333</v>
      </c>
      <c r="H45" s="74">
        <f t="shared" si="16"/>
        <v>433.3333333</v>
      </c>
      <c r="I45" s="74">
        <f t="shared" si="16"/>
        <v>433.3333333</v>
      </c>
      <c r="J45" s="74">
        <f t="shared" si="16"/>
        <v>433.3333333</v>
      </c>
      <c r="K45" s="74">
        <f t="shared" si="16"/>
        <v>433.3333333</v>
      </c>
      <c r="L45" s="74">
        <f t="shared" si="16"/>
        <v>433.3333333</v>
      </c>
      <c r="M45" s="74">
        <f t="shared" si="16"/>
        <v>433.3333333</v>
      </c>
      <c r="N45" s="74">
        <f t="shared" si="16"/>
        <v>433.3333333</v>
      </c>
      <c r="O45" s="74">
        <f t="shared" si="16"/>
        <v>433.3333333</v>
      </c>
      <c r="P45" s="91">
        <f t="shared" si="16"/>
        <v>5100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39.75" customHeight="1">
      <c r="A46" s="4"/>
      <c r="B46" s="52" t="s">
        <v>47</v>
      </c>
      <c r="C46" s="53"/>
      <c r="D46" s="74">
        <f t="shared" ref="D46:P46" si="17">D47/$F$39</f>
        <v>110</v>
      </c>
      <c r="E46" s="74">
        <f t="shared" si="17"/>
        <v>120</v>
      </c>
      <c r="F46" s="74">
        <f t="shared" si="17"/>
        <v>130</v>
      </c>
      <c r="G46" s="74">
        <f t="shared" si="17"/>
        <v>130</v>
      </c>
      <c r="H46" s="74">
        <f t="shared" si="17"/>
        <v>130</v>
      </c>
      <c r="I46" s="74">
        <f t="shared" si="17"/>
        <v>130</v>
      </c>
      <c r="J46" s="74">
        <f t="shared" si="17"/>
        <v>130</v>
      </c>
      <c r="K46" s="74">
        <f t="shared" si="17"/>
        <v>130</v>
      </c>
      <c r="L46" s="74">
        <f t="shared" si="17"/>
        <v>130</v>
      </c>
      <c r="M46" s="74">
        <f t="shared" si="17"/>
        <v>130</v>
      </c>
      <c r="N46" s="74">
        <f t="shared" si="17"/>
        <v>130</v>
      </c>
      <c r="O46" s="74">
        <f t="shared" si="17"/>
        <v>130</v>
      </c>
      <c r="P46" s="91">
        <f t="shared" si="17"/>
        <v>1530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39.75" customHeight="1">
      <c r="A47" s="76"/>
      <c r="B47" s="77" t="s">
        <v>48</v>
      </c>
      <c r="C47" s="78"/>
      <c r="D47" s="79">
        <f t="shared" ref="D47:P47" si="18">D23-D35</f>
        <v>11</v>
      </c>
      <c r="E47" s="79">
        <f t="shared" si="18"/>
        <v>12</v>
      </c>
      <c r="F47" s="79">
        <f t="shared" si="18"/>
        <v>13</v>
      </c>
      <c r="G47" s="79">
        <f t="shared" si="18"/>
        <v>13</v>
      </c>
      <c r="H47" s="79">
        <f t="shared" si="18"/>
        <v>13</v>
      </c>
      <c r="I47" s="79">
        <f t="shared" si="18"/>
        <v>13</v>
      </c>
      <c r="J47" s="79">
        <f t="shared" si="18"/>
        <v>13</v>
      </c>
      <c r="K47" s="79">
        <f t="shared" si="18"/>
        <v>13</v>
      </c>
      <c r="L47" s="79">
        <f t="shared" si="18"/>
        <v>13</v>
      </c>
      <c r="M47" s="79">
        <f t="shared" si="18"/>
        <v>13</v>
      </c>
      <c r="N47" s="79">
        <f t="shared" si="18"/>
        <v>13</v>
      </c>
      <c r="O47" s="79">
        <f t="shared" si="18"/>
        <v>13</v>
      </c>
      <c r="P47" s="92">
        <f t="shared" si="18"/>
        <v>153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 ht="15.75" customHeight="1">
      <c r="A48" s="60"/>
      <c r="B48" s="60"/>
      <c r="C48" s="60"/>
      <c r="D48" s="60"/>
      <c r="E48" s="81"/>
      <c r="F48" s="82"/>
      <c r="G48" s="82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</row>
    <row r="49" ht="33.0" customHeight="1">
      <c r="A49" s="9"/>
      <c r="B49" s="83" t="s">
        <v>49</v>
      </c>
      <c r="E49" s="84">
        <v>0.28</v>
      </c>
      <c r="F49" s="8"/>
      <c r="G49" s="8"/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33.0" customHeight="1">
      <c r="A50" s="9"/>
      <c r="B50" s="83" t="s">
        <v>50</v>
      </c>
      <c r="E50" s="85">
        <v>0.2</v>
      </c>
      <c r="F50" s="4"/>
      <c r="G50" s="4"/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33.0" customHeight="1">
      <c r="A51" s="9"/>
      <c r="B51" s="83" t="s">
        <v>51</v>
      </c>
      <c r="E51" s="86">
        <f>(P44*(100%-E50))*E49</f>
        <v>22848</v>
      </c>
      <c r="F51" s="87">
        <f>E51/P25</f>
        <v>0.0321811882</v>
      </c>
      <c r="G51" s="4" t="s">
        <v>52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5.75" customHeight="1">
      <c r="B52" s="83" t="s">
        <v>53</v>
      </c>
      <c r="E52" s="86">
        <f>E51/12</f>
        <v>1904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0"/>
      <c r="B59" s="60"/>
      <c r="C59" s="60"/>
      <c r="D59" s="60"/>
      <c r="E59" s="81"/>
      <c r="F59" s="82"/>
      <c r="G59" s="82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ht="15.75" customHeight="1">
      <c r="A60" s="60"/>
      <c r="B60" s="60"/>
      <c r="C60" s="60"/>
      <c r="D60" s="60"/>
      <c r="E60" s="81"/>
      <c r="F60" s="82"/>
      <c r="G60" s="82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</row>
    <row r="61" ht="15.75" customHeight="1">
      <c r="A61" s="60"/>
      <c r="B61" s="60"/>
      <c r="C61" s="60"/>
      <c r="D61" s="60"/>
      <c r="E61" s="81"/>
      <c r="F61" s="82"/>
      <c r="G61" s="82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ht="15.75" customHeight="1">
      <c r="A62" s="60"/>
      <c r="B62" s="60"/>
      <c r="C62" s="60"/>
      <c r="D62" s="60"/>
      <c r="E62" s="81"/>
      <c r="F62" s="82"/>
      <c r="G62" s="82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</row>
    <row r="63" ht="15.75" customHeight="1">
      <c r="A63" s="60"/>
      <c r="B63" s="60"/>
      <c r="C63" s="60"/>
      <c r="D63" s="60"/>
      <c r="E63" s="81"/>
      <c r="F63" s="82"/>
      <c r="G63" s="82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ht="15.75" customHeight="1">
      <c r="A64" s="60"/>
      <c r="B64" s="60"/>
      <c r="C64" s="60"/>
      <c r="D64" s="60"/>
      <c r="E64" s="81"/>
      <c r="F64" s="82"/>
      <c r="G64" s="82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</row>
    <row r="65" ht="15.75" customHeight="1">
      <c r="A65" s="60"/>
      <c r="B65" s="60"/>
      <c r="C65" s="60"/>
      <c r="D65" s="60"/>
      <c r="E65" s="81"/>
      <c r="F65" s="82"/>
      <c r="G65" s="82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ht="15.75" customHeight="1">
      <c r="A66" s="60"/>
      <c r="B66" s="60"/>
      <c r="C66" s="60"/>
      <c r="D66" s="60"/>
      <c r="E66" s="81"/>
      <c r="F66" s="82"/>
      <c r="G66" s="82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</row>
    <row r="67" ht="15.75" customHeight="1">
      <c r="A67" s="60"/>
      <c r="B67" s="60"/>
      <c r="C67" s="60"/>
      <c r="D67" s="60"/>
      <c r="E67" s="81"/>
      <c r="F67" s="82"/>
      <c r="G67" s="82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ht="15.75" customHeight="1">
      <c r="A68" s="60"/>
      <c r="B68" s="60"/>
      <c r="C68" s="60"/>
      <c r="D68" s="60"/>
      <c r="E68" s="81"/>
      <c r="F68" s="82"/>
      <c r="G68" s="82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ht="15.75" customHeight="1">
      <c r="A69" s="60"/>
      <c r="B69" s="60"/>
      <c r="C69" s="60"/>
      <c r="D69" s="60"/>
      <c r="E69" s="81"/>
      <c r="F69" s="82"/>
      <c r="G69" s="82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ht="15.75" customHeight="1">
      <c r="A70" s="60"/>
      <c r="B70" s="60"/>
      <c r="C70" s="60"/>
      <c r="D70" s="60"/>
      <c r="E70" s="81"/>
      <c r="F70" s="82"/>
      <c r="G70" s="82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ht="15.75" customHeight="1">
      <c r="A71" s="60"/>
      <c r="B71" s="60"/>
      <c r="C71" s="60"/>
      <c r="D71" s="60"/>
      <c r="E71" s="81"/>
      <c r="F71" s="82"/>
      <c r="G71" s="82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ht="15.75" customHeight="1">
      <c r="A72" s="60"/>
      <c r="B72" s="60"/>
      <c r="C72" s="60"/>
      <c r="D72" s="60"/>
      <c r="E72" s="81"/>
      <c r="F72" s="82"/>
      <c r="G72" s="82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ht="15.75" customHeight="1">
      <c r="A73" s="60"/>
      <c r="B73" s="60"/>
      <c r="C73" s="60"/>
      <c r="D73" s="60"/>
      <c r="E73" s="81"/>
      <c r="F73" s="82"/>
      <c r="G73" s="82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ht="15.75" customHeight="1">
      <c r="A74" s="60"/>
      <c r="B74" s="60"/>
      <c r="C74" s="60"/>
      <c r="D74" s="60"/>
      <c r="E74" s="81"/>
      <c r="F74" s="82"/>
      <c r="G74" s="82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ht="15.75" customHeight="1">
      <c r="A75" s="60"/>
      <c r="B75" s="60"/>
      <c r="C75" s="60"/>
      <c r="D75" s="60"/>
      <c r="E75" s="81"/>
      <c r="F75" s="82"/>
      <c r="G75" s="82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ht="15.75" customHeight="1">
      <c r="A76" s="60"/>
      <c r="B76" s="60"/>
      <c r="C76" s="60"/>
      <c r="D76" s="60"/>
      <c r="E76" s="81"/>
      <c r="F76" s="82"/>
      <c r="G76" s="82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ht="15.75" customHeight="1">
      <c r="A77" s="60"/>
      <c r="B77" s="60"/>
      <c r="C77" s="60"/>
      <c r="D77" s="60"/>
      <c r="E77" s="81"/>
      <c r="F77" s="82"/>
      <c r="G77" s="82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ht="15.75" customHeight="1">
      <c r="A78" s="60"/>
      <c r="B78" s="60"/>
      <c r="C78" s="60"/>
      <c r="D78" s="60"/>
      <c r="E78" s="81"/>
      <c r="F78" s="82"/>
      <c r="G78" s="82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ht="15.75" customHeight="1">
      <c r="A79" s="60"/>
      <c r="B79" s="60"/>
      <c r="C79" s="60"/>
      <c r="D79" s="60"/>
      <c r="E79" s="81"/>
      <c r="F79" s="82"/>
      <c r="G79" s="82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ht="15.75" customHeight="1">
      <c r="A80" s="60"/>
      <c r="B80" s="60"/>
      <c r="C80" s="60"/>
      <c r="D80" s="60"/>
      <c r="E80" s="81"/>
      <c r="F80" s="82"/>
      <c r="G80" s="82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ht="15.75" customHeight="1">
      <c r="A81" s="60"/>
      <c r="B81" s="60"/>
      <c r="C81" s="60"/>
      <c r="D81" s="60"/>
      <c r="E81" s="81"/>
      <c r="F81" s="82"/>
      <c r="G81" s="82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ht="15.75" customHeight="1">
      <c r="A82" s="60"/>
      <c r="B82" s="60"/>
      <c r="C82" s="60"/>
      <c r="D82" s="60"/>
      <c r="E82" s="81"/>
      <c r="F82" s="82"/>
      <c r="G82" s="82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ht="15.75" customHeight="1">
      <c r="A83" s="60"/>
      <c r="B83" s="60"/>
      <c r="C83" s="60"/>
      <c r="D83" s="60"/>
      <c r="E83" s="81"/>
      <c r="F83" s="82"/>
      <c r="G83" s="82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ht="15.75" customHeight="1">
      <c r="A84" s="60"/>
      <c r="B84" s="60"/>
      <c r="C84" s="60"/>
      <c r="D84" s="60"/>
      <c r="E84" s="81"/>
      <c r="F84" s="82"/>
      <c r="G84" s="82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ht="15.75" customHeight="1">
      <c r="A85" s="60"/>
      <c r="B85" s="60"/>
      <c r="C85" s="60"/>
      <c r="D85" s="60"/>
      <c r="E85" s="81"/>
      <c r="F85" s="82"/>
      <c r="G85" s="82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ht="15.75" customHeight="1">
      <c r="A86" s="60"/>
      <c r="B86" s="60"/>
      <c r="C86" s="60"/>
      <c r="D86" s="60"/>
      <c r="E86" s="81"/>
      <c r="F86" s="82"/>
      <c r="G86" s="82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ht="15.75" customHeight="1">
      <c r="A87" s="60"/>
      <c r="B87" s="60"/>
      <c r="C87" s="60"/>
      <c r="D87" s="60"/>
      <c r="E87" s="81"/>
      <c r="F87" s="82"/>
      <c r="G87" s="82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ht="15.75" customHeight="1">
      <c r="A88" s="60"/>
      <c r="B88" s="60"/>
      <c r="C88" s="60"/>
      <c r="D88" s="60"/>
      <c r="E88" s="81"/>
      <c r="F88" s="82"/>
      <c r="G88" s="82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ht="15.75" customHeight="1">
      <c r="A89" s="60"/>
      <c r="B89" s="60"/>
      <c r="C89" s="60"/>
      <c r="D89" s="60"/>
      <c r="E89" s="81"/>
      <c r="F89" s="82"/>
      <c r="G89" s="82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ht="15.75" customHeight="1">
      <c r="A90" s="60"/>
      <c r="B90" s="60"/>
      <c r="C90" s="60"/>
      <c r="D90" s="60"/>
      <c r="E90" s="81"/>
      <c r="F90" s="82"/>
      <c r="G90" s="82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ht="15.75" customHeight="1">
      <c r="A91" s="60"/>
      <c r="B91" s="60"/>
      <c r="C91" s="60"/>
      <c r="D91" s="60"/>
      <c r="E91" s="81"/>
      <c r="F91" s="82"/>
      <c r="G91" s="82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ht="15.75" customHeight="1">
      <c r="A92" s="60"/>
      <c r="B92" s="60"/>
      <c r="C92" s="60"/>
      <c r="D92" s="60"/>
      <c r="E92" s="81"/>
      <c r="F92" s="82"/>
      <c r="G92" s="82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ht="15.75" customHeight="1">
      <c r="A93" s="60"/>
      <c r="B93" s="60"/>
      <c r="C93" s="60"/>
      <c r="D93" s="60"/>
      <c r="E93" s="81"/>
      <c r="F93" s="82"/>
      <c r="G93" s="82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ht="15.75" customHeight="1">
      <c r="A94" s="60"/>
      <c r="B94" s="60"/>
      <c r="C94" s="60"/>
      <c r="D94" s="60"/>
      <c r="E94" s="81"/>
      <c r="F94" s="82"/>
      <c r="G94" s="82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ht="15.75" customHeight="1">
      <c r="A95" s="60"/>
      <c r="B95" s="60"/>
      <c r="C95" s="60"/>
      <c r="D95" s="60"/>
      <c r="E95" s="81"/>
      <c r="F95" s="82"/>
      <c r="G95" s="82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ht="15.75" customHeight="1">
      <c r="A96" s="60"/>
      <c r="B96" s="60"/>
      <c r="C96" s="60"/>
      <c r="D96" s="60"/>
      <c r="E96" s="81"/>
      <c r="F96" s="82"/>
      <c r="G96" s="82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ht="15.75" customHeight="1">
      <c r="A97" s="60"/>
      <c r="B97" s="60"/>
      <c r="C97" s="60"/>
      <c r="D97" s="60"/>
      <c r="E97" s="81"/>
      <c r="F97" s="82"/>
      <c r="G97" s="82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ht="15.75" customHeight="1">
      <c r="A98" s="60"/>
      <c r="B98" s="60"/>
      <c r="C98" s="60"/>
      <c r="D98" s="60"/>
      <c r="E98" s="81"/>
      <c r="F98" s="82"/>
      <c r="G98" s="82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ht="15.75" customHeight="1">
      <c r="A99" s="60"/>
      <c r="B99" s="60"/>
      <c r="C99" s="60"/>
      <c r="D99" s="60"/>
      <c r="E99" s="81"/>
      <c r="F99" s="82"/>
      <c r="G99" s="82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ht="15.75" customHeight="1">
      <c r="A100" s="60"/>
      <c r="B100" s="60"/>
      <c r="C100" s="60"/>
      <c r="D100" s="60"/>
      <c r="E100" s="81"/>
      <c r="F100" s="82"/>
      <c r="G100" s="82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ht="15.75" customHeight="1">
      <c r="A101" s="60"/>
      <c r="B101" s="60"/>
      <c r="C101" s="60"/>
      <c r="D101" s="60"/>
      <c r="E101" s="81"/>
      <c r="F101" s="82"/>
      <c r="G101" s="82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ht="15.75" customHeight="1">
      <c r="A102" s="60"/>
      <c r="B102" s="60"/>
      <c r="C102" s="60"/>
      <c r="D102" s="60"/>
      <c r="E102" s="81"/>
      <c r="F102" s="82"/>
      <c r="G102" s="82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ht="15.75" customHeight="1">
      <c r="A103" s="60"/>
      <c r="B103" s="60"/>
      <c r="C103" s="60"/>
      <c r="D103" s="60"/>
      <c r="E103" s="81"/>
      <c r="F103" s="82"/>
      <c r="G103" s="82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ht="15.75" customHeight="1">
      <c r="A104" s="60"/>
      <c r="B104" s="60"/>
      <c r="C104" s="60"/>
      <c r="D104" s="60"/>
      <c r="E104" s="81"/>
      <c r="F104" s="82"/>
      <c r="G104" s="82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ht="15.75" customHeight="1">
      <c r="A105" s="60"/>
      <c r="B105" s="60"/>
      <c r="C105" s="60"/>
      <c r="D105" s="60"/>
      <c r="E105" s="81"/>
      <c r="F105" s="82"/>
      <c r="G105" s="82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ht="15.75" customHeight="1">
      <c r="A106" s="60"/>
      <c r="B106" s="60"/>
      <c r="C106" s="60"/>
      <c r="D106" s="60"/>
      <c r="E106" s="81"/>
      <c r="F106" s="82"/>
      <c r="G106" s="82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ht="15.75" customHeight="1">
      <c r="A107" s="60"/>
      <c r="B107" s="60"/>
      <c r="C107" s="60"/>
      <c r="D107" s="60"/>
      <c r="E107" s="81"/>
      <c r="F107" s="82"/>
      <c r="G107" s="82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ht="15.75" customHeight="1">
      <c r="A108" s="60"/>
      <c r="B108" s="60"/>
      <c r="C108" s="60"/>
      <c r="D108" s="60"/>
      <c r="E108" s="81"/>
      <c r="F108" s="82"/>
      <c r="G108" s="82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ht="15.75" customHeight="1">
      <c r="A109" s="60"/>
      <c r="B109" s="60"/>
      <c r="C109" s="60"/>
      <c r="D109" s="60"/>
      <c r="E109" s="81"/>
      <c r="F109" s="82"/>
      <c r="G109" s="82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ht="15.75" customHeight="1">
      <c r="A110" s="60"/>
      <c r="B110" s="60"/>
      <c r="C110" s="60"/>
      <c r="D110" s="60"/>
      <c r="E110" s="81"/>
      <c r="F110" s="82"/>
      <c r="G110" s="82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ht="15.75" customHeight="1">
      <c r="A111" s="60"/>
      <c r="B111" s="60"/>
      <c r="C111" s="60"/>
      <c r="D111" s="60"/>
      <c r="E111" s="81"/>
      <c r="F111" s="82"/>
      <c r="G111" s="82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ht="15.75" customHeight="1">
      <c r="A112" s="60"/>
      <c r="B112" s="60"/>
      <c r="C112" s="60"/>
      <c r="D112" s="60"/>
      <c r="E112" s="81"/>
      <c r="F112" s="82"/>
      <c r="G112" s="82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ht="15.75" customHeight="1">
      <c r="A113" s="60"/>
      <c r="B113" s="60"/>
      <c r="C113" s="60"/>
      <c r="D113" s="60"/>
      <c r="E113" s="81"/>
      <c r="F113" s="82"/>
      <c r="G113" s="82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ht="15.75" customHeight="1">
      <c r="A114" s="60"/>
      <c r="B114" s="60"/>
      <c r="C114" s="60"/>
      <c r="D114" s="60"/>
      <c r="E114" s="81"/>
      <c r="F114" s="82"/>
      <c r="G114" s="82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ht="15.75" customHeight="1">
      <c r="A115" s="60"/>
      <c r="B115" s="60"/>
      <c r="C115" s="60"/>
      <c r="D115" s="60"/>
      <c r="E115" s="81"/>
      <c r="F115" s="82"/>
      <c r="G115" s="82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ht="15.75" customHeight="1">
      <c r="A116" s="60"/>
      <c r="B116" s="60"/>
      <c r="C116" s="60"/>
      <c r="D116" s="60"/>
      <c r="E116" s="81"/>
      <c r="F116" s="82"/>
      <c r="G116" s="82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ht="15.75" customHeight="1">
      <c r="A117" s="60"/>
      <c r="B117" s="60"/>
      <c r="C117" s="60"/>
      <c r="D117" s="60"/>
      <c r="E117" s="81"/>
      <c r="F117" s="82"/>
      <c r="G117" s="82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5.75" customHeight="1">
      <c r="A118" s="60"/>
      <c r="B118" s="60"/>
      <c r="C118" s="60"/>
      <c r="D118" s="60"/>
      <c r="E118" s="81"/>
      <c r="F118" s="82"/>
      <c r="G118" s="82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ht="15.75" customHeight="1">
      <c r="A119" s="60"/>
      <c r="B119" s="60"/>
      <c r="C119" s="60"/>
      <c r="D119" s="60"/>
      <c r="E119" s="81"/>
      <c r="F119" s="82"/>
      <c r="G119" s="82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ht="15.75" customHeight="1">
      <c r="A120" s="60"/>
      <c r="B120" s="60"/>
      <c r="C120" s="60"/>
      <c r="D120" s="60"/>
      <c r="E120" s="81"/>
      <c r="F120" s="82"/>
      <c r="G120" s="82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ht="15.75" customHeight="1">
      <c r="A121" s="60"/>
      <c r="B121" s="60"/>
      <c r="C121" s="60"/>
      <c r="D121" s="60"/>
      <c r="E121" s="81"/>
      <c r="F121" s="82"/>
      <c r="G121" s="82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5.75" customHeight="1">
      <c r="A122" s="60"/>
      <c r="B122" s="60"/>
      <c r="C122" s="60"/>
      <c r="D122" s="60"/>
      <c r="E122" s="81"/>
      <c r="F122" s="82"/>
      <c r="G122" s="82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ht="15.75" customHeight="1">
      <c r="A123" s="60"/>
      <c r="B123" s="60"/>
      <c r="C123" s="60"/>
      <c r="D123" s="60"/>
      <c r="E123" s="81"/>
      <c r="F123" s="82"/>
      <c r="G123" s="82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ht="15.75" customHeight="1">
      <c r="A124" s="60"/>
      <c r="B124" s="60"/>
      <c r="C124" s="60"/>
      <c r="D124" s="60"/>
      <c r="E124" s="81"/>
      <c r="F124" s="82"/>
      <c r="G124" s="82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ht="15.75" customHeight="1">
      <c r="A125" s="60"/>
      <c r="B125" s="60"/>
      <c r="C125" s="60"/>
      <c r="D125" s="60"/>
      <c r="E125" s="81"/>
      <c r="F125" s="82"/>
      <c r="G125" s="82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ht="15.75" customHeight="1">
      <c r="A126" s="60"/>
      <c r="B126" s="60"/>
      <c r="C126" s="60"/>
      <c r="D126" s="60"/>
      <c r="E126" s="81"/>
      <c r="F126" s="82"/>
      <c r="G126" s="82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5.75" customHeight="1">
      <c r="A127" s="60"/>
      <c r="B127" s="60"/>
      <c r="C127" s="60"/>
      <c r="D127" s="60"/>
      <c r="E127" s="81"/>
      <c r="F127" s="82"/>
      <c r="G127" s="82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ht="15.75" customHeight="1">
      <c r="A128" s="60"/>
      <c r="B128" s="60"/>
      <c r="C128" s="60"/>
      <c r="D128" s="60"/>
      <c r="E128" s="81"/>
      <c r="F128" s="82"/>
      <c r="G128" s="82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ht="15.75" customHeight="1">
      <c r="A129" s="60"/>
      <c r="B129" s="60"/>
      <c r="C129" s="60"/>
      <c r="D129" s="60"/>
      <c r="E129" s="81"/>
      <c r="F129" s="82"/>
      <c r="G129" s="82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ht="15.75" customHeight="1">
      <c r="A130" s="60"/>
      <c r="B130" s="60"/>
      <c r="C130" s="60"/>
      <c r="D130" s="60"/>
      <c r="E130" s="81"/>
      <c r="F130" s="82"/>
      <c r="G130" s="82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ht="15.75" customHeight="1">
      <c r="A131" s="60"/>
      <c r="B131" s="60"/>
      <c r="C131" s="60"/>
      <c r="D131" s="60"/>
      <c r="E131" s="81"/>
      <c r="F131" s="82"/>
      <c r="G131" s="82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ht="15.75" customHeight="1">
      <c r="A132" s="60"/>
      <c r="B132" s="60"/>
      <c r="C132" s="60"/>
      <c r="D132" s="60"/>
      <c r="E132" s="81"/>
      <c r="F132" s="82"/>
      <c r="G132" s="82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ht="15.75" customHeight="1">
      <c r="A133" s="60"/>
      <c r="B133" s="60"/>
      <c r="C133" s="60"/>
      <c r="D133" s="60"/>
      <c r="E133" s="81"/>
      <c r="F133" s="82"/>
      <c r="G133" s="82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ht="15.75" customHeight="1">
      <c r="A134" s="60"/>
      <c r="B134" s="60"/>
      <c r="C134" s="60"/>
      <c r="D134" s="60"/>
      <c r="E134" s="81"/>
      <c r="F134" s="82"/>
      <c r="G134" s="82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ht="15.75" customHeight="1">
      <c r="A135" s="60"/>
      <c r="B135" s="60"/>
      <c r="C135" s="60"/>
      <c r="D135" s="60"/>
      <c r="E135" s="81"/>
      <c r="F135" s="82"/>
      <c r="G135" s="82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ht="15.75" customHeight="1">
      <c r="A136" s="60"/>
      <c r="B136" s="60"/>
      <c r="C136" s="60"/>
      <c r="D136" s="60"/>
      <c r="E136" s="81"/>
      <c r="F136" s="82"/>
      <c r="G136" s="82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ht="15.75" customHeight="1">
      <c r="A137" s="60"/>
      <c r="B137" s="60"/>
      <c r="C137" s="60"/>
      <c r="D137" s="60"/>
      <c r="E137" s="81"/>
      <c r="F137" s="82"/>
      <c r="G137" s="82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ht="15.75" customHeight="1">
      <c r="A138" s="60"/>
      <c r="B138" s="60"/>
      <c r="C138" s="60"/>
      <c r="D138" s="60"/>
      <c r="E138" s="81"/>
      <c r="F138" s="82"/>
      <c r="G138" s="82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ht="15.75" customHeight="1">
      <c r="A139" s="60"/>
      <c r="B139" s="60"/>
      <c r="C139" s="60"/>
      <c r="D139" s="60"/>
      <c r="E139" s="81"/>
      <c r="F139" s="82"/>
      <c r="G139" s="82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ht="15.75" customHeight="1">
      <c r="A140" s="60"/>
      <c r="B140" s="60"/>
      <c r="C140" s="60"/>
      <c r="D140" s="60"/>
      <c r="E140" s="81"/>
      <c r="F140" s="82"/>
      <c r="G140" s="82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ht="15.75" customHeight="1">
      <c r="A141" s="60"/>
      <c r="B141" s="60"/>
      <c r="C141" s="60"/>
      <c r="D141" s="60"/>
      <c r="E141" s="81"/>
      <c r="F141" s="82"/>
      <c r="G141" s="82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ht="15.75" customHeight="1">
      <c r="A142" s="60"/>
      <c r="B142" s="60"/>
      <c r="C142" s="60"/>
      <c r="D142" s="60"/>
      <c r="E142" s="81"/>
      <c r="F142" s="82"/>
      <c r="G142" s="82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ht="15.75" customHeight="1">
      <c r="A143" s="60"/>
      <c r="B143" s="60"/>
      <c r="C143" s="60"/>
      <c r="D143" s="60"/>
      <c r="E143" s="81"/>
      <c r="F143" s="82"/>
      <c r="G143" s="82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ht="15.75" customHeight="1">
      <c r="A144" s="60"/>
      <c r="B144" s="60"/>
      <c r="C144" s="60"/>
      <c r="D144" s="60"/>
      <c r="E144" s="81"/>
      <c r="F144" s="82"/>
      <c r="G144" s="82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ht="15.75" customHeight="1">
      <c r="A145" s="60"/>
      <c r="B145" s="60"/>
      <c r="C145" s="60"/>
      <c r="D145" s="60"/>
      <c r="E145" s="81"/>
      <c r="F145" s="82"/>
      <c r="G145" s="82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ht="15.75" customHeight="1">
      <c r="A146" s="60"/>
      <c r="B146" s="60"/>
      <c r="C146" s="60"/>
      <c r="D146" s="60"/>
      <c r="E146" s="81"/>
      <c r="F146" s="82"/>
      <c r="G146" s="82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ht="15.75" customHeight="1">
      <c r="A147" s="60"/>
      <c r="B147" s="60"/>
      <c r="C147" s="60"/>
      <c r="D147" s="60"/>
      <c r="E147" s="81"/>
      <c r="F147" s="82"/>
      <c r="G147" s="82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ht="15.75" customHeight="1">
      <c r="A148" s="60"/>
      <c r="B148" s="60"/>
      <c r="C148" s="60"/>
      <c r="D148" s="60"/>
      <c r="E148" s="81"/>
      <c r="F148" s="82"/>
      <c r="G148" s="82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ht="15.75" customHeight="1">
      <c r="A149" s="60"/>
      <c r="B149" s="60"/>
      <c r="C149" s="60"/>
      <c r="D149" s="60"/>
      <c r="E149" s="81"/>
      <c r="F149" s="82"/>
      <c r="G149" s="82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ht="15.75" customHeight="1">
      <c r="A150" s="60"/>
      <c r="B150" s="60"/>
      <c r="C150" s="60"/>
      <c r="D150" s="60"/>
      <c r="E150" s="81"/>
      <c r="F150" s="82"/>
      <c r="G150" s="82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ht="15.75" customHeight="1">
      <c r="A151" s="60"/>
      <c r="B151" s="60"/>
      <c r="C151" s="60"/>
      <c r="D151" s="60"/>
      <c r="E151" s="81"/>
      <c r="F151" s="82"/>
      <c r="G151" s="82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ht="15.75" customHeight="1">
      <c r="A152" s="60"/>
      <c r="B152" s="60"/>
      <c r="C152" s="60"/>
      <c r="D152" s="60"/>
      <c r="E152" s="81"/>
      <c r="F152" s="82"/>
      <c r="G152" s="82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ht="15.75" customHeight="1">
      <c r="A153" s="60"/>
      <c r="B153" s="60"/>
      <c r="C153" s="60"/>
      <c r="D153" s="60"/>
      <c r="E153" s="81"/>
      <c r="F153" s="82"/>
      <c r="G153" s="82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ht="15.75" customHeight="1">
      <c r="A154" s="60"/>
      <c r="B154" s="60"/>
      <c r="C154" s="60"/>
      <c r="D154" s="60"/>
      <c r="E154" s="81"/>
      <c r="F154" s="82"/>
      <c r="G154" s="82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ht="15.75" customHeight="1">
      <c r="A155" s="60"/>
      <c r="B155" s="60"/>
      <c r="C155" s="60"/>
      <c r="D155" s="60"/>
      <c r="E155" s="81"/>
      <c r="F155" s="82"/>
      <c r="G155" s="82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ht="15.75" customHeight="1">
      <c r="A156" s="60"/>
      <c r="B156" s="60"/>
      <c r="C156" s="60"/>
      <c r="D156" s="60"/>
      <c r="E156" s="81"/>
      <c r="F156" s="82"/>
      <c r="G156" s="82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ht="15.75" customHeight="1">
      <c r="A157" s="60"/>
      <c r="B157" s="60"/>
      <c r="C157" s="60"/>
      <c r="D157" s="60"/>
      <c r="E157" s="81"/>
      <c r="F157" s="82"/>
      <c r="G157" s="82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ht="15.75" customHeight="1">
      <c r="A158" s="60"/>
      <c r="B158" s="60"/>
      <c r="C158" s="60"/>
      <c r="D158" s="60"/>
      <c r="E158" s="81"/>
      <c r="F158" s="82"/>
      <c r="G158" s="82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ht="15.75" customHeight="1">
      <c r="A159" s="60"/>
      <c r="B159" s="60"/>
      <c r="C159" s="60"/>
      <c r="D159" s="60"/>
      <c r="E159" s="81"/>
      <c r="F159" s="82"/>
      <c r="G159" s="82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ht="15.75" customHeight="1">
      <c r="A160" s="60"/>
      <c r="B160" s="60"/>
      <c r="C160" s="60"/>
      <c r="D160" s="60"/>
      <c r="E160" s="81"/>
      <c r="F160" s="82"/>
      <c r="G160" s="82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ht="15.75" customHeight="1">
      <c r="A161" s="60"/>
      <c r="B161" s="60"/>
      <c r="C161" s="60"/>
      <c r="D161" s="60"/>
      <c r="E161" s="81"/>
      <c r="F161" s="82"/>
      <c r="G161" s="82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ht="15.75" customHeight="1">
      <c r="A162" s="60"/>
      <c r="B162" s="60"/>
      <c r="C162" s="60"/>
      <c r="D162" s="60"/>
      <c r="E162" s="81"/>
      <c r="F162" s="82"/>
      <c r="G162" s="82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ht="15.75" customHeight="1">
      <c r="A163" s="60"/>
      <c r="B163" s="60"/>
      <c r="C163" s="60"/>
      <c r="D163" s="60"/>
      <c r="E163" s="81"/>
      <c r="F163" s="82"/>
      <c r="G163" s="82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ht="15.75" customHeight="1">
      <c r="A164" s="60"/>
      <c r="B164" s="60"/>
      <c r="C164" s="60"/>
      <c r="D164" s="60"/>
      <c r="E164" s="81"/>
      <c r="F164" s="82"/>
      <c r="G164" s="82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ht="15.75" customHeight="1">
      <c r="A165" s="60"/>
      <c r="B165" s="60"/>
      <c r="C165" s="60"/>
      <c r="D165" s="60"/>
      <c r="E165" s="81"/>
      <c r="F165" s="82"/>
      <c r="G165" s="82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ht="15.75" customHeight="1">
      <c r="A166" s="60"/>
      <c r="B166" s="60"/>
      <c r="C166" s="60"/>
      <c r="D166" s="60"/>
      <c r="E166" s="81"/>
      <c r="F166" s="82"/>
      <c r="G166" s="82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ht="15.75" customHeight="1">
      <c r="A167" s="60"/>
      <c r="B167" s="60"/>
      <c r="C167" s="60"/>
      <c r="D167" s="60"/>
      <c r="E167" s="81"/>
      <c r="F167" s="82"/>
      <c r="G167" s="82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ht="15.75" customHeight="1">
      <c r="A168" s="60"/>
      <c r="B168" s="60"/>
      <c r="C168" s="60"/>
      <c r="D168" s="60"/>
      <c r="E168" s="81"/>
      <c r="F168" s="82"/>
      <c r="G168" s="82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ht="15.75" customHeight="1">
      <c r="A169" s="60"/>
      <c r="B169" s="60"/>
      <c r="C169" s="60"/>
      <c r="D169" s="60"/>
      <c r="E169" s="81"/>
      <c r="F169" s="82"/>
      <c r="G169" s="82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ht="15.75" customHeight="1">
      <c r="A170" s="60"/>
      <c r="B170" s="60"/>
      <c r="C170" s="60"/>
      <c r="D170" s="60"/>
      <c r="E170" s="81"/>
      <c r="F170" s="82"/>
      <c r="G170" s="82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ht="15.75" customHeight="1">
      <c r="A171" s="60"/>
      <c r="B171" s="60"/>
      <c r="C171" s="60"/>
      <c r="D171" s="60"/>
      <c r="E171" s="81"/>
      <c r="F171" s="82"/>
      <c r="G171" s="82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ht="15.75" customHeight="1">
      <c r="A172" s="60"/>
      <c r="B172" s="60"/>
      <c r="C172" s="60"/>
      <c r="D172" s="60"/>
      <c r="E172" s="81"/>
      <c r="F172" s="82"/>
      <c r="G172" s="82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ht="15.75" customHeight="1">
      <c r="A173" s="60"/>
      <c r="B173" s="60"/>
      <c r="C173" s="60"/>
      <c r="D173" s="60"/>
      <c r="E173" s="81"/>
      <c r="F173" s="82"/>
      <c r="G173" s="82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ht="15.75" customHeight="1">
      <c r="A174" s="60"/>
      <c r="B174" s="60"/>
      <c r="C174" s="60"/>
      <c r="D174" s="60"/>
      <c r="E174" s="81"/>
      <c r="F174" s="82"/>
      <c r="G174" s="82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ht="15.75" customHeight="1">
      <c r="A175" s="60"/>
      <c r="B175" s="60"/>
      <c r="C175" s="60"/>
      <c r="D175" s="60"/>
      <c r="E175" s="81"/>
      <c r="F175" s="82"/>
      <c r="G175" s="82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ht="15.75" customHeight="1">
      <c r="A176" s="60"/>
      <c r="B176" s="60"/>
      <c r="C176" s="60"/>
      <c r="D176" s="60"/>
      <c r="E176" s="81"/>
      <c r="F176" s="82"/>
      <c r="G176" s="82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ht="15.75" customHeight="1">
      <c r="A177" s="60"/>
      <c r="B177" s="60"/>
      <c r="C177" s="60"/>
      <c r="D177" s="60"/>
      <c r="E177" s="81"/>
      <c r="F177" s="82"/>
      <c r="G177" s="82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ht="15.75" customHeight="1">
      <c r="A178" s="60"/>
      <c r="B178" s="60"/>
      <c r="C178" s="60"/>
      <c r="D178" s="60"/>
      <c r="E178" s="81"/>
      <c r="F178" s="82"/>
      <c r="G178" s="82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ht="15.75" customHeight="1">
      <c r="A179" s="60"/>
      <c r="B179" s="60"/>
      <c r="C179" s="60"/>
      <c r="D179" s="60"/>
      <c r="E179" s="81"/>
      <c r="F179" s="82"/>
      <c r="G179" s="82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ht="15.75" customHeight="1">
      <c r="A180" s="60"/>
      <c r="B180" s="60"/>
      <c r="C180" s="60"/>
      <c r="D180" s="60"/>
      <c r="E180" s="81"/>
      <c r="F180" s="82"/>
      <c r="G180" s="82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ht="15.75" customHeight="1">
      <c r="A181" s="60"/>
      <c r="B181" s="60"/>
      <c r="C181" s="60"/>
      <c r="D181" s="60"/>
      <c r="E181" s="81"/>
      <c r="F181" s="82"/>
      <c r="G181" s="82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ht="15.75" customHeight="1">
      <c r="A182" s="60"/>
      <c r="B182" s="60"/>
      <c r="C182" s="60"/>
      <c r="D182" s="60"/>
      <c r="E182" s="81"/>
      <c r="F182" s="82"/>
      <c r="G182" s="82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ht="15.75" customHeight="1">
      <c r="A183" s="60"/>
      <c r="B183" s="60"/>
      <c r="C183" s="60"/>
      <c r="D183" s="60"/>
      <c r="E183" s="81"/>
      <c r="F183" s="82"/>
      <c r="G183" s="82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ht="15.75" customHeight="1">
      <c r="A184" s="60"/>
      <c r="B184" s="60"/>
      <c r="C184" s="60"/>
      <c r="D184" s="60"/>
      <c r="E184" s="81"/>
      <c r="F184" s="82"/>
      <c r="G184" s="82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ht="15.75" customHeight="1">
      <c r="A185" s="60"/>
      <c r="B185" s="60"/>
      <c r="C185" s="60"/>
      <c r="D185" s="60"/>
      <c r="E185" s="81"/>
      <c r="F185" s="82"/>
      <c r="G185" s="82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ht="15.75" customHeight="1">
      <c r="A186" s="60"/>
      <c r="B186" s="60"/>
      <c r="C186" s="60"/>
      <c r="D186" s="60"/>
      <c r="E186" s="81"/>
      <c r="F186" s="82"/>
      <c r="G186" s="82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ht="15.75" customHeight="1">
      <c r="A187" s="60"/>
      <c r="B187" s="60"/>
      <c r="C187" s="60"/>
      <c r="D187" s="60"/>
      <c r="E187" s="81"/>
      <c r="F187" s="82"/>
      <c r="G187" s="82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ht="15.75" customHeight="1">
      <c r="A188" s="60"/>
      <c r="B188" s="60"/>
      <c r="C188" s="60"/>
      <c r="D188" s="60"/>
      <c r="E188" s="81"/>
      <c r="F188" s="82"/>
      <c r="G188" s="82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ht="15.75" customHeight="1">
      <c r="A189" s="60"/>
      <c r="B189" s="60"/>
      <c r="C189" s="60"/>
      <c r="D189" s="60"/>
      <c r="E189" s="81"/>
      <c r="F189" s="82"/>
      <c r="G189" s="82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ht="15.75" customHeight="1">
      <c r="A190" s="60"/>
      <c r="B190" s="60"/>
      <c r="C190" s="60"/>
      <c r="D190" s="60"/>
      <c r="E190" s="81"/>
      <c r="F190" s="82"/>
      <c r="G190" s="82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ht="15.75" customHeight="1">
      <c r="A191" s="60"/>
      <c r="B191" s="60"/>
      <c r="C191" s="60"/>
      <c r="D191" s="60"/>
      <c r="E191" s="81"/>
      <c r="F191" s="82"/>
      <c r="G191" s="82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ht="15.75" customHeight="1">
      <c r="A192" s="60"/>
      <c r="B192" s="60"/>
      <c r="C192" s="60"/>
      <c r="D192" s="60"/>
      <c r="E192" s="81"/>
      <c r="F192" s="82"/>
      <c r="G192" s="82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ht="15.75" customHeight="1">
      <c r="A193" s="60"/>
      <c r="B193" s="60"/>
      <c r="C193" s="60"/>
      <c r="D193" s="60"/>
      <c r="E193" s="81"/>
      <c r="F193" s="82"/>
      <c r="G193" s="82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ht="15.75" customHeight="1">
      <c r="A194" s="60"/>
      <c r="B194" s="60"/>
      <c r="C194" s="60"/>
      <c r="D194" s="60"/>
      <c r="E194" s="81"/>
      <c r="F194" s="82"/>
      <c r="G194" s="82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ht="15.75" customHeight="1">
      <c r="A195" s="60"/>
      <c r="B195" s="60"/>
      <c r="C195" s="60"/>
      <c r="D195" s="60"/>
      <c r="E195" s="81"/>
      <c r="F195" s="82"/>
      <c r="G195" s="82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ht="15.75" customHeight="1">
      <c r="A196" s="60"/>
      <c r="B196" s="60"/>
      <c r="C196" s="60"/>
      <c r="D196" s="60"/>
      <c r="E196" s="81"/>
      <c r="F196" s="82"/>
      <c r="G196" s="82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ht="15.75" customHeight="1">
      <c r="A197" s="60"/>
      <c r="B197" s="60"/>
      <c r="C197" s="60"/>
      <c r="D197" s="60"/>
      <c r="E197" s="81"/>
      <c r="F197" s="82"/>
      <c r="G197" s="82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ht="15.75" customHeight="1">
      <c r="A198" s="60"/>
      <c r="B198" s="60"/>
      <c r="C198" s="60"/>
      <c r="D198" s="60"/>
      <c r="E198" s="81"/>
      <c r="F198" s="82"/>
      <c r="G198" s="82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ht="15.75" customHeight="1">
      <c r="A199" s="60"/>
      <c r="B199" s="60"/>
      <c r="C199" s="60"/>
      <c r="D199" s="60"/>
      <c r="E199" s="81"/>
      <c r="F199" s="82"/>
      <c r="G199" s="82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ht="15.75" customHeight="1">
      <c r="A200" s="60"/>
      <c r="B200" s="60"/>
      <c r="C200" s="60"/>
      <c r="D200" s="60"/>
      <c r="E200" s="81"/>
      <c r="F200" s="82"/>
      <c r="G200" s="82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ht="15.75" customHeight="1">
      <c r="A201" s="60"/>
      <c r="B201" s="60"/>
      <c r="C201" s="60"/>
      <c r="D201" s="60"/>
      <c r="E201" s="81"/>
      <c r="F201" s="82"/>
      <c r="G201" s="82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ht="15.75" customHeight="1">
      <c r="A202" s="60"/>
      <c r="B202" s="60"/>
      <c r="C202" s="60"/>
      <c r="D202" s="60"/>
      <c r="E202" s="81"/>
      <c r="F202" s="82"/>
      <c r="G202" s="82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ht="15.75" customHeight="1">
      <c r="A203" s="60"/>
      <c r="B203" s="60"/>
      <c r="C203" s="60"/>
      <c r="D203" s="60"/>
      <c r="E203" s="81"/>
      <c r="F203" s="82"/>
      <c r="G203" s="82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ht="15.75" customHeight="1">
      <c r="A204" s="60"/>
      <c r="B204" s="60"/>
      <c r="C204" s="60"/>
      <c r="D204" s="60"/>
      <c r="E204" s="81"/>
      <c r="F204" s="82"/>
      <c r="G204" s="82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ht="15.75" customHeight="1">
      <c r="A205" s="60"/>
      <c r="B205" s="60"/>
      <c r="C205" s="60"/>
      <c r="D205" s="60"/>
      <c r="E205" s="81"/>
      <c r="F205" s="82"/>
      <c r="G205" s="82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ht="15.75" customHeight="1">
      <c r="A206" s="60"/>
      <c r="B206" s="60"/>
      <c r="C206" s="60"/>
      <c r="D206" s="60"/>
      <c r="E206" s="81"/>
      <c r="F206" s="82"/>
      <c r="G206" s="82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ht="15.75" customHeight="1">
      <c r="A207" s="60"/>
      <c r="B207" s="60"/>
      <c r="C207" s="60"/>
      <c r="D207" s="60"/>
      <c r="E207" s="81"/>
      <c r="F207" s="82"/>
      <c r="G207" s="82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ht="15.75" customHeight="1">
      <c r="A208" s="60"/>
      <c r="B208" s="60"/>
      <c r="C208" s="60"/>
      <c r="D208" s="60"/>
      <c r="E208" s="81"/>
      <c r="F208" s="82"/>
      <c r="G208" s="82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ht="15.75" customHeight="1">
      <c r="A209" s="60"/>
      <c r="B209" s="60"/>
      <c r="C209" s="60"/>
      <c r="D209" s="60"/>
      <c r="E209" s="81"/>
      <c r="F209" s="82"/>
      <c r="G209" s="82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ht="15.75" customHeight="1">
      <c r="A210" s="60"/>
      <c r="B210" s="60"/>
      <c r="C210" s="60"/>
      <c r="D210" s="60"/>
      <c r="E210" s="81"/>
      <c r="F210" s="82"/>
      <c r="G210" s="82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ht="15.75" customHeight="1">
      <c r="A211" s="60"/>
      <c r="B211" s="60"/>
      <c r="C211" s="60"/>
      <c r="D211" s="60"/>
      <c r="E211" s="81"/>
      <c r="F211" s="82"/>
      <c r="G211" s="82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ht="15.75" customHeight="1">
      <c r="A212" s="60"/>
      <c r="B212" s="60"/>
      <c r="C212" s="60"/>
      <c r="D212" s="60"/>
      <c r="E212" s="81"/>
      <c r="F212" s="82"/>
      <c r="G212" s="82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ht="15.75" customHeight="1">
      <c r="A213" s="60"/>
      <c r="B213" s="60"/>
      <c r="C213" s="60"/>
      <c r="D213" s="60"/>
      <c r="E213" s="81"/>
      <c r="F213" s="82"/>
      <c r="G213" s="82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ht="15.75" customHeight="1">
      <c r="A214" s="60"/>
      <c r="B214" s="60"/>
      <c r="C214" s="60"/>
      <c r="D214" s="60"/>
      <c r="E214" s="81"/>
      <c r="F214" s="82"/>
      <c r="G214" s="82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ht="15.75" customHeight="1">
      <c r="A215" s="60"/>
      <c r="B215" s="60"/>
      <c r="C215" s="60"/>
      <c r="D215" s="60"/>
      <c r="E215" s="81"/>
      <c r="F215" s="82"/>
      <c r="G215" s="82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ht="15.75" customHeight="1">
      <c r="A216" s="60"/>
      <c r="B216" s="60"/>
      <c r="C216" s="60"/>
      <c r="D216" s="60"/>
      <c r="E216" s="81"/>
      <c r="F216" s="82"/>
      <c r="G216" s="82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ht="15.75" customHeight="1">
      <c r="A217" s="60"/>
      <c r="B217" s="60"/>
      <c r="C217" s="60"/>
      <c r="D217" s="60"/>
      <c r="E217" s="81"/>
      <c r="F217" s="82"/>
      <c r="G217" s="82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ht="15.75" customHeight="1">
      <c r="A218" s="60"/>
      <c r="B218" s="60"/>
      <c r="C218" s="60"/>
      <c r="D218" s="60"/>
      <c r="E218" s="81"/>
      <c r="F218" s="82"/>
      <c r="G218" s="82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ht="15.75" customHeight="1">
      <c r="A219" s="60"/>
      <c r="B219" s="60"/>
      <c r="C219" s="60"/>
      <c r="D219" s="60"/>
      <c r="E219" s="81"/>
      <c r="F219" s="82"/>
      <c r="G219" s="82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ht="15.75" customHeight="1">
      <c r="A220" s="60"/>
      <c r="B220" s="60"/>
      <c r="C220" s="60"/>
      <c r="D220" s="60"/>
      <c r="E220" s="81"/>
      <c r="F220" s="82"/>
      <c r="G220" s="82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ht="15.75" customHeight="1">
      <c r="A221" s="60"/>
      <c r="B221" s="60"/>
      <c r="C221" s="60"/>
      <c r="D221" s="60"/>
      <c r="E221" s="81"/>
      <c r="F221" s="82"/>
      <c r="G221" s="82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ht="15.75" customHeight="1">
      <c r="A222" s="60"/>
      <c r="B222" s="60"/>
      <c r="C222" s="60"/>
      <c r="D222" s="60"/>
      <c r="E222" s="81"/>
      <c r="F222" s="82"/>
      <c r="G222" s="82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ht="15.75" customHeight="1">
      <c r="A223" s="60"/>
      <c r="B223" s="60"/>
      <c r="C223" s="60"/>
      <c r="D223" s="60"/>
      <c r="E223" s="81"/>
      <c r="F223" s="82"/>
      <c r="G223" s="82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ht="15.75" customHeight="1">
      <c r="A224" s="60"/>
      <c r="B224" s="60"/>
      <c r="C224" s="60"/>
      <c r="D224" s="60"/>
      <c r="E224" s="81"/>
      <c r="F224" s="82"/>
      <c r="G224" s="82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ht="15.75" customHeight="1">
      <c r="A225" s="60"/>
      <c r="B225" s="60"/>
      <c r="C225" s="60"/>
      <c r="D225" s="60"/>
      <c r="E225" s="81"/>
      <c r="F225" s="82"/>
      <c r="G225" s="82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ht="15.75" customHeight="1">
      <c r="A226" s="60"/>
      <c r="B226" s="60"/>
      <c r="C226" s="60"/>
      <c r="D226" s="60"/>
      <c r="E226" s="81"/>
      <c r="F226" s="82"/>
      <c r="G226" s="82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ht="15.75" customHeight="1">
      <c r="A227" s="60"/>
      <c r="B227" s="60"/>
      <c r="C227" s="60"/>
      <c r="D227" s="60"/>
      <c r="E227" s="81"/>
      <c r="F227" s="82"/>
      <c r="G227" s="82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ht="15.75" customHeight="1">
      <c r="A228" s="60"/>
      <c r="B228" s="60"/>
      <c r="C228" s="60"/>
      <c r="D228" s="60"/>
      <c r="E228" s="81"/>
      <c r="F228" s="82"/>
      <c r="G228" s="82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ht="15.75" customHeight="1">
      <c r="A229" s="60"/>
      <c r="B229" s="60"/>
      <c r="C229" s="60"/>
      <c r="D229" s="60"/>
      <c r="E229" s="81"/>
      <c r="F229" s="82"/>
      <c r="G229" s="82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ht="15.75" customHeight="1">
      <c r="A230" s="60"/>
      <c r="B230" s="60"/>
      <c r="C230" s="60"/>
      <c r="D230" s="60"/>
      <c r="E230" s="81"/>
      <c r="F230" s="82"/>
      <c r="G230" s="82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ht="15.75" customHeight="1">
      <c r="A231" s="60"/>
      <c r="B231" s="60"/>
      <c r="C231" s="60"/>
      <c r="D231" s="60"/>
      <c r="E231" s="81"/>
      <c r="F231" s="82"/>
      <c r="G231" s="82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ht="15.75" customHeight="1">
      <c r="A232" s="60"/>
      <c r="B232" s="60"/>
      <c r="C232" s="60"/>
      <c r="D232" s="60"/>
      <c r="E232" s="81"/>
      <c r="F232" s="82"/>
      <c r="G232" s="82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ht="15.75" customHeight="1">
      <c r="A233" s="60"/>
      <c r="B233" s="60"/>
      <c r="C233" s="60"/>
      <c r="D233" s="60"/>
      <c r="E233" s="81"/>
      <c r="F233" s="82"/>
      <c r="G233" s="82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ht="15.75" customHeight="1">
      <c r="A234" s="60"/>
      <c r="B234" s="60"/>
      <c r="C234" s="60"/>
      <c r="D234" s="60"/>
      <c r="E234" s="81"/>
      <c r="F234" s="82"/>
      <c r="G234" s="82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ht="15.75" customHeight="1">
      <c r="A235" s="60"/>
      <c r="B235" s="60"/>
      <c r="C235" s="60"/>
      <c r="D235" s="60"/>
      <c r="E235" s="81"/>
      <c r="F235" s="82"/>
      <c r="G235" s="82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ht="15.75" customHeight="1">
      <c r="A236" s="60"/>
      <c r="B236" s="60"/>
      <c r="C236" s="60"/>
      <c r="D236" s="60"/>
      <c r="E236" s="81"/>
      <c r="F236" s="82"/>
      <c r="G236" s="82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ht="15.75" customHeight="1">
      <c r="A237" s="60"/>
      <c r="B237" s="60"/>
      <c r="C237" s="60"/>
      <c r="D237" s="60"/>
      <c r="E237" s="81"/>
      <c r="F237" s="82"/>
      <c r="G237" s="82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ht="15.75" customHeight="1">
      <c r="A238" s="60"/>
      <c r="B238" s="60"/>
      <c r="C238" s="60"/>
      <c r="D238" s="60"/>
      <c r="E238" s="81"/>
      <c r="F238" s="82"/>
      <c r="G238" s="82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ht="15.75" customHeight="1">
      <c r="A239" s="60"/>
      <c r="B239" s="60"/>
      <c r="C239" s="60"/>
      <c r="D239" s="60"/>
      <c r="E239" s="81"/>
      <c r="F239" s="82"/>
      <c r="G239" s="82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ht="15.75" customHeight="1">
      <c r="A240" s="60"/>
      <c r="B240" s="60"/>
      <c r="C240" s="60"/>
      <c r="D240" s="60"/>
      <c r="E240" s="81"/>
      <c r="F240" s="82"/>
      <c r="G240" s="82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ht="15.75" customHeight="1">
      <c r="A241" s="60"/>
      <c r="B241" s="60"/>
      <c r="C241" s="60"/>
      <c r="D241" s="60"/>
      <c r="E241" s="81"/>
      <c r="F241" s="82"/>
      <c r="G241" s="82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ht="15.75" customHeight="1">
      <c r="A242" s="60"/>
      <c r="B242" s="60"/>
      <c r="C242" s="60"/>
      <c r="D242" s="60"/>
      <c r="E242" s="81"/>
      <c r="F242" s="82"/>
      <c r="G242" s="82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ht="15.75" customHeight="1">
      <c r="A243" s="60"/>
      <c r="B243" s="60"/>
      <c r="C243" s="60"/>
      <c r="D243" s="60"/>
      <c r="E243" s="81"/>
      <c r="F243" s="82"/>
      <c r="G243" s="82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ht="15.75" customHeight="1">
      <c r="A244" s="60"/>
      <c r="B244" s="60"/>
      <c r="C244" s="60"/>
      <c r="D244" s="60"/>
      <c r="E244" s="81"/>
      <c r="F244" s="82"/>
      <c r="G244" s="82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ht="15.75" customHeight="1">
      <c r="A245" s="60"/>
      <c r="B245" s="60"/>
      <c r="C245" s="60"/>
      <c r="D245" s="60"/>
      <c r="E245" s="81"/>
      <c r="F245" s="82"/>
      <c r="G245" s="82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ht="15.75" customHeight="1">
      <c r="A246" s="60"/>
      <c r="B246" s="60"/>
      <c r="C246" s="60"/>
      <c r="D246" s="60"/>
      <c r="E246" s="81"/>
      <c r="F246" s="82"/>
      <c r="G246" s="82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ht="15.75" customHeight="1">
      <c r="A247" s="60"/>
      <c r="B247" s="60"/>
      <c r="C247" s="60"/>
      <c r="D247" s="60"/>
      <c r="E247" s="81"/>
      <c r="F247" s="82"/>
      <c r="G247" s="82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ht="15.75" customHeight="1">
      <c r="A248" s="60"/>
      <c r="B248" s="60"/>
      <c r="C248" s="60"/>
      <c r="D248" s="60"/>
      <c r="E248" s="81"/>
      <c r="F248" s="82"/>
      <c r="G248" s="82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ht="15.75" customHeight="1">
      <c r="A249" s="60"/>
      <c r="B249" s="60"/>
      <c r="C249" s="60"/>
      <c r="D249" s="60"/>
      <c r="E249" s="81"/>
      <c r="F249" s="82"/>
      <c r="G249" s="82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ht="15.75" customHeight="1">
      <c r="A250" s="60"/>
      <c r="B250" s="60"/>
      <c r="C250" s="60"/>
      <c r="D250" s="60"/>
      <c r="E250" s="81"/>
      <c r="F250" s="82"/>
      <c r="G250" s="82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ht="15.75" customHeight="1">
      <c r="A251" s="60"/>
      <c r="B251" s="60"/>
      <c r="C251" s="60"/>
      <c r="D251" s="60"/>
      <c r="E251" s="81"/>
      <c r="F251" s="82"/>
      <c r="G251" s="82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ht="15.75" customHeight="1">
      <c r="A252" s="60"/>
      <c r="B252" s="60"/>
      <c r="C252" s="60"/>
      <c r="D252" s="60"/>
      <c r="E252" s="81"/>
      <c r="F252" s="82"/>
      <c r="G252" s="82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1:E41"/>
    <mergeCell ref="B44:C44"/>
    <mergeCell ref="B49:D49"/>
    <mergeCell ref="B50:D50"/>
    <mergeCell ref="B51:D51"/>
    <mergeCell ref="B52:D52"/>
    <mergeCell ref="B7:B9"/>
    <mergeCell ref="B11:B13"/>
    <mergeCell ref="B15:B17"/>
    <mergeCell ref="B19:B21"/>
    <mergeCell ref="B23:B25"/>
    <mergeCell ref="B39:E39"/>
    <mergeCell ref="B40:E40"/>
  </mergeCells>
  <printOptions/>
  <pageMargins bottom="0.75" footer="0.0" header="0.0" left="0.25" right="0.25" top="0.75"/>
  <pageSetup fitToHeight="0" paperSize="9" orientation="portrait"/>
  <drawing r:id="rId1"/>
</worksheet>
</file>