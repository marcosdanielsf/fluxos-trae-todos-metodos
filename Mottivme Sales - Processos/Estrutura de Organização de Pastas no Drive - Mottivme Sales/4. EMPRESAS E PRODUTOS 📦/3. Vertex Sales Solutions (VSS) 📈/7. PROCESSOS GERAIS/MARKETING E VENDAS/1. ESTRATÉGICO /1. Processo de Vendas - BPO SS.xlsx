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ágios da Venda - Processos" sheetId="1" r:id="rId4"/>
    <sheet state="visible" name="Estágios da Venda - Etapas" sheetId="2" r:id="rId5"/>
    <sheet state="visible" name="Dado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A objeção de dinheiro é relativa. Se o lead enxergar valor, ele paga. Acho que deve ser tratada no GPCT.</t>
      </text>
    </comment>
    <comment authorId="0" ref="F3">
      <text>
        <t xml:space="preserve">Confirmação: Sim, a Mathux é a melhor empresa para solucionar meus problemas.
</t>
      </text>
    </comment>
    <comment authorId="0" ref="E4">
      <text>
        <t xml:space="preserve">Item 3: Qual é essa apresentação?
	</t>
      </text>
    </comment>
    <comment authorId="0" ref="F4">
      <text>
        <t xml:space="preserve">A demo e a proposta podem ser na mesma etapa e a próxima seria para o SIM ou NÃO do lead para a proposta</t>
      </text>
    </comment>
    <comment authorId="0" ref="C9">
      <text>
        <t xml:space="preserve">Para lead de inbound, atendimento em no máximo 1 hora. Outbound 2 horas.</t>
      </text>
    </comment>
  </commentList>
</comments>
</file>

<file path=xl/sharedStrings.xml><?xml version="1.0" encoding="utf-8"?>
<sst xmlns="http://schemas.openxmlformats.org/spreadsheetml/2006/main" count="168" uniqueCount="135">
  <si>
    <t>Pré Venda</t>
  </si>
  <si>
    <t>Vendas</t>
  </si>
  <si>
    <t>Estágios da Venda - &gt;</t>
  </si>
  <si>
    <t>Filtro 1</t>
  </si>
  <si>
    <t>Filtro 2</t>
  </si>
  <si>
    <t>SPIN (Diagnóstico)</t>
  </si>
  <si>
    <t>DEMO</t>
  </si>
  <si>
    <t>Apresentação da Proposta</t>
  </si>
  <si>
    <t>Forecast (no mês)</t>
  </si>
  <si>
    <t>Pipeline (até 3 meses)</t>
  </si>
  <si>
    <t>FLP (6 meses)</t>
  </si>
  <si>
    <t>Fechamento</t>
  </si>
  <si>
    <t>Objetivo</t>
  </si>
  <si>
    <t>Entender melhor o lead para uma abordagem mais precisa. (realizar uma pesquisa prévia com apoio de ferramentas)</t>
  </si>
  <si>
    <t xml:space="preserve"> 1º Sim: Eu sou o decisor ou vou envolver ele na próxima reunião, tenho um problema de gestão e tem grana para comprar a ferramenta</t>
  </si>
  <si>
    <r>
      <rPr>
        <rFont val="Arial"/>
        <color rgb="FF000000"/>
        <sz val="10.0"/>
      </rPr>
      <t xml:space="preserve">Levantar e confirmar GPCT (objetivos, planejamentos, desafios e tempo)
Obter o 2º Sim: </t>
    </r>
    <r>
      <rPr>
        <rFont val="Arial"/>
        <b/>
        <color rgb="FF000000"/>
        <sz val="10.0"/>
      </rPr>
      <t>"Sim, tenho ESSES problemas de ... , meus objetivos são esses ... e acho que faz sentido contratar vocês.!"</t>
    </r>
  </si>
  <si>
    <r>
      <rPr>
        <rFont val="Arial"/>
        <color rgb="FF000000"/>
        <sz val="10.0"/>
      </rPr>
      <t xml:space="preserve">Obter o 3º Sim: </t>
    </r>
    <r>
      <rPr>
        <rFont val="Arial"/>
        <b/>
        <color rgb="FF000000"/>
        <sz val="10.0"/>
      </rPr>
      <t>"Vocês resolvem a maioria dos meus problemas e irão me ajudar a atingir os meus objetivos!"</t>
    </r>
  </si>
  <si>
    <t>O que precisa para passar para próxima etapa</t>
  </si>
  <si>
    <t>Lead Morno, Muito Quente ou Quente</t>
  </si>
  <si>
    <t>Lead Muito Quente ou Quente</t>
  </si>
  <si>
    <r>
      <rPr>
        <rFont val="Arial"/>
        <color rgb="FF000000"/>
        <sz val="10.0"/>
      </rPr>
      <t>1- Email de "boas vindas"
2- Estudo do lead realizado</t>
    </r>
    <r>
      <rPr>
        <rFont val="Arial"/>
        <b/>
        <color rgb="FF980000"/>
        <sz val="10.0"/>
      </rPr>
      <t xml:space="preserve">
3- Customizar apresentação (Logo, Dores, Logo clientes do Lead e Cases do mesmo CNAE)</t>
    </r>
    <r>
      <rPr>
        <rFont val="Arial"/>
        <color rgb="FF000000"/>
        <sz val="10.0"/>
      </rPr>
      <t xml:space="preserve"> 
4- Reunião de Diagnostico realizada
5- Relatório de Diagnótico finalizado e enviado
6- Aceite do lead 
7- Agendamento da DEMO realizado 
8- Feedback de visita</t>
    </r>
  </si>
  <si>
    <t>1- Realizar a reunião focada no segmento e nas dores levantadas
2- Preencher campos do Pipe (Vendas e previsão de fechamento)
3- Lead concordou que a solução atende e está disposto a receber a proposta</t>
  </si>
  <si>
    <t>1- Aceitação e escolha do plano
2- Forecast: previsão de fechamento dentro do mês
3- Pipeline: previsão de fechamento em até 3 meses
4 - FLP: previsão de fechamento em até 6 meses</t>
  </si>
  <si>
    <t>1- Lead deu aceite para fechamento (enviar para Fechamento e depois para Ganho)
2- Lead adiou data de fechamento (passar para Pipeline ou FLP de acordo com a data prevista)
3- Lead foi para descarte</t>
  </si>
  <si>
    <t>1- Lead deu aceite para fechamento (enviar para Fechamento e depois para Ganho)
2- Lead adiou data de fechamento (passar para FLP de acordo com a data prevista)
3- Lead foi para descarte</t>
  </si>
  <si>
    <t>1- Lead deu aceite para fechamento (enviar para Fechamento e depois para Ganho)
2- Lead foi para descarte</t>
  </si>
  <si>
    <t>Check List</t>
  </si>
  <si>
    <t>Check List já incluso no Filtro 1 da KOMMO.</t>
  </si>
  <si>
    <t>1- Check List já incluso no Filtro 2 da KOMMO.
2- Agendar GPCT Diagnóstico
Obs: Incluir no filtro 2 quem será responsável por realizar a Apresentação. Critérios: Ex:Produto acima de R$ 3.000,00, ser um mentor, consultor, ter uma agência de marketing, designer, web designer.</t>
  </si>
  <si>
    <t>Introdução: SDR (1 minuto)
"Discurso KOMMO"
1- Email de "boas vindas" 
2- Estudo do lead realizado
a) leitura do histórico do KOMMO 
b) Visita ao site
c) Entendimento macro das dores
d) Escolha da apresentação que será utilizada (institucional)
3-Reunião de GPCT Diagnostico realizada
Acessar Link da Ferramenta e levantar os dados abaixo:
a) Goals: Objetivos;
 quais são os objetivos do lead para o ano;
b)Plans: Planejamento;
 como o lead está pensando em atingir seu objetivo;
c)Challenges: Desafios/Obstáculos; o que o lead está enxergando como obstáculo para o atingimento desses objetivos;
d) Timeline: Expectativa de Tempo; Qual expectativa de te
mpo para que isso aconteça;
4- Relatório de Diagnótico finalizado e enviado via email com sugestão de agenda;
5- Acompanhamento do aceite do lead via e-mail;
6- Agendamento da Apresentação realizada.
7- Feedback da Apresentação.</t>
  </si>
  <si>
    <t>1- Realizar a reunião focada no segmento e nas dores levantadas
a) Utilizar base do segmento ou montar base personalizada 
b) Pegar 3 fotos do IG, 1 do CEO, Outra de um C-Level superior do lead e outra do lead
c) Pegar logo da empresa do lead
d) Pegar 3 logos de clientes do lead para usar como exemplo.
e) Confirmar e apresentar somente as maiores dores do cliente
2- Preencher campos do Kommo (Vendas e previsão de fechamento)
3- Lead concordou que a solução atende e está disposto a receber a proposta
a) Fechar qual será a solução que será apresentada na proposta para o cliente 
b) Enviar e-mail e whatsapp padrão agendando a apresentação da solução e confirmação de 
que a socialfy realmente pode resolver as dores dele</t>
  </si>
  <si>
    <t>1- Aceitação e escolha do plano
a) Produzir PPT com apanhado geral de todo processo: GPCT, Dores e Opções de propostas 
b) Reunião/Call com o cliente para apresentar a proposta de solução
c) Negociar, trabalhar objeções e conseguir o aceite
2- Forecast: previsão de fechamento dentro do mês 
3- Pipeline: previsão de fechamento em até 3 meses 
4 - FLP: previsão de fechamento em até 6 meses</t>
  </si>
  <si>
    <t>1- Lead deu aceite para fechamento
a) Enviar para Fechamento e depois para Ganho
b) Cadastrar na Mentorfy (Ou plataforma para disponibilizar gravações do processo)
2- Lead adiou data de fechamento 
a) Agendar tarefa no Pipe para retorno em 3 dias;
b) Agendar envio de conteúdo depois de 5 dias
c) Agendar tarefa no Pipe para retorno em 3 dias;
d) Passar para Pipeline ou FLP de acordo com a data prevista
3- Lead foi para descarte</t>
  </si>
  <si>
    <t>1- Lead deu aceite para fechamento
a) Enviar para Fechamento e depois para Ganho
b) Cadastrar na Mentorfy
2- Lead adiou data de fechamento 
a) Agendar tarefa no KOMMO para retorno em 3 dias;
b) Agendar envio de conteúdo depois de 5 dias
c) Agendar tarefa no Pipe para retorno em 3 dias;
d) Passar para FLP de acordo com a data prevista
3- Lead foi para descarte</t>
  </si>
  <si>
    <t>1- Lead deu aceite para fechamento
a) Enviar para Fechamento e depois para Ganho
b) Cadastrar na Mentorfy
2- Lead adiou data de fechamento 
a) Enviar para etapa 3 (descarte)
3- Lead foi para descarte</t>
  </si>
  <si>
    <t>Enviar para Ganho</t>
  </si>
  <si>
    <t>Materiais</t>
  </si>
  <si>
    <t>Apresentação por Setor/CNAE</t>
  </si>
  <si>
    <t>Incluir modelo do projeto em PPT e template de email para passagem para apresentação de proposta</t>
  </si>
  <si>
    <t>PPT Apresentação de Solução, Proposta Comercial (enviar para analise), Contrato e Colaterais anti-objeções</t>
  </si>
  <si>
    <t xml:space="preserve">Conteúdo por segmento, por dor e objeção. </t>
  </si>
  <si>
    <t>Ferramentas</t>
  </si>
  <si>
    <t>KOMMO , Google, Brevo, Redrive, Site, Make,  Consulta CNPJ (Receita Federal)</t>
  </si>
  <si>
    <t>KOMMO CRM, AGENDAFY, Telefone</t>
  </si>
  <si>
    <t>Template de boas vindas
Ferramenta de Geração de Diagnóstico ( Busca do CNAE, Busca de cases associados ao CNAE, INPUT de GPCT e Gerador de texto para e-mail), Kommo, e-mail (brevo), Google Meet...</t>
  </si>
  <si>
    <t xml:space="preserve"> KOMMO, e-mail, Skype ou Apper-in, Mentorfy customizado para Setor e Usuário</t>
  </si>
  <si>
    <t>KOMMO, email, clicksign, skype, telefone</t>
  </si>
  <si>
    <t>Agendafy, mixmax, KOMMO,clicksign, Mentorfy</t>
  </si>
  <si>
    <t>yesware, mixmax, KOMMO,clicksign, Mentorfy</t>
  </si>
  <si>
    <t>Principais objeções e contra objeções</t>
  </si>
  <si>
    <t>Tempo máximo de permanencia nessa etapa</t>
  </si>
  <si>
    <t>1 hora</t>
  </si>
  <si>
    <t>6 tentativas de contato em 1 semana</t>
  </si>
  <si>
    <t>6 tentativas de contato em 2 semana</t>
  </si>
  <si>
    <t>3 tentativas de contato em 2 semana</t>
  </si>
  <si>
    <t>1 mês</t>
  </si>
  <si>
    <t>3 meses</t>
  </si>
  <si>
    <t>6 meses</t>
  </si>
  <si>
    <t>Motivos de Descarte</t>
  </si>
  <si>
    <t>Frio ou Muito Frio</t>
  </si>
  <si>
    <t>Frio,Muito Frio ou Morno</t>
  </si>
  <si>
    <t>1- Lead inacessível
2-  Falta de aderência (serviço [socialfy] não atende as necessidade do lead)
3- Falta de Budget
4- Fechou com outro concorrente</t>
  </si>
  <si>
    <t>1- Lead inacessível
2- Falta de aderência (serviço [socialfy] não atende as necessidade do lead)
3- Falta de Budget
4- Fechou com outro concorrente</t>
  </si>
  <si>
    <t>Taxa de conversão desejada</t>
  </si>
  <si>
    <t>Benchmark</t>
  </si>
  <si>
    <t>Probabilidade de
 fechamento ao final do estágio</t>
  </si>
  <si>
    <t>instalar mixmax</t>
  </si>
  <si>
    <t>Se for presencial = Apresentação Prosta</t>
  </si>
  <si>
    <t xml:space="preserve">Se for inside sales = </t>
  </si>
  <si>
    <t>To Dos</t>
  </si>
  <si>
    <t>Prioridades</t>
  </si>
  <si>
    <t>Template de boas vindas</t>
  </si>
  <si>
    <t>PPT Diagnóstico</t>
  </si>
  <si>
    <t>Ferramenta de Geração de Diagnóstico</t>
  </si>
  <si>
    <t>Template Demo &gt; Apresentação</t>
  </si>
  <si>
    <t>PPT Proposta de solução</t>
  </si>
  <si>
    <t>Proposta comercial</t>
  </si>
  <si>
    <t>Colaterais Anti-objeções</t>
  </si>
  <si>
    <t>Limpar KOMMO</t>
  </si>
  <si>
    <t>Criar ferramentas no google docs (Processo vendas)</t>
  </si>
  <si>
    <t>PPT Proposta</t>
  </si>
  <si>
    <t>Manual Processo de Vendas 2.0</t>
  </si>
  <si>
    <t>Caderno, agenda com checklists e passo a passo (Fluxograma / Touch point)</t>
  </si>
  <si>
    <t>("Guia de execução")</t>
  </si>
  <si>
    <t>Treinamento</t>
  </si>
  <si>
    <t xml:space="preserve">Matinal (Dificuldades, Processo de Vendas (Oq deu certo oq n deu), </t>
  </si>
  <si>
    <t>Visibilidade (Forecast)</t>
  </si>
  <si>
    <t>Automação de vendas (Kommo, FCST, FLP)</t>
  </si>
  <si>
    <t>Qualificação</t>
  </si>
  <si>
    <t>Analise da Conta</t>
  </si>
  <si>
    <t>Avaliação</t>
  </si>
  <si>
    <t>Demo</t>
  </si>
  <si>
    <t xml:space="preserve">Entender melhor o lead para uma abordagem mais precisa 
Tentar falar ao telefone com o lead para uma primeira conversa
</t>
  </si>
  <si>
    <t>Analisar o potencial de venda</t>
  </si>
  <si>
    <t>Concordar em objetivos, problemas e oportunidades</t>
  </si>
  <si>
    <t>o produto como endereçar os problemas e oportunidades</t>
  </si>
  <si>
    <t>Negociar valores previamente conhecidos e realizar
pagamento</t>
  </si>
  <si>
    <t>O que descobrir/validar</t>
  </si>
  <si>
    <t>Realizar pesquisa de filtro de lead 1 e filtroe de lead 2</t>
  </si>
  <si>
    <t>1 - Temperatura da oportunidade (Filtro)
 2 - Maturidade Digital
 3 - Objetivos de negócio claro com a socialfy
 4 - Budget</t>
  </si>
  <si>
    <t>1 - Visão geral da empresa
 2 - Funcionamento MKT e Vendas
 3 - Problemas
 4 - Oportunidades</t>
  </si>
  <si>
    <t>- Principal ponto de interesse na solução da socialfy
  - Entendimento de pelo menos uma tática para cada ação
 de marketing digital sendo feita na socialfy(atração, conversão, relacionamento, análise)
  - Entendimento de um processo que ele não conseguiria fazer de forma automatizada caso não contratasse a socialfy  (se usasse somente [outras soluções simples], ou [outras soluções simples], ou [outras soluções simples], etc)</t>
  </si>
  <si>
    <t>- O fato que está impedindo o fechamento do negócio</t>
  </si>
  <si>
    <t>Ferramentas de apoio</t>
  </si>
  <si>
    <t>- KOMMO CRM, Google,</t>
  </si>
  <si>
    <t>- KOMMO CRM, Google-</t>
  </si>
  <si>
    <t>- Grader e ou as ferramentas/utilizadas na fase de pesquisa</t>
  </si>
  <si>
    <t>- conta KOMMO
  - projeto demo</t>
  </si>
  <si>
    <t>- E-mail fato novo</t>
  </si>
  <si>
    <t>Perguntas que tem que estar
 respondidas para ir para o próximo estágio</t>
  </si>
  <si>
    <t>- Estar quente no filtro de lead 1 e filtro 2</t>
  </si>
  <si>
    <t>- Além dos 4 pontos validados, consegui informações sobre processo de decisão e processo de compra?
  - Tem algum case de sucesso na socialfy que se encaixe a demanda do cliente?</t>
  </si>
  <si>
    <t>- Descobri quem é o decisor e o processo de compra do cliente?????
  - Existe realmente oportunidade e ponto de concordância
 do lead em relação a problemas e forma de resolver?
  - Quais os 2 principais pontos que irei focar na Apresentação?
  - Com estes pontos quais resultados estimo que o cliente possa ter?</t>
  </si>
  <si>
    <t>- está claro para o cliente os principais pontos em relação ao 
 projeto feito pela socialfy, preços, contrato, consultoria?
  - qual a expectativa de data de fechamentoque o cliente me passou?</t>
  </si>
  <si>
    <t>- cliente tem alguma dúvida sobre pagamento?</t>
  </si>
  <si>
    <t>O que não esquecer de falar</t>
  </si>
  <si>
    <t>-</t>
  </si>
  <si>
    <t>- O que foi descoberto na fase de qualificação (pontos mais 
 relevantes). Quanto mais eu souber aqui menos preciso aprofundar em avaliação.
  - Estruturar linha de abordagem com lead</t>
  </si>
  <si>
    <t>- levar "problemas" (posicionamento, erros no site etc) ou "oportunidades" (novas palavras chaves, volume de buscas etc) que o lead ainda não saiba e que tenha sido levantado na fase de pesquisa
  - sobre a metodologia 
  - sobre cases de sucesso
  - sobre parceiros (agencias, geradoras de conteudo)</t>
  </si>
  <si>
    <t>- detalhes de: planos, preços, contrato, consultorias, funcionamento do projeto</t>
  </si>
  <si>
    <t>- Algo sobre escasez (só este mês desconto)
  - Reciprocidade (contrate este mês e ganhe xyz, se eu te der desconto feche este mês etc).   
- Pedir algo em troca por cada concessão que fizer.</t>
  </si>
  <si>
    <t>Motivos de descarte ou perda</t>
  </si>
  <si>
    <t>1 - nao tem fit</t>
  </si>
  <si>
    <t>1 - Repete os 4 da conexão
 2 - nao conseguiu escalar 
 3 - mudança interna 
 4 - nao quis seguir para apresentação/nao tem interesse na solução
 5 - recebeu outra proposta
 6 - parou de responder
 7 - quer ter o processo internamente
 8 - vou reformular meu site</t>
  </si>
  <si>
    <t>1 - nao apareceu 
 2 - nao tem interesse em software agora
 3 - perdemos para concorrente interno
 4 - perdemos para concorrente externo e/ou vertical 
 5 - erro em feature na apn
 6 - nao tem integracao 
 7 - limitacoes feature
 8 - vou reformular meu site</t>
  </si>
  <si>
    <t>1 - não concordar com consultoria obrigatória (caso tenha)
 2 - diretoria não aprovou
 3 -não aceitou contrato X meses</t>
  </si>
  <si>
    <t>Mover para a próxima fase em até</t>
  </si>
  <si>
    <t>2 dias</t>
  </si>
  <si>
    <t>4 dias</t>
  </si>
  <si>
    <t>7 dias</t>
  </si>
  <si>
    <t>Calculadora de meta</t>
  </si>
  <si>
    <t>Conexão</t>
  </si>
  <si>
    <t>Diagnotico</t>
  </si>
  <si>
    <t>Estrategia</t>
  </si>
  <si>
    <t>Abertura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</si>
</sst>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FFFFFF"/>
      <name val="Arial"/>
    </font>
    <font/>
    <font>
      <b/>
      <sz val="10.0"/>
      <color rgb="FF002060"/>
      <name val="Arial"/>
    </font>
    <font>
      <color theme="1"/>
      <name val="Arial"/>
    </font>
    <font>
      <sz val="10.0"/>
      <color rgb="FFFFFFFF"/>
      <name val="Arial"/>
    </font>
    <font>
      <sz val="8.0"/>
      <color rgb="FF000000"/>
      <name val="Arial"/>
    </font>
    <font>
      <b/>
      <sz val="10.0"/>
      <color rgb="FF000000"/>
      <name val="Arial"/>
    </font>
    <font>
      <sz val="10.0"/>
      <color theme="1"/>
      <name val="Arial"/>
    </font>
    <font>
      <sz val="9.0"/>
      <color rgb="FF000000"/>
      <name val="Calibri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F44CA"/>
        <bgColor rgb="FF0F44CA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FCE5CD"/>
        <bgColor rgb="FFFCE5CD"/>
      </patternFill>
    </fill>
  </fills>
  <borders count="12">
    <border/>
    <border>
      <left/>
      <right/>
      <top/>
      <bottom style="thin">
        <color rgb="FF7F7F7F"/>
      </bottom>
    </border>
    <border>
      <left/>
      <top/>
      <bottom style="thin">
        <color rgb="FF7F7F7F"/>
      </bottom>
    </border>
    <border>
      <top/>
      <bottom style="thin">
        <color rgb="FF7F7F7F"/>
      </bottom>
    </border>
    <border>
      <left/>
      <right style="thin">
        <color rgb="FF7F7F7F"/>
      </right>
      <top/>
      <bottom/>
    </border>
    <border>
      <left/>
      <right style="thin">
        <color rgb="FFD8D8D8"/>
      </right>
      <top/>
    </border>
    <border>
      <left/>
      <right/>
      <top/>
    </border>
    <border>
      <left/>
      <right style="thin">
        <color rgb="FF7F7F7F"/>
      </right>
      <top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1" fillId="2" fontId="1" numFmtId="0" xfId="0" applyAlignment="1" applyBorder="1" applyFill="1" applyFont="1">
      <alignment shrinkToFit="0" wrapText="1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1" fillId="4" fontId="4" numFmtId="0" xfId="0" applyAlignment="1" applyBorder="1" applyFill="1" applyFont="1">
      <alignment horizontal="center" shrinkToFit="0" wrapText="1"/>
    </xf>
    <xf borderId="1" fillId="5" fontId="4" numFmtId="0" xfId="0" applyAlignment="1" applyBorder="1" applyFill="1" applyFont="1">
      <alignment horizontal="center" shrinkToFit="0" wrapText="1"/>
    </xf>
    <xf borderId="2" fillId="4" fontId="2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wrapText="1"/>
    </xf>
    <xf borderId="4" fillId="2" fontId="6" numFmtId="0" xfId="0" applyAlignment="1" applyBorder="1" applyFont="1">
      <alignment shrinkToFit="0" wrapText="1"/>
    </xf>
    <xf borderId="5" fillId="6" fontId="6" numFmtId="0" xfId="0" applyAlignment="1" applyBorder="1" applyFill="1" applyFont="1">
      <alignment shrinkToFit="0" wrapText="1"/>
    </xf>
    <xf borderId="5" fillId="6" fontId="6" numFmtId="0" xfId="0" applyAlignment="1" applyBorder="1" applyFont="1">
      <alignment horizontal="center" shrinkToFit="0" wrapText="1"/>
    </xf>
    <xf borderId="5" fillId="6" fontId="6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center" shrinkToFit="0" wrapText="1"/>
    </xf>
    <xf borderId="7" fillId="6" fontId="6" numFmtId="0" xfId="0" applyAlignment="1" applyBorder="1" applyFont="1">
      <alignment horizontal="center" shrinkToFit="0" wrapText="1"/>
    </xf>
    <xf borderId="0" fillId="0" fontId="6" numFmtId="0" xfId="0" applyAlignment="1" applyFont="1">
      <alignment shrinkToFit="0" wrapText="1"/>
    </xf>
    <xf borderId="8" fillId="2" fontId="1" numFmtId="0" xfId="0" applyAlignment="1" applyBorder="1" applyFont="1">
      <alignment shrinkToFit="0" wrapText="1"/>
    </xf>
    <xf borderId="9" fillId="7" fontId="1" numFmtId="0" xfId="0" applyAlignment="1" applyBorder="1" applyFill="1" applyFont="1">
      <alignment shrinkToFit="0" wrapText="1"/>
    </xf>
    <xf borderId="9" fillId="2" fontId="1" numFmtId="0" xfId="0" applyAlignment="1" applyBorder="1" applyFont="1">
      <alignment horizontal="left" shrinkToFit="0" vertical="center" wrapText="1"/>
    </xf>
    <xf borderId="9" fillId="2" fontId="1" numFmtId="0" xfId="0" applyAlignment="1" applyBorder="1" applyFont="1">
      <alignment shrinkToFit="0" vertical="top" wrapText="1"/>
    </xf>
    <xf borderId="9" fillId="0" fontId="5" numFmtId="0" xfId="0" applyAlignment="1" applyBorder="1" applyFont="1">
      <alignment shrinkToFit="0" wrapText="1"/>
    </xf>
    <xf borderId="9" fillId="2" fontId="1" numFmtId="0" xfId="0" applyAlignment="1" applyBorder="1" applyFont="1">
      <alignment shrinkToFit="0" wrapText="1"/>
    </xf>
    <xf borderId="9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left" shrinkToFit="0" vertical="center" wrapText="1"/>
    </xf>
    <xf borderId="9" fillId="2" fontId="7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shrinkToFit="0" wrapText="1"/>
    </xf>
    <xf borderId="9" fillId="2" fontId="7" numFmtId="0" xfId="0" applyAlignment="1" applyBorder="1" applyFont="1">
      <alignment shrinkToFit="0" vertical="top" wrapText="1"/>
    </xf>
    <xf borderId="9" fillId="2" fontId="1" numFmtId="0" xfId="0" applyAlignment="1" applyBorder="1" applyFont="1">
      <alignment shrinkToFit="0" vertical="center" wrapText="1"/>
    </xf>
    <xf borderId="9" fillId="8" fontId="1" numFmtId="0" xfId="0" applyAlignment="1" applyBorder="1" applyFill="1" applyFont="1">
      <alignment shrinkToFit="0" wrapText="1"/>
    </xf>
    <xf borderId="9" fillId="8" fontId="1" numFmtId="9" xfId="0" applyAlignment="1" applyBorder="1" applyFont="1" applyNumberFormat="1">
      <alignment shrinkToFit="0" wrapText="1"/>
    </xf>
    <xf borderId="10" fillId="2" fontId="1" numFmtId="0" xfId="0" applyAlignment="1" applyBorder="1" applyFont="1">
      <alignment shrinkToFit="0" wrapText="1"/>
    </xf>
    <xf borderId="11" fillId="2" fontId="1" numFmtId="0" xfId="0" applyAlignment="1" applyBorder="1" applyFont="1">
      <alignment shrinkToFit="0" wrapText="1"/>
    </xf>
    <xf borderId="6" fillId="2" fontId="1" numFmtId="0" xfId="0" applyAlignment="1" applyBorder="1" applyFont="1">
      <alignment shrinkToFit="0" wrapText="1"/>
    </xf>
    <xf borderId="9" fillId="2" fontId="8" numFmtId="0" xfId="0" applyAlignment="1" applyBorder="1" applyFont="1">
      <alignment shrinkToFit="0" wrapText="1"/>
    </xf>
    <xf borderId="9" fillId="2" fontId="1" numFmtId="0" xfId="0" applyAlignment="1" applyBorder="1" applyFont="1">
      <alignment horizontal="left" shrinkToFit="0" wrapText="1"/>
    </xf>
    <xf borderId="0" fillId="0" fontId="1" numFmtId="0" xfId="0" applyAlignment="1" applyFont="1">
      <alignment shrinkToFit="0" wrapText="1"/>
    </xf>
    <xf borderId="9" fillId="0" fontId="1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1" fillId="2" fontId="1" numFmtId="0" xfId="0" applyBorder="1" applyFont="1"/>
    <xf borderId="4" fillId="2" fontId="6" numFmtId="0" xfId="0" applyBorder="1" applyFont="1"/>
    <xf borderId="5" fillId="6" fontId="6" numFmtId="0" xfId="0" applyBorder="1" applyFont="1"/>
    <xf borderId="7" fillId="6" fontId="6" numFmtId="0" xfId="0" applyBorder="1" applyFont="1"/>
    <xf borderId="0" fillId="0" fontId="6" numFmtId="0" xfId="0" applyFont="1"/>
    <xf borderId="8" fillId="2" fontId="1" numFmtId="0" xfId="0" applyBorder="1" applyFont="1"/>
    <xf borderId="9" fillId="7" fontId="1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9" fillId="2" fontId="10" numFmtId="0" xfId="0" applyAlignment="1" applyBorder="1" applyFont="1">
      <alignment horizontal="left" shrinkToFit="0" vertical="top" wrapText="1"/>
    </xf>
    <xf borderId="9" fillId="2" fontId="1" numFmtId="9" xfId="0" applyAlignment="1" applyBorder="1" applyFont="1" applyNumberFormat="1">
      <alignment horizontal="left" shrinkToFit="0" vertical="top" wrapText="1"/>
    </xf>
    <xf borderId="9" fillId="0" fontId="1" numFmtId="9" xfId="0" applyAlignment="1" applyBorder="1" applyFont="1" applyNumberFormat="1">
      <alignment horizontal="left" shrinkToFit="0" vertical="top" wrapText="1"/>
    </xf>
    <xf borderId="10" fillId="2" fontId="1" numFmtId="0" xfId="0" applyBorder="1" applyFont="1"/>
    <xf borderId="11" fillId="2" fontId="1" numFmtId="0" xfId="0" applyBorder="1" applyFont="1"/>
    <xf borderId="0" fillId="0" fontId="1" numFmtId="0" xfId="0" applyFont="1"/>
    <xf borderId="0" fillId="0" fontId="11" numFmtId="4" xfId="0" applyFont="1" applyNumberFormat="1"/>
    <xf borderId="0" fillId="0" fontId="1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.38"/>
    <col customWidth="1" min="2" max="2" width="19.88"/>
    <col customWidth="1" min="3" max="3" width="36.63"/>
    <col customWidth="1" min="4" max="4" width="38.63"/>
    <col customWidth="1" min="5" max="5" width="43.38"/>
    <col customWidth="1" min="6" max="6" width="32.63"/>
    <col customWidth="1" min="7" max="7" width="38.5"/>
    <col customWidth="1" min="8" max="8" width="26.13"/>
    <col customWidth="1" min="9" max="9" width="23.13"/>
    <col customWidth="1" min="10" max="12" width="26.5"/>
    <col customWidth="1" min="13" max="26" width="14.5"/>
  </cols>
  <sheetData>
    <row r="1">
      <c r="A1" s="1"/>
      <c r="B1" s="2"/>
      <c r="C1" s="3" t="s">
        <v>0</v>
      </c>
      <c r="D1" s="4"/>
      <c r="E1" s="5" t="s">
        <v>1</v>
      </c>
      <c r="F1" s="6" t="s">
        <v>1</v>
      </c>
      <c r="G1" s="7" t="s">
        <v>1</v>
      </c>
      <c r="H1" s="4"/>
      <c r="I1" s="4"/>
      <c r="J1" s="4"/>
      <c r="K1" s="4"/>
      <c r="L1" s="2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2" t="s">
        <v>7</v>
      </c>
      <c r="H2" s="12" t="s">
        <v>8</v>
      </c>
      <c r="I2" s="11" t="s">
        <v>9</v>
      </c>
      <c r="J2" s="13" t="s">
        <v>10</v>
      </c>
      <c r="K2" s="14" t="s">
        <v>11</v>
      </c>
      <c r="L2" s="15"/>
      <c r="M2" s="15"/>
      <c r="N2" s="8"/>
      <c r="O2" s="15"/>
      <c r="P2" s="15"/>
      <c r="Q2" s="15"/>
      <c r="R2" s="15"/>
      <c r="S2" s="15"/>
      <c r="T2" s="15"/>
      <c r="U2" s="15"/>
      <c r="V2" s="8"/>
      <c r="W2" s="8"/>
      <c r="X2" s="8"/>
      <c r="Y2" s="8"/>
      <c r="Z2" s="8"/>
    </row>
    <row r="3" ht="91.5" customHeight="1">
      <c r="A3" s="16"/>
      <c r="B3" s="17" t="s">
        <v>12</v>
      </c>
      <c r="C3" s="18" t="s">
        <v>13</v>
      </c>
      <c r="D3" s="19" t="s">
        <v>14</v>
      </c>
      <c r="E3" s="19" t="s">
        <v>15</v>
      </c>
      <c r="F3" s="19" t="s">
        <v>16</v>
      </c>
      <c r="G3" s="20"/>
      <c r="H3" s="21"/>
      <c r="I3" s="21"/>
      <c r="J3" s="21"/>
      <c r="K3" s="2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8.25" customHeight="1">
      <c r="A4" s="16"/>
      <c r="B4" s="17" t="s">
        <v>17</v>
      </c>
      <c r="C4" s="22" t="s">
        <v>18</v>
      </c>
      <c r="D4" s="22" t="s">
        <v>19</v>
      </c>
      <c r="E4" s="21" t="s">
        <v>20</v>
      </c>
      <c r="F4" s="23" t="s">
        <v>21</v>
      </c>
      <c r="G4" s="23" t="s">
        <v>22</v>
      </c>
      <c r="H4" s="19" t="s">
        <v>23</v>
      </c>
      <c r="I4" s="19" t="s">
        <v>24</v>
      </c>
      <c r="J4" s="19" t="s">
        <v>25</v>
      </c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6"/>
      <c r="B5" s="17" t="s">
        <v>26</v>
      </c>
      <c r="C5" s="24" t="s">
        <v>27</v>
      </c>
      <c r="D5" s="25" t="s">
        <v>28</v>
      </c>
      <c r="E5" s="26" t="s">
        <v>29</v>
      </c>
      <c r="F5" s="27" t="s">
        <v>30</v>
      </c>
      <c r="G5" s="25" t="s">
        <v>31</v>
      </c>
      <c r="H5" s="27" t="s">
        <v>32</v>
      </c>
      <c r="I5" s="27" t="s">
        <v>33</v>
      </c>
      <c r="J5" s="27" t="s">
        <v>34</v>
      </c>
      <c r="K5" s="27" t="s">
        <v>35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6"/>
      <c r="B6" s="17" t="s">
        <v>36</v>
      </c>
      <c r="C6" s="21"/>
      <c r="D6" s="21"/>
      <c r="E6" s="19" t="s">
        <v>37</v>
      </c>
      <c r="F6" s="19" t="s">
        <v>38</v>
      </c>
      <c r="G6" s="19" t="s">
        <v>39</v>
      </c>
      <c r="H6" s="19" t="s">
        <v>40</v>
      </c>
      <c r="I6" s="19" t="s">
        <v>40</v>
      </c>
      <c r="J6" s="19" t="s">
        <v>40</v>
      </c>
      <c r="K6" s="2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6"/>
      <c r="B7" s="17" t="s">
        <v>41</v>
      </c>
      <c r="C7" s="19" t="s">
        <v>42</v>
      </c>
      <c r="D7" s="19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19" t="s">
        <v>48</v>
      </c>
      <c r="J7" s="19" t="s">
        <v>48</v>
      </c>
      <c r="K7" s="2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6"/>
      <c r="B8" s="17" t="s">
        <v>49</v>
      </c>
      <c r="C8" s="21"/>
      <c r="D8" s="21"/>
      <c r="E8" s="21"/>
      <c r="F8" s="21"/>
      <c r="G8" s="21"/>
      <c r="H8" s="21"/>
      <c r="I8" s="21"/>
      <c r="J8" s="21"/>
      <c r="K8" s="2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/>
      <c r="B9" s="17" t="s">
        <v>50</v>
      </c>
      <c r="C9" s="22" t="s">
        <v>51</v>
      </c>
      <c r="D9" s="28" t="s">
        <v>52</v>
      </c>
      <c r="E9" s="28" t="s">
        <v>53</v>
      </c>
      <c r="F9" s="28" t="s">
        <v>54</v>
      </c>
      <c r="G9" s="28" t="s">
        <v>54</v>
      </c>
      <c r="H9" s="22" t="s">
        <v>55</v>
      </c>
      <c r="I9" s="22" t="s">
        <v>56</v>
      </c>
      <c r="J9" s="22" t="s">
        <v>57</v>
      </c>
      <c r="K9" s="22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6"/>
      <c r="B10" s="17" t="s">
        <v>58</v>
      </c>
      <c r="C10" s="22" t="s">
        <v>59</v>
      </c>
      <c r="D10" s="22" t="s">
        <v>60</v>
      </c>
      <c r="E10" s="21" t="s">
        <v>61</v>
      </c>
      <c r="F10" s="21" t="s">
        <v>61</v>
      </c>
      <c r="G10" s="21" t="s">
        <v>62</v>
      </c>
      <c r="H10" s="21" t="s">
        <v>62</v>
      </c>
      <c r="I10" s="21" t="s">
        <v>61</v>
      </c>
      <c r="J10" s="21" t="s">
        <v>61</v>
      </c>
      <c r="K10" s="21" t="s">
        <v>61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6"/>
      <c r="B11" s="17" t="s">
        <v>63</v>
      </c>
      <c r="C11" s="29" t="s">
        <v>64</v>
      </c>
      <c r="D11" s="29" t="s">
        <v>64</v>
      </c>
      <c r="E11" s="29" t="s">
        <v>64</v>
      </c>
      <c r="F11" s="29" t="s">
        <v>64</v>
      </c>
      <c r="G11" s="29" t="s">
        <v>64</v>
      </c>
      <c r="H11" s="29" t="s">
        <v>64</v>
      </c>
      <c r="I11" s="29" t="s">
        <v>64</v>
      </c>
      <c r="J11" s="29" t="s">
        <v>64</v>
      </c>
      <c r="K11" s="29" t="s">
        <v>64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6"/>
      <c r="B12" s="17" t="s">
        <v>65</v>
      </c>
      <c r="C12" s="29" t="s">
        <v>64</v>
      </c>
      <c r="D12" s="29" t="s">
        <v>64</v>
      </c>
      <c r="E12" s="29" t="s">
        <v>64</v>
      </c>
      <c r="F12" s="29" t="s">
        <v>64</v>
      </c>
      <c r="G12" s="30">
        <v>0.6</v>
      </c>
      <c r="H12" s="30">
        <v>0.9</v>
      </c>
      <c r="I12" s="30">
        <v>0.4</v>
      </c>
      <c r="J12" s="30">
        <v>0.2</v>
      </c>
      <c r="K12" s="29" t="s">
        <v>64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1"/>
      <c r="C14" s="31"/>
      <c r="D14" s="31"/>
      <c r="E14" s="31" t="s">
        <v>66</v>
      </c>
      <c r="F14" s="31" t="s">
        <v>67</v>
      </c>
      <c r="G14" s="31"/>
      <c r="H14" s="31"/>
      <c r="I14" s="31"/>
      <c r="J14" s="31"/>
      <c r="K14" s="3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1"/>
      <c r="B15" s="31"/>
      <c r="C15" s="33"/>
      <c r="D15" s="33"/>
      <c r="E15" s="33"/>
      <c r="F15" s="33" t="s">
        <v>68</v>
      </c>
      <c r="G15" s="33"/>
      <c r="H15" s="33"/>
      <c r="I15" s="33"/>
      <c r="J15" s="33"/>
      <c r="K15" s="33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1"/>
      <c r="B16" s="16"/>
      <c r="C16" s="34" t="s">
        <v>69</v>
      </c>
      <c r="D16" s="34" t="s">
        <v>70</v>
      </c>
      <c r="E16" s="21"/>
      <c r="F16" s="21"/>
      <c r="G16" s="21"/>
      <c r="H16" s="21"/>
      <c r="I16" s="21"/>
      <c r="J16" s="21"/>
      <c r="K16" s="2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1"/>
      <c r="B17" s="16"/>
      <c r="C17" s="35" t="s">
        <v>71</v>
      </c>
      <c r="D17" s="21"/>
      <c r="E17" s="21"/>
      <c r="F17" s="21"/>
      <c r="G17" s="21"/>
      <c r="H17" s="21"/>
      <c r="I17" s="21"/>
      <c r="J17" s="21"/>
      <c r="K17" s="2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1"/>
      <c r="B18" s="16"/>
      <c r="C18" s="20" t="s">
        <v>72</v>
      </c>
      <c r="D18" s="21"/>
      <c r="E18" s="21"/>
      <c r="F18" s="21"/>
      <c r="G18" s="21"/>
      <c r="H18" s="21"/>
      <c r="I18" s="21"/>
      <c r="J18" s="21"/>
      <c r="K18" s="2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1"/>
      <c r="B19" s="16"/>
      <c r="C19" s="35" t="s">
        <v>73</v>
      </c>
      <c r="D19" s="21"/>
      <c r="E19" s="21"/>
      <c r="F19" s="21"/>
      <c r="G19" s="21"/>
      <c r="H19" s="21"/>
      <c r="I19" s="21"/>
      <c r="J19" s="21"/>
      <c r="K19" s="2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1"/>
      <c r="B20" s="16"/>
      <c r="C20" s="20" t="s">
        <v>74</v>
      </c>
      <c r="D20" s="20"/>
      <c r="E20" s="21"/>
      <c r="F20" s="21"/>
      <c r="G20" s="21"/>
      <c r="H20" s="21"/>
      <c r="I20" s="21"/>
      <c r="J20" s="21"/>
      <c r="K20" s="2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36"/>
      <c r="B21" s="36"/>
      <c r="C21" s="20" t="s">
        <v>75</v>
      </c>
      <c r="D21" s="20"/>
      <c r="E21" s="37"/>
      <c r="F21" s="37"/>
      <c r="G21" s="37"/>
      <c r="H21" s="37"/>
      <c r="I21" s="37"/>
      <c r="J21" s="37"/>
      <c r="K21" s="3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6"/>
      <c r="B22" s="36"/>
      <c r="C22" s="20" t="s">
        <v>76</v>
      </c>
      <c r="D22" s="20"/>
      <c r="E22" s="37"/>
      <c r="F22" s="37"/>
      <c r="G22" s="37"/>
      <c r="H22" s="37"/>
      <c r="I22" s="37"/>
      <c r="J22" s="37"/>
      <c r="K22" s="3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36"/>
      <c r="B23" s="36"/>
      <c r="C23" s="20" t="s">
        <v>77</v>
      </c>
      <c r="D23" s="20"/>
      <c r="E23" s="37"/>
      <c r="F23" s="37"/>
      <c r="G23" s="37"/>
      <c r="H23" s="37"/>
      <c r="I23" s="37"/>
      <c r="J23" s="37"/>
      <c r="K23" s="3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6"/>
      <c r="B24" s="36"/>
      <c r="C24" s="20"/>
      <c r="D24" s="20"/>
      <c r="E24" s="37"/>
      <c r="F24" s="37"/>
      <c r="G24" s="37"/>
      <c r="H24" s="37"/>
      <c r="I24" s="37"/>
      <c r="J24" s="37"/>
      <c r="K24" s="3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36"/>
      <c r="B25" s="36"/>
      <c r="C25" s="21" t="s">
        <v>78</v>
      </c>
      <c r="D25" s="21"/>
      <c r="E25" s="37"/>
      <c r="F25" s="37"/>
      <c r="G25" s="37"/>
      <c r="H25" s="37"/>
      <c r="I25" s="37"/>
      <c r="J25" s="37"/>
      <c r="K25" s="3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6"/>
      <c r="B26" s="36"/>
      <c r="C26" s="21" t="s">
        <v>79</v>
      </c>
      <c r="D26" s="21"/>
      <c r="E26" s="37"/>
      <c r="F26" s="37"/>
      <c r="G26" s="37"/>
      <c r="H26" s="37"/>
      <c r="I26" s="37"/>
      <c r="J26" s="37"/>
      <c r="K26" s="3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36"/>
      <c r="B27" s="36"/>
      <c r="C27" s="20"/>
      <c r="D27" s="37"/>
      <c r="E27" s="37"/>
      <c r="F27" s="37"/>
      <c r="G27" s="37"/>
      <c r="H27" s="37"/>
      <c r="I27" s="37"/>
      <c r="J27" s="37"/>
      <c r="K27" s="3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6"/>
      <c r="B28" s="36"/>
      <c r="C28" s="37"/>
      <c r="D28" s="37"/>
      <c r="E28" s="37"/>
      <c r="F28" s="37"/>
      <c r="G28" s="37"/>
      <c r="H28" s="37"/>
      <c r="I28" s="37"/>
      <c r="J28" s="37"/>
      <c r="K28" s="3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36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6"/>
      <c r="B30" s="36"/>
      <c r="C30" s="37"/>
      <c r="D30" s="37"/>
      <c r="E30" s="37"/>
      <c r="F30" s="37"/>
      <c r="G30" s="37"/>
      <c r="H30" s="37"/>
      <c r="I30" s="37"/>
      <c r="J30" s="37"/>
      <c r="K30" s="3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36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6"/>
      <c r="B32" s="36"/>
      <c r="C32" s="37" t="s">
        <v>80</v>
      </c>
      <c r="D32" s="37"/>
      <c r="E32" s="37"/>
      <c r="F32" s="37"/>
      <c r="G32" s="37"/>
      <c r="H32" s="37"/>
      <c r="I32" s="37"/>
      <c r="J32" s="37"/>
      <c r="K32" s="37"/>
      <c r="L32" s="36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36"/>
      <c r="B33" s="36"/>
      <c r="C33" s="37" t="s">
        <v>72</v>
      </c>
      <c r="D33" s="37"/>
      <c r="E33" s="37"/>
      <c r="F33" s="37"/>
      <c r="G33" s="37"/>
      <c r="H33" s="37"/>
      <c r="I33" s="37"/>
      <c r="J33" s="37"/>
      <c r="K33" s="37"/>
      <c r="L33" s="3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6"/>
      <c r="B34" s="36"/>
      <c r="C34" s="20" t="s">
        <v>81</v>
      </c>
      <c r="D34" s="37" t="s">
        <v>82</v>
      </c>
      <c r="E34" s="37" t="s">
        <v>83</v>
      </c>
      <c r="F34" s="37"/>
      <c r="G34" s="37"/>
      <c r="H34" s="37"/>
      <c r="I34" s="37"/>
      <c r="J34" s="37"/>
      <c r="K34" s="37"/>
      <c r="L34" s="3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36"/>
      <c r="B35" s="36"/>
      <c r="C35" s="37" t="s">
        <v>84</v>
      </c>
      <c r="D35" s="37"/>
      <c r="E35" s="37"/>
      <c r="F35" s="37"/>
      <c r="G35" s="37"/>
      <c r="H35" s="37"/>
      <c r="I35" s="37"/>
      <c r="J35" s="37"/>
      <c r="K35" s="37"/>
      <c r="L35" s="3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6"/>
      <c r="B36" s="36"/>
      <c r="C36" s="37" t="s">
        <v>85</v>
      </c>
      <c r="D36" s="37"/>
      <c r="E36" s="37"/>
      <c r="F36" s="37"/>
      <c r="G36" s="37"/>
      <c r="H36" s="37"/>
      <c r="I36" s="37"/>
      <c r="J36" s="37"/>
      <c r="K36" s="37"/>
      <c r="L36" s="36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36"/>
      <c r="B37" s="36"/>
      <c r="C37" s="37" t="s">
        <v>86</v>
      </c>
      <c r="D37" s="37"/>
      <c r="E37" s="37"/>
      <c r="F37" s="37"/>
      <c r="G37" s="37"/>
      <c r="H37" s="37"/>
      <c r="I37" s="37"/>
      <c r="J37" s="37"/>
      <c r="K37" s="37"/>
      <c r="L37" s="36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6"/>
      <c r="B38" s="36"/>
      <c r="C38" s="37" t="s">
        <v>87</v>
      </c>
      <c r="D38" s="37"/>
      <c r="E38" s="37"/>
      <c r="F38" s="37"/>
      <c r="G38" s="37"/>
      <c r="H38" s="37"/>
      <c r="I38" s="37"/>
      <c r="J38" s="37"/>
      <c r="K38" s="37"/>
      <c r="L38" s="36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3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D1"/>
    <mergeCell ref="G1:K1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9.88"/>
    <col customWidth="1" min="3" max="3" width="32.63"/>
    <col customWidth="1" min="4" max="4" width="38.5"/>
    <col customWidth="1" min="5" max="5" width="26.13"/>
    <col customWidth="1" min="6" max="6" width="23.13"/>
    <col customWidth="1" min="7" max="8" width="26.5"/>
    <col customWidth="1" min="9" max="17" width="14.5"/>
  </cols>
  <sheetData>
    <row r="1" ht="22.5" customHeight="1">
      <c r="A1" s="39"/>
      <c r="B1" s="2"/>
      <c r="C1" s="40"/>
      <c r="D1" s="40"/>
      <c r="E1" s="40"/>
      <c r="F1" s="40"/>
      <c r="G1" s="40"/>
      <c r="H1" s="40"/>
    </row>
    <row r="2">
      <c r="A2" s="41"/>
      <c r="B2" s="10" t="s">
        <v>2</v>
      </c>
      <c r="C2" s="42" t="s">
        <v>88</v>
      </c>
      <c r="D2" s="42" t="s">
        <v>89</v>
      </c>
      <c r="E2" s="42" t="s">
        <v>90</v>
      </c>
      <c r="F2" s="42" t="s">
        <v>91</v>
      </c>
      <c r="G2" s="43" t="s">
        <v>11</v>
      </c>
      <c r="H2" s="44"/>
      <c r="I2" s="44"/>
      <c r="K2" s="44"/>
      <c r="L2" s="44"/>
      <c r="M2" s="44"/>
      <c r="N2" s="44"/>
      <c r="O2" s="44"/>
      <c r="P2" s="44"/>
      <c r="Q2" s="44"/>
    </row>
    <row r="3">
      <c r="A3" s="45"/>
      <c r="B3" s="46" t="s">
        <v>12</v>
      </c>
      <c r="C3" s="23" t="s">
        <v>92</v>
      </c>
      <c r="D3" s="23" t="s">
        <v>93</v>
      </c>
      <c r="E3" s="23" t="s">
        <v>94</v>
      </c>
      <c r="F3" s="23" t="s">
        <v>95</v>
      </c>
      <c r="G3" s="47" t="s">
        <v>96</v>
      </c>
    </row>
    <row r="4">
      <c r="A4" s="45"/>
      <c r="B4" s="46" t="s">
        <v>97</v>
      </c>
      <c r="C4" s="23" t="s">
        <v>98</v>
      </c>
      <c r="D4" s="23" t="s">
        <v>99</v>
      </c>
      <c r="E4" s="23" t="s">
        <v>100</v>
      </c>
      <c r="F4" s="23" t="s">
        <v>101</v>
      </c>
      <c r="G4" s="47" t="s">
        <v>102</v>
      </c>
    </row>
    <row r="5">
      <c r="A5" s="45"/>
      <c r="B5" s="46" t="s">
        <v>103</v>
      </c>
      <c r="C5" s="23" t="s">
        <v>104</v>
      </c>
      <c r="D5" s="23" t="s">
        <v>105</v>
      </c>
      <c r="E5" s="23" t="s">
        <v>106</v>
      </c>
      <c r="F5" s="23" t="s">
        <v>107</v>
      </c>
      <c r="G5" s="47" t="s">
        <v>108</v>
      </c>
    </row>
    <row r="6">
      <c r="A6" s="45"/>
      <c r="B6" s="46" t="s">
        <v>109</v>
      </c>
      <c r="C6" s="23" t="s">
        <v>110</v>
      </c>
      <c r="D6" s="23" t="s">
        <v>111</v>
      </c>
      <c r="E6" s="23" t="s">
        <v>112</v>
      </c>
      <c r="F6" s="23" t="s">
        <v>113</v>
      </c>
      <c r="G6" s="47" t="s">
        <v>114</v>
      </c>
    </row>
    <row r="7">
      <c r="A7" s="45"/>
      <c r="B7" s="46" t="s">
        <v>115</v>
      </c>
      <c r="C7" s="23" t="s">
        <v>116</v>
      </c>
      <c r="D7" s="23" t="s">
        <v>117</v>
      </c>
      <c r="E7" s="23" t="s">
        <v>118</v>
      </c>
      <c r="F7" s="23" t="s">
        <v>119</v>
      </c>
      <c r="G7" s="47" t="s">
        <v>120</v>
      </c>
    </row>
    <row r="8">
      <c r="A8" s="45"/>
      <c r="B8" s="46" t="s">
        <v>121</v>
      </c>
      <c r="C8" s="23" t="s">
        <v>122</v>
      </c>
      <c r="D8" s="23"/>
      <c r="E8" s="23" t="s">
        <v>123</v>
      </c>
      <c r="F8" s="23" t="s">
        <v>124</v>
      </c>
      <c r="G8" s="47" t="s">
        <v>125</v>
      </c>
    </row>
    <row r="9">
      <c r="A9" s="45"/>
      <c r="B9" s="46" t="s">
        <v>49</v>
      </c>
      <c r="C9" s="23"/>
      <c r="D9" s="23"/>
      <c r="E9" s="23"/>
      <c r="F9" s="23"/>
      <c r="G9" s="47"/>
    </row>
    <row r="10">
      <c r="A10" s="45"/>
      <c r="B10" s="46" t="s">
        <v>126</v>
      </c>
      <c r="C10" s="23" t="s">
        <v>127</v>
      </c>
      <c r="D10" s="48" t="s">
        <v>127</v>
      </c>
      <c r="E10" s="23" t="s">
        <v>128</v>
      </c>
      <c r="F10" s="23" t="s">
        <v>128</v>
      </c>
      <c r="G10" s="47" t="s">
        <v>129</v>
      </c>
    </row>
    <row r="11">
      <c r="A11" s="45"/>
      <c r="B11" s="46" t="s">
        <v>63</v>
      </c>
      <c r="C11" s="49">
        <v>0.7</v>
      </c>
      <c r="D11" s="49">
        <v>0.9</v>
      </c>
      <c r="E11" s="49">
        <v>0.8</v>
      </c>
      <c r="F11" s="49">
        <v>0.8</v>
      </c>
      <c r="G11" s="50">
        <v>0.5</v>
      </c>
    </row>
    <row r="12">
      <c r="A12" s="45"/>
      <c r="B12" s="46" t="s">
        <v>65</v>
      </c>
      <c r="C12" s="49">
        <v>0.05</v>
      </c>
      <c r="D12" s="49">
        <v>0.4</v>
      </c>
      <c r="E12" s="49">
        <v>0.6</v>
      </c>
      <c r="F12" s="49">
        <v>0.75</v>
      </c>
      <c r="G12" s="50">
        <v>0.9</v>
      </c>
    </row>
    <row r="13">
      <c r="A13" s="45"/>
      <c r="B13" s="23"/>
      <c r="C13" s="23"/>
      <c r="D13" s="23"/>
      <c r="E13" s="23"/>
      <c r="F13" s="23"/>
      <c r="G13" s="47"/>
    </row>
    <row r="14">
      <c r="A14" s="45"/>
      <c r="B14" s="23"/>
      <c r="C14" s="23"/>
      <c r="D14" s="23"/>
      <c r="E14" s="23"/>
      <c r="F14" s="23"/>
      <c r="G14" s="23"/>
    </row>
    <row r="15">
      <c r="A15" s="45"/>
      <c r="B15" s="23"/>
      <c r="C15" s="23"/>
      <c r="D15" s="23"/>
      <c r="E15" s="23"/>
      <c r="F15" s="23"/>
      <c r="G15" s="23"/>
    </row>
    <row r="16" ht="15.75" customHeight="1">
      <c r="A16" s="51"/>
      <c r="B16" s="32"/>
      <c r="C16" s="52"/>
      <c r="D16" s="52"/>
      <c r="E16" s="52"/>
      <c r="F16" s="52"/>
      <c r="G16" s="52"/>
    </row>
    <row r="17" ht="15.75" customHeight="1">
      <c r="A17" s="51"/>
      <c r="B17" s="31"/>
      <c r="C17" s="51"/>
      <c r="D17" s="51"/>
      <c r="E17" s="51"/>
      <c r="F17" s="51"/>
      <c r="G17" s="51"/>
    </row>
    <row r="18" ht="15.75" customHeight="1">
      <c r="A18" s="51"/>
      <c r="B18" s="31"/>
      <c r="C18" s="51"/>
      <c r="D18" s="51"/>
      <c r="E18" s="51"/>
      <c r="F18" s="51"/>
      <c r="G18" s="51"/>
    </row>
    <row r="19" ht="15.75" customHeight="1">
      <c r="A19" s="51"/>
      <c r="B19" s="31"/>
      <c r="C19" s="51"/>
      <c r="D19" s="51"/>
      <c r="E19" s="51"/>
      <c r="F19" s="51"/>
      <c r="G19" s="51"/>
    </row>
    <row r="20" ht="15.75" customHeight="1">
      <c r="A20" s="51"/>
      <c r="B20" s="31"/>
      <c r="C20" s="51"/>
      <c r="D20" s="51"/>
      <c r="E20" s="51"/>
      <c r="F20" s="51"/>
      <c r="G20" s="51"/>
    </row>
    <row r="21" ht="15.75" customHeight="1">
      <c r="A21" s="53"/>
      <c r="B21" s="36"/>
      <c r="C21" s="53"/>
      <c r="D21" s="53"/>
      <c r="E21" s="53"/>
      <c r="F21" s="53"/>
      <c r="G21" s="53"/>
    </row>
    <row r="22" ht="15.75" customHeight="1">
      <c r="A22" s="53"/>
      <c r="B22" s="36"/>
      <c r="C22" s="53"/>
      <c r="D22" s="53"/>
      <c r="E22" s="53"/>
      <c r="F22" s="53"/>
      <c r="G22" s="53"/>
    </row>
    <row r="23" ht="15.75" customHeight="1">
      <c r="A23" s="53"/>
      <c r="B23" s="36"/>
      <c r="C23" s="53"/>
      <c r="D23" s="53"/>
      <c r="E23" s="53"/>
      <c r="F23" s="53"/>
      <c r="G23" s="53"/>
    </row>
    <row r="24" ht="15.75" customHeight="1">
      <c r="A24" s="53"/>
      <c r="B24" s="36"/>
      <c r="C24" s="53"/>
      <c r="D24" s="53"/>
      <c r="E24" s="53"/>
      <c r="F24" s="53"/>
      <c r="G24" s="53"/>
    </row>
    <row r="25" ht="15.75" customHeight="1">
      <c r="A25" s="53"/>
      <c r="B25" s="36"/>
      <c r="C25" s="53"/>
      <c r="D25" s="53"/>
      <c r="E25" s="53"/>
      <c r="F25" s="53"/>
      <c r="G25" s="53"/>
    </row>
    <row r="26" ht="15.75" customHeight="1">
      <c r="A26" s="53"/>
      <c r="B26" s="36"/>
      <c r="C26" s="53"/>
      <c r="D26" s="53"/>
      <c r="E26" s="53"/>
      <c r="F26" s="53"/>
      <c r="G26" s="53"/>
    </row>
    <row r="27" ht="15.75" customHeight="1">
      <c r="A27" s="53"/>
      <c r="B27" s="36"/>
      <c r="C27" s="53"/>
      <c r="D27" s="53"/>
      <c r="E27" s="53"/>
      <c r="F27" s="53"/>
      <c r="G27" s="53"/>
    </row>
    <row r="28" ht="15.75" customHeight="1">
      <c r="A28" s="53"/>
      <c r="B28" s="36"/>
      <c r="C28" s="53"/>
      <c r="D28" s="53"/>
      <c r="E28" s="53"/>
      <c r="F28" s="53"/>
      <c r="G28" s="53"/>
    </row>
    <row r="29" ht="15.75" customHeight="1">
      <c r="A29" s="53"/>
      <c r="B29" s="36"/>
      <c r="C29" s="53"/>
      <c r="D29" s="53"/>
      <c r="E29" s="53"/>
      <c r="F29" s="53"/>
      <c r="G29" s="53"/>
    </row>
    <row r="30" ht="15.75" customHeight="1">
      <c r="A30" s="53"/>
      <c r="B30" s="36"/>
      <c r="C30" s="53"/>
      <c r="D30" s="53"/>
      <c r="E30" s="53"/>
      <c r="F30" s="53"/>
      <c r="G30" s="53"/>
    </row>
    <row r="31" ht="15.75" customHeight="1">
      <c r="A31" s="53"/>
      <c r="B31" s="36"/>
      <c r="C31" s="53"/>
      <c r="D31" s="53"/>
      <c r="E31" s="53"/>
      <c r="F31" s="53"/>
      <c r="G31" s="53"/>
      <c r="H31" s="53"/>
    </row>
    <row r="32" ht="15.75" customHeight="1">
      <c r="A32" s="53"/>
      <c r="B32" s="36"/>
      <c r="C32" s="53"/>
      <c r="D32" s="53"/>
      <c r="E32" s="53"/>
      <c r="F32" s="53"/>
      <c r="G32" s="53"/>
      <c r="H32" s="53"/>
    </row>
    <row r="33" ht="15.75" customHeight="1">
      <c r="A33" s="53"/>
      <c r="B33" s="36"/>
      <c r="C33" s="53"/>
      <c r="D33" s="53"/>
      <c r="E33" s="53"/>
      <c r="F33" s="53"/>
      <c r="G33" s="53"/>
      <c r="H33" s="53"/>
    </row>
    <row r="34" ht="15.75" customHeight="1">
      <c r="A34" s="53"/>
      <c r="B34" s="36"/>
      <c r="C34" s="53"/>
      <c r="D34" s="53"/>
      <c r="E34" s="53"/>
      <c r="F34" s="53"/>
      <c r="G34" s="53"/>
      <c r="H34" s="53"/>
    </row>
    <row r="35" ht="15.75" customHeight="1">
      <c r="A35" s="53"/>
      <c r="B35" s="36"/>
      <c r="C35" s="53"/>
      <c r="D35" s="53"/>
      <c r="E35" s="53"/>
      <c r="F35" s="53"/>
      <c r="G35" s="53"/>
      <c r="H35" s="53"/>
    </row>
    <row r="36" ht="15.75" customHeight="1">
      <c r="A36" s="53"/>
      <c r="B36" s="36"/>
      <c r="C36" s="53"/>
      <c r="D36" s="53"/>
      <c r="E36" s="53"/>
      <c r="F36" s="53"/>
      <c r="G36" s="53"/>
      <c r="H36" s="53"/>
    </row>
    <row r="37" ht="15.75" customHeight="1">
      <c r="A37" s="53"/>
      <c r="B37" s="36"/>
      <c r="C37" s="53"/>
      <c r="D37" s="53"/>
      <c r="E37" s="53"/>
      <c r="F37" s="53"/>
      <c r="G37" s="53"/>
      <c r="H37" s="53"/>
    </row>
    <row r="38" ht="15.75" customHeight="1">
      <c r="A38" s="53"/>
      <c r="B38" s="36"/>
      <c r="C38" s="53"/>
      <c r="D38" s="53"/>
      <c r="E38" s="53"/>
      <c r="F38" s="53"/>
      <c r="G38" s="53"/>
      <c r="H38" s="53"/>
    </row>
    <row r="39" ht="15.75" customHeight="1">
      <c r="B39" s="3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3" width="14.5"/>
  </cols>
  <sheetData>
    <row r="1" ht="15.0" customHeight="1">
      <c r="A1" s="53" t="s">
        <v>130</v>
      </c>
      <c r="B1" s="54"/>
      <c r="C1" s="54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5.0" customHeight="1">
      <c r="A2" s="53" t="s">
        <v>131</v>
      </c>
      <c r="B2" s="54">
        <f t="shared" ref="B2:B5" si="1">B3/C2</f>
        <v>223.2142857</v>
      </c>
      <c r="C2" s="56">
        <v>0.2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0" customHeight="1">
      <c r="A3" s="53" t="s">
        <v>132</v>
      </c>
      <c r="B3" s="54">
        <f t="shared" si="1"/>
        <v>44.64285714</v>
      </c>
      <c r="C3" s="56">
        <v>0.4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0" customHeight="1">
      <c r="A4" s="53" t="s">
        <v>133</v>
      </c>
      <c r="B4" s="54">
        <f t="shared" si="1"/>
        <v>17.85714286</v>
      </c>
      <c r="C4" s="56">
        <v>0.8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0" customHeight="1">
      <c r="A5" s="53" t="s">
        <v>134</v>
      </c>
      <c r="B5" s="54">
        <f t="shared" si="1"/>
        <v>14.28571429</v>
      </c>
      <c r="C5" s="56">
        <v>0.7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0" customHeight="1">
      <c r="A6" s="55"/>
      <c r="B6" s="56">
        <v>10.0</v>
      </c>
      <c r="C6" s="54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55"/>
      <c r="B7" s="54"/>
      <c r="C7" s="54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55"/>
      <c r="B8" s="54"/>
      <c r="C8" s="54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5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5"/>
      <c r="B10" s="54"/>
      <c r="C10" s="54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5"/>
      <c r="B11" s="54"/>
      <c r="C11" s="54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5"/>
      <c r="B12" s="54"/>
      <c r="C12" s="5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5"/>
      <c r="B13" s="54"/>
      <c r="C13" s="5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55"/>
      <c r="B14" s="54"/>
      <c r="C14" s="5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55"/>
      <c r="B15" s="54"/>
      <c r="C15" s="5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55"/>
      <c r="B16" s="54"/>
      <c r="C16" s="54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5"/>
      <c r="B17" s="54"/>
      <c r="C17" s="54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55"/>
      <c r="B18" s="54"/>
      <c r="C18" s="54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5"/>
      <c r="B19" s="54"/>
      <c r="C19" s="54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54"/>
      <c r="C20" s="54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/>
      <c r="B21" s="54"/>
      <c r="C21" s="54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4"/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/>
      <c r="B23" s="54"/>
      <c r="C23" s="54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/>
      <c r="B24" s="54"/>
      <c r="C24" s="54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/>
      <c r="B25" s="54"/>
      <c r="C25" s="54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4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4"/>
      <c r="C27" s="5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4"/>
      <c r="C28" s="54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4"/>
      <c r="C29" s="5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4"/>
      <c r="C30" s="54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4"/>
      <c r="C31" s="5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4"/>
      <c r="C32" s="54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4"/>
      <c r="C33" s="54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4"/>
      <c r="C34" s="54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4"/>
      <c r="C35" s="54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4"/>
      <c r="C36" s="54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4"/>
      <c r="C37" s="54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4"/>
      <c r="C38" s="54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4"/>
      <c r="C39" s="54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4"/>
      <c r="C40" s="54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4"/>
      <c r="C41" s="54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4"/>
      <c r="C42" s="54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4"/>
      <c r="C43" s="54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4"/>
      <c r="C44" s="54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4"/>
      <c r="C45" s="54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4"/>
      <c r="C46" s="54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4"/>
      <c r="C47" s="54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4"/>
      <c r="C48" s="54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4"/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4"/>
      <c r="C50" s="54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4"/>
      <c r="C51" s="54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4"/>
      <c r="C52" s="54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4"/>
      <c r="C53" s="54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4"/>
      <c r="C54" s="54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4"/>
      <c r="C55" s="54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4"/>
      <c r="C56" s="54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4"/>
      <c r="C57" s="54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4"/>
      <c r="C58" s="54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4"/>
      <c r="C59" s="54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4"/>
      <c r="C60" s="54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4"/>
      <c r="C61" s="54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4"/>
      <c r="C62" s="54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4"/>
      <c r="C63" s="54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4"/>
      <c r="C64" s="54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4"/>
      <c r="C65" s="54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4"/>
      <c r="C66" s="54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4"/>
      <c r="C67" s="54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4"/>
      <c r="C68" s="54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4"/>
      <c r="C69" s="54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4"/>
      <c r="C70" s="54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4"/>
      <c r="C71" s="54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4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4"/>
      <c r="C73" s="54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4"/>
      <c r="C74" s="54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4"/>
      <c r="C75" s="54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4"/>
      <c r="C76" s="54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4"/>
      <c r="C77" s="54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4"/>
      <c r="C78" s="54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4"/>
      <c r="C79" s="54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4"/>
      <c r="C80" s="54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4"/>
      <c r="C81" s="54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4"/>
      <c r="C82" s="54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4"/>
      <c r="C83" s="54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4"/>
      <c r="C84" s="54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4"/>
      <c r="C85" s="54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4"/>
      <c r="C86" s="54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4"/>
      <c r="C87" s="54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4"/>
      <c r="C88" s="54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4"/>
      <c r="C89" s="54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4"/>
      <c r="C90" s="54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4"/>
      <c r="C91" s="54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4"/>
      <c r="C92" s="54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4"/>
      <c r="C93" s="54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4"/>
      <c r="C94" s="54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4"/>
      <c r="C95" s="5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4"/>
      <c r="C96" s="54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4"/>
      <c r="C97" s="54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4"/>
      <c r="C98" s="54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4"/>
      <c r="C99" s="54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4"/>
      <c r="C100" s="54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4"/>
      <c r="C101" s="54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4"/>
      <c r="C102" s="54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4"/>
      <c r="C103" s="54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4"/>
      <c r="C104" s="54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4"/>
      <c r="C105" s="54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4"/>
      <c r="C106" s="54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4"/>
      <c r="C107" s="54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4"/>
      <c r="C108" s="54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4"/>
      <c r="C109" s="54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4"/>
      <c r="C110" s="54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4"/>
      <c r="C111" s="54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4"/>
      <c r="C112" s="54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4"/>
      <c r="C113" s="54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4"/>
      <c r="C114" s="54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4"/>
      <c r="C115" s="54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4"/>
      <c r="C116" s="54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4"/>
      <c r="C117" s="54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4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4"/>
      <c r="C119" s="54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4"/>
      <c r="C120" s="54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4"/>
      <c r="C121" s="54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4"/>
      <c r="C122" s="54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4"/>
      <c r="C123" s="54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4"/>
      <c r="C124" s="54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4"/>
      <c r="C125" s="54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4"/>
      <c r="C126" s="54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4"/>
      <c r="C127" s="54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4"/>
      <c r="C128" s="54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4"/>
      <c r="C129" s="54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4"/>
      <c r="C130" s="54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4"/>
      <c r="C131" s="54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4"/>
      <c r="C132" s="54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4"/>
      <c r="C133" s="54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4"/>
      <c r="C134" s="54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4"/>
      <c r="C135" s="54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4"/>
      <c r="C136" s="54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4"/>
      <c r="C137" s="54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4"/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4"/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4"/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4"/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4"/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4"/>
      <c r="C143" s="54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4"/>
      <c r="C144" s="54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4"/>
      <c r="C145" s="54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4"/>
      <c r="C146" s="54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4"/>
      <c r="C147" s="54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4"/>
      <c r="C148" s="54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4"/>
      <c r="C149" s="54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4"/>
      <c r="C150" s="54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4"/>
      <c r="C151" s="54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4"/>
      <c r="C152" s="54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4"/>
      <c r="C153" s="54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4"/>
      <c r="C154" s="54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4"/>
      <c r="C155" s="54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4"/>
      <c r="C156" s="54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4"/>
      <c r="C157" s="54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4"/>
      <c r="C158" s="54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4"/>
      <c r="C159" s="54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4"/>
      <c r="C160" s="54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4"/>
      <c r="C161" s="54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4"/>
      <c r="C162" s="54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4"/>
      <c r="C163" s="54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4"/>
      <c r="C164" s="54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4"/>
      <c r="C165" s="54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4"/>
      <c r="C166" s="54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4"/>
      <c r="C167" s="54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4"/>
      <c r="C168" s="54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4"/>
      <c r="C169" s="54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4"/>
      <c r="C170" s="54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4"/>
      <c r="C171" s="54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4"/>
      <c r="C172" s="54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4"/>
      <c r="C173" s="54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4"/>
      <c r="C174" s="54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4"/>
      <c r="C175" s="54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4"/>
      <c r="C176" s="54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4"/>
      <c r="C177" s="54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4"/>
      <c r="C178" s="54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4"/>
      <c r="C179" s="54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4"/>
      <c r="C180" s="54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4"/>
      <c r="C181" s="54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4"/>
      <c r="C182" s="54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4"/>
      <c r="C183" s="54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4"/>
      <c r="C184" s="54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4"/>
      <c r="C185" s="54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4"/>
      <c r="C186" s="54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4"/>
      <c r="C187" s="54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4"/>
      <c r="C188" s="54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4"/>
      <c r="C189" s="54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4"/>
      <c r="C190" s="54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4"/>
      <c r="C191" s="54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4"/>
      <c r="C192" s="54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4"/>
      <c r="C193" s="54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4"/>
      <c r="C194" s="54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4"/>
      <c r="C195" s="54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4"/>
      <c r="C196" s="54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4"/>
      <c r="C197" s="54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4"/>
      <c r="C198" s="54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4"/>
      <c r="C199" s="54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4"/>
      <c r="C200" s="54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4"/>
      <c r="C201" s="54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4"/>
      <c r="C202" s="54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4"/>
      <c r="C203" s="54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4"/>
      <c r="C204" s="54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4"/>
      <c r="C205" s="54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4"/>
      <c r="C206" s="54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4"/>
      <c r="C207" s="54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4"/>
      <c r="C208" s="54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4"/>
      <c r="C209" s="54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4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4"/>
      <c r="C211" s="54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4"/>
      <c r="C212" s="54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4"/>
      <c r="C213" s="54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4"/>
      <c r="C214" s="54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4"/>
      <c r="C215" s="54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4"/>
      <c r="C216" s="54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4"/>
      <c r="C217" s="54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4"/>
      <c r="C218" s="54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4"/>
      <c r="C219" s="54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4"/>
      <c r="C220" s="54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