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" sheetId="1" r:id="rId4"/>
    <sheet state="visible" name="Planejamento Inicial" sheetId="2" r:id="rId5"/>
    <sheet state="visible" name="Conhecendo os Clientes" sheetId="3" r:id="rId6"/>
    <sheet state="visible" name="(Fases) Grandes Marcos" sheetId="4" r:id="rId7"/>
    <sheet state="visible" name="(Etapas) Passo a Passo" sheetId="5" r:id="rId8"/>
    <sheet state="visible" name="Eventos da Agenda" sheetId="6" r:id="rId9"/>
    <sheet state="visible" name="Diagnóstico" sheetId="7" r:id="rId10"/>
    <sheet state="visible" name="Conteúdo" sheetId="8" r:id="rId11"/>
    <sheet state="hidden" name="controle" sheetId="9" r:id="rId12"/>
    <sheet state="hidden" name="model" sheetId="10" r:id="rId13"/>
  </sheets>
  <definedNames/>
  <calcPr/>
</workbook>
</file>

<file path=xl/sharedStrings.xml><?xml version="1.0" encoding="utf-8"?>
<sst xmlns="http://schemas.openxmlformats.org/spreadsheetml/2006/main" count="447" uniqueCount="134">
  <si>
    <t>Planejamento dos Produtos</t>
  </si>
  <si>
    <t>Menu</t>
  </si>
  <si>
    <t>Iniciando o planejamento do produto de Mentoria digital</t>
  </si>
  <si>
    <t>O processo funciona da seguinte forma:</t>
  </si>
  <si>
    <r>
      <rPr>
        <rFont val="Open Sans"/>
        <b/>
        <color rgb="FF44546A"/>
        <sz val="14.0"/>
      </rPr>
      <t xml:space="preserve">1. Planejamento Inicial - </t>
    </r>
    <r>
      <rPr>
        <rFont val="Open Sans"/>
        <color rgb="FF44546A"/>
        <sz val="14.0"/>
      </rPr>
      <t>Vamos escolher o melhor produto para começarmos à produtizar</t>
    </r>
  </si>
  <si>
    <r>
      <rPr>
        <rFont val="Open Sans"/>
        <b/>
        <color rgb="FF44546A"/>
        <sz val="14.0"/>
      </rPr>
      <t xml:space="preserve">2. Conhecendo os Clientes </t>
    </r>
    <r>
      <rPr>
        <rFont val="Open Sans"/>
        <color rgb="FF44546A"/>
        <sz val="14.0"/>
      </rPr>
      <t>- Vamos entender quem são as pessoas à que se destinam esse produto e com quem vamos nos comunicar</t>
    </r>
  </si>
  <si>
    <r>
      <rPr>
        <rFont val="Open Sans"/>
        <b/>
        <color rgb="FF44546A"/>
        <sz val="14.0"/>
      </rPr>
      <t xml:space="preserve">3. Grandes Marcos do Processo (Fases) - </t>
    </r>
    <r>
      <rPr>
        <rFont val="Open Sans"/>
        <color rgb="FF44546A"/>
        <sz val="14.0"/>
      </rPr>
      <t>Vamos arquitetar uma visão MACRO como as peças se encaixam em direção ao sucesso</t>
    </r>
  </si>
  <si>
    <r>
      <rPr>
        <rFont val="Open Sans"/>
        <b/>
        <color rgb="FF44546A"/>
        <sz val="14.0"/>
      </rPr>
      <t>4. Passo a Passo da Transformação (Etapas) -</t>
    </r>
    <r>
      <rPr>
        <rFont val="Open Sans"/>
        <color rgb="FF44546A"/>
        <sz val="14.0"/>
      </rPr>
      <t xml:space="preserve"> Indo a fundo em cada fase, com uma visão MICRO, quais são as atividades executadas passo a passo</t>
    </r>
  </si>
  <si>
    <r>
      <rPr>
        <rFont val="Open Sans"/>
        <b/>
        <color rgb="FF44546A"/>
        <sz val="14.0"/>
      </rPr>
      <t>5. Estabelecendo a os Eventos da Agenda -</t>
    </r>
    <r>
      <rPr>
        <rFont val="Open Sans"/>
        <color rgb="FF44546A"/>
        <sz val="14.0"/>
      </rPr>
      <t xml:space="preserve"> Dentro desse processo, quais são aqueles eventos exclusivos com o cliente que eu não posso abrir mão</t>
    </r>
  </si>
  <si>
    <r>
      <rPr>
        <rFont val="Open Sans"/>
        <b/>
        <color rgb="FF44546A"/>
        <sz val="14.0"/>
      </rPr>
      <t>6. Diagnóstico e Personalização -</t>
    </r>
    <r>
      <rPr>
        <rFont val="Open Sans"/>
        <color rgb="FF44546A"/>
        <sz val="14.0"/>
      </rPr>
      <t xml:space="preserve"> Quais foram as informações que eu precisarei obter de antemão para tomar as decisões ao longo do projeto</t>
    </r>
  </si>
  <si>
    <r>
      <rPr>
        <rFont val="Open Sans"/>
        <b/>
        <color rgb="FF44546A"/>
        <sz val="14.0"/>
      </rPr>
      <t>7. Como montar o Conteúdo -</t>
    </r>
    <r>
      <rPr>
        <rFont val="Open Sans"/>
        <color rgb="FF44546A"/>
        <sz val="14.0"/>
      </rPr>
      <t xml:space="preserve"> Definiremos como cada passo será transcrito para a plataforma, garantindo o sucesso do meu produto</t>
    </r>
  </si>
  <si>
    <t>Escolhendo por onde começar - Escolha um dos seus produtos para começar</t>
  </si>
  <si>
    <t>Produtos</t>
  </si>
  <si>
    <t>Qtd de clientes que já atendeu</t>
  </si>
  <si>
    <t>Projeção de venda nos próximos 6 meses (QTD)</t>
  </si>
  <si>
    <t>Ticket Médio</t>
  </si>
  <si>
    <t>Já faturado</t>
  </si>
  <si>
    <t>Potencial de Faturamento (6 meses)</t>
  </si>
  <si>
    <t>PROVÁVEL MELHOR OPÇÃO</t>
  </si>
  <si>
    <t>Dicas</t>
  </si>
  <si>
    <t>Implementação de CRM</t>
  </si>
  <si>
    <t>Perfil do Cliente</t>
  </si>
  <si>
    <t>Qual é o seu Perfil do Cliente Ideal?</t>
  </si>
  <si>
    <t xml:space="preserve">Perfil médio do interlocutor? </t>
  </si>
  <si>
    <t>Situação média do cliente ANTES da contratação:</t>
  </si>
  <si>
    <t>Situação futura do cliente DEPOIS da Mentoria (enriqueça a resposta):</t>
  </si>
  <si>
    <t xml:space="preserve">Descrevendo as Fases - Para atingir o resultado pretendido liste os principais pontos de transformação que seu cliente passará. </t>
  </si>
  <si>
    <t>FASES DO PROJETO</t>
  </si>
  <si>
    <t>Resultado Pretendido (Valor entregue ao cliente nessa fase)</t>
  </si>
  <si>
    <t>O que você faz durante esse processo que garante esse resultado?</t>
  </si>
  <si>
    <t>Fase1</t>
  </si>
  <si>
    <t>Boas Vindas Onboarding</t>
  </si>
  <si>
    <t>Garantir que está tudo pronto para começar o projeto com sucesso</t>
  </si>
  <si>
    <t>Executamos uma reunião de kickoff e estabeleço alguns acordos importantes para o processo.</t>
  </si>
  <si>
    <t>Fase2</t>
  </si>
  <si>
    <t>Fase3</t>
  </si>
  <si>
    <t>Fase4</t>
  </si>
  <si>
    <t>Fase5</t>
  </si>
  <si>
    <t>Fase6</t>
  </si>
  <si>
    <t>Fase7</t>
  </si>
  <si>
    <t>Fase8</t>
  </si>
  <si>
    <t>Fase9</t>
  </si>
  <si>
    <t>Fase10</t>
  </si>
  <si>
    <t>Fase11</t>
  </si>
  <si>
    <t>Fase12</t>
  </si>
  <si>
    <t>Fase13</t>
  </si>
  <si>
    <t>Fase14</t>
  </si>
  <si>
    <t>Fase15</t>
  </si>
  <si>
    <t>Fase16</t>
  </si>
  <si>
    <t>Fase17</t>
  </si>
  <si>
    <t>Fase18</t>
  </si>
  <si>
    <t>Fase19</t>
  </si>
  <si>
    <t>Fase20</t>
  </si>
  <si>
    <t>Fase21</t>
  </si>
  <si>
    <t>Fase22</t>
  </si>
  <si>
    <t>Fase23</t>
  </si>
  <si>
    <t>Fase24</t>
  </si>
  <si>
    <t>Fase25</t>
  </si>
  <si>
    <t>Fase26</t>
  </si>
  <si>
    <t>Fase27</t>
  </si>
  <si>
    <t>Fase28</t>
  </si>
  <si>
    <t>Fase29</t>
  </si>
  <si>
    <t>Fase30</t>
  </si>
  <si>
    <t>Fase31</t>
  </si>
  <si>
    <t>Fase32</t>
  </si>
  <si>
    <t>Fase33</t>
  </si>
  <si>
    <t>Fase34</t>
  </si>
  <si>
    <t>Fase35</t>
  </si>
  <si>
    <t>Descrevendo as Etapas -  Quais são os passos necessários para promover o trecho de transformação pretendido na fase</t>
  </si>
  <si>
    <t>ETAPA</t>
  </si>
  <si>
    <t>Transformação Pretendida
(que mudanças ocorreram ao final da etapa?)</t>
  </si>
  <si>
    <t>Necessita verificar?</t>
  </si>
  <si>
    <t>Documentos | Ferramentas utilizadas</t>
  </si>
  <si>
    <t>Pulos do Gato
(o que precisamos fazer para garantir que a transformação pretendida ocorra?)</t>
  </si>
  <si>
    <t>Conhecer os novos Estrategistas, o Serviço, a Plataforma e Evitar problemas futuros ao longo do processo</t>
  </si>
  <si>
    <t>Não é necessário verificar nada</t>
  </si>
  <si>
    <t>1- Cronograma passo a passo (PDF)</t>
  </si>
  <si>
    <t>Video de Dicas para melhor aproveitar que estabeleceça autoridade e reconhecimento do consultor</t>
  </si>
  <si>
    <t>Checklist Final de Fase</t>
  </si>
  <si>
    <t>Garantir que o cliente revisou o que foi feito até agora, e que o consultor analise todas as partes do processo até aqui.</t>
  </si>
  <si>
    <t>Estruturação de um planejamento estratégico completo para trazer visão interna e externa de longo prazo.</t>
  </si>
  <si>
    <t>Entregar material obrigatório para o cliente</t>
  </si>
  <si>
    <t>1-  Check List da Etapa (PDF)</t>
  </si>
  <si>
    <t>Preenchimento junto ao cliente para implicar nas principais dores do cliente</t>
  </si>
  <si>
    <t>Conhecer o Consultor, o Serviço e Evitar problemas futuros ao longo do processo</t>
  </si>
  <si>
    <t>A Plataforma</t>
  </si>
  <si>
    <t>Conhecer a Plataforma</t>
  </si>
  <si>
    <t>Manual da plataforma e do serviço (PDF)</t>
  </si>
  <si>
    <t>Definindo os eventos padrão de atenção exclusiva do consultor ao projeto</t>
  </si>
  <si>
    <t>NOME DOS EVENTOS PADRÃO DO PROJETO</t>
  </si>
  <si>
    <t>Objetivo do Evento</t>
  </si>
  <si>
    <t>Em quantos dias úteis, a partir do início do projeto, o evento precisa acontecer?</t>
  </si>
  <si>
    <t>Existe uma relação com alguma fase?</t>
  </si>
  <si>
    <t>Exemplo: Kickoff do Projeto</t>
  </si>
  <si>
    <t>Iniciar o cliente sobre os principais pontos que passaremos ao longo do cronograma e gerar uma experiência imersiva na plataforma</t>
  </si>
  <si>
    <t>Boas Vindas</t>
  </si>
  <si>
    <t>Como o diagnóstico prévio do cliente interfere na disposição das fases do seu cronograma?</t>
  </si>
  <si>
    <t>PERGUNTAS QUE PRECISAM SER RESPONDIDAS PARA COMPREENDER O PANORAMA DO CLIENTE.</t>
  </si>
  <si>
    <t>Quem precisa responder e registrar?</t>
  </si>
  <si>
    <t>Essa pergunta determina se alguma fase deverá ser excluída ou adicionada ao cronograma?</t>
  </si>
  <si>
    <t>Exemplo: Quantos colaboradores possui a sua empresa?</t>
  </si>
  <si>
    <t>O Cliente deve responder</t>
  </si>
  <si>
    <t>Exemplo: Não</t>
  </si>
  <si>
    <t>Exemplo2: Sua empresa possui um setor de desenvolvimento de Software?</t>
  </si>
  <si>
    <t>Exemplo2: Caso ele responda não, vamos excluir a fase sobre a análise do processo de desenvolvimento de software</t>
  </si>
  <si>
    <t>Exemplo3: O cliente está preparado para fazer o processo avançado?</t>
  </si>
  <si>
    <t>O Consultor deve responder</t>
  </si>
  <si>
    <t>Exemplo3: Caso ele responda não, a fase sobre o processo avançado não aparece para o cliente, e ao invés disso, aparece a fase do processo básico.</t>
  </si>
  <si>
    <t>(Apague os exemplos e preencha com a sua realidade)</t>
  </si>
  <si>
    <t>Como estruturar o conteúdo do seu serviço no processo de produtização? - Role até o final</t>
  </si>
  <si>
    <t>Veja o Exemplo</t>
  </si>
  <si>
    <t>Nossa Análise:</t>
  </si>
  <si>
    <t>Introdução - Mini Texto</t>
  </si>
  <si>
    <t>O primeiro passo para as boas práticas de gestão financeira é separar as contas da empresa, das contas de seus sócios. Nessa etapa, está disponibilizada uma planilha para que o(s) dono(s) possa(m) lançar suas despesas e definir o valor adequado de seu pró-labore.</t>
  </si>
  <si>
    <t>Veja como esse é um texto curto e objetivo focado no que será feito nessa etapa e qual o benefício da execução dessa atividade.</t>
  </si>
  <si>
    <t>Vamos validar as primeiras fases do se produto, e quando estiver tudo certo, vamos dar o próximo passo:</t>
  </si>
  <si>
    <t>Agora é a sua Vez, para cada etapa, crie os seguintes conteúdos:</t>
  </si>
  <si>
    <t>ETAPAS</t>
  </si>
  <si>
    <t>INTRODUÇÃO - Mini Texto</t>
  </si>
  <si>
    <t>Vídeo em destaque</t>
  </si>
  <si>
    <t>Atividade de transformação</t>
  </si>
  <si>
    <t>Texto em destaque / dicas / alertas</t>
  </si>
  <si>
    <t>Tópicos de Informações Complementares</t>
  </si>
  <si>
    <t>Já aprendeu a fazer? Que tal continuarmos esse processo dentro da plataforma?</t>
  </si>
  <si>
    <t>Não deixe de chamar o seu especialista para lhe ajudar!</t>
  </si>
  <si>
    <t>Operações</t>
  </si>
  <si>
    <t>Entregar material opcional como download</t>
  </si>
  <si>
    <t>Entregar material e solicitar devolução obrigatória</t>
  </si>
  <si>
    <t>Entregar material e solicitar devolução obrigatória com ok do especialista</t>
  </si>
  <si>
    <t>Solicitar ao cliente upload apenas</t>
  </si>
  <si>
    <t>Solicitar upload e ok do especialista</t>
  </si>
  <si>
    <t>Solicitar resposta simples do cliente</t>
  </si>
  <si>
    <t>Solicitar resposta simples do cliente com ok do especialista</t>
  </si>
  <si>
    <t>Assista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</si>
</sst>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$ -416]#,##0.00"/>
    <numFmt numFmtId="165" formatCode="_-&quot;R$&quot;\ * #,##0.00_-;\-&quot;R$&quot;\ * #,##0.00_-;_-&quot;R$&quot;\ * &quot;-&quot;??_-;_-@"/>
    <numFmt numFmtId="166" formatCode="_-* #,##0_-;\-* #,##0_-;_-* &quot;-&quot;??_-;_-@"/>
    <numFmt numFmtId="167" formatCode="0;\-0;"/>
  </numFmts>
  <fonts count="42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0"/>
      <name val="Calibri"/>
    </font>
    <font>
      <b/>
      <sz val="11.0"/>
      <color theme="0"/>
      <name val="Calibri"/>
    </font>
    <font>
      <sz val="14.0"/>
      <color rgb="FF44546A"/>
      <name val="Open Sans"/>
    </font>
    <font>
      <b/>
      <sz val="16.0"/>
      <color rgb="FF44546A"/>
      <name val="Open Sans"/>
    </font>
    <font/>
    <font>
      <u/>
      <sz val="10.0"/>
      <color theme="1"/>
      <name val="Calibri"/>
    </font>
    <font>
      <b/>
      <sz val="12.0"/>
      <color rgb="FF1F3864"/>
      <name val="Open Sans"/>
    </font>
    <font>
      <b/>
      <sz val="14.0"/>
      <color rgb="FF44546A"/>
      <name val="Open Sans"/>
    </font>
    <font>
      <b/>
      <sz val="12.0"/>
      <color rgb="FF44546A"/>
      <name val="Open Sans"/>
    </font>
    <font>
      <sz val="11.0"/>
      <color theme="0"/>
      <name val="Open Sans"/>
    </font>
    <font>
      <sz val="11.0"/>
      <color theme="1"/>
      <name val="Open Sans"/>
    </font>
    <font>
      <sz val="14.0"/>
      <color theme="1"/>
      <name val="Open Sans"/>
    </font>
    <font>
      <sz val="11.0"/>
      <color rgb="FF595959"/>
      <name val="Open Sans"/>
    </font>
    <font>
      <b/>
      <sz val="11.0"/>
      <color rgb="FF1F3864"/>
      <name val="Open Sans"/>
    </font>
    <font>
      <b/>
      <sz val="12.0"/>
      <color theme="1"/>
      <name val="Open Sans"/>
    </font>
    <font>
      <sz val="12.0"/>
      <color theme="1"/>
      <name val="Open Sans"/>
    </font>
    <font>
      <sz val="18.0"/>
      <color rgb="FF1F3864"/>
      <name val="Calibri"/>
    </font>
    <font>
      <u/>
      <sz val="10.0"/>
      <color theme="1"/>
      <name val="Calibri"/>
    </font>
    <font>
      <b/>
      <sz val="11.0"/>
      <color rgb="FF44546A"/>
      <name val="Open Sans"/>
    </font>
    <font>
      <sz val="10.0"/>
      <color theme="0"/>
      <name val="Open Sans"/>
    </font>
    <font>
      <sz val="9.0"/>
      <color theme="1"/>
      <name val="Open Sans"/>
    </font>
    <font>
      <sz val="10.0"/>
      <color rgb="FF1F3864"/>
      <name val="Open Sans"/>
    </font>
    <font>
      <sz val="10.0"/>
      <color theme="1"/>
      <name val="Open Sans"/>
    </font>
    <font>
      <u/>
      <sz val="10.0"/>
      <color theme="1"/>
      <name val="Calibri"/>
    </font>
    <font>
      <sz val="9.0"/>
      <color theme="0"/>
      <name val="Calibri"/>
    </font>
    <font>
      <sz val="11.0"/>
      <color rgb="FF1F3864"/>
      <name val="Open Sans"/>
    </font>
    <font>
      <sz val="10.0"/>
      <color rgb="FFFFFFFF"/>
      <name val="Open Sans"/>
    </font>
    <font>
      <sz val="9.0"/>
      <color rgb="FFFF0000"/>
      <name val="Open Sans"/>
    </font>
    <font>
      <b/>
      <sz val="9.0"/>
      <color rgb="FF44546A"/>
      <name val="Open Sans"/>
    </font>
    <font>
      <sz val="11.0"/>
      <color rgb="FF7F7F7F"/>
      <name val="Calibri"/>
    </font>
    <font>
      <b/>
      <sz val="10.0"/>
      <color rgb="FF44546A"/>
      <name val="Open Sans"/>
    </font>
    <font>
      <sz val="12.0"/>
      <color rgb="FF7F7F7F"/>
      <name val="Calibri"/>
    </font>
    <font>
      <sz val="10.0"/>
      <color rgb="FF7F7F7F"/>
      <name val="Calibri"/>
    </font>
    <font>
      <sz val="16.0"/>
      <color theme="0"/>
      <name val="Calibri"/>
    </font>
    <font>
      <sz val="14.0"/>
      <color theme="0"/>
      <name val="Open Sans"/>
    </font>
    <font>
      <u/>
      <sz val="11.0"/>
      <color theme="10"/>
      <name val="Calibri"/>
    </font>
    <font>
      <sz val="11.0"/>
      <color theme="0"/>
      <name val="Calibri"/>
    </font>
    <font>
      <b/>
      <sz val="11.0"/>
      <color theme="0"/>
      <name val="Open Sans"/>
    </font>
    <font>
      <sz val="8.0"/>
      <color theme="1"/>
      <name val="Open Sans"/>
    </font>
    <font>
      <sz val="16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6347F"/>
        <bgColor rgb="FF16347F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47">
    <border/>
    <border>
      <left/>
      <right/>
      <top/>
      <bottom/>
    </border>
    <border>
      <bottom style="thin">
        <color rgb="FF000000"/>
      </bottom>
    </border>
    <border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top style="hair">
        <color rgb="FF000000"/>
      </top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 vertical="center"/>
    </xf>
    <xf borderId="0" fillId="0" fontId="1" numFmtId="0" xfId="0" applyFont="1"/>
    <xf borderId="1" fillId="2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horizontal="center"/>
    </xf>
    <xf borderId="2" fillId="0" fontId="5" numFmtId="0" xfId="0" applyAlignment="1" applyBorder="1" applyFont="1">
      <alignment horizontal="left" shrinkToFit="0" vertical="center" wrapText="1"/>
    </xf>
    <xf borderId="2" fillId="0" fontId="6" numFmtId="0" xfId="0" applyBorder="1" applyFont="1"/>
    <xf borderId="2" fillId="0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right" vertical="center"/>
    </xf>
    <xf borderId="0" fillId="0" fontId="8" numFmtId="0" xfId="0" applyAlignment="1" applyFont="1">
      <alignment vertical="center"/>
    </xf>
    <xf borderId="3" fillId="0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0" fillId="0" fontId="11" numFmtId="0" xfId="0" applyFont="1"/>
    <xf borderId="3" fillId="0" fontId="4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12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5" fillId="0" fontId="13" numFmtId="164" xfId="0" applyAlignment="1" applyBorder="1" applyFont="1" applyNumberFormat="1">
      <alignment horizontal="center" vertical="center"/>
    </xf>
    <xf borderId="6" fillId="3" fontId="13" numFmtId="165" xfId="0" applyAlignment="1" applyBorder="1" applyFill="1" applyFont="1" applyNumberFormat="1">
      <alignment horizontal="center" vertical="center"/>
    </xf>
    <xf borderId="7" fillId="3" fontId="13" numFmtId="0" xfId="0" applyAlignment="1" applyBorder="1" applyFont="1">
      <alignment horizontal="center" vertical="center"/>
    </xf>
    <xf borderId="5" fillId="3" fontId="13" numFmtId="165" xfId="0" applyAlignment="1" applyBorder="1" applyFont="1" applyNumberFormat="1">
      <alignment horizontal="center" vertical="center"/>
    </xf>
    <xf borderId="8" fillId="3" fontId="13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10" fillId="3" fontId="13" numFmtId="165" xfId="0" applyAlignment="1" applyBorder="1" applyFont="1" applyNumberFormat="1">
      <alignment horizontal="center" vertical="center"/>
    </xf>
    <xf borderId="11" fillId="3" fontId="13" numFmtId="0" xfId="0" applyAlignment="1" applyBorder="1" applyFont="1">
      <alignment horizontal="center" vertical="center"/>
    </xf>
    <xf borderId="0" fillId="0" fontId="8" numFmtId="0" xfId="0" applyAlignment="1" applyFont="1">
      <alignment horizontal="left" vertical="center"/>
    </xf>
    <xf borderId="12" fillId="0" fontId="6" numFmtId="0" xfId="0" applyBorder="1" applyFont="1"/>
    <xf borderId="13" fillId="0" fontId="14" numFmtId="0" xfId="0" applyAlignment="1" applyBorder="1" applyFont="1">
      <alignment horizontal="left" shrinkToFit="0" vertical="center" wrapText="1"/>
    </xf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0" fillId="0" fontId="1" numFmtId="0" xfId="0" applyAlignment="1" applyFont="1">
      <alignment horizontal="left"/>
    </xf>
    <xf borderId="0" fillId="0" fontId="15" numFmtId="0" xfId="0" applyAlignment="1" applyFont="1">
      <alignment horizontal="left" vertical="center"/>
    </xf>
    <xf borderId="0" fillId="0" fontId="8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center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2" fillId="0" fontId="9" numFmtId="0" xfId="0" applyAlignment="1" applyBorder="1" applyFont="1">
      <alignment horizontal="center" shrinkToFit="0" vertical="center" wrapText="1"/>
    </xf>
    <xf borderId="18" fillId="4" fontId="9" numFmtId="0" xfId="0" applyAlignment="1" applyBorder="1" applyFill="1" applyFont="1">
      <alignment horizontal="center" shrinkToFit="0" vertical="center" wrapText="1"/>
    </xf>
    <xf borderId="19" fillId="4" fontId="18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21" fillId="4" fontId="1" numFmtId="0" xfId="0" applyAlignment="1" applyBorder="1" applyFont="1">
      <alignment horizontal="center" shrinkToFit="0" vertical="center" wrapText="1"/>
    </xf>
    <xf borderId="22" fillId="0" fontId="6" numFmtId="0" xfId="0" applyBorder="1" applyFont="1"/>
    <xf borderId="23" fillId="0" fontId="6" numFmtId="0" xfId="0" applyBorder="1" applyFont="1"/>
    <xf borderId="24" fillId="4" fontId="18" numFmtId="0" xfId="0" applyAlignment="1" applyBorder="1" applyFont="1">
      <alignment horizontal="center" shrinkToFit="0" vertical="center" wrapText="1"/>
    </xf>
    <xf borderId="25" fillId="0" fontId="6" numFmtId="0" xfId="0" applyBorder="1" applyFont="1"/>
    <xf borderId="26" fillId="4" fontId="1" numFmtId="0" xfId="0" applyAlignment="1" applyBorder="1" applyFont="1">
      <alignment horizontal="center" shrinkToFit="0" vertical="center" wrapText="1"/>
    </xf>
    <xf borderId="27" fillId="0" fontId="6" numFmtId="0" xfId="0" applyBorder="1" applyFont="1"/>
    <xf borderId="28" fillId="0" fontId="6" numFmtId="0" xfId="0" applyBorder="1" applyFont="1"/>
    <xf borderId="24" fillId="0" fontId="18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center" vertical="center"/>
    </xf>
    <xf borderId="29" fillId="0" fontId="18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31" fillId="0" fontId="1" numFmtId="0" xfId="0" applyAlignment="1" applyBorder="1" applyFont="1">
      <alignment horizontal="center" shrinkToFit="0" vertical="center" wrapText="1"/>
    </xf>
    <xf borderId="32" fillId="0" fontId="6" numFmtId="0" xfId="0" applyBorder="1" applyFont="1"/>
    <xf borderId="33" fillId="0" fontId="6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2" fillId="0" fontId="20" numFmtId="0" xfId="0" applyAlignment="1" applyBorder="1" applyFont="1">
      <alignment horizontal="center" shrinkToFit="0" vertical="center" wrapText="1"/>
    </xf>
    <xf borderId="3" fillId="0" fontId="20" numFmtId="0" xfId="0" applyAlignment="1" applyBorder="1" applyFont="1">
      <alignment horizontal="center" shrinkToFit="0" vertical="center" wrapText="1"/>
    </xf>
    <xf borderId="34" fillId="5" fontId="21" numFmtId="0" xfId="0" applyAlignment="1" applyBorder="1" applyFill="1" applyFont="1">
      <alignment horizontal="center" shrinkToFit="0" vertical="center" wrapText="1"/>
    </xf>
    <xf borderId="21" fillId="0" fontId="22" numFmtId="166" xfId="0" applyAlignment="1" applyBorder="1" applyFont="1" applyNumberFormat="1">
      <alignment horizontal="center" shrinkToFit="0" vertical="center" wrapText="1"/>
    </xf>
    <xf borderId="6" fillId="0" fontId="22" numFmtId="0" xfId="0" applyAlignment="1" applyBorder="1" applyFont="1">
      <alignment horizontal="center" shrinkToFit="0" vertical="center" wrapText="1"/>
    </xf>
    <xf borderId="6" fillId="0" fontId="22" numFmtId="166" xfId="0" applyAlignment="1" applyBorder="1" applyFont="1" applyNumberForma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26" fillId="0" fontId="22" numFmtId="166" xfId="0" applyAlignment="1" applyBorder="1" applyFont="1" applyNumberFormat="1">
      <alignment horizontal="center" shrinkToFit="0" vertical="center" wrapText="1"/>
    </xf>
    <xf borderId="5" fillId="0" fontId="22" numFmtId="0" xfId="0" applyAlignment="1" applyBorder="1" applyFont="1">
      <alignment horizontal="center" shrinkToFit="0" vertical="center" wrapText="1"/>
    </xf>
    <xf borderId="5" fillId="0" fontId="22" numFmtId="166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4" fillId="4" fontId="23" numFmtId="0" xfId="0" applyAlignment="1" applyBorder="1" applyFont="1">
      <alignment horizontal="center" shrinkToFit="0" vertical="center" wrapText="1"/>
    </xf>
    <xf borderId="26" fillId="4" fontId="22" numFmtId="166" xfId="0" applyAlignment="1" applyBorder="1" applyFont="1" applyNumberFormat="1">
      <alignment horizontal="center" shrinkToFit="0" vertical="center" wrapText="1"/>
    </xf>
    <xf borderId="5" fillId="4" fontId="22" numFmtId="0" xfId="0" applyAlignment="1" applyBorder="1" applyFont="1">
      <alignment horizontal="center" shrinkToFit="0" vertical="center" wrapText="1"/>
    </xf>
    <xf borderId="5" fillId="4" fontId="22" numFmtId="166" xfId="0" applyAlignment="1" applyBorder="1" applyFont="1" applyNumberFormat="1">
      <alignment horizontal="center" shrinkToFit="0" vertical="center" wrapText="1"/>
    </xf>
    <xf borderId="26" fillId="0" fontId="24" numFmtId="166" xfId="0" applyAlignment="1" applyBorder="1" applyFont="1" applyNumberFormat="1">
      <alignment horizontal="center" shrinkToFit="0" vertical="center" wrapText="1"/>
    </xf>
    <xf borderId="0" fillId="0" fontId="25" numFmtId="0" xfId="0" applyAlignment="1" applyFont="1">
      <alignment horizontal="center" shrinkToFit="0" vertical="center" wrapText="1"/>
    </xf>
    <xf borderId="9" fillId="0" fontId="23" numFmtId="0" xfId="0" applyAlignment="1" applyBorder="1" applyFont="1">
      <alignment horizontal="center" shrinkToFit="0" vertical="center" wrapText="1"/>
    </xf>
    <xf borderId="31" fillId="0" fontId="22" numFmtId="166" xfId="0" applyAlignment="1" applyBorder="1" applyFont="1" applyNumberFormat="1">
      <alignment horizontal="center" shrinkToFit="0" vertical="center" wrapText="1"/>
    </xf>
    <xf borderId="1" fillId="5" fontId="26" numFmtId="0" xfId="0" applyAlignment="1" applyBorder="1" applyFont="1">
      <alignment horizontal="center" shrinkToFit="0" vertical="center" wrapText="1"/>
    </xf>
    <xf borderId="35" fillId="2" fontId="26" numFmtId="0" xfId="0" applyAlignment="1" applyBorder="1" applyFont="1">
      <alignment horizontal="center" shrinkToFit="0" vertical="center" wrapText="1"/>
    </xf>
    <xf borderId="36" fillId="0" fontId="6" numFmtId="0" xfId="0" applyBorder="1" applyFont="1"/>
    <xf quotePrefix="1" borderId="26" fillId="0" fontId="22" numFmtId="166" xfId="0" applyAlignment="1" applyBorder="1" applyFont="1" applyNumberFormat="1">
      <alignment horizontal="center" shrinkToFit="0" vertical="center" wrapText="1"/>
    </xf>
    <xf borderId="28" fillId="0" fontId="22" numFmtId="166" xfId="0" applyAlignment="1" applyBorder="1" applyFont="1" applyNumberFormat="1">
      <alignment horizontal="center" shrinkToFit="0" vertical="center" wrapText="1"/>
    </xf>
    <xf borderId="37" fillId="0" fontId="1" numFmtId="0" xfId="0" applyAlignment="1" applyBorder="1" applyFont="1">
      <alignment horizontal="center" shrinkToFit="0" vertical="center" wrapText="1"/>
    </xf>
    <xf borderId="25" fillId="0" fontId="27" numFmtId="0" xfId="0" applyAlignment="1" applyBorder="1" applyFont="1">
      <alignment horizontal="center" shrinkToFit="0" vertical="center" wrapText="1"/>
    </xf>
    <xf borderId="1" fillId="6" fontId="27" numFmtId="166" xfId="0" applyAlignment="1" applyBorder="1" applyFill="1" applyFont="1" applyNumberFormat="1">
      <alignment horizontal="center" shrinkToFit="0" vertical="center" wrapText="1"/>
    </xf>
    <xf borderId="38" fillId="0" fontId="22" numFmtId="166" xfId="0" applyAlignment="1" applyBorder="1" applyFont="1" applyNumberFormat="1">
      <alignment horizontal="center" shrinkToFit="0" vertical="center" wrapText="1"/>
    </xf>
    <xf borderId="39" fillId="0" fontId="6" numFmtId="0" xfId="0" applyBorder="1" applyFont="1"/>
    <xf borderId="10" fillId="0" fontId="22" numFmtId="0" xfId="0" applyAlignment="1" applyBorder="1" applyFont="1">
      <alignment horizontal="center" shrinkToFit="0" vertical="center" wrapText="1"/>
    </xf>
    <xf borderId="10" fillId="0" fontId="22" numFmtId="166" xfId="0" applyAlignment="1" applyBorder="1" applyFont="1" applyNumberFormat="1">
      <alignment horizontal="center" shrinkToFit="0" vertical="center" wrapText="1"/>
    </xf>
    <xf borderId="34" fillId="5" fontId="28" numFmtId="0" xfId="0" applyAlignment="1" applyBorder="1" applyFont="1">
      <alignment horizontal="center" shrinkToFit="0" vertical="center" wrapText="1"/>
    </xf>
    <xf borderId="26" fillId="0" fontId="29" numFmtId="166" xfId="0" applyAlignment="1" applyBorder="1" applyFont="1" applyNumberFormat="1">
      <alignment horizontal="center" shrinkToFit="0" vertical="center" wrapText="1"/>
    </xf>
    <xf borderId="40" fillId="0" fontId="23" numFmtId="0" xfId="0" applyAlignment="1" applyBorder="1" applyFont="1">
      <alignment horizontal="center" shrinkToFit="0" vertical="center" wrapText="1"/>
    </xf>
    <xf borderId="41" fillId="0" fontId="22" numFmtId="166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27" fillId="0" fontId="27" numFmtId="166" xfId="0" applyAlignment="1" applyBorder="1" applyFont="1" applyNumberFormat="1">
      <alignment horizontal="center" shrinkToFit="0" vertical="center" wrapText="1"/>
    </xf>
    <xf borderId="0" fillId="0" fontId="1" numFmtId="166" xfId="0" applyAlignment="1" applyFont="1" applyNumberForma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22" numFmtId="166" xfId="0" applyAlignment="1" applyFont="1" applyNumberFormat="1">
      <alignment horizontal="center" shrinkToFit="0" vertical="center" wrapText="1"/>
    </xf>
    <xf borderId="41" fillId="0" fontId="22" numFmtId="0" xfId="0" applyAlignment="1" applyBorder="1" applyFont="1">
      <alignment horizontal="center" shrinkToFit="0" vertical="center" wrapText="1"/>
    </xf>
    <xf borderId="42" fillId="0" fontId="22" numFmtId="166" xfId="0" applyAlignment="1" applyBorder="1" applyFont="1" applyNumberFormat="1">
      <alignment horizontal="center" shrinkToFit="0" vertical="center" wrapText="1"/>
    </xf>
    <xf borderId="24" fillId="0" fontId="23" numFmtId="0" xfId="0" applyAlignment="1" applyBorder="1" applyFont="1">
      <alignment horizontal="center" shrinkToFit="0" vertical="center" wrapText="1"/>
    </xf>
    <xf borderId="2" fillId="0" fontId="30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19" fillId="0" fontId="31" numFmtId="0" xfId="0" applyAlignment="1" applyBorder="1" applyFont="1">
      <alignment horizontal="center" shrinkToFit="0" vertical="center" wrapText="1"/>
    </xf>
    <xf borderId="21" fillId="0" fontId="31" numFmtId="0" xfId="0" applyAlignment="1" applyBorder="1" applyFont="1">
      <alignment horizontal="center" shrinkToFit="0" vertical="center" wrapText="1"/>
    </xf>
    <xf borderId="6" fillId="0" fontId="31" numFmtId="0" xfId="0" applyAlignment="1" applyBorder="1" applyFont="1">
      <alignment horizontal="center" shrinkToFit="0" vertical="center" wrapText="1"/>
    </xf>
    <xf borderId="24" fillId="0" fontId="31" numFmtId="0" xfId="0" applyAlignment="1" applyBorder="1" applyFont="1">
      <alignment horizontal="center" shrinkToFit="0" vertical="center" wrapText="1"/>
    </xf>
    <xf borderId="26" fillId="0" fontId="31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29" fillId="0" fontId="31" numFmtId="0" xfId="0" applyAlignment="1" applyBorder="1" applyFont="1">
      <alignment horizontal="center" shrinkToFit="0" vertical="center" wrapText="1"/>
    </xf>
    <xf borderId="31" fillId="0" fontId="31" numFmtId="0" xfId="0" applyAlignment="1" applyBorder="1" applyFont="1">
      <alignment horizontal="center" shrinkToFit="0" vertical="center" wrapText="1"/>
    </xf>
    <xf borderId="10" fillId="0" fontId="31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shrinkToFit="0" vertical="center" wrapText="1"/>
    </xf>
    <xf borderId="19" fillId="0" fontId="33" numFmtId="0" xfId="0" applyAlignment="1" applyBorder="1" applyFont="1">
      <alignment horizontal="center" shrinkToFit="0" vertical="center" wrapText="1"/>
    </xf>
    <xf borderId="21" fillId="0" fontId="33" numFmtId="0" xfId="0" applyAlignment="1" applyBorder="1" applyFont="1">
      <alignment horizontal="center" shrinkToFit="0" vertical="center" wrapText="1"/>
    </xf>
    <xf borderId="21" fillId="0" fontId="34" numFmtId="0" xfId="0" applyAlignment="1" applyBorder="1" applyFont="1">
      <alignment horizontal="center" shrinkToFit="0" vertical="center" wrapText="1"/>
    </xf>
    <xf borderId="24" fillId="0" fontId="33" numFmtId="0" xfId="0" applyAlignment="1" applyBorder="1" applyFont="1">
      <alignment horizontal="center" shrinkToFit="0" vertical="center" wrapText="1"/>
    </xf>
    <xf borderId="26" fillId="0" fontId="33" numFmtId="0" xfId="0" applyAlignment="1" applyBorder="1" applyFont="1">
      <alignment horizontal="center" shrinkToFit="0" vertical="center" wrapText="1"/>
    </xf>
    <xf borderId="26" fillId="0" fontId="34" numFmtId="0" xfId="0" applyAlignment="1" applyBorder="1" applyFont="1">
      <alignment horizontal="center" shrinkToFit="0" vertical="center" wrapText="1"/>
    </xf>
    <xf borderId="29" fillId="0" fontId="33" numFmtId="0" xfId="0" applyAlignment="1" applyBorder="1" applyFont="1">
      <alignment horizontal="center" shrinkToFit="0" vertical="center" wrapText="1"/>
    </xf>
    <xf borderId="31" fillId="0" fontId="3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1" fillId="5" fontId="35" numFmtId="0" xfId="0" applyAlignment="1" applyBorder="1" applyFont="1">
      <alignment horizontal="center" vertical="center"/>
    </xf>
    <xf borderId="26" fillId="5" fontId="36" numFmtId="0" xfId="0" applyAlignment="1" applyBorder="1" applyFont="1">
      <alignment horizontal="center" vertical="center"/>
    </xf>
    <xf borderId="21" fillId="0" fontId="13" numFmtId="0" xfId="0" applyAlignment="1" applyBorder="1" applyFont="1">
      <alignment horizontal="left" shrinkToFit="0" vertical="center" wrapText="1"/>
    </xf>
    <xf borderId="21" fillId="0" fontId="17" numFmtId="166" xfId="0" applyAlignment="1" applyBorder="1" applyFont="1" applyNumberFormat="1">
      <alignment horizontal="center" shrinkToFit="0" vertical="center" wrapText="1"/>
    </xf>
    <xf borderId="43" fillId="0" fontId="1" numFmtId="0" xfId="0" applyAlignment="1" applyBorder="1" applyFont="1">
      <alignment horizontal="center" vertical="center"/>
    </xf>
    <xf borderId="43" fillId="0" fontId="6" numFmtId="0" xfId="0" applyBorder="1" applyFont="1"/>
    <xf borderId="26" fillId="5" fontId="36" numFmtId="0" xfId="0" applyAlignment="1" applyBorder="1" applyFont="1">
      <alignment horizontal="center" shrinkToFit="0" vertical="center" wrapText="1"/>
    </xf>
    <xf borderId="26" fillId="0" fontId="37" numFmtId="0" xfId="0" applyAlignment="1" applyBorder="1" applyFont="1">
      <alignment horizontal="left" shrinkToFit="0" vertical="center" wrapText="1"/>
    </xf>
    <xf borderId="26" fillId="0" fontId="17" numFmtId="166" xfId="0" applyAlignment="1" applyBorder="1" applyFont="1" applyNumberFormat="1">
      <alignment horizontal="center" shrinkToFit="0" vertical="center" wrapText="1"/>
    </xf>
    <xf borderId="35" fillId="5" fontId="38" numFmtId="0" xfId="0" applyAlignment="1" applyBorder="1" applyFont="1">
      <alignment horizontal="center" shrinkToFit="0" vertical="center" wrapText="1"/>
    </xf>
    <xf borderId="26" fillId="0" fontId="17" numFmtId="0" xfId="0" applyAlignment="1" applyBorder="1" applyFont="1">
      <alignment horizontal="left" shrinkToFit="0" vertical="center" wrapText="1"/>
    </xf>
    <xf borderId="31" fillId="0" fontId="17" numFmtId="0" xfId="0" applyAlignment="1" applyBorder="1" applyFont="1">
      <alignment horizontal="left" shrinkToFit="0" vertical="center" wrapText="1"/>
    </xf>
    <xf borderId="31" fillId="0" fontId="17" numFmtId="166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35" fillId="5" fontId="35" numFmtId="0" xfId="0" applyAlignment="1" applyBorder="1" applyFont="1">
      <alignment horizontal="center" vertical="center"/>
    </xf>
    <xf borderId="44" fillId="5" fontId="39" numFmtId="0" xfId="0" applyAlignment="1" applyBorder="1" applyFont="1">
      <alignment horizontal="center" shrinkToFit="0" vertical="center" wrapText="1"/>
    </xf>
    <xf borderId="45" fillId="0" fontId="6" numFmtId="0" xfId="0" applyBorder="1" applyFont="1"/>
    <xf borderId="18" fillId="5" fontId="39" numFmtId="0" xfId="0" applyAlignment="1" applyBorder="1" applyFont="1">
      <alignment horizontal="center" shrinkToFit="0" vertical="center" wrapText="1"/>
    </xf>
    <xf borderId="46" fillId="5" fontId="39" numFmtId="0" xfId="0" applyAlignment="1" applyBorder="1" applyFont="1">
      <alignment horizontal="center" shrinkToFit="0" vertical="center" wrapText="1"/>
    </xf>
    <xf borderId="34" fillId="5" fontId="11" numFmtId="167" xfId="0" applyAlignment="1" applyBorder="1" applyFont="1" applyNumberFormat="1">
      <alignment shrinkToFit="0" vertical="center" wrapText="1"/>
    </xf>
    <xf borderId="21" fillId="0" fontId="40" numFmtId="166" xfId="0" applyAlignment="1" applyBorder="1" applyFont="1" applyNumberFormat="1">
      <alignment horizontal="center" shrinkToFit="0" vertical="center" wrapText="1"/>
    </xf>
    <xf borderId="6" fillId="0" fontId="40" numFmtId="0" xfId="0" applyAlignment="1" applyBorder="1" applyFont="1">
      <alignment horizontal="center" shrinkToFit="0" vertical="center" wrapText="1"/>
    </xf>
    <xf borderId="6" fillId="0" fontId="40" numFmtId="166" xfId="0" applyAlignment="1" applyBorder="1" applyFont="1" applyNumberFormat="1">
      <alignment horizontal="center" shrinkToFit="0" vertical="center" wrapText="1"/>
    </xf>
    <xf borderId="23" fillId="0" fontId="40" numFmtId="166" xfId="0" applyAlignment="1" applyBorder="1" applyFont="1" applyNumberFormat="1">
      <alignment shrinkToFit="0" vertical="center" wrapText="1"/>
    </xf>
    <xf borderId="0" fillId="0" fontId="38" numFmtId="0" xfId="0" applyFont="1"/>
    <xf borderId="0" fillId="0" fontId="38" numFmtId="166" xfId="0" applyFont="1" applyNumberFormat="1"/>
    <xf borderId="4" fillId="5" fontId="11" numFmtId="167" xfId="0" applyAlignment="1" applyBorder="1" applyFont="1" applyNumberFormat="1">
      <alignment shrinkToFit="0" vertical="center" wrapText="1"/>
    </xf>
    <xf borderId="26" fillId="0" fontId="40" numFmtId="166" xfId="0" applyAlignment="1" applyBorder="1" applyFont="1" applyNumberFormat="1">
      <alignment horizontal="center" shrinkToFit="0" vertical="center" wrapText="1"/>
    </xf>
    <xf borderId="5" fillId="0" fontId="40" numFmtId="0" xfId="0" applyAlignment="1" applyBorder="1" applyFont="1">
      <alignment horizontal="center" shrinkToFit="0" vertical="center" wrapText="1"/>
    </xf>
    <xf borderId="5" fillId="0" fontId="40" numFmtId="166" xfId="0" applyAlignment="1" applyBorder="1" applyFont="1" applyNumberFormat="1">
      <alignment horizontal="center" shrinkToFit="0" vertical="center" wrapText="1"/>
    </xf>
    <xf borderId="28" fillId="0" fontId="40" numFmtId="166" xfId="0" applyAlignment="1" applyBorder="1" applyFont="1" applyNumberFormat="1">
      <alignment shrinkToFit="0" vertical="center" wrapText="1"/>
    </xf>
    <xf borderId="9" fillId="5" fontId="11" numFmtId="167" xfId="0" applyAlignment="1" applyBorder="1" applyFont="1" applyNumberFormat="1">
      <alignment shrinkToFit="0" vertical="center" wrapText="1"/>
    </xf>
    <xf borderId="31" fillId="0" fontId="40" numFmtId="166" xfId="0" applyAlignment="1" applyBorder="1" applyFont="1" applyNumberFormat="1">
      <alignment horizontal="center" shrinkToFit="0" vertical="center" wrapText="1"/>
    </xf>
    <xf borderId="10" fillId="0" fontId="40" numFmtId="0" xfId="0" applyAlignment="1" applyBorder="1" applyFont="1">
      <alignment horizontal="center" shrinkToFit="0" vertical="center" wrapText="1"/>
    </xf>
    <xf borderId="10" fillId="0" fontId="40" numFmtId="166" xfId="0" applyAlignment="1" applyBorder="1" applyFont="1" applyNumberFormat="1">
      <alignment horizontal="center" shrinkToFit="0" vertical="center" wrapText="1"/>
    </xf>
    <xf borderId="33" fillId="0" fontId="40" numFmtId="166" xfId="0" applyAlignment="1" applyBorder="1" applyFont="1" applyNumberFormat="1">
      <alignment shrinkToFit="0" vertical="center" wrapText="1"/>
    </xf>
    <xf borderId="7" fillId="0" fontId="40" numFmtId="166" xfId="0" applyAlignment="1" applyBorder="1" applyFont="1" applyNumberFormat="1">
      <alignment horizontal="center" shrinkToFit="0" vertical="center" wrapText="1"/>
    </xf>
    <xf borderId="8" fillId="0" fontId="40" numFmtId="166" xfId="0" applyAlignment="1" applyBorder="1" applyFont="1" applyNumberFormat="1">
      <alignment horizontal="center" shrinkToFit="0" vertical="center" wrapText="1"/>
    </xf>
    <xf borderId="11" fillId="0" fontId="40" numFmtId="166" xfId="0" applyAlignment="1" applyBorder="1" applyFont="1" applyNumberFormat="1">
      <alignment horizontal="center" shrinkToFit="0" vertical="center" wrapText="1"/>
    </xf>
    <xf borderId="26" fillId="0" fontId="4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1" Type="http://schemas.openxmlformats.org/officeDocument/2006/relationships/image" Target="../media/image4.png"/><Relationship Id="rId10" Type="http://schemas.openxmlformats.org/officeDocument/2006/relationships/image" Target="../media/image3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1" Type="http://schemas.openxmlformats.org/officeDocument/2006/relationships/image" Target="../media/image1.png"/><Relationship Id="rId10" Type="http://schemas.openxmlformats.org/officeDocument/2006/relationships/image" Target="../media/image5.png"/><Relationship Id="rId12" Type="http://schemas.openxmlformats.org/officeDocument/2006/relationships/image" Target="../media/image2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0" Type="http://schemas.openxmlformats.org/officeDocument/2006/relationships/image" Target="../media/image6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hyperlink" Target="#Conte&#250;do!A1" TargetMode="External"/><Relationship Id="rId2" Type="http://schemas.openxmlformats.org/officeDocument/2006/relationships/hyperlink" Target="#'Planejamento%20Inicial'!A1" TargetMode="External"/><Relationship Id="rId3" Type="http://schemas.openxmlformats.org/officeDocument/2006/relationships/hyperlink" Target="#Extras!A1" TargetMode="External"/><Relationship Id="rId4" Type="http://schemas.openxmlformats.org/officeDocument/2006/relationships/hyperlink" Target="#'(Fases)%20Grandes%20Marcos'!A1" TargetMode="External"/><Relationship Id="rId11" Type="http://schemas.openxmlformats.org/officeDocument/2006/relationships/image" Target="../media/image8.png"/><Relationship Id="rId10" Type="http://schemas.openxmlformats.org/officeDocument/2006/relationships/image" Target="../media/image9.png"/><Relationship Id="rId12" Type="http://schemas.openxmlformats.org/officeDocument/2006/relationships/image" Target="../media/image7.png"/><Relationship Id="rId9" Type="http://schemas.openxmlformats.org/officeDocument/2006/relationships/hyperlink" Target="#Capa!A1" TargetMode="External"/><Relationship Id="rId5" Type="http://schemas.openxmlformats.org/officeDocument/2006/relationships/hyperlink" Target="#'(Etapas)%20Passo%20a%20Passo'!A1" TargetMode="External"/><Relationship Id="rId6" Type="http://schemas.openxmlformats.org/officeDocument/2006/relationships/hyperlink" Target="#'Eventos%20da%20Agenda'!A1" TargetMode="External"/><Relationship Id="rId7" Type="http://schemas.openxmlformats.org/officeDocument/2006/relationships/hyperlink" Target="#Diagn&#243;stico!A1" TargetMode="External"/><Relationship Id="rId8" Type="http://schemas.openxmlformats.org/officeDocument/2006/relationships/hyperlink" Target="#'Conhecendo%20os%20Clientes'!A1" TargetMode="Externa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12</xdr:row>
      <xdr:rowOff>200025</xdr:rowOff>
    </xdr:from>
    <xdr:ext cx="1743075" cy="933450"/>
    <xdr:sp>
      <xdr:nvSpPr>
        <xdr:cNvPr id="3" name="Shape 3"/>
        <xdr:cNvSpPr txBox="1"/>
      </xdr:nvSpPr>
      <xdr:spPr>
        <a:xfrm>
          <a:off x="4479225" y="3318038"/>
          <a:ext cx="1733550" cy="9239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b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</a:b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Inserir o produto na plataforma</a:t>
          </a:r>
          <a:endParaRPr sz="1400"/>
        </a:p>
      </xdr:txBody>
    </xdr:sp>
    <xdr:clientData fLocksWithSheet="0"/>
  </xdr:oneCellAnchor>
  <xdr:oneCellAnchor>
    <xdr:from>
      <xdr:col>0</xdr:col>
      <xdr:colOff>-542925</xdr:colOff>
      <xdr:row>2</xdr:row>
      <xdr:rowOff>-438150</xdr:rowOff>
    </xdr:from>
    <xdr:ext cx="3714750" cy="3714750"/>
    <xdr:sp>
      <xdr:nvSpPr>
        <xdr:cNvPr id="4" name="Shape 4"/>
        <xdr:cNvSpPr/>
      </xdr:nvSpPr>
      <xdr:spPr>
        <a:xfrm rot="2874103">
          <a:off x="4036313" y="2470313"/>
          <a:ext cx="2619375" cy="2619375"/>
        </a:xfrm>
        <a:prstGeom prst="upArrow">
          <a:avLst>
            <a:gd fmla="val 50000" name="adj1"/>
            <a:gd fmla="val 50000" name="adj2"/>
          </a:avLst>
        </a:prstGeom>
        <a:solidFill>
          <a:srgbClr val="FFFFFF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</xdr:col>
      <xdr:colOff>600075</xdr:colOff>
      <xdr:row>1</xdr:row>
      <xdr:rowOff>676275</xdr:rowOff>
    </xdr:from>
    <xdr:ext cx="2171700" cy="323850"/>
    <xdr:sp>
      <xdr:nvSpPr>
        <xdr:cNvPr id="5" name="Shape 5"/>
        <xdr:cNvSpPr txBox="1"/>
      </xdr:nvSpPr>
      <xdr:spPr>
        <a:xfrm>
          <a:off x="4264913" y="3622838"/>
          <a:ext cx="2162175" cy="314325"/>
        </a:xfrm>
        <a:prstGeom prst="rect">
          <a:avLst/>
        </a:prstGeom>
        <a:solidFill>
          <a:srgbClr val="D5DBE5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2"/>
            </a:buClr>
            <a:buSzPts val="1100"/>
            <a:buFont typeface="Calibri"/>
            <a:buNone/>
          </a:pPr>
          <a:r>
            <a:rPr lang="en-US" sz="1100">
              <a:solidFill>
                <a:schemeClr val="dk2"/>
              </a:solidFill>
              <a:latin typeface="Calibri"/>
              <a:ea typeface="Calibri"/>
              <a:cs typeface="Calibri"/>
              <a:sym typeface="Calibri"/>
            </a:rPr>
            <a:t>Quando estiver pronto, clique aqui</a:t>
          </a:r>
          <a:endParaRPr sz="1100">
            <a:solidFill>
              <a:schemeClr val="dk2"/>
            </a:solidFill>
          </a:endParaRPr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23875"/>
    <xdr:sp>
      <xdr:nvSpPr>
        <xdr:cNvPr id="6" name="Shape 6">
          <a:hlinkClick r:id="rId1"/>
        </xdr:cNvPr>
        <xdr:cNvSpPr txBox="1"/>
      </xdr:nvSpPr>
      <xdr:spPr>
        <a:xfrm>
          <a:off x="4560188" y="3522825"/>
          <a:ext cx="157162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1647825</xdr:colOff>
      <xdr:row>1</xdr:row>
      <xdr:rowOff>0</xdr:rowOff>
    </xdr:from>
    <xdr:ext cx="1590675" cy="514350"/>
    <xdr:sp>
      <xdr:nvSpPr>
        <xdr:cNvPr id="7" name="Shape 7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71625" cy="523875"/>
    <xdr:sp>
      <xdr:nvSpPr>
        <xdr:cNvPr id="8" name="Shape 8">
          <a:hlinkClick r:id="rId3"/>
        </xdr:cNvPr>
        <xdr:cNvSpPr txBox="1"/>
      </xdr:nvSpPr>
      <xdr:spPr>
        <a:xfrm>
          <a:off x="4564950" y="3522825"/>
          <a:ext cx="156210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9" name="Shape 9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581025</xdr:colOff>
      <xdr:row>1</xdr:row>
      <xdr:rowOff>0</xdr:rowOff>
    </xdr:from>
    <xdr:ext cx="1590675" cy="514350"/>
    <xdr:sp>
      <xdr:nvSpPr>
        <xdr:cNvPr id="10" name="Shape 10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11" name="Shape 11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23875"/>
    <xdr:sp>
      <xdr:nvSpPr>
        <xdr:cNvPr id="12" name="Shape 12">
          <a:hlinkClick r:id="rId7"/>
        </xdr:cNvPr>
        <xdr:cNvSpPr txBox="1"/>
      </xdr:nvSpPr>
      <xdr:spPr>
        <a:xfrm>
          <a:off x="4584000" y="3522825"/>
          <a:ext cx="152400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13" name="Shape 13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14" name="Shape 14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152650" cy="97155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</xdr:colOff>
      <xdr:row>12</xdr:row>
      <xdr:rowOff>209550</xdr:rowOff>
    </xdr:from>
    <xdr:ext cx="1685925" cy="1400175"/>
    <xdr:pic>
      <xdr:nvPicPr>
        <xdr:cNvPr id="0" name="image4.png" title="Imagem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2752725" cy="1038225"/>
    <xdr:sp>
      <xdr:nvSpPr>
        <xdr:cNvPr id="15" name="Shape 15"/>
        <xdr:cNvSpPr/>
      </xdr:nvSpPr>
      <xdr:spPr>
        <a:xfrm>
          <a:off x="3974400" y="3265650"/>
          <a:ext cx="2743200" cy="10287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Liste todos os produtos que você já possui em sua empresa e escolha o melhor! A fruta mais vistosa do pé! Não cometa o erro de testar um produto se você já tem um carro chefe!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8</xdr:row>
      <xdr:rowOff>0</xdr:rowOff>
    </xdr:from>
    <xdr:ext cx="2752725" cy="1038225"/>
    <xdr:sp>
      <xdr:nvSpPr>
        <xdr:cNvPr id="16" name="Shape 16"/>
        <xdr:cNvSpPr/>
      </xdr:nvSpPr>
      <xdr:spPr>
        <a:xfrm>
          <a:off x="3974400" y="3265650"/>
          <a:ext cx="2743200" cy="1028700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Liste todos os produtos que você já possui em sua empresa e escolha o melhor! A fruta mais vistosa do pé! Não cometa o erro de testar um produto se você já tem um carro chefe!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12</xdr:row>
      <xdr:rowOff>0</xdr:rowOff>
    </xdr:from>
    <xdr:ext cx="2752725" cy="971550"/>
    <xdr:sp>
      <xdr:nvSpPr>
        <xdr:cNvPr id="17" name="Shape 17"/>
        <xdr:cNvSpPr/>
      </xdr:nvSpPr>
      <xdr:spPr>
        <a:xfrm>
          <a:off x="3974400" y="3298988"/>
          <a:ext cx="2743200" cy="962025"/>
        </a:xfrm>
        <a:prstGeom prst="rect">
          <a:avLst/>
        </a:prstGeom>
        <a:solidFill>
          <a:srgbClr val="FF000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Voce deseja escalar, então é sempre bom para atrair mais clientes, que o seu produto tenha um nome interessante e um conteúdo nichado, portanto uma dica vamos deixar no vídeo de como fazer isso!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18" name="Shape 18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19" name="Shape 19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20" name="Shape 20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21" name="Shape 21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22" name="Shape 22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23" name="Shape 23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24" name="Shape 24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25" name="Shape 25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26" name="Shape 26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11</xdr:row>
      <xdr:rowOff>47625</xdr:rowOff>
    </xdr:from>
    <xdr:ext cx="361950" cy="266700"/>
    <xdr:pic>
      <xdr:nvPicPr>
        <xdr:cNvPr descr="Brand Resources - YouTube" id="0" name="image5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0</xdr:row>
      <xdr:rowOff>133350</xdr:rowOff>
    </xdr:from>
    <xdr:ext cx="1647825" cy="409575"/>
    <xdr:pic>
      <xdr:nvPicPr>
        <xdr:cNvPr id="0" name="image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2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161925</xdr:rowOff>
    </xdr:from>
    <xdr:ext cx="2743200" cy="1009650"/>
    <xdr:sp>
      <xdr:nvSpPr>
        <xdr:cNvPr id="27" name="Shape 27"/>
        <xdr:cNvSpPr/>
      </xdr:nvSpPr>
      <xdr:spPr>
        <a:xfrm>
          <a:off x="3979163" y="3279938"/>
          <a:ext cx="2733675" cy="100012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Descreva com clareza o perfil dos clientes que QUER ter</a:t>
          </a:r>
          <a:endParaRPr sz="1100"/>
        </a:p>
      </xdr:txBody>
    </xdr:sp>
    <xdr:clientData fLocksWithSheet="0"/>
  </xdr:oneCellAnchor>
  <xdr:oneCellAnchor>
    <xdr:from>
      <xdr:col>10</xdr:col>
      <xdr:colOff>0</xdr:colOff>
      <xdr:row>7</xdr:row>
      <xdr:rowOff>219075</xdr:rowOff>
    </xdr:from>
    <xdr:ext cx="2752725" cy="1009650"/>
    <xdr:sp>
      <xdr:nvSpPr>
        <xdr:cNvPr id="28" name="Shape 28"/>
        <xdr:cNvSpPr/>
      </xdr:nvSpPr>
      <xdr:spPr>
        <a:xfrm>
          <a:off x="3974400" y="3279938"/>
          <a:ext cx="2743200" cy="1000125"/>
        </a:xfrm>
        <a:prstGeom prst="rect">
          <a:avLst/>
        </a:prstGeom>
        <a:solidFill>
          <a:schemeClr val="accent1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Descreva com base em sua experiêcnia qual o perfil comportamental médio dos interlocutores para este tipo de consultoria. Inclua tbm dados sobre escolaridade, conhecimento de tecnologia, facilidade de comunicação, etc.)</a:t>
          </a:r>
          <a:endParaRPr sz="1100"/>
        </a:p>
      </xdr:txBody>
    </xdr:sp>
    <xdr:clientData fLocksWithSheet="0"/>
  </xdr:oneCellAnchor>
  <xdr:oneCellAnchor>
    <xdr:from>
      <xdr:col>8</xdr:col>
      <xdr:colOff>428625</xdr:colOff>
      <xdr:row>1</xdr:row>
      <xdr:rowOff>0</xdr:rowOff>
    </xdr:from>
    <xdr:ext cx="1581150" cy="533400"/>
    <xdr:sp>
      <xdr:nvSpPr>
        <xdr:cNvPr id="29" name="Shape 29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30" name="Shape 30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9</xdr:col>
      <xdr:colOff>85725</xdr:colOff>
      <xdr:row>1</xdr:row>
      <xdr:rowOff>0</xdr:rowOff>
    </xdr:from>
    <xdr:ext cx="1838325" cy="523875"/>
    <xdr:sp>
      <xdr:nvSpPr>
        <xdr:cNvPr id="31" name="Shape 31">
          <a:hlinkClick r:id="rId3"/>
        </xdr:cNvPr>
        <xdr:cNvSpPr txBox="1"/>
      </xdr:nvSpPr>
      <xdr:spPr>
        <a:xfrm>
          <a:off x="4431600" y="3522825"/>
          <a:ext cx="182880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704975" cy="514350"/>
    <xdr:sp>
      <xdr:nvSpPr>
        <xdr:cNvPr id="32" name="Shape 32">
          <a:hlinkClick r:id="rId4"/>
        </xdr:cNvPr>
        <xdr:cNvSpPr txBox="1"/>
      </xdr:nvSpPr>
      <xdr:spPr>
        <a:xfrm>
          <a:off x="4498275" y="3527588"/>
          <a:ext cx="16954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1752600</xdr:colOff>
      <xdr:row>1</xdr:row>
      <xdr:rowOff>0</xdr:rowOff>
    </xdr:from>
    <xdr:ext cx="1590675" cy="514350"/>
    <xdr:sp>
      <xdr:nvSpPr>
        <xdr:cNvPr id="33" name="Shape 33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1409700</xdr:colOff>
      <xdr:row>1</xdr:row>
      <xdr:rowOff>0</xdr:rowOff>
    </xdr:from>
    <xdr:ext cx="1362075" cy="514350"/>
    <xdr:sp>
      <xdr:nvSpPr>
        <xdr:cNvPr id="34" name="Shape 34">
          <a:hlinkClick r:id="rId6"/>
        </xdr:cNvPr>
        <xdr:cNvSpPr txBox="1"/>
      </xdr:nvSpPr>
      <xdr:spPr>
        <a:xfrm>
          <a:off x="4669725" y="3527588"/>
          <a:ext cx="13525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828675</xdr:colOff>
      <xdr:row>1</xdr:row>
      <xdr:rowOff>0</xdr:rowOff>
    </xdr:from>
    <xdr:ext cx="1533525" cy="533400"/>
    <xdr:sp>
      <xdr:nvSpPr>
        <xdr:cNvPr id="35" name="Shape 35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36" name="Shape 36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37" name="Shape 37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52550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409950" cy="1362075"/>
    <xdr:sp>
      <xdr:nvSpPr>
        <xdr:cNvPr id="38" name="Shape 38"/>
        <xdr:cNvSpPr/>
      </xdr:nvSpPr>
      <xdr:spPr>
        <a:xfrm>
          <a:off x="3645788" y="3103725"/>
          <a:ext cx="3400425" cy="135255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Chamamos de Fases cada um dos principais marcos da transformação que acontecem ao longo do processo consultivo. Descreva cada uma dessas Fases, do início até o fim do projeto. De todo o serviço, em ordem, quais são os nomes das grandes entregas que são feitas ao longo do processo?</a:t>
          </a:r>
          <a:endParaRPr sz="1400"/>
        </a:p>
      </xdr:txBody>
    </xdr:sp>
    <xdr:clientData fLocksWithSheet="0"/>
  </xdr:oneCellAnchor>
  <xdr:oneCellAnchor>
    <xdr:from>
      <xdr:col>9</xdr:col>
      <xdr:colOff>590550</xdr:colOff>
      <xdr:row>7</xdr:row>
      <xdr:rowOff>295275</xdr:rowOff>
    </xdr:from>
    <xdr:ext cx="3333750" cy="1228725"/>
    <xdr:sp>
      <xdr:nvSpPr>
        <xdr:cNvPr id="39" name="Shape 39"/>
        <xdr:cNvSpPr/>
      </xdr:nvSpPr>
      <xdr:spPr>
        <a:xfrm>
          <a:off x="3683888" y="3170400"/>
          <a:ext cx="3324225" cy="121920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 primeiro passo é ter clareza em qual é o objetivo final desse projeto? Qual é a transformação que vamos levar o cliente? Qual é o ponto A e para qual ponto B vamos guiá-lo</a:t>
          </a:r>
          <a:endParaRPr sz="1400"/>
        </a:p>
      </xdr:txBody>
    </xdr:sp>
    <xdr:clientData fLocksWithSheet="0"/>
  </xdr:oneCellAnchor>
  <xdr:oneCellAnchor>
    <xdr:from>
      <xdr:col>9</xdr:col>
      <xdr:colOff>600075</xdr:colOff>
      <xdr:row>9</xdr:row>
      <xdr:rowOff>438150</xdr:rowOff>
    </xdr:from>
    <xdr:ext cx="3333750" cy="1371600"/>
    <xdr:sp>
      <xdr:nvSpPr>
        <xdr:cNvPr id="40" name="Shape 40"/>
        <xdr:cNvSpPr/>
      </xdr:nvSpPr>
      <xdr:spPr>
        <a:xfrm>
          <a:off x="3683888" y="3098963"/>
          <a:ext cx="3324225" cy="136207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Divida esse caminho percorrido preenchendo da coluna Fases. Pense em todo o cronograma do seu serviço dentro de uma empresa. Quais são os temas nos quais você trata com o seu cliente, do início ao até o final do projeto. </a:t>
          </a:r>
          <a:endParaRPr b="0" i="1"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600075</xdr:colOff>
      <xdr:row>14</xdr:row>
      <xdr:rowOff>276225</xdr:rowOff>
    </xdr:from>
    <xdr:ext cx="3314700" cy="771525"/>
    <xdr:sp>
      <xdr:nvSpPr>
        <xdr:cNvPr id="41" name="Shape 41"/>
        <xdr:cNvSpPr/>
      </xdr:nvSpPr>
      <xdr:spPr>
        <a:xfrm>
          <a:off x="3693413" y="3399000"/>
          <a:ext cx="3305175" cy="76200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Descreva: Quais são os valores entregues percebido pelo cliente ao final dessa fase?</a:t>
          </a:r>
          <a:endParaRPr sz="1400"/>
        </a:p>
      </xdr:txBody>
    </xdr:sp>
    <xdr:clientData fLocksWithSheet="0"/>
  </xdr:oneCellAnchor>
  <xdr:oneCellAnchor>
    <xdr:from>
      <xdr:col>9</xdr:col>
      <xdr:colOff>590550</xdr:colOff>
      <xdr:row>12</xdr:row>
      <xdr:rowOff>238125</xdr:rowOff>
    </xdr:from>
    <xdr:ext cx="3333750" cy="1057275"/>
    <xdr:sp>
      <xdr:nvSpPr>
        <xdr:cNvPr id="42" name="Shape 42"/>
        <xdr:cNvSpPr/>
      </xdr:nvSpPr>
      <xdr:spPr>
        <a:xfrm>
          <a:off x="3683888" y="3256125"/>
          <a:ext cx="3324225" cy="104775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Nos Pulos do Gato, quais são os pontos críticos na sua performance de entrega que  garantem o sucesso daquela fase do projeto?</a:t>
          </a:r>
          <a:endParaRPr sz="14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43" name="Shape 43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44" name="Shape 44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45" name="Shape 45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46" name="Shape 46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47" name="Shape 47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48" name="Shape 48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49" name="Shape 49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50" name="Shape 50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51" name="Shape 51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52550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2743200" cy="1381125"/>
    <xdr:sp>
      <xdr:nvSpPr>
        <xdr:cNvPr id="52" name="Shape 52"/>
        <xdr:cNvSpPr/>
      </xdr:nvSpPr>
      <xdr:spPr>
        <a:xfrm>
          <a:off x="3979163" y="3094200"/>
          <a:ext cx="2733675" cy="1371600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0" i="0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 a Fases prontas, é fundamental descrever quais são as Atividades que serão realizadas, em cada Etapa do seu produto. O seu cliente possui afazeres que deverão lhe entregar informações cruciais para o desenvolvimento das atividades. É fundamental ter uma perspetiva do que deverá ser feito por ele.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1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1"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1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466725</xdr:colOff>
      <xdr:row>1</xdr:row>
      <xdr:rowOff>0</xdr:rowOff>
    </xdr:from>
    <xdr:ext cx="1552575" cy="533400"/>
    <xdr:sp>
      <xdr:nvSpPr>
        <xdr:cNvPr id="53" name="Shape 53">
          <a:hlinkClick r:id="rId1"/>
        </xdr:cNvPr>
        <xdr:cNvSpPr txBox="1"/>
      </xdr:nvSpPr>
      <xdr:spPr>
        <a:xfrm>
          <a:off x="4574475" y="3518063"/>
          <a:ext cx="154305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54" name="Shape 54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10</xdr:col>
      <xdr:colOff>66675</xdr:colOff>
      <xdr:row>1</xdr:row>
      <xdr:rowOff>0</xdr:rowOff>
    </xdr:from>
    <xdr:ext cx="1552575" cy="523875"/>
    <xdr:sp>
      <xdr:nvSpPr>
        <xdr:cNvPr id="55" name="Shape 55">
          <a:hlinkClick r:id="rId3"/>
        </xdr:cNvPr>
        <xdr:cNvSpPr txBox="1"/>
      </xdr:nvSpPr>
      <xdr:spPr>
        <a:xfrm>
          <a:off x="4574475" y="3522825"/>
          <a:ext cx="154305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1343025</xdr:colOff>
      <xdr:row>1</xdr:row>
      <xdr:rowOff>0</xdr:rowOff>
    </xdr:from>
    <xdr:ext cx="1524000" cy="514350"/>
    <xdr:sp>
      <xdr:nvSpPr>
        <xdr:cNvPr id="56" name="Shape 56">
          <a:hlinkClick r:id="rId4"/>
        </xdr:cNvPr>
        <xdr:cNvSpPr txBox="1"/>
      </xdr:nvSpPr>
      <xdr:spPr>
        <a:xfrm>
          <a:off x="4588763" y="3527588"/>
          <a:ext cx="15144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285750</xdr:colOff>
      <xdr:row>1</xdr:row>
      <xdr:rowOff>0</xdr:rowOff>
    </xdr:from>
    <xdr:ext cx="1638300" cy="514350"/>
    <xdr:sp>
      <xdr:nvSpPr>
        <xdr:cNvPr id="57" name="Shape 57">
          <a:hlinkClick r:id="rId5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0</xdr:colOff>
      <xdr:row>1</xdr:row>
      <xdr:rowOff>0</xdr:rowOff>
    </xdr:from>
    <xdr:ext cx="1685925" cy="514350"/>
    <xdr:sp>
      <xdr:nvSpPr>
        <xdr:cNvPr id="58" name="Shape 58">
          <a:hlinkClick r:id="rId6"/>
        </xdr:cNvPr>
        <xdr:cNvSpPr txBox="1"/>
      </xdr:nvSpPr>
      <xdr:spPr>
        <a:xfrm>
          <a:off x="4507800" y="3527588"/>
          <a:ext cx="16764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295275</xdr:colOff>
      <xdr:row>1</xdr:row>
      <xdr:rowOff>0</xdr:rowOff>
    </xdr:from>
    <xdr:ext cx="1543050" cy="533400"/>
    <xdr:sp>
      <xdr:nvSpPr>
        <xdr:cNvPr id="59" name="Shape 59">
          <a:hlinkClick r:id="rId7"/>
        </xdr:cNvPr>
        <xdr:cNvSpPr txBox="1"/>
      </xdr:nvSpPr>
      <xdr:spPr>
        <a:xfrm>
          <a:off x="4579238" y="3518063"/>
          <a:ext cx="15335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60" name="Shape 60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61" name="Shape 61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409950" cy="1314450"/>
    <xdr:sp>
      <xdr:nvSpPr>
        <xdr:cNvPr id="62" name="Shape 62"/>
        <xdr:cNvSpPr/>
      </xdr:nvSpPr>
      <xdr:spPr>
        <a:xfrm>
          <a:off x="3645788" y="3127538"/>
          <a:ext cx="3400425" cy="130492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Dentro da plataforma é possíve prever também e automatizar uma série de eventos que ficarão previstos para acontecer ao longo do projeto. O consultor poderá confirmar, executar ou cancelá-lo.</a:t>
          </a:r>
          <a:endParaRPr sz="1400"/>
        </a:p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b="0" i="0" sz="1400">
            <a:solidFill>
              <a:schemeClr val="lt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590550</xdr:colOff>
      <xdr:row>8</xdr:row>
      <xdr:rowOff>142875</xdr:rowOff>
    </xdr:from>
    <xdr:ext cx="3343275" cy="1352550"/>
    <xdr:sp>
      <xdr:nvSpPr>
        <xdr:cNvPr id="63" name="Shape 63"/>
        <xdr:cNvSpPr/>
      </xdr:nvSpPr>
      <xdr:spPr>
        <a:xfrm>
          <a:off x="3679125" y="3108488"/>
          <a:ext cx="3333750" cy="134302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b="0" i="0"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Obs: Eventos 1:1 com clientes diminuem a escalabilidade, mantenha apenas aqueles que são fundamentais e previstos ao longo do projeto. Não se preocupe com eventuais  momentos de tira dúvidas, por enquanto.</a:t>
          </a:r>
          <a:endParaRPr sz="1400"/>
        </a:p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64" name="Shape 64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65" name="Shape 65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66" name="Shape 66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67" name="Shape 67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68" name="Shape 68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69" name="Shape 69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70" name="Shape 70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71" name="Shape 71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72" name="Shape 72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5</xdr:row>
      <xdr:rowOff>0</xdr:rowOff>
    </xdr:from>
    <xdr:ext cx="3409950" cy="1219200"/>
    <xdr:sp>
      <xdr:nvSpPr>
        <xdr:cNvPr id="73" name="Shape 73"/>
        <xdr:cNvSpPr/>
      </xdr:nvSpPr>
      <xdr:spPr>
        <a:xfrm>
          <a:off x="3645788" y="3175163"/>
          <a:ext cx="3400425" cy="120967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Uma das motivações das perguntas do diagnóstico é a criação de perguntas cujas respostas irão selecionar quais partes da consultoria (Fases) deverão ou não, ser mostradas a esse cliente. </a:t>
          </a:r>
          <a:endParaRPr sz="1400"/>
        </a:p>
      </xdr:txBody>
    </xdr:sp>
    <xdr:clientData fLocksWithSheet="0"/>
  </xdr:oneCellAnchor>
  <xdr:oneCellAnchor>
    <xdr:from>
      <xdr:col>10</xdr:col>
      <xdr:colOff>0</xdr:colOff>
      <xdr:row>7</xdr:row>
      <xdr:rowOff>276225</xdr:rowOff>
    </xdr:from>
    <xdr:ext cx="3409950" cy="1390650"/>
    <xdr:sp>
      <xdr:nvSpPr>
        <xdr:cNvPr id="74" name="Shape 74"/>
        <xdr:cNvSpPr/>
      </xdr:nvSpPr>
      <xdr:spPr>
        <a:xfrm>
          <a:off x="3645788" y="3089438"/>
          <a:ext cx="3400425" cy="1381125"/>
        </a:xfrm>
        <a:prstGeom prst="rect">
          <a:avLst/>
        </a:prstGeom>
        <a:solidFill>
          <a:srgbClr val="002060"/>
        </a:solidFill>
        <a:ln cap="flat" cmpd="sng" w="12700">
          <a:solidFill>
            <a:srgbClr val="31538F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78571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Calibri"/>
            <a:buNone/>
          </a:pPr>
          <a:r>
            <a:rPr lang="en-US" sz="1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Perguntas cujas respostas auxiliarão o consultor ao longo da jornada. Perguntas quanto a expectativa do cliente, para melhor atendê-lo.</a:t>
          </a:r>
          <a:endParaRPr sz="1400"/>
        </a:p>
      </xdr:txBody>
    </xdr: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75" name="Shape 75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76" name="Shape 76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77" name="Shape 77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78" name="Shape 78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79" name="Shape 79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80" name="Shape 80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81" name="Shape 81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82" name="Shape 82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83" name="Shape 83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1362075" cy="619125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457200</xdr:colOff>
      <xdr:row>7</xdr:row>
      <xdr:rowOff>304800</xdr:rowOff>
    </xdr:from>
    <xdr:ext cx="1552575" cy="1581150"/>
    <xdr:grpSp>
      <xdr:nvGrpSpPr>
        <xdr:cNvPr id="2" name="Shape 2"/>
        <xdr:cNvGrpSpPr/>
      </xdr:nvGrpSpPr>
      <xdr:grpSpPr>
        <a:xfrm>
          <a:off x="4569713" y="2989425"/>
          <a:ext cx="1552575" cy="1581150"/>
          <a:chOff x="4569713" y="2989425"/>
          <a:chExt cx="1552575" cy="1581150"/>
        </a:xfrm>
      </xdr:grpSpPr>
      <xdr:grpSp>
        <xdr:nvGrpSpPr>
          <xdr:cNvPr id="84" name="Shape 84"/>
          <xdr:cNvGrpSpPr/>
        </xdr:nvGrpSpPr>
        <xdr:grpSpPr>
          <a:xfrm>
            <a:off x="4569713" y="2989425"/>
            <a:ext cx="1552575" cy="1581150"/>
            <a:chOff x="4569713" y="2989425"/>
            <a:chExt cx="1552575" cy="1581150"/>
          </a:xfrm>
        </xdr:grpSpPr>
        <xdr:sp>
          <xdr:nvSpPr>
            <xdr:cNvPr id="85" name="Shape 85"/>
            <xdr:cNvSpPr/>
          </xdr:nvSpPr>
          <xdr:spPr>
            <a:xfrm>
              <a:off x="4569713" y="2989425"/>
              <a:ext cx="1552575" cy="158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86" name="Shape 86"/>
            <xdr:cNvGrpSpPr/>
          </xdr:nvGrpSpPr>
          <xdr:grpSpPr>
            <a:xfrm>
              <a:off x="4569713" y="2989425"/>
              <a:ext cx="1552575" cy="1581150"/>
              <a:chOff x="4569713" y="2989425"/>
              <a:chExt cx="1552575" cy="1581150"/>
            </a:xfrm>
          </xdr:grpSpPr>
          <xdr:sp>
            <xdr:nvSpPr>
              <xdr:cNvPr id="87" name="Shape 87"/>
              <xdr:cNvSpPr/>
            </xdr:nvSpPr>
            <xdr:spPr>
              <a:xfrm>
                <a:off x="4569713" y="2989425"/>
                <a:ext cx="1552575" cy="1581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88" name="Shape 88"/>
              <xdr:cNvGrpSpPr/>
            </xdr:nvGrpSpPr>
            <xdr:grpSpPr>
              <a:xfrm>
                <a:off x="4569713" y="2989425"/>
                <a:ext cx="1552575" cy="1581150"/>
                <a:chOff x="4569713" y="2989425"/>
                <a:chExt cx="1552575" cy="1581151"/>
              </a:xfrm>
            </xdr:grpSpPr>
            <xdr:sp>
              <xdr:nvSpPr>
                <xdr:cNvPr id="89" name="Shape 89"/>
                <xdr:cNvSpPr/>
              </xdr:nvSpPr>
              <xdr:spPr>
                <a:xfrm>
                  <a:off x="4569713" y="2989425"/>
                  <a:ext cx="1552575" cy="1581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0" name="Shape 90"/>
                <xdr:cNvGrpSpPr/>
              </xdr:nvGrpSpPr>
              <xdr:grpSpPr>
                <a:xfrm>
                  <a:off x="4569713" y="2989425"/>
                  <a:ext cx="1552575" cy="1581151"/>
                  <a:chOff x="4569713" y="2989425"/>
                  <a:chExt cx="1552575" cy="1581151"/>
                </a:xfrm>
              </xdr:grpSpPr>
              <xdr:sp>
                <xdr:nvSpPr>
                  <xdr:cNvPr id="91" name="Shape 91"/>
                  <xdr:cNvSpPr/>
                </xdr:nvSpPr>
                <xdr:spPr>
                  <a:xfrm>
                    <a:off x="4569713" y="2989425"/>
                    <a:ext cx="1552575" cy="1581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92" name="Shape 92"/>
                  <xdr:cNvGrpSpPr/>
                </xdr:nvGrpSpPr>
                <xdr:grpSpPr>
                  <a:xfrm>
                    <a:off x="4569713" y="2989425"/>
                    <a:ext cx="1552575" cy="1581151"/>
                    <a:chOff x="4569713" y="2989425"/>
                    <a:chExt cx="1552575" cy="1581152"/>
                  </a:xfrm>
                </xdr:grpSpPr>
                <xdr:sp>
                  <xdr:nvSpPr>
                    <xdr:cNvPr id="93" name="Shape 93"/>
                    <xdr:cNvSpPr/>
                  </xdr:nvSpPr>
                  <xdr:spPr>
                    <a:xfrm>
                      <a:off x="4569713" y="2989425"/>
                      <a:ext cx="1552575" cy="1581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94" name="Shape 94"/>
                    <xdr:cNvGrpSpPr/>
                  </xdr:nvGrpSpPr>
                  <xdr:grpSpPr>
                    <a:xfrm>
                      <a:off x="4569713" y="2989425"/>
                      <a:ext cx="1552575" cy="1581152"/>
                      <a:chOff x="4569713" y="2989426"/>
                      <a:chExt cx="1552575" cy="1581152"/>
                    </a:xfrm>
                  </xdr:grpSpPr>
                  <xdr:sp>
                    <xdr:nvSpPr>
                      <xdr:cNvPr id="95" name="Shape 95"/>
                      <xdr:cNvSpPr/>
                    </xdr:nvSpPr>
                    <xdr:spPr>
                      <a:xfrm>
                        <a:off x="4569713" y="2989426"/>
                        <a:ext cx="1552575" cy="1581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96" name="Shape 96"/>
                      <xdr:cNvGrpSpPr/>
                    </xdr:nvGrpSpPr>
                    <xdr:grpSpPr>
                      <a:xfrm>
                        <a:off x="4569713" y="2989428"/>
                        <a:ext cx="1552575" cy="1581150"/>
                        <a:chOff x="7334250" y="9812485"/>
                        <a:chExt cx="1591628" cy="1563574"/>
                      </a:xfrm>
                    </xdr:grpSpPr>
                    <xdr:sp>
                      <xdr:nvSpPr>
                        <xdr:cNvPr id="97" name="Shape 97"/>
                        <xdr:cNvSpPr/>
                      </xdr:nvSpPr>
                      <xdr:spPr>
                        <a:xfrm>
                          <a:off x="7334250" y="9812485"/>
                          <a:ext cx="1591625" cy="15635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98" name="Shape 98"/>
                        <xdr:cNvSpPr txBox="1"/>
                      </xdr:nvSpPr>
                      <xdr:spPr>
                        <a:xfrm>
                          <a:off x="7334250" y="10506075"/>
                          <a:ext cx="1591628" cy="869984"/>
                        </a:xfrm>
                        <a:prstGeom prst="rect">
                          <a:avLst/>
                        </a:prstGeom>
                        <a:solidFill>
                          <a:srgbClr val="16347F"/>
                        </a:solidFill>
                        <a:ln cap="flat" cmpd="sng" w="9525">
                          <a:solidFill>
                            <a:schemeClr val="lt1"/>
                          </a:solidFill>
                          <a:prstDash val="solid"/>
                          <a:round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00"/>
                            <a:buFont typeface="Open Sans"/>
                            <a:buNone/>
                          </a:pPr>
                          <a:b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</a:br>
                          <a: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  <a:t>Inserir o produto na plataforma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99" name="Shape 99"/>
                        <xdr:cNvSpPr/>
                      </xdr:nvSpPr>
                      <xdr:spPr>
                        <a:xfrm>
                          <a:off x="7933737" y="9812485"/>
                          <a:ext cx="395164" cy="511877"/>
                        </a:xfrm>
                        <a:prstGeom prst="downArrow">
                          <a:avLst>
                            <a:gd fmla="val 50000" name="adj1"/>
                            <a:gd fmla="val 50000" name="adj2"/>
                          </a:avLst>
                        </a:prstGeom>
                        <a:solidFill>
                          <a:schemeClr val="accent1"/>
                        </a:solidFill>
                        <a:ln cap="flat" cmpd="sng" w="12700">
                          <a:solidFill>
                            <a:srgbClr val="31538F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304800</xdr:colOff>
      <xdr:row>35</xdr:row>
      <xdr:rowOff>142875</xdr:rowOff>
    </xdr:from>
    <xdr:ext cx="1600200" cy="1581150"/>
    <xdr:grpSp>
      <xdr:nvGrpSpPr>
        <xdr:cNvPr id="2" name="Shape 2"/>
        <xdr:cNvGrpSpPr/>
      </xdr:nvGrpSpPr>
      <xdr:grpSpPr>
        <a:xfrm>
          <a:off x="4545900" y="2989425"/>
          <a:ext cx="1600200" cy="1581150"/>
          <a:chOff x="4545900" y="2989425"/>
          <a:chExt cx="1600200" cy="1581150"/>
        </a:xfrm>
      </xdr:grpSpPr>
      <xdr:grpSp>
        <xdr:nvGrpSpPr>
          <xdr:cNvPr id="100" name="Shape 100"/>
          <xdr:cNvGrpSpPr/>
        </xdr:nvGrpSpPr>
        <xdr:grpSpPr>
          <a:xfrm>
            <a:off x="4545900" y="2989425"/>
            <a:ext cx="1600200" cy="1581150"/>
            <a:chOff x="4545900" y="2989425"/>
            <a:chExt cx="1600200" cy="1581150"/>
          </a:xfrm>
        </xdr:grpSpPr>
        <xdr:sp>
          <xdr:nvSpPr>
            <xdr:cNvPr id="85" name="Shape 85"/>
            <xdr:cNvSpPr/>
          </xdr:nvSpPr>
          <xdr:spPr>
            <a:xfrm>
              <a:off x="4545900" y="2989425"/>
              <a:ext cx="1600200" cy="1581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01" name="Shape 101"/>
            <xdr:cNvGrpSpPr/>
          </xdr:nvGrpSpPr>
          <xdr:grpSpPr>
            <a:xfrm>
              <a:off x="4545900" y="2989425"/>
              <a:ext cx="1600200" cy="1581150"/>
              <a:chOff x="4545900" y="2989425"/>
              <a:chExt cx="1600200" cy="1581150"/>
            </a:xfrm>
          </xdr:grpSpPr>
          <xdr:sp>
            <xdr:nvSpPr>
              <xdr:cNvPr id="102" name="Shape 102"/>
              <xdr:cNvSpPr/>
            </xdr:nvSpPr>
            <xdr:spPr>
              <a:xfrm>
                <a:off x="4545900" y="2989425"/>
                <a:ext cx="1600200" cy="15811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03" name="Shape 103"/>
              <xdr:cNvGrpSpPr/>
            </xdr:nvGrpSpPr>
            <xdr:grpSpPr>
              <a:xfrm>
                <a:off x="4545900" y="2989425"/>
                <a:ext cx="1600200" cy="1581150"/>
                <a:chOff x="4545900" y="2989425"/>
                <a:chExt cx="1600200" cy="1581151"/>
              </a:xfrm>
            </xdr:grpSpPr>
            <xdr:sp>
              <xdr:nvSpPr>
                <xdr:cNvPr id="104" name="Shape 104"/>
                <xdr:cNvSpPr/>
              </xdr:nvSpPr>
              <xdr:spPr>
                <a:xfrm>
                  <a:off x="4545900" y="2989425"/>
                  <a:ext cx="1600200" cy="15811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105" name="Shape 105"/>
                <xdr:cNvGrpSpPr/>
              </xdr:nvGrpSpPr>
              <xdr:grpSpPr>
                <a:xfrm>
                  <a:off x="4545900" y="2989425"/>
                  <a:ext cx="1600200" cy="1581151"/>
                  <a:chOff x="4545900" y="2989425"/>
                  <a:chExt cx="1600200" cy="1581151"/>
                </a:xfrm>
              </xdr:grpSpPr>
              <xdr:sp>
                <xdr:nvSpPr>
                  <xdr:cNvPr id="106" name="Shape 106"/>
                  <xdr:cNvSpPr/>
                </xdr:nvSpPr>
                <xdr:spPr>
                  <a:xfrm>
                    <a:off x="4545900" y="2989425"/>
                    <a:ext cx="1600200" cy="15811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grpSp>
                <xdr:nvGrpSpPr>
                  <xdr:cNvPr id="107" name="Shape 107"/>
                  <xdr:cNvGrpSpPr/>
                </xdr:nvGrpSpPr>
                <xdr:grpSpPr>
                  <a:xfrm>
                    <a:off x="4545900" y="2989425"/>
                    <a:ext cx="1600200" cy="1581151"/>
                    <a:chOff x="4545900" y="2989425"/>
                    <a:chExt cx="1600200" cy="1581152"/>
                  </a:xfrm>
                </xdr:grpSpPr>
                <xdr:sp>
                  <xdr:nvSpPr>
                    <xdr:cNvPr id="108" name="Shape 108"/>
                    <xdr:cNvSpPr/>
                  </xdr:nvSpPr>
                  <xdr:spPr>
                    <a:xfrm>
                      <a:off x="4545900" y="2989425"/>
                      <a:ext cx="1600200" cy="15811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91425" lIns="91425" spcFirstLastPara="1" rIns="91425" wrap="square" tIns="91425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r>
                        <a:t/>
                      </a:r>
                      <a:endParaRPr sz="1400"/>
                    </a:p>
                  </xdr:txBody>
                </xdr:sp>
                <xdr:grpSp>
                  <xdr:nvGrpSpPr>
                    <xdr:cNvPr id="109" name="Shape 109"/>
                    <xdr:cNvGrpSpPr/>
                  </xdr:nvGrpSpPr>
                  <xdr:grpSpPr>
                    <a:xfrm>
                      <a:off x="4545900" y="2989425"/>
                      <a:ext cx="1600200" cy="1581152"/>
                      <a:chOff x="4545900" y="2989426"/>
                      <a:chExt cx="1600200" cy="1581152"/>
                    </a:xfrm>
                  </xdr:grpSpPr>
                  <xdr:sp>
                    <xdr:nvSpPr>
                      <xdr:cNvPr id="110" name="Shape 110"/>
                      <xdr:cNvSpPr/>
                    </xdr:nvSpPr>
                    <xdr:spPr>
                      <a:xfrm>
                        <a:off x="4545900" y="2989426"/>
                        <a:ext cx="1600200" cy="1581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anchorCtr="0" anchor="ctr" bIns="91425" lIns="91425" spcFirstLastPara="1" rIns="91425" wrap="square" tIns="91425">
                        <a:noAutofit/>
                      </a:bodyPr>
                      <a:lstStyle/>
                      <a:p>
                        <a:pPr indent="0" lvl="0" marL="0" rtl="0" algn="l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r>
                          <a:t/>
                        </a:r>
                        <a:endParaRPr sz="1400"/>
                      </a:p>
                    </xdr:txBody>
                  </xdr:sp>
                  <xdr:grpSp>
                    <xdr:nvGrpSpPr>
                      <xdr:cNvPr id="111" name="Shape 111"/>
                      <xdr:cNvGrpSpPr/>
                    </xdr:nvGrpSpPr>
                    <xdr:grpSpPr>
                      <a:xfrm>
                        <a:off x="4545900" y="2989428"/>
                        <a:ext cx="1600200" cy="1581150"/>
                        <a:chOff x="7334250" y="9812485"/>
                        <a:chExt cx="1591628" cy="1563574"/>
                      </a:xfrm>
                    </xdr:grpSpPr>
                    <xdr:sp>
                      <xdr:nvSpPr>
                        <xdr:cNvPr id="112" name="Shape 112"/>
                        <xdr:cNvSpPr/>
                      </xdr:nvSpPr>
                      <xdr:spPr>
                        <a:xfrm>
                          <a:off x="7334250" y="9812485"/>
                          <a:ext cx="1591625" cy="15635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anchorCtr="0" anchor="ctr" bIns="91425" lIns="91425" spcFirstLastPara="1" rIns="91425" wrap="square" tIns="91425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3" name="Shape 113"/>
                        <xdr:cNvSpPr txBox="1"/>
                      </xdr:nvSpPr>
                      <xdr:spPr>
                        <a:xfrm>
                          <a:off x="7334250" y="10506075"/>
                          <a:ext cx="1591628" cy="869984"/>
                        </a:xfrm>
                        <a:prstGeom prst="rect">
                          <a:avLst/>
                        </a:prstGeom>
                        <a:solidFill>
                          <a:srgbClr val="16347F"/>
                        </a:solidFill>
                        <a:ln cap="flat" cmpd="sng" w="9525">
                          <a:solidFill>
                            <a:schemeClr val="lt1"/>
                          </a:solidFill>
                          <a:prstDash val="solid"/>
                          <a:round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ctr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Clr>
                              <a:schemeClr val="lt1"/>
                            </a:buClr>
                            <a:buSzPts val="800"/>
                            <a:buFont typeface="Open Sans"/>
                            <a:buNone/>
                          </a:pPr>
                          <a:b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</a:br>
                          <a:r>
                            <a:rPr lang="en-US" sz="800">
                              <a:solidFill>
                                <a:schemeClr val="lt1"/>
                              </a:solidFill>
                              <a:latin typeface="Open Sans"/>
                              <a:ea typeface="Open Sans"/>
                              <a:cs typeface="Open Sans"/>
                              <a:sym typeface="Open Sans"/>
                            </a:rPr>
                            <a:t>Inserir o produto na plataforma</a:t>
                          </a:r>
                          <a:endParaRPr sz="1400"/>
                        </a:p>
                      </xdr:txBody>
                    </xdr:sp>
                    <xdr:sp>
                      <xdr:nvSpPr>
                        <xdr:cNvPr id="114" name="Shape 114"/>
                        <xdr:cNvSpPr/>
                      </xdr:nvSpPr>
                      <xdr:spPr>
                        <a:xfrm>
                          <a:off x="7933737" y="9812485"/>
                          <a:ext cx="395164" cy="511877"/>
                        </a:xfrm>
                        <a:prstGeom prst="downArrow">
                          <a:avLst>
                            <a:gd fmla="val 50000" name="adj1"/>
                            <a:gd fmla="val 50000" name="adj2"/>
                          </a:avLst>
                        </a:prstGeom>
                        <a:solidFill>
                          <a:schemeClr val="accent1"/>
                        </a:solidFill>
                        <a:ln cap="flat" cmpd="sng" w="12700">
                          <a:solidFill>
                            <a:srgbClr val="31538F"/>
                          </a:solidFill>
                          <a:prstDash val="solid"/>
                          <a:miter lim="800000"/>
                          <a:headEnd len="sm" w="sm" type="none"/>
                          <a:tailEnd len="sm" w="sm" type="none"/>
                        </a:ln>
                      </xdr:spPr>
                      <xdr:txBody>
                        <a:bodyPr anchorCtr="0" anchor="t" bIns="45700" lIns="91425" spcFirstLastPara="1" rIns="91425" wrap="square" tIns="45700">
                          <a:noAutofit/>
                        </a:bodyPr>
                        <a:lstStyle/>
                        <a:p>
                          <a:pPr indent="0" lvl="0" marL="0" rtl="0" algn="l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r>
                            <a:t/>
                          </a: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1562100</xdr:colOff>
      <xdr:row>1</xdr:row>
      <xdr:rowOff>0</xdr:rowOff>
    </xdr:from>
    <xdr:ext cx="1581150" cy="533400"/>
    <xdr:sp>
      <xdr:nvSpPr>
        <xdr:cNvPr id="115" name="Shape 115">
          <a:hlinkClick r:id="rId1"/>
        </xdr:cNvPr>
        <xdr:cNvSpPr txBox="1"/>
      </xdr:nvSpPr>
      <xdr:spPr>
        <a:xfrm>
          <a:off x="4560188" y="3518063"/>
          <a:ext cx="1571625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1638300</xdr:colOff>
      <xdr:row>1</xdr:row>
      <xdr:rowOff>0</xdr:rowOff>
    </xdr:from>
    <xdr:ext cx="1590675" cy="514350"/>
    <xdr:sp>
      <xdr:nvSpPr>
        <xdr:cNvPr id="116" name="Shape 116">
          <a:hlinkClick r:id="rId2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1209675</xdr:colOff>
      <xdr:row>1</xdr:row>
      <xdr:rowOff>0</xdr:rowOff>
    </xdr:from>
    <xdr:ext cx="1562100" cy="523875"/>
    <xdr:sp>
      <xdr:nvSpPr>
        <xdr:cNvPr id="117" name="Shape 117">
          <a:hlinkClick r:id="rId3"/>
        </xdr:cNvPr>
        <xdr:cNvSpPr txBox="1"/>
      </xdr:nvSpPr>
      <xdr:spPr>
        <a:xfrm>
          <a:off x="4569713" y="3522825"/>
          <a:ext cx="1552575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962025</xdr:colOff>
      <xdr:row>1</xdr:row>
      <xdr:rowOff>0</xdr:rowOff>
    </xdr:from>
    <xdr:ext cx="1562100" cy="514350"/>
    <xdr:sp>
      <xdr:nvSpPr>
        <xdr:cNvPr id="118" name="Shape 118">
          <a:hlinkClick r:id="rId4"/>
        </xdr:cNvPr>
        <xdr:cNvSpPr txBox="1"/>
      </xdr:nvSpPr>
      <xdr:spPr>
        <a:xfrm>
          <a:off x="4569713" y="3527588"/>
          <a:ext cx="15525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590550</xdr:colOff>
      <xdr:row>1</xdr:row>
      <xdr:rowOff>0</xdr:rowOff>
    </xdr:from>
    <xdr:ext cx="1590675" cy="514350"/>
    <xdr:sp>
      <xdr:nvSpPr>
        <xdr:cNvPr id="119" name="Shape 119">
          <a:hlinkClick r:id="rId5"/>
        </xdr:cNvPr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238125</xdr:colOff>
      <xdr:row>1</xdr:row>
      <xdr:rowOff>0</xdr:rowOff>
    </xdr:from>
    <xdr:ext cx="1638300" cy="514350"/>
    <xdr:sp>
      <xdr:nvSpPr>
        <xdr:cNvPr id="120" name="Shape 120">
          <a:hlinkClick r:id="rId6"/>
        </xdr:cNvPr>
        <xdr:cNvSpPr txBox="1"/>
      </xdr:nvSpPr>
      <xdr:spPr>
        <a:xfrm>
          <a:off x="4531613" y="3527588"/>
          <a:ext cx="16287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1962150</xdr:colOff>
      <xdr:row>1</xdr:row>
      <xdr:rowOff>0</xdr:rowOff>
    </xdr:from>
    <xdr:ext cx="1533525" cy="533400"/>
    <xdr:sp>
      <xdr:nvSpPr>
        <xdr:cNvPr id="121" name="Shape 121">
          <a:hlinkClick r:id="rId7"/>
        </xdr:cNvPr>
        <xdr:cNvSpPr txBox="1"/>
      </xdr:nvSpPr>
      <xdr:spPr>
        <a:xfrm>
          <a:off x="4584000" y="3518063"/>
          <a:ext cx="1524000" cy="52387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1295400</xdr:colOff>
      <xdr:row>1</xdr:row>
      <xdr:rowOff>0</xdr:rowOff>
    </xdr:from>
    <xdr:ext cx="1600200" cy="514350"/>
    <xdr:sp>
      <xdr:nvSpPr>
        <xdr:cNvPr id="122" name="Shape 122">
          <a:hlinkClick r:id="rId8"/>
        </xdr:cNvPr>
        <xdr:cNvSpPr txBox="1"/>
      </xdr:nvSpPr>
      <xdr:spPr>
        <a:xfrm>
          <a:off x="4550663" y="3527588"/>
          <a:ext cx="159067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0</xdr:colOff>
      <xdr:row>1</xdr:row>
      <xdr:rowOff>0</xdr:rowOff>
    </xdr:from>
    <xdr:ext cx="1628775" cy="514350"/>
    <xdr:sp>
      <xdr:nvSpPr>
        <xdr:cNvPr id="123" name="Shape 123">
          <a:hlinkClick r:id="rId9"/>
        </xdr:cNvPr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3</xdr:col>
      <xdr:colOff>1895475</xdr:colOff>
      <xdr:row>11</xdr:row>
      <xdr:rowOff>114300</xdr:rowOff>
    </xdr:from>
    <xdr:ext cx="295275" cy="276225"/>
    <xdr:pic>
      <xdr:nvPicPr>
        <xdr:cNvPr descr="Brand Resources - YouTube"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1352550" cy="6191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333375" cy="333375"/>
    <xdr:pic>
      <xdr:nvPicPr>
        <xdr:cNvPr id="0" name="image7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1704975</xdr:colOff>
      <xdr:row>1</xdr:row>
      <xdr:rowOff>123825</xdr:rowOff>
    </xdr:from>
    <xdr:ext cx="1581150" cy="514350"/>
    <xdr:sp>
      <xdr:nvSpPr>
        <xdr:cNvPr id="124" name="Shape 124"/>
        <xdr:cNvSpPr txBox="1"/>
      </xdr:nvSpPr>
      <xdr:spPr>
        <a:xfrm>
          <a:off x="4560188" y="3527588"/>
          <a:ext cx="157162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7. Como montar o Conteúdo</a:t>
          </a:r>
          <a:endParaRPr sz="1400"/>
        </a:p>
      </xdr:txBody>
    </xdr:sp>
    <xdr:clientData fLocksWithSheet="0"/>
  </xdr:oneCellAnchor>
  <xdr:oneCellAnchor>
    <xdr:from>
      <xdr:col>2</xdr:col>
      <xdr:colOff>1781175</xdr:colOff>
      <xdr:row>1</xdr:row>
      <xdr:rowOff>123825</xdr:rowOff>
    </xdr:from>
    <xdr:ext cx="1590675" cy="514350"/>
    <xdr:sp>
      <xdr:nvSpPr>
        <xdr:cNvPr id="125" name="Shape 125"/>
        <xdr:cNvSpPr txBox="1"/>
      </xdr:nvSpPr>
      <xdr:spPr>
        <a:xfrm>
          <a:off x="4555425" y="3527588"/>
          <a:ext cx="15811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1. Planejamento Inicial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8</xdr:col>
      <xdr:colOff>1343025</xdr:colOff>
      <xdr:row>1</xdr:row>
      <xdr:rowOff>123825</xdr:rowOff>
    </xdr:from>
    <xdr:ext cx="1571625" cy="514350"/>
    <xdr:sp>
      <xdr:nvSpPr>
        <xdr:cNvPr id="126" name="Shape 126"/>
        <xdr:cNvSpPr txBox="1"/>
      </xdr:nvSpPr>
      <xdr:spPr>
        <a:xfrm>
          <a:off x="4564950" y="3527588"/>
          <a:ext cx="15621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Extras</a:t>
          </a:r>
          <a:endParaRPr sz="1400"/>
        </a:p>
      </xdr:txBody>
    </xdr:sp>
    <xdr:clientData fLocksWithSheet="0"/>
  </xdr:oneCellAnchor>
  <xdr:oneCellAnchor>
    <xdr:from>
      <xdr:col>4</xdr:col>
      <xdr:colOff>1076325</xdr:colOff>
      <xdr:row>1</xdr:row>
      <xdr:rowOff>123825</xdr:rowOff>
    </xdr:from>
    <xdr:ext cx="1571625" cy="514350"/>
    <xdr:sp>
      <xdr:nvSpPr>
        <xdr:cNvPr id="127" name="Shape 127"/>
        <xdr:cNvSpPr txBox="1"/>
      </xdr:nvSpPr>
      <xdr:spPr>
        <a:xfrm>
          <a:off x="4564950" y="3527588"/>
          <a:ext cx="15621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3. Grandes Marcos do Processo (Fases)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5</xdr:col>
      <xdr:colOff>714375</xdr:colOff>
      <xdr:row>1</xdr:row>
      <xdr:rowOff>123825</xdr:rowOff>
    </xdr:from>
    <xdr:ext cx="1590675" cy="523875"/>
    <xdr:sp>
      <xdr:nvSpPr>
        <xdr:cNvPr id="128" name="Shape 128"/>
        <xdr:cNvSpPr txBox="1"/>
      </xdr:nvSpPr>
      <xdr:spPr>
        <a:xfrm>
          <a:off x="4555425" y="3522825"/>
          <a:ext cx="1581150" cy="514350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4. Passo a Passo da Transformação (Etapas)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6</xdr:col>
      <xdr:colOff>371475</xdr:colOff>
      <xdr:row>1</xdr:row>
      <xdr:rowOff>123825</xdr:rowOff>
    </xdr:from>
    <xdr:ext cx="1619250" cy="514350"/>
    <xdr:sp>
      <xdr:nvSpPr>
        <xdr:cNvPr id="129" name="Shape 129"/>
        <xdr:cNvSpPr txBox="1"/>
      </xdr:nvSpPr>
      <xdr:spPr>
        <a:xfrm>
          <a:off x="4541138" y="3527588"/>
          <a:ext cx="160972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marR="0" rtl="0" algn="ctr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5. Estabelecendo a os Eventos da Agenda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7</xdr:col>
      <xdr:colOff>28575</xdr:colOff>
      <xdr:row>1</xdr:row>
      <xdr:rowOff>123825</xdr:rowOff>
    </xdr:from>
    <xdr:ext cx="1581150" cy="514350"/>
    <xdr:sp>
      <xdr:nvSpPr>
        <xdr:cNvPr id="130" name="Shape 130"/>
        <xdr:cNvSpPr txBox="1"/>
      </xdr:nvSpPr>
      <xdr:spPr>
        <a:xfrm>
          <a:off x="4560188" y="3527588"/>
          <a:ext cx="1571625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6. Diagnóstico e Personalização</a:t>
          </a:r>
          <a:endParaRPr sz="1400"/>
        </a:p>
      </xdr:txBody>
    </xdr:sp>
    <xdr:clientData fLocksWithSheet="0"/>
  </xdr:oneCellAnchor>
  <xdr:oneCellAnchor>
    <xdr:from>
      <xdr:col>3</xdr:col>
      <xdr:colOff>1419225</xdr:colOff>
      <xdr:row>1</xdr:row>
      <xdr:rowOff>123825</xdr:rowOff>
    </xdr:from>
    <xdr:ext cx="1609725" cy="514350"/>
    <xdr:sp>
      <xdr:nvSpPr>
        <xdr:cNvPr id="131" name="Shape 131"/>
        <xdr:cNvSpPr txBox="1"/>
      </xdr:nvSpPr>
      <xdr:spPr>
        <a:xfrm>
          <a:off x="4545900" y="3527588"/>
          <a:ext cx="160020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2. Conhecendo os Clientes</a:t>
          </a:r>
          <a:endParaRPr sz="800">
            <a:solidFill>
              <a:schemeClr val="lt1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2</xdr:col>
      <xdr:colOff>66675</xdr:colOff>
      <xdr:row>1</xdr:row>
      <xdr:rowOff>104775</xdr:rowOff>
    </xdr:from>
    <xdr:ext cx="1628775" cy="514350"/>
    <xdr:sp>
      <xdr:nvSpPr>
        <xdr:cNvPr id="132" name="Shape 132"/>
        <xdr:cNvSpPr txBox="1"/>
      </xdr:nvSpPr>
      <xdr:spPr>
        <a:xfrm>
          <a:off x="4536375" y="3527588"/>
          <a:ext cx="1619250" cy="504825"/>
        </a:xfrm>
        <a:prstGeom prst="rect">
          <a:avLst/>
        </a:prstGeom>
        <a:solidFill>
          <a:srgbClr val="16347F"/>
        </a:solidFill>
        <a:ln cap="flat" cmpd="sng" w="9525">
          <a:solidFill>
            <a:schemeClr val="lt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800"/>
            <a:buFont typeface="Open Sans"/>
            <a:buNone/>
          </a:pPr>
          <a:r>
            <a:rPr lang="en-US" sz="800">
              <a:solidFill>
                <a:schemeClr val="lt1"/>
              </a:solidFill>
              <a:latin typeface="Open Sans"/>
              <a:ea typeface="Open Sans"/>
              <a:cs typeface="Open Sans"/>
              <a:sym typeface="Open Sans"/>
            </a:rPr>
            <a:t>0. Capa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0</xdr:rowOff>
    </xdr:from>
    <xdr:ext cx="2257425" cy="7429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133350</xdr:colOff>
      <xdr:row>2</xdr:row>
      <xdr:rowOff>161925</xdr:rowOff>
    </xdr:from>
    <xdr:ext cx="400050" cy="304800"/>
    <xdr:pic>
      <xdr:nvPicPr>
        <xdr:cNvPr descr="Brand Resources - YouTube"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5" width="8.86"/>
  </cols>
  <sheetData>
    <row r="1" ht="110.2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3"/>
    </row>
    <row r="3" ht="36.0" customHeight="1">
      <c r="A3" s="3"/>
      <c r="B3" s="3"/>
      <c r="C3" s="5" t="s">
        <v>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/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1.5" customHeight="1">
      <c r="A5" s="3"/>
      <c r="B5" s="3"/>
      <c r="C5" s="7" t="s">
        <v>3</v>
      </c>
      <c r="D5" s="8"/>
      <c r="E5" s="8"/>
      <c r="F5" s="8"/>
      <c r="G5" s="8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81.75" customHeight="1">
      <c r="A6" s="3"/>
      <c r="B6" s="3"/>
      <c r="C6" s="9" t="s">
        <v>4</v>
      </c>
      <c r="D6" s="8"/>
      <c r="E6" s="8"/>
      <c r="F6" s="8"/>
      <c r="G6" s="8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81.75" customHeight="1">
      <c r="A7" s="3"/>
      <c r="B7" s="3"/>
      <c r="C7" s="9" t="s">
        <v>5</v>
      </c>
      <c r="D7" s="8"/>
      <c r="E7" s="8"/>
      <c r="F7" s="8"/>
      <c r="G7" s="8"/>
      <c r="H7" s="3"/>
      <c r="I7" s="3"/>
      <c r="J7" s="3"/>
      <c r="K7" s="10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81.75" customHeight="1">
      <c r="A8" s="3"/>
      <c r="B8" s="3"/>
      <c r="C8" s="9" t="s">
        <v>6</v>
      </c>
      <c r="D8" s="8"/>
      <c r="E8" s="8"/>
      <c r="F8" s="8"/>
      <c r="G8" s="8"/>
      <c r="H8" s="3"/>
      <c r="I8" s="3"/>
      <c r="J8" s="3"/>
      <c r="K8" s="10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81.75" customHeight="1">
      <c r="A9" s="3"/>
      <c r="B9" s="3"/>
      <c r="C9" s="9" t="s">
        <v>7</v>
      </c>
      <c r="D9" s="8"/>
      <c r="E9" s="8"/>
      <c r="F9" s="8"/>
      <c r="G9" s="8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81.75" customHeight="1">
      <c r="A10" s="3"/>
      <c r="B10" s="3"/>
      <c r="C10" s="9" t="s">
        <v>8</v>
      </c>
      <c r="D10" s="8"/>
      <c r="E10" s="8"/>
      <c r="F10" s="8"/>
      <c r="G10" s="8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81.75" customHeight="1">
      <c r="A11" s="3"/>
      <c r="B11" s="3"/>
      <c r="C11" s="9" t="s">
        <v>9</v>
      </c>
      <c r="D11" s="8"/>
      <c r="E11" s="8"/>
      <c r="F11" s="8"/>
      <c r="G11" s="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81.75" customHeight="1">
      <c r="A12" s="3"/>
      <c r="B12" s="3"/>
      <c r="C12" s="9" t="s">
        <v>10</v>
      </c>
      <c r="D12" s="8"/>
      <c r="E12" s="8"/>
      <c r="F12" s="8"/>
      <c r="G12" s="8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1.5" customHeight="1">
      <c r="A13" s="3"/>
      <c r="B13" s="3"/>
      <c r="C13" s="1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1.5" customHeight="1">
      <c r="A14" s="3"/>
      <c r="B14" s="3"/>
      <c r="C14" s="1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1.5" customHeight="1">
      <c r="A15" s="3"/>
      <c r="B15" s="3"/>
      <c r="C15" s="1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9:G9"/>
    <mergeCell ref="C10:G10"/>
    <mergeCell ref="C11:G11"/>
    <mergeCell ref="C12:G12"/>
    <mergeCell ref="C3:I3"/>
    <mergeCell ref="C5:G5"/>
    <mergeCell ref="C6:G6"/>
    <mergeCell ref="C7:G7"/>
    <mergeCell ref="K7:L7"/>
    <mergeCell ref="C8:G8"/>
    <mergeCell ref="K8:L8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11</v>
      </c>
    </row>
    <row r="4" ht="14.25" customHeight="1">
      <c r="B4" s="6"/>
    </row>
    <row r="5" ht="39.0" customHeight="1">
      <c r="C5" s="12" t="s">
        <v>12</v>
      </c>
      <c r="D5" s="12" t="s">
        <v>13</v>
      </c>
      <c r="E5" s="12" t="s">
        <v>14</v>
      </c>
      <c r="F5" s="12" t="s">
        <v>15</v>
      </c>
      <c r="G5" s="12" t="s">
        <v>16</v>
      </c>
      <c r="H5" s="13" t="s">
        <v>17</v>
      </c>
      <c r="I5" s="12" t="s">
        <v>18</v>
      </c>
      <c r="J5" s="14">
        <f>LARGE(H6:H13,1)</f>
        <v>7500000</v>
      </c>
      <c r="K5" s="15" t="s">
        <v>19</v>
      </c>
      <c r="L5" s="16"/>
    </row>
    <row r="6" ht="30.0" customHeight="1">
      <c r="C6" s="17" t="s">
        <v>20</v>
      </c>
      <c r="D6" s="18">
        <v>25.0</v>
      </c>
      <c r="E6" s="18">
        <v>50.0</v>
      </c>
      <c r="F6" s="19">
        <v>150000.0</v>
      </c>
      <c r="G6" s="20">
        <f t="shared" ref="G6:G13" si="1">F6*D6</f>
        <v>3750000</v>
      </c>
      <c r="H6" s="20">
        <f t="shared" ref="H6:H13" si="2">E6*F6</f>
        <v>7500000</v>
      </c>
      <c r="I6" s="21" t="str">
        <f t="shared" ref="I6:I11" si="3">IF(C6="","",IF(ISERROR(VLOOKUP(H6,$J$5,1,0))," ","X"))</f>
        <v>X</v>
      </c>
    </row>
    <row r="7" ht="30.0" customHeight="1">
      <c r="C7" s="17"/>
      <c r="D7" s="18"/>
      <c r="E7" s="18"/>
      <c r="F7" s="19"/>
      <c r="G7" s="22">
        <f t="shared" si="1"/>
        <v>0</v>
      </c>
      <c r="H7" s="22">
        <f t="shared" si="2"/>
        <v>0</v>
      </c>
      <c r="I7" s="23" t="str">
        <f t="shared" si="3"/>
        <v/>
      </c>
    </row>
    <row r="8" ht="30.0" customHeight="1">
      <c r="C8" s="17"/>
      <c r="D8" s="18"/>
      <c r="E8" s="18"/>
      <c r="F8" s="19"/>
      <c r="G8" s="22">
        <f t="shared" si="1"/>
        <v>0</v>
      </c>
      <c r="H8" s="22">
        <f t="shared" si="2"/>
        <v>0</v>
      </c>
      <c r="I8" s="23" t="str">
        <f t="shared" si="3"/>
        <v/>
      </c>
    </row>
    <row r="9" ht="30.0" customHeight="1">
      <c r="C9" s="17"/>
      <c r="D9" s="18"/>
      <c r="E9" s="18"/>
      <c r="F9" s="19"/>
      <c r="G9" s="22">
        <f t="shared" si="1"/>
        <v>0</v>
      </c>
      <c r="H9" s="22">
        <f t="shared" si="2"/>
        <v>0</v>
      </c>
      <c r="I9" s="23" t="str">
        <f t="shared" si="3"/>
        <v/>
      </c>
    </row>
    <row r="10" ht="30.0" customHeight="1">
      <c r="C10" s="17"/>
      <c r="D10" s="18"/>
      <c r="E10" s="18"/>
      <c r="F10" s="19"/>
      <c r="G10" s="22">
        <f t="shared" si="1"/>
        <v>0</v>
      </c>
      <c r="H10" s="22">
        <f t="shared" si="2"/>
        <v>0</v>
      </c>
      <c r="I10" s="23" t="str">
        <f t="shared" si="3"/>
        <v/>
      </c>
    </row>
    <row r="11" ht="30.0" customHeight="1">
      <c r="C11" s="17"/>
      <c r="D11" s="18"/>
      <c r="E11" s="18"/>
      <c r="F11" s="18"/>
      <c r="G11" s="22">
        <f t="shared" si="1"/>
        <v>0</v>
      </c>
      <c r="H11" s="22">
        <f t="shared" si="2"/>
        <v>0</v>
      </c>
      <c r="I11" s="23" t="str">
        <f t="shared" si="3"/>
        <v/>
      </c>
    </row>
    <row r="12" ht="30.0" customHeight="1">
      <c r="C12" s="17"/>
      <c r="D12" s="18"/>
      <c r="E12" s="18"/>
      <c r="F12" s="18"/>
      <c r="G12" s="22">
        <f t="shared" si="1"/>
        <v>0</v>
      </c>
      <c r="H12" s="22">
        <f t="shared" si="2"/>
        <v>0</v>
      </c>
      <c r="I12" s="23" t="str">
        <f t="shared" ref="I12:I13" si="4">IF(C12="","",IF(ISERROR(VLOOKUP(G12,$J$5,1,0))," ","X"))</f>
        <v/>
      </c>
      <c r="K12" s="10"/>
    </row>
    <row r="13" ht="30.0" customHeight="1">
      <c r="C13" s="24"/>
      <c r="D13" s="25"/>
      <c r="E13" s="25"/>
      <c r="F13" s="25"/>
      <c r="G13" s="26">
        <f t="shared" si="1"/>
        <v>0</v>
      </c>
      <c r="H13" s="26">
        <f t="shared" si="2"/>
        <v>0</v>
      </c>
      <c r="I13" s="27" t="str">
        <f t="shared" si="4"/>
        <v/>
      </c>
    </row>
    <row r="14" ht="11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I3"/>
    <mergeCell ref="K5:L5"/>
    <mergeCell ref="K12:L12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4" width="30.14"/>
    <col customWidth="1" min="5" max="5" width="14.86"/>
    <col customWidth="1" min="6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21</v>
      </c>
    </row>
    <row r="4" ht="14.25" customHeight="1">
      <c r="B4" s="6"/>
    </row>
    <row r="5" ht="43.5" customHeight="1">
      <c r="C5" s="28" t="s">
        <v>22</v>
      </c>
      <c r="E5" s="29"/>
      <c r="F5" s="30"/>
      <c r="G5" s="31"/>
      <c r="H5" s="31"/>
      <c r="I5" s="32"/>
      <c r="J5" s="14"/>
      <c r="K5" s="15" t="s">
        <v>19</v>
      </c>
      <c r="L5" s="16"/>
    </row>
    <row r="6" ht="43.5" customHeight="1">
      <c r="E6" s="29"/>
      <c r="F6" s="33"/>
      <c r="G6" s="8"/>
      <c r="H6" s="8"/>
      <c r="I6" s="34"/>
    </row>
    <row r="7" ht="43.5" customHeight="1">
      <c r="C7" s="35"/>
      <c r="D7" s="36"/>
      <c r="E7" s="36"/>
      <c r="F7" s="35"/>
      <c r="G7" s="35"/>
      <c r="H7" s="35"/>
      <c r="I7" s="35"/>
    </row>
    <row r="8" ht="43.5" customHeight="1">
      <c r="C8" s="37" t="s">
        <v>23</v>
      </c>
      <c r="E8" s="29"/>
      <c r="F8" s="30"/>
      <c r="G8" s="31"/>
      <c r="H8" s="31"/>
      <c r="I8" s="32"/>
    </row>
    <row r="9" ht="43.5" customHeight="1">
      <c r="E9" s="29"/>
      <c r="F9" s="33"/>
      <c r="G9" s="8"/>
      <c r="H9" s="8"/>
      <c r="I9" s="34"/>
    </row>
    <row r="10" ht="43.5" customHeight="1">
      <c r="C10" s="35"/>
      <c r="D10" s="35"/>
      <c r="E10" s="35"/>
      <c r="F10" s="35"/>
      <c r="G10" s="35"/>
      <c r="H10" s="35"/>
      <c r="I10" s="35"/>
    </row>
    <row r="11" ht="87.75" customHeight="1">
      <c r="C11" s="28" t="s">
        <v>24</v>
      </c>
      <c r="E11" s="29"/>
      <c r="F11" s="30"/>
      <c r="G11" s="31"/>
      <c r="H11" s="31"/>
      <c r="I11" s="32"/>
      <c r="K11" s="38"/>
    </row>
    <row r="12" ht="101.25" customHeight="1">
      <c r="E12" s="29"/>
      <c r="F12" s="33"/>
      <c r="G12" s="8"/>
      <c r="H12" s="8"/>
      <c r="I12" s="34"/>
      <c r="K12" s="10"/>
    </row>
    <row r="13" ht="43.5" customHeight="1">
      <c r="C13" s="35"/>
      <c r="D13" s="35"/>
      <c r="E13" s="35"/>
      <c r="F13" s="35"/>
      <c r="G13" s="35"/>
      <c r="H13" s="35"/>
      <c r="I13" s="35"/>
    </row>
    <row r="14" ht="43.5" customHeight="1">
      <c r="C14" s="28" t="s">
        <v>25</v>
      </c>
      <c r="F14" s="30"/>
      <c r="G14" s="31"/>
      <c r="H14" s="31"/>
      <c r="I14" s="32"/>
    </row>
    <row r="15" ht="43.5" customHeight="1">
      <c r="F15" s="33"/>
      <c r="G15" s="8"/>
      <c r="H15" s="8"/>
      <c r="I15" s="34"/>
    </row>
    <row r="16" ht="43.5" customHeight="1">
      <c r="D16" s="11"/>
      <c r="E16" s="38"/>
    </row>
    <row r="17" ht="14.25" customHeight="1">
      <c r="C17" s="39"/>
      <c r="D17" s="40"/>
      <c r="E17" s="41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11:I12"/>
    <mergeCell ref="K12:L12"/>
    <mergeCell ref="C14:E15"/>
    <mergeCell ref="F14:I15"/>
    <mergeCell ref="C3:I3"/>
    <mergeCell ref="C5:E6"/>
    <mergeCell ref="F5:I6"/>
    <mergeCell ref="K5:L5"/>
    <mergeCell ref="C8:E9"/>
    <mergeCell ref="F8:I9"/>
    <mergeCell ref="C11:E1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42"/>
      <c r="B1" s="42"/>
      <c r="C1" s="42"/>
      <c r="D1" s="42"/>
      <c r="E1" s="43" t="s">
        <v>0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65.25" customHeight="1">
      <c r="A2" s="42"/>
      <c r="B2" s="4" t="s">
        <v>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36.0" customHeight="1">
      <c r="A3" s="44"/>
      <c r="B3" s="44"/>
      <c r="C3" s="45" t="s">
        <v>26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4.2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39.0" customHeight="1">
      <c r="A5" s="44"/>
      <c r="B5" s="44"/>
      <c r="C5" s="46" t="s">
        <v>27</v>
      </c>
      <c r="D5" s="8"/>
      <c r="E5" s="46" t="s">
        <v>28</v>
      </c>
      <c r="F5" s="8"/>
      <c r="G5" s="8"/>
      <c r="H5" s="46" t="s">
        <v>29</v>
      </c>
      <c r="I5" s="8"/>
      <c r="J5" s="44"/>
      <c r="K5" s="15" t="s">
        <v>19</v>
      </c>
      <c r="L5" s="16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42.0" customHeight="1">
      <c r="A6" s="44"/>
      <c r="B6" s="47" t="s">
        <v>30</v>
      </c>
      <c r="C6" s="48" t="s">
        <v>31</v>
      </c>
      <c r="D6" s="49"/>
      <c r="E6" s="50" t="s">
        <v>32</v>
      </c>
      <c r="F6" s="51"/>
      <c r="G6" s="49"/>
      <c r="H6" s="50" t="s">
        <v>33</v>
      </c>
      <c r="I6" s="52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42.0" customHeight="1">
      <c r="A7" s="44"/>
      <c r="B7" s="47" t="s">
        <v>34</v>
      </c>
      <c r="C7" s="53"/>
      <c r="D7" s="54"/>
      <c r="E7" s="55"/>
      <c r="F7" s="56"/>
      <c r="G7" s="54"/>
      <c r="H7" s="55"/>
      <c r="I7" s="57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45.75" customHeight="1">
      <c r="A8" s="44"/>
      <c r="B8" s="47" t="s">
        <v>35</v>
      </c>
      <c r="C8" s="53"/>
      <c r="D8" s="54"/>
      <c r="E8" s="55"/>
      <c r="F8" s="56"/>
      <c r="G8" s="54"/>
      <c r="H8" s="55"/>
      <c r="I8" s="57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42.0" customHeight="1">
      <c r="A9" s="44"/>
      <c r="B9" s="12" t="s">
        <v>36</v>
      </c>
      <c r="C9" s="58"/>
      <c r="D9" s="54"/>
      <c r="E9" s="59"/>
      <c r="F9" s="56"/>
      <c r="G9" s="54"/>
      <c r="H9" s="59"/>
      <c r="I9" s="57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42.0" customHeight="1">
      <c r="A10" s="44"/>
      <c r="B10" s="12" t="s">
        <v>37</v>
      </c>
      <c r="C10" s="58"/>
      <c r="D10" s="54"/>
      <c r="E10" s="59"/>
      <c r="F10" s="56"/>
      <c r="G10" s="54"/>
      <c r="H10" s="59"/>
      <c r="I10" s="57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42.0" customHeight="1">
      <c r="A11" s="44"/>
      <c r="B11" s="12" t="s">
        <v>38</v>
      </c>
      <c r="C11" s="58"/>
      <c r="D11" s="54"/>
      <c r="E11" s="59"/>
      <c r="F11" s="56"/>
      <c r="G11" s="54"/>
      <c r="H11" s="59"/>
      <c r="I11" s="57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42.0" customHeight="1">
      <c r="A12" s="44"/>
      <c r="B12" s="12" t="s">
        <v>39</v>
      </c>
      <c r="C12" s="58"/>
      <c r="D12" s="54"/>
      <c r="E12" s="59"/>
      <c r="F12" s="56"/>
      <c r="G12" s="54"/>
      <c r="H12" s="59"/>
      <c r="I12" s="57"/>
      <c r="J12" s="44"/>
      <c r="K12" s="60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42.0" customHeight="1">
      <c r="A13" s="44"/>
      <c r="B13" s="12" t="s">
        <v>40</v>
      </c>
      <c r="C13" s="58"/>
      <c r="D13" s="54"/>
      <c r="E13" s="59"/>
      <c r="F13" s="56"/>
      <c r="G13" s="54"/>
      <c r="H13" s="59"/>
      <c r="I13" s="57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42.0" customHeight="1">
      <c r="A14" s="44"/>
      <c r="B14" s="12" t="s">
        <v>41</v>
      </c>
      <c r="C14" s="58"/>
      <c r="D14" s="54"/>
      <c r="E14" s="59"/>
      <c r="F14" s="56"/>
      <c r="G14" s="54"/>
      <c r="H14" s="59"/>
      <c r="I14" s="57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42.0" customHeight="1">
      <c r="A15" s="44"/>
      <c r="B15" s="12" t="s">
        <v>42</v>
      </c>
      <c r="C15" s="58"/>
      <c r="D15" s="54"/>
      <c r="E15" s="59"/>
      <c r="F15" s="56"/>
      <c r="G15" s="54"/>
      <c r="H15" s="59"/>
      <c r="I15" s="57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42.0" customHeight="1">
      <c r="A16" s="44"/>
      <c r="B16" s="12" t="s">
        <v>43</v>
      </c>
      <c r="C16" s="58"/>
      <c r="D16" s="54"/>
      <c r="E16" s="59"/>
      <c r="F16" s="56"/>
      <c r="G16" s="54"/>
      <c r="H16" s="59"/>
      <c r="I16" s="57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42.0" customHeight="1">
      <c r="A17" s="44"/>
      <c r="B17" s="12" t="s">
        <v>44</v>
      </c>
      <c r="C17" s="58"/>
      <c r="D17" s="54"/>
      <c r="E17" s="59"/>
      <c r="F17" s="56"/>
      <c r="G17" s="54"/>
      <c r="H17" s="59"/>
      <c r="I17" s="57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42.0" customHeight="1">
      <c r="A18" s="44"/>
      <c r="B18" s="12" t="s">
        <v>45</v>
      </c>
      <c r="C18" s="58"/>
      <c r="D18" s="54"/>
      <c r="E18" s="59"/>
      <c r="F18" s="56"/>
      <c r="G18" s="54"/>
      <c r="H18" s="59"/>
      <c r="I18" s="57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42.0" customHeight="1">
      <c r="A19" s="44"/>
      <c r="B19" s="12" t="s">
        <v>46</v>
      </c>
      <c r="C19" s="58"/>
      <c r="D19" s="54"/>
      <c r="E19" s="59"/>
      <c r="F19" s="56"/>
      <c r="G19" s="54"/>
      <c r="H19" s="59"/>
      <c r="I19" s="57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42.0" customHeight="1">
      <c r="A20" s="44"/>
      <c r="B20" s="12" t="s">
        <v>47</v>
      </c>
      <c r="C20" s="58"/>
      <c r="D20" s="54"/>
      <c r="E20" s="59"/>
      <c r="F20" s="56"/>
      <c r="G20" s="54"/>
      <c r="H20" s="59"/>
      <c r="I20" s="57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42.0" customHeight="1">
      <c r="A21" s="44"/>
      <c r="B21" s="12" t="s">
        <v>48</v>
      </c>
      <c r="C21" s="58"/>
      <c r="D21" s="54"/>
      <c r="E21" s="59"/>
      <c r="F21" s="56"/>
      <c r="G21" s="54"/>
      <c r="H21" s="59"/>
      <c r="I21" s="57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42.0" customHeight="1">
      <c r="A22" s="44"/>
      <c r="B22" s="12" t="s">
        <v>49</v>
      </c>
      <c r="C22" s="58"/>
      <c r="D22" s="54"/>
      <c r="E22" s="59"/>
      <c r="F22" s="56"/>
      <c r="G22" s="54"/>
      <c r="H22" s="59"/>
      <c r="I22" s="57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42.0" customHeight="1">
      <c r="A23" s="44"/>
      <c r="B23" s="12" t="s">
        <v>50</v>
      </c>
      <c r="C23" s="58"/>
      <c r="D23" s="54"/>
      <c r="E23" s="59"/>
      <c r="F23" s="56"/>
      <c r="G23" s="54"/>
      <c r="H23" s="59"/>
      <c r="I23" s="57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42.0" customHeight="1">
      <c r="A24" s="44"/>
      <c r="B24" s="12" t="s">
        <v>51</v>
      </c>
      <c r="C24" s="58"/>
      <c r="D24" s="54"/>
      <c r="E24" s="59"/>
      <c r="F24" s="56"/>
      <c r="G24" s="54"/>
      <c r="H24" s="59"/>
      <c r="I24" s="57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42.0" customHeight="1">
      <c r="A25" s="44"/>
      <c r="B25" s="12" t="s">
        <v>52</v>
      </c>
      <c r="C25" s="58"/>
      <c r="D25" s="54"/>
      <c r="E25" s="59"/>
      <c r="F25" s="56"/>
      <c r="G25" s="54"/>
      <c r="H25" s="59"/>
      <c r="I25" s="57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42.0" customHeight="1">
      <c r="A26" s="44"/>
      <c r="B26" s="12" t="s">
        <v>53</v>
      </c>
      <c r="C26" s="58"/>
      <c r="D26" s="54"/>
      <c r="E26" s="59"/>
      <c r="F26" s="56"/>
      <c r="G26" s="54"/>
      <c r="H26" s="59"/>
      <c r="I26" s="57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42.0" customHeight="1">
      <c r="A27" s="44"/>
      <c r="B27" s="12" t="s">
        <v>54</v>
      </c>
      <c r="C27" s="58"/>
      <c r="D27" s="54"/>
      <c r="E27" s="59"/>
      <c r="F27" s="56"/>
      <c r="G27" s="54"/>
      <c r="H27" s="59"/>
      <c r="I27" s="57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42.0" customHeight="1">
      <c r="A28" s="44"/>
      <c r="B28" s="12" t="s">
        <v>55</v>
      </c>
      <c r="C28" s="58"/>
      <c r="D28" s="54"/>
      <c r="E28" s="59"/>
      <c r="F28" s="56"/>
      <c r="G28" s="54"/>
      <c r="H28" s="59"/>
      <c r="I28" s="57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42.0" customHeight="1">
      <c r="A29" s="44"/>
      <c r="B29" s="12" t="s">
        <v>56</v>
      </c>
      <c r="C29" s="58"/>
      <c r="D29" s="54"/>
      <c r="E29" s="59"/>
      <c r="F29" s="56"/>
      <c r="G29" s="54"/>
      <c r="H29" s="59"/>
      <c r="I29" s="57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42.0" customHeight="1">
      <c r="A30" s="44"/>
      <c r="B30" s="12" t="s">
        <v>57</v>
      </c>
      <c r="C30" s="58"/>
      <c r="D30" s="54"/>
      <c r="E30" s="59"/>
      <c r="F30" s="56"/>
      <c r="G30" s="54"/>
      <c r="H30" s="59"/>
      <c r="I30" s="57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42.0" customHeight="1">
      <c r="A31" s="44"/>
      <c r="B31" s="12" t="s">
        <v>58</v>
      </c>
      <c r="C31" s="58"/>
      <c r="D31" s="54"/>
      <c r="E31" s="59"/>
      <c r="F31" s="56"/>
      <c r="G31" s="54"/>
      <c r="H31" s="59"/>
      <c r="I31" s="57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42.0" customHeight="1">
      <c r="A32" s="44"/>
      <c r="B32" s="12" t="s">
        <v>59</v>
      </c>
      <c r="C32" s="58"/>
      <c r="D32" s="54"/>
      <c r="E32" s="59"/>
      <c r="F32" s="56"/>
      <c r="G32" s="54"/>
      <c r="H32" s="59"/>
      <c r="I32" s="57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42.0" customHeight="1">
      <c r="A33" s="44"/>
      <c r="B33" s="12" t="s">
        <v>60</v>
      </c>
      <c r="C33" s="58"/>
      <c r="D33" s="54"/>
      <c r="E33" s="59"/>
      <c r="F33" s="56"/>
      <c r="G33" s="54"/>
      <c r="H33" s="59"/>
      <c r="I33" s="57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42.0" customHeight="1">
      <c r="A34" s="44"/>
      <c r="B34" s="12" t="s">
        <v>61</v>
      </c>
      <c r="C34" s="58"/>
      <c r="D34" s="54"/>
      <c r="E34" s="59"/>
      <c r="F34" s="56"/>
      <c r="G34" s="54"/>
      <c r="H34" s="59"/>
      <c r="I34" s="57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42.0" customHeight="1">
      <c r="A35" s="44"/>
      <c r="B35" s="12" t="s">
        <v>62</v>
      </c>
      <c r="C35" s="58"/>
      <c r="D35" s="54"/>
      <c r="E35" s="59"/>
      <c r="F35" s="56"/>
      <c r="G35" s="54"/>
      <c r="H35" s="59"/>
      <c r="I35" s="57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42.0" customHeight="1">
      <c r="A36" s="44"/>
      <c r="B36" s="12" t="s">
        <v>63</v>
      </c>
      <c r="C36" s="58"/>
      <c r="D36" s="54"/>
      <c r="E36" s="59"/>
      <c r="F36" s="56"/>
      <c r="G36" s="54"/>
      <c r="H36" s="59"/>
      <c r="I36" s="57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42.0" customHeight="1">
      <c r="A37" s="44"/>
      <c r="B37" s="12" t="s">
        <v>64</v>
      </c>
      <c r="C37" s="58"/>
      <c r="D37" s="54"/>
      <c r="E37" s="59"/>
      <c r="F37" s="56"/>
      <c r="G37" s="54"/>
      <c r="H37" s="59"/>
      <c r="I37" s="57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42.0" customHeight="1">
      <c r="A38" s="44"/>
      <c r="B38" s="12" t="s">
        <v>65</v>
      </c>
      <c r="C38" s="58"/>
      <c r="D38" s="54"/>
      <c r="E38" s="59"/>
      <c r="F38" s="56"/>
      <c r="G38" s="54"/>
      <c r="H38" s="59"/>
      <c r="I38" s="57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42.0" customHeight="1">
      <c r="A39" s="44"/>
      <c r="B39" s="12" t="s">
        <v>66</v>
      </c>
      <c r="C39" s="58"/>
      <c r="D39" s="54"/>
      <c r="E39" s="59"/>
      <c r="F39" s="56"/>
      <c r="G39" s="54"/>
      <c r="H39" s="59"/>
      <c r="I39" s="57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42.0" customHeight="1">
      <c r="A40" s="44"/>
      <c r="B40" s="12" t="s">
        <v>67</v>
      </c>
      <c r="C40" s="61"/>
      <c r="D40" s="62"/>
      <c r="E40" s="63"/>
      <c r="F40" s="64"/>
      <c r="G40" s="62"/>
      <c r="H40" s="63"/>
      <c r="I40" s="65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4.25" customHeight="1">
      <c r="A41" s="44"/>
      <c r="B41" s="44"/>
      <c r="C41" s="44"/>
      <c r="E41" s="44"/>
      <c r="H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4.25" customHeight="1">
      <c r="A42" s="44"/>
      <c r="B42" s="44"/>
      <c r="C42" s="44"/>
      <c r="E42" s="44"/>
      <c r="H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4.25" customHeight="1">
      <c r="A43" s="44"/>
      <c r="B43" s="44"/>
      <c r="C43" s="44"/>
      <c r="E43" s="44"/>
      <c r="H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4.25" customHeight="1">
      <c r="A44" s="44"/>
      <c r="B44" s="44"/>
      <c r="C44" s="44"/>
      <c r="E44" s="44"/>
      <c r="H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4.2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4.2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4.2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4.2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4.2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4.2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4.2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4.2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4.2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4.2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4.2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4.2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4.2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4.2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4.2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4.2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4.2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4.2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4.2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4.25" customHeight="1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4.25" customHeight="1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4.25" customHeight="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4.25" customHeight="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4.25" customHeight="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4.25" customHeight="1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4.25" customHeight="1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4.25" customHeight="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4.25" customHeight="1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4.25" customHeight="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4.25" customHeight="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4.25" customHeight="1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4.25" customHeight="1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4.2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4.25" customHeight="1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4.25" customHeight="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4.25" customHeight="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4.25" customHeight="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4.25" customHeight="1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4.25" customHeight="1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4.25" customHeight="1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4.25" customHeight="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4.25" customHeight="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4.25" customHeight="1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4.25" customHeight="1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4.25" customHeight="1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4.25" customHeight="1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4.25" customHeight="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4.25" customHeight="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4.25" customHeight="1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4.25" customHeight="1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4.25" customHeight="1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4.25" customHeight="1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4.25" customHeight="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4.25" customHeight="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4.25" customHeight="1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4.25" customHeight="1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4.25" customHeight="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4.25" customHeight="1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4.25" customHeight="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4.25" customHeight="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4.25" customHeight="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4.25" customHeight="1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4.25" customHeight="1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4.25" customHeight="1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4.25" customHeight="1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4.2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4.2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4.2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4.2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4.2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4.2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4.2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4.2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4.2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4.2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4.2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4.2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4.2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4.2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4.2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4.2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4.2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4.2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4.2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4.2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4.2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4.2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4.2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4.2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4.2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4.2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4.2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4.2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4.2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4.2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4.2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4.2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4.2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4.2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4.2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4.2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4.2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ht="14.2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ht="14.2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4.2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4.2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ht="14.2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ht="14.2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ht="14.2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ht="14.2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ht="14.2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ht="14.2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ht="14.2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ht="14.2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ht="14.2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ht="14.2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ht="14.2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ht="14.2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ht="14.2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ht="14.2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ht="14.2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ht="14.2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ht="14.2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ht="14.2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ht="14.2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ht="14.2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ht="14.2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ht="14.2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ht="14.2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ht="14.2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ht="14.2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ht="14.2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ht="14.2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ht="14.2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ht="14.2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ht="14.2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ht="14.2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ht="14.2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ht="14.2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ht="14.2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ht="14.2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ht="14.2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ht="14.2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ht="14.2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ht="14.2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ht="14.2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4.2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4.2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4.2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4.2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4.2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4.2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4.2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4.2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ht="14.2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ht="14.2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4.2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4.2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ht="14.2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ht="14.2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ht="14.2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ht="14.2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ht="14.2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ht="14.2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ht="14.2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ht="14.2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ht="14.2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ht="14.2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ht="14.2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ht="14.2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ht="14.2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ht="14.2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4.2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4.2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4.2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4.2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4.2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4.2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4.2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4.2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4.2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4.2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4.2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4.2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ht="14.2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ht="14.2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ht="14.2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ht="14.2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ht="14.2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ht="14.2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ht="14.2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ht="14.2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ht="14.2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4.2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4.25" customHeight="1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4.25" customHeight="1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3">
    <mergeCell ref="C3:I3"/>
    <mergeCell ref="C5:D5"/>
    <mergeCell ref="E5:G5"/>
    <mergeCell ref="H5:I5"/>
    <mergeCell ref="K5:L5"/>
    <mergeCell ref="E6:G6"/>
    <mergeCell ref="H6:I6"/>
    <mergeCell ref="C6:D6"/>
    <mergeCell ref="C7:D7"/>
    <mergeCell ref="E7:G7"/>
    <mergeCell ref="H7:I7"/>
    <mergeCell ref="C8:D8"/>
    <mergeCell ref="E8:G8"/>
    <mergeCell ref="H8:I8"/>
    <mergeCell ref="E11:G11"/>
    <mergeCell ref="H11:I11"/>
    <mergeCell ref="C9:D9"/>
    <mergeCell ref="E9:G9"/>
    <mergeCell ref="H9:I9"/>
    <mergeCell ref="C10:D10"/>
    <mergeCell ref="E10:G10"/>
    <mergeCell ref="H10:I10"/>
    <mergeCell ref="C11:D11"/>
    <mergeCell ref="C12:D12"/>
    <mergeCell ref="E12:G12"/>
    <mergeCell ref="H12:I12"/>
    <mergeCell ref="K12:L12"/>
    <mergeCell ref="C13:D13"/>
    <mergeCell ref="E13:G13"/>
    <mergeCell ref="H13:I13"/>
    <mergeCell ref="E16:G16"/>
    <mergeCell ref="H16:I16"/>
    <mergeCell ref="C14:D14"/>
    <mergeCell ref="E14:G14"/>
    <mergeCell ref="H14:I14"/>
    <mergeCell ref="C15:D15"/>
    <mergeCell ref="E15:G15"/>
    <mergeCell ref="H15:I15"/>
    <mergeCell ref="C16:D16"/>
    <mergeCell ref="E28:G28"/>
    <mergeCell ref="H28:I28"/>
    <mergeCell ref="C26:D26"/>
    <mergeCell ref="E26:G26"/>
    <mergeCell ref="H26:I26"/>
    <mergeCell ref="C27:D27"/>
    <mergeCell ref="E27:G27"/>
    <mergeCell ref="H27:I27"/>
    <mergeCell ref="C28:D28"/>
    <mergeCell ref="E31:G31"/>
    <mergeCell ref="H31:I31"/>
    <mergeCell ref="C29:D29"/>
    <mergeCell ref="E29:G29"/>
    <mergeCell ref="H29:I29"/>
    <mergeCell ref="C30:D30"/>
    <mergeCell ref="E30:G30"/>
    <mergeCell ref="H30:I30"/>
    <mergeCell ref="C31:D31"/>
    <mergeCell ref="E34:G34"/>
    <mergeCell ref="H34:I34"/>
    <mergeCell ref="C32:D32"/>
    <mergeCell ref="E32:G32"/>
    <mergeCell ref="H32:I32"/>
    <mergeCell ref="C33:D33"/>
    <mergeCell ref="E33:G33"/>
    <mergeCell ref="H33:I33"/>
    <mergeCell ref="C34:D34"/>
    <mergeCell ref="E37:G37"/>
    <mergeCell ref="H37:I37"/>
    <mergeCell ref="C35:D35"/>
    <mergeCell ref="E35:G35"/>
    <mergeCell ref="H35:I35"/>
    <mergeCell ref="C36:D36"/>
    <mergeCell ref="E36:G36"/>
    <mergeCell ref="H36:I36"/>
    <mergeCell ref="C37:D37"/>
    <mergeCell ref="E40:G40"/>
    <mergeCell ref="H40:I40"/>
    <mergeCell ref="C38:D38"/>
    <mergeCell ref="E38:G38"/>
    <mergeCell ref="H38:I38"/>
    <mergeCell ref="C39:D39"/>
    <mergeCell ref="E39:G39"/>
    <mergeCell ref="H39:I39"/>
    <mergeCell ref="C40:D40"/>
    <mergeCell ref="E43:G43"/>
    <mergeCell ref="H43:I43"/>
    <mergeCell ref="C41:D41"/>
    <mergeCell ref="E41:G41"/>
    <mergeCell ref="H41:I41"/>
    <mergeCell ref="C42:D42"/>
    <mergeCell ref="E42:G42"/>
    <mergeCell ref="H42:I42"/>
    <mergeCell ref="C43:D43"/>
    <mergeCell ref="E19:G19"/>
    <mergeCell ref="H19:I19"/>
    <mergeCell ref="C17:D17"/>
    <mergeCell ref="E17:G17"/>
    <mergeCell ref="H17:I17"/>
    <mergeCell ref="C18:D18"/>
    <mergeCell ref="E18:G18"/>
    <mergeCell ref="H18:I18"/>
    <mergeCell ref="C19:D19"/>
    <mergeCell ref="E22:G22"/>
    <mergeCell ref="H22:I22"/>
    <mergeCell ref="C20:D20"/>
    <mergeCell ref="E20:G20"/>
    <mergeCell ref="H20:I20"/>
    <mergeCell ref="C21:D21"/>
    <mergeCell ref="E21:G21"/>
    <mergeCell ref="H21:I21"/>
    <mergeCell ref="C22:D22"/>
    <mergeCell ref="E25:G25"/>
    <mergeCell ref="H25:I25"/>
    <mergeCell ref="C23:D23"/>
    <mergeCell ref="E23:G23"/>
    <mergeCell ref="H23:I23"/>
    <mergeCell ref="C24:D24"/>
    <mergeCell ref="E24:G24"/>
    <mergeCell ref="H24:I24"/>
    <mergeCell ref="C25:D25"/>
    <mergeCell ref="C44:D44"/>
    <mergeCell ref="E44:G44"/>
    <mergeCell ref="H44:I44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1.71"/>
    <col customWidth="1" min="3" max="3" width="30.14"/>
    <col customWidth="1" min="4" max="4" width="24.43"/>
    <col customWidth="1" min="5" max="5" width="58.86"/>
    <col customWidth="1" min="6" max="6" width="30.14"/>
    <col customWidth="1" min="7" max="7" width="20.86"/>
    <col customWidth="1" min="8" max="8" width="21.86"/>
    <col customWidth="1" min="9" max="9" width="22.0"/>
    <col customWidth="1" min="10" max="10" width="8.86"/>
    <col customWidth="1" min="11" max="12" width="19.43"/>
    <col customWidth="1" min="13" max="27" width="8.86"/>
  </cols>
  <sheetData>
    <row r="1" ht="51.75" customHeight="1">
      <c r="A1" s="66"/>
      <c r="B1" s="66"/>
      <c r="C1" s="66"/>
      <c r="D1" s="66"/>
      <c r="E1" s="67" t="s">
        <v>0</v>
      </c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</row>
    <row r="2" ht="65.25" customHeight="1">
      <c r="A2" s="66"/>
      <c r="B2" s="68" t="s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</row>
    <row r="3" ht="36.0" customHeight="1">
      <c r="A3" s="69"/>
      <c r="B3" s="69"/>
      <c r="C3" s="70" t="s">
        <v>68</v>
      </c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</row>
    <row r="4" ht="14.25" customHeight="1">
      <c r="A4" s="69"/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 ht="51.0" customHeight="1">
      <c r="A5" s="69"/>
      <c r="B5" s="69"/>
      <c r="C5" s="12" t="s">
        <v>69</v>
      </c>
      <c r="D5" s="71" t="s">
        <v>70</v>
      </c>
      <c r="E5" s="8"/>
      <c r="F5" s="72" t="s">
        <v>71</v>
      </c>
      <c r="G5" s="72" t="s">
        <v>72</v>
      </c>
      <c r="H5" s="71" t="s">
        <v>73</v>
      </c>
      <c r="I5" s="8"/>
      <c r="J5" s="69"/>
      <c r="K5" s="15" t="s">
        <v>19</v>
      </c>
      <c r="L5" s="16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</row>
    <row r="6" ht="36.0" customHeight="1">
      <c r="A6" s="69"/>
      <c r="B6" s="12" t="s">
        <v>30</v>
      </c>
      <c r="C6" s="73" t="str">
        <f>'(Fases) Grandes Marcos'!C6</f>
        <v>Boas Vindas Onboarding</v>
      </c>
      <c r="D6" s="74" t="s">
        <v>74</v>
      </c>
      <c r="E6" s="49"/>
      <c r="F6" s="75" t="s">
        <v>75</v>
      </c>
      <c r="G6" s="76" t="s">
        <v>76</v>
      </c>
      <c r="H6" s="74" t="s">
        <v>77</v>
      </c>
      <c r="I6" s="52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</row>
    <row r="7" ht="36.0" customHeight="1">
      <c r="A7" s="69"/>
      <c r="B7" s="69"/>
      <c r="C7" s="77"/>
      <c r="D7" s="78"/>
      <c r="E7" s="54"/>
      <c r="F7" s="79"/>
      <c r="G7" s="80"/>
      <c r="H7" s="78"/>
      <c r="I7" s="57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ht="36.0" customHeight="1">
      <c r="A8" s="81"/>
      <c r="B8" s="81"/>
      <c r="C8" s="82"/>
      <c r="D8" s="83"/>
      <c r="E8" s="54"/>
      <c r="F8" s="84"/>
      <c r="G8" s="85"/>
      <c r="H8" s="83"/>
      <c r="I8" s="57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</row>
    <row r="9" ht="36.0" customHeight="1">
      <c r="A9" s="69"/>
      <c r="B9" s="69"/>
      <c r="C9" s="77"/>
      <c r="D9" s="78"/>
      <c r="E9" s="54"/>
      <c r="F9" s="79"/>
      <c r="G9" s="80"/>
      <c r="H9" s="83"/>
      <c r="I9" s="57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ht="36.0" customHeight="1">
      <c r="A10" s="69"/>
      <c r="B10" s="69"/>
      <c r="C10" s="77"/>
      <c r="D10" s="78"/>
      <c r="E10" s="54"/>
      <c r="F10" s="79"/>
      <c r="G10" s="80"/>
      <c r="H10" s="86"/>
      <c r="I10" s="57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ht="36.0" customHeight="1">
      <c r="A11" s="69"/>
      <c r="B11" s="69"/>
      <c r="C11" s="77"/>
      <c r="D11" s="78"/>
      <c r="E11" s="54"/>
      <c r="F11" s="79"/>
      <c r="G11" s="80"/>
      <c r="H11" s="78"/>
      <c r="I11" s="57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ht="36.0" customHeight="1">
      <c r="A12" s="69"/>
      <c r="B12" s="69"/>
      <c r="C12" s="77"/>
      <c r="D12" s="78"/>
      <c r="E12" s="54"/>
      <c r="F12" s="79"/>
      <c r="G12" s="80"/>
      <c r="H12" s="78"/>
      <c r="I12" s="57"/>
      <c r="J12" s="69"/>
      <c r="K12" s="87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ht="36.0" customHeight="1">
      <c r="A13" s="69"/>
      <c r="B13" s="69"/>
      <c r="C13" s="88" t="s">
        <v>78</v>
      </c>
      <c r="D13" s="89" t="s">
        <v>79</v>
      </c>
      <c r="E13" s="62"/>
      <c r="F13" s="79"/>
      <c r="G13" s="80"/>
      <c r="H13" s="78"/>
      <c r="I13" s="57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ht="11.2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ht="39.0" customHeight="1">
      <c r="A15" s="69"/>
      <c r="B15" s="69"/>
      <c r="C15" s="90" t="str">
        <f>'(Fases) Grandes Marcos'!$E$5</f>
        <v>Resultado Pretendido (Valor entregue ao cliente nessa fase)</v>
      </c>
      <c r="D15" s="91" t="str">
        <f>'(Fases) Grandes Marcos'!E6</f>
        <v>Garantir que está tudo pronto para começar o projeto com sucesso</v>
      </c>
      <c r="E15" s="92"/>
      <c r="F15" s="69"/>
      <c r="G15" s="90" t="str">
        <f>'(Fases) Grandes Marcos'!$H$5</f>
        <v>O que você faz durante esse processo que garante esse resultado?</v>
      </c>
      <c r="H15" s="91" t="str">
        <f>'(Fases) Grandes Marcos'!H6</f>
        <v>Executamos uma reunião de kickoff e estabeleço alguns acordos importantes para o processo.</v>
      </c>
      <c r="I15" s="92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ht="14.25" customHeight="1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 ht="51.0" customHeight="1">
      <c r="A17" s="69"/>
      <c r="B17" s="69"/>
      <c r="C17" s="12" t="s">
        <v>69</v>
      </c>
      <c r="D17" s="71" t="s">
        <v>70</v>
      </c>
      <c r="E17" s="8"/>
      <c r="F17" s="72" t="s">
        <v>71</v>
      </c>
      <c r="G17" s="72" t="s">
        <v>72</v>
      </c>
      <c r="H17" s="71" t="s">
        <v>73</v>
      </c>
      <c r="I17" s="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 ht="27.0" customHeight="1">
      <c r="A18" s="69"/>
      <c r="B18" s="12" t="s">
        <v>34</v>
      </c>
      <c r="C18" s="73" t="str">
        <f>'(Fases) Grandes Marcos'!C7</f>
        <v/>
      </c>
      <c r="D18" s="83" t="s">
        <v>80</v>
      </c>
      <c r="E18" s="54"/>
      <c r="F18" s="84" t="s">
        <v>81</v>
      </c>
      <c r="G18" s="80" t="s">
        <v>82</v>
      </c>
      <c r="H18" s="93" t="s">
        <v>83</v>
      </c>
      <c r="I18" s="57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>
      <c r="A19" s="69"/>
      <c r="B19" s="81"/>
      <c r="C19" s="77"/>
      <c r="D19" s="78"/>
      <c r="E19" s="54"/>
      <c r="F19" s="79"/>
      <c r="G19" s="80"/>
      <c r="H19" s="78"/>
      <c r="I19" s="57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>
      <c r="A20" s="69"/>
      <c r="B20" s="81"/>
      <c r="C20" s="77"/>
      <c r="D20" s="78"/>
      <c r="E20" s="54"/>
      <c r="F20" s="79"/>
      <c r="G20" s="80"/>
      <c r="H20" s="78"/>
      <c r="I20" s="57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 ht="15.75" customHeight="1">
      <c r="A21" s="69"/>
      <c r="B21" s="81"/>
      <c r="C21" s="77"/>
      <c r="D21" s="78"/>
      <c r="E21" s="54"/>
      <c r="F21" s="79"/>
      <c r="G21" s="80"/>
      <c r="H21" s="78"/>
      <c r="I21" s="57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</row>
    <row r="22" ht="27.0" customHeight="1">
      <c r="A22" s="69"/>
      <c r="B22" s="81"/>
      <c r="C22" s="77"/>
      <c r="D22" s="78"/>
      <c r="E22" s="54"/>
      <c r="F22" s="79"/>
      <c r="G22" s="80"/>
      <c r="H22" s="78"/>
      <c r="I22" s="57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ht="15.75" customHeight="1">
      <c r="A23" s="69"/>
      <c r="B23" s="81"/>
      <c r="C23" s="77"/>
      <c r="D23" s="78"/>
      <c r="E23" s="54"/>
      <c r="F23" s="79"/>
      <c r="G23" s="80"/>
      <c r="H23" s="78"/>
      <c r="I23" s="94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ht="15.75" customHeight="1">
      <c r="A24" s="69"/>
      <c r="B24" s="81"/>
      <c r="C24" s="77"/>
      <c r="D24" s="78"/>
      <c r="E24" s="54"/>
      <c r="F24" s="79"/>
      <c r="G24" s="80"/>
      <c r="H24" s="78"/>
      <c r="I24" s="94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ht="15.75" customHeight="1">
      <c r="A25" s="69"/>
      <c r="B25" s="81"/>
      <c r="C25" s="88" t="s">
        <v>78</v>
      </c>
      <c r="D25" s="89" t="s">
        <v>79</v>
      </c>
      <c r="E25" s="62"/>
      <c r="F25" s="79"/>
      <c r="G25" s="80"/>
      <c r="H25" s="78"/>
      <c r="I25" s="57"/>
      <c r="J25" s="69"/>
      <c r="K25" s="87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ht="11.2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ht="39.0" customHeight="1">
      <c r="A27" s="69"/>
      <c r="B27" s="69"/>
      <c r="C27" s="90" t="str">
        <f>'(Fases) Grandes Marcos'!$E$5</f>
        <v>Resultado Pretendido (Valor entregue ao cliente nessa fase)</v>
      </c>
      <c r="D27" s="91" t="str">
        <f>'(Fases) Grandes Marcos'!E7</f>
        <v/>
      </c>
      <c r="E27" s="92"/>
      <c r="F27" s="69"/>
      <c r="G27" s="90" t="str">
        <f>'(Fases) Grandes Marcos'!$H$5</f>
        <v>O que você faz durante esse processo que garante esse resultado?</v>
      </c>
      <c r="H27" s="91" t="str">
        <f>'(Fases) Grandes Marcos'!H7</f>
        <v/>
      </c>
      <c r="I27" s="92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ht="14.2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ht="51.0" customHeight="1">
      <c r="A29" s="69"/>
      <c r="B29" s="69"/>
      <c r="C29" s="12" t="s">
        <v>69</v>
      </c>
      <c r="D29" s="71" t="s">
        <v>70</v>
      </c>
      <c r="E29" s="8"/>
      <c r="F29" s="72" t="s">
        <v>71</v>
      </c>
      <c r="G29" s="72" t="s">
        <v>72</v>
      </c>
      <c r="H29" s="71" t="s">
        <v>73</v>
      </c>
      <c r="I29" s="8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ht="27.0" customHeight="1">
      <c r="A30" s="69"/>
      <c r="B30" s="12" t="s">
        <v>35</v>
      </c>
      <c r="C30" s="73" t="str">
        <f>'(Fases) Grandes Marcos'!C8</f>
        <v/>
      </c>
      <c r="D30" s="74"/>
      <c r="E30" s="49"/>
      <c r="F30" s="75"/>
      <c r="G30" s="80"/>
      <c r="H30" s="74"/>
      <c r="I30" s="52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ht="15.75" customHeight="1">
      <c r="A31" s="69"/>
      <c r="B31" s="69"/>
      <c r="C31" s="77"/>
      <c r="D31" s="78"/>
      <c r="E31" s="54"/>
      <c r="F31" s="79"/>
      <c r="G31" s="80"/>
      <c r="H31" s="78"/>
      <c r="I31" s="57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ht="27.0" customHeight="1">
      <c r="A32" s="69"/>
      <c r="B32" s="69"/>
      <c r="C32" s="77"/>
      <c r="D32" s="78"/>
      <c r="E32" s="54"/>
      <c r="F32" s="79"/>
      <c r="G32" s="80"/>
      <c r="H32" s="78"/>
      <c r="I32" s="57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ht="15.75" customHeight="1">
      <c r="A33" s="69"/>
      <c r="B33" s="69"/>
      <c r="C33" s="77"/>
      <c r="D33" s="78"/>
      <c r="E33" s="54"/>
      <c r="F33" s="79"/>
      <c r="G33" s="80"/>
      <c r="H33" s="78"/>
      <c r="I33" s="57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ht="27.0" customHeight="1">
      <c r="A34" s="69"/>
      <c r="B34" s="69"/>
      <c r="C34" s="77"/>
      <c r="D34" s="78"/>
      <c r="E34" s="54"/>
      <c r="F34" s="79"/>
      <c r="G34" s="80"/>
      <c r="H34" s="78"/>
      <c r="I34" s="57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ht="27.0" customHeight="1">
      <c r="A35" s="69"/>
      <c r="B35" s="69"/>
      <c r="C35" s="77"/>
      <c r="D35" s="78"/>
      <c r="E35" s="54"/>
      <c r="F35" s="79"/>
      <c r="G35" s="80"/>
      <c r="H35" s="78"/>
      <c r="I35" s="57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ht="27.0" customHeight="1">
      <c r="A36" s="69"/>
      <c r="B36" s="69"/>
      <c r="C36" s="77"/>
      <c r="D36" s="78"/>
      <c r="E36" s="54"/>
      <c r="F36" s="79"/>
      <c r="G36" s="80"/>
      <c r="H36" s="78"/>
      <c r="I36" s="57"/>
      <c r="J36" s="69"/>
      <c r="K36" s="87"/>
      <c r="L36" s="87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ht="27.0" customHeight="1">
      <c r="A37" s="69"/>
      <c r="B37" s="69"/>
      <c r="C37" s="77"/>
      <c r="D37" s="78"/>
      <c r="E37" s="54"/>
      <c r="F37" s="79"/>
      <c r="G37" s="80"/>
      <c r="H37" s="78"/>
      <c r="I37" s="57"/>
      <c r="J37" s="69"/>
      <c r="K37" s="87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ht="27.0" customHeight="1">
      <c r="A38" s="69"/>
      <c r="B38" s="95"/>
      <c r="C38" s="96"/>
      <c r="D38" s="78"/>
      <c r="E38" s="54"/>
      <c r="F38" s="79"/>
      <c r="G38" s="97"/>
      <c r="H38" s="78"/>
      <c r="I38" s="57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ht="27.0" customHeight="1">
      <c r="A39" s="69"/>
      <c r="B39" s="69"/>
      <c r="C39" s="88"/>
      <c r="D39" s="98"/>
      <c r="E39" s="99"/>
      <c r="F39" s="100"/>
      <c r="G39" s="101"/>
      <c r="H39" s="78"/>
      <c r="I39" s="57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ht="27.0" customHeight="1">
      <c r="A40" s="69"/>
      <c r="B40" s="69"/>
      <c r="C40" s="88" t="s">
        <v>78</v>
      </c>
      <c r="D40" s="89" t="s">
        <v>79</v>
      </c>
      <c r="E40" s="62"/>
      <c r="F40" s="100"/>
      <c r="G40" s="101"/>
      <c r="H40" s="78"/>
      <c r="I40" s="57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ht="11.2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</row>
    <row r="42" ht="39.0" customHeight="1">
      <c r="A42" s="69"/>
      <c r="B42" s="69"/>
      <c r="C42" s="90" t="str">
        <f>'(Fases) Grandes Marcos'!$E$5</f>
        <v>Resultado Pretendido (Valor entregue ao cliente nessa fase)</v>
      </c>
      <c r="D42" s="91" t="str">
        <f>'(Fases) Grandes Marcos'!E8</f>
        <v/>
      </c>
      <c r="E42" s="92"/>
      <c r="F42" s="69"/>
      <c r="G42" s="90" t="str">
        <f>'(Fases) Grandes Marcos'!$H$5</f>
        <v>O que você faz durante esse processo que garante esse resultado?</v>
      </c>
      <c r="H42" s="91" t="str">
        <f>'(Fases) Grandes Marcos'!H8</f>
        <v/>
      </c>
      <c r="I42" s="92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</row>
    <row r="43" ht="14.2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</row>
    <row r="44" ht="51.0" customHeight="1">
      <c r="A44" s="69"/>
      <c r="B44" s="69"/>
      <c r="C44" s="12" t="s">
        <v>69</v>
      </c>
      <c r="D44" s="71" t="s">
        <v>70</v>
      </c>
      <c r="E44" s="8"/>
      <c r="F44" s="72" t="s">
        <v>71</v>
      </c>
      <c r="G44" s="72" t="s">
        <v>72</v>
      </c>
      <c r="H44" s="71" t="s">
        <v>73</v>
      </c>
      <c r="I44" s="8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</row>
    <row r="45" ht="24.0" customHeight="1">
      <c r="A45" s="69"/>
      <c r="B45" s="12" t="s">
        <v>36</v>
      </c>
      <c r="C45" s="102" t="str">
        <f>'(Fases) Grandes Marcos'!C9</f>
        <v/>
      </c>
      <c r="D45" s="103"/>
      <c r="E45" s="54"/>
      <c r="F45" s="75"/>
      <c r="G45" s="80"/>
      <c r="H45" s="74"/>
      <c r="I45" s="52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</row>
    <row r="46" ht="44.25" customHeight="1">
      <c r="A46" s="69"/>
      <c r="B46" s="69"/>
      <c r="C46" s="77"/>
      <c r="D46" s="78"/>
      <c r="E46" s="54"/>
      <c r="F46" s="79"/>
      <c r="G46" s="80"/>
      <c r="H46" s="78"/>
      <c r="I46" s="57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</row>
    <row r="47" ht="24.0" customHeight="1">
      <c r="A47" s="69"/>
      <c r="B47" s="69"/>
      <c r="C47" s="77"/>
      <c r="D47" s="78"/>
      <c r="E47" s="54"/>
      <c r="F47" s="79"/>
      <c r="G47" s="80"/>
      <c r="H47" s="78"/>
      <c r="I47" s="57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</row>
    <row r="48" ht="24.0" customHeight="1">
      <c r="A48" s="69"/>
      <c r="B48" s="69"/>
      <c r="C48" s="77"/>
      <c r="D48" s="78"/>
      <c r="E48" s="54"/>
      <c r="F48" s="79"/>
      <c r="G48" s="80"/>
      <c r="H48" s="78"/>
      <c r="I48" s="57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</row>
    <row r="49" ht="24.0" customHeight="1">
      <c r="A49" s="69"/>
      <c r="B49" s="69"/>
      <c r="C49" s="77"/>
      <c r="D49" s="78"/>
      <c r="E49" s="54"/>
      <c r="F49" s="79"/>
      <c r="G49" s="80"/>
      <c r="H49" s="78"/>
      <c r="I49" s="57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</row>
    <row r="50" ht="24.0" customHeight="1">
      <c r="A50" s="69"/>
      <c r="B50" s="69"/>
      <c r="C50" s="77"/>
      <c r="D50" s="78"/>
      <c r="E50" s="54"/>
      <c r="F50" s="79"/>
      <c r="G50" s="80"/>
      <c r="H50" s="78"/>
      <c r="I50" s="57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</row>
    <row r="51" ht="24.0" customHeight="1">
      <c r="A51" s="69"/>
      <c r="B51" s="69"/>
      <c r="C51" s="77"/>
      <c r="D51" s="78"/>
      <c r="E51" s="54"/>
      <c r="F51" s="79"/>
      <c r="G51" s="80"/>
      <c r="H51" s="78"/>
      <c r="I51" s="57"/>
      <c r="J51" s="69"/>
      <c r="K51" s="87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</row>
    <row r="52" ht="24.0" customHeight="1">
      <c r="A52" s="69"/>
      <c r="B52" s="69"/>
      <c r="C52" s="104"/>
      <c r="D52" s="78"/>
      <c r="E52" s="54"/>
      <c r="F52" s="79"/>
      <c r="G52" s="105"/>
      <c r="H52" s="78"/>
      <c r="I52" s="57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</row>
    <row r="53" ht="24.0" customHeight="1">
      <c r="A53" s="69"/>
      <c r="B53" s="69"/>
      <c r="C53" s="104"/>
      <c r="D53" s="78"/>
      <c r="E53" s="54"/>
      <c r="F53" s="79"/>
      <c r="G53" s="105"/>
      <c r="H53" s="78"/>
      <c r="I53" s="57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</row>
    <row r="54" ht="24.0" customHeight="1">
      <c r="A54" s="69"/>
      <c r="B54" s="69"/>
      <c r="C54" s="104"/>
      <c r="D54" s="78"/>
      <c r="E54" s="54"/>
      <c r="F54" s="79"/>
      <c r="G54" s="105"/>
      <c r="H54" s="78"/>
      <c r="I54" s="57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ht="24.0" customHeight="1">
      <c r="A55" s="69"/>
      <c r="B55" s="69"/>
      <c r="C55" s="104"/>
      <c r="D55" s="78"/>
      <c r="E55" s="54"/>
      <c r="F55" s="79"/>
      <c r="G55" s="105"/>
      <c r="H55" s="78"/>
      <c r="I55" s="57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ht="33.0" customHeight="1">
      <c r="A56" s="69"/>
      <c r="B56" s="106"/>
      <c r="C56" s="96"/>
      <c r="D56" s="107"/>
      <c r="E56" s="54"/>
      <c r="F56" s="79"/>
      <c r="G56" s="105"/>
      <c r="H56" s="78"/>
      <c r="I56" s="57"/>
      <c r="J56" s="108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</row>
    <row r="57" ht="24.0" customHeight="1">
      <c r="A57" s="69"/>
      <c r="B57" s="69"/>
      <c r="C57" s="104"/>
      <c r="D57" s="78"/>
      <c r="E57" s="54"/>
      <c r="F57" s="79"/>
      <c r="G57" s="105"/>
      <c r="H57" s="78"/>
      <c r="I57" s="57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</row>
    <row r="58" ht="24.0" customHeight="1">
      <c r="A58" s="69"/>
      <c r="B58" s="69"/>
      <c r="C58" s="88" t="s">
        <v>78</v>
      </c>
      <c r="D58" s="89" t="s">
        <v>79</v>
      </c>
      <c r="E58" s="62"/>
      <c r="F58" s="100"/>
      <c r="G58" s="101"/>
      <c r="H58" s="78"/>
      <c r="I58" s="57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</row>
    <row r="59" ht="11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</row>
    <row r="60" ht="39.0" customHeight="1">
      <c r="A60" s="69"/>
      <c r="B60" s="69"/>
      <c r="C60" s="90" t="str">
        <f>'(Fases) Grandes Marcos'!$E$5</f>
        <v>Resultado Pretendido (Valor entregue ao cliente nessa fase)</v>
      </c>
      <c r="D60" s="91" t="str">
        <f>'(Fases) Grandes Marcos'!E9</f>
        <v/>
      </c>
      <c r="E60" s="92"/>
      <c r="F60" s="69"/>
      <c r="G60" s="90" t="str">
        <f>'(Fases) Grandes Marcos'!$H$5</f>
        <v>O que você faz durante esse processo que garante esse resultado?</v>
      </c>
      <c r="H60" s="91" t="str">
        <f>'(Fases) Grandes Marcos'!H9</f>
        <v/>
      </c>
      <c r="I60" s="92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</row>
    <row r="62" ht="51.0" customHeight="1">
      <c r="A62" s="69"/>
      <c r="B62" s="69"/>
      <c r="C62" s="12" t="s">
        <v>69</v>
      </c>
      <c r="D62" s="71" t="s">
        <v>70</v>
      </c>
      <c r="E62" s="8"/>
      <c r="F62" s="72" t="s">
        <v>71</v>
      </c>
      <c r="G62" s="72" t="s">
        <v>72</v>
      </c>
      <c r="H62" s="71" t="s">
        <v>73</v>
      </c>
      <c r="I62" s="8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</row>
    <row r="63" ht="30.0" customHeight="1">
      <c r="A63" s="69"/>
      <c r="B63" s="12" t="s">
        <v>37</v>
      </c>
      <c r="C63" s="102" t="str">
        <f>'(Fases) Grandes Marcos'!C10</f>
        <v/>
      </c>
      <c r="D63" s="78"/>
      <c r="E63" s="54"/>
      <c r="F63" s="75"/>
      <c r="G63" s="80"/>
      <c r="H63" s="89"/>
      <c r="I63" s="65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</row>
    <row r="64" ht="30.0" customHeight="1">
      <c r="A64" s="69"/>
      <c r="B64" s="81"/>
      <c r="C64" s="77"/>
      <c r="D64" s="78"/>
      <c r="E64" s="54"/>
      <c r="F64" s="75"/>
      <c r="G64" s="80"/>
      <c r="H64" s="89"/>
      <c r="I64" s="65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</row>
    <row r="65" ht="30.0" customHeight="1">
      <c r="A65" s="69"/>
      <c r="B65" s="81"/>
      <c r="C65" s="77"/>
      <c r="D65" s="78"/>
      <c r="E65" s="54"/>
      <c r="F65" s="75"/>
      <c r="G65" s="80"/>
      <c r="H65" s="89"/>
      <c r="I65" s="65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</row>
    <row r="66" ht="30.0" customHeight="1">
      <c r="A66" s="69"/>
      <c r="B66" s="81"/>
      <c r="C66" s="77"/>
      <c r="D66" s="78"/>
      <c r="E66" s="54"/>
      <c r="F66" s="75"/>
      <c r="G66" s="80"/>
      <c r="H66" s="89"/>
      <c r="I66" s="65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</row>
    <row r="67" ht="30.0" customHeight="1">
      <c r="A67" s="69"/>
      <c r="B67" s="81"/>
      <c r="C67" s="77"/>
      <c r="D67" s="78"/>
      <c r="E67" s="54"/>
      <c r="F67" s="75"/>
      <c r="G67" s="80"/>
      <c r="H67" s="89"/>
      <c r="I67" s="65"/>
      <c r="J67" s="69"/>
      <c r="K67" s="87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</row>
    <row r="68" ht="30.0" customHeight="1">
      <c r="A68" s="69"/>
      <c r="B68" s="81"/>
      <c r="C68" s="104"/>
      <c r="D68" s="78"/>
      <c r="E68" s="54"/>
      <c r="F68" s="75"/>
      <c r="G68" s="80"/>
      <c r="H68" s="89"/>
      <c r="I68" s="65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</row>
    <row r="69" ht="30.0" customHeight="1">
      <c r="A69" s="69"/>
      <c r="B69" s="109"/>
      <c r="C69" s="104"/>
      <c r="D69" s="78"/>
      <c r="E69" s="54"/>
      <c r="F69" s="79"/>
      <c r="G69" s="110"/>
      <c r="H69" s="78"/>
      <c r="I69" s="57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</row>
    <row r="70" ht="30.0" customHeight="1">
      <c r="A70" s="69"/>
      <c r="B70" s="81"/>
      <c r="C70" s="88"/>
      <c r="D70" s="89"/>
      <c r="E70" s="62"/>
      <c r="F70" s="111"/>
      <c r="G70" s="101"/>
      <c r="H70" s="78"/>
      <c r="I70" s="57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</row>
    <row r="71" ht="30.0" customHeight="1">
      <c r="A71" s="69"/>
      <c r="B71" s="69"/>
      <c r="C71" s="104"/>
      <c r="D71" s="78"/>
      <c r="E71" s="54"/>
      <c r="F71" s="111"/>
      <c r="G71" s="101"/>
      <c r="H71" s="78"/>
      <c r="I71" s="57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</row>
    <row r="72" ht="30.0" customHeight="1">
      <c r="A72" s="69"/>
      <c r="B72" s="69"/>
      <c r="C72" s="104"/>
      <c r="D72" s="105"/>
      <c r="E72" s="105"/>
      <c r="F72" s="111"/>
      <c r="G72" s="101"/>
      <c r="H72" s="112"/>
      <c r="I72" s="112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</row>
    <row r="73" ht="30.0" customHeight="1">
      <c r="A73" s="69"/>
      <c r="B73" s="69"/>
      <c r="C73" s="88"/>
      <c r="D73" s="89"/>
      <c r="E73" s="62"/>
      <c r="F73" s="100"/>
      <c r="G73" s="101"/>
      <c r="H73" s="89"/>
      <c r="I73" s="65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</row>
    <row r="74" ht="11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</row>
    <row r="75" ht="39.0" customHeight="1">
      <c r="A75" s="69"/>
      <c r="B75" s="69"/>
      <c r="C75" s="90" t="str">
        <f>'(Fases) Grandes Marcos'!$E$5</f>
        <v>Resultado Pretendido (Valor entregue ao cliente nessa fase)</v>
      </c>
      <c r="D75" s="91" t="str">
        <f>'(Fases) Grandes Marcos'!E10</f>
        <v/>
      </c>
      <c r="E75" s="92"/>
      <c r="F75" s="69"/>
      <c r="G75" s="90" t="str">
        <f>'(Fases) Grandes Marcos'!$H$5</f>
        <v>O que você faz durante esse processo que garante esse resultado?</v>
      </c>
      <c r="H75" s="91" t="str">
        <f>'(Fases) Grandes Marcos'!H10</f>
        <v/>
      </c>
      <c r="I75" s="92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</row>
    <row r="76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</row>
    <row r="77" ht="51.0" customHeight="1">
      <c r="A77" s="69"/>
      <c r="B77" s="69"/>
      <c r="C77" s="12" t="s">
        <v>69</v>
      </c>
      <c r="D77" s="71" t="s">
        <v>70</v>
      </c>
      <c r="E77" s="8"/>
      <c r="F77" s="72" t="s">
        <v>71</v>
      </c>
      <c r="G77" s="72" t="s">
        <v>72</v>
      </c>
      <c r="H77" s="71" t="s">
        <v>73</v>
      </c>
      <c r="I77" s="8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</row>
    <row r="78" ht="30.0" customHeight="1">
      <c r="A78" s="69"/>
      <c r="B78" s="12" t="s">
        <v>38</v>
      </c>
      <c r="C78" s="73" t="str">
        <f>'(Fases) Grandes Marcos'!C11</f>
        <v/>
      </c>
      <c r="D78" s="78"/>
      <c r="E78" s="54"/>
      <c r="F78" s="75"/>
      <c r="G78" s="80"/>
      <c r="H78" s="74"/>
      <c r="I78" s="52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</row>
    <row r="79" ht="30.0" customHeight="1">
      <c r="A79" s="69"/>
      <c r="B79" s="69"/>
      <c r="C79" s="104"/>
      <c r="D79" s="78"/>
      <c r="E79" s="54"/>
      <c r="F79" s="79"/>
      <c r="G79" s="110"/>
      <c r="H79" s="78"/>
      <c r="I79" s="57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</row>
    <row r="80" ht="30.0" customHeight="1">
      <c r="A80" s="69"/>
      <c r="B80" s="69"/>
      <c r="C80" s="77"/>
      <c r="D80" s="78"/>
      <c r="E80" s="54"/>
      <c r="F80" s="79"/>
      <c r="G80" s="80"/>
      <c r="H80" s="113"/>
      <c r="I80" s="54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</row>
    <row r="81" ht="30.0" customHeight="1">
      <c r="A81" s="69"/>
      <c r="B81" s="69"/>
      <c r="C81" s="77"/>
      <c r="D81" s="78"/>
      <c r="E81" s="54"/>
      <c r="F81" s="79"/>
      <c r="G81" s="80"/>
      <c r="H81" s="78"/>
      <c r="I81" s="57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</row>
    <row r="82" ht="30.0" customHeight="1">
      <c r="A82" s="69"/>
      <c r="B82" s="69"/>
      <c r="C82" s="77"/>
      <c r="D82" s="78"/>
      <c r="E82" s="54"/>
      <c r="F82" s="79"/>
      <c r="G82" s="80"/>
      <c r="H82" s="78"/>
      <c r="I82" s="57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</row>
    <row r="83" ht="30.0" customHeight="1">
      <c r="A83" s="69"/>
      <c r="B83" s="69"/>
      <c r="C83" s="77"/>
      <c r="D83" s="78"/>
      <c r="E83" s="54"/>
      <c r="F83" s="79"/>
      <c r="G83" s="80"/>
      <c r="H83" s="78"/>
      <c r="I83" s="57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</row>
    <row r="84" ht="30.0" customHeight="1">
      <c r="A84" s="69"/>
      <c r="B84" s="69"/>
      <c r="C84" s="77"/>
      <c r="D84" s="78"/>
      <c r="E84" s="54"/>
      <c r="F84" s="79"/>
      <c r="G84" s="80"/>
      <c r="H84" s="78"/>
      <c r="I84" s="57"/>
      <c r="J84" s="69"/>
      <c r="K84" s="87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</row>
    <row r="85" ht="30.0" customHeight="1">
      <c r="A85" s="69"/>
      <c r="B85" s="69"/>
      <c r="C85" s="88" t="s">
        <v>78</v>
      </c>
      <c r="D85" s="89" t="s">
        <v>79</v>
      </c>
      <c r="E85" s="62"/>
      <c r="F85" s="100"/>
      <c r="G85" s="101"/>
      <c r="H85" s="89"/>
      <c r="I85" s="65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</row>
    <row r="86" ht="11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</row>
    <row r="87" ht="39.0" customHeight="1">
      <c r="A87" s="69"/>
      <c r="B87" s="69"/>
      <c r="C87" s="90" t="str">
        <f>'(Fases) Grandes Marcos'!$E$5</f>
        <v>Resultado Pretendido (Valor entregue ao cliente nessa fase)</v>
      </c>
      <c r="D87" s="91" t="str">
        <f>'(Fases) Grandes Marcos'!E11</f>
        <v/>
      </c>
      <c r="E87" s="92"/>
      <c r="F87" s="69"/>
      <c r="G87" s="90" t="str">
        <f>'(Fases) Grandes Marcos'!$H$5</f>
        <v>O que você faz durante esse processo que garante esse resultado?</v>
      </c>
      <c r="H87" s="91" t="str">
        <f>'(Fases) Grandes Marcos'!H11</f>
        <v/>
      </c>
      <c r="I87" s="92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</row>
    <row r="88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</row>
    <row r="89" ht="51.0" customHeight="1">
      <c r="A89" s="69"/>
      <c r="B89" s="69"/>
      <c r="C89" s="12" t="s">
        <v>69</v>
      </c>
      <c r="D89" s="71" t="s">
        <v>70</v>
      </c>
      <c r="E89" s="8"/>
      <c r="F89" s="72" t="s">
        <v>71</v>
      </c>
      <c r="G89" s="72" t="s">
        <v>72</v>
      </c>
      <c r="H89" s="71" t="s">
        <v>73</v>
      </c>
      <c r="I89" s="8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</row>
    <row r="90" ht="30.0" customHeight="1">
      <c r="A90" s="69"/>
      <c r="B90" s="12" t="s">
        <v>39</v>
      </c>
      <c r="C90" s="73" t="str">
        <f>'(Fases) Grandes Marcos'!C12</f>
        <v/>
      </c>
      <c r="D90" s="74"/>
      <c r="E90" s="49"/>
      <c r="F90" s="75"/>
      <c r="G90" s="76"/>
      <c r="H90" s="74"/>
      <c r="I90" s="52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</row>
    <row r="91" ht="30.0" customHeight="1">
      <c r="A91" s="69"/>
      <c r="B91" s="69"/>
      <c r="C91" s="77"/>
      <c r="D91" s="78"/>
      <c r="E91" s="54"/>
      <c r="F91" s="79"/>
      <c r="G91" s="80"/>
      <c r="H91" s="78"/>
      <c r="I91" s="57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</row>
    <row r="92" ht="30.0" customHeight="1">
      <c r="A92" s="69"/>
      <c r="B92" s="69"/>
      <c r="C92" s="77"/>
      <c r="D92" s="78"/>
      <c r="E92" s="54"/>
      <c r="F92" s="79"/>
      <c r="G92" s="80"/>
      <c r="H92" s="78"/>
      <c r="I92" s="57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</row>
    <row r="93" ht="30.0" customHeight="1">
      <c r="A93" s="69"/>
      <c r="B93" s="69"/>
      <c r="C93" s="77"/>
      <c r="D93" s="78"/>
      <c r="E93" s="54"/>
      <c r="F93" s="79"/>
      <c r="G93" s="80"/>
      <c r="H93" s="78"/>
      <c r="I93" s="57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</row>
    <row r="94" ht="30.0" customHeight="1">
      <c r="A94" s="69"/>
      <c r="B94" s="69"/>
      <c r="C94" s="77"/>
      <c r="D94" s="78"/>
      <c r="E94" s="54"/>
      <c r="F94" s="79"/>
      <c r="G94" s="80"/>
      <c r="H94" s="78"/>
      <c r="I94" s="57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</row>
    <row r="95" ht="30.0" customHeight="1">
      <c r="A95" s="69"/>
      <c r="B95" s="69"/>
      <c r="C95" s="77"/>
      <c r="D95" s="78"/>
      <c r="E95" s="54"/>
      <c r="F95" s="79"/>
      <c r="G95" s="80"/>
      <c r="H95" s="78"/>
      <c r="I95" s="57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</row>
    <row r="96" ht="30.0" customHeight="1">
      <c r="A96" s="69"/>
      <c r="B96" s="69"/>
      <c r="C96" s="77"/>
      <c r="D96" s="78"/>
      <c r="E96" s="54"/>
      <c r="F96" s="79"/>
      <c r="G96" s="80"/>
      <c r="H96" s="78"/>
      <c r="I96" s="57"/>
      <c r="J96" s="69"/>
      <c r="K96" s="87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</row>
    <row r="97" ht="30.0" customHeight="1">
      <c r="A97" s="69"/>
      <c r="B97" s="69"/>
      <c r="C97" s="88" t="s">
        <v>78</v>
      </c>
      <c r="D97" s="89" t="s">
        <v>79</v>
      </c>
      <c r="E97" s="62"/>
      <c r="F97" s="100"/>
      <c r="G97" s="101"/>
      <c r="H97" s="89"/>
      <c r="I97" s="65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</row>
    <row r="98" ht="11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</row>
    <row r="99" ht="39.0" customHeight="1">
      <c r="A99" s="69"/>
      <c r="B99" s="69"/>
      <c r="C99" s="90" t="str">
        <f>'(Fases) Grandes Marcos'!$E$5</f>
        <v>Resultado Pretendido (Valor entregue ao cliente nessa fase)</v>
      </c>
      <c r="D99" s="91" t="str">
        <f>'(Fases) Grandes Marcos'!E12</f>
        <v/>
      </c>
      <c r="E99" s="92"/>
      <c r="F99" s="69"/>
      <c r="G99" s="90" t="str">
        <f>'(Fases) Grandes Marcos'!$H$5</f>
        <v>O que você faz durante esse processo que garante esse resultado?</v>
      </c>
      <c r="H99" s="91" t="str">
        <f>'(Fases) Grandes Marcos'!H12</f>
        <v/>
      </c>
      <c r="I99" s="92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</row>
    <row r="10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</row>
    <row r="101" ht="51.0" customHeight="1">
      <c r="A101" s="69"/>
      <c r="B101" s="69"/>
      <c r="C101" s="12" t="s">
        <v>69</v>
      </c>
      <c r="D101" s="71" t="s">
        <v>70</v>
      </c>
      <c r="E101" s="8"/>
      <c r="F101" s="72" t="s">
        <v>71</v>
      </c>
      <c r="G101" s="72" t="s">
        <v>72</v>
      </c>
      <c r="H101" s="71" t="s">
        <v>73</v>
      </c>
      <c r="I101" s="8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</row>
    <row r="102" ht="30.0" customHeight="1">
      <c r="A102" s="69"/>
      <c r="B102" s="12" t="s">
        <v>39</v>
      </c>
      <c r="C102" s="73" t="str">
        <f>'(Fases) Grandes Marcos'!C13</f>
        <v/>
      </c>
      <c r="D102" s="78"/>
      <c r="E102" s="54"/>
      <c r="F102" s="75"/>
      <c r="G102" s="80"/>
      <c r="H102" s="74"/>
      <c r="I102" s="52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</row>
    <row r="103" ht="30.0" customHeight="1">
      <c r="A103" s="69"/>
      <c r="B103" s="69"/>
      <c r="C103" s="77"/>
      <c r="D103" s="78"/>
      <c r="E103" s="54"/>
      <c r="F103" s="79"/>
      <c r="G103" s="80"/>
      <c r="H103" s="78"/>
      <c r="I103" s="57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</row>
    <row r="104" ht="30.0" customHeight="1">
      <c r="A104" s="69"/>
      <c r="B104" s="69"/>
      <c r="C104" s="77"/>
      <c r="D104" s="78"/>
      <c r="E104" s="54"/>
      <c r="F104" s="79"/>
      <c r="G104" s="80"/>
      <c r="H104" s="78"/>
      <c r="I104" s="57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</row>
    <row r="105" ht="30.0" customHeight="1">
      <c r="A105" s="69"/>
      <c r="B105" s="69"/>
      <c r="C105" s="77"/>
      <c r="D105" s="78"/>
      <c r="E105" s="54"/>
      <c r="F105" s="79"/>
      <c r="G105" s="80"/>
      <c r="H105" s="78"/>
      <c r="I105" s="57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</row>
    <row r="106" ht="30.0" customHeight="1">
      <c r="A106" s="69"/>
      <c r="B106" s="69"/>
      <c r="C106" s="77"/>
      <c r="D106" s="78"/>
      <c r="E106" s="54"/>
      <c r="F106" s="79"/>
      <c r="G106" s="80"/>
      <c r="H106" s="78"/>
      <c r="I106" s="57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</row>
    <row r="107" ht="30.0" customHeight="1">
      <c r="A107" s="69"/>
      <c r="B107" s="69"/>
      <c r="C107" s="77"/>
      <c r="D107" s="78"/>
      <c r="E107" s="54"/>
      <c r="F107" s="79"/>
      <c r="G107" s="80"/>
      <c r="H107" s="78"/>
      <c r="I107" s="57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</row>
    <row r="108" ht="30.0" customHeight="1">
      <c r="A108" s="69"/>
      <c r="B108" s="69"/>
      <c r="C108" s="77"/>
      <c r="D108" s="78"/>
      <c r="E108" s="54"/>
      <c r="F108" s="79"/>
      <c r="G108" s="80"/>
      <c r="H108" s="78"/>
      <c r="I108" s="57"/>
      <c r="J108" s="69"/>
      <c r="K108" s="87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</row>
    <row r="109" ht="30.0" customHeight="1">
      <c r="A109" s="69"/>
      <c r="B109" s="69"/>
      <c r="C109" s="88" t="s">
        <v>78</v>
      </c>
      <c r="D109" s="89" t="s">
        <v>79</v>
      </c>
      <c r="E109" s="62"/>
      <c r="F109" s="100"/>
      <c r="G109" s="101"/>
      <c r="H109" s="89"/>
      <c r="I109" s="65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</row>
    <row r="110" ht="11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</row>
    <row r="111" ht="39.0" customHeight="1">
      <c r="A111" s="69"/>
      <c r="B111" s="69"/>
      <c r="C111" s="90" t="str">
        <f>'(Fases) Grandes Marcos'!$E$5</f>
        <v>Resultado Pretendido (Valor entregue ao cliente nessa fase)</v>
      </c>
      <c r="D111" s="91" t="str">
        <f>'(Fases) Grandes Marcos'!E13</f>
        <v/>
      </c>
      <c r="E111" s="92"/>
      <c r="F111" s="69"/>
      <c r="G111" s="90" t="str">
        <f>'(Fases) Grandes Marcos'!$H$5</f>
        <v>O que você faz durante esse processo que garante esse resultado?</v>
      </c>
      <c r="H111" s="91" t="str">
        <f>'(Fases) Grandes Marcos'!H13</f>
        <v/>
      </c>
      <c r="I111" s="92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</row>
    <row r="112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</row>
    <row r="113" ht="51.0" customHeight="1">
      <c r="A113" s="69"/>
      <c r="B113" s="69"/>
      <c r="C113" s="12" t="s">
        <v>69</v>
      </c>
      <c r="D113" s="71" t="s">
        <v>70</v>
      </c>
      <c r="E113" s="8"/>
      <c r="F113" s="72" t="s">
        <v>71</v>
      </c>
      <c r="G113" s="72" t="s">
        <v>72</v>
      </c>
      <c r="H113" s="71" t="s">
        <v>73</v>
      </c>
      <c r="I113" s="8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</row>
    <row r="114" ht="30.0" customHeight="1">
      <c r="A114" s="69"/>
      <c r="B114" s="12" t="s">
        <v>40</v>
      </c>
      <c r="C114" s="73" t="str">
        <f>'(Fases) Grandes Marcos'!C14</f>
        <v/>
      </c>
      <c r="D114" s="74"/>
      <c r="E114" s="49"/>
      <c r="F114" s="75"/>
      <c r="G114" s="76"/>
      <c r="H114" s="74"/>
      <c r="I114" s="52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</row>
    <row r="115" ht="30.0" customHeight="1">
      <c r="A115" s="69"/>
      <c r="B115" s="69"/>
      <c r="C115" s="77"/>
      <c r="D115" s="78"/>
      <c r="E115" s="54"/>
      <c r="F115" s="79"/>
      <c r="G115" s="80"/>
      <c r="H115" s="78"/>
      <c r="I115" s="57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</row>
    <row r="116" ht="30.0" customHeight="1">
      <c r="A116" s="69"/>
      <c r="B116" s="69"/>
      <c r="C116" s="77"/>
      <c r="D116" s="78"/>
      <c r="E116" s="54"/>
      <c r="F116" s="79"/>
      <c r="G116" s="80"/>
      <c r="H116" s="78"/>
      <c r="I116" s="57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</row>
    <row r="117" ht="30.0" customHeight="1">
      <c r="A117" s="69"/>
      <c r="B117" s="69"/>
      <c r="C117" s="77"/>
      <c r="D117" s="78"/>
      <c r="E117" s="54"/>
      <c r="F117" s="79"/>
      <c r="G117" s="80"/>
      <c r="H117" s="78"/>
      <c r="I117" s="57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</row>
    <row r="118" ht="30.0" customHeight="1">
      <c r="A118" s="69"/>
      <c r="B118" s="69"/>
      <c r="C118" s="77"/>
      <c r="D118" s="78"/>
      <c r="E118" s="54"/>
      <c r="F118" s="79"/>
      <c r="G118" s="80"/>
      <c r="H118" s="78"/>
      <c r="I118" s="5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</row>
    <row r="119" ht="30.0" customHeight="1">
      <c r="A119" s="69"/>
      <c r="B119" s="69"/>
      <c r="C119" s="77"/>
      <c r="D119" s="78"/>
      <c r="E119" s="54"/>
      <c r="F119" s="79"/>
      <c r="G119" s="80"/>
      <c r="H119" s="78"/>
      <c r="I119" s="57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</row>
    <row r="120" ht="30.0" customHeight="1">
      <c r="A120" s="69"/>
      <c r="B120" s="69"/>
      <c r="C120" s="77"/>
      <c r="D120" s="78"/>
      <c r="E120" s="54"/>
      <c r="F120" s="79"/>
      <c r="G120" s="80"/>
      <c r="H120" s="78"/>
      <c r="I120" s="57"/>
      <c r="J120" s="69"/>
      <c r="K120" s="87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</row>
    <row r="121" ht="30.0" customHeight="1">
      <c r="A121" s="69"/>
      <c r="B121" s="69"/>
      <c r="C121" s="88" t="s">
        <v>78</v>
      </c>
      <c r="D121" s="89" t="s">
        <v>79</v>
      </c>
      <c r="E121" s="62"/>
      <c r="F121" s="100"/>
      <c r="G121" s="101"/>
      <c r="H121" s="89"/>
      <c r="I121" s="65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</row>
    <row r="122" ht="11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</row>
    <row r="123" ht="39.0" customHeight="1">
      <c r="A123" s="69"/>
      <c r="B123" s="69"/>
      <c r="C123" s="90" t="str">
        <f>'(Fases) Grandes Marcos'!$E$5</f>
        <v>Resultado Pretendido (Valor entregue ao cliente nessa fase)</v>
      </c>
      <c r="D123" s="91" t="str">
        <f>'(Fases) Grandes Marcos'!E14</f>
        <v/>
      </c>
      <c r="E123" s="92"/>
      <c r="F123" s="69"/>
      <c r="G123" s="90" t="str">
        <f>'(Fases) Grandes Marcos'!$H$5</f>
        <v>O que você faz durante esse processo que garante esse resultado?</v>
      </c>
      <c r="H123" s="91" t="str">
        <f>'(Fases) Grandes Marcos'!H14</f>
        <v/>
      </c>
      <c r="I123" s="92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</row>
    <row r="124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</row>
    <row r="125" ht="51.0" customHeight="1">
      <c r="A125" s="69"/>
      <c r="B125" s="69"/>
      <c r="C125" s="12" t="s">
        <v>69</v>
      </c>
      <c r="D125" s="71" t="s">
        <v>70</v>
      </c>
      <c r="E125" s="8"/>
      <c r="F125" s="72" t="s">
        <v>71</v>
      </c>
      <c r="G125" s="72" t="s">
        <v>72</v>
      </c>
      <c r="H125" s="71" t="s">
        <v>73</v>
      </c>
      <c r="I125" s="8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</row>
    <row r="126" ht="30.0" customHeight="1">
      <c r="A126" s="69"/>
      <c r="B126" s="12" t="s">
        <v>41</v>
      </c>
      <c r="C126" s="73" t="str">
        <f>'(Fases) Grandes Marcos'!C15</f>
        <v/>
      </c>
      <c r="D126" s="74"/>
      <c r="E126" s="49"/>
      <c r="F126" s="75"/>
      <c r="G126" s="76"/>
      <c r="H126" s="74"/>
      <c r="I126" s="52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</row>
    <row r="127" ht="30.0" customHeight="1">
      <c r="A127" s="69"/>
      <c r="B127" s="69"/>
      <c r="C127" s="77"/>
      <c r="D127" s="78"/>
      <c r="E127" s="54"/>
      <c r="F127" s="79"/>
      <c r="G127" s="80"/>
      <c r="H127" s="78"/>
      <c r="I127" s="57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</row>
    <row r="128" ht="30.0" customHeight="1">
      <c r="A128" s="69"/>
      <c r="B128" s="69"/>
      <c r="C128" s="77"/>
      <c r="D128" s="78"/>
      <c r="E128" s="54"/>
      <c r="F128" s="79"/>
      <c r="G128" s="80"/>
      <c r="H128" s="78"/>
      <c r="I128" s="57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</row>
    <row r="129" ht="30.0" customHeight="1">
      <c r="A129" s="69"/>
      <c r="B129" s="69"/>
      <c r="C129" s="77"/>
      <c r="D129" s="78"/>
      <c r="E129" s="54"/>
      <c r="F129" s="79"/>
      <c r="G129" s="80"/>
      <c r="H129" s="78"/>
      <c r="I129" s="57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</row>
    <row r="130" ht="30.0" customHeight="1">
      <c r="A130" s="69"/>
      <c r="B130" s="69"/>
      <c r="C130" s="77"/>
      <c r="D130" s="78"/>
      <c r="E130" s="54"/>
      <c r="F130" s="79"/>
      <c r="G130" s="80"/>
      <c r="H130" s="78"/>
      <c r="I130" s="57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</row>
    <row r="131" ht="30.0" customHeight="1">
      <c r="A131" s="69"/>
      <c r="B131" s="69"/>
      <c r="C131" s="77"/>
      <c r="D131" s="78"/>
      <c r="E131" s="54"/>
      <c r="F131" s="79"/>
      <c r="G131" s="80"/>
      <c r="H131" s="78"/>
      <c r="I131" s="57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</row>
    <row r="132" ht="30.0" customHeight="1">
      <c r="A132" s="69"/>
      <c r="B132" s="69"/>
      <c r="C132" s="77"/>
      <c r="D132" s="78"/>
      <c r="E132" s="54"/>
      <c r="F132" s="79"/>
      <c r="G132" s="80"/>
      <c r="H132" s="78"/>
      <c r="I132" s="57"/>
      <c r="J132" s="69"/>
      <c r="K132" s="87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</row>
    <row r="133" ht="30.0" customHeight="1">
      <c r="A133" s="69"/>
      <c r="B133" s="69"/>
      <c r="C133" s="88" t="s">
        <v>78</v>
      </c>
      <c r="D133" s="89" t="s">
        <v>79</v>
      </c>
      <c r="E133" s="62"/>
      <c r="F133" s="100"/>
      <c r="G133" s="101"/>
      <c r="H133" s="89"/>
      <c r="I133" s="65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</row>
    <row r="134" ht="11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</row>
    <row r="135" ht="39.0" customHeight="1">
      <c r="A135" s="69"/>
      <c r="B135" s="69"/>
      <c r="C135" s="90" t="str">
        <f>'(Fases) Grandes Marcos'!$E$5</f>
        <v>Resultado Pretendido (Valor entregue ao cliente nessa fase)</v>
      </c>
      <c r="D135" s="91" t="str">
        <f>'(Fases) Grandes Marcos'!E15</f>
        <v/>
      </c>
      <c r="E135" s="92"/>
      <c r="F135" s="69"/>
      <c r="G135" s="90" t="str">
        <f>'(Fases) Grandes Marcos'!$H$5</f>
        <v>O que você faz durante esse processo que garante esse resultado?</v>
      </c>
      <c r="H135" s="91" t="str">
        <f>'(Fases) Grandes Marcos'!H15</f>
        <v/>
      </c>
      <c r="I135" s="92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</row>
    <row r="136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</row>
    <row r="137" ht="51.0" customHeight="1">
      <c r="A137" s="69"/>
      <c r="B137" s="69"/>
      <c r="C137" s="12" t="s">
        <v>69</v>
      </c>
      <c r="D137" s="71" t="s">
        <v>70</v>
      </c>
      <c r="E137" s="8"/>
      <c r="F137" s="72" t="s">
        <v>71</v>
      </c>
      <c r="G137" s="72" t="s">
        <v>72</v>
      </c>
      <c r="H137" s="71" t="s">
        <v>73</v>
      </c>
      <c r="I137" s="8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</row>
    <row r="138" ht="30.0" customHeight="1">
      <c r="A138" s="69"/>
      <c r="B138" s="12" t="s">
        <v>42</v>
      </c>
      <c r="C138" s="73" t="str">
        <f>'(Fases) Grandes Marcos'!C16</f>
        <v/>
      </c>
      <c r="D138" s="74"/>
      <c r="E138" s="49"/>
      <c r="F138" s="75"/>
      <c r="G138" s="76"/>
      <c r="H138" s="74"/>
      <c r="I138" s="52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</row>
    <row r="139" ht="30.0" customHeight="1">
      <c r="A139" s="69"/>
      <c r="B139" s="69"/>
      <c r="C139" s="77"/>
      <c r="D139" s="78"/>
      <c r="E139" s="54"/>
      <c r="F139" s="79"/>
      <c r="G139" s="80"/>
      <c r="H139" s="78"/>
      <c r="I139" s="57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</row>
    <row r="140" ht="30.0" customHeight="1">
      <c r="A140" s="69"/>
      <c r="B140" s="69"/>
      <c r="C140" s="77"/>
      <c r="D140" s="78"/>
      <c r="E140" s="54"/>
      <c r="F140" s="79"/>
      <c r="G140" s="80"/>
      <c r="H140" s="78"/>
      <c r="I140" s="57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</row>
    <row r="141" ht="30.0" customHeight="1">
      <c r="A141" s="69"/>
      <c r="B141" s="69"/>
      <c r="C141" s="77"/>
      <c r="D141" s="78"/>
      <c r="E141" s="54"/>
      <c r="F141" s="79"/>
      <c r="G141" s="80"/>
      <c r="H141" s="78"/>
      <c r="I141" s="57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</row>
    <row r="142" ht="30.0" customHeight="1">
      <c r="A142" s="69"/>
      <c r="B142" s="69"/>
      <c r="C142" s="77"/>
      <c r="D142" s="78"/>
      <c r="E142" s="54"/>
      <c r="F142" s="79"/>
      <c r="G142" s="80"/>
      <c r="H142" s="78"/>
      <c r="I142" s="57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</row>
    <row r="143" ht="30.0" customHeight="1">
      <c r="A143" s="69"/>
      <c r="B143" s="69"/>
      <c r="C143" s="77"/>
      <c r="D143" s="78"/>
      <c r="E143" s="54"/>
      <c r="F143" s="79"/>
      <c r="G143" s="80"/>
      <c r="H143" s="78"/>
      <c r="I143" s="57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</row>
    <row r="144" ht="30.0" customHeight="1">
      <c r="A144" s="69"/>
      <c r="B144" s="69"/>
      <c r="C144" s="77"/>
      <c r="D144" s="78"/>
      <c r="E144" s="54"/>
      <c r="F144" s="79"/>
      <c r="G144" s="80"/>
      <c r="H144" s="78"/>
      <c r="I144" s="57"/>
      <c r="J144" s="69"/>
      <c r="K144" s="87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</row>
    <row r="145" ht="30.0" customHeight="1">
      <c r="A145" s="69"/>
      <c r="B145" s="69"/>
      <c r="C145" s="88" t="s">
        <v>78</v>
      </c>
      <c r="D145" s="89" t="s">
        <v>79</v>
      </c>
      <c r="E145" s="62"/>
      <c r="F145" s="100"/>
      <c r="G145" s="101"/>
      <c r="H145" s="89"/>
      <c r="I145" s="65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</row>
    <row r="146" ht="11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</row>
    <row r="147" ht="39.0" customHeight="1">
      <c r="A147" s="69"/>
      <c r="B147" s="69"/>
      <c r="C147" s="90" t="str">
        <f>'(Fases) Grandes Marcos'!$E$5</f>
        <v>Resultado Pretendido (Valor entregue ao cliente nessa fase)</v>
      </c>
      <c r="D147" s="91" t="str">
        <f>'(Fases) Grandes Marcos'!E16</f>
        <v/>
      </c>
      <c r="E147" s="92"/>
      <c r="F147" s="69"/>
      <c r="G147" s="90" t="str">
        <f>'(Fases) Grandes Marcos'!$H$5</f>
        <v>O que você faz durante esse processo que garante esse resultado?</v>
      </c>
      <c r="H147" s="91" t="str">
        <f>'(Fases) Grandes Marcos'!H16</f>
        <v/>
      </c>
      <c r="I147" s="92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</row>
    <row r="148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</row>
    <row r="149" ht="51.0" customHeight="1">
      <c r="A149" s="69"/>
      <c r="B149" s="69"/>
      <c r="C149" s="12" t="s">
        <v>69</v>
      </c>
      <c r="D149" s="71" t="s">
        <v>70</v>
      </c>
      <c r="E149" s="8"/>
      <c r="F149" s="72" t="s">
        <v>71</v>
      </c>
      <c r="G149" s="72" t="s">
        <v>72</v>
      </c>
      <c r="H149" s="71" t="s">
        <v>73</v>
      </c>
      <c r="I149" s="8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</row>
    <row r="150" ht="30.0" customHeight="1">
      <c r="A150" s="69"/>
      <c r="B150" s="12" t="s">
        <v>43</v>
      </c>
      <c r="C150" s="73" t="str">
        <f>'(Fases) Grandes Marcos'!C17</f>
        <v/>
      </c>
      <c r="D150" s="74"/>
      <c r="E150" s="49"/>
      <c r="F150" s="75"/>
      <c r="G150" s="76"/>
      <c r="H150" s="74"/>
      <c r="I150" s="52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</row>
    <row r="151" ht="30.0" customHeight="1">
      <c r="A151" s="69"/>
      <c r="B151" s="69"/>
      <c r="C151" s="77"/>
      <c r="D151" s="78"/>
      <c r="E151" s="54"/>
      <c r="F151" s="79"/>
      <c r="G151" s="80"/>
      <c r="H151" s="78"/>
      <c r="I151" s="57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</row>
    <row r="152" ht="30.0" customHeight="1">
      <c r="A152" s="69"/>
      <c r="B152" s="69"/>
      <c r="C152" s="77"/>
      <c r="D152" s="78"/>
      <c r="E152" s="54"/>
      <c r="F152" s="79"/>
      <c r="G152" s="80"/>
      <c r="H152" s="78"/>
      <c r="I152" s="57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</row>
    <row r="153" ht="30.0" customHeight="1">
      <c r="A153" s="69"/>
      <c r="B153" s="69"/>
      <c r="C153" s="77"/>
      <c r="D153" s="78"/>
      <c r="E153" s="54"/>
      <c r="F153" s="79"/>
      <c r="G153" s="80"/>
      <c r="H153" s="78"/>
      <c r="I153" s="57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</row>
    <row r="154" ht="30.0" customHeight="1">
      <c r="A154" s="69"/>
      <c r="B154" s="69"/>
      <c r="C154" s="77"/>
      <c r="D154" s="78"/>
      <c r="E154" s="54"/>
      <c r="F154" s="79"/>
      <c r="G154" s="80"/>
      <c r="H154" s="78"/>
      <c r="I154" s="57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</row>
    <row r="155" ht="30.0" customHeight="1">
      <c r="A155" s="69"/>
      <c r="B155" s="69"/>
      <c r="C155" s="77"/>
      <c r="D155" s="78"/>
      <c r="E155" s="54"/>
      <c r="F155" s="79"/>
      <c r="G155" s="80"/>
      <c r="H155" s="78"/>
      <c r="I155" s="57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</row>
    <row r="156" ht="30.0" customHeight="1">
      <c r="A156" s="69"/>
      <c r="B156" s="69"/>
      <c r="C156" s="77"/>
      <c r="D156" s="78"/>
      <c r="E156" s="54"/>
      <c r="F156" s="79"/>
      <c r="G156" s="80"/>
      <c r="H156" s="78"/>
      <c r="I156" s="57"/>
      <c r="J156" s="69"/>
      <c r="K156" s="87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</row>
    <row r="157" ht="30.0" customHeight="1">
      <c r="A157" s="69"/>
      <c r="B157" s="69"/>
      <c r="C157" s="88" t="s">
        <v>78</v>
      </c>
      <c r="D157" s="89" t="s">
        <v>79</v>
      </c>
      <c r="E157" s="62"/>
      <c r="F157" s="100"/>
      <c r="G157" s="101"/>
      <c r="H157" s="89"/>
      <c r="I157" s="65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</row>
    <row r="158" ht="11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</row>
    <row r="159" ht="39.0" customHeight="1">
      <c r="A159" s="69"/>
      <c r="B159" s="69"/>
      <c r="C159" s="90" t="str">
        <f>'(Fases) Grandes Marcos'!$E$5</f>
        <v>Resultado Pretendido (Valor entregue ao cliente nessa fase)</v>
      </c>
      <c r="D159" s="91" t="str">
        <f>'(Fases) Grandes Marcos'!E17</f>
        <v/>
      </c>
      <c r="E159" s="92"/>
      <c r="F159" s="69"/>
      <c r="G159" s="90" t="str">
        <f>'(Fases) Grandes Marcos'!$H$5</f>
        <v>O que você faz durante esse processo que garante esse resultado?</v>
      </c>
      <c r="H159" s="91" t="str">
        <f>'(Fases) Grandes Marcos'!H17</f>
        <v/>
      </c>
      <c r="I159" s="92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</row>
    <row r="16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</row>
    <row r="161" ht="51.0" customHeight="1">
      <c r="A161" s="69"/>
      <c r="B161" s="69"/>
      <c r="C161" s="12" t="s">
        <v>69</v>
      </c>
      <c r="D161" s="71" t="s">
        <v>70</v>
      </c>
      <c r="E161" s="8"/>
      <c r="F161" s="72" t="s">
        <v>71</v>
      </c>
      <c r="G161" s="72" t="s">
        <v>72</v>
      </c>
      <c r="H161" s="71" t="s">
        <v>73</v>
      </c>
      <c r="I161" s="8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</row>
    <row r="162" ht="30.0" customHeight="1">
      <c r="A162" s="69"/>
      <c r="B162" s="12" t="s">
        <v>44</v>
      </c>
      <c r="C162" s="73" t="str">
        <f>'(Fases) Grandes Marcos'!C18</f>
        <v/>
      </c>
      <c r="D162" s="74"/>
      <c r="E162" s="49"/>
      <c r="F162" s="75"/>
      <c r="G162" s="76"/>
      <c r="H162" s="74"/>
      <c r="I162" s="52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</row>
    <row r="163" ht="30.0" customHeight="1">
      <c r="A163" s="69"/>
      <c r="B163" s="69"/>
      <c r="C163" s="77"/>
      <c r="D163" s="78"/>
      <c r="E163" s="54"/>
      <c r="F163" s="79"/>
      <c r="G163" s="80"/>
      <c r="H163" s="78"/>
      <c r="I163" s="57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</row>
    <row r="164" ht="30.0" customHeight="1">
      <c r="A164" s="69"/>
      <c r="B164" s="69"/>
      <c r="C164" s="77"/>
      <c r="D164" s="78"/>
      <c r="E164" s="54"/>
      <c r="F164" s="79"/>
      <c r="G164" s="80"/>
      <c r="H164" s="78"/>
      <c r="I164" s="57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</row>
    <row r="165" ht="30.0" customHeight="1">
      <c r="A165" s="69"/>
      <c r="B165" s="69"/>
      <c r="C165" s="77"/>
      <c r="D165" s="78"/>
      <c r="E165" s="54"/>
      <c r="F165" s="79"/>
      <c r="G165" s="80"/>
      <c r="H165" s="78"/>
      <c r="I165" s="57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</row>
    <row r="166" ht="30.0" customHeight="1">
      <c r="A166" s="69"/>
      <c r="B166" s="69"/>
      <c r="C166" s="77"/>
      <c r="D166" s="78"/>
      <c r="E166" s="54"/>
      <c r="F166" s="79"/>
      <c r="G166" s="80"/>
      <c r="H166" s="78"/>
      <c r="I166" s="57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</row>
    <row r="167" ht="30.0" customHeight="1">
      <c r="A167" s="69"/>
      <c r="B167" s="69"/>
      <c r="C167" s="77"/>
      <c r="D167" s="78"/>
      <c r="E167" s="54"/>
      <c r="F167" s="79"/>
      <c r="G167" s="80"/>
      <c r="H167" s="78"/>
      <c r="I167" s="57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</row>
    <row r="168" ht="30.0" customHeight="1">
      <c r="A168" s="69"/>
      <c r="B168" s="69"/>
      <c r="C168" s="77"/>
      <c r="D168" s="78"/>
      <c r="E168" s="54"/>
      <c r="F168" s="79"/>
      <c r="G168" s="80"/>
      <c r="H168" s="78"/>
      <c r="I168" s="57"/>
      <c r="J168" s="69"/>
      <c r="K168" s="87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</row>
    <row r="169" ht="30.0" customHeight="1">
      <c r="A169" s="69"/>
      <c r="B169" s="69"/>
      <c r="C169" s="88" t="s">
        <v>78</v>
      </c>
      <c r="D169" s="89" t="s">
        <v>79</v>
      </c>
      <c r="E169" s="62"/>
      <c r="F169" s="100"/>
      <c r="G169" s="101"/>
      <c r="H169" s="89"/>
      <c r="I169" s="65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</row>
    <row r="170" ht="11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</row>
    <row r="171" ht="39.0" customHeight="1">
      <c r="A171" s="69"/>
      <c r="B171" s="69"/>
      <c r="C171" s="90" t="str">
        <f>'(Fases) Grandes Marcos'!$E$5</f>
        <v>Resultado Pretendido (Valor entregue ao cliente nessa fase)</v>
      </c>
      <c r="D171" s="91" t="str">
        <f>'(Fases) Grandes Marcos'!E18</f>
        <v/>
      </c>
      <c r="E171" s="92"/>
      <c r="F171" s="69"/>
      <c r="G171" s="90" t="str">
        <f>'(Fases) Grandes Marcos'!$H$5</f>
        <v>O que você faz durante esse processo que garante esse resultado?</v>
      </c>
      <c r="H171" s="91" t="str">
        <f>'(Fases) Grandes Marcos'!H18</f>
        <v/>
      </c>
      <c r="I171" s="92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</row>
    <row r="172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</row>
    <row r="173" ht="51.0" customHeight="1">
      <c r="A173" s="69"/>
      <c r="B173" s="69"/>
      <c r="C173" s="12" t="s">
        <v>69</v>
      </c>
      <c r="D173" s="71" t="s">
        <v>70</v>
      </c>
      <c r="E173" s="8"/>
      <c r="F173" s="72" t="s">
        <v>71</v>
      </c>
      <c r="G173" s="72" t="s">
        <v>72</v>
      </c>
      <c r="H173" s="71" t="s">
        <v>73</v>
      </c>
      <c r="I173" s="8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</row>
    <row r="174" ht="30.0" customHeight="1">
      <c r="A174" s="69"/>
      <c r="B174" s="12" t="s">
        <v>45</v>
      </c>
      <c r="C174" s="73" t="str">
        <f>'(Fases) Grandes Marcos'!C19</f>
        <v/>
      </c>
      <c r="D174" s="74"/>
      <c r="E174" s="49"/>
      <c r="F174" s="75"/>
      <c r="G174" s="76"/>
      <c r="H174" s="74"/>
      <c r="I174" s="52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</row>
    <row r="175" ht="30.0" customHeight="1">
      <c r="A175" s="69"/>
      <c r="B175" s="69"/>
      <c r="C175" s="77"/>
      <c r="D175" s="78"/>
      <c r="E175" s="54"/>
      <c r="F175" s="79"/>
      <c r="G175" s="80"/>
      <c r="H175" s="78"/>
      <c r="I175" s="57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</row>
    <row r="176" ht="30.0" customHeight="1">
      <c r="A176" s="69"/>
      <c r="B176" s="69"/>
      <c r="C176" s="77"/>
      <c r="D176" s="78"/>
      <c r="E176" s="54"/>
      <c r="F176" s="79"/>
      <c r="G176" s="80"/>
      <c r="H176" s="78"/>
      <c r="I176" s="57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</row>
    <row r="177" ht="30.0" customHeight="1">
      <c r="A177" s="69"/>
      <c r="B177" s="69"/>
      <c r="C177" s="77"/>
      <c r="D177" s="78"/>
      <c r="E177" s="54"/>
      <c r="F177" s="79"/>
      <c r="G177" s="80"/>
      <c r="H177" s="78"/>
      <c r="I177" s="57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</row>
    <row r="178" ht="30.0" customHeight="1">
      <c r="A178" s="69"/>
      <c r="B178" s="69"/>
      <c r="C178" s="77"/>
      <c r="D178" s="78"/>
      <c r="E178" s="54"/>
      <c r="F178" s="79"/>
      <c r="G178" s="80"/>
      <c r="H178" s="78"/>
      <c r="I178" s="57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</row>
    <row r="179" ht="30.0" customHeight="1">
      <c r="A179" s="69"/>
      <c r="B179" s="69"/>
      <c r="C179" s="77"/>
      <c r="D179" s="78"/>
      <c r="E179" s="54"/>
      <c r="F179" s="79"/>
      <c r="G179" s="80"/>
      <c r="H179" s="78"/>
      <c r="I179" s="57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</row>
    <row r="180" ht="30.0" customHeight="1">
      <c r="A180" s="69"/>
      <c r="B180" s="69"/>
      <c r="C180" s="77"/>
      <c r="D180" s="78"/>
      <c r="E180" s="54"/>
      <c r="F180" s="79"/>
      <c r="G180" s="80"/>
      <c r="H180" s="78"/>
      <c r="I180" s="57"/>
      <c r="J180" s="69"/>
      <c r="K180" s="87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</row>
    <row r="181" ht="30.0" customHeight="1">
      <c r="A181" s="69"/>
      <c r="B181" s="69"/>
      <c r="C181" s="88" t="s">
        <v>78</v>
      </c>
      <c r="D181" s="89" t="s">
        <v>79</v>
      </c>
      <c r="E181" s="62"/>
      <c r="F181" s="100"/>
      <c r="G181" s="101"/>
      <c r="H181" s="89"/>
      <c r="I181" s="65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</row>
    <row r="182" ht="11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</row>
    <row r="183" ht="39.0" customHeight="1">
      <c r="A183" s="69"/>
      <c r="B183" s="69"/>
      <c r="C183" s="90" t="str">
        <f>'(Fases) Grandes Marcos'!$E$5</f>
        <v>Resultado Pretendido (Valor entregue ao cliente nessa fase)</v>
      </c>
      <c r="D183" s="91" t="str">
        <f>'(Fases) Grandes Marcos'!E19</f>
        <v/>
      </c>
      <c r="E183" s="92"/>
      <c r="F183" s="69"/>
      <c r="G183" s="90" t="str">
        <f>'(Fases) Grandes Marcos'!$H$5</f>
        <v>O que você faz durante esse processo que garante esse resultado?</v>
      </c>
      <c r="H183" s="91" t="str">
        <f>'(Fases) Grandes Marcos'!H19</f>
        <v/>
      </c>
      <c r="I183" s="92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</row>
    <row r="184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</row>
    <row r="185" ht="51.0" customHeight="1">
      <c r="A185" s="69"/>
      <c r="B185" s="69"/>
      <c r="C185" s="12" t="s">
        <v>69</v>
      </c>
      <c r="D185" s="71" t="s">
        <v>70</v>
      </c>
      <c r="E185" s="8"/>
      <c r="F185" s="72" t="s">
        <v>71</v>
      </c>
      <c r="G185" s="72" t="s">
        <v>72</v>
      </c>
      <c r="H185" s="71" t="s">
        <v>73</v>
      </c>
      <c r="I185" s="8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</row>
    <row r="186" ht="30.0" customHeight="1">
      <c r="A186" s="69"/>
      <c r="B186" s="12" t="s">
        <v>46</v>
      </c>
      <c r="C186" s="73" t="str">
        <f>'(Fases) Grandes Marcos'!C20</f>
        <v/>
      </c>
      <c r="D186" s="74"/>
      <c r="E186" s="49"/>
      <c r="F186" s="75"/>
      <c r="G186" s="76"/>
      <c r="H186" s="74"/>
      <c r="I186" s="52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</row>
    <row r="187" ht="30.0" customHeight="1">
      <c r="A187" s="69"/>
      <c r="B187" s="69"/>
      <c r="C187" s="77"/>
      <c r="D187" s="78"/>
      <c r="E187" s="54"/>
      <c r="F187" s="79"/>
      <c r="G187" s="80"/>
      <c r="H187" s="78"/>
      <c r="I187" s="57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</row>
    <row r="188" ht="30.0" customHeight="1">
      <c r="A188" s="69"/>
      <c r="B188" s="69"/>
      <c r="C188" s="77"/>
      <c r="D188" s="78"/>
      <c r="E188" s="54"/>
      <c r="F188" s="79"/>
      <c r="G188" s="80"/>
      <c r="H188" s="78"/>
      <c r="I188" s="57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</row>
    <row r="189" ht="30.0" customHeight="1">
      <c r="A189" s="69"/>
      <c r="B189" s="69"/>
      <c r="C189" s="77"/>
      <c r="D189" s="78"/>
      <c r="E189" s="54"/>
      <c r="F189" s="79"/>
      <c r="G189" s="80"/>
      <c r="H189" s="78"/>
      <c r="I189" s="57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</row>
    <row r="190" ht="30.0" customHeight="1">
      <c r="A190" s="69"/>
      <c r="B190" s="69"/>
      <c r="C190" s="77"/>
      <c r="D190" s="78"/>
      <c r="E190" s="54"/>
      <c r="F190" s="79"/>
      <c r="G190" s="80"/>
      <c r="H190" s="78"/>
      <c r="I190" s="57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</row>
    <row r="191" ht="30.0" customHeight="1">
      <c r="A191" s="69"/>
      <c r="B191" s="69"/>
      <c r="C191" s="77"/>
      <c r="D191" s="78"/>
      <c r="E191" s="54"/>
      <c r="F191" s="79"/>
      <c r="G191" s="80"/>
      <c r="H191" s="78"/>
      <c r="I191" s="57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</row>
    <row r="192" ht="30.0" customHeight="1">
      <c r="A192" s="69"/>
      <c r="B192" s="69"/>
      <c r="C192" s="77"/>
      <c r="D192" s="78"/>
      <c r="E192" s="54"/>
      <c r="F192" s="79"/>
      <c r="G192" s="80"/>
      <c r="H192" s="78"/>
      <c r="I192" s="57"/>
      <c r="J192" s="69"/>
      <c r="K192" s="87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</row>
    <row r="193" ht="30.0" customHeight="1">
      <c r="A193" s="69"/>
      <c r="B193" s="69"/>
      <c r="C193" s="88" t="s">
        <v>78</v>
      </c>
      <c r="D193" s="89" t="s">
        <v>79</v>
      </c>
      <c r="E193" s="62"/>
      <c r="F193" s="100"/>
      <c r="G193" s="101"/>
      <c r="H193" s="89"/>
      <c r="I193" s="65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</row>
    <row r="194" ht="11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</row>
    <row r="195" ht="39.0" customHeight="1">
      <c r="A195" s="69"/>
      <c r="B195" s="69"/>
      <c r="C195" s="90" t="str">
        <f>'(Fases) Grandes Marcos'!$E$5</f>
        <v>Resultado Pretendido (Valor entregue ao cliente nessa fase)</v>
      </c>
      <c r="D195" s="91" t="str">
        <f>'(Fases) Grandes Marcos'!E20</f>
        <v/>
      </c>
      <c r="E195" s="92"/>
      <c r="F195" s="69"/>
      <c r="G195" s="90" t="str">
        <f>'(Fases) Grandes Marcos'!$H$5</f>
        <v>O que você faz durante esse processo que garante esse resultado?</v>
      </c>
      <c r="H195" s="91" t="str">
        <f>'(Fases) Grandes Marcos'!H20</f>
        <v/>
      </c>
      <c r="I195" s="92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</row>
    <row r="196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</row>
    <row r="197" ht="51.0" customHeight="1">
      <c r="A197" s="69"/>
      <c r="B197" s="69"/>
      <c r="C197" s="12" t="s">
        <v>69</v>
      </c>
      <c r="D197" s="71" t="s">
        <v>70</v>
      </c>
      <c r="E197" s="8"/>
      <c r="F197" s="72" t="s">
        <v>71</v>
      </c>
      <c r="G197" s="72" t="s">
        <v>72</v>
      </c>
      <c r="H197" s="71" t="s">
        <v>73</v>
      </c>
      <c r="I197" s="8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</row>
    <row r="198" ht="30.0" customHeight="1">
      <c r="A198" s="69"/>
      <c r="B198" s="12" t="s">
        <v>47</v>
      </c>
      <c r="C198" s="73" t="str">
        <f>'(Fases) Grandes Marcos'!C21</f>
        <v/>
      </c>
      <c r="D198" s="74"/>
      <c r="E198" s="49"/>
      <c r="F198" s="75"/>
      <c r="G198" s="76"/>
      <c r="H198" s="74"/>
      <c r="I198" s="52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</row>
    <row r="199" ht="30.0" customHeight="1">
      <c r="A199" s="69"/>
      <c r="B199" s="69"/>
      <c r="C199" s="77"/>
      <c r="D199" s="78"/>
      <c r="E199" s="54"/>
      <c r="F199" s="79"/>
      <c r="G199" s="80"/>
      <c r="H199" s="78"/>
      <c r="I199" s="57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</row>
    <row r="200" ht="30.0" customHeight="1">
      <c r="A200" s="69"/>
      <c r="B200" s="69"/>
      <c r="C200" s="77"/>
      <c r="D200" s="78"/>
      <c r="E200" s="54"/>
      <c r="F200" s="79"/>
      <c r="G200" s="80"/>
      <c r="H200" s="78"/>
      <c r="I200" s="57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</row>
    <row r="201" ht="30.0" customHeight="1">
      <c r="A201" s="69"/>
      <c r="B201" s="69"/>
      <c r="C201" s="77"/>
      <c r="D201" s="78"/>
      <c r="E201" s="54"/>
      <c r="F201" s="79"/>
      <c r="G201" s="80"/>
      <c r="H201" s="78"/>
      <c r="I201" s="57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</row>
    <row r="202" ht="30.0" customHeight="1">
      <c r="A202" s="69"/>
      <c r="B202" s="69"/>
      <c r="C202" s="77"/>
      <c r="D202" s="78"/>
      <c r="E202" s="54"/>
      <c r="F202" s="79"/>
      <c r="G202" s="80"/>
      <c r="H202" s="78"/>
      <c r="I202" s="57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</row>
    <row r="203" ht="30.0" customHeight="1">
      <c r="A203" s="69"/>
      <c r="B203" s="69"/>
      <c r="C203" s="77"/>
      <c r="D203" s="78"/>
      <c r="E203" s="54"/>
      <c r="F203" s="79"/>
      <c r="G203" s="80"/>
      <c r="H203" s="78"/>
      <c r="I203" s="57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</row>
    <row r="204" ht="30.0" customHeight="1">
      <c r="A204" s="69"/>
      <c r="B204" s="69"/>
      <c r="C204" s="77"/>
      <c r="D204" s="78"/>
      <c r="E204" s="54"/>
      <c r="F204" s="79"/>
      <c r="G204" s="80"/>
      <c r="H204" s="78"/>
      <c r="I204" s="57"/>
      <c r="J204" s="69"/>
      <c r="K204" s="87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</row>
    <row r="205" ht="30.0" customHeight="1">
      <c r="A205" s="69"/>
      <c r="B205" s="69"/>
      <c r="C205" s="88" t="s">
        <v>78</v>
      </c>
      <c r="D205" s="89" t="s">
        <v>79</v>
      </c>
      <c r="E205" s="62"/>
      <c r="F205" s="100"/>
      <c r="G205" s="101"/>
      <c r="H205" s="89"/>
      <c r="I205" s="65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</row>
    <row r="206" ht="11.2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</row>
    <row r="207" ht="39.0" customHeight="1">
      <c r="A207" s="69"/>
      <c r="B207" s="69"/>
      <c r="C207" s="90" t="str">
        <f>'(Fases) Grandes Marcos'!$E$5</f>
        <v>Resultado Pretendido (Valor entregue ao cliente nessa fase)</v>
      </c>
      <c r="D207" s="91" t="str">
        <f>'(Fases) Grandes Marcos'!E21</f>
        <v/>
      </c>
      <c r="E207" s="92"/>
      <c r="F207" s="69"/>
      <c r="G207" s="90" t="str">
        <f>'(Fases) Grandes Marcos'!$H$5</f>
        <v>O que você faz durante esse processo que garante esse resultado?</v>
      </c>
      <c r="H207" s="91" t="str">
        <f>'(Fases) Grandes Marcos'!H21</f>
        <v/>
      </c>
      <c r="I207" s="92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</row>
    <row r="208" ht="14.2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</row>
    <row r="209" ht="51.0" customHeight="1">
      <c r="A209" s="69"/>
      <c r="B209" s="69"/>
      <c r="C209" s="12" t="s">
        <v>69</v>
      </c>
      <c r="D209" s="71" t="s">
        <v>70</v>
      </c>
      <c r="E209" s="8"/>
      <c r="F209" s="72" t="s">
        <v>71</v>
      </c>
      <c r="G209" s="72" t="s">
        <v>72</v>
      </c>
      <c r="H209" s="71" t="s">
        <v>73</v>
      </c>
      <c r="I209" s="8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</row>
    <row r="210" ht="30.0" customHeight="1">
      <c r="A210" s="69"/>
      <c r="B210" s="12" t="s">
        <v>48</v>
      </c>
      <c r="C210" s="73" t="str">
        <f>'(Fases) Grandes Marcos'!C22</f>
        <v/>
      </c>
      <c r="D210" s="74"/>
      <c r="E210" s="49"/>
      <c r="F210" s="75"/>
      <c r="G210" s="76"/>
      <c r="H210" s="74"/>
      <c r="I210" s="52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</row>
    <row r="211" ht="30.0" customHeight="1">
      <c r="A211" s="69"/>
      <c r="B211" s="69"/>
      <c r="C211" s="77"/>
      <c r="D211" s="78"/>
      <c r="E211" s="54"/>
      <c r="F211" s="79"/>
      <c r="G211" s="80"/>
      <c r="H211" s="78"/>
      <c r="I211" s="57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</row>
    <row r="212" ht="30.0" customHeight="1">
      <c r="A212" s="69"/>
      <c r="B212" s="69"/>
      <c r="C212" s="77"/>
      <c r="D212" s="78"/>
      <c r="E212" s="54"/>
      <c r="F212" s="79"/>
      <c r="G212" s="80"/>
      <c r="H212" s="78"/>
      <c r="I212" s="57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</row>
    <row r="213" ht="30.0" customHeight="1">
      <c r="A213" s="69"/>
      <c r="B213" s="69"/>
      <c r="C213" s="77"/>
      <c r="D213" s="78"/>
      <c r="E213" s="54"/>
      <c r="F213" s="79"/>
      <c r="G213" s="80"/>
      <c r="H213" s="78"/>
      <c r="I213" s="57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</row>
    <row r="214" ht="30.0" customHeight="1">
      <c r="A214" s="69"/>
      <c r="B214" s="69"/>
      <c r="C214" s="77"/>
      <c r="D214" s="78"/>
      <c r="E214" s="54"/>
      <c r="F214" s="79"/>
      <c r="G214" s="80"/>
      <c r="H214" s="78"/>
      <c r="I214" s="57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</row>
    <row r="215" ht="30.0" customHeight="1">
      <c r="A215" s="69"/>
      <c r="B215" s="69"/>
      <c r="C215" s="77"/>
      <c r="D215" s="78"/>
      <c r="E215" s="54"/>
      <c r="F215" s="79"/>
      <c r="G215" s="80"/>
      <c r="H215" s="78"/>
      <c r="I215" s="57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</row>
    <row r="216" ht="30.0" customHeight="1">
      <c r="A216" s="69"/>
      <c r="B216" s="69"/>
      <c r="C216" s="77"/>
      <c r="D216" s="78"/>
      <c r="E216" s="54"/>
      <c r="F216" s="79"/>
      <c r="G216" s="80"/>
      <c r="H216" s="78"/>
      <c r="I216" s="57"/>
      <c r="J216" s="69"/>
      <c r="K216" s="87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</row>
    <row r="217" ht="30.0" customHeight="1">
      <c r="A217" s="69"/>
      <c r="B217" s="69"/>
      <c r="C217" s="88" t="s">
        <v>78</v>
      </c>
      <c r="D217" s="89" t="s">
        <v>79</v>
      </c>
      <c r="E217" s="62"/>
      <c r="F217" s="100"/>
      <c r="G217" s="101"/>
      <c r="H217" s="89"/>
      <c r="I217" s="65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</row>
    <row r="218" ht="11.2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</row>
    <row r="219" ht="39.0" customHeight="1">
      <c r="A219" s="69"/>
      <c r="B219" s="69"/>
      <c r="C219" s="90" t="str">
        <f>'(Fases) Grandes Marcos'!$E$5</f>
        <v>Resultado Pretendido (Valor entregue ao cliente nessa fase)</v>
      </c>
      <c r="D219" s="91" t="str">
        <f>'(Fases) Grandes Marcos'!E22</f>
        <v/>
      </c>
      <c r="E219" s="92"/>
      <c r="F219" s="69"/>
      <c r="G219" s="90" t="str">
        <f>'(Fases) Grandes Marcos'!$H$5</f>
        <v>O que você faz durante esse processo que garante esse resultado?</v>
      </c>
      <c r="H219" s="91" t="str">
        <f>'(Fases) Grandes Marcos'!H22</f>
        <v/>
      </c>
      <c r="I219" s="92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</row>
    <row r="220" ht="14.2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</row>
    <row r="221" ht="51.0" customHeight="1">
      <c r="A221" s="69"/>
      <c r="B221" s="69"/>
      <c r="C221" s="12" t="s">
        <v>69</v>
      </c>
      <c r="D221" s="71" t="s">
        <v>70</v>
      </c>
      <c r="E221" s="8"/>
      <c r="F221" s="72" t="s">
        <v>71</v>
      </c>
      <c r="G221" s="72" t="s">
        <v>72</v>
      </c>
      <c r="H221" s="71" t="s">
        <v>73</v>
      </c>
      <c r="I221" s="8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</row>
    <row r="222" ht="30.0" customHeight="1">
      <c r="A222" s="69"/>
      <c r="B222" s="12" t="s">
        <v>49</v>
      </c>
      <c r="C222" s="73" t="str">
        <f>'(Fases) Grandes Marcos'!C23</f>
        <v/>
      </c>
      <c r="D222" s="74"/>
      <c r="E222" s="49"/>
      <c r="F222" s="75"/>
      <c r="G222" s="76"/>
      <c r="H222" s="74"/>
      <c r="I222" s="52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</row>
    <row r="223" ht="30.0" customHeight="1">
      <c r="A223" s="69"/>
      <c r="B223" s="69"/>
      <c r="C223" s="77"/>
      <c r="D223" s="78"/>
      <c r="E223" s="54"/>
      <c r="F223" s="79"/>
      <c r="G223" s="80"/>
      <c r="H223" s="78"/>
      <c r="I223" s="57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</row>
    <row r="224" ht="30.0" customHeight="1">
      <c r="A224" s="69"/>
      <c r="B224" s="69"/>
      <c r="C224" s="77"/>
      <c r="D224" s="78"/>
      <c r="E224" s="54"/>
      <c r="F224" s="79"/>
      <c r="G224" s="80"/>
      <c r="H224" s="78"/>
      <c r="I224" s="57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</row>
    <row r="225" ht="30.0" customHeight="1">
      <c r="A225" s="69"/>
      <c r="B225" s="69"/>
      <c r="C225" s="77"/>
      <c r="D225" s="78"/>
      <c r="E225" s="54"/>
      <c r="F225" s="79"/>
      <c r="G225" s="80"/>
      <c r="H225" s="78"/>
      <c r="I225" s="57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</row>
    <row r="226" ht="30.0" customHeight="1">
      <c r="A226" s="69"/>
      <c r="B226" s="69"/>
      <c r="C226" s="77"/>
      <c r="D226" s="78"/>
      <c r="E226" s="54"/>
      <c r="F226" s="79"/>
      <c r="G226" s="80"/>
      <c r="H226" s="78"/>
      <c r="I226" s="57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</row>
    <row r="227" ht="30.0" customHeight="1">
      <c r="A227" s="69"/>
      <c r="B227" s="69"/>
      <c r="C227" s="77"/>
      <c r="D227" s="78"/>
      <c r="E227" s="54"/>
      <c r="F227" s="79"/>
      <c r="G227" s="80"/>
      <c r="H227" s="78"/>
      <c r="I227" s="57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</row>
    <row r="228" ht="30.0" customHeight="1">
      <c r="A228" s="69"/>
      <c r="B228" s="69"/>
      <c r="C228" s="77"/>
      <c r="D228" s="78"/>
      <c r="E228" s="54"/>
      <c r="F228" s="79"/>
      <c r="G228" s="80"/>
      <c r="H228" s="78"/>
      <c r="I228" s="57"/>
      <c r="J228" s="69"/>
      <c r="K228" s="87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</row>
    <row r="229" ht="30.0" customHeight="1">
      <c r="A229" s="69"/>
      <c r="B229" s="69"/>
      <c r="C229" s="88" t="s">
        <v>78</v>
      </c>
      <c r="D229" s="89" t="s">
        <v>79</v>
      </c>
      <c r="E229" s="62"/>
      <c r="F229" s="100"/>
      <c r="G229" s="101"/>
      <c r="H229" s="89"/>
      <c r="I229" s="65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</row>
    <row r="230" ht="11.2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</row>
    <row r="231" ht="39.0" customHeight="1">
      <c r="A231" s="69"/>
      <c r="B231" s="69"/>
      <c r="C231" s="90" t="str">
        <f>'(Fases) Grandes Marcos'!$E$5</f>
        <v>Resultado Pretendido (Valor entregue ao cliente nessa fase)</v>
      </c>
      <c r="D231" s="91" t="str">
        <f>'(Fases) Grandes Marcos'!E23</f>
        <v/>
      </c>
      <c r="E231" s="92"/>
      <c r="F231" s="69"/>
      <c r="G231" s="90" t="str">
        <f>'(Fases) Grandes Marcos'!$H$5</f>
        <v>O que você faz durante esse processo que garante esse resultado?</v>
      </c>
      <c r="H231" s="91" t="str">
        <f>'(Fases) Grandes Marcos'!H23</f>
        <v/>
      </c>
      <c r="I231" s="92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</row>
    <row r="232" ht="14.2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</row>
    <row r="233" ht="51.0" customHeight="1">
      <c r="A233" s="69"/>
      <c r="B233" s="69"/>
      <c r="C233" s="12" t="s">
        <v>69</v>
      </c>
      <c r="D233" s="71" t="s">
        <v>70</v>
      </c>
      <c r="E233" s="8"/>
      <c r="F233" s="72" t="s">
        <v>71</v>
      </c>
      <c r="G233" s="72" t="s">
        <v>72</v>
      </c>
      <c r="H233" s="71" t="s">
        <v>73</v>
      </c>
      <c r="I233" s="8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</row>
    <row r="234" ht="30.0" customHeight="1">
      <c r="A234" s="69"/>
      <c r="B234" s="12" t="s">
        <v>50</v>
      </c>
      <c r="C234" s="73" t="str">
        <f>'(Fases) Grandes Marcos'!C24</f>
        <v/>
      </c>
      <c r="D234" s="74"/>
      <c r="E234" s="49"/>
      <c r="F234" s="75"/>
      <c r="G234" s="76"/>
      <c r="H234" s="74"/>
      <c r="I234" s="52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</row>
    <row r="235" ht="30.0" customHeight="1">
      <c r="A235" s="69"/>
      <c r="B235" s="69"/>
      <c r="C235" s="77"/>
      <c r="D235" s="78"/>
      <c r="E235" s="54"/>
      <c r="F235" s="79"/>
      <c r="G235" s="80"/>
      <c r="H235" s="78"/>
      <c r="I235" s="57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</row>
    <row r="236" ht="30.0" customHeight="1">
      <c r="A236" s="69"/>
      <c r="B236" s="69"/>
      <c r="C236" s="77"/>
      <c r="D236" s="78"/>
      <c r="E236" s="54"/>
      <c r="F236" s="79"/>
      <c r="G236" s="80"/>
      <c r="H236" s="78"/>
      <c r="I236" s="57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</row>
    <row r="237" ht="30.0" customHeight="1">
      <c r="A237" s="69"/>
      <c r="B237" s="69"/>
      <c r="C237" s="77"/>
      <c r="D237" s="78"/>
      <c r="E237" s="54"/>
      <c r="F237" s="79"/>
      <c r="G237" s="80"/>
      <c r="H237" s="78"/>
      <c r="I237" s="57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</row>
    <row r="238" ht="30.0" customHeight="1">
      <c r="A238" s="69"/>
      <c r="B238" s="69"/>
      <c r="C238" s="77"/>
      <c r="D238" s="78"/>
      <c r="E238" s="54"/>
      <c r="F238" s="79"/>
      <c r="G238" s="80"/>
      <c r="H238" s="78"/>
      <c r="I238" s="57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</row>
    <row r="239" ht="30.0" customHeight="1">
      <c r="A239" s="69"/>
      <c r="B239" s="69"/>
      <c r="C239" s="77"/>
      <c r="D239" s="78"/>
      <c r="E239" s="54"/>
      <c r="F239" s="79"/>
      <c r="G239" s="80"/>
      <c r="H239" s="78"/>
      <c r="I239" s="57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</row>
    <row r="240" ht="30.0" customHeight="1">
      <c r="A240" s="69"/>
      <c r="B240" s="69"/>
      <c r="C240" s="77"/>
      <c r="D240" s="78"/>
      <c r="E240" s="54"/>
      <c r="F240" s="79"/>
      <c r="G240" s="80"/>
      <c r="H240" s="78"/>
      <c r="I240" s="57"/>
      <c r="J240" s="69"/>
      <c r="K240" s="87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</row>
    <row r="241" ht="30.0" customHeight="1">
      <c r="A241" s="69"/>
      <c r="B241" s="69"/>
      <c r="C241" s="88" t="s">
        <v>78</v>
      </c>
      <c r="D241" s="89" t="s">
        <v>79</v>
      </c>
      <c r="E241" s="62"/>
      <c r="F241" s="100"/>
      <c r="G241" s="101"/>
      <c r="H241" s="89"/>
      <c r="I241" s="65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</row>
    <row r="242" ht="11.2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</row>
    <row r="243" ht="39.0" customHeight="1">
      <c r="A243" s="69"/>
      <c r="B243" s="69"/>
      <c r="C243" s="90" t="str">
        <f>'(Fases) Grandes Marcos'!$E$5</f>
        <v>Resultado Pretendido (Valor entregue ao cliente nessa fase)</v>
      </c>
      <c r="D243" s="91" t="str">
        <f>'(Fases) Grandes Marcos'!E24</f>
        <v/>
      </c>
      <c r="E243" s="92"/>
      <c r="F243" s="69"/>
      <c r="G243" s="90" t="str">
        <f>'(Fases) Grandes Marcos'!$H$5</f>
        <v>O que você faz durante esse processo que garante esse resultado?</v>
      </c>
      <c r="H243" s="91" t="str">
        <f>'(Fases) Grandes Marcos'!H24</f>
        <v/>
      </c>
      <c r="I243" s="92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</row>
    <row r="244" ht="14.2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</row>
    <row r="245" ht="51.0" customHeight="1">
      <c r="A245" s="69"/>
      <c r="B245" s="69"/>
      <c r="C245" s="12" t="s">
        <v>69</v>
      </c>
      <c r="D245" s="71" t="s">
        <v>70</v>
      </c>
      <c r="E245" s="8"/>
      <c r="F245" s="72" t="s">
        <v>71</v>
      </c>
      <c r="G245" s="72" t="s">
        <v>72</v>
      </c>
      <c r="H245" s="71" t="s">
        <v>73</v>
      </c>
      <c r="I245" s="8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</row>
    <row r="246" ht="30.0" customHeight="1">
      <c r="A246" s="69"/>
      <c r="B246" s="12" t="s">
        <v>51</v>
      </c>
      <c r="C246" s="73" t="str">
        <f>'(Fases) Grandes Marcos'!C25</f>
        <v/>
      </c>
      <c r="D246" s="74"/>
      <c r="E246" s="49"/>
      <c r="F246" s="75"/>
      <c r="G246" s="76"/>
      <c r="H246" s="74"/>
      <c r="I246" s="52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</row>
    <row r="247" ht="30.0" customHeight="1">
      <c r="A247" s="69"/>
      <c r="B247" s="69"/>
      <c r="C247" s="77"/>
      <c r="D247" s="78"/>
      <c r="E247" s="54"/>
      <c r="F247" s="79"/>
      <c r="G247" s="80"/>
      <c r="H247" s="78"/>
      <c r="I247" s="57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</row>
    <row r="248" ht="30.0" customHeight="1">
      <c r="A248" s="69"/>
      <c r="B248" s="69"/>
      <c r="C248" s="77"/>
      <c r="D248" s="78"/>
      <c r="E248" s="54"/>
      <c r="F248" s="79"/>
      <c r="G248" s="80"/>
      <c r="H248" s="78"/>
      <c r="I248" s="57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</row>
    <row r="249" ht="30.0" customHeight="1">
      <c r="A249" s="69"/>
      <c r="B249" s="69"/>
      <c r="C249" s="77"/>
      <c r="D249" s="78"/>
      <c r="E249" s="54"/>
      <c r="F249" s="79"/>
      <c r="G249" s="80"/>
      <c r="H249" s="78"/>
      <c r="I249" s="57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</row>
    <row r="250" ht="30.0" customHeight="1">
      <c r="A250" s="69"/>
      <c r="B250" s="69"/>
      <c r="C250" s="77"/>
      <c r="D250" s="78"/>
      <c r="E250" s="54"/>
      <c r="F250" s="79"/>
      <c r="G250" s="80"/>
      <c r="H250" s="78"/>
      <c r="I250" s="57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</row>
    <row r="251" ht="30.0" customHeight="1">
      <c r="A251" s="69"/>
      <c r="B251" s="69"/>
      <c r="C251" s="77"/>
      <c r="D251" s="78"/>
      <c r="E251" s="54"/>
      <c r="F251" s="79"/>
      <c r="G251" s="80"/>
      <c r="H251" s="78"/>
      <c r="I251" s="57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</row>
    <row r="252" ht="30.0" customHeight="1">
      <c r="A252" s="69"/>
      <c r="B252" s="69"/>
      <c r="C252" s="77"/>
      <c r="D252" s="78"/>
      <c r="E252" s="54"/>
      <c r="F252" s="79"/>
      <c r="G252" s="80"/>
      <c r="H252" s="78"/>
      <c r="I252" s="57"/>
      <c r="J252" s="69"/>
      <c r="K252" s="87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</row>
    <row r="253" ht="30.0" customHeight="1">
      <c r="A253" s="69"/>
      <c r="B253" s="69"/>
      <c r="C253" s="88" t="s">
        <v>78</v>
      </c>
      <c r="D253" s="89" t="s">
        <v>79</v>
      </c>
      <c r="E253" s="62"/>
      <c r="F253" s="100"/>
      <c r="G253" s="101"/>
      <c r="H253" s="89"/>
      <c r="I253" s="65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</row>
    <row r="254" ht="11.2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</row>
    <row r="255" ht="39.0" customHeight="1">
      <c r="A255" s="69"/>
      <c r="B255" s="69"/>
      <c r="C255" s="90" t="str">
        <f>'(Fases) Grandes Marcos'!$E$5</f>
        <v>Resultado Pretendido (Valor entregue ao cliente nessa fase)</v>
      </c>
      <c r="D255" s="91" t="str">
        <f>'(Fases) Grandes Marcos'!E25</f>
        <v/>
      </c>
      <c r="E255" s="92"/>
      <c r="F255" s="69"/>
      <c r="G255" s="90" t="str">
        <f>'(Fases) Grandes Marcos'!$H$5</f>
        <v>O que você faz durante esse processo que garante esse resultado?</v>
      </c>
      <c r="H255" s="91" t="str">
        <f>'(Fases) Grandes Marcos'!H25</f>
        <v/>
      </c>
      <c r="I255" s="92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</row>
    <row r="256" ht="14.2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</row>
    <row r="257" ht="51.0" customHeight="1">
      <c r="A257" s="69"/>
      <c r="B257" s="69"/>
      <c r="C257" s="12" t="s">
        <v>69</v>
      </c>
      <c r="D257" s="71" t="s">
        <v>70</v>
      </c>
      <c r="E257" s="8"/>
      <c r="F257" s="72" t="s">
        <v>71</v>
      </c>
      <c r="G257" s="72" t="s">
        <v>72</v>
      </c>
      <c r="H257" s="71" t="s">
        <v>73</v>
      </c>
      <c r="I257" s="8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</row>
    <row r="258" ht="30.0" customHeight="1">
      <c r="A258" s="69"/>
      <c r="B258" s="12" t="s">
        <v>52</v>
      </c>
      <c r="C258" s="73" t="str">
        <f>'(Fases) Grandes Marcos'!C26</f>
        <v/>
      </c>
      <c r="D258" s="74"/>
      <c r="E258" s="49"/>
      <c r="F258" s="75"/>
      <c r="G258" s="76"/>
      <c r="H258" s="74"/>
      <c r="I258" s="52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</row>
    <row r="259" ht="30.0" customHeight="1">
      <c r="A259" s="69"/>
      <c r="B259" s="69"/>
      <c r="C259" s="77"/>
      <c r="D259" s="78"/>
      <c r="E259" s="54"/>
      <c r="F259" s="79"/>
      <c r="G259" s="80"/>
      <c r="H259" s="78"/>
      <c r="I259" s="57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</row>
    <row r="260" ht="30.0" customHeight="1">
      <c r="A260" s="69"/>
      <c r="B260" s="69"/>
      <c r="C260" s="77"/>
      <c r="D260" s="78"/>
      <c r="E260" s="54"/>
      <c r="F260" s="79"/>
      <c r="G260" s="80"/>
      <c r="H260" s="78"/>
      <c r="I260" s="57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</row>
    <row r="261" ht="30.0" customHeight="1">
      <c r="A261" s="69"/>
      <c r="B261" s="69"/>
      <c r="C261" s="77"/>
      <c r="D261" s="78"/>
      <c r="E261" s="54"/>
      <c r="F261" s="79"/>
      <c r="G261" s="80"/>
      <c r="H261" s="78"/>
      <c r="I261" s="57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</row>
    <row r="262" ht="30.0" customHeight="1">
      <c r="A262" s="69"/>
      <c r="B262" s="69"/>
      <c r="C262" s="77"/>
      <c r="D262" s="78"/>
      <c r="E262" s="54"/>
      <c r="F262" s="79"/>
      <c r="G262" s="80"/>
      <c r="H262" s="78"/>
      <c r="I262" s="57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</row>
    <row r="263" ht="30.0" customHeight="1">
      <c r="A263" s="69"/>
      <c r="B263" s="69"/>
      <c r="C263" s="77"/>
      <c r="D263" s="78"/>
      <c r="E263" s="54"/>
      <c r="F263" s="79"/>
      <c r="G263" s="80"/>
      <c r="H263" s="78"/>
      <c r="I263" s="57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</row>
    <row r="264" ht="30.0" customHeight="1">
      <c r="A264" s="69"/>
      <c r="B264" s="69"/>
      <c r="C264" s="77"/>
      <c r="D264" s="78"/>
      <c r="E264" s="54"/>
      <c r="F264" s="79"/>
      <c r="G264" s="80"/>
      <c r="H264" s="78"/>
      <c r="I264" s="57"/>
      <c r="J264" s="69"/>
      <c r="K264" s="87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</row>
    <row r="265" ht="30.0" customHeight="1">
      <c r="A265" s="69"/>
      <c r="B265" s="69"/>
      <c r="C265" s="88" t="s">
        <v>78</v>
      </c>
      <c r="D265" s="89" t="s">
        <v>79</v>
      </c>
      <c r="E265" s="62"/>
      <c r="F265" s="100"/>
      <c r="G265" s="101"/>
      <c r="H265" s="89"/>
      <c r="I265" s="65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</row>
    <row r="266" ht="11.2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</row>
    <row r="267" ht="39.0" customHeight="1">
      <c r="A267" s="69"/>
      <c r="B267" s="69"/>
      <c r="C267" s="90" t="str">
        <f>'(Fases) Grandes Marcos'!$E$5</f>
        <v>Resultado Pretendido (Valor entregue ao cliente nessa fase)</v>
      </c>
      <c r="D267" s="91" t="str">
        <f>'(Fases) Grandes Marcos'!E26</f>
        <v/>
      </c>
      <c r="E267" s="92"/>
      <c r="F267" s="69"/>
      <c r="G267" s="90" t="str">
        <f>'(Fases) Grandes Marcos'!$H$5</f>
        <v>O que você faz durante esse processo que garante esse resultado?</v>
      </c>
      <c r="H267" s="91" t="str">
        <f>'(Fases) Grandes Marcos'!H26</f>
        <v/>
      </c>
      <c r="I267" s="92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</row>
    <row r="268" ht="14.2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</row>
    <row r="269" ht="51.0" customHeight="1">
      <c r="A269" s="69"/>
      <c r="B269" s="69"/>
      <c r="C269" s="12" t="s">
        <v>69</v>
      </c>
      <c r="D269" s="71" t="s">
        <v>70</v>
      </c>
      <c r="E269" s="8"/>
      <c r="F269" s="72" t="s">
        <v>71</v>
      </c>
      <c r="G269" s="72" t="s">
        <v>72</v>
      </c>
      <c r="H269" s="71" t="s">
        <v>73</v>
      </c>
      <c r="I269" s="8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</row>
    <row r="270" ht="30.0" customHeight="1">
      <c r="A270" s="69"/>
      <c r="B270" s="12" t="s">
        <v>53</v>
      </c>
      <c r="C270" s="73" t="str">
        <f>'(Fases) Grandes Marcos'!C27</f>
        <v/>
      </c>
      <c r="D270" s="74"/>
      <c r="E270" s="49"/>
      <c r="F270" s="75"/>
      <c r="G270" s="76"/>
      <c r="H270" s="74"/>
      <c r="I270" s="52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</row>
    <row r="271" ht="30.0" customHeight="1">
      <c r="A271" s="69"/>
      <c r="B271" s="69"/>
      <c r="C271" s="77"/>
      <c r="D271" s="78"/>
      <c r="E271" s="54"/>
      <c r="F271" s="79"/>
      <c r="G271" s="80"/>
      <c r="H271" s="78"/>
      <c r="I271" s="57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</row>
    <row r="272" ht="30.0" customHeight="1">
      <c r="A272" s="69"/>
      <c r="B272" s="69"/>
      <c r="C272" s="77"/>
      <c r="D272" s="78"/>
      <c r="E272" s="54"/>
      <c r="F272" s="79"/>
      <c r="G272" s="80"/>
      <c r="H272" s="78"/>
      <c r="I272" s="57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</row>
    <row r="273" ht="30.0" customHeight="1">
      <c r="A273" s="69"/>
      <c r="B273" s="69"/>
      <c r="C273" s="77"/>
      <c r="D273" s="78"/>
      <c r="E273" s="54"/>
      <c r="F273" s="79"/>
      <c r="G273" s="80"/>
      <c r="H273" s="78"/>
      <c r="I273" s="57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</row>
    <row r="274" ht="30.0" customHeight="1">
      <c r="A274" s="69"/>
      <c r="B274" s="69"/>
      <c r="C274" s="77"/>
      <c r="D274" s="78"/>
      <c r="E274" s="54"/>
      <c r="F274" s="79"/>
      <c r="G274" s="80"/>
      <c r="H274" s="78"/>
      <c r="I274" s="57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</row>
    <row r="275" ht="30.0" customHeight="1">
      <c r="A275" s="69"/>
      <c r="B275" s="69"/>
      <c r="C275" s="77"/>
      <c r="D275" s="78"/>
      <c r="E275" s="54"/>
      <c r="F275" s="79"/>
      <c r="G275" s="80"/>
      <c r="H275" s="78"/>
      <c r="I275" s="57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</row>
    <row r="276" ht="30.0" customHeight="1">
      <c r="A276" s="69"/>
      <c r="B276" s="69"/>
      <c r="C276" s="77"/>
      <c r="D276" s="78"/>
      <c r="E276" s="54"/>
      <c r="F276" s="79"/>
      <c r="G276" s="80"/>
      <c r="H276" s="78"/>
      <c r="I276" s="57"/>
      <c r="J276" s="69"/>
      <c r="K276" s="87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</row>
    <row r="277" ht="30.0" customHeight="1">
      <c r="A277" s="69"/>
      <c r="B277" s="69"/>
      <c r="C277" s="88" t="s">
        <v>78</v>
      </c>
      <c r="D277" s="89" t="s">
        <v>79</v>
      </c>
      <c r="E277" s="62"/>
      <c r="F277" s="100"/>
      <c r="G277" s="101"/>
      <c r="H277" s="89"/>
      <c r="I277" s="65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</row>
    <row r="278" ht="11.2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</row>
    <row r="279" ht="39.0" customHeight="1">
      <c r="A279" s="69"/>
      <c r="B279" s="69"/>
      <c r="C279" s="90" t="str">
        <f>'(Fases) Grandes Marcos'!$E$5</f>
        <v>Resultado Pretendido (Valor entregue ao cliente nessa fase)</v>
      </c>
      <c r="D279" s="91" t="str">
        <f>'(Fases) Grandes Marcos'!E27</f>
        <v/>
      </c>
      <c r="E279" s="92"/>
      <c r="F279" s="69"/>
      <c r="G279" s="90" t="str">
        <f>'(Fases) Grandes Marcos'!$H$5</f>
        <v>O que você faz durante esse processo que garante esse resultado?</v>
      </c>
      <c r="H279" s="91" t="str">
        <f>'(Fases) Grandes Marcos'!H27</f>
        <v/>
      </c>
      <c r="I279" s="92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</row>
    <row r="280" ht="14.2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</row>
    <row r="281" ht="51.0" customHeight="1">
      <c r="A281" s="69"/>
      <c r="B281" s="69"/>
      <c r="C281" s="12" t="s">
        <v>69</v>
      </c>
      <c r="D281" s="71" t="s">
        <v>70</v>
      </c>
      <c r="E281" s="8"/>
      <c r="F281" s="72" t="s">
        <v>71</v>
      </c>
      <c r="G281" s="72" t="s">
        <v>72</v>
      </c>
      <c r="H281" s="71" t="s">
        <v>73</v>
      </c>
      <c r="I281" s="8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</row>
    <row r="282" ht="30.0" customHeight="1">
      <c r="A282" s="69"/>
      <c r="B282" s="12" t="s">
        <v>54</v>
      </c>
      <c r="C282" s="73" t="str">
        <f>'(Fases) Grandes Marcos'!C28</f>
        <v/>
      </c>
      <c r="D282" s="74"/>
      <c r="E282" s="49"/>
      <c r="F282" s="75"/>
      <c r="G282" s="76"/>
      <c r="H282" s="74"/>
      <c r="I282" s="52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</row>
    <row r="283" ht="30.0" customHeight="1">
      <c r="A283" s="69"/>
      <c r="B283" s="69"/>
      <c r="C283" s="77"/>
      <c r="D283" s="78"/>
      <c r="E283" s="54"/>
      <c r="F283" s="79"/>
      <c r="G283" s="80"/>
      <c r="H283" s="78"/>
      <c r="I283" s="57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</row>
    <row r="284" ht="30.0" customHeight="1">
      <c r="A284" s="69"/>
      <c r="B284" s="69"/>
      <c r="C284" s="77"/>
      <c r="D284" s="78"/>
      <c r="E284" s="54"/>
      <c r="F284" s="79"/>
      <c r="G284" s="80"/>
      <c r="H284" s="78"/>
      <c r="I284" s="57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</row>
    <row r="285" ht="30.0" customHeight="1">
      <c r="A285" s="69"/>
      <c r="B285" s="69"/>
      <c r="C285" s="77"/>
      <c r="D285" s="78"/>
      <c r="E285" s="54"/>
      <c r="F285" s="79"/>
      <c r="G285" s="80"/>
      <c r="H285" s="78"/>
      <c r="I285" s="57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</row>
    <row r="286" ht="30.0" customHeight="1">
      <c r="A286" s="69"/>
      <c r="B286" s="69"/>
      <c r="C286" s="77"/>
      <c r="D286" s="78"/>
      <c r="E286" s="54"/>
      <c r="F286" s="79"/>
      <c r="G286" s="80"/>
      <c r="H286" s="78"/>
      <c r="I286" s="57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</row>
    <row r="287" ht="30.0" customHeight="1">
      <c r="A287" s="69"/>
      <c r="B287" s="69"/>
      <c r="C287" s="77"/>
      <c r="D287" s="78"/>
      <c r="E287" s="54"/>
      <c r="F287" s="79"/>
      <c r="G287" s="80"/>
      <c r="H287" s="78"/>
      <c r="I287" s="57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</row>
    <row r="288" ht="30.0" customHeight="1">
      <c r="A288" s="69"/>
      <c r="B288" s="69"/>
      <c r="C288" s="77"/>
      <c r="D288" s="78"/>
      <c r="E288" s="54"/>
      <c r="F288" s="79"/>
      <c r="G288" s="80"/>
      <c r="H288" s="78"/>
      <c r="I288" s="57"/>
      <c r="J288" s="69"/>
      <c r="K288" s="87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</row>
    <row r="289" ht="30.0" customHeight="1">
      <c r="A289" s="69"/>
      <c r="B289" s="69"/>
      <c r="C289" s="88" t="s">
        <v>78</v>
      </c>
      <c r="D289" s="89" t="s">
        <v>79</v>
      </c>
      <c r="E289" s="62"/>
      <c r="F289" s="100"/>
      <c r="G289" s="101"/>
      <c r="H289" s="89"/>
      <c r="I289" s="65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</row>
    <row r="290" ht="11.2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</row>
    <row r="291" ht="39.0" customHeight="1">
      <c r="A291" s="69"/>
      <c r="B291" s="69"/>
      <c r="C291" s="90" t="str">
        <f>'(Fases) Grandes Marcos'!$E$5</f>
        <v>Resultado Pretendido (Valor entregue ao cliente nessa fase)</v>
      </c>
      <c r="D291" s="91" t="str">
        <f>'(Fases) Grandes Marcos'!E28</f>
        <v/>
      </c>
      <c r="E291" s="92"/>
      <c r="F291" s="69"/>
      <c r="G291" s="90" t="str">
        <f>'(Fases) Grandes Marcos'!$H$5</f>
        <v>O que você faz durante esse processo que garante esse resultado?</v>
      </c>
      <c r="H291" s="91" t="str">
        <f>'(Fases) Grandes Marcos'!H28</f>
        <v/>
      </c>
      <c r="I291" s="92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</row>
    <row r="292" ht="14.2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</row>
    <row r="293" ht="51.0" customHeight="1">
      <c r="A293" s="69"/>
      <c r="B293" s="69"/>
      <c r="C293" s="12" t="s">
        <v>69</v>
      </c>
      <c r="D293" s="71" t="s">
        <v>70</v>
      </c>
      <c r="E293" s="8"/>
      <c r="F293" s="72" t="s">
        <v>71</v>
      </c>
      <c r="G293" s="72" t="s">
        <v>72</v>
      </c>
      <c r="H293" s="71" t="s">
        <v>73</v>
      </c>
      <c r="I293" s="8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</row>
    <row r="294" ht="30.0" customHeight="1">
      <c r="A294" s="69"/>
      <c r="B294" s="12" t="s">
        <v>55</v>
      </c>
      <c r="C294" s="73" t="str">
        <f>'(Fases) Grandes Marcos'!C29</f>
        <v/>
      </c>
      <c r="D294" s="74"/>
      <c r="E294" s="49"/>
      <c r="F294" s="75"/>
      <c r="G294" s="76"/>
      <c r="H294" s="74"/>
      <c r="I294" s="52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</row>
    <row r="295" ht="30.0" customHeight="1">
      <c r="A295" s="69"/>
      <c r="B295" s="69"/>
      <c r="C295" s="77"/>
      <c r="D295" s="78"/>
      <c r="E295" s="54"/>
      <c r="F295" s="79"/>
      <c r="G295" s="80"/>
      <c r="H295" s="78"/>
      <c r="I295" s="57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</row>
    <row r="296" ht="30.0" customHeight="1">
      <c r="A296" s="69"/>
      <c r="B296" s="69"/>
      <c r="C296" s="77"/>
      <c r="D296" s="78"/>
      <c r="E296" s="54"/>
      <c r="F296" s="79"/>
      <c r="G296" s="80"/>
      <c r="H296" s="78"/>
      <c r="I296" s="57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</row>
    <row r="297" ht="30.0" customHeight="1">
      <c r="A297" s="69"/>
      <c r="B297" s="69"/>
      <c r="C297" s="77"/>
      <c r="D297" s="78"/>
      <c r="E297" s="54"/>
      <c r="F297" s="79"/>
      <c r="G297" s="80"/>
      <c r="H297" s="78"/>
      <c r="I297" s="57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</row>
    <row r="298" ht="30.0" customHeight="1">
      <c r="A298" s="69"/>
      <c r="B298" s="69"/>
      <c r="C298" s="77"/>
      <c r="D298" s="78"/>
      <c r="E298" s="54"/>
      <c r="F298" s="79"/>
      <c r="G298" s="80"/>
      <c r="H298" s="78"/>
      <c r="I298" s="57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</row>
    <row r="299" ht="30.0" customHeight="1">
      <c r="A299" s="69"/>
      <c r="B299" s="69"/>
      <c r="C299" s="77"/>
      <c r="D299" s="78"/>
      <c r="E299" s="54"/>
      <c r="F299" s="79"/>
      <c r="G299" s="80"/>
      <c r="H299" s="78"/>
      <c r="I299" s="57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</row>
    <row r="300" ht="30.0" customHeight="1">
      <c r="A300" s="69"/>
      <c r="B300" s="69"/>
      <c r="C300" s="77"/>
      <c r="D300" s="78"/>
      <c r="E300" s="54"/>
      <c r="F300" s="79"/>
      <c r="G300" s="80"/>
      <c r="H300" s="78"/>
      <c r="I300" s="57"/>
      <c r="J300" s="69"/>
      <c r="K300" s="87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</row>
    <row r="301" ht="30.0" customHeight="1">
      <c r="A301" s="69"/>
      <c r="B301" s="69"/>
      <c r="C301" s="88" t="s">
        <v>78</v>
      </c>
      <c r="D301" s="89" t="s">
        <v>79</v>
      </c>
      <c r="E301" s="62"/>
      <c r="F301" s="100"/>
      <c r="G301" s="101"/>
      <c r="H301" s="89"/>
      <c r="I301" s="65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</row>
    <row r="302" ht="11.2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</row>
    <row r="303" ht="39.0" customHeight="1">
      <c r="A303" s="69"/>
      <c r="B303" s="69"/>
      <c r="C303" s="90" t="str">
        <f>'(Fases) Grandes Marcos'!$E$5</f>
        <v>Resultado Pretendido (Valor entregue ao cliente nessa fase)</v>
      </c>
      <c r="D303" s="91" t="str">
        <f>'(Fases) Grandes Marcos'!E29</f>
        <v/>
      </c>
      <c r="E303" s="92"/>
      <c r="F303" s="69"/>
      <c r="G303" s="90" t="str">
        <f>'(Fases) Grandes Marcos'!$H$5</f>
        <v>O que você faz durante esse processo que garante esse resultado?</v>
      </c>
      <c r="H303" s="91" t="str">
        <f>'(Fases) Grandes Marcos'!H29</f>
        <v/>
      </c>
      <c r="I303" s="92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</row>
    <row r="304" ht="14.2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</row>
    <row r="305" ht="51.0" customHeight="1">
      <c r="A305" s="69"/>
      <c r="B305" s="69"/>
      <c r="C305" s="12" t="s">
        <v>69</v>
      </c>
      <c r="D305" s="71" t="s">
        <v>70</v>
      </c>
      <c r="E305" s="8"/>
      <c r="F305" s="72" t="s">
        <v>71</v>
      </c>
      <c r="G305" s="72" t="s">
        <v>72</v>
      </c>
      <c r="H305" s="71" t="s">
        <v>73</v>
      </c>
      <c r="I305" s="8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</row>
    <row r="306" ht="30.0" customHeight="1">
      <c r="A306" s="69"/>
      <c r="B306" s="12" t="s">
        <v>56</v>
      </c>
      <c r="C306" s="73" t="str">
        <f>'(Fases) Grandes Marcos'!C30</f>
        <v/>
      </c>
      <c r="D306" s="74"/>
      <c r="E306" s="49"/>
      <c r="F306" s="75"/>
      <c r="G306" s="76"/>
      <c r="H306" s="74"/>
      <c r="I306" s="52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</row>
    <row r="307" ht="30.0" customHeight="1">
      <c r="A307" s="69"/>
      <c r="B307" s="69"/>
      <c r="C307" s="77"/>
      <c r="D307" s="78"/>
      <c r="E307" s="54"/>
      <c r="F307" s="79"/>
      <c r="G307" s="80"/>
      <c r="H307" s="78"/>
      <c r="I307" s="57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</row>
    <row r="308" ht="30.0" customHeight="1">
      <c r="A308" s="69"/>
      <c r="B308" s="69"/>
      <c r="C308" s="77"/>
      <c r="D308" s="78"/>
      <c r="E308" s="54"/>
      <c r="F308" s="79"/>
      <c r="G308" s="80"/>
      <c r="H308" s="78"/>
      <c r="I308" s="5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</row>
    <row r="309" ht="30.0" customHeight="1">
      <c r="A309" s="69"/>
      <c r="B309" s="69"/>
      <c r="C309" s="77"/>
      <c r="D309" s="78"/>
      <c r="E309" s="54"/>
      <c r="F309" s="79"/>
      <c r="G309" s="80"/>
      <c r="H309" s="78"/>
      <c r="I309" s="57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</row>
    <row r="310" ht="30.0" customHeight="1">
      <c r="A310" s="69"/>
      <c r="B310" s="69"/>
      <c r="C310" s="77"/>
      <c r="D310" s="78"/>
      <c r="E310" s="54"/>
      <c r="F310" s="79"/>
      <c r="G310" s="80"/>
      <c r="H310" s="78"/>
      <c r="I310" s="57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</row>
    <row r="311" ht="30.0" customHeight="1">
      <c r="A311" s="69"/>
      <c r="B311" s="69"/>
      <c r="C311" s="77"/>
      <c r="D311" s="78"/>
      <c r="E311" s="54"/>
      <c r="F311" s="79"/>
      <c r="G311" s="80"/>
      <c r="H311" s="78"/>
      <c r="I311" s="57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</row>
    <row r="312" ht="30.0" customHeight="1">
      <c r="A312" s="69"/>
      <c r="B312" s="69"/>
      <c r="C312" s="77"/>
      <c r="D312" s="78"/>
      <c r="E312" s="54"/>
      <c r="F312" s="79"/>
      <c r="G312" s="80"/>
      <c r="H312" s="78"/>
      <c r="I312" s="57"/>
      <c r="J312" s="69"/>
      <c r="K312" s="87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</row>
    <row r="313" ht="30.0" customHeight="1">
      <c r="A313" s="69"/>
      <c r="B313" s="69"/>
      <c r="C313" s="88" t="s">
        <v>78</v>
      </c>
      <c r="D313" s="89" t="s">
        <v>79</v>
      </c>
      <c r="E313" s="62"/>
      <c r="F313" s="100"/>
      <c r="G313" s="101"/>
      <c r="H313" s="89"/>
      <c r="I313" s="65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</row>
    <row r="314" ht="11.2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</row>
    <row r="315" ht="39.0" customHeight="1">
      <c r="A315" s="69"/>
      <c r="B315" s="69"/>
      <c r="C315" s="90" t="str">
        <f>'(Fases) Grandes Marcos'!$E$5</f>
        <v>Resultado Pretendido (Valor entregue ao cliente nessa fase)</v>
      </c>
      <c r="D315" s="91" t="str">
        <f>'(Fases) Grandes Marcos'!E30</f>
        <v/>
      </c>
      <c r="E315" s="92"/>
      <c r="F315" s="69"/>
      <c r="G315" s="90" t="str">
        <f>'(Fases) Grandes Marcos'!$H$5</f>
        <v>O que você faz durante esse processo que garante esse resultado?</v>
      </c>
      <c r="H315" s="91" t="str">
        <f>'(Fases) Grandes Marcos'!H30</f>
        <v/>
      </c>
      <c r="I315" s="92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</row>
    <row r="316" ht="14.2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</row>
    <row r="317" ht="51.0" customHeight="1">
      <c r="A317" s="69"/>
      <c r="B317" s="69"/>
      <c r="C317" s="12" t="s">
        <v>69</v>
      </c>
      <c r="D317" s="71" t="s">
        <v>70</v>
      </c>
      <c r="E317" s="8"/>
      <c r="F317" s="72" t="s">
        <v>71</v>
      </c>
      <c r="G317" s="72" t="s">
        <v>72</v>
      </c>
      <c r="H317" s="71" t="s">
        <v>73</v>
      </c>
      <c r="I317" s="8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</row>
    <row r="318" ht="30.0" customHeight="1">
      <c r="A318" s="69"/>
      <c r="B318" s="12" t="s">
        <v>57</v>
      </c>
      <c r="C318" s="73" t="str">
        <f>'(Fases) Grandes Marcos'!C31</f>
        <v/>
      </c>
      <c r="D318" s="74"/>
      <c r="E318" s="49"/>
      <c r="F318" s="75"/>
      <c r="G318" s="76"/>
      <c r="H318" s="74"/>
      <c r="I318" s="52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</row>
    <row r="319" ht="30.0" customHeight="1">
      <c r="A319" s="69"/>
      <c r="B319" s="69"/>
      <c r="C319" s="77"/>
      <c r="D319" s="78"/>
      <c r="E319" s="54"/>
      <c r="F319" s="79"/>
      <c r="G319" s="80"/>
      <c r="H319" s="78"/>
      <c r="I319" s="57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</row>
    <row r="320" ht="30.0" customHeight="1">
      <c r="A320" s="69"/>
      <c r="B320" s="69"/>
      <c r="C320" s="77"/>
      <c r="D320" s="78"/>
      <c r="E320" s="54"/>
      <c r="F320" s="79"/>
      <c r="G320" s="80"/>
      <c r="H320" s="78"/>
      <c r="I320" s="57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</row>
    <row r="321" ht="30.0" customHeight="1">
      <c r="A321" s="69"/>
      <c r="B321" s="69"/>
      <c r="C321" s="77"/>
      <c r="D321" s="78"/>
      <c r="E321" s="54"/>
      <c r="F321" s="79"/>
      <c r="G321" s="80"/>
      <c r="H321" s="78"/>
      <c r="I321" s="57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</row>
    <row r="322" ht="30.0" customHeight="1">
      <c r="A322" s="69"/>
      <c r="B322" s="69"/>
      <c r="C322" s="77"/>
      <c r="D322" s="78"/>
      <c r="E322" s="54"/>
      <c r="F322" s="79"/>
      <c r="G322" s="80"/>
      <c r="H322" s="78"/>
      <c r="I322" s="57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</row>
    <row r="323" ht="30.0" customHeight="1">
      <c r="A323" s="69"/>
      <c r="B323" s="69"/>
      <c r="C323" s="77"/>
      <c r="D323" s="78"/>
      <c r="E323" s="54"/>
      <c r="F323" s="79"/>
      <c r="G323" s="80"/>
      <c r="H323" s="78"/>
      <c r="I323" s="57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</row>
    <row r="324" ht="30.0" customHeight="1">
      <c r="A324" s="69"/>
      <c r="B324" s="69"/>
      <c r="C324" s="77"/>
      <c r="D324" s="78"/>
      <c r="E324" s="54"/>
      <c r="F324" s="79"/>
      <c r="G324" s="80"/>
      <c r="H324" s="78"/>
      <c r="I324" s="57"/>
      <c r="J324" s="69"/>
      <c r="K324" s="87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</row>
    <row r="325" ht="30.0" customHeight="1">
      <c r="A325" s="69"/>
      <c r="B325" s="69"/>
      <c r="C325" s="88" t="s">
        <v>78</v>
      </c>
      <c r="D325" s="89" t="s">
        <v>79</v>
      </c>
      <c r="E325" s="62"/>
      <c r="F325" s="100"/>
      <c r="G325" s="101"/>
      <c r="H325" s="89"/>
      <c r="I325" s="65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</row>
    <row r="326" ht="11.2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</row>
    <row r="327" ht="39.0" customHeight="1">
      <c r="A327" s="69"/>
      <c r="B327" s="69"/>
      <c r="C327" s="90" t="str">
        <f>'(Fases) Grandes Marcos'!$E$5</f>
        <v>Resultado Pretendido (Valor entregue ao cliente nessa fase)</v>
      </c>
      <c r="D327" s="91" t="str">
        <f>'(Fases) Grandes Marcos'!E31</f>
        <v/>
      </c>
      <c r="E327" s="92"/>
      <c r="F327" s="69"/>
      <c r="G327" s="90" t="str">
        <f>'(Fases) Grandes Marcos'!$H$5</f>
        <v>O que você faz durante esse processo que garante esse resultado?</v>
      </c>
      <c r="H327" s="91" t="str">
        <f>'(Fases) Grandes Marcos'!H31</f>
        <v/>
      </c>
      <c r="I327" s="92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</row>
    <row r="328" ht="14.2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</row>
    <row r="329" ht="51.0" customHeight="1">
      <c r="A329" s="69"/>
      <c r="B329" s="69"/>
      <c r="C329" s="12" t="s">
        <v>69</v>
      </c>
      <c r="D329" s="71" t="s">
        <v>70</v>
      </c>
      <c r="E329" s="8"/>
      <c r="F329" s="72" t="s">
        <v>71</v>
      </c>
      <c r="G329" s="72" t="s">
        <v>72</v>
      </c>
      <c r="H329" s="71" t="s">
        <v>73</v>
      </c>
      <c r="I329" s="8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</row>
    <row r="330" ht="30.0" customHeight="1">
      <c r="A330" s="69"/>
      <c r="B330" s="12" t="s">
        <v>58</v>
      </c>
      <c r="C330" s="73" t="str">
        <f>'(Fases) Grandes Marcos'!C32</f>
        <v/>
      </c>
      <c r="D330" s="74"/>
      <c r="E330" s="49"/>
      <c r="F330" s="75"/>
      <c r="G330" s="76"/>
      <c r="H330" s="74"/>
      <c r="I330" s="52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</row>
    <row r="331" ht="30.0" customHeight="1">
      <c r="A331" s="69"/>
      <c r="B331" s="69"/>
      <c r="C331" s="77"/>
      <c r="D331" s="78"/>
      <c r="E331" s="54"/>
      <c r="F331" s="79"/>
      <c r="G331" s="80"/>
      <c r="H331" s="78"/>
      <c r="I331" s="57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</row>
    <row r="332" ht="30.0" customHeight="1">
      <c r="A332" s="69"/>
      <c r="B332" s="69"/>
      <c r="C332" s="77"/>
      <c r="D332" s="78"/>
      <c r="E332" s="54"/>
      <c r="F332" s="79"/>
      <c r="G332" s="80"/>
      <c r="H332" s="78"/>
      <c r="I332" s="57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</row>
    <row r="333" ht="30.0" customHeight="1">
      <c r="A333" s="69"/>
      <c r="B333" s="69"/>
      <c r="C333" s="77"/>
      <c r="D333" s="78"/>
      <c r="E333" s="54"/>
      <c r="F333" s="79"/>
      <c r="G333" s="80"/>
      <c r="H333" s="78"/>
      <c r="I333" s="57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</row>
    <row r="334" ht="30.0" customHeight="1">
      <c r="A334" s="69"/>
      <c r="B334" s="69"/>
      <c r="C334" s="77"/>
      <c r="D334" s="78"/>
      <c r="E334" s="54"/>
      <c r="F334" s="79"/>
      <c r="G334" s="80"/>
      <c r="H334" s="78"/>
      <c r="I334" s="57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</row>
    <row r="335" ht="30.0" customHeight="1">
      <c r="A335" s="69"/>
      <c r="B335" s="69"/>
      <c r="C335" s="77"/>
      <c r="D335" s="78"/>
      <c r="E335" s="54"/>
      <c r="F335" s="79"/>
      <c r="G335" s="80"/>
      <c r="H335" s="78"/>
      <c r="I335" s="57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</row>
    <row r="336" ht="30.0" customHeight="1">
      <c r="A336" s="69"/>
      <c r="B336" s="69"/>
      <c r="C336" s="77"/>
      <c r="D336" s="78"/>
      <c r="E336" s="54"/>
      <c r="F336" s="79"/>
      <c r="G336" s="80"/>
      <c r="H336" s="78"/>
      <c r="I336" s="57"/>
      <c r="J336" s="69"/>
      <c r="K336" s="87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</row>
    <row r="337" ht="30.0" customHeight="1">
      <c r="A337" s="69"/>
      <c r="B337" s="69"/>
      <c r="C337" s="88" t="s">
        <v>78</v>
      </c>
      <c r="D337" s="89" t="s">
        <v>79</v>
      </c>
      <c r="E337" s="62"/>
      <c r="F337" s="100"/>
      <c r="G337" s="101"/>
      <c r="H337" s="89"/>
      <c r="I337" s="65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</row>
    <row r="338" ht="11.2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</row>
    <row r="339" ht="39.0" customHeight="1">
      <c r="A339" s="69"/>
      <c r="B339" s="69"/>
      <c r="C339" s="90" t="str">
        <f>'(Fases) Grandes Marcos'!$E$5</f>
        <v>Resultado Pretendido (Valor entregue ao cliente nessa fase)</v>
      </c>
      <c r="D339" s="91" t="str">
        <f>'(Fases) Grandes Marcos'!E32</f>
        <v/>
      </c>
      <c r="E339" s="92"/>
      <c r="F339" s="69"/>
      <c r="G339" s="90" t="str">
        <f>'(Fases) Grandes Marcos'!$H$5</f>
        <v>O que você faz durante esse processo que garante esse resultado?</v>
      </c>
      <c r="H339" s="91" t="str">
        <f>'(Fases) Grandes Marcos'!H32</f>
        <v/>
      </c>
      <c r="I339" s="92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</row>
    <row r="340" ht="14.2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</row>
    <row r="341" ht="51.0" customHeight="1">
      <c r="A341" s="69"/>
      <c r="B341" s="69"/>
      <c r="C341" s="12" t="s">
        <v>69</v>
      </c>
      <c r="D341" s="71" t="s">
        <v>70</v>
      </c>
      <c r="E341" s="8"/>
      <c r="F341" s="72" t="s">
        <v>71</v>
      </c>
      <c r="G341" s="72" t="s">
        <v>72</v>
      </c>
      <c r="H341" s="71" t="s">
        <v>73</v>
      </c>
      <c r="I341" s="8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</row>
    <row r="342" ht="30.0" customHeight="1">
      <c r="A342" s="69"/>
      <c r="B342" s="12" t="s">
        <v>59</v>
      </c>
      <c r="C342" s="73" t="str">
        <f>'(Fases) Grandes Marcos'!C33</f>
        <v/>
      </c>
      <c r="D342" s="74"/>
      <c r="E342" s="49"/>
      <c r="F342" s="75"/>
      <c r="G342" s="76"/>
      <c r="H342" s="74"/>
      <c r="I342" s="52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</row>
    <row r="343" ht="30.0" customHeight="1">
      <c r="A343" s="69"/>
      <c r="B343" s="69"/>
      <c r="C343" s="77"/>
      <c r="D343" s="78"/>
      <c r="E343" s="54"/>
      <c r="F343" s="79"/>
      <c r="G343" s="80"/>
      <c r="H343" s="78"/>
      <c r="I343" s="57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</row>
    <row r="344" ht="30.0" customHeight="1">
      <c r="A344" s="69"/>
      <c r="B344" s="69"/>
      <c r="C344" s="77"/>
      <c r="D344" s="78"/>
      <c r="E344" s="54"/>
      <c r="F344" s="79"/>
      <c r="G344" s="80"/>
      <c r="H344" s="78"/>
      <c r="I344" s="57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</row>
    <row r="345" ht="30.0" customHeight="1">
      <c r="A345" s="69"/>
      <c r="B345" s="69"/>
      <c r="C345" s="77"/>
      <c r="D345" s="78"/>
      <c r="E345" s="54"/>
      <c r="F345" s="79"/>
      <c r="G345" s="80"/>
      <c r="H345" s="78"/>
      <c r="I345" s="57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</row>
    <row r="346" ht="30.0" customHeight="1">
      <c r="A346" s="69"/>
      <c r="B346" s="69"/>
      <c r="C346" s="77"/>
      <c r="D346" s="78"/>
      <c r="E346" s="54"/>
      <c r="F346" s="79"/>
      <c r="G346" s="80"/>
      <c r="H346" s="78"/>
      <c r="I346" s="5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</row>
    <row r="347" ht="30.0" customHeight="1">
      <c r="A347" s="69"/>
      <c r="B347" s="69"/>
      <c r="C347" s="77"/>
      <c r="D347" s="78"/>
      <c r="E347" s="54"/>
      <c r="F347" s="79"/>
      <c r="G347" s="80"/>
      <c r="H347" s="78"/>
      <c r="I347" s="57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</row>
    <row r="348" ht="30.0" customHeight="1">
      <c r="A348" s="69"/>
      <c r="B348" s="69"/>
      <c r="C348" s="77"/>
      <c r="D348" s="78"/>
      <c r="E348" s="54"/>
      <c r="F348" s="79"/>
      <c r="G348" s="80"/>
      <c r="H348" s="78"/>
      <c r="I348" s="57"/>
      <c r="J348" s="69"/>
      <c r="K348" s="87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</row>
    <row r="349" ht="30.0" customHeight="1">
      <c r="A349" s="69"/>
      <c r="B349" s="69"/>
      <c r="C349" s="88" t="s">
        <v>78</v>
      </c>
      <c r="D349" s="89" t="s">
        <v>79</v>
      </c>
      <c r="E349" s="62"/>
      <c r="F349" s="100"/>
      <c r="G349" s="101"/>
      <c r="H349" s="89"/>
      <c r="I349" s="65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</row>
    <row r="350" ht="11.2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</row>
    <row r="351" ht="39.0" customHeight="1">
      <c r="A351" s="69"/>
      <c r="B351" s="69"/>
      <c r="C351" s="90" t="str">
        <f>'(Fases) Grandes Marcos'!$E$5</f>
        <v>Resultado Pretendido (Valor entregue ao cliente nessa fase)</v>
      </c>
      <c r="D351" s="91" t="str">
        <f>'(Fases) Grandes Marcos'!E33</f>
        <v/>
      </c>
      <c r="E351" s="92"/>
      <c r="F351" s="69"/>
      <c r="G351" s="90" t="str">
        <f>'(Fases) Grandes Marcos'!$H$5</f>
        <v>O que você faz durante esse processo que garante esse resultado?</v>
      </c>
      <c r="H351" s="91" t="str">
        <f>'(Fases) Grandes Marcos'!H33</f>
        <v/>
      </c>
      <c r="I351" s="92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</row>
    <row r="352" ht="14.2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</row>
    <row r="353" ht="51.0" customHeight="1">
      <c r="A353" s="69"/>
      <c r="B353" s="69"/>
      <c r="C353" s="12" t="s">
        <v>69</v>
      </c>
      <c r="D353" s="71" t="s">
        <v>70</v>
      </c>
      <c r="E353" s="8"/>
      <c r="F353" s="72" t="s">
        <v>71</v>
      </c>
      <c r="G353" s="72" t="s">
        <v>72</v>
      </c>
      <c r="H353" s="71" t="s">
        <v>73</v>
      </c>
      <c r="I353" s="8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</row>
    <row r="354" ht="30.0" customHeight="1">
      <c r="A354" s="69"/>
      <c r="B354" s="12" t="s">
        <v>60</v>
      </c>
      <c r="C354" s="73" t="str">
        <f>'(Fases) Grandes Marcos'!C34</f>
        <v/>
      </c>
      <c r="D354" s="74"/>
      <c r="E354" s="49"/>
      <c r="F354" s="75"/>
      <c r="G354" s="76"/>
      <c r="H354" s="74"/>
      <c r="I354" s="52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</row>
    <row r="355" ht="30.0" customHeight="1">
      <c r="A355" s="69"/>
      <c r="B355" s="69"/>
      <c r="C355" s="77"/>
      <c r="D355" s="78"/>
      <c r="E355" s="54"/>
      <c r="F355" s="79"/>
      <c r="G355" s="80"/>
      <c r="H355" s="78"/>
      <c r="I355" s="57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</row>
    <row r="356" ht="30.0" customHeight="1">
      <c r="A356" s="69"/>
      <c r="B356" s="69"/>
      <c r="C356" s="77"/>
      <c r="D356" s="78"/>
      <c r="E356" s="54"/>
      <c r="F356" s="79"/>
      <c r="G356" s="80"/>
      <c r="H356" s="78"/>
      <c r="I356" s="57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</row>
    <row r="357" ht="30.0" customHeight="1">
      <c r="A357" s="69"/>
      <c r="B357" s="69"/>
      <c r="C357" s="77"/>
      <c r="D357" s="78"/>
      <c r="E357" s="54"/>
      <c r="F357" s="79"/>
      <c r="G357" s="80"/>
      <c r="H357" s="78"/>
      <c r="I357" s="57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</row>
    <row r="358" ht="30.0" customHeight="1">
      <c r="A358" s="69"/>
      <c r="B358" s="69"/>
      <c r="C358" s="77"/>
      <c r="D358" s="78"/>
      <c r="E358" s="54"/>
      <c r="F358" s="79"/>
      <c r="G358" s="80"/>
      <c r="H358" s="78"/>
      <c r="I358" s="57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</row>
    <row r="359" ht="30.0" customHeight="1">
      <c r="A359" s="69"/>
      <c r="B359" s="69"/>
      <c r="C359" s="77"/>
      <c r="D359" s="78"/>
      <c r="E359" s="54"/>
      <c r="F359" s="79"/>
      <c r="G359" s="80"/>
      <c r="H359" s="78"/>
      <c r="I359" s="57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</row>
    <row r="360" ht="30.0" customHeight="1">
      <c r="A360" s="69"/>
      <c r="B360" s="69"/>
      <c r="C360" s="77"/>
      <c r="D360" s="78"/>
      <c r="E360" s="54"/>
      <c r="F360" s="79"/>
      <c r="G360" s="80"/>
      <c r="H360" s="78"/>
      <c r="I360" s="57"/>
      <c r="J360" s="69"/>
      <c r="K360" s="87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</row>
    <row r="361" ht="30.0" customHeight="1">
      <c r="A361" s="69"/>
      <c r="B361" s="69"/>
      <c r="C361" s="88" t="s">
        <v>78</v>
      </c>
      <c r="D361" s="89" t="s">
        <v>79</v>
      </c>
      <c r="E361" s="62"/>
      <c r="F361" s="100"/>
      <c r="G361" s="101"/>
      <c r="H361" s="89"/>
      <c r="I361" s="65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</row>
    <row r="362" ht="11.2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</row>
    <row r="363" ht="39.0" customHeight="1">
      <c r="A363" s="69"/>
      <c r="B363" s="69"/>
      <c r="C363" s="90" t="str">
        <f>'(Fases) Grandes Marcos'!$E$5</f>
        <v>Resultado Pretendido (Valor entregue ao cliente nessa fase)</v>
      </c>
      <c r="D363" s="91" t="str">
        <f>'(Fases) Grandes Marcos'!E34</f>
        <v/>
      </c>
      <c r="E363" s="92"/>
      <c r="F363" s="69"/>
      <c r="G363" s="90" t="str">
        <f>'(Fases) Grandes Marcos'!$H$5</f>
        <v>O que você faz durante esse processo que garante esse resultado?</v>
      </c>
      <c r="H363" s="91" t="str">
        <f>'(Fases) Grandes Marcos'!H34</f>
        <v/>
      </c>
      <c r="I363" s="92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</row>
    <row r="364" ht="14.2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</row>
    <row r="365" ht="51.0" customHeight="1">
      <c r="A365" s="69"/>
      <c r="B365" s="69"/>
      <c r="C365" s="12" t="s">
        <v>69</v>
      </c>
      <c r="D365" s="71" t="s">
        <v>70</v>
      </c>
      <c r="E365" s="8"/>
      <c r="F365" s="72" t="s">
        <v>71</v>
      </c>
      <c r="G365" s="72" t="s">
        <v>72</v>
      </c>
      <c r="H365" s="71" t="s">
        <v>73</v>
      </c>
      <c r="I365" s="8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</row>
    <row r="366" ht="30.0" customHeight="1">
      <c r="A366" s="69"/>
      <c r="B366" s="12" t="s">
        <v>61</v>
      </c>
      <c r="C366" s="73" t="str">
        <f>'(Fases) Grandes Marcos'!C35</f>
        <v/>
      </c>
      <c r="D366" s="74"/>
      <c r="E366" s="49"/>
      <c r="F366" s="75"/>
      <c r="G366" s="76"/>
      <c r="H366" s="74"/>
      <c r="I366" s="52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</row>
    <row r="367" ht="30.0" customHeight="1">
      <c r="A367" s="69"/>
      <c r="B367" s="69"/>
      <c r="C367" s="77"/>
      <c r="D367" s="78"/>
      <c r="E367" s="54"/>
      <c r="F367" s="79"/>
      <c r="G367" s="80"/>
      <c r="H367" s="78"/>
      <c r="I367" s="57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</row>
    <row r="368" ht="30.0" customHeight="1">
      <c r="A368" s="69"/>
      <c r="B368" s="69"/>
      <c r="C368" s="77"/>
      <c r="D368" s="78"/>
      <c r="E368" s="54"/>
      <c r="F368" s="79"/>
      <c r="G368" s="80"/>
      <c r="H368" s="78"/>
      <c r="I368" s="57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</row>
    <row r="369" ht="30.0" customHeight="1">
      <c r="A369" s="69"/>
      <c r="B369" s="69"/>
      <c r="C369" s="77"/>
      <c r="D369" s="78"/>
      <c r="E369" s="54"/>
      <c r="F369" s="79"/>
      <c r="G369" s="80"/>
      <c r="H369" s="78"/>
      <c r="I369" s="57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</row>
    <row r="370" ht="30.0" customHeight="1">
      <c r="A370" s="69"/>
      <c r="B370" s="69"/>
      <c r="C370" s="77"/>
      <c r="D370" s="78"/>
      <c r="E370" s="54"/>
      <c r="F370" s="79"/>
      <c r="G370" s="80"/>
      <c r="H370" s="78"/>
      <c r="I370" s="57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</row>
    <row r="371" ht="30.0" customHeight="1">
      <c r="A371" s="69"/>
      <c r="B371" s="69"/>
      <c r="C371" s="77"/>
      <c r="D371" s="78"/>
      <c r="E371" s="54"/>
      <c r="F371" s="79"/>
      <c r="G371" s="80"/>
      <c r="H371" s="78"/>
      <c r="I371" s="57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</row>
    <row r="372" ht="30.0" customHeight="1">
      <c r="A372" s="69"/>
      <c r="B372" s="69"/>
      <c r="C372" s="77"/>
      <c r="D372" s="78"/>
      <c r="E372" s="54"/>
      <c r="F372" s="79"/>
      <c r="G372" s="80"/>
      <c r="H372" s="78"/>
      <c r="I372" s="57"/>
      <c r="J372" s="69"/>
      <c r="K372" s="87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</row>
    <row r="373" ht="30.0" customHeight="1">
      <c r="A373" s="69"/>
      <c r="B373" s="69"/>
      <c r="C373" s="88" t="s">
        <v>78</v>
      </c>
      <c r="D373" s="89" t="s">
        <v>79</v>
      </c>
      <c r="E373" s="62"/>
      <c r="F373" s="100"/>
      <c r="G373" s="101"/>
      <c r="H373" s="89"/>
      <c r="I373" s="65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</row>
    <row r="374" ht="11.2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</row>
    <row r="375" ht="39.0" customHeight="1">
      <c r="A375" s="69"/>
      <c r="B375" s="69"/>
      <c r="C375" s="90" t="str">
        <f>'(Fases) Grandes Marcos'!$E$5</f>
        <v>Resultado Pretendido (Valor entregue ao cliente nessa fase)</v>
      </c>
      <c r="D375" s="91" t="str">
        <f>'(Fases) Grandes Marcos'!E35</f>
        <v/>
      </c>
      <c r="E375" s="92"/>
      <c r="F375" s="69"/>
      <c r="G375" s="90" t="str">
        <f>'(Fases) Grandes Marcos'!$H$5</f>
        <v>O que você faz durante esse processo que garante esse resultado?</v>
      </c>
      <c r="H375" s="91" t="str">
        <f>'(Fases) Grandes Marcos'!H35</f>
        <v/>
      </c>
      <c r="I375" s="92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</row>
    <row r="376" ht="14.2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</row>
    <row r="377" ht="51.0" customHeight="1">
      <c r="A377" s="69"/>
      <c r="B377" s="69"/>
      <c r="C377" s="12" t="s">
        <v>69</v>
      </c>
      <c r="D377" s="71" t="s">
        <v>70</v>
      </c>
      <c r="E377" s="8"/>
      <c r="F377" s="72" t="s">
        <v>71</v>
      </c>
      <c r="G377" s="72" t="s">
        <v>72</v>
      </c>
      <c r="H377" s="71" t="s">
        <v>73</v>
      </c>
      <c r="I377" s="8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</row>
    <row r="378" ht="30.0" customHeight="1">
      <c r="A378" s="69"/>
      <c r="B378" s="12" t="s">
        <v>62</v>
      </c>
      <c r="C378" s="73" t="str">
        <f>'(Fases) Grandes Marcos'!C36</f>
        <v/>
      </c>
      <c r="D378" s="74"/>
      <c r="E378" s="49"/>
      <c r="F378" s="75"/>
      <c r="G378" s="76"/>
      <c r="H378" s="74"/>
      <c r="I378" s="52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</row>
    <row r="379" ht="30.0" customHeight="1">
      <c r="A379" s="69"/>
      <c r="B379" s="69"/>
      <c r="C379" s="77"/>
      <c r="D379" s="78"/>
      <c r="E379" s="54"/>
      <c r="F379" s="79"/>
      <c r="G379" s="80"/>
      <c r="H379" s="78"/>
      <c r="I379" s="57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</row>
    <row r="380" ht="30.0" customHeight="1">
      <c r="A380" s="69"/>
      <c r="B380" s="69"/>
      <c r="C380" s="77"/>
      <c r="D380" s="78"/>
      <c r="E380" s="54"/>
      <c r="F380" s="79"/>
      <c r="G380" s="80"/>
      <c r="H380" s="78"/>
      <c r="I380" s="57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</row>
    <row r="381" ht="30.0" customHeight="1">
      <c r="A381" s="69"/>
      <c r="B381" s="69"/>
      <c r="C381" s="77"/>
      <c r="D381" s="78"/>
      <c r="E381" s="54"/>
      <c r="F381" s="79"/>
      <c r="G381" s="80"/>
      <c r="H381" s="78"/>
      <c r="I381" s="57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</row>
    <row r="382" ht="30.0" customHeight="1">
      <c r="A382" s="69"/>
      <c r="B382" s="69"/>
      <c r="C382" s="77"/>
      <c r="D382" s="78"/>
      <c r="E382" s="54"/>
      <c r="F382" s="79"/>
      <c r="G382" s="80"/>
      <c r="H382" s="78"/>
      <c r="I382" s="57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</row>
    <row r="383" ht="30.0" customHeight="1">
      <c r="A383" s="69"/>
      <c r="B383" s="69"/>
      <c r="C383" s="77"/>
      <c r="D383" s="78"/>
      <c r="E383" s="54"/>
      <c r="F383" s="79"/>
      <c r="G383" s="80"/>
      <c r="H383" s="78"/>
      <c r="I383" s="57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</row>
    <row r="384" ht="30.0" customHeight="1">
      <c r="A384" s="69"/>
      <c r="B384" s="69"/>
      <c r="C384" s="77"/>
      <c r="D384" s="78"/>
      <c r="E384" s="54"/>
      <c r="F384" s="79"/>
      <c r="G384" s="80"/>
      <c r="H384" s="78"/>
      <c r="I384" s="57"/>
      <c r="J384" s="69"/>
      <c r="K384" s="87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</row>
    <row r="385" ht="30.0" customHeight="1">
      <c r="A385" s="69"/>
      <c r="B385" s="69"/>
      <c r="C385" s="88" t="s">
        <v>78</v>
      </c>
      <c r="D385" s="89" t="s">
        <v>79</v>
      </c>
      <c r="E385" s="62"/>
      <c r="F385" s="100"/>
      <c r="G385" s="101"/>
      <c r="H385" s="89"/>
      <c r="I385" s="65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</row>
    <row r="386" ht="11.2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</row>
    <row r="387" ht="39.0" customHeight="1">
      <c r="A387" s="69"/>
      <c r="B387" s="69"/>
      <c r="C387" s="90" t="str">
        <f>'(Fases) Grandes Marcos'!$E$5</f>
        <v>Resultado Pretendido (Valor entregue ao cliente nessa fase)</v>
      </c>
      <c r="D387" s="91" t="str">
        <f>'(Fases) Grandes Marcos'!E36</f>
        <v/>
      </c>
      <c r="E387" s="92"/>
      <c r="F387" s="69"/>
      <c r="G387" s="90" t="str">
        <f>'(Fases) Grandes Marcos'!$H$5</f>
        <v>O que você faz durante esse processo que garante esse resultado?</v>
      </c>
      <c r="H387" s="91" t="str">
        <f>'(Fases) Grandes Marcos'!H36</f>
        <v/>
      </c>
      <c r="I387" s="92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</row>
    <row r="388" ht="14.2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</row>
    <row r="389" ht="51.0" customHeight="1">
      <c r="A389" s="69"/>
      <c r="B389" s="69"/>
      <c r="C389" s="12" t="s">
        <v>69</v>
      </c>
      <c r="D389" s="71" t="s">
        <v>70</v>
      </c>
      <c r="E389" s="8"/>
      <c r="F389" s="72" t="s">
        <v>71</v>
      </c>
      <c r="G389" s="72" t="s">
        <v>72</v>
      </c>
      <c r="H389" s="71" t="s">
        <v>73</v>
      </c>
      <c r="I389" s="8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</row>
    <row r="390" ht="30.0" customHeight="1">
      <c r="A390" s="69"/>
      <c r="B390" s="12" t="s">
        <v>63</v>
      </c>
      <c r="C390" s="73" t="str">
        <f>'(Fases) Grandes Marcos'!C37</f>
        <v/>
      </c>
      <c r="D390" s="74" t="s">
        <v>84</v>
      </c>
      <c r="E390" s="49"/>
      <c r="F390" s="75"/>
      <c r="G390" s="76"/>
      <c r="H390" s="74" t="s">
        <v>77</v>
      </c>
      <c r="I390" s="52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</row>
    <row r="391" ht="30.0" customHeight="1">
      <c r="A391" s="69"/>
      <c r="B391" s="69"/>
      <c r="C391" s="77" t="s">
        <v>85</v>
      </c>
      <c r="D391" s="78" t="s">
        <v>86</v>
      </c>
      <c r="E391" s="54"/>
      <c r="F391" s="79"/>
      <c r="G391" s="80" t="s">
        <v>87</v>
      </c>
      <c r="H391" s="78"/>
      <c r="I391" s="57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</row>
    <row r="392" ht="30.0" customHeight="1">
      <c r="A392" s="69"/>
      <c r="B392" s="69"/>
      <c r="C392" s="77"/>
      <c r="D392" s="78"/>
      <c r="E392" s="54"/>
      <c r="F392" s="79"/>
      <c r="G392" s="80"/>
      <c r="H392" s="78"/>
      <c r="I392" s="57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</row>
    <row r="393" ht="30.0" customHeight="1">
      <c r="A393" s="69"/>
      <c r="B393" s="69"/>
      <c r="C393" s="77"/>
      <c r="D393" s="78"/>
      <c r="E393" s="54"/>
      <c r="F393" s="79"/>
      <c r="G393" s="80"/>
      <c r="H393" s="78"/>
      <c r="I393" s="57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</row>
    <row r="394" ht="30.0" customHeight="1">
      <c r="A394" s="69"/>
      <c r="B394" s="69"/>
      <c r="C394" s="77"/>
      <c r="D394" s="78"/>
      <c r="E394" s="54"/>
      <c r="F394" s="79"/>
      <c r="G394" s="80"/>
      <c r="H394" s="78"/>
      <c r="I394" s="57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</row>
    <row r="395" ht="30.0" customHeight="1">
      <c r="A395" s="69"/>
      <c r="B395" s="69"/>
      <c r="C395" s="77"/>
      <c r="D395" s="78"/>
      <c r="E395" s="54"/>
      <c r="F395" s="79"/>
      <c r="G395" s="80"/>
      <c r="H395" s="78"/>
      <c r="I395" s="57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</row>
    <row r="396" ht="30.0" customHeight="1">
      <c r="A396" s="69"/>
      <c r="B396" s="69"/>
      <c r="C396" s="77"/>
      <c r="D396" s="78"/>
      <c r="E396" s="54"/>
      <c r="F396" s="79"/>
      <c r="G396" s="80"/>
      <c r="H396" s="78"/>
      <c r="I396" s="57"/>
      <c r="J396" s="69"/>
      <c r="K396" s="87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</row>
    <row r="397" ht="30.0" customHeight="1">
      <c r="A397" s="69"/>
      <c r="B397" s="69"/>
      <c r="C397" s="88"/>
      <c r="D397" s="89"/>
      <c r="E397" s="62"/>
      <c r="F397" s="100"/>
      <c r="G397" s="101"/>
      <c r="H397" s="89"/>
      <c r="I397" s="65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</row>
    <row r="398" ht="11.2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</row>
    <row r="399" ht="39.0" customHeight="1">
      <c r="A399" s="69"/>
      <c r="B399" s="69"/>
      <c r="C399" s="90" t="str">
        <f>'(Fases) Grandes Marcos'!$E$5</f>
        <v>Resultado Pretendido (Valor entregue ao cliente nessa fase)</v>
      </c>
      <c r="D399" s="91" t="str">
        <f>'(Fases) Grandes Marcos'!E37</f>
        <v/>
      </c>
      <c r="E399" s="92"/>
      <c r="F399" s="69"/>
      <c r="G399" s="90" t="str">
        <f>'(Fases) Grandes Marcos'!$H$5</f>
        <v>O que você faz durante esse processo que garante esse resultado?</v>
      </c>
      <c r="H399" s="91" t="str">
        <f>'(Fases) Grandes Marcos'!H37</f>
        <v/>
      </c>
      <c r="I399" s="92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</row>
    <row r="400" ht="14.2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</row>
    <row r="401" ht="51.0" customHeight="1">
      <c r="A401" s="69"/>
      <c r="B401" s="69"/>
      <c r="C401" s="12" t="s">
        <v>69</v>
      </c>
      <c r="D401" s="71" t="s">
        <v>70</v>
      </c>
      <c r="E401" s="8"/>
      <c r="F401" s="72" t="s">
        <v>71</v>
      </c>
      <c r="G401" s="72" t="s">
        <v>72</v>
      </c>
      <c r="H401" s="71" t="s">
        <v>73</v>
      </c>
      <c r="I401" s="8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</row>
    <row r="402" ht="30.0" customHeight="1">
      <c r="A402" s="69"/>
      <c r="B402" s="12" t="s">
        <v>64</v>
      </c>
      <c r="C402" s="73" t="str">
        <f>'(Fases) Grandes Marcos'!C38</f>
        <v/>
      </c>
      <c r="D402" s="74"/>
      <c r="E402" s="49"/>
      <c r="F402" s="75"/>
      <c r="G402" s="76"/>
      <c r="H402" s="74"/>
      <c r="I402" s="52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</row>
    <row r="403" ht="30.0" customHeight="1">
      <c r="A403" s="69"/>
      <c r="B403" s="69"/>
      <c r="C403" s="77"/>
      <c r="D403" s="78"/>
      <c r="E403" s="54"/>
      <c r="F403" s="79"/>
      <c r="G403" s="80"/>
      <c r="H403" s="78"/>
      <c r="I403" s="57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</row>
    <row r="404" ht="30.0" customHeight="1">
      <c r="A404" s="69"/>
      <c r="B404" s="69"/>
      <c r="C404" s="77"/>
      <c r="D404" s="78"/>
      <c r="E404" s="54"/>
      <c r="F404" s="79"/>
      <c r="G404" s="80"/>
      <c r="H404" s="78"/>
      <c r="I404" s="57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</row>
    <row r="405" ht="30.0" customHeight="1">
      <c r="A405" s="69"/>
      <c r="B405" s="69"/>
      <c r="C405" s="77"/>
      <c r="D405" s="78"/>
      <c r="E405" s="54"/>
      <c r="F405" s="79"/>
      <c r="G405" s="80"/>
      <c r="H405" s="78"/>
      <c r="I405" s="57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</row>
    <row r="406" ht="30.0" customHeight="1">
      <c r="A406" s="69"/>
      <c r="B406" s="69"/>
      <c r="C406" s="77"/>
      <c r="D406" s="78"/>
      <c r="E406" s="54"/>
      <c r="F406" s="79"/>
      <c r="G406" s="80"/>
      <c r="H406" s="78"/>
      <c r="I406" s="57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</row>
    <row r="407" ht="30.0" customHeight="1">
      <c r="A407" s="69"/>
      <c r="B407" s="69"/>
      <c r="C407" s="77"/>
      <c r="D407" s="78"/>
      <c r="E407" s="54"/>
      <c r="F407" s="79"/>
      <c r="G407" s="80"/>
      <c r="H407" s="78"/>
      <c r="I407" s="57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</row>
    <row r="408" ht="30.0" customHeight="1">
      <c r="A408" s="69"/>
      <c r="B408" s="69"/>
      <c r="C408" s="77"/>
      <c r="D408" s="78"/>
      <c r="E408" s="54"/>
      <c r="F408" s="79"/>
      <c r="G408" s="80"/>
      <c r="H408" s="78"/>
      <c r="I408" s="57"/>
      <c r="J408" s="69"/>
      <c r="K408" s="87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</row>
    <row r="409" ht="30.0" customHeight="1">
      <c r="A409" s="69"/>
      <c r="B409" s="69"/>
      <c r="C409" s="88" t="s">
        <v>78</v>
      </c>
      <c r="D409" s="89" t="s">
        <v>79</v>
      </c>
      <c r="E409" s="62"/>
      <c r="F409" s="100"/>
      <c r="G409" s="101"/>
      <c r="H409" s="89"/>
      <c r="I409" s="65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</row>
    <row r="410" ht="11.2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</row>
    <row r="411" ht="39.0" customHeight="1">
      <c r="A411" s="69"/>
      <c r="B411" s="69"/>
      <c r="C411" s="90" t="str">
        <f>'(Fases) Grandes Marcos'!$E$5</f>
        <v>Resultado Pretendido (Valor entregue ao cliente nessa fase)</v>
      </c>
      <c r="D411" s="91" t="str">
        <f>'(Fases) Grandes Marcos'!E38</f>
        <v/>
      </c>
      <c r="E411" s="92"/>
      <c r="F411" s="69"/>
      <c r="G411" s="90" t="str">
        <f>'(Fases) Grandes Marcos'!$H$5</f>
        <v>O que você faz durante esse processo que garante esse resultado?</v>
      </c>
      <c r="H411" s="91" t="str">
        <f>'(Fases) Grandes Marcos'!H38</f>
        <v/>
      </c>
      <c r="I411" s="92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</row>
    <row r="412" ht="14.2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</row>
    <row r="413" ht="51.0" customHeight="1">
      <c r="A413" s="69"/>
      <c r="B413" s="69"/>
      <c r="C413" s="12" t="s">
        <v>69</v>
      </c>
      <c r="D413" s="71" t="s">
        <v>70</v>
      </c>
      <c r="E413" s="8"/>
      <c r="F413" s="72" t="s">
        <v>71</v>
      </c>
      <c r="G413" s="72" t="s">
        <v>72</v>
      </c>
      <c r="H413" s="71" t="s">
        <v>73</v>
      </c>
      <c r="I413" s="8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</row>
    <row r="414" ht="30.0" customHeight="1">
      <c r="A414" s="69"/>
      <c r="B414" s="12" t="s">
        <v>65</v>
      </c>
      <c r="C414" s="73" t="str">
        <f>'(Fases) Grandes Marcos'!C39</f>
        <v/>
      </c>
      <c r="D414" s="74"/>
      <c r="E414" s="49"/>
      <c r="F414" s="75"/>
      <c r="G414" s="76"/>
      <c r="H414" s="74"/>
      <c r="I414" s="52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</row>
    <row r="415" ht="30.0" customHeight="1">
      <c r="A415" s="69"/>
      <c r="B415" s="69"/>
      <c r="C415" s="77"/>
      <c r="D415" s="78"/>
      <c r="E415" s="54"/>
      <c r="F415" s="79"/>
      <c r="G415" s="80"/>
      <c r="H415" s="78"/>
      <c r="I415" s="57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</row>
    <row r="416" ht="30.0" customHeight="1">
      <c r="A416" s="69"/>
      <c r="B416" s="69"/>
      <c r="C416" s="77"/>
      <c r="D416" s="78"/>
      <c r="E416" s="54"/>
      <c r="F416" s="79"/>
      <c r="G416" s="80"/>
      <c r="H416" s="78"/>
      <c r="I416" s="57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</row>
    <row r="417" ht="30.0" customHeight="1">
      <c r="A417" s="69"/>
      <c r="B417" s="69"/>
      <c r="C417" s="77"/>
      <c r="D417" s="78"/>
      <c r="E417" s="54"/>
      <c r="F417" s="79"/>
      <c r="G417" s="80"/>
      <c r="H417" s="78"/>
      <c r="I417" s="57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</row>
    <row r="418" ht="30.0" customHeight="1">
      <c r="A418" s="69"/>
      <c r="B418" s="69"/>
      <c r="C418" s="77"/>
      <c r="D418" s="78"/>
      <c r="E418" s="54"/>
      <c r="F418" s="79"/>
      <c r="G418" s="80"/>
      <c r="H418" s="78"/>
      <c r="I418" s="57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</row>
    <row r="419" ht="30.0" customHeight="1">
      <c r="A419" s="69"/>
      <c r="B419" s="69"/>
      <c r="C419" s="77"/>
      <c r="D419" s="78"/>
      <c r="E419" s="54"/>
      <c r="F419" s="79"/>
      <c r="G419" s="80"/>
      <c r="H419" s="78"/>
      <c r="I419" s="57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</row>
    <row r="420" ht="30.0" customHeight="1">
      <c r="A420" s="69"/>
      <c r="B420" s="69"/>
      <c r="C420" s="77"/>
      <c r="D420" s="78"/>
      <c r="E420" s="54"/>
      <c r="F420" s="79"/>
      <c r="G420" s="80"/>
      <c r="H420" s="78"/>
      <c r="I420" s="57"/>
      <c r="J420" s="69"/>
      <c r="K420" s="87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</row>
    <row r="421" ht="30.0" customHeight="1">
      <c r="A421" s="69"/>
      <c r="B421" s="69"/>
      <c r="C421" s="88" t="s">
        <v>78</v>
      </c>
      <c r="D421" s="89" t="s">
        <v>79</v>
      </c>
      <c r="E421" s="62"/>
      <c r="F421" s="100"/>
      <c r="G421" s="101"/>
      <c r="H421" s="89"/>
      <c r="I421" s="65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</row>
    <row r="422" ht="11.2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</row>
    <row r="423" ht="39.0" customHeight="1">
      <c r="A423" s="69"/>
      <c r="B423" s="69"/>
      <c r="C423" s="90" t="str">
        <f>'(Fases) Grandes Marcos'!$E$5</f>
        <v>Resultado Pretendido (Valor entregue ao cliente nessa fase)</v>
      </c>
      <c r="D423" s="91" t="str">
        <f>'(Fases) Grandes Marcos'!E39</f>
        <v/>
      </c>
      <c r="E423" s="92"/>
      <c r="F423" s="69"/>
      <c r="G423" s="90" t="str">
        <f>'(Fases) Grandes Marcos'!$H$5</f>
        <v>O que você faz durante esse processo que garante esse resultado?</v>
      </c>
      <c r="H423" s="91" t="str">
        <f>'(Fases) Grandes Marcos'!H39</f>
        <v/>
      </c>
      <c r="I423" s="92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</row>
    <row r="424" ht="14.2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</row>
    <row r="425" ht="51.0" customHeight="1">
      <c r="A425" s="69"/>
      <c r="B425" s="69"/>
      <c r="C425" s="12" t="s">
        <v>69</v>
      </c>
      <c r="D425" s="71" t="s">
        <v>70</v>
      </c>
      <c r="E425" s="8"/>
      <c r="F425" s="72" t="s">
        <v>71</v>
      </c>
      <c r="G425" s="72" t="s">
        <v>72</v>
      </c>
      <c r="H425" s="71" t="s">
        <v>73</v>
      </c>
      <c r="I425" s="8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</row>
    <row r="426" ht="30.0" customHeight="1">
      <c r="A426" s="69"/>
      <c r="B426" s="12" t="s">
        <v>66</v>
      </c>
      <c r="C426" s="73" t="str">
        <f>'(Fases) Grandes Marcos'!C40</f>
        <v/>
      </c>
      <c r="D426" s="74"/>
      <c r="E426" s="49"/>
      <c r="F426" s="75"/>
      <c r="G426" s="76"/>
      <c r="H426" s="74"/>
      <c r="I426" s="52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</row>
    <row r="427" ht="30.0" customHeight="1">
      <c r="A427" s="69"/>
      <c r="B427" s="69"/>
      <c r="C427" s="77"/>
      <c r="D427" s="78"/>
      <c r="E427" s="54"/>
      <c r="F427" s="79"/>
      <c r="G427" s="80"/>
      <c r="H427" s="78"/>
      <c r="I427" s="57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</row>
    <row r="428" ht="30.0" customHeight="1">
      <c r="A428" s="69"/>
      <c r="B428" s="69"/>
      <c r="C428" s="77"/>
      <c r="D428" s="78"/>
      <c r="E428" s="54"/>
      <c r="F428" s="79"/>
      <c r="G428" s="80"/>
      <c r="H428" s="78"/>
      <c r="I428" s="57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</row>
    <row r="429" ht="30.0" customHeight="1">
      <c r="A429" s="69"/>
      <c r="B429" s="69"/>
      <c r="C429" s="77"/>
      <c r="D429" s="78"/>
      <c r="E429" s="54"/>
      <c r="F429" s="79"/>
      <c r="G429" s="80"/>
      <c r="H429" s="78"/>
      <c r="I429" s="57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</row>
    <row r="430" ht="30.0" customHeight="1">
      <c r="A430" s="69"/>
      <c r="B430" s="69"/>
      <c r="C430" s="77"/>
      <c r="D430" s="78"/>
      <c r="E430" s="54"/>
      <c r="F430" s="79"/>
      <c r="G430" s="80"/>
      <c r="H430" s="78"/>
      <c r="I430" s="57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</row>
    <row r="431" ht="30.0" customHeight="1">
      <c r="A431" s="69"/>
      <c r="B431" s="69"/>
      <c r="C431" s="77"/>
      <c r="D431" s="78"/>
      <c r="E431" s="54"/>
      <c r="F431" s="79"/>
      <c r="G431" s="80"/>
      <c r="H431" s="78"/>
      <c r="I431" s="57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</row>
    <row r="432" ht="30.0" customHeight="1">
      <c r="A432" s="69"/>
      <c r="B432" s="69"/>
      <c r="C432" s="77"/>
      <c r="D432" s="78"/>
      <c r="E432" s="54"/>
      <c r="F432" s="79"/>
      <c r="G432" s="80"/>
      <c r="H432" s="78"/>
      <c r="I432" s="57"/>
      <c r="J432" s="69"/>
      <c r="K432" s="87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</row>
    <row r="433" ht="30.0" customHeight="1">
      <c r="A433" s="69"/>
      <c r="B433" s="69"/>
      <c r="C433" s="88" t="s">
        <v>78</v>
      </c>
      <c r="D433" s="89" t="s">
        <v>79</v>
      </c>
      <c r="E433" s="62"/>
      <c r="F433" s="100"/>
      <c r="G433" s="101"/>
      <c r="H433" s="89"/>
      <c r="I433" s="65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</row>
    <row r="434" ht="11.2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</row>
    <row r="435" ht="39.0" customHeight="1">
      <c r="A435" s="69"/>
      <c r="B435" s="69"/>
      <c r="C435" s="90" t="str">
        <f>'(Fases) Grandes Marcos'!$E$5</f>
        <v>Resultado Pretendido (Valor entregue ao cliente nessa fase)</v>
      </c>
      <c r="D435" s="91" t="str">
        <f>'(Fases) Grandes Marcos'!E40</f>
        <v/>
      </c>
      <c r="E435" s="92"/>
      <c r="F435" s="69"/>
      <c r="G435" s="90" t="str">
        <f>'(Fases) Grandes Marcos'!$H$5</f>
        <v>O que você faz durante esse processo que garante esse resultado?</v>
      </c>
      <c r="H435" s="91" t="str">
        <f>'(Fases) Grandes Marcos'!H40</f>
        <v/>
      </c>
      <c r="I435" s="92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</row>
    <row r="436" ht="14.2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</row>
    <row r="437" ht="51.0" customHeight="1">
      <c r="A437" s="69"/>
      <c r="B437" s="69"/>
      <c r="C437" s="12" t="s">
        <v>69</v>
      </c>
      <c r="D437" s="71" t="s">
        <v>70</v>
      </c>
      <c r="E437" s="8"/>
      <c r="F437" s="72" t="s">
        <v>71</v>
      </c>
      <c r="G437" s="72" t="s">
        <v>72</v>
      </c>
      <c r="H437" s="71" t="s">
        <v>73</v>
      </c>
      <c r="I437" s="8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</row>
    <row r="438" ht="30.0" customHeight="1">
      <c r="A438" s="69"/>
      <c r="B438" s="12" t="s">
        <v>67</v>
      </c>
      <c r="C438" s="73" t="str">
        <f>'(Fases) Grandes Marcos'!C41</f>
        <v/>
      </c>
      <c r="D438" s="74"/>
      <c r="E438" s="49"/>
      <c r="F438" s="75"/>
      <c r="G438" s="76"/>
      <c r="H438" s="74"/>
      <c r="I438" s="52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</row>
    <row r="439" ht="30.0" customHeight="1">
      <c r="A439" s="69"/>
      <c r="B439" s="69"/>
      <c r="C439" s="77"/>
      <c r="D439" s="78"/>
      <c r="E439" s="54"/>
      <c r="F439" s="79"/>
      <c r="G439" s="80"/>
      <c r="H439" s="78"/>
      <c r="I439" s="57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</row>
    <row r="440" ht="30.0" customHeight="1">
      <c r="A440" s="69"/>
      <c r="B440" s="69"/>
      <c r="C440" s="77"/>
      <c r="D440" s="78"/>
      <c r="E440" s="54"/>
      <c r="F440" s="79"/>
      <c r="G440" s="80"/>
      <c r="H440" s="78"/>
      <c r="I440" s="57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</row>
    <row r="441" ht="30.0" customHeight="1">
      <c r="A441" s="69"/>
      <c r="B441" s="69"/>
      <c r="C441" s="77"/>
      <c r="D441" s="78"/>
      <c r="E441" s="54"/>
      <c r="F441" s="79"/>
      <c r="G441" s="80"/>
      <c r="H441" s="78"/>
      <c r="I441" s="57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</row>
    <row r="442" ht="30.0" customHeight="1">
      <c r="A442" s="69"/>
      <c r="B442" s="69"/>
      <c r="C442" s="77"/>
      <c r="D442" s="78"/>
      <c r="E442" s="54"/>
      <c r="F442" s="79"/>
      <c r="G442" s="80"/>
      <c r="H442" s="78"/>
      <c r="I442" s="57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</row>
    <row r="443" ht="30.0" customHeight="1">
      <c r="A443" s="69"/>
      <c r="B443" s="69"/>
      <c r="C443" s="77"/>
      <c r="D443" s="78"/>
      <c r="E443" s="54"/>
      <c r="F443" s="79"/>
      <c r="G443" s="80"/>
      <c r="H443" s="78"/>
      <c r="I443" s="57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</row>
    <row r="444" ht="30.0" customHeight="1">
      <c r="A444" s="69"/>
      <c r="B444" s="69"/>
      <c r="C444" s="77"/>
      <c r="D444" s="78"/>
      <c r="E444" s="54"/>
      <c r="F444" s="79"/>
      <c r="G444" s="80"/>
      <c r="H444" s="78"/>
      <c r="I444" s="57"/>
      <c r="J444" s="69"/>
      <c r="K444" s="87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</row>
    <row r="445" ht="30.0" customHeight="1">
      <c r="A445" s="69"/>
      <c r="B445" s="69"/>
      <c r="C445" s="88" t="s">
        <v>78</v>
      </c>
      <c r="D445" s="89" t="s">
        <v>79</v>
      </c>
      <c r="E445" s="62"/>
      <c r="F445" s="100"/>
      <c r="G445" s="101"/>
      <c r="H445" s="89"/>
      <c r="I445" s="65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</row>
    <row r="446" ht="11.2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</row>
    <row r="447" ht="39.0" customHeight="1">
      <c r="A447" s="69"/>
      <c r="B447" s="69"/>
      <c r="C447" s="90" t="str">
        <f>'(Fases) Grandes Marcos'!$E$5</f>
        <v>Resultado Pretendido (Valor entregue ao cliente nessa fase)</v>
      </c>
      <c r="D447" s="91" t="str">
        <f>'(Fases) Grandes Marcos'!E41</f>
        <v/>
      </c>
      <c r="E447" s="92"/>
      <c r="F447" s="69"/>
      <c r="G447" s="90" t="str">
        <f>'(Fases) Grandes Marcos'!$H$5</f>
        <v>O que você faz durante esse processo que garante esse resultado?</v>
      </c>
      <c r="H447" s="91" t="str">
        <f>'(Fases) Grandes Marcos'!H41</f>
        <v/>
      </c>
      <c r="I447" s="92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</row>
    <row r="448" ht="14.2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</row>
    <row r="449" ht="14.2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</row>
    <row r="450" ht="14.2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</row>
    <row r="451" ht="14.2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</row>
    <row r="452" ht="14.2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</row>
    <row r="453" ht="14.2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</row>
    <row r="454" ht="14.2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</row>
    <row r="455" ht="14.2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</row>
    <row r="456" ht="14.2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</row>
    <row r="457" ht="14.2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</row>
    <row r="458" ht="14.2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</row>
    <row r="459" ht="14.2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</row>
    <row r="460" ht="14.2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</row>
    <row r="461" ht="14.2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</row>
    <row r="462" ht="14.2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</row>
    <row r="463" ht="14.2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</row>
    <row r="464" ht="14.2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</row>
    <row r="465" ht="14.2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</row>
    <row r="466" ht="14.2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</row>
    <row r="467" ht="14.2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</row>
    <row r="468" ht="14.2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</row>
    <row r="469" ht="14.2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</row>
    <row r="470" ht="14.2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</row>
    <row r="471" ht="14.2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</row>
    <row r="472" ht="14.2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</row>
    <row r="473" ht="14.2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</row>
    <row r="474" ht="14.2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</row>
    <row r="475" ht="14.2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</row>
    <row r="476" ht="14.2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</row>
    <row r="477" ht="14.2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</row>
    <row r="478" ht="14.2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</row>
    <row r="479" ht="14.2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</row>
    <row r="480" ht="14.2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</row>
    <row r="481" ht="14.2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</row>
    <row r="482" ht="14.2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</row>
    <row r="483" ht="14.2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</row>
    <row r="484" ht="14.2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</row>
    <row r="485" ht="14.2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</row>
    <row r="486" ht="14.2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</row>
    <row r="487" ht="14.2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</row>
    <row r="488" ht="14.2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</row>
    <row r="489" ht="14.2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</row>
    <row r="490" ht="14.2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</row>
    <row r="491" ht="14.2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</row>
    <row r="492" ht="14.2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</row>
    <row r="493" ht="14.2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</row>
    <row r="494" ht="14.2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</row>
    <row r="495" ht="14.2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</row>
    <row r="496" ht="14.2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</row>
    <row r="497" ht="14.2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</row>
    <row r="498" ht="14.2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</row>
    <row r="499" ht="14.2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</row>
    <row r="500" ht="14.2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</row>
    <row r="501" ht="14.2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</row>
    <row r="502" ht="14.2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</row>
    <row r="503" ht="14.2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</row>
    <row r="504" ht="14.2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</row>
    <row r="505" ht="14.2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</row>
    <row r="506" ht="14.2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</row>
    <row r="507" ht="14.2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</row>
    <row r="508" ht="14.2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</row>
    <row r="509" ht="14.2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</row>
    <row r="510" ht="14.2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</row>
    <row r="511" ht="14.2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</row>
    <row r="512" ht="14.2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</row>
    <row r="513" ht="14.2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</row>
    <row r="514" ht="14.2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</row>
    <row r="515" ht="14.2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</row>
    <row r="516" ht="14.2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</row>
    <row r="517" ht="14.2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</row>
    <row r="518" ht="14.2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</row>
    <row r="519" ht="14.2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</row>
    <row r="520" ht="14.2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</row>
    <row r="521" ht="14.2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</row>
    <row r="522" ht="14.2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</row>
    <row r="523" ht="14.2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</row>
    <row r="524" ht="14.2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</row>
    <row r="525" ht="14.2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</row>
    <row r="526" ht="14.2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</row>
    <row r="527" ht="14.2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</row>
    <row r="528" ht="14.2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</row>
    <row r="529" ht="14.2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</row>
    <row r="530" ht="14.2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</row>
    <row r="531" ht="14.2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</row>
    <row r="532" ht="14.2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</row>
    <row r="533" ht="14.2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</row>
    <row r="534" ht="14.2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</row>
    <row r="535" ht="14.2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</row>
    <row r="536" ht="14.2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</row>
    <row r="537" ht="14.2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</row>
    <row r="538" ht="14.2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</row>
    <row r="539" ht="14.2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</row>
    <row r="540" ht="14.2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</row>
    <row r="541" ht="14.2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</row>
    <row r="542" ht="14.2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</row>
    <row r="543" ht="14.2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</row>
    <row r="544" ht="14.2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</row>
    <row r="545" ht="14.2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</row>
    <row r="546" ht="14.2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</row>
    <row r="547" ht="14.2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</row>
    <row r="548" ht="14.2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</row>
    <row r="549" ht="14.2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</row>
    <row r="550" ht="14.2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</row>
    <row r="551" ht="14.2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</row>
    <row r="552" ht="14.2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</row>
    <row r="553" ht="14.2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</row>
    <row r="554" ht="14.2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</row>
    <row r="555" ht="14.2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</row>
    <row r="556" ht="14.2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</row>
    <row r="557" ht="14.2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</row>
    <row r="558" ht="14.2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</row>
    <row r="559" ht="14.2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</row>
    <row r="560" ht="14.2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</row>
    <row r="561" ht="14.2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</row>
    <row r="562" ht="14.2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</row>
    <row r="563" ht="14.2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</row>
    <row r="564" ht="14.2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</row>
    <row r="565" ht="14.2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</row>
    <row r="566" ht="14.2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</row>
    <row r="567" ht="14.2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</row>
    <row r="568" ht="14.2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</row>
    <row r="569" ht="14.2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</row>
    <row r="570" ht="14.2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</row>
    <row r="571" ht="14.2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</row>
    <row r="572" ht="14.2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</row>
    <row r="573" ht="14.2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</row>
    <row r="574" ht="14.2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</row>
    <row r="575" ht="14.2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</row>
    <row r="576" ht="14.2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</row>
    <row r="577" ht="14.2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</row>
    <row r="578" ht="14.2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</row>
    <row r="579" ht="14.2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</row>
    <row r="580" ht="14.2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</row>
    <row r="581" ht="14.2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</row>
    <row r="582" ht="14.2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</row>
    <row r="583" ht="14.2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</row>
    <row r="584" ht="14.2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</row>
    <row r="585" ht="14.2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</row>
    <row r="586" ht="14.2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</row>
    <row r="587" ht="14.2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</row>
    <row r="588" ht="14.2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</row>
    <row r="589" ht="14.2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</row>
    <row r="590" ht="14.2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</row>
    <row r="591" ht="14.2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</row>
    <row r="592" ht="14.2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</row>
    <row r="593" ht="14.2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</row>
    <row r="594" ht="14.2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</row>
    <row r="595" ht="14.2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</row>
    <row r="596" ht="14.2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</row>
    <row r="597" ht="14.2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</row>
    <row r="598" ht="14.2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</row>
    <row r="599" ht="14.2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</row>
    <row r="600" ht="14.2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</row>
    <row r="601" ht="14.2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</row>
    <row r="602" ht="14.2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</row>
    <row r="603" ht="14.2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</row>
    <row r="604" ht="14.2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</row>
    <row r="605" ht="14.2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</row>
    <row r="606" ht="14.2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</row>
    <row r="607" ht="14.2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</row>
    <row r="608" ht="14.2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</row>
    <row r="609" ht="14.2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</row>
    <row r="610" ht="14.2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</row>
    <row r="611" ht="14.2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</row>
    <row r="612" ht="14.2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</row>
    <row r="613" ht="14.2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</row>
    <row r="614" ht="14.2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</row>
    <row r="615" ht="14.2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</row>
    <row r="616" ht="14.2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</row>
    <row r="617" ht="14.2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</row>
    <row r="618" ht="14.2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</row>
    <row r="619" ht="14.2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</row>
    <row r="620" ht="14.2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</row>
    <row r="621" ht="14.2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</row>
    <row r="622" ht="14.2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</row>
    <row r="623" ht="14.2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</row>
    <row r="624" ht="14.2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</row>
    <row r="625" ht="14.2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</row>
    <row r="626" ht="14.2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</row>
    <row r="627" ht="14.2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</row>
    <row r="628" ht="14.2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</row>
    <row r="629" ht="14.2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</row>
    <row r="630" ht="14.2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</row>
    <row r="631" ht="14.2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</row>
    <row r="632" ht="14.2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</row>
    <row r="633" ht="14.2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</row>
    <row r="634" ht="14.2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</row>
    <row r="635" ht="14.2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</row>
    <row r="636" ht="14.2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</row>
    <row r="637" ht="14.2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</row>
    <row r="638" ht="14.2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</row>
    <row r="639" ht="14.2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</row>
    <row r="640" ht="14.2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</row>
    <row r="641" ht="14.2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</row>
    <row r="642" ht="14.2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</row>
    <row r="643" ht="14.2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</row>
    <row r="644" ht="14.2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</row>
    <row r="645" ht="14.2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</row>
    <row r="646" ht="14.2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</row>
    <row r="647" ht="14.2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8">
    <mergeCell ref="H108:I108"/>
    <mergeCell ref="H109:I109"/>
    <mergeCell ref="H111:I111"/>
    <mergeCell ref="H113:I113"/>
    <mergeCell ref="H114:I114"/>
    <mergeCell ref="H115:I115"/>
    <mergeCell ref="H116:I116"/>
    <mergeCell ref="H125:I125"/>
    <mergeCell ref="H126:I126"/>
    <mergeCell ref="H127:I127"/>
    <mergeCell ref="H128:I128"/>
    <mergeCell ref="H129:I129"/>
    <mergeCell ref="H130:I130"/>
    <mergeCell ref="H131:I131"/>
    <mergeCell ref="H84:I84"/>
    <mergeCell ref="K84:L84"/>
    <mergeCell ref="H77:I77"/>
    <mergeCell ref="H78:I78"/>
    <mergeCell ref="H79:I79"/>
    <mergeCell ref="H80:I80"/>
    <mergeCell ref="H81:I81"/>
    <mergeCell ref="H82:I82"/>
    <mergeCell ref="H83:I83"/>
    <mergeCell ref="H85:I85"/>
    <mergeCell ref="H87:I87"/>
    <mergeCell ref="H89:I89"/>
    <mergeCell ref="H90:I90"/>
    <mergeCell ref="H91:I91"/>
    <mergeCell ref="H92:I92"/>
    <mergeCell ref="H93:I93"/>
    <mergeCell ref="H94:I94"/>
    <mergeCell ref="H95:I95"/>
    <mergeCell ref="H96:I96"/>
    <mergeCell ref="K96:L96"/>
    <mergeCell ref="H97:I97"/>
    <mergeCell ref="H99:I99"/>
    <mergeCell ref="H101:I101"/>
    <mergeCell ref="H102:I102"/>
    <mergeCell ref="H103:I103"/>
    <mergeCell ref="H104:I104"/>
    <mergeCell ref="H105:I105"/>
    <mergeCell ref="H106:I106"/>
    <mergeCell ref="H107:I107"/>
    <mergeCell ref="K108:L108"/>
    <mergeCell ref="H117:I117"/>
    <mergeCell ref="H118:I118"/>
    <mergeCell ref="H119:I119"/>
    <mergeCell ref="H120:I120"/>
    <mergeCell ref="K120:L120"/>
    <mergeCell ref="H121:I121"/>
    <mergeCell ref="H123:I123"/>
    <mergeCell ref="H132:I132"/>
    <mergeCell ref="K132:L132"/>
    <mergeCell ref="H31:I31"/>
    <mergeCell ref="H32:I32"/>
    <mergeCell ref="H21:I21"/>
    <mergeCell ref="H22:I22"/>
    <mergeCell ref="H25:I25"/>
    <mergeCell ref="K25:L25"/>
    <mergeCell ref="H27:I27"/>
    <mergeCell ref="H29:I29"/>
    <mergeCell ref="H30:I30"/>
    <mergeCell ref="C3:I3"/>
    <mergeCell ref="D5:E5"/>
    <mergeCell ref="H5:I5"/>
    <mergeCell ref="K5:L5"/>
    <mergeCell ref="D6:E6"/>
    <mergeCell ref="H6:I6"/>
    <mergeCell ref="H7:I7"/>
    <mergeCell ref="H10:I10"/>
    <mergeCell ref="H11:I11"/>
    <mergeCell ref="D7:E7"/>
    <mergeCell ref="D8:E8"/>
    <mergeCell ref="H8:I8"/>
    <mergeCell ref="D9:E9"/>
    <mergeCell ref="H9:I9"/>
    <mergeCell ref="D10:E10"/>
    <mergeCell ref="D11:E11"/>
    <mergeCell ref="D12:E12"/>
    <mergeCell ref="H12:I12"/>
    <mergeCell ref="K12:L12"/>
    <mergeCell ref="D13:E13"/>
    <mergeCell ref="H13:I13"/>
    <mergeCell ref="D15:E15"/>
    <mergeCell ref="H15:I15"/>
    <mergeCell ref="D17:E17"/>
    <mergeCell ref="H17:I17"/>
    <mergeCell ref="D18:E18"/>
    <mergeCell ref="H18:I18"/>
    <mergeCell ref="D19:E19"/>
    <mergeCell ref="H19:I19"/>
    <mergeCell ref="H20:I20"/>
    <mergeCell ref="D20:E20"/>
    <mergeCell ref="D21:E21"/>
    <mergeCell ref="D22:E22"/>
    <mergeCell ref="D23:E23"/>
    <mergeCell ref="D24:E24"/>
    <mergeCell ref="D25:E25"/>
    <mergeCell ref="D27:E27"/>
    <mergeCell ref="H35:I35"/>
    <mergeCell ref="H36:I36"/>
    <mergeCell ref="K37:L37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H67:I67"/>
    <mergeCell ref="H68:I68"/>
    <mergeCell ref="H60:I60"/>
    <mergeCell ref="H62:I62"/>
    <mergeCell ref="H63:I63"/>
    <mergeCell ref="H64:I64"/>
    <mergeCell ref="H65:I65"/>
    <mergeCell ref="H66:I66"/>
    <mergeCell ref="K67:L67"/>
    <mergeCell ref="D29:E29"/>
    <mergeCell ref="D30:E30"/>
    <mergeCell ref="D31:E31"/>
    <mergeCell ref="D32:E32"/>
    <mergeCell ref="D33:E33"/>
    <mergeCell ref="H33:I33"/>
    <mergeCell ref="H34:I34"/>
    <mergeCell ref="H38:I38"/>
    <mergeCell ref="H39:I39"/>
    <mergeCell ref="D34:E34"/>
    <mergeCell ref="D35:E35"/>
    <mergeCell ref="D36:E36"/>
    <mergeCell ref="D37:E37"/>
    <mergeCell ref="H37:I37"/>
    <mergeCell ref="D38:E38"/>
    <mergeCell ref="D39:E39"/>
    <mergeCell ref="D40:E40"/>
    <mergeCell ref="H40:I40"/>
    <mergeCell ref="D42:E42"/>
    <mergeCell ref="H42:I42"/>
    <mergeCell ref="D44:E44"/>
    <mergeCell ref="H44:I44"/>
    <mergeCell ref="H45:I45"/>
    <mergeCell ref="H46:I46"/>
    <mergeCell ref="H47:I47"/>
    <mergeCell ref="H48:I48"/>
    <mergeCell ref="H49:I49"/>
    <mergeCell ref="H50:I50"/>
    <mergeCell ref="H51:I51"/>
    <mergeCell ref="K51:L51"/>
    <mergeCell ref="H52:I52"/>
    <mergeCell ref="H53:I53"/>
    <mergeCell ref="H54:I54"/>
    <mergeCell ref="H55:I55"/>
    <mergeCell ref="H56:I56"/>
    <mergeCell ref="H57:I57"/>
    <mergeCell ref="H58:I58"/>
    <mergeCell ref="D68:E68"/>
    <mergeCell ref="D69:E69"/>
    <mergeCell ref="H69:I69"/>
    <mergeCell ref="H70:I70"/>
    <mergeCell ref="H71:I71"/>
    <mergeCell ref="H73:I73"/>
    <mergeCell ref="H75:I75"/>
    <mergeCell ref="D60:E60"/>
    <mergeCell ref="D62:E62"/>
    <mergeCell ref="D63:E63"/>
    <mergeCell ref="D64:E64"/>
    <mergeCell ref="D65:E65"/>
    <mergeCell ref="D66:E66"/>
    <mergeCell ref="D67:E67"/>
    <mergeCell ref="D70:E70"/>
    <mergeCell ref="D71:E71"/>
    <mergeCell ref="D73:E73"/>
    <mergeCell ref="D75:E75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7:E87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9:E99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1:E111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H157:I157"/>
    <mergeCell ref="H159:I159"/>
    <mergeCell ref="H151:I151"/>
    <mergeCell ref="H152:I152"/>
    <mergeCell ref="H153:I153"/>
    <mergeCell ref="H154:I154"/>
    <mergeCell ref="H155:I155"/>
    <mergeCell ref="H156:I156"/>
    <mergeCell ref="K156:L156"/>
    <mergeCell ref="D240:E240"/>
    <mergeCell ref="D241:E241"/>
    <mergeCell ref="D243:E243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5:E255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7:E267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9:E279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1:E291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3:E303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5:E315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7:E327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9:E339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1:E351"/>
    <mergeCell ref="D353:E353"/>
    <mergeCell ref="D354:E354"/>
    <mergeCell ref="D355:E355"/>
    <mergeCell ref="D356:E356"/>
    <mergeCell ref="D357:E357"/>
    <mergeCell ref="D417:E417"/>
    <mergeCell ref="D418:E418"/>
    <mergeCell ref="D419:E419"/>
    <mergeCell ref="D420:E420"/>
    <mergeCell ref="D421:E421"/>
    <mergeCell ref="D423:E423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42:E442"/>
    <mergeCell ref="D443:E443"/>
    <mergeCell ref="D444:E444"/>
    <mergeCell ref="D445:E445"/>
    <mergeCell ref="D447:E447"/>
    <mergeCell ref="D433:E433"/>
    <mergeCell ref="D435:E435"/>
    <mergeCell ref="D437:E437"/>
    <mergeCell ref="D438:E438"/>
    <mergeCell ref="D439:E439"/>
    <mergeCell ref="D440:E440"/>
    <mergeCell ref="D441:E441"/>
    <mergeCell ref="D358:E358"/>
    <mergeCell ref="D359:E359"/>
    <mergeCell ref="D360:E360"/>
    <mergeCell ref="D361:E361"/>
    <mergeCell ref="D363:E363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5:E375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7:E387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9:E399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1:E411"/>
    <mergeCell ref="D413:E413"/>
    <mergeCell ref="D414:E414"/>
    <mergeCell ref="D415:E415"/>
    <mergeCell ref="D416:E416"/>
    <mergeCell ref="H334:I334"/>
    <mergeCell ref="H335:I335"/>
    <mergeCell ref="H336:I336"/>
    <mergeCell ref="K336:L336"/>
    <mergeCell ref="H337:I337"/>
    <mergeCell ref="H339:I339"/>
    <mergeCell ref="H341:I341"/>
    <mergeCell ref="H342:I342"/>
    <mergeCell ref="H343:I343"/>
    <mergeCell ref="H344:I344"/>
    <mergeCell ref="H345:I345"/>
    <mergeCell ref="H346:I346"/>
    <mergeCell ref="H347:I347"/>
    <mergeCell ref="K348:L348"/>
    <mergeCell ref="H348:I348"/>
    <mergeCell ref="H349:I349"/>
    <mergeCell ref="H351:I351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K360:L360"/>
    <mergeCell ref="H361:I361"/>
    <mergeCell ref="H363:I363"/>
    <mergeCell ref="H372:I372"/>
    <mergeCell ref="K372:L372"/>
    <mergeCell ref="H365:I365"/>
    <mergeCell ref="H366:I366"/>
    <mergeCell ref="H367:I367"/>
    <mergeCell ref="H368:I368"/>
    <mergeCell ref="H369:I369"/>
    <mergeCell ref="H370:I370"/>
    <mergeCell ref="H371:I371"/>
    <mergeCell ref="H373:I373"/>
    <mergeCell ref="H375:I375"/>
    <mergeCell ref="H377:I377"/>
    <mergeCell ref="H378:I378"/>
    <mergeCell ref="H379:I379"/>
    <mergeCell ref="H380:I380"/>
    <mergeCell ref="H381:I381"/>
    <mergeCell ref="H430:I430"/>
    <mergeCell ref="H431:I431"/>
    <mergeCell ref="H432:I432"/>
    <mergeCell ref="K432:L432"/>
    <mergeCell ref="H433:I433"/>
    <mergeCell ref="H435:I435"/>
    <mergeCell ref="H437:I437"/>
    <mergeCell ref="H444:I444"/>
    <mergeCell ref="H445:I445"/>
    <mergeCell ref="H447:I447"/>
    <mergeCell ref="H438:I438"/>
    <mergeCell ref="H439:I439"/>
    <mergeCell ref="H440:I440"/>
    <mergeCell ref="H441:I441"/>
    <mergeCell ref="H442:I442"/>
    <mergeCell ref="H443:I443"/>
    <mergeCell ref="K444:L444"/>
    <mergeCell ref="H382:I382"/>
    <mergeCell ref="H383:I383"/>
    <mergeCell ref="H384:I384"/>
    <mergeCell ref="K384:L384"/>
    <mergeCell ref="H385:I385"/>
    <mergeCell ref="H387:I387"/>
    <mergeCell ref="H389:I389"/>
    <mergeCell ref="H390:I390"/>
    <mergeCell ref="H391:I391"/>
    <mergeCell ref="H392:I392"/>
    <mergeCell ref="H393:I393"/>
    <mergeCell ref="H394:I394"/>
    <mergeCell ref="H395:I395"/>
    <mergeCell ref="K396:L396"/>
    <mergeCell ref="H396:I396"/>
    <mergeCell ref="H397:I397"/>
    <mergeCell ref="H399:I399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K408:L408"/>
    <mergeCell ref="H409:I409"/>
    <mergeCell ref="H411:I411"/>
    <mergeCell ref="H420:I420"/>
    <mergeCell ref="K420:L420"/>
    <mergeCell ref="H413:I413"/>
    <mergeCell ref="H414:I414"/>
    <mergeCell ref="H415:I415"/>
    <mergeCell ref="H416:I416"/>
    <mergeCell ref="H417:I417"/>
    <mergeCell ref="H418:I418"/>
    <mergeCell ref="H419:I419"/>
    <mergeCell ref="H421:I421"/>
    <mergeCell ref="H423:I423"/>
    <mergeCell ref="H425:I425"/>
    <mergeCell ref="H426:I426"/>
    <mergeCell ref="H427:I427"/>
    <mergeCell ref="H428:I428"/>
    <mergeCell ref="H429:I429"/>
    <mergeCell ref="D141:E141"/>
    <mergeCell ref="H141:I141"/>
    <mergeCell ref="D142:E142"/>
    <mergeCell ref="H142:I142"/>
    <mergeCell ref="D143:E143"/>
    <mergeCell ref="H143:I143"/>
    <mergeCell ref="D144:E144"/>
    <mergeCell ref="D145:E145"/>
    <mergeCell ref="H145:I145"/>
    <mergeCell ref="D147:E147"/>
    <mergeCell ref="H147:I147"/>
    <mergeCell ref="D149:E149"/>
    <mergeCell ref="H149:I149"/>
    <mergeCell ref="H150:I150"/>
    <mergeCell ref="D130:E130"/>
    <mergeCell ref="D131:E131"/>
    <mergeCell ref="D132:E132"/>
    <mergeCell ref="D133:E133"/>
    <mergeCell ref="H133:I133"/>
    <mergeCell ref="H135:I135"/>
    <mergeCell ref="D121:E121"/>
    <mergeCell ref="D123:E123"/>
    <mergeCell ref="D125:E125"/>
    <mergeCell ref="D126:E126"/>
    <mergeCell ref="D127:E127"/>
    <mergeCell ref="D128:E128"/>
    <mergeCell ref="D129:E129"/>
    <mergeCell ref="H139:I139"/>
    <mergeCell ref="H140:I140"/>
    <mergeCell ref="D135:E135"/>
    <mergeCell ref="D137:E137"/>
    <mergeCell ref="H137:I137"/>
    <mergeCell ref="D138:E138"/>
    <mergeCell ref="H138:I138"/>
    <mergeCell ref="D139:E139"/>
    <mergeCell ref="D140:E140"/>
    <mergeCell ref="H144:I144"/>
    <mergeCell ref="K144:L144"/>
    <mergeCell ref="D150:E150"/>
    <mergeCell ref="D151:E151"/>
    <mergeCell ref="D152:E152"/>
    <mergeCell ref="D153:E153"/>
    <mergeCell ref="D154:E154"/>
    <mergeCell ref="D155:E155"/>
    <mergeCell ref="D156:E156"/>
    <mergeCell ref="H164:I164"/>
    <mergeCell ref="H165:I165"/>
    <mergeCell ref="K168:L168"/>
    <mergeCell ref="D157:E157"/>
    <mergeCell ref="D159:E159"/>
    <mergeCell ref="D161:E161"/>
    <mergeCell ref="H161:I161"/>
    <mergeCell ref="D162:E162"/>
    <mergeCell ref="H162:I162"/>
    <mergeCell ref="H163:I163"/>
    <mergeCell ref="H167:I167"/>
    <mergeCell ref="H168:I168"/>
    <mergeCell ref="D163:E163"/>
    <mergeCell ref="D164:E164"/>
    <mergeCell ref="D165:E165"/>
    <mergeCell ref="D166:E166"/>
    <mergeCell ref="H166:I166"/>
    <mergeCell ref="D167:E167"/>
    <mergeCell ref="D168:E168"/>
    <mergeCell ref="D169:E169"/>
    <mergeCell ref="H169:I169"/>
    <mergeCell ref="D171:E171"/>
    <mergeCell ref="H171:I171"/>
    <mergeCell ref="D173:E173"/>
    <mergeCell ref="H173:I173"/>
    <mergeCell ref="H174:I174"/>
    <mergeCell ref="D174:E174"/>
    <mergeCell ref="D175:E175"/>
    <mergeCell ref="D176:E176"/>
    <mergeCell ref="D177:E177"/>
    <mergeCell ref="D178:E178"/>
    <mergeCell ref="D179:E179"/>
    <mergeCell ref="D180:E180"/>
    <mergeCell ref="H175:I175"/>
    <mergeCell ref="H176:I176"/>
    <mergeCell ref="H177:I177"/>
    <mergeCell ref="H178:I178"/>
    <mergeCell ref="H179:I179"/>
    <mergeCell ref="H180:I180"/>
    <mergeCell ref="K180:L180"/>
    <mergeCell ref="H181:I181"/>
    <mergeCell ref="H183:I183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K192:L192"/>
    <mergeCell ref="H193:I193"/>
    <mergeCell ref="H195:I195"/>
    <mergeCell ref="H197:I197"/>
    <mergeCell ref="H198:I198"/>
    <mergeCell ref="H199:I199"/>
    <mergeCell ref="H200:I200"/>
    <mergeCell ref="H201:I201"/>
    <mergeCell ref="H202:I202"/>
    <mergeCell ref="H203:I203"/>
    <mergeCell ref="K204:L204"/>
    <mergeCell ref="H204:I204"/>
    <mergeCell ref="H205:I205"/>
    <mergeCell ref="H207:I207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K216:L216"/>
    <mergeCell ref="H217:I217"/>
    <mergeCell ref="H219:I219"/>
    <mergeCell ref="H228:I228"/>
    <mergeCell ref="K228:L228"/>
    <mergeCell ref="H221:I221"/>
    <mergeCell ref="H222:I222"/>
    <mergeCell ref="H223:I223"/>
    <mergeCell ref="H224:I224"/>
    <mergeCell ref="H225:I225"/>
    <mergeCell ref="H226:I226"/>
    <mergeCell ref="H227:I227"/>
    <mergeCell ref="H229:I229"/>
    <mergeCell ref="H231:I231"/>
    <mergeCell ref="H233:I233"/>
    <mergeCell ref="H234:I234"/>
    <mergeCell ref="H235:I235"/>
    <mergeCell ref="H236:I236"/>
    <mergeCell ref="H237:I237"/>
    <mergeCell ref="D181:E181"/>
    <mergeCell ref="D183:E183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5:E195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7:E207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9:E219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1:E231"/>
    <mergeCell ref="D233:E233"/>
    <mergeCell ref="D234:E234"/>
    <mergeCell ref="D235:E235"/>
    <mergeCell ref="D236:E236"/>
    <mergeCell ref="D237:E237"/>
    <mergeCell ref="D238:E238"/>
    <mergeCell ref="D239:E239"/>
    <mergeCell ref="H238:I238"/>
    <mergeCell ref="H239:I239"/>
    <mergeCell ref="H240:I240"/>
    <mergeCell ref="K240:L240"/>
    <mergeCell ref="H241:I241"/>
    <mergeCell ref="H243:I243"/>
    <mergeCell ref="H245:I245"/>
    <mergeCell ref="H246:I246"/>
    <mergeCell ref="H247:I247"/>
    <mergeCell ref="H248:I248"/>
    <mergeCell ref="H249:I249"/>
    <mergeCell ref="H250:I250"/>
    <mergeCell ref="H251:I251"/>
    <mergeCell ref="K252:L252"/>
    <mergeCell ref="H252:I252"/>
    <mergeCell ref="H253:I253"/>
    <mergeCell ref="H255:I255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K264:L264"/>
    <mergeCell ref="H265:I265"/>
    <mergeCell ref="H267:I267"/>
    <mergeCell ref="H276:I276"/>
    <mergeCell ref="K276:L276"/>
    <mergeCell ref="H269:I269"/>
    <mergeCell ref="H270:I270"/>
    <mergeCell ref="H271:I271"/>
    <mergeCell ref="H272:I272"/>
    <mergeCell ref="H273:I273"/>
    <mergeCell ref="H274:I274"/>
    <mergeCell ref="H275:I275"/>
    <mergeCell ref="H277:I277"/>
    <mergeCell ref="H279:I279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K288:L288"/>
    <mergeCell ref="H289:I289"/>
    <mergeCell ref="H291:I291"/>
    <mergeCell ref="H293:I293"/>
    <mergeCell ref="H294:I294"/>
    <mergeCell ref="H295:I295"/>
    <mergeCell ref="H296:I296"/>
    <mergeCell ref="H297:I297"/>
    <mergeCell ref="H298:I298"/>
    <mergeCell ref="H299:I299"/>
    <mergeCell ref="K300:L300"/>
    <mergeCell ref="H300:I300"/>
    <mergeCell ref="H301:I301"/>
    <mergeCell ref="H303:I303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K312:L312"/>
    <mergeCell ref="H313:I313"/>
    <mergeCell ref="H315:I315"/>
    <mergeCell ref="H324:I324"/>
    <mergeCell ref="K324:L324"/>
    <mergeCell ref="H317:I317"/>
    <mergeCell ref="H318:I318"/>
    <mergeCell ref="H319:I319"/>
    <mergeCell ref="H320:I320"/>
    <mergeCell ref="H321:I321"/>
    <mergeCell ref="H322:I322"/>
    <mergeCell ref="H323:I323"/>
    <mergeCell ref="H325:I325"/>
    <mergeCell ref="H327:I327"/>
    <mergeCell ref="H329:I329"/>
    <mergeCell ref="H330:I330"/>
    <mergeCell ref="H331:I331"/>
    <mergeCell ref="H332:I332"/>
    <mergeCell ref="H333:I333"/>
  </mergeCells>
  <dataValidations>
    <dataValidation type="list" allowBlank="1" showErrorMessage="1" sqref="F6:F8 F10:F13 F18:F25 F30:F40 F45:F58 F63:F73 F78:F85 F90:F97 F102:F109 F114:F121 F126:F133 F138:F145 F150:F157 F162:F169 F174:F181 F186:F193 F198:F205 F210:F217 F222:F229 F234:F241 F246:F253 F258:F265 F270:F277 F282:F289 F294:F301 F306:F313 F318:F325 F330:F337 F342:F349 F354:F361 F366:F373 F378:F385 F390:F397 F402:F409 F414:F421 F426:F433 F438:F445">
      <formula1>controle!$A$2:$A$10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88</v>
      </c>
    </row>
    <row r="4" ht="14.25" customHeight="1">
      <c r="B4" s="6"/>
    </row>
    <row r="5" ht="39.0" customHeight="1">
      <c r="C5" s="46" t="s">
        <v>89</v>
      </c>
      <c r="D5" s="8"/>
      <c r="E5" s="46" t="s">
        <v>90</v>
      </c>
      <c r="F5" s="8"/>
      <c r="G5" s="114" t="s">
        <v>91</v>
      </c>
      <c r="H5" s="115" t="s">
        <v>92</v>
      </c>
      <c r="I5" s="8"/>
      <c r="K5" s="15" t="s">
        <v>19</v>
      </c>
      <c r="L5" s="16"/>
    </row>
    <row r="6" ht="30.0" customHeight="1">
      <c r="C6" s="116" t="s">
        <v>93</v>
      </c>
      <c r="D6" s="49"/>
      <c r="E6" s="117" t="s">
        <v>94</v>
      </c>
      <c r="F6" s="49"/>
      <c r="G6" s="118">
        <v>0.0</v>
      </c>
      <c r="H6" s="117" t="s">
        <v>95</v>
      </c>
      <c r="I6" s="52"/>
    </row>
    <row r="7" ht="30.0" customHeight="1">
      <c r="C7" s="119"/>
      <c r="D7" s="54"/>
      <c r="E7" s="120"/>
      <c r="F7" s="54"/>
      <c r="G7" s="121"/>
      <c r="H7" s="120"/>
      <c r="I7" s="57"/>
    </row>
    <row r="8" ht="30.0" customHeight="1">
      <c r="C8" s="119"/>
      <c r="D8" s="54"/>
      <c r="E8" s="120"/>
      <c r="F8" s="54"/>
      <c r="G8" s="121"/>
      <c r="H8" s="120"/>
      <c r="I8" s="57"/>
    </row>
    <row r="9" ht="30.0" customHeight="1">
      <c r="C9" s="119"/>
      <c r="D9" s="54"/>
      <c r="E9" s="120"/>
      <c r="F9" s="54"/>
      <c r="G9" s="121"/>
      <c r="H9" s="120"/>
      <c r="I9" s="57"/>
    </row>
    <row r="10" ht="30.0" customHeight="1">
      <c r="C10" s="119"/>
      <c r="D10" s="54"/>
      <c r="E10" s="120"/>
      <c r="F10" s="54"/>
      <c r="G10" s="121"/>
      <c r="H10" s="120"/>
      <c r="I10" s="57"/>
    </row>
    <row r="11" ht="30.0" customHeight="1">
      <c r="C11" s="119"/>
      <c r="D11" s="54"/>
      <c r="E11" s="120"/>
      <c r="F11" s="54"/>
      <c r="G11" s="121"/>
      <c r="H11" s="120"/>
      <c r="I11" s="57"/>
    </row>
    <row r="12" ht="30.0" customHeight="1">
      <c r="C12" s="119"/>
      <c r="D12" s="54"/>
      <c r="E12" s="120"/>
      <c r="F12" s="54"/>
      <c r="G12" s="121"/>
      <c r="H12" s="120"/>
      <c r="I12" s="57"/>
      <c r="K12" s="10"/>
    </row>
    <row r="13" ht="30.0" customHeight="1">
      <c r="C13" s="119"/>
      <c r="D13" s="54"/>
      <c r="E13" s="120"/>
      <c r="F13" s="54"/>
      <c r="G13" s="121"/>
      <c r="H13" s="120"/>
      <c r="I13" s="57"/>
    </row>
    <row r="14" ht="30.0" customHeight="1">
      <c r="C14" s="119"/>
      <c r="D14" s="54"/>
      <c r="E14" s="120"/>
      <c r="F14" s="54"/>
      <c r="G14" s="121"/>
      <c r="H14" s="120"/>
      <c r="I14" s="57"/>
    </row>
    <row r="15" ht="30.0" customHeight="1">
      <c r="C15" s="119"/>
      <c r="D15" s="54"/>
      <c r="E15" s="120"/>
      <c r="F15" s="54"/>
      <c r="G15" s="121"/>
      <c r="H15" s="120"/>
      <c r="I15" s="57"/>
    </row>
    <row r="16" ht="30.0" customHeight="1">
      <c r="C16" s="119"/>
      <c r="D16" s="54"/>
      <c r="E16" s="120"/>
      <c r="F16" s="54"/>
      <c r="G16" s="121"/>
      <c r="H16" s="120"/>
      <c r="I16" s="57"/>
    </row>
    <row r="17" ht="30.0" customHeight="1">
      <c r="C17" s="119"/>
      <c r="D17" s="54"/>
      <c r="E17" s="120"/>
      <c r="F17" s="54"/>
      <c r="G17" s="121"/>
      <c r="H17" s="120"/>
      <c r="I17" s="57"/>
    </row>
    <row r="18" ht="30.0" customHeight="1">
      <c r="C18" s="119"/>
      <c r="D18" s="54"/>
      <c r="E18" s="120"/>
      <c r="F18" s="54"/>
      <c r="G18" s="121"/>
      <c r="H18" s="120"/>
      <c r="I18" s="57"/>
    </row>
    <row r="19" ht="30.0" customHeight="1">
      <c r="C19" s="119"/>
      <c r="D19" s="54"/>
      <c r="E19" s="120"/>
      <c r="F19" s="54"/>
      <c r="G19" s="121"/>
      <c r="H19" s="120"/>
      <c r="I19" s="57"/>
    </row>
    <row r="20" ht="30.0" customHeight="1">
      <c r="C20" s="122"/>
      <c r="D20" s="62"/>
      <c r="E20" s="123"/>
      <c r="F20" s="62"/>
      <c r="G20" s="124"/>
      <c r="H20" s="123"/>
      <c r="I20" s="6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C18:D18"/>
    <mergeCell ref="C19:D19"/>
    <mergeCell ref="C20:D20"/>
    <mergeCell ref="C15:D15"/>
    <mergeCell ref="E15:F15"/>
    <mergeCell ref="C16:D16"/>
    <mergeCell ref="E16:F16"/>
    <mergeCell ref="C17:D17"/>
    <mergeCell ref="E17:F17"/>
    <mergeCell ref="E18:F18"/>
    <mergeCell ref="C3:I3"/>
    <mergeCell ref="C5:D5"/>
    <mergeCell ref="E5:F5"/>
    <mergeCell ref="H5:I5"/>
    <mergeCell ref="K5:L5"/>
    <mergeCell ref="E6:F6"/>
    <mergeCell ref="H6:I6"/>
    <mergeCell ref="C6:D6"/>
    <mergeCell ref="C7:D7"/>
    <mergeCell ref="E7:F7"/>
    <mergeCell ref="H7:I7"/>
    <mergeCell ref="C8:D8"/>
    <mergeCell ref="E8:F8"/>
    <mergeCell ref="H8:I8"/>
    <mergeCell ref="H10:I10"/>
    <mergeCell ref="H11:I11"/>
    <mergeCell ref="H12:I12"/>
    <mergeCell ref="C9:D9"/>
    <mergeCell ref="E9:F9"/>
    <mergeCell ref="H9:I9"/>
    <mergeCell ref="C10:D10"/>
    <mergeCell ref="E10:F10"/>
    <mergeCell ref="C11:D11"/>
    <mergeCell ref="E11:F11"/>
    <mergeCell ref="H13:I13"/>
    <mergeCell ref="H14:I14"/>
    <mergeCell ref="H15:I15"/>
    <mergeCell ref="H16:I16"/>
    <mergeCell ref="H17:I17"/>
    <mergeCell ref="H18:I18"/>
    <mergeCell ref="H19:I19"/>
    <mergeCell ref="H20:I20"/>
    <mergeCell ref="C12:D12"/>
    <mergeCell ref="E12:F12"/>
    <mergeCell ref="K12:L12"/>
    <mergeCell ref="C13:D13"/>
    <mergeCell ref="E13:F13"/>
    <mergeCell ref="C14:D14"/>
    <mergeCell ref="E14:F14"/>
    <mergeCell ref="E19:F19"/>
    <mergeCell ref="E20:F20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96</v>
      </c>
    </row>
    <row r="4" ht="14.25" customHeight="1">
      <c r="B4" s="6"/>
    </row>
    <row r="5" ht="39.0" customHeight="1">
      <c r="C5" s="46" t="s">
        <v>97</v>
      </c>
      <c r="D5" s="8"/>
      <c r="E5" s="8"/>
      <c r="F5" s="46" t="s">
        <v>98</v>
      </c>
      <c r="G5" s="8"/>
      <c r="H5" s="125" t="s">
        <v>99</v>
      </c>
      <c r="I5" s="8"/>
      <c r="K5" s="15" t="s">
        <v>19</v>
      </c>
      <c r="L5" s="16"/>
    </row>
    <row r="6" ht="36.0" customHeight="1">
      <c r="C6" s="126" t="s">
        <v>100</v>
      </c>
      <c r="D6" s="51"/>
      <c r="E6" s="49"/>
      <c r="F6" s="127" t="s">
        <v>101</v>
      </c>
      <c r="G6" s="49"/>
      <c r="H6" s="128" t="s">
        <v>102</v>
      </c>
      <c r="I6" s="52"/>
    </row>
    <row r="7" ht="36.0" customHeight="1">
      <c r="C7" s="129" t="s">
        <v>103</v>
      </c>
      <c r="D7" s="56"/>
      <c r="E7" s="54"/>
      <c r="F7" s="130" t="s">
        <v>101</v>
      </c>
      <c r="G7" s="54"/>
      <c r="H7" s="131" t="s">
        <v>104</v>
      </c>
      <c r="I7" s="57"/>
    </row>
    <row r="8" ht="36.0" customHeight="1">
      <c r="C8" s="129" t="s">
        <v>105</v>
      </c>
      <c r="D8" s="56"/>
      <c r="E8" s="54"/>
      <c r="F8" s="130" t="s">
        <v>106</v>
      </c>
      <c r="G8" s="54"/>
      <c r="H8" s="131" t="s">
        <v>107</v>
      </c>
      <c r="I8" s="57"/>
    </row>
    <row r="9" ht="36.0" customHeight="1">
      <c r="C9" s="129" t="s">
        <v>108</v>
      </c>
      <c r="D9" s="56"/>
      <c r="E9" s="54"/>
      <c r="F9" s="130"/>
      <c r="G9" s="54"/>
      <c r="H9" s="130"/>
      <c r="I9" s="57"/>
    </row>
    <row r="10" ht="36.0" customHeight="1">
      <c r="C10" s="129"/>
      <c r="D10" s="56"/>
      <c r="E10" s="54"/>
      <c r="F10" s="130"/>
      <c r="G10" s="54"/>
      <c r="H10" s="130"/>
      <c r="I10" s="57"/>
    </row>
    <row r="11" ht="36.0" customHeight="1">
      <c r="C11" s="129"/>
      <c r="D11" s="56"/>
      <c r="E11" s="54"/>
      <c r="F11" s="130"/>
      <c r="G11" s="54"/>
      <c r="H11" s="130"/>
      <c r="I11" s="57"/>
    </row>
    <row r="12" ht="36.0" customHeight="1">
      <c r="C12" s="129"/>
      <c r="D12" s="56"/>
      <c r="E12" s="54"/>
      <c r="F12" s="130"/>
      <c r="G12" s="54"/>
      <c r="H12" s="130"/>
      <c r="I12" s="57"/>
      <c r="K12" s="10"/>
    </row>
    <row r="13" ht="36.0" customHeight="1">
      <c r="C13" s="129"/>
      <c r="D13" s="56"/>
      <c r="E13" s="54"/>
      <c r="F13" s="130"/>
      <c r="G13" s="54"/>
      <c r="H13" s="130"/>
      <c r="I13" s="57"/>
    </row>
    <row r="14" ht="36.0" customHeight="1">
      <c r="C14" s="129"/>
      <c r="D14" s="56"/>
      <c r="E14" s="54"/>
      <c r="F14" s="130"/>
      <c r="G14" s="54"/>
      <c r="H14" s="130"/>
      <c r="I14" s="57"/>
    </row>
    <row r="15" ht="36.0" customHeight="1">
      <c r="C15" s="129"/>
      <c r="D15" s="56"/>
      <c r="E15" s="54"/>
      <c r="F15" s="130"/>
      <c r="G15" s="54"/>
      <c r="H15" s="130"/>
      <c r="I15" s="57"/>
    </row>
    <row r="16" ht="36.0" customHeight="1">
      <c r="C16" s="129"/>
      <c r="D16" s="56"/>
      <c r="E16" s="54"/>
      <c r="F16" s="130"/>
      <c r="G16" s="54"/>
      <c r="H16" s="130"/>
      <c r="I16" s="57"/>
    </row>
    <row r="17" ht="36.0" customHeight="1">
      <c r="C17" s="129"/>
      <c r="D17" s="56"/>
      <c r="E17" s="54"/>
      <c r="F17" s="130"/>
      <c r="G17" s="54"/>
      <c r="H17" s="130"/>
      <c r="I17" s="57"/>
    </row>
    <row r="18" ht="36.0" customHeight="1">
      <c r="C18" s="129"/>
      <c r="D18" s="56"/>
      <c r="E18" s="54"/>
      <c r="F18" s="130"/>
      <c r="G18" s="54"/>
      <c r="H18" s="130"/>
      <c r="I18" s="57"/>
    </row>
    <row r="19" ht="36.0" customHeight="1">
      <c r="C19" s="132"/>
      <c r="D19" s="64"/>
      <c r="E19" s="62"/>
      <c r="F19" s="133"/>
      <c r="G19" s="62"/>
      <c r="H19" s="133"/>
      <c r="I19" s="65"/>
    </row>
    <row r="20" ht="14.25" customHeight="1">
      <c r="C20" s="6"/>
      <c r="F20" s="6"/>
      <c r="H20" s="6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1">
    <mergeCell ref="F19:G19"/>
    <mergeCell ref="H19:I19"/>
    <mergeCell ref="C20:E20"/>
    <mergeCell ref="F20:G20"/>
    <mergeCell ref="H20:I20"/>
    <mergeCell ref="C17:E17"/>
    <mergeCell ref="F17:G17"/>
    <mergeCell ref="H17:I17"/>
    <mergeCell ref="C18:E18"/>
    <mergeCell ref="F18:G18"/>
    <mergeCell ref="H18:I18"/>
    <mergeCell ref="C19:E19"/>
    <mergeCell ref="C3:I3"/>
    <mergeCell ref="C5:E5"/>
    <mergeCell ref="F5:G5"/>
    <mergeCell ref="H5:I5"/>
    <mergeCell ref="K5:L5"/>
    <mergeCell ref="F6:G6"/>
    <mergeCell ref="H6:I6"/>
    <mergeCell ref="C6:E6"/>
    <mergeCell ref="C7:E7"/>
    <mergeCell ref="F7:G7"/>
    <mergeCell ref="H7:I7"/>
    <mergeCell ref="C8:E8"/>
    <mergeCell ref="F8:G8"/>
    <mergeCell ref="H8:I8"/>
    <mergeCell ref="F11:G11"/>
    <mergeCell ref="H11:I11"/>
    <mergeCell ref="C9:E9"/>
    <mergeCell ref="F9:G9"/>
    <mergeCell ref="H9:I9"/>
    <mergeCell ref="C10:E10"/>
    <mergeCell ref="F10:G10"/>
    <mergeCell ref="H10:I10"/>
    <mergeCell ref="C11:E11"/>
    <mergeCell ref="C12:E12"/>
    <mergeCell ref="F12:G12"/>
    <mergeCell ref="H12:I12"/>
    <mergeCell ref="K12:L12"/>
    <mergeCell ref="C13:E13"/>
    <mergeCell ref="F13:G13"/>
    <mergeCell ref="H13:I13"/>
    <mergeCell ref="F16:G16"/>
    <mergeCell ref="H16:I16"/>
    <mergeCell ref="C14:E14"/>
    <mergeCell ref="F14:G14"/>
    <mergeCell ref="H14:I14"/>
    <mergeCell ref="C15:E15"/>
    <mergeCell ref="F15:G15"/>
    <mergeCell ref="H15:I15"/>
    <mergeCell ref="C16:E16"/>
  </mergeCells>
  <dataValidations>
    <dataValidation type="list" allowBlank="1" showErrorMessage="1" sqref="F6:F19">
      <formula1>"O Cliente deve responder,O Consultor deve responder"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109</v>
      </c>
    </row>
    <row r="4" ht="14.25" customHeight="1">
      <c r="B4" s="6"/>
    </row>
    <row r="5" ht="39.0" customHeight="1">
      <c r="C5" s="134"/>
      <c r="E5" s="46" t="s">
        <v>110</v>
      </c>
      <c r="F5" s="8"/>
      <c r="G5" s="8"/>
      <c r="H5" s="125" t="s">
        <v>111</v>
      </c>
      <c r="I5" s="8"/>
      <c r="K5" s="15" t="s">
        <v>19</v>
      </c>
      <c r="L5" s="16"/>
    </row>
    <row r="6" ht="102.0" customHeight="1">
      <c r="B6" s="135">
        <v>1.0</v>
      </c>
      <c r="C6" s="136" t="s">
        <v>112</v>
      </c>
      <c r="D6" s="54"/>
      <c r="E6" s="137" t="s">
        <v>113</v>
      </c>
      <c r="F6" s="51"/>
      <c r="G6" s="49"/>
      <c r="H6" s="138" t="s">
        <v>114</v>
      </c>
      <c r="I6" s="52"/>
      <c r="K6" s="139"/>
      <c r="L6" s="140"/>
    </row>
    <row r="7" ht="102.0" customHeight="1">
      <c r="B7" s="135">
        <v>2.0</v>
      </c>
      <c r="C7" s="141"/>
      <c r="D7" s="54"/>
      <c r="E7" s="142"/>
      <c r="F7" s="56"/>
      <c r="G7" s="54"/>
      <c r="H7" s="143"/>
      <c r="I7" s="57"/>
      <c r="K7" s="144" t="s">
        <v>115</v>
      </c>
      <c r="L7" s="92"/>
    </row>
    <row r="8" ht="125.25" customHeight="1">
      <c r="B8" s="135">
        <v>3.0</v>
      </c>
      <c r="C8" s="136"/>
      <c r="D8" s="54"/>
      <c r="E8" s="145"/>
      <c r="F8" s="56"/>
      <c r="G8" s="54"/>
      <c r="H8" s="143"/>
      <c r="I8" s="57"/>
    </row>
    <row r="9" ht="102.0" customHeight="1">
      <c r="B9" s="135">
        <v>4.0</v>
      </c>
      <c r="C9" s="136"/>
      <c r="D9" s="54"/>
      <c r="E9" s="145"/>
      <c r="F9" s="56"/>
      <c r="G9" s="54"/>
      <c r="H9" s="143"/>
      <c r="I9" s="57"/>
    </row>
    <row r="10" ht="102.0" customHeight="1">
      <c r="B10" s="135">
        <v>5.0</v>
      </c>
      <c r="C10" s="136"/>
      <c r="D10" s="54"/>
      <c r="E10" s="146"/>
      <c r="F10" s="64"/>
      <c r="G10" s="62"/>
      <c r="H10" s="147"/>
      <c r="I10" s="65"/>
    </row>
    <row r="11" ht="30.0" customHeight="1"/>
    <row r="12" ht="41.25" customHeight="1">
      <c r="C12" s="148" t="s">
        <v>116</v>
      </c>
      <c r="K12" s="10"/>
    </row>
    <row r="13" ht="23.25" customHeight="1">
      <c r="C13" s="148"/>
      <c r="D13" s="149">
        <v>1.0</v>
      </c>
      <c r="E13" s="92"/>
      <c r="F13" s="135">
        <v>2.0</v>
      </c>
      <c r="G13" s="135">
        <v>3.0</v>
      </c>
      <c r="H13" s="135">
        <v>4.0</v>
      </c>
      <c r="I13" s="135">
        <v>5.0</v>
      </c>
      <c r="K13" s="10"/>
      <c r="L13" s="10"/>
    </row>
    <row r="14" ht="26.25" customHeight="1">
      <c r="C14" s="12" t="s">
        <v>117</v>
      </c>
      <c r="D14" s="150" t="s">
        <v>118</v>
      </c>
      <c r="E14" s="151"/>
      <c r="F14" s="152" t="s">
        <v>119</v>
      </c>
      <c r="G14" s="152" t="s">
        <v>120</v>
      </c>
      <c r="H14" s="153" t="s">
        <v>121</v>
      </c>
      <c r="I14" s="153" t="s">
        <v>122</v>
      </c>
    </row>
    <row r="15" ht="41.25" customHeight="1">
      <c r="B15" s="12" t="s">
        <v>30</v>
      </c>
      <c r="C15" s="154" t="str">
        <f>'(Etapas) Passo a Passo'!C6</f>
        <v>Boas Vindas Onboarding</v>
      </c>
      <c r="D15" s="155"/>
      <c r="E15" s="49"/>
      <c r="F15" s="156"/>
      <c r="G15" s="157"/>
      <c r="H15" s="157"/>
      <c r="I15" s="158"/>
      <c r="K15" s="159" t="str">
        <f>"Escreva uma frase que comunique ao cliente que acontecerá nessa etapa ("&amp;L15&amp;")"</f>
        <v>Escreva uma frase que comunique ao cliente que acontecerá nessa etapa (Conhecer os novos Estrategistas, o Serviço, a Plataforma e Evitar problemas futuros ao longo do processo)</v>
      </c>
      <c r="L15" s="160" t="str">
        <f t="array" ref="L15:M15">'(Etapas) Passo a Passo'!D6:E6</f>
        <v>Conhecer os novos Estrategistas, o Serviço, a Plataforma e Evitar problemas futuros ao longo do processo</v>
      </c>
      <c r="M15" s="159"/>
    </row>
    <row r="16" ht="41.25" customHeight="1">
      <c r="C16" s="161" t="str">
        <f>'(Etapas) Passo a Passo'!C7</f>
        <v/>
      </c>
      <c r="D16" s="162"/>
      <c r="E16" s="54"/>
      <c r="F16" s="163"/>
      <c r="G16" s="164"/>
      <c r="H16" s="164"/>
      <c r="I16" s="165"/>
    </row>
    <row r="17" ht="41.25" customHeight="1">
      <c r="C17" s="161" t="str">
        <f>'(Etapas) Passo a Passo'!C8</f>
        <v/>
      </c>
      <c r="D17" s="162"/>
      <c r="E17" s="54"/>
      <c r="F17" s="163"/>
      <c r="G17" s="164"/>
      <c r="H17" s="164"/>
      <c r="I17" s="165"/>
    </row>
    <row r="18" ht="41.25" customHeight="1">
      <c r="C18" s="161" t="str">
        <f>'(Etapas) Passo a Passo'!C9</f>
        <v/>
      </c>
      <c r="D18" s="162"/>
      <c r="E18" s="54"/>
      <c r="F18" s="163"/>
      <c r="G18" s="164"/>
      <c r="H18" s="164"/>
      <c r="I18" s="165"/>
    </row>
    <row r="19" ht="41.25" customHeight="1">
      <c r="C19" s="161" t="str">
        <f>'(Etapas) Passo a Passo'!C10</f>
        <v/>
      </c>
      <c r="D19" s="162"/>
      <c r="E19" s="54"/>
      <c r="F19" s="163"/>
      <c r="G19" s="164"/>
      <c r="H19" s="164"/>
      <c r="I19" s="165"/>
    </row>
    <row r="20" ht="41.25" customHeight="1">
      <c r="C20" s="161" t="str">
        <f>'(Etapas) Passo a Passo'!C11</f>
        <v/>
      </c>
      <c r="D20" s="162"/>
      <c r="E20" s="54"/>
      <c r="F20" s="163"/>
      <c r="G20" s="164"/>
      <c r="H20" s="164"/>
      <c r="I20" s="165"/>
    </row>
    <row r="21" ht="41.25" customHeight="1">
      <c r="C21" s="161" t="str">
        <f>'(Etapas) Passo a Passo'!C12</f>
        <v/>
      </c>
      <c r="D21" s="162"/>
      <c r="E21" s="54"/>
      <c r="F21" s="163"/>
      <c r="G21" s="164"/>
      <c r="H21" s="164"/>
      <c r="I21" s="165"/>
    </row>
    <row r="22" ht="41.25" customHeight="1">
      <c r="C22" s="166" t="str">
        <f>'(Etapas) Passo a Passo'!C13</f>
        <v>Checklist Final de Fase</v>
      </c>
      <c r="D22" s="167"/>
      <c r="E22" s="62"/>
      <c r="F22" s="168"/>
      <c r="G22" s="169"/>
      <c r="H22" s="169"/>
      <c r="I22" s="170"/>
    </row>
    <row r="23" ht="20.25" customHeight="1"/>
    <row r="24" ht="23.25" customHeight="1">
      <c r="C24" s="148"/>
      <c r="D24" s="149">
        <v>1.0</v>
      </c>
      <c r="E24" s="92"/>
      <c r="F24" s="135">
        <v>2.0</v>
      </c>
      <c r="G24" s="135">
        <v>3.0</v>
      </c>
      <c r="H24" s="135">
        <v>4.0</v>
      </c>
      <c r="I24" s="135">
        <v>5.0</v>
      </c>
      <c r="K24" s="10"/>
      <c r="L24" s="10"/>
    </row>
    <row r="25" ht="41.25" customHeight="1">
      <c r="C25" s="12" t="s">
        <v>117</v>
      </c>
      <c r="D25" s="150" t="s">
        <v>118</v>
      </c>
      <c r="E25" s="151"/>
      <c r="F25" s="152" t="s">
        <v>119</v>
      </c>
      <c r="G25" s="152" t="s">
        <v>120</v>
      </c>
      <c r="H25" s="153" t="s">
        <v>121</v>
      </c>
      <c r="I25" s="153" t="s">
        <v>122</v>
      </c>
    </row>
    <row r="26" ht="41.25" customHeight="1">
      <c r="B26" s="12" t="s">
        <v>34</v>
      </c>
      <c r="C26" s="154" t="str">
        <f>'(Etapas) Passo a Passo'!C18</f>
        <v/>
      </c>
      <c r="D26" s="155"/>
      <c r="E26" s="49"/>
      <c r="F26" s="156"/>
      <c r="G26" s="157"/>
      <c r="H26" s="157"/>
      <c r="I26" s="171"/>
    </row>
    <row r="27" ht="41.25" customHeight="1">
      <c r="C27" s="161" t="str">
        <f>'(Etapas) Passo a Passo'!C19</f>
        <v/>
      </c>
      <c r="D27" s="162"/>
      <c r="E27" s="54"/>
      <c r="F27" s="163"/>
      <c r="G27" s="164"/>
      <c r="H27" s="164"/>
      <c r="I27" s="172"/>
    </row>
    <row r="28" ht="41.25" customHeight="1">
      <c r="C28" s="161" t="str">
        <f>'(Etapas) Passo a Passo'!C20</f>
        <v/>
      </c>
      <c r="D28" s="162"/>
      <c r="E28" s="54"/>
      <c r="F28" s="163"/>
      <c r="G28" s="164"/>
      <c r="H28" s="164"/>
      <c r="I28" s="172"/>
    </row>
    <row r="29" ht="41.25" customHeight="1">
      <c r="C29" s="161" t="str">
        <f>'(Etapas) Passo a Passo'!C22</f>
        <v/>
      </c>
      <c r="D29" s="162"/>
      <c r="E29" s="54"/>
      <c r="F29" s="163"/>
      <c r="G29" s="164"/>
      <c r="H29" s="164"/>
      <c r="I29" s="172"/>
    </row>
    <row r="30" ht="41.25" customHeight="1">
      <c r="C30" s="161" t="str">
        <f>'(Etapas) Passo a Passo'!C23</f>
        <v/>
      </c>
      <c r="D30" s="162"/>
      <c r="E30" s="54"/>
      <c r="F30" s="163"/>
      <c r="G30" s="164"/>
      <c r="H30" s="164"/>
      <c r="I30" s="172"/>
    </row>
    <row r="31" ht="41.25" customHeight="1">
      <c r="C31" s="161" t="str">
        <f>'(Etapas) Passo a Passo'!C24</f>
        <v/>
      </c>
      <c r="D31" s="162"/>
      <c r="E31" s="54"/>
      <c r="F31" s="163"/>
      <c r="G31" s="164"/>
      <c r="H31" s="164"/>
      <c r="I31" s="172"/>
    </row>
    <row r="32" ht="41.25" customHeight="1">
      <c r="C32" s="161" t="str">
        <f>'(Etapas) Passo a Passo'!C25</f>
        <v>Checklist Final de Fase</v>
      </c>
      <c r="D32" s="162"/>
      <c r="E32" s="54"/>
      <c r="F32" s="163"/>
      <c r="G32" s="164"/>
      <c r="H32" s="164"/>
      <c r="I32" s="172"/>
    </row>
    <row r="33" ht="41.25" customHeight="1">
      <c r="C33" s="166" t="str">
        <f>'(Etapas) Passo a Passo'!#REF!</f>
        <v>#ERROR!</v>
      </c>
      <c r="D33" s="167"/>
      <c r="E33" s="62"/>
      <c r="F33" s="168"/>
      <c r="G33" s="169"/>
      <c r="H33" s="169"/>
      <c r="I33" s="173"/>
    </row>
    <row r="34" ht="26.25" customHeight="1"/>
    <row r="35" ht="26.25" customHeight="1">
      <c r="C35" s="174" t="s">
        <v>123</v>
      </c>
      <c r="D35" s="56"/>
      <c r="E35" s="56"/>
      <c r="F35" s="56"/>
      <c r="G35" s="56"/>
      <c r="H35" s="56"/>
      <c r="I35" s="54"/>
    </row>
    <row r="36" ht="26.25" customHeight="1"/>
    <row r="37" ht="26.25" customHeight="1"/>
    <row r="38" ht="26.25" customHeight="1"/>
    <row r="39" ht="26.25" customHeight="1"/>
    <row r="40" ht="26.25" customHeight="1">
      <c r="F40" s="3"/>
    </row>
    <row r="41" ht="26.25" customHeight="1"/>
    <row r="42" ht="26.25" customHeight="1">
      <c r="C42" s="174" t="s">
        <v>124</v>
      </c>
      <c r="D42" s="56"/>
      <c r="E42" s="56"/>
      <c r="F42" s="56"/>
      <c r="G42" s="56"/>
      <c r="H42" s="56"/>
      <c r="I42" s="54"/>
    </row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K5:L5"/>
    <mergeCell ref="K6:L6"/>
    <mergeCell ref="K7:L7"/>
    <mergeCell ref="C3:I3"/>
    <mergeCell ref="C5:D5"/>
    <mergeCell ref="E5:G5"/>
    <mergeCell ref="H5:I5"/>
    <mergeCell ref="C6:D6"/>
    <mergeCell ref="E6:G6"/>
    <mergeCell ref="H6:I6"/>
    <mergeCell ref="E9:G9"/>
    <mergeCell ref="H9:I9"/>
    <mergeCell ref="C7:D7"/>
    <mergeCell ref="E7:G7"/>
    <mergeCell ref="H7:I7"/>
    <mergeCell ref="C8:D8"/>
    <mergeCell ref="E8:G8"/>
    <mergeCell ref="H8:I8"/>
    <mergeCell ref="C9:D9"/>
    <mergeCell ref="C10:D10"/>
    <mergeCell ref="E10:G10"/>
    <mergeCell ref="H10:I10"/>
    <mergeCell ref="C12:I12"/>
    <mergeCell ref="K12:L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30:E30"/>
    <mergeCell ref="D31:E31"/>
    <mergeCell ref="D32:E32"/>
    <mergeCell ref="D33:E33"/>
    <mergeCell ref="C35:I35"/>
    <mergeCell ref="C42:I42"/>
    <mergeCell ref="D22:E22"/>
    <mergeCell ref="D24:E24"/>
    <mergeCell ref="D25:E25"/>
    <mergeCell ref="D26:E26"/>
    <mergeCell ref="D27:E27"/>
    <mergeCell ref="D28:E28"/>
    <mergeCell ref="D29:E29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86"/>
  </cols>
  <sheetData>
    <row r="1" ht="14.25" customHeight="1">
      <c r="A1" s="3" t="s">
        <v>125</v>
      </c>
    </row>
    <row r="2" ht="14.25" customHeight="1">
      <c r="A2" s="175" t="s">
        <v>126</v>
      </c>
    </row>
    <row r="3" ht="14.25" customHeight="1">
      <c r="A3" s="175" t="s">
        <v>81</v>
      </c>
    </row>
    <row r="4" ht="14.25" customHeight="1">
      <c r="A4" s="175" t="s">
        <v>127</v>
      </c>
    </row>
    <row r="5" ht="14.25" customHeight="1">
      <c r="A5" s="175" t="s">
        <v>128</v>
      </c>
    </row>
    <row r="6" ht="14.25" customHeight="1">
      <c r="A6" s="175" t="s">
        <v>129</v>
      </c>
    </row>
    <row r="7" ht="14.25" customHeight="1">
      <c r="A7" s="175" t="s">
        <v>130</v>
      </c>
    </row>
    <row r="8" ht="14.25" customHeight="1">
      <c r="A8" s="175" t="s">
        <v>131</v>
      </c>
    </row>
    <row r="9" ht="14.25" customHeight="1">
      <c r="A9" s="175" t="s">
        <v>132</v>
      </c>
    </row>
    <row r="10" ht="14.25" customHeight="1">
      <c r="A10" s="175" t="s">
        <v>75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0"/>
    <col customWidth="1" min="2" max="2" width="10.0"/>
    <col customWidth="1" min="3" max="9" width="30.14"/>
    <col customWidth="1" min="10" max="10" width="8.86"/>
    <col customWidth="1" min="11" max="12" width="19.43"/>
    <col customWidth="1" min="13" max="26" width="8.86"/>
  </cols>
  <sheetData>
    <row r="1" ht="51.75" customHeight="1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65.25" customHeight="1">
      <c r="A2" s="1"/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36.0" customHeight="1">
      <c r="C3" s="5" t="s">
        <v>11</v>
      </c>
    </row>
    <row r="4" ht="14.25" customHeight="1">
      <c r="B4" s="6" t="s">
        <v>133</v>
      </c>
    </row>
    <row r="5" ht="39.0" customHeight="1">
      <c r="K5" s="15" t="s">
        <v>19</v>
      </c>
      <c r="L5" s="16"/>
    </row>
    <row r="6" ht="30.0" customHeight="1"/>
    <row r="7" ht="30.0" customHeight="1"/>
    <row r="8" ht="30.0" customHeight="1"/>
    <row r="9" ht="30.0" customHeight="1"/>
    <row r="10" ht="30.0" customHeight="1"/>
    <row r="11" ht="30.0" customHeight="1"/>
    <row r="12" ht="30.0" customHeight="1">
      <c r="K12" s="10"/>
    </row>
    <row r="13" ht="30.0" customHeight="1"/>
    <row r="14" ht="11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3:I3"/>
    <mergeCell ref="K5:L5"/>
    <mergeCell ref="K12:L12"/>
  </mergeCells>
  <printOptions/>
  <pageMargins bottom="0.787401575" footer="0.0" header="0.0" left="0.511811024" right="0.511811024" top="0.787401575"/>
  <pageSetup orientation="landscape"/>
  <drawing r:id="rId1"/>
</worksheet>
</file>