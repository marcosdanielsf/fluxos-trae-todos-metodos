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Levantamento inicial" sheetId="2" r:id="rId5"/>
    <sheet state="visible" name="Mercado" sheetId="3" r:id="rId6"/>
    <sheet state="visible" name="Processos" sheetId="4" r:id="rId7"/>
    <sheet state="visible" name="Marketing" sheetId="5" r:id="rId8"/>
    <sheet state="visible" name="Vendas" sheetId="6" r:id="rId9"/>
    <sheet state="visible" name="Operação" sheetId="7" r:id="rId10"/>
    <sheet state="visible" name="Gestão de Pessoas" sheetId="8" r:id="rId11"/>
    <sheet state="visible" name="Gestão" sheetId="9" r:id="rId12"/>
    <sheet state="visible" name="Resultado" sheetId="10" r:id="rId13"/>
  </sheets>
  <definedNames/>
  <calcPr/>
</workbook>
</file>

<file path=xl/sharedStrings.xml><?xml version="1.0" encoding="utf-8"?>
<sst xmlns="http://schemas.openxmlformats.org/spreadsheetml/2006/main" count="311" uniqueCount="241">
  <si>
    <t>Nome:</t>
  </si>
  <si>
    <r>
      <rPr>
        <rFont val="Open Sans"/>
        <b/>
        <color theme="0"/>
        <sz val="28.0"/>
      </rPr>
      <t xml:space="preserve">"As empresas excelentes não acreditam na excelência, apenas na melhoria contínua e na mudança constante"
</t>
    </r>
    <r>
      <rPr>
        <rFont val="Open Sans"/>
        <b val="0"/>
        <color theme="0"/>
        <sz val="18.0"/>
      </rPr>
      <t>Tom Peters</t>
    </r>
  </si>
  <si>
    <t>E-mail:</t>
  </si>
  <si>
    <t>Empresa:</t>
  </si>
  <si>
    <t>Cel/ Whats:</t>
  </si>
  <si>
    <t>Desvendando o potencial de melhoria da sua empresa</t>
  </si>
  <si>
    <t xml:space="preserve"> </t>
  </si>
  <si>
    <t>1.1</t>
  </si>
  <si>
    <t>Quantidade de funcionários (CLT + PJ):</t>
  </si>
  <si>
    <t>1.2</t>
  </si>
  <si>
    <t>Quantas unidades a sua empresa têm (matriz + filiais)?</t>
  </si>
  <si>
    <t>1.3</t>
  </si>
  <si>
    <t>Volume total de clientes (quantidade total de clientes que já foram atendidos na história da empresa)</t>
  </si>
  <si>
    <t>1.4</t>
  </si>
  <si>
    <t>Volume atual de clientes ativos (quantidade atual de clientes que estão em atendimento no momento)</t>
  </si>
  <si>
    <t>1.5</t>
  </si>
  <si>
    <t>Quantidade atual de produtos ou serviços a sua empresa tem no portifólio?</t>
  </si>
  <si>
    <t>1.6</t>
  </si>
  <si>
    <t>Preço médio praticado:</t>
  </si>
  <si>
    <t>1.7</t>
  </si>
  <si>
    <t>Há uma projeção de vendas, receitas e despesas para o ano corrente, confiável?</t>
  </si>
  <si>
    <t>2.1</t>
  </si>
  <si>
    <t>Qual o perfil do cliente ideal da sua empresa?</t>
  </si>
  <si>
    <t>Desconheço</t>
  </si>
  <si>
    <t>Empresas que faturam R$ 50 mil reais por mês e que tenha 3 funcionários</t>
  </si>
  <si>
    <t>2.2</t>
  </si>
  <si>
    <t>Qual é o índice de satisfação do seu cliente (%)?</t>
  </si>
  <si>
    <t>2.3</t>
  </si>
  <si>
    <t>Quais as principais dores do seu cliente?</t>
  </si>
  <si>
    <t>Sim</t>
  </si>
  <si>
    <t>2.4</t>
  </si>
  <si>
    <t>Quais os principais desejos do seu PCI?</t>
  </si>
  <si>
    <t>Não</t>
  </si>
  <si>
    <t>2.5</t>
  </si>
  <si>
    <t>Os produtos da sua empresa atendem as dores e desejos de seu cliente de forma clara?</t>
  </si>
  <si>
    <t>2.6</t>
  </si>
  <si>
    <t>A comunicação (site e outros materiais) é clara e objetiva quanto às soluções para dores e desejos de seu cliente?</t>
  </si>
  <si>
    <t>Parcialmente</t>
  </si>
  <si>
    <t>2.7</t>
  </si>
  <si>
    <t>Quais são os seus principais concorrentes?</t>
  </si>
  <si>
    <t>EAG, MARCOS MARQUES, ANDRE MENEZES MARCUS FREITAS</t>
  </si>
  <si>
    <t>2.8</t>
  </si>
  <si>
    <t>Qual a qualidade da comunicação deles em relação as dores e desejos que vocês resolvem?</t>
  </si>
  <si>
    <t>São assertivos</t>
  </si>
  <si>
    <t>2.9</t>
  </si>
  <si>
    <t>Quais as suas principais forças e oportunidades quando comparado à seus competidores? (destaque as 3 mais relevantes)</t>
  </si>
  <si>
    <t>Geram conteúdo de valor, mantém constância, estão em múltiplos canais</t>
  </si>
  <si>
    <t>2.10</t>
  </si>
  <si>
    <t>Quais suas principais fraquezas e ameaças quando comparado a seus competidores? (destaque as 3 mais relevantes)</t>
  </si>
  <si>
    <t>z</t>
  </si>
  <si>
    <t>Não ter a autoridade que eles tem, sobrecarga, falta de equipe</t>
  </si>
  <si>
    <t>3.1</t>
  </si>
  <si>
    <t>Descreva os processos que foram definidos em sua empresa</t>
  </si>
  <si>
    <t>3.2</t>
  </si>
  <si>
    <t>Ainda existem gargalos (filas) no seu processo? (alguma atividade fica parada aguardando decisões ou finalizações de outras atividades?</t>
  </si>
  <si>
    <t>3.3</t>
  </si>
  <si>
    <t xml:space="preserve">Durante o processo, as pessoas têm de recorrer a esforços heróicos ou intervenções a fim de ter o trabalho realizado? </t>
  </si>
  <si>
    <t>3.4</t>
  </si>
  <si>
    <t>Existem pessoas com papéis semelhantes realizando trabalhos diferentes ou realizando o mesmo trabalho de forma diferente?</t>
  </si>
  <si>
    <t>3.5</t>
  </si>
  <si>
    <t>Há ociosidade no processo?</t>
  </si>
  <si>
    <t>3.6</t>
  </si>
  <si>
    <t xml:space="preserve">Existem regras de negócios definidas que cobrem os possíveis cenários decisórios ou de variação do processo? </t>
  </si>
  <si>
    <t>3.7</t>
  </si>
  <si>
    <t xml:space="preserve"> O processo tem atingido as metas determinadas? </t>
  </si>
  <si>
    <t>3.8</t>
  </si>
  <si>
    <t>Durante o processo, o trabalho ou a informação passa das mãos de um colaborador para o outro várias vezes (vai e vem)?</t>
  </si>
  <si>
    <t>4.1</t>
  </si>
  <si>
    <t xml:space="preserve">Qual a tecnologia que seu site foi desenvolvido? </t>
  </si>
  <si>
    <t>Wordpress</t>
  </si>
  <si>
    <t>4.2</t>
  </si>
  <si>
    <t>O Google Analytics está instalado em todas as páginas?</t>
  </si>
  <si>
    <t>NÃO SEI</t>
  </si>
  <si>
    <t>4.3</t>
  </si>
  <si>
    <t>O Google Search Console está ativado?</t>
  </si>
  <si>
    <t>4.4</t>
  </si>
  <si>
    <t>Quais ferramentas utiliza para encontrar problemas de SEO (Moz, Semrush, outras…)?</t>
  </si>
  <si>
    <t>SemRush</t>
  </si>
  <si>
    <t>4.5</t>
  </si>
  <si>
    <t>Qual o ranking no Alexa? Link: https://www.alexa.com/siteinfo</t>
  </si>
  <si>
    <t>4.6</t>
  </si>
  <si>
    <t>Qual a frequência de publicação de post no seu blog por mês? (use 0 caso não tenha ou não publique)</t>
  </si>
  <si>
    <t>4.7</t>
  </si>
  <si>
    <t>Quantos comentários seus posts recebem em média por mês? (use 0 caso não tenha ou não saiba)</t>
  </si>
  <si>
    <t>4.8</t>
  </si>
  <si>
    <t>Quantas vezes por mês você publica vídeos no youtube? (use 0 caso não tenha ou não saiba)</t>
  </si>
  <si>
    <t>4.9</t>
  </si>
  <si>
    <t>Quantas vezes por mês você publica no Facebook? (use 0 caso não tenha ou não saiba)</t>
  </si>
  <si>
    <t>4.10</t>
  </si>
  <si>
    <t>Quantas vezes por mês você publica no Instagram? (use 0 caso não tenha ou não saiba)</t>
  </si>
  <si>
    <t>4.11</t>
  </si>
  <si>
    <t>Quantas vezes por mês você publica no LinkedIn? (use 0 caso não tenha ou não saiba)</t>
  </si>
  <si>
    <t>4.12</t>
  </si>
  <si>
    <t>Defina as etapas de seu funil com as respectivas taxas de conversão e volume (fique a vontade para alterar a sugestão abaixo:)</t>
  </si>
  <si>
    <t>Volume médio mensal</t>
  </si>
  <si>
    <t>Taxa de conversão</t>
  </si>
  <si>
    <t>Volume total de impressões de suas keywords (orgânico e pago)</t>
  </si>
  <si>
    <t>Volume total de trafego (usuário único) em todas as páginas (site+blog)</t>
  </si>
  <si>
    <t>Total de Cadastros realizados</t>
  </si>
  <si>
    <t>MQLs (leads não qualificados que serão aquecidos pelo marketing)</t>
  </si>
  <si>
    <t>SQLs (leads qualificados que serão distribuídos para os vendedores)</t>
  </si>
  <si>
    <t>Reunião Agendada</t>
  </si>
  <si>
    <t>Análise de proposta / contrato</t>
  </si>
  <si>
    <t>Vendas</t>
  </si>
  <si>
    <t>4.13</t>
  </si>
  <si>
    <t>Quantas vendas por indicação são realizadas em média por mês?</t>
  </si>
  <si>
    <t>4.14</t>
  </si>
  <si>
    <t>Quais fermentas utiliza para nutrir os leads (Mailchimp, RD, LeadLovers, outras…)?</t>
  </si>
  <si>
    <t>Brevo</t>
  </si>
  <si>
    <t>4.15</t>
  </si>
  <si>
    <t>Qual o investimento médio em Google Ads por mês? (use 0 caso não faça)</t>
  </si>
  <si>
    <t>4.16</t>
  </si>
  <si>
    <t>Qual o investimento médio em FB Ads por mês? (use 0 caso não faça)</t>
  </si>
  <si>
    <t>4.17</t>
  </si>
  <si>
    <t>Qual o investimento médio em Instagram por mês? (use 0 caso não faça)</t>
  </si>
  <si>
    <t>4.18</t>
  </si>
  <si>
    <t>Qual o investimento médio em LinkedIn por mês? (use 0 caso não faça)</t>
  </si>
  <si>
    <t>4.19</t>
  </si>
  <si>
    <t>Há alguma estratégia de outbound? (prospecção de leads em LinkedIn, outros canais, compra ou construção de listas)</t>
  </si>
  <si>
    <t>4.20</t>
  </si>
  <si>
    <t>Quais ferramentas utiliza na estratégia de outbound (Ramper, Reev, outras…)</t>
  </si>
  <si>
    <t>Redrive</t>
  </si>
  <si>
    <t>5.1</t>
  </si>
  <si>
    <t>Quais ferramentas utiliza para gerenciar o relacionamento e funil de vendas (Pipedrive, Meetime, Agendor, Moskit, RD, LeadLovers, outras…)?</t>
  </si>
  <si>
    <t>KOMMO</t>
  </si>
  <si>
    <t>5.2</t>
  </si>
  <si>
    <t>Há alguém responsável exclusivamente por vendas na sua estrutura?</t>
  </si>
  <si>
    <t>5.3</t>
  </si>
  <si>
    <t>Quantos vendedores você têm no time? (use 0 caso não tenha)</t>
  </si>
  <si>
    <t>5.4</t>
  </si>
  <si>
    <t>Quantos pré-vendedores / qualificadores você tem no time? (use 0 caso não tenha)</t>
  </si>
  <si>
    <t>5.5</t>
  </si>
  <si>
    <t>Há uma política clara e objetiva de comissionamento?</t>
  </si>
  <si>
    <t>5.6</t>
  </si>
  <si>
    <t>As metas são conhecidas e amplamente divulgadas?</t>
  </si>
  <si>
    <t>5.7</t>
  </si>
  <si>
    <t>Há regras de bonificação para vendedores que superam as metas?</t>
  </si>
  <si>
    <t>5.8</t>
  </si>
  <si>
    <t>Você utiliza o SPIN Selling como método?</t>
  </si>
  <si>
    <t>5.9</t>
  </si>
  <si>
    <t>Você utiliza BANT framework?</t>
  </si>
  <si>
    <t>5.10</t>
  </si>
  <si>
    <t>Os vendedores recebem treinamento frequente sobre os produtos / serviços que precisam vender?</t>
  </si>
  <si>
    <t>5.11</t>
  </si>
  <si>
    <t>Os vendedores recebem treinamento frequente sobre técnicas e método de vendas?</t>
  </si>
  <si>
    <t>5.12</t>
  </si>
  <si>
    <t>O pitch de vendas é homogêneo? (a variação do discurso entre os vendedores é mínima)</t>
  </si>
  <si>
    <t>5.13</t>
  </si>
  <si>
    <t>Qual ferramenta você utiliza para gerenciar / gravar os atendimentos dos vendedores (Meetime, Skype, outras…)</t>
  </si>
  <si>
    <t>Google Meet</t>
  </si>
  <si>
    <t>5.14</t>
  </si>
  <si>
    <t>Qual ferramenta você utiliza para enviar e monitorar propostas (Proposeful, Docsales, outras…)</t>
  </si>
  <si>
    <t>Não Uso</t>
  </si>
  <si>
    <t>5.15</t>
  </si>
  <si>
    <t>As regras de preço, desconto e negociação estão pré definidas?</t>
  </si>
  <si>
    <t>5.16</t>
  </si>
  <si>
    <t>Os preços foram definidos com base em um método objetivo? (com base em custeio; com base em margem de contribuição; etc.)</t>
  </si>
  <si>
    <t>5.17</t>
  </si>
  <si>
    <t>As margens de contribuição e lucro são conhecidas com exatidão?</t>
  </si>
  <si>
    <t>6.1</t>
  </si>
  <si>
    <t>O Conhecimento de execução do seu produto ou serviço é centralizado em poucos profissionais ou disseminado entre todos?</t>
  </si>
  <si>
    <t>Centralizado</t>
  </si>
  <si>
    <t>6.2</t>
  </si>
  <si>
    <t xml:space="preserve">Qual o prazo médio de duração do serviço? </t>
  </si>
  <si>
    <t>6.3</t>
  </si>
  <si>
    <t>A empresa possui procedimentos documentados para os processos operacionais?</t>
  </si>
  <si>
    <t>6.4</t>
  </si>
  <si>
    <t>Existe rastreabilidade da sua operação?</t>
  </si>
  <si>
    <t>6.5</t>
  </si>
  <si>
    <t>O controle de estoque é realizado de forma manual?</t>
  </si>
  <si>
    <t>6.6</t>
  </si>
  <si>
    <t>Qual é o software utilizado em sua operação?</t>
  </si>
  <si>
    <t>Monday</t>
  </si>
  <si>
    <t>6.7</t>
  </si>
  <si>
    <t>Ainda existem falhas na sua operação que são encontradas somente pelo cliente?</t>
  </si>
  <si>
    <t>6.8</t>
  </si>
  <si>
    <t>Vocês controlam as falhas da operação?</t>
  </si>
  <si>
    <t>1% a 10%</t>
  </si>
  <si>
    <t>6.9</t>
  </si>
  <si>
    <t>Resumir modelo de operação atual (descreva como funciona o dia a dia da sua operação)</t>
  </si>
  <si>
    <t>nao</t>
  </si>
  <si>
    <t>6.10</t>
  </si>
  <si>
    <t>Quais ferramenta vocês utilizam durante a operação para gerenciar o andamento do processo (Pipefy, Excel, Trello, Asana, outras…)</t>
  </si>
  <si>
    <t>6.11</t>
  </si>
  <si>
    <t>A infraestrutura de operação está adequada para as necessidades da empresa?</t>
  </si>
  <si>
    <t>7.1</t>
  </si>
  <si>
    <t>A empresa já aplicou algum método para identificar o perfil comportamental de seus colaboradores (DISC, ISTJ, etc...)?</t>
  </si>
  <si>
    <t>7.2</t>
  </si>
  <si>
    <t>A empresa realiza avaliação de desempenho dos colaboradores?</t>
  </si>
  <si>
    <t>7.3</t>
  </si>
  <si>
    <t>A empresa possui alguma estratégia de desenvolvimento dos colaboradores?</t>
  </si>
  <si>
    <t>7.4</t>
  </si>
  <si>
    <t>A empresa sabe qual é o índice de rotatividade e absenteísmo?</t>
  </si>
  <si>
    <t>7.5</t>
  </si>
  <si>
    <r>
      <rPr>
        <rFont val="Open Sans"/>
        <color theme="1"/>
        <sz val="12.0"/>
      </rPr>
      <t xml:space="preserve">A empresa possui alguma estratégia de </t>
    </r>
    <r>
      <rPr>
        <rFont val="Open Sans"/>
        <i/>
        <color theme="1"/>
        <sz val="12.0"/>
      </rPr>
      <t>learning organization</t>
    </r>
    <r>
      <rPr>
        <rFont val="Open Sans"/>
        <color theme="1"/>
        <sz val="12.0"/>
      </rPr>
      <t>?</t>
    </r>
  </si>
  <si>
    <t>7.6</t>
  </si>
  <si>
    <t>A empresa possui processo formal de feedback ou feedfoward?</t>
  </si>
  <si>
    <t>7.7</t>
  </si>
  <si>
    <t>A empresa realiza pesquisas de satisfação interna ou de clima organzacional?</t>
  </si>
  <si>
    <t>7.8</t>
  </si>
  <si>
    <t>Os resultados encontrados nas pesquisas são tratados de forma eficiente?</t>
  </si>
  <si>
    <t>7.9</t>
  </si>
  <si>
    <t>A empresa mantém programas de bem-estar ou wellness para os colaboradores?</t>
  </si>
  <si>
    <t>7.10</t>
  </si>
  <si>
    <t>A empresa incentiva a boa convivência entre os colaboradores?</t>
  </si>
  <si>
    <t>8.1</t>
  </si>
  <si>
    <t>Quantas pessoas trabalham no administrativo (Departamento Pessoal, Contas a Pagar, Receber, etc..)?</t>
  </si>
  <si>
    <t>8.2</t>
  </si>
  <si>
    <t>O faturamento (venda e emissão de boletos ou processamento de cartões) é automatizado?</t>
  </si>
  <si>
    <t>8.3</t>
  </si>
  <si>
    <t>A empresa se enquadra em que regime: (MEI, Simples, Lucro real, Lucro presumido)</t>
  </si>
  <si>
    <t>MEI</t>
  </si>
  <si>
    <t>8.4</t>
  </si>
  <si>
    <t>A emissão de Nota Fiscal é automatizada?</t>
  </si>
  <si>
    <t>8.5</t>
  </si>
  <si>
    <t>A sua empresa segue o planejamento estratégico definido?</t>
  </si>
  <si>
    <t>8.6</t>
  </si>
  <si>
    <t>A sua empresa é lucrativa?</t>
  </si>
  <si>
    <t>8.7</t>
  </si>
  <si>
    <t>A sua empresa possui objetivos estratégicos, táticos e operacionais definidos e coerentes com o planejamento estratégico?</t>
  </si>
  <si>
    <t>8.8</t>
  </si>
  <si>
    <t>As metas são alcançadas consistentemente?</t>
  </si>
  <si>
    <t>8.9</t>
  </si>
  <si>
    <t>As pessoas trabalham felizes na sua empresa?</t>
  </si>
  <si>
    <t>8.10</t>
  </si>
  <si>
    <t>Sua empresa funcionaria bem se você se afastasse por 30 dias seguidos?</t>
  </si>
  <si>
    <t>Nota Geral</t>
  </si>
  <si>
    <t>Pontos Fortes / Pontos Fracos</t>
  </si>
  <si>
    <t>Levantamento Inicial</t>
  </si>
  <si>
    <t xml:space="preserve">Indicador </t>
  </si>
  <si>
    <t>Partes do Velocímetro</t>
  </si>
  <si>
    <t>Coseno(x)</t>
  </si>
  <si>
    <t>Seno(y)</t>
  </si>
  <si>
    <t>Mercado</t>
  </si>
  <si>
    <t>Marketing</t>
  </si>
  <si>
    <t>Operação</t>
  </si>
  <si>
    <t>Gestão de Pessoas</t>
  </si>
  <si>
    <t>Gestão</t>
  </si>
  <si>
    <t>Tranformação Digital</t>
  </si>
  <si>
    <t>Processos</t>
  </si>
  <si>
    <t>Transformação Digital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</si>
</sst>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&quot;\ * #,##0_-;\-&quot;R$&quot;\ * #,##0_-;_-&quot;R$&quot;\ * &quot;-&quot;??_-;_-@"/>
    <numFmt numFmtId="165" formatCode="_(* #,##0_);_(* \(#,##0\);_(* &quot;-&quot;??_);_(@_)"/>
    <numFmt numFmtId="166" formatCode="0.0"/>
    <numFmt numFmtId="167" formatCode="_(* #,##0.00_);_(* \(#,##0.00\);_(* &quot;-&quot;??_);_(@_)"/>
  </numFmts>
  <fonts count="46">
    <font>
      <sz val="12.0"/>
      <color theme="1"/>
      <name val="Calibri"/>
      <scheme val="minor"/>
    </font>
    <font>
      <sz val="26.0"/>
      <color theme="0"/>
      <name val="Open Sans"/>
    </font>
    <font>
      <sz val="24.0"/>
      <color theme="0"/>
      <name val="Open Sans"/>
    </font>
    <font>
      <sz val="20.0"/>
      <color theme="0"/>
      <name val="Open Sans"/>
    </font>
    <font>
      <b/>
      <sz val="28.0"/>
      <color theme="0"/>
      <name val="Open Sans"/>
    </font>
    <font/>
    <font>
      <sz val="16.0"/>
      <color rgb="FFDEEAF6"/>
      <name val="Open Sans"/>
    </font>
    <font>
      <b/>
      <sz val="28.0"/>
      <color rgb="FF2EACFF"/>
      <name val="Open Sans"/>
    </font>
    <font>
      <sz val="12.0"/>
      <color rgb="FFDEEAF6"/>
      <name val="Open Sans"/>
    </font>
    <font>
      <sz val="12.0"/>
      <color theme="1"/>
      <name val="Open Sans"/>
    </font>
    <font>
      <b/>
      <sz val="18.0"/>
      <color theme="1"/>
      <name val="Open Sans"/>
    </font>
    <font>
      <sz val="14.0"/>
      <color theme="1"/>
      <name val="Open Sans"/>
    </font>
    <font>
      <b/>
      <sz val="14.0"/>
      <color theme="1"/>
      <name val="Open Sans"/>
    </font>
    <font>
      <sz val="16.0"/>
      <color theme="1"/>
      <name val="Open Sans"/>
    </font>
    <font>
      <sz val="16.0"/>
      <color theme="0"/>
      <name val="Open Sans"/>
    </font>
    <font>
      <b/>
      <sz val="16.0"/>
      <color rgb="FFFFD579"/>
      <name val="Open Sans"/>
    </font>
    <font>
      <b/>
      <sz val="16.0"/>
      <color theme="0"/>
      <name val="Open Sans"/>
    </font>
    <font>
      <b/>
      <sz val="16.0"/>
      <color theme="1"/>
      <name val="Open Sans"/>
    </font>
    <font>
      <sz val="16.0"/>
      <color rgb="FF000000"/>
      <name val="Open Sans"/>
    </font>
    <font>
      <b/>
      <sz val="14.0"/>
      <color rgb="FF000000"/>
      <name val="Open Sans"/>
    </font>
    <font>
      <b/>
      <sz val="16.0"/>
      <color rgb="FF000000"/>
      <name val="Open Sans"/>
    </font>
    <font>
      <u/>
      <sz val="12.0"/>
      <color theme="10"/>
      <name val="Open Sans"/>
    </font>
    <font>
      <u/>
      <sz val="12.0"/>
      <color rgb="FF0000FF"/>
      <name val="Open Sans"/>
    </font>
    <font>
      <b/>
      <sz val="12.0"/>
      <color theme="1"/>
      <name val="Open Sans"/>
    </font>
    <font>
      <sz val="12.0"/>
      <color theme="0"/>
      <name val="Open Sans"/>
    </font>
    <font>
      <sz val="12.0"/>
      <color rgb="FFFF0000"/>
      <name val="Open Sans"/>
    </font>
    <font>
      <b/>
      <sz val="16.0"/>
      <color rgb="FFFF0000"/>
      <name val="Open Sans"/>
    </font>
    <font>
      <sz val="12.0"/>
      <color rgb="FFFFFFFF"/>
      <name val="Open Sans"/>
    </font>
    <font>
      <sz val="16.0"/>
      <color rgb="FFFFFFFF"/>
      <name val="Open Sans"/>
    </font>
    <font>
      <b/>
      <sz val="16.0"/>
      <color rgb="FFFFFFFF"/>
      <name val="Open Sans"/>
    </font>
    <font>
      <sz val="16.0"/>
      <color rgb="FFFF0000"/>
      <name val="Open Sans"/>
    </font>
    <font>
      <b/>
      <sz val="12.0"/>
      <color rgb="FFFF0000"/>
      <name val="Open Sans"/>
    </font>
    <font>
      <sz val="12.0"/>
      <color rgb="FF00B050"/>
      <name val="Open Sans"/>
    </font>
    <font>
      <sz val="12.0"/>
      <color rgb="FF65C634"/>
      <name val="Open Sans"/>
    </font>
    <font>
      <sz val="14.0"/>
      <color rgb="FF000000"/>
      <name val="Open Sans"/>
    </font>
    <font>
      <sz val="12.0"/>
      <color theme="1"/>
      <name val="Calibri"/>
    </font>
    <font>
      <b/>
      <sz val="22.0"/>
      <color theme="1"/>
      <name val="Open Sans"/>
    </font>
    <font>
      <sz val="10.0"/>
      <color theme="1"/>
      <name val="Calibri"/>
    </font>
    <font>
      <sz val="10.0"/>
      <color rgb="FFF2F2F2"/>
      <name val="Calibri"/>
    </font>
    <font>
      <sz val="12.0"/>
      <color rgb="FFF2F2F2"/>
      <name val="Calibri"/>
    </font>
    <font>
      <sz val="12.0"/>
      <color rgb="FFFF0000"/>
      <name val="Calibri"/>
    </font>
    <font>
      <sz val="14.0"/>
      <color rgb="FFFF0000"/>
      <name val="Calibri"/>
    </font>
    <font>
      <b/>
      <sz val="14.0"/>
      <color rgb="FFFF0000"/>
      <name val="Calibri"/>
    </font>
    <font>
      <sz val="16.0"/>
      <color rgb="FFFF0000"/>
      <name val="Calibri"/>
    </font>
    <font>
      <b/>
      <sz val="18.0"/>
      <color theme="1"/>
      <name val="Calibri"/>
    </font>
    <font>
      <b/>
      <sz val="10.0"/>
      <color rgb="FFF2F2F2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  <fill>
      <patternFill patternType="solid">
        <fgColor rgb="FF175680"/>
        <bgColor rgb="FF175680"/>
      </patternFill>
    </fill>
    <fill>
      <patternFill patternType="solid">
        <fgColor rgb="FFF2F2F2"/>
        <bgColor rgb="FFF2F2F2"/>
      </patternFill>
    </fill>
  </fills>
  <borders count="24">
    <border/>
    <border>
      <left/>
      <right/>
      <top/>
      <bottom style="hair">
        <color rgb="FFDEEAF6"/>
      </bottom>
    </border>
    <border>
      <left/>
      <right/>
      <top/>
      <bottom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</border>
    <border>
      <left/>
      <top/>
    </border>
    <border>
      <top/>
    </border>
    <border>
      <left/>
    </border>
    <border>
      <left/>
      <top/>
      <bottom/>
    </border>
    <border>
      <top/>
      <bottom/>
    </border>
    <border>
      <left style="hair">
        <color rgb="FF7F7F7F"/>
      </left>
      <top style="hair">
        <color rgb="FF7F7F7F"/>
      </top>
      <bottom style="hair">
        <color rgb="FF7F7F7F"/>
      </bottom>
    </border>
    <border>
      <top style="hair">
        <color rgb="FF7F7F7F"/>
      </top>
      <bottom style="hair">
        <color rgb="FF7F7F7F"/>
      </bottom>
    </border>
    <border>
      <left style="hair">
        <color rgb="FF000000"/>
      </left>
      <right style="hair">
        <color rgb="FF7F7F7F"/>
      </right>
      <top style="hair">
        <color rgb="FF7F7F7F"/>
      </top>
      <bottom style="hair">
        <color rgb="FF7F7F7F"/>
      </bottom>
    </border>
    <border>
      <bottom style="hair">
        <color rgb="FF7F7F7F"/>
      </bottom>
    </border>
    <border>
      <right style="hair">
        <color rgb="FF7F7F7F"/>
      </right>
      <top style="hair">
        <color rgb="FF7F7F7F"/>
      </top>
      <bottom style="hair">
        <color rgb="FF7F7F7F"/>
      </bottom>
    </border>
    <border>
      <right style="hair">
        <color rgb="FF000000"/>
      </right>
      <top style="hair">
        <color rgb="FF7F7F7F"/>
      </top>
      <bottom style="hair">
        <color rgb="FF7F7F7F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7F7F7F"/>
      </left>
      <top style="dotted">
        <color rgb="FF7F7F7F"/>
      </top>
    </border>
    <border>
      <top style="dotted">
        <color rgb="FF7F7F7F"/>
      </top>
    </border>
    <border>
      <right style="dotted">
        <color rgb="FF7F7F7F"/>
      </right>
      <top style="dotted">
        <color rgb="FF7F7F7F"/>
      </top>
    </border>
    <border>
      <left style="dotted">
        <color rgb="FF7F7F7F"/>
      </left>
    </border>
    <border>
      <right style="dotted">
        <color rgb="FF7F7F7F"/>
      </right>
    </border>
    <border>
      <left style="dotted">
        <color rgb="FF7F7F7F"/>
      </left>
      <bottom style="dotted">
        <color rgb="FF7F7F7F"/>
      </bottom>
    </border>
    <border>
      <bottom style="dotted">
        <color rgb="FF7F7F7F"/>
      </bottom>
    </border>
    <border>
      <right style="dotted">
        <color rgb="FF7F7F7F"/>
      </right>
      <bottom style="dotted">
        <color rgb="FF7F7F7F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vertical="center"/>
    </xf>
    <xf borderId="3" fillId="2" fontId="3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left" shrinkToFit="0" vertical="center" wrapText="1"/>
    </xf>
    <xf borderId="5" fillId="0" fontId="5" numFmtId="0" xfId="0" applyBorder="1" applyFont="1"/>
    <xf borderId="2" fillId="2" fontId="3" numFmtId="0" xfId="0" applyAlignment="1" applyBorder="1" applyFont="1">
      <alignment horizontal="left" vertical="center"/>
    </xf>
    <xf borderId="6" fillId="0" fontId="5" numFmtId="0" xfId="0" applyBorder="1" applyFont="1"/>
    <xf borderId="2" fillId="2" fontId="6" numFmtId="0" xfId="0" applyAlignment="1" applyBorder="1" applyFont="1">
      <alignment vertical="center"/>
    </xf>
    <xf borderId="2" fillId="2" fontId="7" numFmtId="0" xfId="0" applyAlignment="1" applyBorder="1" applyFont="1">
      <alignment shrinkToFit="0" vertical="top" wrapText="1"/>
    </xf>
    <xf borderId="7" fillId="2" fontId="8" numFmtId="0" xfId="0" applyAlignment="1" applyBorder="1" applyFont="1">
      <alignment horizontal="center" shrinkToFit="0" vertical="center" wrapText="1"/>
    </xf>
    <xf borderId="8" fillId="0" fontId="5" numFmtId="0" xfId="0" applyBorder="1" applyFont="1"/>
    <xf borderId="2" fillId="3" fontId="9" numFmtId="0" xfId="0" applyBorder="1" applyFill="1" applyFont="1"/>
    <xf borderId="7" fillId="3" fontId="10" numFmtId="0" xfId="0" applyAlignment="1" applyBorder="1" applyFont="1">
      <alignment horizontal="center" vertical="center"/>
    </xf>
    <xf borderId="2" fillId="4" fontId="9" numFmtId="0" xfId="0" applyBorder="1" applyFill="1" applyFont="1"/>
    <xf borderId="7" fillId="4" fontId="11" numFmtId="0" xfId="0" applyAlignment="1" applyBorder="1" applyFont="1">
      <alignment horizontal="center" vertical="center"/>
    </xf>
    <xf borderId="0" fillId="0" fontId="9" numFmtId="0" xfId="0" applyFont="1"/>
    <xf borderId="0" fillId="0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3" numFmtId="0" xfId="0" applyAlignment="1" applyFont="1">
      <alignment shrinkToFit="0" wrapText="1"/>
    </xf>
    <xf borderId="0" fillId="0" fontId="14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5" numFmtId="0" xfId="0" applyAlignment="1" applyFont="1">
      <alignment horizontal="center" vertical="center"/>
    </xf>
    <xf borderId="0" fillId="0" fontId="16" numFmtId="9" xfId="0" applyAlignment="1" applyFont="1" applyNumberForma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vertical="center"/>
    </xf>
    <xf borderId="0" fillId="0" fontId="13" numFmtId="0" xfId="0" applyFont="1"/>
    <xf borderId="9" fillId="0" fontId="12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left" shrinkToFit="0" vertical="center" wrapText="1"/>
    </xf>
    <xf borderId="11" fillId="0" fontId="17" numFmtId="0" xfId="0" applyAlignment="1" applyBorder="1" applyFont="1">
      <alignment horizontal="center" shrinkToFit="0" vertical="center" wrapText="1"/>
    </xf>
    <xf borderId="0" fillId="0" fontId="18" numFmtId="0" xfId="0" applyFont="1"/>
    <xf borderId="12" fillId="0" fontId="12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left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11" fillId="0" fontId="17" numFmtId="164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0" numFmtId="0" xfId="0" applyAlignment="1" applyFont="1">
      <alignment vertical="center"/>
    </xf>
    <xf borderId="0" fillId="0" fontId="9" numFmtId="1" xfId="0" applyFont="1" applyNumberFormat="1"/>
    <xf borderId="0" fillId="0" fontId="12" numFmtId="0" xfId="0" applyFont="1"/>
    <xf borderId="0" fillId="0" fontId="9" numFmtId="1" xfId="0" applyAlignment="1" applyFont="1" applyNumberFormat="1">
      <alignment horizontal="center"/>
    </xf>
    <xf borderId="0" fillId="0" fontId="19" numFmtId="0" xfId="0" applyAlignment="1" applyFont="1">
      <alignment horizontal="left" vertical="center"/>
    </xf>
    <xf borderId="0" fillId="0" fontId="16" numFmtId="9" xfId="0" applyAlignment="1" applyFont="1" applyNumberFormat="1">
      <alignment horizontal="center" vertical="center"/>
    </xf>
    <xf borderId="0" fillId="0" fontId="14" numFmtId="1" xfId="0" applyAlignment="1" applyFont="1" applyNumberFormat="1">
      <alignment horizontal="center"/>
    </xf>
    <xf borderId="0" fillId="0" fontId="14" numFmtId="0" xfId="0" applyFont="1"/>
    <xf borderId="0" fillId="0" fontId="13" numFmtId="0" xfId="0" applyAlignment="1" applyFont="1">
      <alignment horizontal="center" shrinkToFit="0" vertical="center" wrapText="1"/>
    </xf>
    <xf borderId="13" fillId="0" fontId="5" numFmtId="0" xfId="0" applyBorder="1" applyFont="1"/>
    <xf borderId="9" fillId="0" fontId="12" numFmtId="0" xfId="0" applyAlignment="1" applyBorder="1" applyFont="1">
      <alignment horizontal="left" shrinkToFit="0" vertical="top" wrapText="1"/>
    </xf>
    <xf borderId="10" fillId="0" fontId="5" numFmtId="0" xfId="0" applyBorder="1" applyFont="1"/>
    <xf borderId="11" fillId="0" fontId="17" numFmtId="9" xfId="0" applyAlignment="1" applyBorder="1" applyFont="1" applyNumberFormat="1">
      <alignment horizontal="center" shrinkToFit="0" vertical="center" wrapText="1"/>
    </xf>
    <xf borderId="13" fillId="0" fontId="17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horizontal="left" vertical="top"/>
    </xf>
    <xf borderId="0" fillId="0" fontId="20" numFmtId="0" xfId="0" applyAlignment="1" applyFont="1">
      <alignment horizontal="center" vertical="center"/>
    </xf>
    <xf borderId="0" fillId="0" fontId="21" numFmtId="0" xfId="0" applyFont="1"/>
    <xf borderId="10" fillId="0" fontId="22" numFmtId="0" xfId="0" applyAlignment="1" applyBorder="1" applyFont="1">
      <alignment vertical="center"/>
    </xf>
    <xf borderId="11" fillId="0" fontId="17" numFmtId="165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14" fillId="0" fontId="9" numFmtId="0" xfId="0" applyAlignment="1" applyBorder="1" applyFont="1">
      <alignment horizontal="left" shrinkToFit="0" vertical="center" wrapText="1"/>
    </xf>
    <xf borderId="11" fillId="0" fontId="23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vertical="center"/>
    </xf>
    <xf borderId="0" fillId="0" fontId="9" numFmtId="1" xfId="0" applyAlignment="1" applyFont="1" applyNumberFormat="1">
      <alignment horizontal="center" vertical="center"/>
    </xf>
    <xf borderId="11" fillId="0" fontId="12" numFmtId="165" xfId="0" applyAlignment="1" applyBorder="1" applyFont="1" applyNumberFormat="1">
      <alignment horizontal="center" shrinkToFit="0" vertical="center" wrapText="1"/>
    </xf>
    <xf borderId="15" fillId="0" fontId="12" numFmtId="9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11" fillId="0" fontId="12" numFmtId="165" xfId="0" applyAlignment="1" applyBorder="1" applyFont="1" applyNumberFormat="1">
      <alignment horizontal="center" vertical="center"/>
    </xf>
    <xf borderId="15" fillId="0" fontId="12" numFmtId="9" xfId="0" applyAlignment="1" applyBorder="1" applyFont="1" applyNumberFormat="1">
      <alignment horizontal="center" vertical="center"/>
    </xf>
    <xf borderId="0" fillId="0" fontId="24" numFmtId="0" xfId="0" applyAlignment="1" applyFont="1">
      <alignment horizontal="left" shrinkToFit="0" vertical="center" wrapText="1"/>
    </xf>
    <xf borderId="0" fillId="0" fontId="9" numFmtId="2" xfId="0" applyFont="1" applyNumberFormat="1"/>
    <xf borderId="2" fillId="4" fontId="25" numFmtId="0" xfId="0" applyBorder="1" applyFont="1"/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6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vertical="center"/>
    </xf>
    <xf borderId="0" fillId="0" fontId="25" numFmtId="0" xfId="0" applyFont="1"/>
    <xf borderId="2" fillId="4" fontId="27" numFmtId="0" xfId="0" applyBorder="1" applyFont="1"/>
    <xf borderId="0" fillId="0" fontId="28" numFmtId="0" xfId="0" applyAlignment="1" applyFont="1">
      <alignment shrinkToFit="0" wrapText="1"/>
    </xf>
    <xf borderId="0" fillId="0" fontId="29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left" vertical="center"/>
    </xf>
    <xf borderId="0" fillId="0" fontId="20" numFmtId="0" xfId="0" applyAlignment="1" applyFont="1">
      <alignment horizontal="left" vertical="center"/>
    </xf>
    <xf borderId="0" fillId="0" fontId="28" numFmtId="0" xfId="0" applyFont="1"/>
    <xf borderId="0" fillId="0" fontId="27" numFmtId="0" xfId="0" applyFont="1"/>
    <xf borderId="0" fillId="0" fontId="30" numFmtId="0" xfId="0" applyAlignment="1" applyFont="1">
      <alignment shrinkToFit="0" wrapText="1"/>
    </xf>
    <xf borderId="0" fillId="0" fontId="31" numFmtId="0" xfId="0" applyFont="1"/>
    <xf borderId="0" fillId="0" fontId="30" numFmtId="0" xfId="0" applyFont="1"/>
    <xf borderId="0" fillId="0" fontId="32" numFmtId="0" xfId="0" applyFont="1"/>
    <xf borderId="0" fillId="0" fontId="33" numFmtId="0" xfId="0" applyAlignment="1" applyFont="1">
      <alignment horizontal="left" shrinkToFit="0" vertical="center" wrapText="1"/>
    </xf>
    <xf borderId="0" fillId="0" fontId="34" numFmtId="0" xfId="0" applyAlignment="1" applyFont="1">
      <alignment horizontal="left" vertical="center"/>
    </xf>
    <xf borderId="2" fillId="3" fontId="35" numFmtId="0" xfId="0" applyBorder="1" applyFont="1"/>
    <xf borderId="7" fillId="3" fontId="36" numFmtId="0" xfId="0" applyAlignment="1" applyBorder="1" applyFont="1">
      <alignment horizontal="center" vertical="center"/>
    </xf>
    <xf borderId="2" fillId="3" fontId="37" numFmtId="0" xfId="0" applyBorder="1" applyFont="1"/>
    <xf borderId="2" fillId="5" fontId="38" numFmtId="0" xfId="0" applyBorder="1" applyFill="1" applyFont="1"/>
    <xf borderId="2" fillId="5" fontId="39" numFmtId="0" xfId="0" applyBorder="1" applyFont="1"/>
    <xf borderId="2" fillId="4" fontId="35" numFmtId="0" xfId="0" applyBorder="1" applyFont="1"/>
    <xf borderId="2" fillId="4" fontId="40" numFmtId="0" xfId="0" applyBorder="1" applyFont="1"/>
    <xf borderId="2" fillId="4" fontId="37" numFmtId="0" xfId="0" applyBorder="1" applyFont="1"/>
    <xf borderId="7" fillId="4" fontId="41" numFmtId="0" xfId="0" applyAlignment="1" applyBorder="1" applyFont="1">
      <alignment horizontal="center" vertical="center"/>
    </xf>
    <xf borderId="0" fillId="0" fontId="35" numFmtId="0" xfId="0" applyFont="1"/>
    <xf borderId="0" fillId="0" fontId="40" numFmtId="0" xfId="0" applyFont="1"/>
    <xf borderId="0" fillId="0" fontId="42" numFmtId="0" xfId="0" applyAlignment="1" applyFont="1">
      <alignment horizontal="center" vertical="center"/>
    </xf>
    <xf borderId="0" fillId="0" fontId="40" numFmtId="0" xfId="0" applyAlignment="1" applyFont="1">
      <alignment horizontal="center" vertical="center"/>
    </xf>
    <xf borderId="0" fillId="0" fontId="43" numFmtId="0" xfId="0" applyAlignment="1" applyFont="1">
      <alignment shrinkToFit="0" wrapText="1"/>
    </xf>
    <xf borderId="0" fillId="0" fontId="43" numFmtId="0" xfId="0" applyFont="1"/>
    <xf borderId="0" fillId="0" fontId="40" numFmtId="1" xfId="0" applyAlignment="1" applyFont="1" applyNumberFormat="1">
      <alignment horizontal="center"/>
    </xf>
    <xf borderId="0" fillId="0" fontId="37" numFmtId="0" xfId="0" applyFont="1"/>
    <xf borderId="0" fillId="0" fontId="40" numFmtId="0" xfId="0" applyAlignment="1" applyFont="1">
      <alignment horizontal="right"/>
    </xf>
    <xf borderId="0" fillId="0" fontId="42" numFmtId="0" xfId="0" applyFont="1"/>
    <xf borderId="0" fillId="0" fontId="40" numFmtId="1" xfId="0" applyFont="1" applyNumberFormat="1"/>
    <xf borderId="16" fillId="0" fontId="10" numFmtId="0" xfId="0" applyAlignment="1" applyBorder="1" applyFont="1">
      <alignment horizontal="center" vertical="center"/>
    </xf>
    <xf borderId="17" fillId="0" fontId="5" numFmtId="0" xfId="0" applyBorder="1" applyFont="1"/>
    <xf borderId="18" fillId="0" fontId="5" numFmtId="0" xfId="0" applyBorder="1" applyFont="1"/>
    <xf borderId="0" fillId="0" fontId="44" numFmtId="0" xfId="0" applyAlignment="1" applyFont="1">
      <alignment vertical="center"/>
    </xf>
    <xf borderId="19" fillId="0" fontId="40" numFmtId="0" xfId="0" applyBorder="1" applyFont="1"/>
    <xf borderId="20" fillId="0" fontId="40" numFmtId="0" xfId="0" applyBorder="1" applyFont="1"/>
    <xf borderId="20" fillId="0" fontId="40" numFmtId="1" xfId="0" applyBorder="1" applyFont="1" applyNumberFormat="1"/>
    <xf borderId="2" fillId="5" fontId="38" numFmtId="166" xfId="0" applyBorder="1" applyFont="1" applyNumberFormat="1"/>
    <xf borderId="2" fillId="5" fontId="45" numFmtId="9" xfId="0" applyBorder="1" applyFont="1" applyNumberFormat="1"/>
    <xf borderId="2" fillId="5" fontId="38" numFmtId="167" xfId="0" applyAlignment="1" applyBorder="1" applyFont="1" applyNumberFormat="1">
      <alignment horizontal="left"/>
    </xf>
    <xf borderId="19" fillId="0" fontId="43" numFmtId="0" xfId="0" applyBorder="1" applyFont="1"/>
    <xf borderId="21" fillId="0" fontId="40" numFmtId="0" xfId="0" applyBorder="1" applyFont="1"/>
    <xf borderId="22" fillId="0" fontId="40" numFmtId="0" xfId="0" applyBorder="1" applyFont="1"/>
    <xf borderId="22" fillId="0" fontId="42" numFmtId="0" xfId="0" applyBorder="1" applyFont="1"/>
    <xf borderId="23" fillId="0" fontId="40" numFmtId="0" xfId="0" applyBorder="1" applyFont="1"/>
    <xf borderId="21" fillId="0" fontId="43" numFmtId="0" xfId="0" applyBorder="1" applyFont="1"/>
    <xf borderId="22" fillId="0" fontId="43" numFmtId="0" xfId="0" applyBorder="1" applyFont="1"/>
    <xf borderId="23" fillId="0" fontId="40" numFmtId="1" xfId="0" applyBorder="1" applyFont="1" applyNumberFormat="1"/>
    <xf borderId="2" fillId="5" fontId="39" numFmtId="0" xfId="0" applyAlignment="1" applyBorder="1" applyFont="1">
      <alignment vertical="center"/>
    </xf>
    <xf borderId="2" fillId="5" fontId="38" numFmtId="0" xfId="0" applyAlignment="1" applyBorder="1" applyFont="1">
      <alignment vertical="center"/>
    </xf>
    <xf borderId="19" fillId="0" fontId="42" numFmtId="0" xfId="0" applyBorder="1" applyFont="1"/>
    <xf borderId="20" fillId="0" fontId="43" numFmtId="0" xfId="0" applyBorder="1" applyFont="1"/>
    <xf borderId="21" fillId="0" fontId="42" numFmtId="0" xfId="0" applyBorder="1" applyFont="1"/>
    <xf borderId="23" fillId="0" fontId="43" numFmtId="0" xfId="0" applyBorder="1" applyFont="1"/>
    <xf borderId="2" fillId="5" fontId="38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517621665123326"/>
          <c:y val="0.0013692949633695207"/>
          <c:w val="0.7499219445230968"/>
          <c:h val="1.0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1"/>
              </a:solidFill>
            </c:spPr>
          </c:dPt>
          <c:dPt>
            <c:idx val="2"/>
            <c:spPr>
              <a:solidFill>
                <a:schemeClr val="accent1"/>
              </a:solidFill>
            </c:spPr>
          </c:dPt>
          <c:dPt>
            <c:idx val="3"/>
            <c:spPr>
              <a:solidFill>
                <a:schemeClr val="accent1"/>
              </a:solidFill>
            </c:spPr>
          </c:dPt>
          <c:dPt>
            <c:idx val="4"/>
            <c:spPr>
              <a:solidFill>
                <a:schemeClr val="accent1"/>
              </a:solidFill>
            </c:spPr>
          </c:dPt>
          <c:dPt>
            <c:idx val="5"/>
            <c:spPr>
              <a:solidFill>
                <a:schemeClr val="accent1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1"/>
              </a:solidFill>
            </c:spPr>
          </c:dPt>
          <c:dPt>
            <c:idx val="8"/>
            <c:spPr>
              <a:solidFill>
                <a:schemeClr val="accent1"/>
              </a:solidFill>
            </c:spPr>
          </c:dPt>
          <c:dPt>
            <c:idx val="9"/>
            <c:spPr>
              <a:solidFill>
                <a:schemeClr val="accent1"/>
              </a:solidFill>
            </c:spPr>
          </c:dPt>
          <c:dPt>
            <c:idx val="10"/>
            <c:spPr>
              <a:solidFill>
                <a:schemeClr val="accent1"/>
              </a:solidFill>
            </c:spPr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Resultado!$AM$14:$AM$25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8"/>
      </c:doughnut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582633420822397"/>
          <c:y val="0.05092592592592592"/>
          <c:w val="0.9020139982502188"/>
          <c:h val="0.7697670788169453"/>
        </c:manualLayout>
      </c:layout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val>
            <c:numRef>
              <c:f>Resultado!$AF$36</c:f>
              <c:numCache/>
            </c:numRef>
          </c:val>
        </c:ser>
        <c:axId val="765109932"/>
        <c:axId val="1031258402"/>
      </c:barChart>
      <c:catAx>
        <c:axId val="7651099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31258402"/>
      </c:catAx>
      <c:valAx>
        <c:axId val="1031258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Open Sans"/>
              </a:defRPr>
            </a:pPr>
          </a:p>
        </c:txPr>
        <c:crossAx val="765109932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Resultado!$AE$14:$AE$21</c:f>
            </c:strRef>
          </c:cat>
          <c:val>
            <c:numRef>
              <c:f>Resultado!$AF$14:$AF$21</c:f>
              <c:numCache/>
            </c:numRef>
          </c:val>
          <c:smooth val="1"/>
        </c:ser>
        <c:axId val="994617134"/>
        <c:axId val="1517270178"/>
      </c:radarChart>
      <c:catAx>
        <c:axId val="9946171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270178"/>
      </c:catAx>
      <c:valAx>
        <c:axId val="15172701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461713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hyperlink" Target="#Mercado!A1" TargetMode="External"/><Relationship Id="rId3" Type="http://schemas.openxmlformats.org/officeDocument/2006/relationships/hyperlink" Target="#Marketing!A1" TargetMode="External"/><Relationship Id="rId4" Type="http://schemas.openxmlformats.org/officeDocument/2006/relationships/hyperlink" Target="#Vendas!A1" TargetMode="External"/><Relationship Id="rId10" Type="http://schemas.openxmlformats.org/officeDocument/2006/relationships/image" Target="../media/image2.png"/><Relationship Id="rId9" Type="http://schemas.openxmlformats.org/officeDocument/2006/relationships/hyperlink" Target="#'Gest&#227;o%20de%20Pessoas'!A1" TargetMode="External"/><Relationship Id="rId5" Type="http://schemas.openxmlformats.org/officeDocument/2006/relationships/hyperlink" Target="#Opera&#231;&#227;o!A1" TargetMode="External"/><Relationship Id="rId6" Type="http://schemas.openxmlformats.org/officeDocument/2006/relationships/hyperlink" Target="#Gest&#227;o!A1" TargetMode="External"/><Relationship Id="rId7" Type="http://schemas.openxmlformats.org/officeDocument/2006/relationships/hyperlink" Target="#Resultado!A1" TargetMode="External"/><Relationship Id="rId8" Type="http://schemas.openxmlformats.org/officeDocument/2006/relationships/hyperlink" Target="#Processos!A1" TargetMode="Externa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RXXWV7PM3V4" TargetMode="External"/><Relationship Id="rId2" Type="http://schemas.openxmlformats.org/officeDocument/2006/relationships/hyperlink" Target="#'Levantamento%20inicial'!A1" TargetMode="External"/><Relationship Id="rId3" Type="http://schemas.openxmlformats.org/officeDocument/2006/relationships/hyperlink" Target="#Processos!A1" TargetMode="External"/><Relationship Id="rId4" Type="http://schemas.openxmlformats.org/officeDocument/2006/relationships/hyperlink" Target="#Marketing!A1" TargetMode="External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H5EE8i2EcP0" TargetMode="External"/><Relationship Id="rId2" Type="http://schemas.openxmlformats.org/officeDocument/2006/relationships/hyperlink" Target="#'Levantamento%20inicial'!A1" TargetMode="External"/><Relationship Id="rId3" Type="http://schemas.openxmlformats.org/officeDocument/2006/relationships/hyperlink" Target="#Mercado!A1" TargetMode="External"/><Relationship Id="rId4" Type="http://schemas.openxmlformats.org/officeDocument/2006/relationships/hyperlink" Target="#Marketing!A1" TargetMode="External"/><Relationship Id="rId10" Type="http://schemas.openxmlformats.org/officeDocument/2006/relationships/image" Target="../media/image2.png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playlist?list=PLVcmGQlmrzDoebHg6MhBJLnAGCHAlC1UY" TargetMode="External"/><Relationship Id="rId2" Type="http://schemas.openxmlformats.org/officeDocument/2006/relationships/hyperlink" Target="#'Levantamento%20inicial'!A1" TargetMode="External"/><Relationship Id="rId3" Type="http://schemas.openxmlformats.org/officeDocument/2006/relationships/hyperlink" Target="#Mercado!A1" TargetMode="External"/><Relationship Id="rId4" Type="http://schemas.openxmlformats.org/officeDocument/2006/relationships/hyperlink" Target="#Processos!A1" TargetMode="External"/><Relationship Id="rId11" Type="http://schemas.openxmlformats.org/officeDocument/2006/relationships/image" Target="../media/image2.png"/><Relationship Id="rId10" Type="http://schemas.openxmlformats.org/officeDocument/2006/relationships/image" Target="../media/image3.png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hyperlink" Target="#Mercado!A1" TargetMode="External"/><Relationship Id="rId3" Type="http://schemas.openxmlformats.org/officeDocument/2006/relationships/hyperlink" Target="#Processos!A1" TargetMode="External"/><Relationship Id="rId4" Type="http://schemas.openxmlformats.org/officeDocument/2006/relationships/hyperlink" Target="#Marketing!A1" TargetMode="External"/><Relationship Id="rId9" Type="http://schemas.openxmlformats.org/officeDocument/2006/relationships/image" Target="../media/image2.png"/><Relationship Id="rId5" Type="http://schemas.openxmlformats.org/officeDocument/2006/relationships/hyperlink" Target="#Opera&#231;&#227;o!A1" TargetMode="External"/><Relationship Id="rId6" Type="http://schemas.openxmlformats.org/officeDocument/2006/relationships/hyperlink" Target="#'Gest&#227;o%20de%20Pessoas'!A1" TargetMode="External"/><Relationship Id="rId7" Type="http://schemas.openxmlformats.org/officeDocument/2006/relationships/hyperlink" Target="#Gest&#227;o!A1" TargetMode="External"/><Relationship Id="rId8" Type="http://schemas.openxmlformats.org/officeDocument/2006/relationships/hyperlink" Target="#Resultado!A1" TargetMode="Externa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hyperlink" Target="#Mercado!A1" TargetMode="External"/><Relationship Id="rId3" Type="http://schemas.openxmlformats.org/officeDocument/2006/relationships/hyperlink" Target="#Processos!A1" TargetMode="External"/><Relationship Id="rId4" Type="http://schemas.openxmlformats.org/officeDocument/2006/relationships/hyperlink" Target="#Marketing!A1" TargetMode="External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hyperlink" Target="#Mercado!A1" TargetMode="External"/><Relationship Id="rId3" Type="http://schemas.openxmlformats.org/officeDocument/2006/relationships/hyperlink" Target="#Processos!A1" TargetMode="External"/><Relationship Id="rId4" Type="http://schemas.openxmlformats.org/officeDocument/2006/relationships/hyperlink" Target="#Marketing!A1" TargetMode="External"/><Relationship Id="rId10" Type="http://schemas.openxmlformats.org/officeDocument/2006/relationships/hyperlink" Target="https://youtu.be/v3PcNokf80k" TargetMode="External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hyperlink" Target="#'Levantamento%20inicial'!A1" TargetMode="External"/><Relationship Id="rId2" Type="http://schemas.openxmlformats.org/officeDocument/2006/relationships/hyperlink" Target="#Mercado!A1" TargetMode="External"/><Relationship Id="rId3" Type="http://schemas.openxmlformats.org/officeDocument/2006/relationships/hyperlink" Target="#Processos!A1" TargetMode="External"/><Relationship Id="rId4" Type="http://schemas.openxmlformats.org/officeDocument/2006/relationships/hyperlink" Target="#Marketing!A1" TargetMode="External"/><Relationship Id="rId10" Type="http://schemas.openxmlformats.org/officeDocument/2006/relationships/image" Target="../media/image2.png"/><Relationship Id="rId9" Type="http://schemas.openxmlformats.org/officeDocument/2006/relationships/hyperlink" Target="#Resultado!A1" TargetMode="External"/><Relationship Id="rId5" Type="http://schemas.openxmlformats.org/officeDocument/2006/relationships/hyperlink" Target="#Vendas!A1" TargetMode="External"/><Relationship Id="rId6" Type="http://schemas.openxmlformats.org/officeDocument/2006/relationships/hyperlink" Target="#Opera&#231;&#227;o!A1" TargetMode="External"/><Relationship Id="rId7" Type="http://schemas.openxmlformats.org/officeDocument/2006/relationships/hyperlink" Target="#'Gest&#227;o%20de%20Pessoas'!A1" TargetMode="External"/><Relationship Id="rId8" Type="http://schemas.openxmlformats.org/officeDocument/2006/relationships/hyperlink" Target="#Gest&#227;o!A1" TargetMode="Externa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hyperlink" Target="#'Levantamento%20inicial'!A1" TargetMode="External"/><Relationship Id="rId11" Type="http://schemas.openxmlformats.org/officeDocument/2006/relationships/hyperlink" Target="#Gest&#227;o!A1" TargetMode="External"/><Relationship Id="rId10" Type="http://schemas.openxmlformats.org/officeDocument/2006/relationships/hyperlink" Target="#'Gest&#227;o%20de%20Pessoas'!A1" TargetMode="External"/><Relationship Id="rId12" Type="http://schemas.openxmlformats.org/officeDocument/2006/relationships/image" Target="../media/image2.png"/><Relationship Id="rId9" Type="http://schemas.openxmlformats.org/officeDocument/2006/relationships/hyperlink" Target="#Opera&#231;&#227;o!A1" TargetMode="External"/><Relationship Id="rId5" Type="http://schemas.openxmlformats.org/officeDocument/2006/relationships/hyperlink" Target="#Mercado!A1" TargetMode="External"/><Relationship Id="rId6" Type="http://schemas.openxmlformats.org/officeDocument/2006/relationships/hyperlink" Target="#Processos!A1" TargetMode="External"/><Relationship Id="rId7" Type="http://schemas.openxmlformats.org/officeDocument/2006/relationships/hyperlink" Target="#Marketing!A1" TargetMode="External"/><Relationship Id="rId8" Type="http://schemas.openxmlformats.org/officeDocument/2006/relationships/hyperlink" Target="#Vendas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1657350</xdr:colOff>
      <xdr:row>9</xdr:row>
      <xdr:rowOff>342900</xdr:rowOff>
    </xdr:from>
    <xdr:ext cx="1838325" cy="466725"/>
    <xdr:sp>
      <xdr:nvSpPr>
        <xdr:cNvPr id="3" name="Shape 3">
          <a:hlinkClick r:id="rId1"/>
        </xdr:cNvPr>
        <xdr:cNvSpPr txBox="1"/>
      </xdr:nvSpPr>
      <xdr:spPr>
        <a:xfrm>
          <a:off x="4431600" y="3551400"/>
          <a:ext cx="1828800" cy="457200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757070"/>
            </a:buClr>
            <a:buSzPts val="2000"/>
            <a:buFont typeface="Open Sans"/>
            <a:buNone/>
          </a:pPr>
          <a:r>
            <a:rPr b="1" lang="en-US" sz="2000">
              <a:solidFill>
                <a:srgbClr val="757070"/>
              </a:solidFill>
              <a:latin typeface="Open Sans"/>
              <a:ea typeface="Open Sans"/>
              <a:cs typeface="Open Sans"/>
              <a:sym typeface="Open Sans"/>
            </a:rPr>
            <a:t>Iniciar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504950" cy="15049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0</xdr:rowOff>
    </xdr:from>
    <xdr:ext cx="1209675" cy="495300"/>
    <xdr:sp>
      <xdr:nvSpPr>
        <xdr:cNvPr id="4" name="Shape 4">
          <a:hlinkClick r:id="rId1"/>
        </xdr:cNvPr>
        <xdr:cNvSpPr txBox="1"/>
      </xdr:nvSpPr>
      <xdr:spPr>
        <a:xfrm>
          <a:off x="4745925" y="3537113"/>
          <a:ext cx="1200150" cy="48577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495300</xdr:colOff>
      <xdr:row>2</xdr:row>
      <xdr:rowOff>0</xdr:rowOff>
    </xdr:from>
    <xdr:ext cx="1123950" cy="495300"/>
    <xdr:sp>
      <xdr:nvSpPr>
        <xdr:cNvPr id="5" name="Shape 5">
          <a:hlinkClick r:id="rId2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2800350</xdr:colOff>
      <xdr:row>2</xdr:row>
      <xdr:rowOff>0</xdr:rowOff>
    </xdr:from>
    <xdr:ext cx="1123950" cy="495300"/>
    <xdr:sp>
      <xdr:nvSpPr>
        <xdr:cNvPr id="6" name="Shape 6">
          <a:hlinkClick r:id="rId3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3962400</xdr:colOff>
      <xdr:row>2</xdr:row>
      <xdr:rowOff>0</xdr:rowOff>
    </xdr:from>
    <xdr:ext cx="1123950" cy="495300"/>
    <xdr:sp>
      <xdr:nvSpPr>
        <xdr:cNvPr id="7" name="Shape 7">
          <a:hlinkClick r:id="rId4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5114925</xdr:colOff>
      <xdr:row>2</xdr:row>
      <xdr:rowOff>0</xdr:rowOff>
    </xdr:from>
    <xdr:ext cx="1123950" cy="495300"/>
    <xdr:sp>
      <xdr:nvSpPr>
        <xdr:cNvPr id="8" name="Shape 8">
          <a:hlinkClick r:id="rId5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7439025</xdr:colOff>
      <xdr:row>2</xdr:row>
      <xdr:rowOff>0</xdr:rowOff>
    </xdr:from>
    <xdr:ext cx="2171700" cy="495300"/>
    <xdr:sp>
      <xdr:nvSpPr>
        <xdr:cNvPr id="9" name="Shape 9">
          <a:hlinkClick r:id="rId6"/>
        </xdr:cNvPr>
        <xdr:cNvSpPr txBox="1"/>
      </xdr:nvSpPr>
      <xdr:spPr>
        <a:xfrm>
          <a:off x="4264913" y="3537113"/>
          <a:ext cx="21621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333375</xdr:colOff>
      <xdr:row>2</xdr:row>
      <xdr:rowOff>0</xdr:rowOff>
    </xdr:from>
    <xdr:ext cx="1123950" cy="495300"/>
    <xdr:sp>
      <xdr:nvSpPr>
        <xdr:cNvPr id="10" name="Shape 10">
          <a:hlinkClick r:id="rId7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6</xdr:col>
      <xdr:colOff>9525</xdr:colOff>
      <xdr:row>13</xdr:row>
      <xdr:rowOff>390525</xdr:rowOff>
    </xdr:from>
    <xdr:ext cx="419100" cy="1276350"/>
    <xdr:sp>
      <xdr:nvSpPr>
        <xdr:cNvPr id="11" name="Shape 11"/>
        <xdr:cNvSpPr/>
      </xdr:nvSpPr>
      <xdr:spPr>
        <a:xfrm>
          <a:off x="5141213" y="3146588"/>
          <a:ext cx="409575" cy="1266825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276225</xdr:colOff>
      <xdr:row>13</xdr:row>
      <xdr:rowOff>438150</xdr:rowOff>
    </xdr:from>
    <xdr:ext cx="2181225" cy="1381125"/>
    <xdr:sp>
      <xdr:nvSpPr>
        <xdr:cNvPr id="12" name="Shape 12"/>
        <xdr:cNvSpPr txBox="1"/>
      </xdr:nvSpPr>
      <xdr:spPr>
        <a:xfrm>
          <a:off x="4260150" y="3094200"/>
          <a:ext cx="2171700" cy="1371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Caso não tenha clareza na quantidade de produtos, pense na quantidade de itens que consegue ofertar para o mercado.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219075</xdr:colOff>
      <xdr:row>4</xdr:row>
      <xdr:rowOff>9525</xdr:rowOff>
    </xdr:from>
    <xdr:ext cx="285750" cy="533400"/>
    <xdr:sp>
      <xdr:nvSpPr>
        <xdr:cNvPr id="13" name="Shape 13"/>
        <xdr:cNvSpPr/>
      </xdr:nvSpPr>
      <xdr:spPr>
        <a:xfrm>
          <a:off x="5207888" y="3518063"/>
          <a:ext cx="276225" cy="52387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1647825</xdr:colOff>
      <xdr:row>2</xdr:row>
      <xdr:rowOff>0</xdr:rowOff>
    </xdr:from>
    <xdr:ext cx="1123950" cy="495300"/>
    <xdr:sp>
      <xdr:nvSpPr>
        <xdr:cNvPr id="14" name="Shape 14">
          <a:hlinkClick r:id="rId8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6276975</xdr:colOff>
      <xdr:row>2</xdr:row>
      <xdr:rowOff>0</xdr:rowOff>
    </xdr:from>
    <xdr:ext cx="1133475" cy="495300"/>
    <xdr:sp>
      <xdr:nvSpPr>
        <xdr:cNvPr id="15" name="Shape 15">
          <a:hlinkClick r:id="rId9"/>
        </xdr:cNvPr>
        <xdr:cNvSpPr txBox="1"/>
      </xdr:nvSpPr>
      <xdr:spPr>
        <a:xfrm>
          <a:off x="4784025" y="3537113"/>
          <a:ext cx="1123950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400"/>
        </a:p>
      </xdr:txBody>
    </xdr:sp>
    <xdr:clientData fLocksWithSheet="0"/>
  </xdr:oneCellAnchor>
  <xdr:oneCellAnchor>
    <xdr:from>
      <xdr:col>6</xdr:col>
      <xdr:colOff>504825</xdr:colOff>
      <xdr:row>2</xdr:row>
      <xdr:rowOff>0</xdr:rowOff>
    </xdr:from>
    <xdr:ext cx="1304925" cy="495300"/>
    <xdr:sp>
      <xdr:nvSpPr>
        <xdr:cNvPr id="16" name="Shape 16"/>
        <xdr:cNvSpPr txBox="1"/>
      </xdr:nvSpPr>
      <xdr:spPr>
        <a:xfrm>
          <a:off x="4698300" y="3537113"/>
          <a:ext cx="1295400" cy="48577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8</xdr:col>
      <xdr:colOff>504825</xdr:colOff>
      <xdr:row>1</xdr:row>
      <xdr:rowOff>76200</xdr:rowOff>
    </xdr:from>
    <xdr:ext cx="2543175" cy="800100"/>
    <xdr:pic>
      <xdr:nvPicPr>
        <xdr:cNvPr descr="Uma imagem contendo desenho&#10;&#10;Descrição gerada automaticamente" id="0" name="image2.png" title="Imagem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</xdr:row>
      <xdr:rowOff>0</xdr:rowOff>
    </xdr:from>
    <xdr:ext cx="419100" cy="1333500"/>
    <xdr:sp>
      <xdr:nvSpPr>
        <xdr:cNvPr id="17" name="Shape 17"/>
        <xdr:cNvSpPr/>
      </xdr:nvSpPr>
      <xdr:spPr>
        <a:xfrm>
          <a:off x="5141213" y="3118013"/>
          <a:ext cx="409575" cy="1323975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257175</xdr:colOff>
      <xdr:row>7</xdr:row>
      <xdr:rowOff>9525</xdr:rowOff>
    </xdr:from>
    <xdr:ext cx="1990725" cy="1276350"/>
    <xdr:sp>
      <xdr:nvSpPr>
        <xdr:cNvPr id="18" name="Shape 18">
          <a:hlinkClick r:id="rId1"/>
        </xdr:cNvPr>
        <xdr:cNvSpPr txBox="1"/>
      </xdr:nvSpPr>
      <xdr:spPr>
        <a:xfrm>
          <a:off x="4355400" y="3146588"/>
          <a:ext cx="1981200" cy="12668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Se ainda não definiu o seu PCI (perfil de cliente ideal) e precisa de ajuda com isso clique aqui e entenda um pouco mais sobre o tema!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0</xdr:colOff>
      <xdr:row>10</xdr:row>
      <xdr:rowOff>0</xdr:rowOff>
    </xdr:from>
    <xdr:ext cx="419100" cy="542925"/>
    <xdr:sp>
      <xdr:nvSpPr>
        <xdr:cNvPr id="19" name="Shape 19"/>
        <xdr:cNvSpPr/>
      </xdr:nvSpPr>
      <xdr:spPr>
        <a:xfrm>
          <a:off x="5141213" y="3513300"/>
          <a:ext cx="409575" cy="533400"/>
        </a:xfrm>
        <a:prstGeom prst="leftBrace">
          <a:avLst>
            <a:gd fmla="val 15824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285750</xdr:colOff>
      <xdr:row>10</xdr:row>
      <xdr:rowOff>0</xdr:rowOff>
    </xdr:from>
    <xdr:ext cx="1990725" cy="533400"/>
    <xdr:sp>
      <xdr:nvSpPr>
        <xdr:cNvPr id="20" name="Shape 20"/>
        <xdr:cNvSpPr txBox="1"/>
      </xdr:nvSpPr>
      <xdr:spPr>
        <a:xfrm>
          <a:off x="4355400" y="3518063"/>
          <a:ext cx="1981200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Considerar o resultado acumulado. 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228600</xdr:colOff>
      <xdr:row>4</xdr:row>
      <xdr:rowOff>19050</xdr:rowOff>
    </xdr:from>
    <xdr:ext cx="285750" cy="533400"/>
    <xdr:sp>
      <xdr:nvSpPr>
        <xdr:cNvPr id="13" name="Shape 13"/>
        <xdr:cNvSpPr/>
      </xdr:nvSpPr>
      <xdr:spPr>
        <a:xfrm>
          <a:off x="5207888" y="3518063"/>
          <a:ext cx="276225" cy="52387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0</xdr:colOff>
      <xdr:row>2</xdr:row>
      <xdr:rowOff>0</xdr:rowOff>
    </xdr:from>
    <xdr:ext cx="1209675" cy="495300"/>
    <xdr:sp>
      <xdr:nvSpPr>
        <xdr:cNvPr id="21" name="Shape 21">
          <a:hlinkClick r:id="rId2"/>
        </xdr:cNvPr>
        <xdr:cNvSpPr txBox="1"/>
      </xdr:nvSpPr>
      <xdr:spPr>
        <a:xfrm>
          <a:off x="4745925" y="3537113"/>
          <a:ext cx="1200150" cy="4857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485775</xdr:colOff>
      <xdr:row>2</xdr:row>
      <xdr:rowOff>0</xdr:rowOff>
    </xdr:from>
    <xdr:ext cx="1123950" cy="495300"/>
    <xdr:sp>
      <xdr:nvSpPr>
        <xdr:cNvPr id="22" name="Shape 22"/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1647825</xdr:colOff>
      <xdr:row>2</xdr:row>
      <xdr:rowOff>0</xdr:rowOff>
    </xdr:from>
    <xdr:ext cx="1123950" cy="495300"/>
    <xdr:sp>
      <xdr:nvSpPr>
        <xdr:cNvPr id="23" name="Shape 23">
          <a:hlinkClick r:id="rId3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2819400</xdr:colOff>
      <xdr:row>2</xdr:row>
      <xdr:rowOff>0</xdr:rowOff>
    </xdr:from>
    <xdr:ext cx="1123950" cy="495300"/>
    <xdr:sp>
      <xdr:nvSpPr>
        <xdr:cNvPr id="24" name="Shape 24">
          <a:hlinkClick r:id="rId4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3981450</xdr:colOff>
      <xdr:row>2</xdr:row>
      <xdr:rowOff>0</xdr:rowOff>
    </xdr:from>
    <xdr:ext cx="1123950" cy="495300"/>
    <xdr:sp>
      <xdr:nvSpPr>
        <xdr:cNvPr id="25" name="Shape 25">
          <a:hlinkClick r:id="rId5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5153025</xdr:colOff>
      <xdr:row>2</xdr:row>
      <xdr:rowOff>0</xdr:rowOff>
    </xdr:from>
    <xdr:ext cx="1123950" cy="495300"/>
    <xdr:sp>
      <xdr:nvSpPr>
        <xdr:cNvPr id="26" name="Shape 26">
          <a:hlinkClick r:id="rId6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6315075</xdr:colOff>
      <xdr:row>2</xdr:row>
      <xdr:rowOff>0</xdr:rowOff>
    </xdr:from>
    <xdr:ext cx="1123950" cy="495300"/>
    <xdr:sp>
      <xdr:nvSpPr>
        <xdr:cNvPr id="27" name="Shape 27">
          <a:hlinkClick r:id="rId7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7486650</xdr:colOff>
      <xdr:row>2</xdr:row>
      <xdr:rowOff>0</xdr:rowOff>
    </xdr:from>
    <xdr:ext cx="2162175" cy="495300"/>
    <xdr:sp>
      <xdr:nvSpPr>
        <xdr:cNvPr id="28" name="Shape 28">
          <a:hlinkClick r:id="rId8"/>
        </xdr:cNvPr>
        <xdr:cNvSpPr txBox="1"/>
      </xdr:nvSpPr>
      <xdr:spPr>
        <a:xfrm>
          <a:off x="4269675" y="3537113"/>
          <a:ext cx="2152650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381000</xdr:colOff>
      <xdr:row>2</xdr:row>
      <xdr:rowOff>0</xdr:rowOff>
    </xdr:from>
    <xdr:ext cx="1123950" cy="495300"/>
    <xdr:sp>
      <xdr:nvSpPr>
        <xdr:cNvPr id="29" name="Shape 29">
          <a:hlinkClick r:id="rId9"/>
        </xdr:cNvPr>
        <xdr:cNvSpPr txBox="1"/>
      </xdr:nvSpPr>
      <xdr:spPr>
        <a:xfrm>
          <a:off x="4788788" y="3537113"/>
          <a:ext cx="111442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6</xdr:col>
      <xdr:colOff>533400</xdr:colOff>
      <xdr:row>2</xdr:row>
      <xdr:rowOff>0</xdr:rowOff>
    </xdr:from>
    <xdr:ext cx="1304925" cy="495300"/>
    <xdr:sp>
      <xdr:nvSpPr>
        <xdr:cNvPr id="30" name="Shape 30"/>
        <xdr:cNvSpPr txBox="1"/>
      </xdr:nvSpPr>
      <xdr:spPr>
        <a:xfrm>
          <a:off x="4698300" y="3537113"/>
          <a:ext cx="1295400" cy="48577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7</xdr:row>
      <xdr:rowOff>95250</xdr:rowOff>
    </xdr:from>
    <xdr:ext cx="419100" cy="1038225"/>
    <xdr:sp>
      <xdr:nvSpPr>
        <xdr:cNvPr id="31" name="Shape 31"/>
        <xdr:cNvSpPr/>
      </xdr:nvSpPr>
      <xdr:spPr>
        <a:xfrm>
          <a:off x="5141213" y="3265650"/>
          <a:ext cx="409575" cy="1028700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266700</xdr:colOff>
      <xdr:row>7</xdr:row>
      <xdr:rowOff>171450</xdr:rowOff>
    </xdr:from>
    <xdr:ext cx="1990725" cy="962025"/>
    <xdr:sp>
      <xdr:nvSpPr>
        <xdr:cNvPr id="32" name="Shape 32">
          <a:hlinkClick r:id="rId1"/>
        </xdr:cNvPr>
        <xdr:cNvSpPr txBox="1"/>
      </xdr:nvSpPr>
      <xdr:spPr>
        <a:xfrm>
          <a:off x="4355400" y="3303750"/>
          <a:ext cx="1981200" cy="9525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Se ainda tem duvidas sobre esse tema, clique aqui e tenha uma baita aula sobre o tema!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28575</xdr:colOff>
      <xdr:row>2</xdr:row>
      <xdr:rowOff>0</xdr:rowOff>
    </xdr:from>
    <xdr:ext cx="1190625" cy="495300"/>
    <xdr:sp>
      <xdr:nvSpPr>
        <xdr:cNvPr id="33" name="Shape 33">
          <a:hlinkClick r:id="rId2"/>
        </xdr:cNvPr>
        <xdr:cNvSpPr txBox="1"/>
      </xdr:nvSpPr>
      <xdr:spPr>
        <a:xfrm>
          <a:off x="4755450" y="3537113"/>
          <a:ext cx="1181100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504825</xdr:colOff>
      <xdr:row>2</xdr:row>
      <xdr:rowOff>0</xdr:rowOff>
    </xdr:from>
    <xdr:ext cx="1104900" cy="495300"/>
    <xdr:sp>
      <xdr:nvSpPr>
        <xdr:cNvPr id="34" name="Shape 34">
          <a:hlinkClick r:id="rId3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1676400</xdr:colOff>
      <xdr:row>2</xdr:row>
      <xdr:rowOff>0</xdr:rowOff>
    </xdr:from>
    <xdr:ext cx="1104900" cy="495300"/>
    <xdr:sp>
      <xdr:nvSpPr>
        <xdr:cNvPr id="35" name="Shape 35"/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2847975</xdr:colOff>
      <xdr:row>2</xdr:row>
      <xdr:rowOff>0</xdr:rowOff>
    </xdr:from>
    <xdr:ext cx="1104900" cy="495300"/>
    <xdr:sp>
      <xdr:nvSpPr>
        <xdr:cNvPr id="36" name="Shape 36">
          <a:hlinkClick r:id="rId4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4019550</xdr:colOff>
      <xdr:row>2</xdr:row>
      <xdr:rowOff>0</xdr:rowOff>
    </xdr:from>
    <xdr:ext cx="1104900" cy="495300"/>
    <xdr:sp>
      <xdr:nvSpPr>
        <xdr:cNvPr id="37" name="Shape 37">
          <a:hlinkClick r:id="rId5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5191125</xdr:colOff>
      <xdr:row>2</xdr:row>
      <xdr:rowOff>0</xdr:rowOff>
    </xdr:from>
    <xdr:ext cx="1104900" cy="495300"/>
    <xdr:sp>
      <xdr:nvSpPr>
        <xdr:cNvPr id="38" name="Shape 38">
          <a:hlinkClick r:id="rId6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6362700</xdr:colOff>
      <xdr:row>2</xdr:row>
      <xdr:rowOff>0</xdr:rowOff>
    </xdr:from>
    <xdr:ext cx="1104900" cy="495300"/>
    <xdr:sp>
      <xdr:nvSpPr>
        <xdr:cNvPr id="39" name="Shape 39">
          <a:hlinkClick r:id="rId7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7534275</xdr:colOff>
      <xdr:row>2</xdr:row>
      <xdr:rowOff>0</xdr:rowOff>
    </xdr:from>
    <xdr:ext cx="2143125" cy="495300"/>
    <xdr:sp>
      <xdr:nvSpPr>
        <xdr:cNvPr id="40" name="Shape 40">
          <a:hlinkClick r:id="rId8"/>
        </xdr:cNvPr>
        <xdr:cNvSpPr txBox="1"/>
      </xdr:nvSpPr>
      <xdr:spPr>
        <a:xfrm>
          <a:off x="4279200" y="3537113"/>
          <a:ext cx="2133600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428625</xdr:colOff>
      <xdr:row>2</xdr:row>
      <xdr:rowOff>0</xdr:rowOff>
    </xdr:from>
    <xdr:ext cx="1704975" cy="495300"/>
    <xdr:sp>
      <xdr:nvSpPr>
        <xdr:cNvPr id="41" name="Shape 41">
          <a:hlinkClick r:id="rId9"/>
        </xdr:cNvPr>
        <xdr:cNvSpPr txBox="1"/>
      </xdr:nvSpPr>
      <xdr:spPr>
        <a:xfrm>
          <a:off x="4498275" y="3537113"/>
          <a:ext cx="1695450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7</xdr:col>
      <xdr:colOff>209550</xdr:colOff>
      <xdr:row>4</xdr:row>
      <xdr:rowOff>38100</xdr:rowOff>
    </xdr:from>
    <xdr:ext cx="285750" cy="533400"/>
    <xdr:sp>
      <xdr:nvSpPr>
        <xdr:cNvPr id="13" name="Shape 13"/>
        <xdr:cNvSpPr/>
      </xdr:nvSpPr>
      <xdr:spPr>
        <a:xfrm>
          <a:off x="5207888" y="3518063"/>
          <a:ext cx="276225" cy="52387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542925</xdr:colOff>
      <xdr:row>2</xdr:row>
      <xdr:rowOff>0</xdr:rowOff>
    </xdr:from>
    <xdr:ext cx="1304925" cy="495300"/>
    <xdr:sp>
      <xdr:nvSpPr>
        <xdr:cNvPr id="42" name="Shape 42"/>
        <xdr:cNvSpPr txBox="1"/>
      </xdr:nvSpPr>
      <xdr:spPr>
        <a:xfrm>
          <a:off x="4698300" y="3537113"/>
          <a:ext cx="1295400" cy="48577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8</xdr:col>
      <xdr:colOff>485775</xdr:colOff>
      <xdr:row>1</xdr:row>
      <xdr:rowOff>85725</xdr:rowOff>
    </xdr:from>
    <xdr:ext cx="342900" cy="800100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5</xdr:row>
      <xdr:rowOff>371475</xdr:rowOff>
    </xdr:from>
    <xdr:ext cx="304800" cy="914400"/>
    <xdr:sp>
      <xdr:nvSpPr>
        <xdr:cNvPr id="43" name="Shape 43"/>
        <xdr:cNvSpPr/>
      </xdr:nvSpPr>
      <xdr:spPr>
        <a:xfrm>
          <a:off x="5198363" y="3327563"/>
          <a:ext cx="295275" cy="904875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190500</xdr:colOff>
      <xdr:row>5</xdr:row>
      <xdr:rowOff>371475</xdr:rowOff>
    </xdr:from>
    <xdr:ext cx="2324100" cy="933450"/>
    <xdr:sp>
      <xdr:nvSpPr>
        <xdr:cNvPr id="44" name="Shape 44"/>
        <xdr:cNvSpPr txBox="1"/>
      </xdr:nvSpPr>
      <xdr:spPr>
        <a:xfrm>
          <a:off x="4188713" y="3318038"/>
          <a:ext cx="2314575" cy="9239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Se você não souber a resposta ou não tiver a prática em sua empresa, escolha a opção "Não Sei"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38100</xdr:colOff>
      <xdr:row>13</xdr:row>
      <xdr:rowOff>276225</xdr:rowOff>
    </xdr:from>
    <xdr:ext cx="381000" cy="2552700"/>
    <xdr:sp>
      <xdr:nvSpPr>
        <xdr:cNvPr id="45" name="Shape 45"/>
        <xdr:cNvSpPr/>
      </xdr:nvSpPr>
      <xdr:spPr>
        <a:xfrm>
          <a:off x="5160263" y="2508413"/>
          <a:ext cx="371475" cy="2543175"/>
        </a:xfrm>
        <a:prstGeom prst="leftBrace">
          <a:avLst>
            <a:gd fmla="val 22967" name="adj1"/>
            <a:gd fmla="val 27291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247650</xdr:colOff>
      <xdr:row>13</xdr:row>
      <xdr:rowOff>266700</xdr:rowOff>
    </xdr:from>
    <xdr:ext cx="2286000" cy="1514475"/>
    <xdr:sp>
      <xdr:nvSpPr>
        <xdr:cNvPr id="46" name="Shape 46"/>
        <xdr:cNvSpPr txBox="1"/>
      </xdr:nvSpPr>
      <xdr:spPr>
        <a:xfrm>
          <a:off x="4207763" y="3027525"/>
          <a:ext cx="2276475" cy="1504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Abra o link, digite o endereço do seu site, role a página até o final para encontrar o quadro "Alexa Rank". Se não tiver um ranking, digite 0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28575</xdr:colOff>
      <xdr:row>28</xdr:row>
      <xdr:rowOff>28575</xdr:rowOff>
    </xdr:from>
    <xdr:ext cx="304800" cy="1057275"/>
    <xdr:sp>
      <xdr:nvSpPr>
        <xdr:cNvPr id="47" name="Shape 47"/>
        <xdr:cNvSpPr/>
      </xdr:nvSpPr>
      <xdr:spPr>
        <a:xfrm>
          <a:off x="5198363" y="3256125"/>
          <a:ext cx="295275" cy="1047750"/>
        </a:xfrm>
        <a:prstGeom prst="leftBrace">
          <a:avLst>
            <a:gd fmla="val 22967" name="adj1"/>
            <a:gd fmla="val 37273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190500</xdr:colOff>
      <xdr:row>28</xdr:row>
      <xdr:rowOff>19050</xdr:rowOff>
    </xdr:from>
    <xdr:ext cx="2324100" cy="1085850"/>
    <xdr:sp>
      <xdr:nvSpPr>
        <xdr:cNvPr id="48" name="Shape 48"/>
        <xdr:cNvSpPr txBox="1"/>
      </xdr:nvSpPr>
      <xdr:spPr>
        <a:xfrm>
          <a:off x="4188713" y="3241838"/>
          <a:ext cx="2314575" cy="1076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Estas informações podem ser obtidas no Google Analytics. Se não tiver acesso ou não souber, coloque 0.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76200</xdr:colOff>
      <xdr:row>31</xdr:row>
      <xdr:rowOff>419100</xdr:rowOff>
    </xdr:from>
    <xdr:ext cx="304800" cy="895350"/>
    <xdr:sp>
      <xdr:nvSpPr>
        <xdr:cNvPr id="49" name="Shape 49"/>
        <xdr:cNvSpPr/>
      </xdr:nvSpPr>
      <xdr:spPr>
        <a:xfrm>
          <a:off x="5198363" y="3337088"/>
          <a:ext cx="295275" cy="885825"/>
        </a:xfrm>
        <a:prstGeom prst="leftBrace">
          <a:avLst>
            <a:gd fmla="val 22967" name="adj1"/>
            <a:gd fmla="val 42473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238125</xdr:colOff>
      <xdr:row>31</xdr:row>
      <xdr:rowOff>428625</xdr:rowOff>
    </xdr:from>
    <xdr:ext cx="2295525" cy="923925"/>
    <xdr:sp>
      <xdr:nvSpPr>
        <xdr:cNvPr id="50" name="Shape 50">
          <a:hlinkClick r:id="rId1"/>
        </xdr:cNvPr>
        <xdr:cNvSpPr txBox="1"/>
      </xdr:nvSpPr>
      <xdr:spPr>
        <a:xfrm>
          <a:off x="4203000" y="3322800"/>
          <a:ext cx="2286000" cy="9144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Clique aqui e veja dicas incríveis sobre a gestão de marketing para a sua empresa.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0</xdr:colOff>
      <xdr:row>39</xdr:row>
      <xdr:rowOff>476250</xdr:rowOff>
    </xdr:from>
    <xdr:ext cx="304800" cy="933450"/>
    <xdr:sp>
      <xdr:nvSpPr>
        <xdr:cNvPr id="51" name="Shape 51"/>
        <xdr:cNvSpPr/>
      </xdr:nvSpPr>
      <xdr:spPr>
        <a:xfrm>
          <a:off x="5198363" y="3318038"/>
          <a:ext cx="295275" cy="923925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161925</xdr:colOff>
      <xdr:row>40</xdr:row>
      <xdr:rowOff>0</xdr:rowOff>
    </xdr:from>
    <xdr:ext cx="2324100" cy="914400"/>
    <xdr:sp>
      <xdr:nvSpPr>
        <xdr:cNvPr id="52" name="Shape 52"/>
        <xdr:cNvSpPr txBox="1"/>
      </xdr:nvSpPr>
      <xdr:spPr>
        <a:xfrm>
          <a:off x="4188713" y="3327563"/>
          <a:ext cx="2314575" cy="904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Ferramentas de nutrição ou automação de marketing são aquelas utilziadas para envio de e-mail automático.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0</xdr:colOff>
      <xdr:row>51</xdr:row>
      <xdr:rowOff>352425</xdr:rowOff>
    </xdr:from>
    <xdr:ext cx="304800" cy="904875"/>
    <xdr:sp>
      <xdr:nvSpPr>
        <xdr:cNvPr id="53" name="Shape 53"/>
        <xdr:cNvSpPr/>
      </xdr:nvSpPr>
      <xdr:spPr>
        <a:xfrm>
          <a:off x="5198363" y="3332325"/>
          <a:ext cx="295275" cy="895350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161925</xdr:colOff>
      <xdr:row>51</xdr:row>
      <xdr:rowOff>390525</xdr:rowOff>
    </xdr:from>
    <xdr:ext cx="2324100" cy="914400"/>
    <xdr:sp>
      <xdr:nvSpPr>
        <xdr:cNvPr id="54" name="Shape 54"/>
        <xdr:cNvSpPr txBox="1"/>
      </xdr:nvSpPr>
      <xdr:spPr>
        <a:xfrm>
          <a:off x="4188713" y="3327563"/>
          <a:ext cx="2314575" cy="904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Estratégias de outbound são aquelas de prospecção ou abordagem ativa de clientes.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2</xdr:row>
      <xdr:rowOff>0</xdr:rowOff>
    </xdr:from>
    <xdr:ext cx="1190625" cy="495300"/>
    <xdr:sp>
      <xdr:nvSpPr>
        <xdr:cNvPr id="55" name="Shape 55">
          <a:hlinkClick r:id="rId2"/>
        </xdr:cNvPr>
        <xdr:cNvSpPr txBox="1"/>
      </xdr:nvSpPr>
      <xdr:spPr>
        <a:xfrm>
          <a:off x="4755450" y="3537113"/>
          <a:ext cx="1181100" cy="4857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447675</xdr:colOff>
      <xdr:row>2</xdr:row>
      <xdr:rowOff>0</xdr:rowOff>
    </xdr:from>
    <xdr:ext cx="1104900" cy="495300"/>
    <xdr:sp>
      <xdr:nvSpPr>
        <xdr:cNvPr id="56" name="Shape 56">
          <a:hlinkClick r:id="rId3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1619250</xdr:colOff>
      <xdr:row>2</xdr:row>
      <xdr:rowOff>0</xdr:rowOff>
    </xdr:from>
    <xdr:ext cx="1104900" cy="495300"/>
    <xdr:sp>
      <xdr:nvSpPr>
        <xdr:cNvPr id="57" name="Shape 57">
          <a:hlinkClick r:id="rId4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2790825</xdr:colOff>
      <xdr:row>2</xdr:row>
      <xdr:rowOff>0</xdr:rowOff>
    </xdr:from>
    <xdr:ext cx="1104900" cy="495300"/>
    <xdr:sp>
      <xdr:nvSpPr>
        <xdr:cNvPr id="58" name="Shape 58"/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3962400</xdr:colOff>
      <xdr:row>2</xdr:row>
      <xdr:rowOff>0</xdr:rowOff>
    </xdr:from>
    <xdr:ext cx="1104900" cy="495300"/>
    <xdr:sp>
      <xdr:nvSpPr>
        <xdr:cNvPr id="59" name="Shape 59">
          <a:hlinkClick r:id="rId5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5133975</xdr:colOff>
      <xdr:row>2</xdr:row>
      <xdr:rowOff>0</xdr:rowOff>
    </xdr:from>
    <xdr:ext cx="1104900" cy="495300"/>
    <xdr:sp>
      <xdr:nvSpPr>
        <xdr:cNvPr id="60" name="Shape 60">
          <a:hlinkClick r:id="rId6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6305550</xdr:colOff>
      <xdr:row>2</xdr:row>
      <xdr:rowOff>0</xdr:rowOff>
    </xdr:from>
    <xdr:ext cx="1104900" cy="495300"/>
    <xdr:sp>
      <xdr:nvSpPr>
        <xdr:cNvPr id="61" name="Shape 61">
          <a:hlinkClick r:id="rId7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7477125</xdr:colOff>
      <xdr:row>2</xdr:row>
      <xdr:rowOff>0</xdr:rowOff>
    </xdr:from>
    <xdr:ext cx="2143125" cy="495300"/>
    <xdr:sp>
      <xdr:nvSpPr>
        <xdr:cNvPr id="62" name="Shape 62">
          <a:hlinkClick r:id="rId8"/>
        </xdr:cNvPr>
        <xdr:cNvSpPr txBox="1"/>
      </xdr:nvSpPr>
      <xdr:spPr>
        <a:xfrm>
          <a:off x="4279200" y="3537113"/>
          <a:ext cx="2133600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371475</xdr:colOff>
      <xdr:row>2</xdr:row>
      <xdr:rowOff>0</xdr:rowOff>
    </xdr:from>
    <xdr:ext cx="1800225" cy="495300"/>
    <xdr:sp>
      <xdr:nvSpPr>
        <xdr:cNvPr id="63" name="Shape 63">
          <a:hlinkClick r:id="rId9"/>
        </xdr:cNvPr>
        <xdr:cNvSpPr txBox="1"/>
      </xdr:nvSpPr>
      <xdr:spPr>
        <a:xfrm>
          <a:off x="4450650" y="3537113"/>
          <a:ext cx="1790700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7</xdr:col>
      <xdr:colOff>209550</xdr:colOff>
      <xdr:row>4</xdr:row>
      <xdr:rowOff>0</xdr:rowOff>
    </xdr:from>
    <xdr:ext cx="285750" cy="533400"/>
    <xdr:sp>
      <xdr:nvSpPr>
        <xdr:cNvPr id="13" name="Shape 13"/>
        <xdr:cNvSpPr/>
      </xdr:nvSpPr>
      <xdr:spPr>
        <a:xfrm>
          <a:off x="5207888" y="3518063"/>
          <a:ext cx="276225" cy="52387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495300</xdr:colOff>
      <xdr:row>2</xdr:row>
      <xdr:rowOff>0</xdr:rowOff>
    </xdr:from>
    <xdr:ext cx="1304925" cy="495300"/>
    <xdr:sp>
      <xdr:nvSpPr>
        <xdr:cNvPr id="64" name="Shape 64"/>
        <xdr:cNvSpPr txBox="1"/>
      </xdr:nvSpPr>
      <xdr:spPr>
        <a:xfrm>
          <a:off x="4698300" y="3537113"/>
          <a:ext cx="1295400" cy="48577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6</xdr:col>
      <xdr:colOff>342900</xdr:colOff>
      <xdr:row>17</xdr:row>
      <xdr:rowOff>266700</xdr:rowOff>
    </xdr:from>
    <xdr:ext cx="1933575" cy="1057275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457200</xdr:colOff>
      <xdr:row>1</xdr:row>
      <xdr:rowOff>76200</xdr:rowOff>
    </xdr:from>
    <xdr:ext cx="247650" cy="800100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6</xdr:row>
      <xdr:rowOff>0</xdr:rowOff>
    </xdr:from>
    <xdr:ext cx="333375" cy="942975"/>
    <xdr:sp>
      <xdr:nvSpPr>
        <xdr:cNvPr id="65" name="Shape 65"/>
        <xdr:cNvSpPr/>
      </xdr:nvSpPr>
      <xdr:spPr>
        <a:xfrm>
          <a:off x="5184075" y="3313275"/>
          <a:ext cx="323850" cy="933450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190500</xdr:colOff>
      <xdr:row>6</xdr:row>
      <xdr:rowOff>57150</xdr:rowOff>
    </xdr:from>
    <xdr:ext cx="2266950" cy="914400"/>
    <xdr:sp>
      <xdr:nvSpPr>
        <xdr:cNvPr id="66" name="Shape 66"/>
        <xdr:cNvSpPr txBox="1"/>
      </xdr:nvSpPr>
      <xdr:spPr>
        <a:xfrm>
          <a:off x="4217288" y="3327563"/>
          <a:ext cx="2257425" cy="904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Se você não souber a resposta ou não tiver a prática em sua empresa, escolha a opção "Não"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2</xdr:row>
      <xdr:rowOff>0</xdr:rowOff>
    </xdr:from>
    <xdr:ext cx="1190625" cy="495300"/>
    <xdr:sp>
      <xdr:nvSpPr>
        <xdr:cNvPr id="67" name="Shape 67">
          <a:hlinkClick r:id="rId1"/>
        </xdr:cNvPr>
        <xdr:cNvSpPr txBox="1"/>
      </xdr:nvSpPr>
      <xdr:spPr>
        <a:xfrm>
          <a:off x="4755450" y="3537113"/>
          <a:ext cx="1181100" cy="4857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447675</xdr:colOff>
      <xdr:row>2</xdr:row>
      <xdr:rowOff>0</xdr:rowOff>
    </xdr:from>
    <xdr:ext cx="1104900" cy="495300"/>
    <xdr:sp>
      <xdr:nvSpPr>
        <xdr:cNvPr id="68" name="Shape 68">
          <a:hlinkClick r:id="rId2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1619250</xdr:colOff>
      <xdr:row>2</xdr:row>
      <xdr:rowOff>0</xdr:rowOff>
    </xdr:from>
    <xdr:ext cx="1104900" cy="495300"/>
    <xdr:sp>
      <xdr:nvSpPr>
        <xdr:cNvPr id="69" name="Shape 69">
          <a:hlinkClick r:id="rId3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2790825</xdr:colOff>
      <xdr:row>2</xdr:row>
      <xdr:rowOff>0</xdr:rowOff>
    </xdr:from>
    <xdr:ext cx="1104900" cy="495300"/>
    <xdr:sp>
      <xdr:nvSpPr>
        <xdr:cNvPr id="70" name="Shape 70">
          <a:hlinkClick r:id="rId4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3962400</xdr:colOff>
      <xdr:row>2</xdr:row>
      <xdr:rowOff>0</xdr:rowOff>
    </xdr:from>
    <xdr:ext cx="1104900" cy="495300"/>
    <xdr:sp>
      <xdr:nvSpPr>
        <xdr:cNvPr id="71" name="Shape 71"/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5133975</xdr:colOff>
      <xdr:row>2</xdr:row>
      <xdr:rowOff>0</xdr:rowOff>
    </xdr:from>
    <xdr:ext cx="1104900" cy="495300"/>
    <xdr:sp>
      <xdr:nvSpPr>
        <xdr:cNvPr id="72" name="Shape 72">
          <a:hlinkClick r:id="rId5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6305550</xdr:colOff>
      <xdr:row>2</xdr:row>
      <xdr:rowOff>0</xdr:rowOff>
    </xdr:from>
    <xdr:ext cx="1104900" cy="495300"/>
    <xdr:sp>
      <xdr:nvSpPr>
        <xdr:cNvPr id="73" name="Shape 73">
          <a:hlinkClick r:id="rId6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7477125</xdr:colOff>
      <xdr:row>2</xdr:row>
      <xdr:rowOff>0</xdr:rowOff>
    </xdr:from>
    <xdr:ext cx="2143125" cy="495300"/>
    <xdr:sp>
      <xdr:nvSpPr>
        <xdr:cNvPr id="74" name="Shape 74">
          <a:hlinkClick r:id="rId7"/>
        </xdr:cNvPr>
        <xdr:cNvSpPr txBox="1"/>
      </xdr:nvSpPr>
      <xdr:spPr>
        <a:xfrm>
          <a:off x="4279200" y="3537113"/>
          <a:ext cx="2133600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371475</xdr:colOff>
      <xdr:row>2</xdr:row>
      <xdr:rowOff>0</xdr:rowOff>
    </xdr:from>
    <xdr:ext cx="1104900" cy="495300"/>
    <xdr:sp>
      <xdr:nvSpPr>
        <xdr:cNvPr id="75" name="Shape 75">
          <a:hlinkClick r:id="rId8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7</xdr:col>
      <xdr:colOff>238125</xdr:colOff>
      <xdr:row>4</xdr:row>
      <xdr:rowOff>9525</xdr:rowOff>
    </xdr:from>
    <xdr:ext cx="285750" cy="533400"/>
    <xdr:sp>
      <xdr:nvSpPr>
        <xdr:cNvPr id="13" name="Shape 13"/>
        <xdr:cNvSpPr/>
      </xdr:nvSpPr>
      <xdr:spPr>
        <a:xfrm>
          <a:off x="5207888" y="3518063"/>
          <a:ext cx="276225" cy="52387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523875</xdr:colOff>
      <xdr:row>2</xdr:row>
      <xdr:rowOff>0</xdr:rowOff>
    </xdr:from>
    <xdr:ext cx="1304925" cy="495300"/>
    <xdr:sp>
      <xdr:nvSpPr>
        <xdr:cNvPr id="76" name="Shape 76"/>
        <xdr:cNvSpPr txBox="1"/>
      </xdr:nvSpPr>
      <xdr:spPr>
        <a:xfrm>
          <a:off x="4698300" y="3537113"/>
          <a:ext cx="1295400" cy="48577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8</xdr:col>
      <xdr:colOff>485775</xdr:colOff>
      <xdr:row>1</xdr:row>
      <xdr:rowOff>76200</xdr:rowOff>
    </xdr:from>
    <xdr:ext cx="342900" cy="800100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190625" cy="495300"/>
    <xdr:sp>
      <xdr:nvSpPr>
        <xdr:cNvPr id="77" name="Shape 77">
          <a:hlinkClick r:id="rId1"/>
        </xdr:cNvPr>
        <xdr:cNvSpPr txBox="1"/>
      </xdr:nvSpPr>
      <xdr:spPr>
        <a:xfrm>
          <a:off x="4755450" y="3537113"/>
          <a:ext cx="1181100" cy="4857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447675</xdr:colOff>
      <xdr:row>2</xdr:row>
      <xdr:rowOff>0</xdr:rowOff>
    </xdr:from>
    <xdr:ext cx="1104900" cy="495300"/>
    <xdr:sp>
      <xdr:nvSpPr>
        <xdr:cNvPr id="78" name="Shape 78">
          <a:hlinkClick r:id="rId2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1619250</xdr:colOff>
      <xdr:row>2</xdr:row>
      <xdr:rowOff>0</xdr:rowOff>
    </xdr:from>
    <xdr:ext cx="1104900" cy="495300"/>
    <xdr:sp>
      <xdr:nvSpPr>
        <xdr:cNvPr id="79" name="Shape 79">
          <a:hlinkClick r:id="rId3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2790825</xdr:colOff>
      <xdr:row>2</xdr:row>
      <xdr:rowOff>0</xdr:rowOff>
    </xdr:from>
    <xdr:ext cx="1104900" cy="495300"/>
    <xdr:sp>
      <xdr:nvSpPr>
        <xdr:cNvPr id="80" name="Shape 80">
          <a:hlinkClick r:id="rId4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3962400</xdr:colOff>
      <xdr:row>2</xdr:row>
      <xdr:rowOff>0</xdr:rowOff>
    </xdr:from>
    <xdr:ext cx="1104900" cy="495300"/>
    <xdr:sp>
      <xdr:nvSpPr>
        <xdr:cNvPr id="81" name="Shape 81">
          <a:hlinkClick r:id="rId5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5133975</xdr:colOff>
      <xdr:row>2</xdr:row>
      <xdr:rowOff>0</xdr:rowOff>
    </xdr:from>
    <xdr:ext cx="1104900" cy="495300"/>
    <xdr:sp>
      <xdr:nvSpPr>
        <xdr:cNvPr id="82" name="Shape 82">
          <a:hlinkClick r:id="rId6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6305550</xdr:colOff>
      <xdr:row>2</xdr:row>
      <xdr:rowOff>0</xdr:rowOff>
    </xdr:from>
    <xdr:ext cx="1104900" cy="495300"/>
    <xdr:sp>
      <xdr:nvSpPr>
        <xdr:cNvPr id="83" name="Shape 83">
          <a:hlinkClick r:id="rId7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7477125</xdr:colOff>
      <xdr:row>2</xdr:row>
      <xdr:rowOff>0</xdr:rowOff>
    </xdr:from>
    <xdr:ext cx="2143125" cy="495300"/>
    <xdr:sp>
      <xdr:nvSpPr>
        <xdr:cNvPr id="84" name="Shape 84">
          <a:hlinkClick r:id="rId8"/>
        </xdr:cNvPr>
        <xdr:cNvSpPr txBox="1"/>
      </xdr:nvSpPr>
      <xdr:spPr>
        <a:xfrm>
          <a:off x="4279200" y="3537113"/>
          <a:ext cx="2133600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371475</xdr:colOff>
      <xdr:row>2</xdr:row>
      <xdr:rowOff>0</xdr:rowOff>
    </xdr:from>
    <xdr:ext cx="1104900" cy="495300"/>
    <xdr:sp>
      <xdr:nvSpPr>
        <xdr:cNvPr id="85" name="Shape 85">
          <a:hlinkClick r:id="rId9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7</xdr:col>
      <xdr:colOff>200025</xdr:colOff>
      <xdr:row>4</xdr:row>
      <xdr:rowOff>0</xdr:rowOff>
    </xdr:from>
    <xdr:ext cx="285750" cy="533400"/>
    <xdr:sp>
      <xdr:nvSpPr>
        <xdr:cNvPr id="13" name="Shape 13"/>
        <xdr:cNvSpPr/>
      </xdr:nvSpPr>
      <xdr:spPr>
        <a:xfrm>
          <a:off x="5207888" y="3518063"/>
          <a:ext cx="276225" cy="52387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457200</xdr:colOff>
      <xdr:row>2</xdr:row>
      <xdr:rowOff>0</xdr:rowOff>
    </xdr:from>
    <xdr:ext cx="1304925" cy="495300"/>
    <xdr:sp>
      <xdr:nvSpPr>
        <xdr:cNvPr id="86" name="Shape 86"/>
        <xdr:cNvSpPr txBox="1"/>
      </xdr:nvSpPr>
      <xdr:spPr>
        <a:xfrm>
          <a:off x="4698300" y="3537113"/>
          <a:ext cx="1295400" cy="48577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5</xdr:col>
      <xdr:colOff>1276350</xdr:colOff>
      <xdr:row>7</xdr:row>
      <xdr:rowOff>447675</xdr:rowOff>
    </xdr:from>
    <xdr:ext cx="342900" cy="962025"/>
    <xdr:sp>
      <xdr:nvSpPr>
        <xdr:cNvPr id="87" name="Shape 87"/>
        <xdr:cNvSpPr/>
      </xdr:nvSpPr>
      <xdr:spPr>
        <a:xfrm>
          <a:off x="5179313" y="3303750"/>
          <a:ext cx="333375" cy="952500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28575</xdr:colOff>
      <xdr:row>8</xdr:row>
      <xdr:rowOff>19050</xdr:rowOff>
    </xdr:from>
    <xdr:ext cx="2171700" cy="771525"/>
    <xdr:sp>
      <xdr:nvSpPr>
        <xdr:cNvPr id="88" name="Shape 88"/>
        <xdr:cNvSpPr txBox="1"/>
      </xdr:nvSpPr>
      <xdr:spPr>
        <a:xfrm>
          <a:off x="4264913" y="3399000"/>
          <a:ext cx="2162175" cy="762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Se não houver prestação de serviço em sua empresa, preencher 0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190625" cy="495300"/>
    <xdr:sp>
      <xdr:nvSpPr>
        <xdr:cNvPr id="89" name="Shape 89">
          <a:hlinkClick r:id="rId1"/>
        </xdr:cNvPr>
        <xdr:cNvSpPr txBox="1"/>
      </xdr:nvSpPr>
      <xdr:spPr>
        <a:xfrm>
          <a:off x="4755450" y="3537113"/>
          <a:ext cx="1181100" cy="4857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447675</xdr:colOff>
      <xdr:row>2</xdr:row>
      <xdr:rowOff>0</xdr:rowOff>
    </xdr:from>
    <xdr:ext cx="1104900" cy="495300"/>
    <xdr:sp>
      <xdr:nvSpPr>
        <xdr:cNvPr id="90" name="Shape 90">
          <a:hlinkClick r:id="rId2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1619250</xdr:colOff>
      <xdr:row>2</xdr:row>
      <xdr:rowOff>0</xdr:rowOff>
    </xdr:from>
    <xdr:ext cx="1104900" cy="495300"/>
    <xdr:sp>
      <xdr:nvSpPr>
        <xdr:cNvPr id="91" name="Shape 91">
          <a:hlinkClick r:id="rId3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2790825</xdr:colOff>
      <xdr:row>2</xdr:row>
      <xdr:rowOff>0</xdr:rowOff>
    </xdr:from>
    <xdr:ext cx="1104900" cy="495300"/>
    <xdr:sp>
      <xdr:nvSpPr>
        <xdr:cNvPr id="92" name="Shape 92">
          <a:hlinkClick r:id="rId4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3962400</xdr:colOff>
      <xdr:row>2</xdr:row>
      <xdr:rowOff>0</xdr:rowOff>
    </xdr:from>
    <xdr:ext cx="1104900" cy="495300"/>
    <xdr:sp>
      <xdr:nvSpPr>
        <xdr:cNvPr id="93" name="Shape 93">
          <a:hlinkClick r:id="rId5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5133975</xdr:colOff>
      <xdr:row>2</xdr:row>
      <xdr:rowOff>0</xdr:rowOff>
    </xdr:from>
    <xdr:ext cx="1104900" cy="495300"/>
    <xdr:sp>
      <xdr:nvSpPr>
        <xdr:cNvPr id="94" name="Shape 94">
          <a:hlinkClick r:id="rId6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6305550</xdr:colOff>
      <xdr:row>2</xdr:row>
      <xdr:rowOff>0</xdr:rowOff>
    </xdr:from>
    <xdr:ext cx="1104900" cy="495300"/>
    <xdr:sp>
      <xdr:nvSpPr>
        <xdr:cNvPr id="95" name="Shape 95">
          <a:hlinkClick r:id="rId7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7477125</xdr:colOff>
      <xdr:row>2</xdr:row>
      <xdr:rowOff>0</xdr:rowOff>
    </xdr:from>
    <xdr:ext cx="2143125" cy="495300"/>
    <xdr:sp>
      <xdr:nvSpPr>
        <xdr:cNvPr id="96" name="Shape 96">
          <a:hlinkClick r:id="rId8"/>
        </xdr:cNvPr>
        <xdr:cNvSpPr txBox="1"/>
      </xdr:nvSpPr>
      <xdr:spPr>
        <a:xfrm>
          <a:off x="4279200" y="3537113"/>
          <a:ext cx="2133600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371475</xdr:colOff>
      <xdr:row>2</xdr:row>
      <xdr:rowOff>0</xdr:rowOff>
    </xdr:from>
    <xdr:ext cx="1104900" cy="495300"/>
    <xdr:sp>
      <xdr:nvSpPr>
        <xdr:cNvPr id="97" name="Shape 97">
          <a:hlinkClick r:id="rId9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7</xdr:col>
      <xdr:colOff>161925</xdr:colOff>
      <xdr:row>4</xdr:row>
      <xdr:rowOff>28575</xdr:rowOff>
    </xdr:from>
    <xdr:ext cx="285750" cy="533400"/>
    <xdr:sp>
      <xdr:nvSpPr>
        <xdr:cNvPr id="13" name="Shape 13"/>
        <xdr:cNvSpPr/>
      </xdr:nvSpPr>
      <xdr:spPr>
        <a:xfrm>
          <a:off x="5207888" y="3518063"/>
          <a:ext cx="276225" cy="523875"/>
        </a:xfrm>
        <a:prstGeom prst="downArrow">
          <a:avLst>
            <a:gd fmla="val 50000" name="adj1"/>
            <a:gd fmla="val 50000" name="adj2"/>
          </a:avLst>
        </a:prstGeom>
        <a:solidFill>
          <a:srgbClr val="802424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447675</xdr:colOff>
      <xdr:row>1</xdr:row>
      <xdr:rowOff>104775</xdr:rowOff>
    </xdr:from>
    <xdr:ext cx="1304925" cy="495300"/>
    <xdr:sp>
      <xdr:nvSpPr>
        <xdr:cNvPr id="98" name="Shape 98"/>
        <xdr:cNvSpPr txBox="1"/>
      </xdr:nvSpPr>
      <xdr:spPr>
        <a:xfrm>
          <a:off x="4698300" y="3537113"/>
          <a:ext cx="1295400" cy="485775"/>
        </a:xfrm>
        <a:prstGeom prst="rect">
          <a:avLst/>
        </a:prstGeom>
        <a:solidFill>
          <a:srgbClr val="802424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Dicas</a:t>
          </a:r>
          <a:endParaRPr sz="1400"/>
        </a:p>
      </xdr:txBody>
    </xdr:sp>
    <xdr:clientData fLocksWithSheet="0"/>
  </xdr:oneCellAnchor>
  <xdr:oneCellAnchor>
    <xdr:from>
      <xdr:col>6</xdr:col>
      <xdr:colOff>85725</xdr:colOff>
      <xdr:row>5</xdr:row>
      <xdr:rowOff>428625</xdr:rowOff>
    </xdr:from>
    <xdr:ext cx="419100" cy="952500"/>
    <xdr:sp>
      <xdr:nvSpPr>
        <xdr:cNvPr id="99" name="Shape 99"/>
        <xdr:cNvSpPr/>
      </xdr:nvSpPr>
      <xdr:spPr>
        <a:xfrm>
          <a:off x="5141213" y="3308513"/>
          <a:ext cx="409575" cy="942975"/>
        </a:xfrm>
        <a:prstGeom prst="leftBrace">
          <a:avLst>
            <a:gd fmla="val 22967" name="adj1"/>
            <a:gd fmla="val 50000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352425</xdr:colOff>
      <xdr:row>6</xdr:row>
      <xdr:rowOff>0</xdr:rowOff>
    </xdr:from>
    <xdr:ext cx="2181225" cy="866775"/>
    <xdr:sp>
      <xdr:nvSpPr>
        <xdr:cNvPr id="100" name="Shape 100">
          <a:hlinkClick r:id="rId10"/>
        </xdr:cNvPr>
        <xdr:cNvSpPr txBox="1"/>
      </xdr:nvSpPr>
      <xdr:spPr>
        <a:xfrm>
          <a:off x="4260150" y="3351375"/>
          <a:ext cx="2171700" cy="8572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Caso não tenha clareza do assunto, clique aqui e assista um video sobre o assunto.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85725</xdr:colOff>
      <xdr:row>9</xdr:row>
      <xdr:rowOff>123825</xdr:rowOff>
    </xdr:from>
    <xdr:ext cx="419100" cy="1152525"/>
    <xdr:sp>
      <xdr:nvSpPr>
        <xdr:cNvPr id="101" name="Shape 101"/>
        <xdr:cNvSpPr/>
      </xdr:nvSpPr>
      <xdr:spPr>
        <a:xfrm>
          <a:off x="5141213" y="3208500"/>
          <a:ext cx="409575" cy="1143000"/>
        </a:xfrm>
        <a:prstGeom prst="leftBrace">
          <a:avLst>
            <a:gd fmla="val 22967" name="adj1"/>
            <a:gd fmla="val 16167" name="adj2"/>
          </a:avLst>
        </a:prstGeom>
        <a:noFill/>
        <a:ln cap="flat" cmpd="sng" w="9525">
          <a:solidFill>
            <a:srgbClr val="80242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352425</xdr:colOff>
      <xdr:row>9</xdr:row>
      <xdr:rowOff>171450</xdr:rowOff>
    </xdr:from>
    <xdr:ext cx="2181225" cy="1085850"/>
    <xdr:sp>
      <xdr:nvSpPr>
        <xdr:cNvPr id="102" name="Shape 102"/>
        <xdr:cNvSpPr txBox="1"/>
      </xdr:nvSpPr>
      <xdr:spPr>
        <a:xfrm>
          <a:off x="4260150" y="3241838"/>
          <a:ext cx="2171700" cy="1076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802424"/>
            </a:buClr>
            <a:buSzPts val="1100"/>
            <a:buFont typeface="Open Sans"/>
            <a:buNone/>
          </a:pPr>
          <a:r>
            <a:rPr lang="en-US" sz="1100">
              <a:solidFill>
                <a:srgbClr val="802424"/>
              </a:solidFill>
              <a:latin typeface="Open Sans"/>
              <a:ea typeface="Open Sans"/>
              <a:cs typeface="Open Sans"/>
              <a:sym typeface="Open Sans"/>
            </a:rPr>
            <a:t>Avaliação de competência é diferente de avaliação de desempenho, então se não tem clareza do método, responder "não"</a:t>
          </a:r>
          <a:endParaRPr sz="1100">
            <a:solidFill>
              <a:srgbClr val="802424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1190625" cy="495300"/>
    <xdr:sp>
      <xdr:nvSpPr>
        <xdr:cNvPr id="103" name="Shape 103">
          <a:hlinkClick r:id="rId1"/>
        </xdr:cNvPr>
        <xdr:cNvSpPr txBox="1"/>
      </xdr:nvSpPr>
      <xdr:spPr>
        <a:xfrm>
          <a:off x="4755450" y="3537113"/>
          <a:ext cx="1181100" cy="4857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3</xdr:col>
      <xdr:colOff>447675</xdr:colOff>
      <xdr:row>2</xdr:row>
      <xdr:rowOff>0</xdr:rowOff>
    </xdr:from>
    <xdr:ext cx="1104900" cy="495300"/>
    <xdr:sp>
      <xdr:nvSpPr>
        <xdr:cNvPr id="104" name="Shape 104">
          <a:hlinkClick r:id="rId2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1619250</xdr:colOff>
      <xdr:row>2</xdr:row>
      <xdr:rowOff>0</xdr:rowOff>
    </xdr:from>
    <xdr:ext cx="1104900" cy="495300"/>
    <xdr:sp>
      <xdr:nvSpPr>
        <xdr:cNvPr id="105" name="Shape 105">
          <a:hlinkClick r:id="rId3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3</xdr:col>
      <xdr:colOff>2790825</xdr:colOff>
      <xdr:row>2</xdr:row>
      <xdr:rowOff>0</xdr:rowOff>
    </xdr:from>
    <xdr:ext cx="1104900" cy="495300"/>
    <xdr:sp>
      <xdr:nvSpPr>
        <xdr:cNvPr id="106" name="Shape 106">
          <a:hlinkClick r:id="rId4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3</xdr:col>
      <xdr:colOff>3962400</xdr:colOff>
      <xdr:row>2</xdr:row>
      <xdr:rowOff>0</xdr:rowOff>
    </xdr:from>
    <xdr:ext cx="1104900" cy="495300"/>
    <xdr:sp>
      <xdr:nvSpPr>
        <xdr:cNvPr id="107" name="Shape 107">
          <a:hlinkClick r:id="rId5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3</xdr:col>
      <xdr:colOff>5133975</xdr:colOff>
      <xdr:row>2</xdr:row>
      <xdr:rowOff>0</xdr:rowOff>
    </xdr:from>
    <xdr:ext cx="1104900" cy="495300"/>
    <xdr:sp>
      <xdr:nvSpPr>
        <xdr:cNvPr id="108" name="Shape 108">
          <a:hlinkClick r:id="rId6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3</xdr:col>
      <xdr:colOff>6305550</xdr:colOff>
      <xdr:row>2</xdr:row>
      <xdr:rowOff>0</xdr:rowOff>
    </xdr:from>
    <xdr:ext cx="1104900" cy="495300"/>
    <xdr:sp>
      <xdr:nvSpPr>
        <xdr:cNvPr id="109" name="Shape 109">
          <a:hlinkClick r:id="rId7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7477125</xdr:colOff>
      <xdr:row>2</xdr:row>
      <xdr:rowOff>0</xdr:rowOff>
    </xdr:from>
    <xdr:ext cx="2143125" cy="495300"/>
    <xdr:sp>
      <xdr:nvSpPr>
        <xdr:cNvPr id="110" name="Shape 110">
          <a:hlinkClick r:id="rId8"/>
        </xdr:cNvPr>
        <xdr:cNvSpPr txBox="1"/>
      </xdr:nvSpPr>
      <xdr:spPr>
        <a:xfrm>
          <a:off x="4279200" y="3537113"/>
          <a:ext cx="2133600" cy="485775"/>
        </a:xfrm>
        <a:prstGeom prst="rect">
          <a:avLst/>
        </a:prstGeom>
        <a:solidFill>
          <a:srgbClr val="175680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4</xdr:col>
      <xdr:colOff>371475</xdr:colOff>
      <xdr:row>2</xdr:row>
      <xdr:rowOff>0</xdr:rowOff>
    </xdr:from>
    <xdr:ext cx="1104900" cy="495300"/>
    <xdr:sp>
      <xdr:nvSpPr>
        <xdr:cNvPr id="111" name="Shape 111">
          <a:hlinkClick r:id="rId9"/>
        </xdr:cNvPr>
        <xdr:cNvSpPr txBox="1"/>
      </xdr:nvSpPr>
      <xdr:spPr>
        <a:xfrm>
          <a:off x="4798313" y="3537113"/>
          <a:ext cx="10953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8</xdr:col>
      <xdr:colOff>438150</xdr:colOff>
      <xdr:row>1</xdr:row>
      <xdr:rowOff>95250</xdr:rowOff>
    </xdr:from>
    <xdr:ext cx="247650" cy="800100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12</xdr:row>
      <xdr:rowOff>104775</xdr:rowOff>
    </xdr:from>
    <xdr:ext cx="7267575" cy="4429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657225</xdr:colOff>
      <xdr:row>25</xdr:row>
      <xdr:rowOff>238125</xdr:rowOff>
    </xdr:from>
    <xdr:ext cx="5143500" cy="19907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314325</xdr:colOff>
      <xdr:row>12</xdr:row>
      <xdr:rowOff>304800</xdr:rowOff>
    </xdr:from>
    <xdr:ext cx="5781675" cy="38766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533400</xdr:colOff>
      <xdr:row>12</xdr:row>
      <xdr:rowOff>104775</xdr:rowOff>
    </xdr:from>
    <xdr:ext cx="7267575" cy="4429125"/>
    <xdr:grpSp>
      <xdr:nvGrpSpPr>
        <xdr:cNvPr id="2" name="Shape 2"/>
        <xdr:cNvGrpSpPr/>
      </xdr:nvGrpSpPr>
      <xdr:grpSpPr>
        <a:xfrm>
          <a:off x="1712213" y="1565438"/>
          <a:ext cx="7267575" cy="4429125"/>
          <a:chOff x="1712213" y="1565438"/>
          <a:chExt cx="7267575" cy="4429125"/>
        </a:xfrm>
      </xdr:grpSpPr>
      <xdr:grpSp>
        <xdr:nvGrpSpPr>
          <xdr:cNvPr id="112" name="Shape 112"/>
          <xdr:cNvGrpSpPr/>
        </xdr:nvGrpSpPr>
        <xdr:grpSpPr>
          <a:xfrm>
            <a:off x="1712213" y="1565438"/>
            <a:ext cx="7267575" cy="4429125"/>
            <a:chOff x="1712213" y="1565438"/>
            <a:chExt cx="7267575" cy="4429125"/>
          </a:xfrm>
        </xdr:grpSpPr>
        <xdr:sp>
          <xdr:nvSpPr>
            <xdr:cNvPr id="113" name="Shape 113"/>
            <xdr:cNvSpPr/>
          </xdr:nvSpPr>
          <xdr:spPr>
            <a:xfrm>
              <a:off x="1712213" y="1565438"/>
              <a:ext cx="7267575" cy="442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4" name="Shape 114"/>
            <xdr:cNvGrpSpPr/>
          </xdr:nvGrpSpPr>
          <xdr:grpSpPr>
            <a:xfrm>
              <a:off x="1712213" y="1565438"/>
              <a:ext cx="7267575" cy="4429125"/>
              <a:chOff x="1712213" y="1565438"/>
              <a:chExt cx="7267568" cy="4429125"/>
            </a:xfrm>
          </xdr:grpSpPr>
          <xdr:sp>
            <xdr:nvSpPr>
              <xdr:cNvPr id="115" name="Shape 115"/>
              <xdr:cNvSpPr/>
            </xdr:nvSpPr>
            <xdr:spPr>
              <a:xfrm>
                <a:off x="1712213" y="1565438"/>
                <a:ext cx="7267550" cy="4429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16" name="Shape 116"/>
              <xdr:cNvGrpSpPr/>
            </xdr:nvGrpSpPr>
            <xdr:grpSpPr>
              <a:xfrm>
                <a:off x="1712213" y="1565438"/>
                <a:ext cx="7267568" cy="4429125"/>
                <a:chOff x="966853" y="3206743"/>
                <a:chExt cx="6328825" cy="4730750"/>
              </a:xfrm>
            </xdr:grpSpPr>
            <xdr:sp>
              <xdr:nvSpPr>
                <xdr:cNvPr id="117" name="Shape 117"/>
                <xdr:cNvSpPr/>
              </xdr:nvSpPr>
              <xdr:spPr>
                <a:xfrm>
                  <a:off x="966853" y="3206743"/>
                  <a:ext cx="6328825" cy="47307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18" name="Shape 118"/>
                <xdr:cNvSpPr/>
              </xdr:nvSpPr>
              <xdr:spPr>
                <a:xfrm>
                  <a:off x="3344335" y="4624918"/>
                  <a:ext cx="1375830" cy="1375830"/>
                </a:xfrm>
                <a:prstGeom prst="ellipse">
                  <a:avLst/>
                </a:prstGeom>
                <a:solidFill>
                  <a:srgbClr val="C9C9C9"/>
                </a:solidFill>
                <a:ln>
                  <a:noFill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rPr lang="en-US" sz="1400"/>
                    <a:t> </a:t>
                  </a:r>
                  <a:endParaRPr sz="8800">
                    <a:solidFill>
                      <a:srgbClr val="757070"/>
                    </a:solidFill>
                    <a:latin typeface="Open Sans"/>
                    <a:ea typeface="Open Sans"/>
                    <a:cs typeface="Open Sans"/>
                    <a:sym typeface="Open Sans"/>
                  </a:endParaRPr>
                </a:p>
              </xdr:txBody>
            </xdr:sp>
          </xdr:grpSp>
        </xdr:grpSp>
      </xdr:grpSp>
    </xdr:grpSp>
    <xdr:clientData fLocksWithSheet="0"/>
  </xdr:oneCellAnchor>
  <xdr:oneCellAnchor>
    <xdr:from>
      <xdr:col>1</xdr:col>
      <xdr:colOff>752475</xdr:colOff>
      <xdr:row>2</xdr:row>
      <xdr:rowOff>0</xdr:rowOff>
    </xdr:from>
    <xdr:ext cx="1257300" cy="495300"/>
    <xdr:sp>
      <xdr:nvSpPr>
        <xdr:cNvPr id="119" name="Shape 119">
          <a:hlinkClick r:id="rId4"/>
        </xdr:cNvPr>
        <xdr:cNvSpPr txBox="1"/>
      </xdr:nvSpPr>
      <xdr:spPr>
        <a:xfrm>
          <a:off x="4722113" y="3537113"/>
          <a:ext cx="1247775" cy="485775"/>
        </a:xfrm>
        <a:prstGeom prst="rect">
          <a:avLst/>
        </a:prstGeom>
        <a:solidFill>
          <a:srgbClr val="FFFFFF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Open Sans"/>
            <a:buNone/>
          </a:pPr>
          <a:r>
            <a:rPr lang="en-US" sz="1050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Levantamento Inicial</a:t>
          </a:r>
          <a:endParaRPr sz="1400"/>
        </a:p>
      </xdr:txBody>
    </xdr:sp>
    <xdr:clientData fLocksWithSheet="0"/>
  </xdr:oneCellAnchor>
  <xdr:oneCellAnchor>
    <xdr:from>
      <xdr:col>2</xdr:col>
      <xdr:colOff>771525</xdr:colOff>
      <xdr:row>2</xdr:row>
      <xdr:rowOff>0</xdr:rowOff>
    </xdr:from>
    <xdr:ext cx="1257300" cy="495300"/>
    <xdr:sp>
      <xdr:nvSpPr>
        <xdr:cNvPr id="120" name="Shape 120">
          <a:hlinkClick r:id="rId5"/>
        </xdr:cNvPr>
        <xdr:cNvSpPr txBox="1"/>
      </xdr:nvSpPr>
      <xdr:spPr>
        <a:xfrm>
          <a:off x="4722113" y="3537113"/>
          <a:ext cx="12477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Mercado</a:t>
          </a:r>
          <a:endParaRPr sz="1400"/>
        </a:p>
      </xdr:txBody>
    </xdr:sp>
    <xdr:clientData fLocksWithSheet="0"/>
  </xdr:oneCellAnchor>
  <xdr:oneCellAnchor>
    <xdr:from>
      <xdr:col>3</xdr:col>
      <xdr:colOff>790575</xdr:colOff>
      <xdr:row>2</xdr:row>
      <xdr:rowOff>0</xdr:rowOff>
    </xdr:from>
    <xdr:ext cx="1257300" cy="495300"/>
    <xdr:sp>
      <xdr:nvSpPr>
        <xdr:cNvPr id="121" name="Shape 121">
          <a:hlinkClick r:id="rId6"/>
        </xdr:cNvPr>
        <xdr:cNvSpPr txBox="1"/>
      </xdr:nvSpPr>
      <xdr:spPr>
        <a:xfrm>
          <a:off x="4722113" y="3537113"/>
          <a:ext cx="12477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Processos</a:t>
          </a:r>
          <a:endParaRPr sz="1400"/>
        </a:p>
      </xdr:txBody>
    </xdr:sp>
    <xdr:clientData fLocksWithSheet="0"/>
  </xdr:oneCellAnchor>
  <xdr:oneCellAnchor>
    <xdr:from>
      <xdr:col>4</xdr:col>
      <xdr:colOff>809625</xdr:colOff>
      <xdr:row>2</xdr:row>
      <xdr:rowOff>0</xdr:rowOff>
    </xdr:from>
    <xdr:ext cx="1257300" cy="495300"/>
    <xdr:sp>
      <xdr:nvSpPr>
        <xdr:cNvPr id="122" name="Shape 122">
          <a:hlinkClick r:id="rId7"/>
        </xdr:cNvPr>
        <xdr:cNvSpPr txBox="1"/>
      </xdr:nvSpPr>
      <xdr:spPr>
        <a:xfrm>
          <a:off x="4722113" y="3537113"/>
          <a:ext cx="12477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Marketing</a:t>
          </a:r>
          <a:endParaRPr sz="1400"/>
        </a:p>
      </xdr:txBody>
    </xdr:sp>
    <xdr:clientData fLocksWithSheet="0"/>
  </xdr:oneCellAnchor>
  <xdr:oneCellAnchor>
    <xdr:from>
      <xdr:col>5</xdr:col>
      <xdr:colOff>828675</xdr:colOff>
      <xdr:row>2</xdr:row>
      <xdr:rowOff>0</xdr:rowOff>
    </xdr:from>
    <xdr:ext cx="1257300" cy="495300"/>
    <xdr:sp>
      <xdr:nvSpPr>
        <xdr:cNvPr id="123" name="Shape 123">
          <a:hlinkClick r:id="rId8"/>
        </xdr:cNvPr>
        <xdr:cNvSpPr txBox="1"/>
      </xdr:nvSpPr>
      <xdr:spPr>
        <a:xfrm>
          <a:off x="4722113" y="3537113"/>
          <a:ext cx="12477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Vendas</a:t>
          </a:r>
          <a:endParaRPr sz="1400"/>
        </a:p>
      </xdr:txBody>
    </xdr:sp>
    <xdr:clientData fLocksWithSheet="0"/>
  </xdr:oneCellAnchor>
  <xdr:oneCellAnchor>
    <xdr:from>
      <xdr:col>6</xdr:col>
      <xdr:colOff>847725</xdr:colOff>
      <xdr:row>2</xdr:row>
      <xdr:rowOff>0</xdr:rowOff>
    </xdr:from>
    <xdr:ext cx="1257300" cy="495300"/>
    <xdr:sp>
      <xdr:nvSpPr>
        <xdr:cNvPr id="124" name="Shape 124">
          <a:hlinkClick r:id="rId9"/>
        </xdr:cNvPr>
        <xdr:cNvSpPr txBox="1"/>
      </xdr:nvSpPr>
      <xdr:spPr>
        <a:xfrm>
          <a:off x="4722113" y="3537113"/>
          <a:ext cx="12477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Operação</a:t>
          </a:r>
          <a:endParaRPr sz="1400"/>
        </a:p>
      </xdr:txBody>
    </xdr:sp>
    <xdr:clientData fLocksWithSheet="0"/>
  </xdr:oneCellAnchor>
  <xdr:oneCellAnchor>
    <xdr:from>
      <xdr:col>7</xdr:col>
      <xdr:colOff>866775</xdr:colOff>
      <xdr:row>2</xdr:row>
      <xdr:rowOff>0</xdr:rowOff>
    </xdr:from>
    <xdr:ext cx="1257300" cy="495300"/>
    <xdr:sp>
      <xdr:nvSpPr>
        <xdr:cNvPr id="125" name="Shape 125">
          <a:hlinkClick r:id="rId10"/>
        </xdr:cNvPr>
        <xdr:cNvSpPr txBox="1"/>
      </xdr:nvSpPr>
      <xdr:spPr>
        <a:xfrm>
          <a:off x="4722113" y="3537113"/>
          <a:ext cx="12477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 de Pessoas</a:t>
          </a:r>
          <a:endParaRPr sz="1050"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885825</xdr:colOff>
      <xdr:row>2</xdr:row>
      <xdr:rowOff>0</xdr:rowOff>
    </xdr:from>
    <xdr:ext cx="1257300" cy="495300"/>
    <xdr:sp>
      <xdr:nvSpPr>
        <xdr:cNvPr id="126" name="Shape 126">
          <a:hlinkClick r:id="rId11"/>
        </xdr:cNvPr>
        <xdr:cNvSpPr txBox="1"/>
      </xdr:nvSpPr>
      <xdr:spPr>
        <a:xfrm>
          <a:off x="4722113" y="3537113"/>
          <a:ext cx="1247775" cy="485775"/>
        </a:xfrm>
        <a:prstGeom prst="rect">
          <a:avLst/>
        </a:prstGeom>
        <a:solidFill>
          <a:schemeClr val="lt1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050"/>
            <a:buFont typeface="Open Sans"/>
            <a:buNone/>
          </a:pPr>
          <a:r>
            <a:rPr lang="en-US" sz="1050">
              <a:solidFill>
                <a:schemeClr val="dk1"/>
              </a:solidFill>
              <a:latin typeface="Open Sans"/>
              <a:ea typeface="Open Sans"/>
              <a:cs typeface="Open Sans"/>
              <a:sym typeface="Open Sans"/>
            </a:rPr>
            <a:t>Gestão</a:t>
          </a:r>
          <a:endParaRPr sz="1400"/>
        </a:p>
      </xdr:txBody>
    </xdr:sp>
    <xdr:clientData fLocksWithSheet="0"/>
  </xdr:oneCellAnchor>
  <xdr:oneCellAnchor>
    <xdr:from>
      <xdr:col>9</xdr:col>
      <xdr:colOff>895350</xdr:colOff>
      <xdr:row>2</xdr:row>
      <xdr:rowOff>0</xdr:rowOff>
    </xdr:from>
    <xdr:ext cx="1257300" cy="495300"/>
    <xdr:sp>
      <xdr:nvSpPr>
        <xdr:cNvPr id="127" name="Shape 127"/>
        <xdr:cNvSpPr txBox="1"/>
      </xdr:nvSpPr>
      <xdr:spPr>
        <a:xfrm>
          <a:off x="4722113" y="3537113"/>
          <a:ext cx="1247775" cy="485775"/>
        </a:xfrm>
        <a:prstGeom prst="rect">
          <a:avLst/>
        </a:prstGeom>
        <a:solidFill>
          <a:srgbClr val="802424"/>
        </a:solidFill>
        <a:ln cap="flat" cmpd="sng" w="9525">
          <a:solidFill>
            <a:schemeClr val="l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1050"/>
            <a:buFont typeface="Open Sans"/>
            <a:buNone/>
          </a:pPr>
          <a:r>
            <a:rPr lang="en-US" sz="105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Resultado</a:t>
          </a:r>
          <a:endParaRPr sz="1400"/>
        </a:p>
      </xdr:txBody>
    </xdr:sp>
    <xdr:clientData fLocksWithSheet="0"/>
  </xdr:oneCellAnchor>
  <xdr:oneCellAnchor>
    <xdr:from>
      <xdr:col>0</xdr:col>
      <xdr:colOff>304800</xdr:colOff>
      <xdr:row>1</xdr:row>
      <xdr:rowOff>76200</xdr:rowOff>
    </xdr:from>
    <xdr:ext cx="247650" cy="790575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28575</xdr:colOff>
      <xdr:row>1</xdr:row>
      <xdr:rowOff>66675</xdr:rowOff>
    </xdr:from>
    <xdr:ext cx="266700" cy="790575"/>
    <xdr:pic>
      <xdr:nvPicPr>
        <xdr:cNvPr descr="Uma imagem contendo desenho&#10;&#10;Descrição gerada automaticamente"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exa.com/siteinf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0.78"/>
    <col customWidth="1" min="2" max="2" width="22.67"/>
    <col customWidth="1" min="3" max="3" width="83.33"/>
    <col customWidth="1" min="4" max="4" width="6.44"/>
    <col customWidth="1" min="5" max="5" width="6.0"/>
    <col customWidth="1" min="6" max="26" width="10.78"/>
  </cols>
  <sheetData>
    <row r="1" ht="118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9.0" customHeight="1">
      <c r="A3" s="3"/>
      <c r="B3" s="4" t="s">
        <v>0</v>
      </c>
      <c r="C3" s="5"/>
      <c r="D3" s="3"/>
      <c r="E3" s="3"/>
      <c r="F3" s="6" t="s">
        <v>1</v>
      </c>
      <c r="G3" s="7"/>
      <c r="H3" s="7"/>
      <c r="I3" s="7"/>
      <c r="J3" s="7"/>
      <c r="K3" s="7"/>
      <c r="L3" s="7"/>
      <c r="M3" s="7"/>
      <c r="N3" s="7"/>
      <c r="O3" s="7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3"/>
      <c r="B4" s="4"/>
      <c r="C4" s="8"/>
      <c r="D4" s="3"/>
      <c r="E4" s="3"/>
      <c r="F4" s="9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75" customHeight="1">
      <c r="A5" s="3"/>
      <c r="B5" s="4" t="s">
        <v>2</v>
      </c>
      <c r="C5" s="5"/>
      <c r="D5" s="3"/>
      <c r="E5" s="3"/>
      <c r="F5" s="9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3"/>
      <c r="B6" s="4"/>
      <c r="C6" s="8"/>
      <c r="D6" s="3"/>
      <c r="E6" s="3"/>
      <c r="F6" s="9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3.75" customHeight="1">
      <c r="A7" s="3"/>
      <c r="B7" s="4" t="s">
        <v>3</v>
      </c>
      <c r="C7" s="5"/>
      <c r="D7" s="3"/>
      <c r="E7" s="3"/>
      <c r="F7" s="10"/>
      <c r="G7" s="11"/>
      <c r="H7" s="11"/>
      <c r="I7" s="11"/>
      <c r="J7" s="12"/>
      <c r="K7" s="13"/>
      <c r="L7" s="11"/>
      <c r="M7" s="11"/>
      <c r="N7" s="11"/>
      <c r="O7" s="11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"/>
      <c r="B8" s="4"/>
      <c r="C8" s="8"/>
      <c r="D8" s="3"/>
      <c r="E8" s="3"/>
      <c r="F8" s="11"/>
      <c r="G8" s="11"/>
      <c r="H8" s="11"/>
      <c r="I8" s="11"/>
      <c r="J8" s="11"/>
      <c r="K8" s="11"/>
      <c r="L8" s="11"/>
      <c r="M8" s="11"/>
      <c r="N8" s="11"/>
      <c r="O8" s="11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3.75" customHeight="1">
      <c r="A9" s="3"/>
      <c r="B9" s="4" t="s">
        <v>4</v>
      </c>
      <c r="C9" s="5"/>
      <c r="D9" s="3"/>
      <c r="E9" s="3"/>
      <c r="F9" s="11"/>
      <c r="G9" s="11"/>
      <c r="H9" s="11"/>
      <c r="I9" s="11"/>
      <c r="J9" s="11"/>
      <c r="K9" s="11"/>
      <c r="L9" s="11"/>
      <c r="M9" s="11"/>
      <c r="N9" s="11"/>
      <c r="O9" s="11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3.75" customHeight="1">
      <c r="A10" s="2"/>
      <c r="B10" s="2"/>
      <c r="C10" s="2"/>
      <c r="D10" s="2"/>
      <c r="E10" s="2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75" customHeight="1">
      <c r="A11" s="2"/>
      <c r="B11" s="2"/>
      <c r="C11" s="2"/>
      <c r="D11" s="2"/>
      <c r="E11" s="2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75" customHeight="1">
      <c r="A12" s="2"/>
      <c r="B12" s="2"/>
      <c r="C12" s="2"/>
      <c r="D12" s="2"/>
      <c r="E12" s="2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75" customHeight="1">
      <c r="A13" s="2"/>
      <c r="B13" s="2"/>
      <c r="C13" s="2"/>
      <c r="D13" s="2"/>
      <c r="E13" s="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2"/>
      <c r="B14" s="2"/>
      <c r="C14" s="2"/>
      <c r="D14" s="2"/>
      <c r="E14" s="2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6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6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6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6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6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6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6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6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6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6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6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6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6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6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6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6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6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6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6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6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6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6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6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6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6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6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6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6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6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6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6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6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6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6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6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6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6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6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6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6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6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6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6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6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6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6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6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6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6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6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6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6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6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6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6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6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6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6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6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6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6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6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6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6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6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6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6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6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6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6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6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6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6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6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6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6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6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6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6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6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6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6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6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6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6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6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6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6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6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6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6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6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6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6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6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6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6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6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6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6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6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6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6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6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6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6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6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6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6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6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6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6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6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6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6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6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6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6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6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6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6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6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6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6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6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6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6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6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6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6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6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6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6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6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6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6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6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6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6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6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6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6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6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6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6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6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6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6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6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6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6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6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6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6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6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6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6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6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6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6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6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6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6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6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6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6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6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6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6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6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6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6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6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6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6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6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6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6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6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6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6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6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6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6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6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6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6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6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6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6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6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6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6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6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6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6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6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6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6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6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6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6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6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6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6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3:O6"/>
    <mergeCell ref="J7:K7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19.78"/>
    <col customWidth="1" hidden="1" min="6" max="6" width="4.89"/>
    <col customWidth="1" min="7" max="9" width="9.56"/>
    <col customWidth="1" min="10" max="10" width="0.89"/>
    <col customWidth="1" hidden="1" min="11" max="13" width="10.78"/>
    <col customWidth="1" min="14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1"/>
      <c r="F5" s="21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23" t="str">
        <f>"Percentual de conclusão: "&amp;ROUND(E6*100,0)&amp;"%"</f>
        <v>Percentual de conclusão: 0%</v>
      </c>
      <c r="D6" s="24"/>
      <c r="E6" s="25">
        <f>COUNTA(E8,E12,E14,E16,E18,E20,E10)/7</f>
        <v>0</v>
      </c>
      <c r="F6" s="26"/>
      <c r="G6" s="27"/>
      <c r="H6" s="24"/>
      <c r="I6" s="24"/>
      <c r="J6" s="24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0.5" customHeight="1">
      <c r="A7" s="22"/>
      <c r="B7" s="22"/>
      <c r="C7" s="24"/>
      <c r="D7" s="24" t="s">
        <v>6</v>
      </c>
      <c r="E7" s="26"/>
      <c r="F7" s="26"/>
      <c r="G7" s="24"/>
      <c r="H7" s="24"/>
      <c r="I7" s="24"/>
      <c r="J7" s="24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40.5" customHeight="1">
      <c r="A8" s="22"/>
      <c r="B8" s="22"/>
      <c r="C8" s="29" t="s">
        <v>7</v>
      </c>
      <c r="D8" s="30" t="s">
        <v>8</v>
      </c>
      <c r="E8" s="31"/>
      <c r="F8" s="26"/>
      <c r="G8" s="28"/>
      <c r="H8" s="28"/>
      <c r="I8" s="28"/>
      <c r="J8" s="28"/>
      <c r="K8" s="32"/>
      <c r="L8" s="32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2"/>
      <c r="B9" s="22"/>
      <c r="C9" s="33"/>
      <c r="D9" s="34"/>
      <c r="E9" s="35"/>
      <c r="F9" s="26"/>
      <c r="G9" s="28"/>
      <c r="H9" s="28"/>
      <c r="I9" s="28"/>
      <c r="J9" s="28"/>
      <c r="K9" s="32"/>
      <c r="L9" s="32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1.25" customHeight="1">
      <c r="A10" s="22"/>
      <c r="B10" s="22"/>
      <c r="C10" s="29" t="s">
        <v>9</v>
      </c>
      <c r="D10" s="30" t="s">
        <v>10</v>
      </c>
      <c r="E10" s="31"/>
      <c r="F10" s="26"/>
      <c r="G10" s="28"/>
      <c r="H10" s="28"/>
      <c r="I10" s="28"/>
      <c r="J10" s="28"/>
      <c r="K10" s="32"/>
      <c r="L10" s="32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26"/>
      <c r="G11" s="28"/>
      <c r="H11" s="28"/>
      <c r="I11" s="28"/>
      <c r="J11" s="28"/>
      <c r="K11" s="32"/>
      <c r="L11" s="32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11</v>
      </c>
      <c r="D12" s="30" t="s">
        <v>12</v>
      </c>
      <c r="E12" s="31"/>
      <c r="F12" s="26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2"/>
      <c r="B13" s="22"/>
      <c r="C13" s="33"/>
      <c r="D13" s="34"/>
      <c r="E13" s="35"/>
      <c r="F13" s="26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13</v>
      </c>
      <c r="D14" s="30" t="s">
        <v>14</v>
      </c>
      <c r="E14" s="31"/>
      <c r="F14" s="26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33"/>
      <c r="D15" s="34"/>
      <c r="E15" s="35"/>
      <c r="F15" s="26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15</v>
      </c>
      <c r="D16" s="30" t="s">
        <v>16</v>
      </c>
      <c r="E16" s="31"/>
      <c r="F16" s="26">
        <f>IF(E16&gt;=5,10,IF(E16&gt;=3,5,0))</f>
        <v>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2"/>
      <c r="B17" s="22"/>
      <c r="C17" s="33"/>
      <c r="D17" s="34"/>
      <c r="E17" s="35"/>
      <c r="F17" s="26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17</v>
      </c>
      <c r="D18" s="30" t="s">
        <v>18</v>
      </c>
      <c r="E18" s="36"/>
      <c r="F18" s="26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2"/>
      <c r="B19" s="22"/>
      <c r="C19" s="33"/>
      <c r="D19" s="34"/>
      <c r="E19" s="35"/>
      <c r="F19" s="26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19</v>
      </c>
      <c r="D20" s="30" t="s">
        <v>20</v>
      </c>
      <c r="E20" s="31"/>
      <c r="F20" s="26">
        <f>IF(E20="SIM",10,0)</f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2"/>
      <c r="B21" s="22"/>
      <c r="C21" s="33"/>
      <c r="D21" s="34"/>
      <c r="E21" s="35"/>
      <c r="F21" s="26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2.75" customHeight="1">
      <c r="A22" s="22"/>
      <c r="B22" s="22"/>
      <c r="C22" s="19"/>
      <c r="D22" s="37"/>
      <c r="E22" s="26"/>
      <c r="F22" s="26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40.5" customHeight="1">
      <c r="A23" s="18"/>
      <c r="B23" s="18"/>
      <c r="C23" s="38" t="str">
        <f>IF(E6&lt;&gt;100%,"Termine o preenchimento para descobrir sua nota!","Sua nota média em levantamento inicial é: "&amp;F23)</f>
        <v>Termine o preenchimento para descobrir sua nota!</v>
      </c>
      <c r="D23" s="18"/>
      <c r="E23" s="18"/>
      <c r="F23" s="18">
        <f>ROUND(AVERAGE(F20,F16),1)</f>
        <v>0</v>
      </c>
      <c r="G23" s="18"/>
      <c r="H23" s="18"/>
      <c r="I23" s="18"/>
      <c r="J23" s="18"/>
      <c r="K23" s="28"/>
      <c r="L23" s="18"/>
      <c r="M23" s="39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40.5" customHeight="1">
      <c r="A24" s="18"/>
      <c r="B24" s="18"/>
      <c r="C24" s="40"/>
      <c r="D24" s="18"/>
      <c r="E24" s="28"/>
      <c r="F24" s="2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40.5" customHeight="1">
      <c r="A25" s="18"/>
      <c r="B25" s="18"/>
      <c r="C25" s="40"/>
      <c r="D25" s="18"/>
      <c r="E25" s="28"/>
      <c r="F25" s="2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40.5" customHeight="1">
      <c r="A26" s="18"/>
      <c r="B26" s="18"/>
      <c r="C26" s="40"/>
      <c r="D26" s="18"/>
      <c r="E26" s="28"/>
      <c r="F26" s="2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40.5" customHeight="1">
      <c r="A27" s="18"/>
      <c r="B27" s="18"/>
      <c r="C27" s="40"/>
      <c r="D27" s="18"/>
      <c r="E27" s="28"/>
      <c r="F27" s="2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40.5" customHeight="1">
      <c r="A28" s="18"/>
      <c r="B28" s="18"/>
      <c r="C28" s="40"/>
      <c r="D28" s="18"/>
      <c r="E28" s="28"/>
      <c r="F28" s="2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40.5" customHeight="1">
      <c r="A29" s="18"/>
      <c r="B29" s="18"/>
      <c r="C29" s="40"/>
      <c r="D29" s="18"/>
      <c r="E29" s="28"/>
      <c r="F29" s="2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40.5" customHeight="1">
      <c r="A30" s="18"/>
      <c r="B30" s="18"/>
      <c r="C30" s="40"/>
      <c r="D30" s="18"/>
      <c r="E30" s="28"/>
      <c r="F30" s="2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40.5" customHeight="1">
      <c r="A31" s="18"/>
      <c r="B31" s="18"/>
      <c r="C31" s="40"/>
      <c r="D31" s="18"/>
      <c r="E31" s="28"/>
      <c r="F31" s="2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40.5" customHeight="1">
      <c r="A32" s="18"/>
      <c r="B32" s="18"/>
      <c r="C32" s="40"/>
      <c r="D32" s="18"/>
      <c r="E32" s="28"/>
      <c r="F32" s="2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0.5" customHeight="1">
      <c r="A33" s="18"/>
      <c r="B33" s="18"/>
      <c r="C33" s="40"/>
      <c r="D33" s="18"/>
      <c r="E33" s="28"/>
      <c r="F33" s="2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40"/>
      <c r="D34" s="18"/>
      <c r="E34" s="28"/>
      <c r="F34" s="2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18"/>
      <c r="E35" s="28"/>
      <c r="F35" s="2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18"/>
      <c r="E36" s="28"/>
      <c r="F36" s="2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18"/>
      <c r="E37" s="28"/>
      <c r="F37" s="2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18"/>
      <c r="E38" s="28"/>
      <c r="F38" s="2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28"/>
      <c r="F39" s="2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28"/>
      <c r="F40" s="2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28"/>
      <c r="F41" s="2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28"/>
      <c r="F42" s="2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28"/>
      <c r="F43" s="2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28"/>
      <c r="F44" s="2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28"/>
      <c r="F45" s="2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28"/>
      <c r="F46" s="2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28"/>
      <c r="F47" s="2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28"/>
      <c r="F48" s="2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28"/>
      <c r="F49" s="2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28"/>
      <c r="F50" s="2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28"/>
      <c r="F51" s="2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28"/>
      <c r="F52" s="2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28"/>
      <c r="F53" s="2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28"/>
      <c r="F54" s="2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28"/>
      <c r="F55" s="2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28"/>
      <c r="F56" s="2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28"/>
      <c r="F57" s="2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28"/>
      <c r="F58" s="2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28"/>
      <c r="F59" s="2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28"/>
      <c r="F60" s="2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28"/>
      <c r="F61" s="2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28"/>
      <c r="F62" s="2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28"/>
      <c r="F63" s="2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28"/>
      <c r="F64" s="2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28"/>
      <c r="F65" s="2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28"/>
      <c r="F66" s="2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28"/>
      <c r="F67" s="2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28"/>
      <c r="F68" s="2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28"/>
      <c r="F69" s="2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28"/>
      <c r="F70" s="2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28"/>
      <c r="F71" s="2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28"/>
      <c r="F72" s="2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28"/>
      <c r="F73" s="2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28"/>
      <c r="F74" s="2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28"/>
      <c r="F75" s="2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28"/>
      <c r="F76" s="2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28"/>
      <c r="F77" s="2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28"/>
      <c r="F78" s="2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28"/>
      <c r="F79" s="2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28"/>
      <c r="F80" s="2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28"/>
      <c r="F81" s="2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28"/>
      <c r="F82" s="2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28"/>
      <c r="F83" s="2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28"/>
      <c r="F84" s="2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28"/>
      <c r="F85" s="2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28"/>
      <c r="F86" s="2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28"/>
      <c r="F87" s="2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28"/>
      <c r="F88" s="2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28"/>
      <c r="F89" s="2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28"/>
      <c r="F90" s="2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28"/>
      <c r="F91" s="2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28"/>
      <c r="F92" s="2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28"/>
      <c r="F93" s="2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28"/>
      <c r="F94" s="2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28"/>
      <c r="F95" s="2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28"/>
      <c r="F96" s="2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28"/>
      <c r="F97" s="2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28"/>
      <c r="F98" s="2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28"/>
      <c r="F99" s="2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28"/>
      <c r="F100" s="2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28"/>
      <c r="F101" s="2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28"/>
      <c r="F102" s="2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28"/>
      <c r="F103" s="2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28"/>
      <c r="F104" s="2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28"/>
      <c r="F105" s="2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28"/>
      <c r="F106" s="2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28"/>
      <c r="F107" s="2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28"/>
      <c r="F108" s="2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28"/>
      <c r="F109" s="2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28"/>
      <c r="F110" s="2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28"/>
      <c r="F111" s="2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28"/>
      <c r="F112" s="2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28"/>
      <c r="F113" s="2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28"/>
      <c r="F114" s="2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28"/>
      <c r="F115" s="2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28"/>
      <c r="F116" s="2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28"/>
      <c r="F117" s="2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28"/>
      <c r="F118" s="2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28"/>
      <c r="F119" s="2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28"/>
      <c r="F120" s="2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28"/>
      <c r="F121" s="2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28"/>
      <c r="F122" s="2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28"/>
      <c r="F123" s="2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28"/>
      <c r="F124" s="2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28"/>
      <c r="F125" s="2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28"/>
      <c r="F126" s="2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28"/>
      <c r="F127" s="2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28"/>
      <c r="F128" s="2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28"/>
      <c r="F129" s="2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40.5" customHeight="1">
      <c r="A130" s="18"/>
      <c r="B130" s="18"/>
      <c r="C130" s="40"/>
      <c r="D130" s="18"/>
      <c r="E130" s="28"/>
      <c r="F130" s="2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40.5" customHeight="1">
      <c r="A131" s="18"/>
      <c r="B131" s="18"/>
      <c r="C131" s="40"/>
      <c r="D131" s="18"/>
      <c r="E131" s="28"/>
      <c r="F131" s="2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40.5" customHeight="1">
      <c r="A132" s="18"/>
      <c r="B132" s="18"/>
      <c r="C132" s="40"/>
      <c r="D132" s="18"/>
      <c r="E132" s="28"/>
      <c r="F132" s="2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22.5" customHeight="1">
      <c r="A133" s="18"/>
      <c r="B133" s="18"/>
      <c r="C133" s="40"/>
      <c r="D133" s="18"/>
      <c r="E133" s="28"/>
      <c r="F133" s="2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2.5" customHeight="1">
      <c r="A134" s="18"/>
      <c r="B134" s="18"/>
      <c r="C134" s="40"/>
      <c r="D134" s="18"/>
      <c r="E134" s="28"/>
      <c r="F134" s="2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2.5" customHeight="1">
      <c r="A135" s="18"/>
      <c r="B135" s="18"/>
      <c r="C135" s="40"/>
      <c r="D135" s="18"/>
      <c r="E135" s="28"/>
      <c r="F135" s="2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2.5" customHeight="1">
      <c r="A136" s="18"/>
      <c r="B136" s="18"/>
      <c r="C136" s="40"/>
      <c r="D136" s="18"/>
      <c r="E136" s="28"/>
      <c r="F136" s="2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2.5" customHeight="1">
      <c r="A137" s="18"/>
      <c r="B137" s="18"/>
      <c r="C137" s="40"/>
      <c r="D137" s="18"/>
      <c r="E137" s="28"/>
      <c r="F137" s="2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2.5" customHeight="1">
      <c r="A138" s="18"/>
      <c r="B138" s="18"/>
      <c r="C138" s="40"/>
      <c r="D138" s="18"/>
      <c r="E138" s="28"/>
      <c r="F138" s="2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28"/>
      <c r="F139" s="2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28"/>
      <c r="F140" s="2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28"/>
      <c r="F141" s="2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28"/>
      <c r="F142" s="2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28"/>
      <c r="F143" s="2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28"/>
      <c r="F144" s="2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28"/>
      <c r="F145" s="2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28"/>
      <c r="F146" s="2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28"/>
      <c r="F147" s="2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28"/>
      <c r="F148" s="2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28"/>
      <c r="F149" s="2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28"/>
      <c r="F150" s="2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28"/>
      <c r="F151" s="2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28"/>
      <c r="F152" s="2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28"/>
      <c r="F153" s="2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28"/>
      <c r="F154" s="2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28"/>
      <c r="F155" s="2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28"/>
      <c r="F156" s="2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28"/>
      <c r="F157" s="2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28"/>
      <c r="F158" s="2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28"/>
      <c r="F159" s="2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28"/>
      <c r="F160" s="2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28"/>
      <c r="F161" s="2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28"/>
      <c r="F162" s="2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28"/>
      <c r="F163" s="2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28"/>
      <c r="F164" s="2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28"/>
      <c r="F165" s="2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28"/>
      <c r="F166" s="2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28"/>
      <c r="F167" s="2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28"/>
      <c r="F168" s="2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28"/>
      <c r="F169" s="2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28"/>
      <c r="F170" s="2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28"/>
      <c r="F171" s="2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28"/>
      <c r="F172" s="2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28"/>
      <c r="F173" s="2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28"/>
      <c r="F174" s="2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28"/>
      <c r="F175" s="2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28"/>
      <c r="F176" s="2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28"/>
      <c r="F177" s="2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28"/>
      <c r="F178" s="2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28"/>
      <c r="F179" s="2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28"/>
      <c r="F180" s="2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28"/>
      <c r="F181" s="2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28"/>
      <c r="F182" s="2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28"/>
      <c r="F183" s="2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28"/>
      <c r="F184" s="2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28"/>
      <c r="F185" s="2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28"/>
      <c r="F186" s="2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28"/>
      <c r="F187" s="2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28"/>
      <c r="F188" s="2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28"/>
      <c r="F189" s="2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28"/>
      <c r="F190" s="2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28"/>
      <c r="F191" s="2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28"/>
      <c r="F192" s="2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28"/>
      <c r="F193" s="2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28"/>
      <c r="F194" s="2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28"/>
      <c r="F195" s="2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28"/>
      <c r="F196" s="2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28"/>
      <c r="F197" s="2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28"/>
      <c r="F198" s="2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28"/>
      <c r="F199" s="2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28"/>
      <c r="F200" s="2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28"/>
      <c r="F201" s="2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28"/>
      <c r="F202" s="2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28"/>
      <c r="F203" s="2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28"/>
      <c r="F204" s="2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28"/>
      <c r="F205" s="2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28"/>
      <c r="F206" s="2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28"/>
      <c r="F207" s="2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28"/>
      <c r="F208" s="2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28"/>
      <c r="F209" s="2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28"/>
      <c r="F210" s="2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28"/>
      <c r="F211" s="2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28"/>
      <c r="F212" s="2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28"/>
      <c r="F213" s="2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28"/>
      <c r="F214" s="2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28"/>
      <c r="F215" s="2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28"/>
      <c r="F216" s="2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28"/>
      <c r="F217" s="2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28"/>
      <c r="F218" s="2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28"/>
      <c r="F219" s="2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28"/>
      <c r="F220" s="2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28"/>
      <c r="F221" s="2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28"/>
      <c r="F222" s="2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28"/>
      <c r="F223" s="2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I1"/>
    <mergeCell ref="A3:B3"/>
    <mergeCell ref="C3:D3"/>
    <mergeCell ref="E3:F3"/>
  </mergeCells>
  <dataValidations>
    <dataValidation type="list" allowBlank="1" sqref="E20">
      <formula1>"Sim,Não"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20.0"/>
    <col customWidth="1" hidden="1" min="6" max="6" width="2.56"/>
    <col customWidth="1" min="7" max="9" width="9.56"/>
    <col customWidth="1" min="10" max="10" width="0.89"/>
    <col customWidth="1" hidden="1" min="11" max="11" width="1.67"/>
    <col customWidth="1" hidden="1" min="12" max="12" width="11.11"/>
    <col customWidth="1" hidden="1" min="13" max="22" width="10.78"/>
    <col customWidth="1" hidden="1" min="23" max="23" width="15.33"/>
    <col customWidth="1" hidden="1" min="24" max="24" width="4.0"/>
    <col customWidth="1" hidden="1" min="25" max="25" width="10.78"/>
    <col customWidth="1" min="26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0"/>
      <c r="F5" s="20"/>
      <c r="G5" s="20"/>
      <c r="H5" s="20"/>
      <c r="I5" s="20"/>
      <c r="J5" s="20"/>
      <c r="K5" s="28"/>
      <c r="L5" s="18"/>
      <c r="M5" s="4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80%</v>
      </c>
      <c r="D6" s="24"/>
      <c r="E6" s="43">
        <f>COUNTA(C9,E11,C14,C17,E19,E21,C24,E26,C29,C32)/10</f>
        <v>0.8</v>
      </c>
      <c r="F6" s="27"/>
      <c r="G6" s="27"/>
      <c r="H6" s="24"/>
      <c r="I6" s="24"/>
      <c r="J6" s="24"/>
      <c r="K6" s="28"/>
      <c r="L6" s="28"/>
      <c r="M6" s="44"/>
      <c r="N6" s="45"/>
      <c r="O6" s="45"/>
      <c r="P6" s="45"/>
      <c r="Q6" s="45"/>
      <c r="R6" s="45"/>
      <c r="S6" s="45"/>
      <c r="T6" s="45"/>
      <c r="U6" s="45"/>
      <c r="V6" s="45"/>
      <c r="W6" s="46"/>
      <c r="X6" s="28"/>
      <c r="Y6" s="45"/>
      <c r="Z6" s="28"/>
    </row>
    <row r="7" ht="10.5" customHeight="1">
      <c r="A7" s="22"/>
      <c r="B7" s="22"/>
      <c r="C7" s="24"/>
      <c r="D7" s="24" t="s">
        <v>6</v>
      </c>
      <c r="E7" s="24"/>
      <c r="F7" s="27"/>
      <c r="G7" s="24"/>
      <c r="H7" s="24"/>
      <c r="I7" s="24"/>
      <c r="J7" s="24"/>
      <c r="K7" s="28"/>
      <c r="L7" s="28"/>
      <c r="M7" s="44"/>
      <c r="N7" s="45"/>
      <c r="O7" s="45"/>
      <c r="P7" s="45"/>
      <c r="Q7" s="45"/>
      <c r="R7" s="45"/>
      <c r="S7" s="45"/>
      <c r="T7" s="45"/>
      <c r="U7" s="45"/>
      <c r="V7" s="45"/>
      <c r="W7" s="46"/>
      <c r="X7" s="28"/>
      <c r="Y7" s="45"/>
      <c r="Z7" s="28"/>
    </row>
    <row r="8" ht="40.5" customHeight="1">
      <c r="A8" s="22"/>
      <c r="B8" s="22"/>
      <c r="C8" s="29" t="s">
        <v>21</v>
      </c>
      <c r="D8" s="30" t="s">
        <v>22</v>
      </c>
      <c r="E8" s="47"/>
      <c r="F8" s="26"/>
      <c r="G8" s="28"/>
      <c r="H8" s="28"/>
      <c r="I8" s="28"/>
      <c r="J8" s="28"/>
      <c r="K8" s="28"/>
      <c r="L8" s="28"/>
      <c r="M8" s="28" t="str">
        <f>IF(ISERROR(AVERAGE(#REF!)),"",AVERAGE(#REF!))</f>
        <v/>
      </c>
      <c r="N8" s="28"/>
      <c r="O8" s="28"/>
      <c r="P8" s="28"/>
      <c r="Q8" s="28"/>
      <c r="R8" s="28"/>
      <c r="S8" s="28"/>
      <c r="T8" s="28"/>
      <c r="U8" s="28"/>
      <c r="V8" s="28"/>
      <c r="W8" s="28" t="s">
        <v>23</v>
      </c>
      <c r="X8" s="28">
        <v>10.0</v>
      </c>
      <c r="Y8" s="28"/>
      <c r="Z8" s="28"/>
    </row>
    <row r="9" ht="66.0" customHeight="1">
      <c r="A9" s="22"/>
      <c r="B9" s="22"/>
      <c r="C9" s="48" t="s">
        <v>24</v>
      </c>
      <c r="D9" s="49"/>
      <c r="E9" s="47"/>
      <c r="F9" s="26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2.75" customHeight="1">
      <c r="A10" s="22"/>
      <c r="B10" s="22"/>
      <c r="C10" s="33"/>
      <c r="D10" s="34"/>
      <c r="E10" s="35"/>
      <c r="F10" s="26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40.5" customHeight="1">
      <c r="A11" s="22"/>
      <c r="B11" s="22"/>
      <c r="C11" s="29" t="s">
        <v>25</v>
      </c>
      <c r="D11" s="30" t="s">
        <v>26</v>
      </c>
      <c r="E11" s="50">
        <v>0.75</v>
      </c>
      <c r="F11" s="26">
        <f>IF(E11&gt;=90%,10,IF(E11&lt;90%,0,0))</f>
        <v>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2.75" customHeight="1">
      <c r="A12" s="22"/>
      <c r="B12" s="22"/>
      <c r="C12" s="33"/>
      <c r="D12" s="34"/>
      <c r="E12" s="35"/>
      <c r="F12" s="26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40.5" customHeight="1">
      <c r="A13" s="22"/>
      <c r="B13" s="22"/>
      <c r="C13" s="29" t="s">
        <v>27</v>
      </c>
      <c r="D13" s="30" t="s">
        <v>28</v>
      </c>
      <c r="E13" s="51"/>
      <c r="F13" s="26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 t="s">
        <v>29</v>
      </c>
      <c r="X13" s="28">
        <v>0.0</v>
      </c>
      <c r="Y13" s="28"/>
      <c r="Z13" s="28"/>
    </row>
    <row r="14" ht="66.0" customHeight="1">
      <c r="A14" s="22"/>
      <c r="B14" s="22"/>
      <c r="C14" s="48"/>
      <c r="D14" s="49"/>
      <c r="E14" s="47"/>
      <c r="F14" s="26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33"/>
      <c r="D15" s="34"/>
      <c r="E15" s="35"/>
      <c r="F15" s="26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30</v>
      </c>
      <c r="D16" s="30" t="s">
        <v>31</v>
      </c>
      <c r="E16" s="51"/>
      <c r="F16" s="26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 t="s">
        <v>32</v>
      </c>
      <c r="X16" s="28">
        <v>10.0</v>
      </c>
      <c r="Y16" s="28"/>
      <c r="Z16" s="28"/>
    </row>
    <row r="17" ht="66.75" customHeight="1">
      <c r="A17" s="22"/>
      <c r="B17" s="22"/>
      <c r="C17" s="48"/>
      <c r="D17" s="49"/>
      <c r="E17" s="47"/>
      <c r="F17" s="26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2.75" customHeight="1">
      <c r="A18" s="22"/>
      <c r="B18" s="22"/>
      <c r="C18" s="33"/>
      <c r="D18" s="34"/>
      <c r="E18" s="35"/>
      <c r="F18" s="26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40.5" customHeight="1">
      <c r="A19" s="22"/>
      <c r="B19" s="22"/>
      <c r="C19" s="29" t="s">
        <v>33</v>
      </c>
      <c r="D19" s="30" t="s">
        <v>34</v>
      </c>
      <c r="E19" s="31" t="s">
        <v>29</v>
      </c>
      <c r="F19" s="26">
        <f>IF(E19="",0,IF(E19="Ainda é precisamos fazer ajustes",0,IF(E19="Parcialmente",5,10)))</f>
        <v>10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2.75" customHeight="1">
      <c r="A20" s="22"/>
      <c r="B20" s="22"/>
      <c r="C20" s="33"/>
      <c r="D20" s="34"/>
      <c r="E20" s="35"/>
      <c r="F20" s="26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40.5" customHeight="1">
      <c r="A21" s="22"/>
      <c r="B21" s="22"/>
      <c r="C21" s="29" t="s">
        <v>35</v>
      </c>
      <c r="D21" s="30" t="s">
        <v>36</v>
      </c>
      <c r="E21" s="31" t="s">
        <v>37</v>
      </c>
      <c r="F21" s="26">
        <f>IF(E21="",0,IF(E21="Ainda é precisamos fazer ajustes",0,IF(E21="Parcialmente",5,10)))</f>
        <v>5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2.75" customHeight="1">
      <c r="A22" s="22"/>
      <c r="B22" s="22"/>
      <c r="C22" s="33"/>
      <c r="D22" s="34"/>
      <c r="E22" s="35"/>
      <c r="F22" s="26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40.5" customHeight="1">
      <c r="A23" s="22"/>
      <c r="B23" s="22"/>
      <c r="C23" s="29" t="s">
        <v>38</v>
      </c>
      <c r="D23" s="30" t="s">
        <v>39</v>
      </c>
      <c r="E23" s="51"/>
      <c r="F23" s="26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69.75" customHeight="1">
      <c r="A24" s="22"/>
      <c r="B24" s="22"/>
      <c r="C24" s="52" t="s">
        <v>40</v>
      </c>
      <c r="D24" s="49"/>
      <c r="E24" s="47"/>
      <c r="F24" s="26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2"/>
      <c r="B25" s="22"/>
      <c r="C25" s="33"/>
      <c r="D25" s="34"/>
      <c r="E25" s="35"/>
      <c r="F25" s="26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0.5" customHeight="1">
      <c r="A26" s="22"/>
      <c r="B26" s="22"/>
      <c r="C26" s="29" t="s">
        <v>41</v>
      </c>
      <c r="D26" s="30" t="s">
        <v>42</v>
      </c>
      <c r="E26" s="31" t="s">
        <v>43</v>
      </c>
      <c r="F26" s="26">
        <f>IF(E26="São Confusos",10,0)</f>
        <v>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2"/>
      <c r="B27" s="22"/>
      <c r="C27" s="33"/>
      <c r="D27" s="34"/>
      <c r="E27" s="35"/>
      <c r="F27" s="26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40.5" customHeight="1">
      <c r="A28" s="22"/>
      <c r="B28" s="22"/>
      <c r="C28" s="29" t="s">
        <v>44</v>
      </c>
      <c r="D28" s="30" t="s">
        <v>45</v>
      </c>
      <c r="E28" s="51"/>
      <c r="F28" s="26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69.75" customHeight="1">
      <c r="A29" s="22"/>
      <c r="B29" s="22"/>
      <c r="C29" s="52" t="s">
        <v>46</v>
      </c>
      <c r="D29" s="49"/>
      <c r="E29" s="47"/>
      <c r="F29" s="26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2.75" customHeight="1">
      <c r="A30" s="22"/>
      <c r="B30" s="22"/>
      <c r="C30" s="33"/>
      <c r="D30" s="34"/>
      <c r="E30" s="35"/>
      <c r="F30" s="26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40.5" customHeight="1">
      <c r="A31" s="22"/>
      <c r="B31" s="22"/>
      <c r="C31" s="29" t="s">
        <v>47</v>
      </c>
      <c r="D31" s="30" t="s">
        <v>48</v>
      </c>
      <c r="E31" s="51"/>
      <c r="F31" s="26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 t="s">
        <v>49</v>
      </c>
      <c r="X31" s="28"/>
      <c r="Y31" s="28"/>
      <c r="Z31" s="28"/>
    </row>
    <row r="32" ht="69.75" customHeight="1">
      <c r="A32" s="18"/>
      <c r="B32" s="18"/>
      <c r="C32" s="52" t="s">
        <v>50</v>
      </c>
      <c r="D32" s="49"/>
      <c r="E32" s="47"/>
      <c r="F32" s="18"/>
      <c r="G32" s="18"/>
      <c r="H32" s="18"/>
      <c r="I32" s="18"/>
      <c r="J32" s="18"/>
      <c r="K32" s="28"/>
      <c r="L32" s="18"/>
      <c r="M32" s="3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6.5" customHeight="1">
      <c r="A33" s="18"/>
      <c r="B33" s="18"/>
      <c r="C33" s="40"/>
      <c r="D33" s="18"/>
      <c r="E33" s="18"/>
      <c r="F33" s="18"/>
      <c r="G33" s="18"/>
      <c r="H33" s="18"/>
      <c r="I33" s="18"/>
      <c r="J33" s="18"/>
      <c r="K33" s="28"/>
      <c r="L33" s="18"/>
      <c r="M33" s="39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38" t="str">
        <f>IF(E6&lt;&gt;100%,"Termine o preenchimento para descobrir sua nota!","Sua nota média em mercado é: "&amp;F34)</f>
        <v>Termine o preenchimento para descobrir sua nota!</v>
      </c>
      <c r="D34" s="18"/>
      <c r="E34" s="18"/>
      <c r="F34" s="18">
        <f>ROUND(AVERAGE(F26,F21,F19,F11),1)</f>
        <v>3.8</v>
      </c>
      <c r="G34" s="18"/>
      <c r="H34" s="18"/>
      <c r="I34" s="18"/>
      <c r="J34" s="18"/>
      <c r="K34" s="28"/>
      <c r="L34" s="18"/>
      <c r="M34" s="3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18"/>
      <c r="E35" s="18"/>
      <c r="F35" s="18"/>
      <c r="G35" s="18"/>
      <c r="H35" s="18"/>
      <c r="I35" s="18"/>
      <c r="J35" s="18"/>
      <c r="K35" s="28"/>
      <c r="L35" s="18"/>
      <c r="M35" s="39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18"/>
      <c r="E36" s="18"/>
      <c r="F36" s="18"/>
      <c r="G36" s="18"/>
      <c r="H36" s="18"/>
      <c r="I36" s="18"/>
      <c r="J36" s="18"/>
      <c r="K36" s="28"/>
      <c r="L36" s="18"/>
      <c r="M36" s="3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18"/>
      <c r="E37" s="18"/>
      <c r="F37" s="18"/>
      <c r="G37" s="18"/>
      <c r="H37" s="18"/>
      <c r="I37" s="18"/>
      <c r="J37" s="18"/>
      <c r="K37" s="28"/>
      <c r="L37" s="18"/>
      <c r="M37" s="39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18"/>
      <c r="E38" s="18"/>
      <c r="F38" s="18"/>
      <c r="G38" s="18"/>
      <c r="H38" s="18"/>
      <c r="I38" s="18"/>
      <c r="J38" s="18"/>
      <c r="K38" s="28"/>
      <c r="L38" s="18"/>
      <c r="M38" s="3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18"/>
      <c r="F39" s="18"/>
      <c r="G39" s="18"/>
      <c r="H39" s="18"/>
      <c r="I39" s="18"/>
      <c r="J39" s="18"/>
      <c r="K39" s="28"/>
      <c r="L39" s="18"/>
      <c r="M39" s="39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18"/>
      <c r="F40" s="18"/>
      <c r="G40" s="18"/>
      <c r="H40" s="18"/>
      <c r="I40" s="18"/>
      <c r="J40" s="18"/>
      <c r="K40" s="28"/>
      <c r="L40" s="18"/>
      <c r="M40" s="3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18"/>
      <c r="F41" s="18"/>
      <c r="G41" s="18"/>
      <c r="H41" s="18"/>
      <c r="I41" s="18"/>
      <c r="J41" s="18"/>
      <c r="K41" s="28"/>
      <c r="L41" s="18"/>
      <c r="M41" s="39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18"/>
      <c r="F42" s="18"/>
      <c r="G42" s="18"/>
      <c r="H42" s="18"/>
      <c r="I42" s="18"/>
      <c r="J42" s="18"/>
      <c r="K42" s="28"/>
      <c r="L42" s="18"/>
      <c r="M42" s="3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18"/>
      <c r="F43" s="18"/>
      <c r="G43" s="18"/>
      <c r="H43" s="18"/>
      <c r="I43" s="18"/>
      <c r="J43" s="18"/>
      <c r="K43" s="28"/>
      <c r="L43" s="18"/>
      <c r="M43" s="39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18"/>
      <c r="F44" s="18"/>
      <c r="G44" s="18"/>
      <c r="H44" s="18"/>
      <c r="I44" s="18"/>
      <c r="J44" s="18"/>
      <c r="K44" s="28"/>
      <c r="L44" s="18"/>
      <c r="M44" s="39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18"/>
      <c r="F45" s="18"/>
      <c r="G45" s="18"/>
      <c r="H45" s="18"/>
      <c r="I45" s="18"/>
      <c r="J45" s="18"/>
      <c r="K45" s="28"/>
      <c r="L45" s="18"/>
      <c r="M45" s="39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18"/>
      <c r="F46" s="18"/>
      <c r="G46" s="18"/>
      <c r="H46" s="18"/>
      <c r="I46" s="18"/>
      <c r="J46" s="18"/>
      <c r="K46" s="28"/>
      <c r="L46" s="18"/>
      <c r="M46" s="39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18"/>
      <c r="F47" s="18"/>
      <c r="G47" s="18"/>
      <c r="H47" s="18"/>
      <c r="I47" s="18"/>
      <c r="J47" s="18"/>
      <c r="K47" s="28"/>
      <c r="L47" s="18"/>
      <c r="M47" s="39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18"/>
      <c r="F48" s="18"/>
      <c r="G48" s="18"/>
      <c r="H48" s="18"/>
      <c r="I48" s="18"/>
      <c r="J48" s="18"/>
      <c r="K48" s="28"/>
      <c r="L48" s="18"/>
      <c r="M48" s="39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18"/>
      <c r="F49" s="18"/>
      <c r="G49" s="18"/>
      <c r="H49" s="18"/>
      <c r="I49" s="18"/>
      <c r="J49" s="18"/>
      <c r="K49" s="28"/>
      <c r="L49" s="18"/>
      <c r="M49" s="39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18"/>
      <c r="F50" s="18"/>
      <c r="G50" s="18"/>
      <c r="H50" s="18"/>
      <c r="I50" s="18"/>
      <c r="J50" s="18"/>
      <c r="K50" s="28"/>
      <c r="L50" s="18"/>
      <c r="M50" s="39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18"/>
      <c r="F51" s="18"/>
      <c r="G51" s="18"/>
      <c r="H51" s="18"/>
      <c r="I51" s="18"/>
      <c r="J51" s="18"/>
      <c r="K51" s="28"/>
      <c r="L51" s="18"/>
      <c r="M51" s="39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18"/>
      <c r="F52" s="18"/>
      <c r="G52" s="18"/>
      <c r="H52" s="18"/>
      <c r="I52" s="18"/>
      <c r="J52" s="18"/>
      <c r="K52" s="28"/>
      <c r="L52" s="18"/>
      <c r="M52" s="39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18"/>
      <c r="F53" s="18"/>
      <c r="G53" s="18"/>
      <c r="H53" s="18"/>
      <c r="I53" s="18"/>
      <c r="J53" s="18"/>
      <c r="K53" s="28"/>
      <c r="L53" s="18"/>
      <c r="M53" s="39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18"/>
      <c r="F54" s="18"/>
      <c r="G54" s="18"/>
      <c r="H54" s="18"/>
      <c r="I54" s="18"/>
      <c r="J54" s="18"/>
      <c r="K54" s="28"/>
      <c r="L54" s="18"/>
      <c r="M54" s="39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18"/>
      <c r="F55" s="18"/>
      <c r="G55" s="18"/>
      <c r="H55" s="18"/>
      <c r="I55" s="18"/>
      <c r="J55" s="18"/>
      <c r="K55" s="28"/>
      <c r="L55" s="18"/>
      <c r="M55" s="39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18"/>
      <c r="F56" s="18"/>
      <c r="G56" s="18"/>
      <c r="H56" s="18"/>
      <c r="I56" s="18"/>
      <c r="J56" s="18"/>
      <c r="K56" s="28"/>
      <c r="L56" s="18"/>
      <c r="M56" s="39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18"/>
      <c r="F57" s="18"/>
      <c r="G57" s="18"/>
      <c r="H57" s="18"/>
      <c r="I57" s="18"/>
      <c r="J57" s="18"/>
      <c r="K57" s="28"/>
      <c r="L57" s="18"/>
      <c r="M57" s="39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18"/>
      <c r="F58" s="18"/>
      <c r="G58" s="18"/>
      <c r="H58" s="18"/>
      <c r="I58" s="18"/>
      <c r="J58" s="18"/>
      <c r="K58" s="28"/>
      <c r="L58" s="18"/>
      <c r="M58" s="39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18"/>
      <c r="F59" s="18"/>
      <c r="G59" s="18"/>
      <c r="H59" s="18"/>
      <c r="I59" s="18"/>
      <c r="J59" s="18"/>
      <c r="K59" s="28"/>
      <c r="L59" s="18"/>
      <c r="M59" s="39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18"/>
      <c r="F60" s="18"/>
      <c r="G60" s="18"/>
      <c r="H60" s="18"/>
      <c r="I60" s="18"/>
      <c r="J60" s="18"/>
      <c r="K60" s="28"/>
      <c r="L60" s="18"/>
      <c r="M60" s="39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18"/>
      <c r="F61" s="18"/>
      <c r="G61" s="18"/>
      <c r="H61" s="18"/>
      <c r="I61" s="18"/>
      <c r="J61" s="18"/>
      <c r="K61" s="28"/>
      <c r="L61" s="18"/>
      <c r="M61" s="39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18"/>
      <c r="F62" s="18"/>
      <c r="G62" s="18"/>
      <c r="H62" s="18"/>
      <c r="I62" s="18"/>
      <c r="J62" s="18"/>
      <c r="K62" s="28"/>
      <c r="L62" s="18"/>
      <c r="M62" s="39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18"/>
      <c r="F63" s="18"/>
      <c r="G63" s="18"/>
      <c r="H63" s="18"/>
      <c r="I63" s="18"/>
      <c r="J63" s="18"/>
      <c r="K63" s="28"/>
      <c r="L63" s="18"/>
      <c r="M63" s="39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18"/>
      <c r="F64" s="18"/>
      <c r="G64" s="18"/>
      <c r="H64" s="18"/>
      <c r="I64" s="18"/>
      <c r="J64" s="18"/>
      <c r="K64" s="28"/>
      <c r="L64" s="18"/>
      <c r="M64" s="39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18"/>
      <c r="F65" s="18"/>
      <c r="G65" s="18"/>
      <c r="H65" s="18"/>
      <c r="I65" s="18"/>
      <c r="J65" s="18"/>
      <c r="K65" s="28"/>
      <c r="L65" s="18"/>
      <c r="M65" s="39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18"/>
      <c r="F66" s="18"/>
      <c r="G66" s="18"/>
      <c r="H66" s="18"/>
      <c r="I66" s="18"/>
      <c r="J66" s="18"/>
      <c r="K66" s="28"/>
      <c r="L66" s="18"/>
      <c r="M66" s="39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18"/>
      <c r="F67" s="18"/>
      <c r="G67" s="18"/>
      <c r="H67" s="18"/>
      <c r="I67" s="18"/>
      <c r="J67" s="18"/>
      <c r="K67" s="28"/>
      <c r="L67" s="18"/>
      <c r="M67" s="39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18"/>
      <c r="F68" s="18"/>
      <c r="G68" s="18"/>
      <c r="H68" s="18"/>
      <c r="I68" s="18"/>
      <c r="J68" s="18"/>
      <c r="K68" s="28"/>
      <c r="L68" s="18"/>
      <c r="M68" s="39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18"/>
      <c r="F69" s="18"/>
      <c r="G69" s="18"/>
      <c r="H69" s="18"/>
      <c r="I69" s="18"/>
      <c r="J69" s="18"/>
      <c r="K69" s="28"/>
      <c r="L69" s="18"/>
      <c r="M69" s="39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18"/>
      <c r="F70" s="18"/>
      <c r="G70" s="18"/>
      <c r="H70" s="18"/>
      <c r="I70" s="18"/>
      <c r="J70" s="18"/>
      <c r="K70" s="28"/>
      <c r="L70" s="18"/>
      <c r="M70" s="39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18"/>
      <c r="F71" s="18"/>
      <c r="G71" s="18"/>
      <c r="H71" s="18"/>
      <c r="I71" s="18"/>
      <c r="J71" s="18"/>
      <c r="K71" s="28"/>
      <c r="L71" s="18"/>
      <c r="M71" s="39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18"/>
      <c r="F72" s="18"/>
      <c r="G72" s="18"/>
      <c r="H72" s="18"/>
      <c r="I72" s="18"/>
      <c r="J72" s="18"/>
      <c r="K72" s="28"/>
      <c r="L72" s="18"/>
      <c r="M72" s="39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18"/>
      <c r="F73" s="18"/>
      <c r="G73" s="18"/>
      <c r="H73" s="18"/>
      <c r="I73" s="18"/>
      <c r="J73" s="18"/>
      <c r="K73" s="28"/>
      <c r="L73" s="18"/>
      <c r="M73" s="39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18"/>
      <c r="F74" s="18"/>
      <c r="G74" s="18"/>
      <c r="H74" s="18"/>
      <c r="I74" s="18"/>
      <c r="J74" s="18"/>
      <c r="K74" s="28"/>
      <c r="L74" s="18"/>
      <c r="M74" s="39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18"/>
      <c r="F75" s="18"/>
      <c r="G75" s="18"/>
      <c r="H75" s="18"/>
      <c r="I75" s="18"/>
      <c r="J75" s="18"/>
      <c r="K75" s="28"/>
      <c r="L75" s="18"/>
      <c r="M75" s="39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18"/>
      <c r="F76" s="18"/>
      <c r="G76" s="18"/>
      <c r="H76" s="18"/>
      <c r="I76" s="18"/>
      <c r="J76" s="18"/>
      <c r="K76" s="28"/>
      <c r="L76" s="18"/>
      <c r="M76" s="39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18"/>
      <c r="F77" s="18"/>
      <c r="G77" s="18"/>
      <c r="H77" s="18"/>
      <c r="I77" s="18"/>
      <c r="J77" s="18"/>
      <c r="K77" s="28"/>
      <c r="L77" s="18"/>
      <c r="M77" s="39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18"/>
      <c r="F78" s="18"/>
      <c r="G78" s="18"/>
      <c r="H78" s="18"/>
      <c r="I78" s="18"/>
      <c r="J78" s="18"/>
      <c r="K78" s="28"/>
      <c r="L78" s="18"/>
      <c r="M78" s="39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18"/>
      <c r="F79" s="18"/>
      <c r="G79" s="18"/>
      <c r="H79" s="18"/>
      <c r="I79" s="18"/>
      <c r="J79" s="18"/>
      <c r="K79" s="28"/>
      <c r="L79" s="18"/>
      <c r="M79" s="39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18"/>
      <c r="F80" s="18"/>
      <c r="G80" s="18"/>
      <c r="H80" s="18"/>
      <c r="I80" s="18"/>
      <c r="J80" s="18"/>
      <c r="K80" s="28"/>
      <c r="L80" s="18"/>
      <c r="M80" s="39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18"/>
      <c r="F81" s="18"/>
      <c r="G81" s="18"/>
      <c r="H81" s="18"/>
      <c r="I81" s="18"/>
      <c r="J81" s="18"/>
      <c r="K81" s="28"/>
      <c r="L81" s="18"/>
      <c r="M81" s="39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18"/>
      <c r="F82" s="18"/>
      <c r="G82" s="18"/>
      <c r="H82" s="18"/>
      <c r="I82" s="18"/>
      <c r="J82" s="18"/>
      <c r="K82" s="28"/>
      <c r="L82" s="18"/>
      <c r="M82" s="39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18"/>
      <c r="F83" s="18"/>
      <c r="G83" s="18"/>
      <c r="H83" s="18"/>
      <c r="I83" s="18"/>
      <c r="J83" s="18"/>
      <c r="K83" s="28"/>
      <c r="L83" s="18"/>
      <c r="M83" s="39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18"/>
      <c r="F84" s="18"/>
      <c r="G84" s="18"/>
      <c r="H84" s="18"/>
      <c r="I84" s="18"/>
      <c r="J84" s="18"/>
      <c r="K84" s="28"/>
      <c r="L84" s="18"/>
      <c r="M84" s="39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18"/>
      <c r="F85" s="18"/>
      <c r="G85" s="18"/>
      <c r="H85" s="18"/>
      <c r="I85" s="18"/>
      <c r="J85" s="18"/>
      <c r="K85" s="28"/>
      <c r="L85" s="18"/>
      <c r="M85" s="39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18"/>
      <c r="F86" s="18"/>
      <c r="G86" s="18"/>
      <c r="H86" s="18"/>
      <c r="I86" s="18"/>
      <c r="J86" s="18"/>
      <c r="K86" s="28"/>
      <c r="L86" s="18"/>
      <c r="M86" s="39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18"/>
      <c r="F87" s="18"/>
      <c r="G87" s="18"/>
      <c r="H87" s="18"/>
      <c r="I87" s="18"/>
      <c r="J87" s="18"/>
      <c r="K87" s="28"/>
      <c r="L87" s="18"/>
      <c r="M87" s="39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18"/>
      <c r="F88" s="18"/>
      <c r="G88" s="18"/>
      <c r="H88" s="18"/>
      <c r="I88" s="18"/>
      <c r="J88" s="18"/>
      <c r="K88" s="28"/>
      <c r="L88" s="18"/>
      <c r="M88" s="39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18"/>
      <c r="F89" s="18"/>
      <c r="G89" s="18"/>
      <c r="H89" s="18"/>
      <c r="I89" s="18"/>
      <c r="J89" s="18"/>
      <c r="K89" s="28"/>
      <c r="L89" s="18"/>
      <c r="M89" s="39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18"/>
      <c r="F90" s="18"/>
      <c r="G90" s="18"/>
      <c r="H90" s="18"/>
      <c r="I90" s="18"/>
      <c r="J90" s="18"/>
      <c r="K90" s="28"/>
      <c r="L90" s="18"/>
      <c r="M90" s="39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18"/>
      <c r="F91" s="18"/>
      <c r="G91" s="18"/>
      <c r="H91" s="18"/>
      <c r="I91" s="18"/>
      <c r="J91" s="18"/>
      <c r="K91" s="28"/>
      <c r="L91" s="18"/>
      <c r="M91" s="39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18"/>
      <c r="F92" s="18"/>
      <c r="G92" s="18"/>
      <c r="H92" s="18"/>
      <c r="I92" s="18"/>
      <c r="J92" s="18"/>
      <c r="K92" s="28"/>
      <c r="L92" s="18"/>
      <c r="M92" s="39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18"/>
      <c r="F93" s="18"/>
      <c r="G93" s="18"/>
      <c r="H93" s="18"/>
      <c r="I93" s="18"/>
      <c r="J93" s="18"/>
      <c r="K93" s="28"/>
      <c r="L93" s="18"/>
      <c r="M93" s="39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18"/>
      <c r="F94" s="18"/>
      <c r="G94" s="18"/>
      <c r="H94" s="18"/>
      <c r="I94" s="18"/>
      <c r="J94" s="18"/>
      <c r="K94" s="28"/>
      <c r="L94" s="18"/>
      <c r="M94" s="39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18"/>
      <c r="F95" s="18"/>
      <c r="G95" s="18"/>
      <c r="H95" s="18"/>
      <c r="I95" s="18"/>
      <c r="J95" s="18"/>
      <c r="K95" s="28"/>
      <c r="L95" s="18"/>
      <c r="M95" s="39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18"/>
      <c r="F96" s="18"/>
      <c r="G96" s="18"/>
      <c r="H96" s="18"/>
      <c r="I96" s="18"/>
      <c r="J96" s="18"/>
      <c r="K96" s="28"/>
      <c r="L96" s="18"/>
      <c r="M96" s="39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18"/>
      <c r="F97" s="18"/>
      <c r="G97" s="18"/>
      <c r="H97" s="18"/>
      <c r="I97" s="18"/>
      <c r="J97" s="18"/>
      <c r="K97" s="28"/>
      <c r="L97" s="18"/>
      <c r="M97" s="39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18"/>
      <c r="F98" s="18"/>
      <c r="G98" s="18"/>
      <c r="H98" s="18"/>
      <c r="I98" s="18"/>
      <c r="J98" s="18"/>
      <c r="K98" s="28"/>
      <c r="L98" s="18"/>
      <c r="M98" s="39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18"/>
      <c r="F99" s="18"/>
      <c r="G99" s="18"/>
      <c r="H99" s="18"/>
      <c r="I99" s="18"/>
      <c r="J99" s="18"/>
      <c r="K99" s="28"/>
      <c r="L99" s="18"/>
      <c r="M99" s="39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18"/>
      <c r="F100" s="18"/>
      <c r="G100" s="18"/>
      <c r="H100" s="18"/>
      <c r="I100" s="18"/>
      <c r="J100" s="18"/>
      <c r="K100" s="28"/>
      <c r="L100" s="18"/>
      <c r="M100" s="39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18"/>
      <c r="F101" s="18"/>
      <c r="G101" s="18"/>
      <c r="H101" s="18"/>
      <c r="I101" s="18"/>
      <c r="J101" s="18"/>
      <c r="K101" s="28"/>
      <c r="L101" s="18"/>
      <c r="M101" s="39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18"/>
      <c r="F102" s="18"/>
      <c r="G102" s="18"/>
      <c r="H102" s="18"/>
      <c r="I102" s="18"/>
      <c r="J102" s="18"/>
      <c r="K102" s="28"/>
      <c r="L102" s="18"/>
      <c r="M102" s="39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18"/>
      <c r="F103" s="18"/>
      <c r="G103" s="18"/>
      <c r="H103" s="18"/>
      <c r="I103" s="18"/>
      <c r="J103" s="18"/>
      <c r="K103" s="28"/>
      <c r="L103" s="18"/>
      <c r="M103" s="39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18"/>
      <c r="F104" s="18"/>
      <c r="G104" s="18"/>
      <c r="H104" s="18"/>
      <c r="I104" s="18"/>
      <c r="J104" s="18"/>
      <c r="K104" s="28"/>
      <c r="L104" s="18"/>
      <c r="M104" s="39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18"/>
      <c r="F105" s="18"/>
      <c r="G105" s="18"/>
      <c r="H105" s="18"/>
      <c r="I105" s="18"/>
      <c r="J105" s="18"/>
      <c r="K105" s="28"/>
      <c r="L105" s="18"/>
      <c r="M105" s="39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18"/>
      <c r="F106" s="18"/>
      <c r="G106" s="18"/>
      <c r="H106" s="18"/>
      <c r="I106" s="18"/>
      <c r="J106" s="18"/>
      <c r="K106" s="28"/>
      <c r="L106" s="18"/>
      <c r="M106" s="39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18"/>
      <c r="F107" s="18"/>
      <c r="G107" s="18"/>
      <c r="H107" s="18"/>
      <c r="I107" s="18"/>
      <c r="J107" s="18"/>
      <c r="K107" s="28"/>
      <c r="L107" s="18"/>
      <c r="M107" s="39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18"/>
      <c r="F108" s="18"/>
      <c r="G108" s="18"/>
      <c r="H108" s="18"/>
      <c r="I108" s="18"/>
      <c r="J108" s="18"/>
      <c r="K108" s="28"/>
      <c r="L108" s="18"/>
      <c r="M108" s="39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18"/>
      <c r="F109" s="18"/>
      <c r="G109" s="18"/>
      <c r="H109" s="18"/>
      <c r="I109" s="18"/>
      <c r="J109" s="18"/>
      <c r="K109" s="28"/>
      <c r="L109" s="18"/>
      <c r="M109" s="39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18"/>
      <c r="F110" s="18"/>
      <c r="G110" s="18"/>
      <c r="H110" s="18"/>
      <c r="I110" s="18"/>
      <c r="J110" s="18"/>
      <c r="K110" s="28"/>
      <c r="L110" s="18"/>
      <c r="M110" s="39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18"/>
      <c r="F111" s="18"/>
      <c r="G111" s="18"/>
      <c r="H111" s="18"/>
      <c r="I111" s="18"/>
      <c r="J111" s="18"/>
      <c r="K111" s="28"/>
      <c r="L111" s="18"/>
      <c r="M111" s="39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18"/>
      <c r="F112" s="18"/>
      <c r="G112" s="18"/>
      <c r="H112" s="18"/>
      <c r="I112" s="18"/>
      <c r="J112" s="18"/>
      <c r="K112" s="28"/>
      <c r="L112" s="18"/>
      <c r="M112" s="39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18"/>
      <c r="F113" s="18"/>
      <c r="G113" s="18"/>
      <c r="H113" s="18"/>
      <c r="I113" s="18"/>
      <c r="J113" s="18"/>
      <c r="K113" s="28"/>
      <c r="L113" s="18"/>
      <c r="M113" s="39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18"/>
      <c r="F114" s="18"/>
      <c r="G114" s="18"/>
      <c r="H114" s="18"/>
      <c r="I114" s="18"/>
      <c r="J114" s="18"/>
      <c r="K114" s="28"/>
      <c r="L114" s="18"/>
      <c r="M114" s="39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18"/>
      <c r="F115" s="18"/>
      <c r="G115" s="18"/>
      <c r="H115" s="18"/>
      <c r="I115" s="18"/>
      <c r="J115" s="18"/>
      <c r="K115" s="28"/>
      <c r="L115" s="18"/>
      <c r="M115" s="39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18"/>
      <c r="F116" s="18"/>
      <c r="G116" s="18"/>
      <c r="H116" s="18"/>
      <c r="I116" s="18"/>
      <c r="J116" s="18"/>
      <c r="K116" s="28"/>
      <c r="L116" s="18"/>
      <c r="M116" s="39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18"/>
      <c r="F117" s="18"/>
      <c r="G117" s="18"/>
      <c r="H117" s="18"/>
      <c r="I117" s="18"/>
      <c r="J117" s="18"/>
      <c r="K117" s="28"/>
      <c r="L117" s="18"/>
      <c r="M117" s="39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18"/>
      <c r="F118" s="18"/>
      <c r="G118" s="18"/>
      <c r="H118" s="18"/>
      <c r="I118" s="18"/>
      <c r="J118" s="18"/>
      <c r="K118" s="28"/>
      <c r="L118" s="18"/>
      <c r="M118" s="39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18"/>
      <c r="F119" s="18"/>
      <c r="G119" s="18"/>
      <c r="H119" s="18"/>
      <c r="I119" s="18"/>
      <c r="J119" s="18"/>
      <c r="K119" s="28"/>
      <c r="L119" s="18"/>
      <c r="M119" s="39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18"/>
      <c r="F120" s="18"/>
      <c r="G120" s="18"/>
      <c r="H120" s="18"/>
      <c r="I120" s="18"/>
      <c r="J120" s="18"/>
      <c r="K120" s="28"/>
      <c r="L120" s="18"/>
      <c r="M120" s="39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18"/>
      <c r="F121" s="18"/>
      <c r="G121" s="18"/>
      <c r="H121" s="18"/>
      <c r="I121" s="18"/>
      <c r="J121" s="18"/>
      <c r="K121" s="28"/>
      <c r="L121" s="18"/>
      <c r="M121" s="39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18"/>
      <c r="F122" s="18"/>
      <c r="G122" s="18"/>
      <c r="H122" s="18"/>
      <c r="I122" s="18"/>
      <c r="J122" s="18"/>
      <c r="K122" s="28"/>
      <c r="L122" s="18"/>
      <c r="M122" s="39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18"/>
      <c r="F123" s="18"/>
      <c r="G123" s="18"/>
      <c r="H123" s="18"/>
      <c r="I123" s="18"/>
      <c r="J123" s="18"/>
      <c r="K123" s="28"/>
      <c r="L123" s="18"/>
      <c r="M123" s="39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18"/>
      <c r="F124" s="18"/>
      <c r="G124" s="18"/>
      <c r="H124" s="18"/>
      <c r="I124" s="18"/>
      <c r="J124" s="18"/>
      <c r="K124" s="28"/>
      <c r="L124" s="18"/>
      <c r="M124" s="39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18"/>
      <c r="F125" s="18"/>
      <c r="G125" s="18"/>
      <c r="H125" s="18"/>
      <c r="I125" s="18"/>
      <c r="J125" s="18"/>
      <c r="K125" s="28"/>
      <c r="L125" s="18"/>
      <c r="M125" s="39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18"/>
      <c r="F126" s="18"/>
      <c r="G126" s="18"/>
      <c r="H126" s="18"/>
      <c r="I126" s="18"/>
      <c r="J126" s="18"/>
      <c r="K126" s="28"/>
      <c r="L126" s="18"/>
      <c r="M126" s="39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18"/>
      <c r="F127" s="18"/>
      <c r="G127" s="18"/>
      <c r="H127" s="18"/>
      <c r="I127" s="18"/>
      <c r="J127" s="18"/>
      <c r="K127" s="28"/>
      <c r="L127" s="18"/>
      <c r="M127" s="39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18"/>
      <c r="F128" s="18"/>
      <c r="G128" s="18"/>
      <c r="H128" s="18"/>
      <c r="I128" s="18"/>
      <c r="J128" s="18"/>
      <c r="K128" s="28"/>
      <c r="L128" s="18"/>
      <c r="M128" s="39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18"/>
      <c r="F129" s="18"/>
      <c r="G129" s="18"/>
      <c r="H129" s="18"/>
      <c r="I129" s="18"/>
      <c r="J129" s="18"/>
      <c r="K129" s="28"/>
      <c r="L129" s="18"/>
      <c r="M129" s="39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40.5" customHeight="1">
      <c r="A130" s="18"/>
      <c r="B130" s="18"/>
      <c r="C130" s="40"/>
      <c r="D130" s="18"/>
      <c r="E130" s="18"/>
      <c r="F130" s="18"/>
      <c r="G130" s="18"/>
      <c r="H130" s="18"/>
      <c r="I130" s="18"/>
      <c r="J130" s="18"/>
      <c r="K130" s="28"/>
      <c r="L130" s="18"/>
      <c r="M130" s="39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40.5" customHeight="1">
      <c r="A131" s="18"/>
      <c r="B131" s="18"/>
      <c r="C131" s="40"/>
      <c r="D131" s="18"/>
      <c r="E131" s="18"/>
      <c r="F131" s="18"/>
      <c r="G131" s="18"/>
      <c r="H131" s="18"/>
      <c r="I131" s="18"/>
      <c r="J131" s="18"/>
      <c r="K131" s="28"/>
      <c r="L131" s="18"/>
      <c r="M131" s="39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40.5" customHeight="1">
      <c r="A132" s="18"/>
      <c r="B132" s="18"/>
      <c r="C132" s="40"/>
      <c r="D132" s="18"/>
      <c r="E132" s="18"/>
      <c r="F132" s="18"/>
      <c r="G132" s="18"/>
      <c r="H132" s="18"/>
      <c r="I132" s="18"/>
      <c r="J132" s="18"/>
      <c r="K132" s="28"/>
      <c r="L132" s="18"/>
      <c r="M132" s="39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40.5" customHeight="1">
      <c r="A133" s="18"/>
      <c r="B133" s="18"/>
      <c r="C133" s="40"/>
      <c r="D133" s="18"/>
      <c r="E133" s="18"/>
      <c r="F133" s="18"/>
      <c r="G133" s="18"/>
      <c r="H133" s="18"/>
      <c r="I133" s="18"/>
      <c r="J133" s="18"/>
      <c r="K133" s="28"/>
      <c r="L133" s="18"/>
      <c r="M133" s="39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40.5" customHeight="1">
      <c r="A134" s="18"/>
      <c r="B134" s="18"/>
      <c r="C134" s="40"/>
      <c r="D134" s="18"/>
      <c r="E134" s="18"/>
      <c r="F134" s="18"/>
      <c r="G134" s="18"/>
      <c r="H134" s="18"/>
      <c r="I134" s="18"/>
      <c r="J134" s="18"/>
      <c r="K134" s="28"/>
      <c r="L134" s="18"/>
      <c r="M134" s="39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40.5" customHeight="1">
      <c r="A135" s="18"/>
      <c r="B135" s="18"/>
      <c r="C135" s="40"/>
      <c r="D135" s="18"/>
      <c r="E135" s="18"/>
      <c r="F135" s="18"/>
      <c r="G135" s="18"/>
      <c r="H135" s="18"/>
      <c r="I135" s="18"/>
      <c r="J135" s="18"/>
      <c r="K135" s="28"/>
      <c r="L135" s="18"/>
      <c r="M135" s="39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40.5" customHeight="1">
      <c r="A136" s="18"/>
      <c r="B136" s="18"/>
      <c r="C136" s="40"/>
      <c r="D136" s="18"/>
      <c r="E136" s="18"/>
      <c r="F136" s="18"/>
      <c r="G136" s="18"/>
      <c r="H136" s="18"/>
      <c r="I136" s="18"/>
      <c r="J136" s="18"/>
      <c r="K136" s="28"/>
      <c r="L136" s="18"/>
      <c r="M136" s="39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40.5" customHeight="1">
      <c r="A137" s="18"/>
      <c r="B137" s="18"/>
      <c r="C137" s="40"/>
      <c r="D137" s="18"/>
      <c r="E137" s="18"/>
      <c r="F137" s="18"/>
      <c r="G137" s="18"/>
      <c r="H137" s="18"/>
      <c r="I137" s="18"/>
      <c r="J137" s="18"/>
      <c r="K137" s="28"/>
      <c r="L137" s="18"/>
      <c r="M137" s="39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40.5" customHeight="1">
      <c r="A138" s="18"/>
      <c r="B138" s="18"/>
      <c r="C138" s="40"/>
      <c r="D138" s="18"/>
      <c r="E138" s="18"/>
      <c r="F138" s="18"/>
      <c r="G138" s="18"/>
      <c r="H138" s="18"/>
      <c r="I138" s="18"/>
      <c r="J138" s="18"/>
      <c r="K138" s="28"/>
      <c r="L138" s="18"/>
      <c r="M138" s="39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40.5" customHeight="1">
      <c r="A139" s="18"/>
      <c r="B139" s="18"/>
      <c r="C139" s="40"/>
      <c r="D139" s="18"/>
      <c r="E139" s="18"/>
      <c r="F139" s="18"/>
      <c r="G139" s="18"/>
      <c r="H139" s="18"/>
      <c r="I139" s="18"/>
      <c r="J139" s="18"/>
      <c r="K139" s="28"/>
      <c r="L139" s="18"/>
      <c r="M139" s="39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40.5" customHeight="1">
      <c r="A140" s="18"/>
      <c r="B140" s="18"/>
      <c r="C140" s="40"/>
      <c r="D140" s="18"/>
      <c r="E140" s="18"/>
      <c r="F140" s="18"/>
      <c r="G140" s="18"/>
      <c r="H140" s="18"/>
      <c r="I140" s="18"/>
      <c r="J140" s="18"/>
      <c r="K140" s="28"/>
      <c r="L140" s="18"/>
      <c r="M140" s="39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40.5" customHeight="1">
      <c r="A141" s="18"/>
      <c r="B141" s="18"/>
      <c r="C141" s="40"/>
      <c r="D141" s="18"/>
      <c r="E141" s="18"/>
      <c r="F141" s="18"/>
      <c r="G141" s="18"/>
      <c r="H141" s="18"/>
      <c r="I141" s="18"/>
      <c r="J141" s="18"/>
      <c r="K141" s="28"/>
      <c r="L141" s="18"/>
      <c r="M141" s="39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40.5" customHeight="1">
      <c r="A142" s="18"/>
      <c r="B142" s="18"/>
      <c r="C142" s="40"/>
      <c r="D142" s="18"/>
      <c r="E142" s="18"/>
      <c r="F142" s="18"/>
      <c r="G142" s="18"/>
      <c r="H142" s="18"/>
      <c r="I142" s="18"/>
      <c r="J142" s="18"/>
      <c r="K142" s="28"/>
      <c r="L142" s="18"/>
      <c r="M142" s="39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18"/>
      <c r="F143" s="18"/>
      <c r="G143" s="18"/>
      <c r="H143" s="18"/>
      <c r="I143" s="18"/>
      <c r="J143" s="18"/>
      <c r="K143" s="28"/>
      <c r="L143" s="18"/>
      <c r="M143" s="39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18"/>
      <c r="F144" s="18"/>
      <c r="G144" s="18"/>
      <c r="H144" s="18"/>
      <c r="I144" s="18"/>
      <c r="J144" s="18"/>
      <c r="K144" s="28"/>
      <c r="L144" s="18"/>
      <c r="M144" s="39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18"/>
      <c r="F145" s="18"/>
      <c r="G145" s="18"/>
      <c r="H145" s="18"/>
      <c r="I145" s="18"/>
      <c r="J145" s="18"/>
      <c r="K145" s="28"/>
      <c r="L145" s="18"/>
      <c r="M145" s="39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18"/>
      <c r="F146" s="18"/>
      <c r="G146" s="18"/>
      <c r="H146" s="18"/>
      <c r="I146" s="18"/>
      <c r="J146" s="18"/>
      <c r="K146" s="28"/>
      <c r="L146" s="18"/>
      <c r="M146" s="39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18"/>
      <c r="F147" s="18"/>
      <c r="G147" s="18"/>
      <c r="H147" s="18"/>
      <c r="I147" s="18"/>
      <c r="J147" s="18"/>
      <c r="K147" s="28"/>
      <c r="L147" s="18"/>
      <c r="M147" s="39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18"/>
      <c r="F148" s="18"/>
      <c r="G148" s="18"/>
      <c r="H148" s="18"/>
      <c r="I148" s="18"/>
      <c r="J148" s="18"/>
      <c r="K148" s="28"/>
      <c r="L148" s="18"/>
      <c r="M148" s="39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18"/>
      <c r="F149" s="18"/>
      <c r="G149" s="18"/>
      <c r="H149" s="18"/>
      <c r="I149" s="18"/>
      <c r="J149" s="18"/>
      <c r="K149" s="28"/>
      <c r="L149" s="18"/>
      <c r="M149" s="39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18"/>
      <c r="F150" s="18"/>
      <c r="G150" s="18"/>
      <c r="H150" s="18"/>
      <c r="I150" s="18"/>
      <c r="J150" s="18"/>
      <c r="K150" s="28"/>
      <c r="L150" s="18"/>
      <c r="M150" s="39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18"/>
      <c r="F151" s="18"/>
      <c r="G151" s="18"/>
      <c r="H151" s="18"/>
      <c r="I151" s="18"/>
      <c r="J151" s="18"/>
      <c r="K151" s="28"/>
      <c r="L151" s="18"/>
      <c r="M151" s="39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18"/>
      <c r="F152" s="18"/>
      <c r="G152" s="18"/>
      <c r="H152" s="18"/>
      <c r="I152" s="18"/>
      <c r="J152" s="18"/>
      <c r="K152" s="28"/>
      <c r="L152" s="18"/>
      <c r="M152" s="39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18"/>
      <c r="F153" s="18"/>
      <c r="G153" s="18"/>
      <c r="H153" s="18"/>
      <c r="I153" s="18"/>
      <c r="J153" s="18"/>
      <c r="K153" s="28"/>
      <c r="L153" s="18"/>
      <c r="M153" s="39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18"/>
      <c r="F154" s="18"/>
      <c r="G154" s="18"/>
      <c r="H154" s="18"/>
      <c r="I154" s="18"/>
      <c r="J154" s="18"/>
      <c r="K154" s="28"/>
      <c r="L154" s="18"/>
      <c r="M154" s="39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18"/>
      <c r="F155" s="18"/>
      <c r="G155" s="18"/>
      <c r="H155" s="18"/>
      <c r="I155" s="18"/>
      <c r="J155" s="18"/>
      <c r="K155" s="28"/>
      <c r="L155" s="18"/>
      <c r="M155" s="39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18"/>
      <c r="F156" s="18"/>
      <c r="G156" s="18"/>
      <c r="H156" s="18"/>
      <c r="I156" s="18"/>
      <c r="J156" s="18"/>
      <c r="K156" s="28"/>
      <c r="L156" s="18"/>
      <c r="M156" s="39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18"/>
      <c r="F157" s="18"/>
      <c r="G157" s="18"/>
      <c r="H157" s="18"/>
      <c r="I157" s="18"/>
      <c r="J157" s="18"/>
      <c r="K157" s="28"/>
      <c r="L157" s="18"/>
      <c r="M157" s="39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18"/>
      <c r="F158" s="18"/>
      <c r="G158" s="18"/>
      <c r="H158" s="18"/>
      <c r="I158" s="18"/>
      <c r="J158" s="18"/>
      <c r="K158" s="28"/>
      <c r="L158" s="18"/>
      <c r="M158" s="39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18"/>
      <c r="F159" s="18"/>
      <c r="G159" s="18"/>
      <c r="H159" s="18"/>
      <c r="I159" s="18"/>
      <c r="J159" s="18"/>
      <c r="K159" s="28"/>
      <c r="L159" s="18"/>
      <c r="M159" s="39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18"/>
      <c r="F160" s="18"/>
      <c r="G160" s="18"/>
      <c r="H160" s="18"/>
      <c r="I160" s="18"/>
      <c r="J160" s="18"/>
      <c r="K160" s="28"/>
      <c r="L160" s="18"/>
      <c r="M160" s="39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18"/>
      <c r="F161" s="18"/>
      <c r="G161" s="18"/>
      <c r="H161" s="18"/>
      <c r="I161" s="18"/>
      <c r="J161" s="18"/>
      <c r="K161" s="28"/>
      <c r="L161" s="18"/>
      <c r="M161" s="39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18"/>
      <c r="F162" s="18"/>
      <c r="G162" s="18"/>
      <c r="H162" s="18"/>
      <c r="I162" s="18"/>
      <c r="J162" s="18"/>
      <c r="K162" s="28"/>
      <c r="L162" s="18"/>
      <c r="M162" s="39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18"/>
      <c r="F163" s="18"/>
      <c r="G163" s="18"/>
      <c r="H163" s="18"/>
      <c r="I163" s="18"/>
      <c r="J163" s="18"/>
      <c r="K163" s="28"/>
      <c r="L163" s="18"/>
      <c r="M163" s="39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18"/>
      <c r="F164" s="18"/>
      <c r="G164" s="18"/>
      <c r="H164" s="18"/>
      <c r="I164" s="18"/>
      <c r="J164" s="18"/>
      <c r="K164" s="28"/>
      <c r="L164" s="18"/>
      <c r="M164" s="39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18"/>
      <c r="F165" s="18"/>
      <c r="G165" s="18"/>
      <c r="H165" s="18"/>
      <c r="I165" s="18"/>
      <c r="J165" s="18"/>
      <c r="K165" s="28"/>
      <c r="L165" s="18"/>
      <c r="M165" s="39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18"/>
      <c r="F166" s="18"/>
      <c r="G166" s="18"/>
      <c r="H166" s="18"/>
      <c r="I166" s="18"/>
      <c r="J166" s="18"/>
      <c r="K166" s="28"/>
      <c r="L166" s="18"/>
      <c r="M166" s="39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18"/>
      <c r="F167" s="18"/>
      <c r="G167" s="18"/>
      <c r="H167" s="18"/>
      <c r="I167" s="18"/>
      <c r="J167" s="18"/>
      <c r="K167" s="28"/>
      <c r="L167" s="18"/>
      <c r="M167" s="39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18"/>
      <c r="F168" s="18"/>
      <c r="G168" s="18"/>
      <c r="H168" s="18"/>
      <c r="I168" s="18"/>
      <c r="J168" s="18"/>
      <c r="K168" s="28"/>
      <c r="L168" s="18"/>
      <c r="M168" s="39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18"/>
      <c r="F169" s="18"/>
      <c r="G169" s="18"/>
      <c r="H169" s="18"/>
      <c r="I169" s="18"/>
      <c r="J169" s="18"/>
      <c r="K169" s="28"/>
      <c r="L169" s="18"/>
      <c r="M169" s="39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18"/>
      <c r="F170" s="18"/>
      <c r="G170" s="18"/>
      <c r="H170" s="18"/>
      <c r="I170" s="18"/>
      <c r="J170" s="18"/>
      <c r="K170" s="28"/>
      <c r="L170" s="18"/>
      <c r="M170" s="39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18"/>
      <c r="F171" s="18"/>
      <c r="G171" s="18"/>
      <c r="H171" s="18"/>
      <c r="I171" s="18"/>
      <c r="J171" s="18"/>
      <c r="K171" s="28"/>
      <c r="L171" s="18"/>
      <c r="M171" s="39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18"/>
      <c r="F172" s="18"/>
      <c r="G172" s="18"/>
      <c r="H172" s="18"/>
      <c r="I172" s="18"/>
      <c r="J172" s="18"/>
      <c r="K172" s="28"/>
      <c r="L172" s="18"/>
      <c r="M172" s="39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18"/>
      <c r="F173" s="18"/>
      <c r="G173" s="18"/>
      <c r="H173" s="18"/>
      <c r="I173" s="18"/>
      <c r="J173" s="18"/>
      <c r="K173" s="28"/>
      <c r="L173" s="18"/>
      <c r="M173" s="39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18"/>
      <c r="F174" s="18"/>
      <c r="G174" s="18"/>
      <c r="H174" s="18"/>
      <c r="I174" s="18"/>
      <c r="J174" s="18"/>
      <c r="K174" s="28"/>
      <c r="L174" s="18"/>
      <c r="M174" s="39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18"/>
      <c r="F175" s="18"/>
      <c r="G175" s="18"/>
      <c r="H175" s="18"/>
      <c r="I175" s="18"/>
      <c r="J175" s="18"/>
      <c r="K175" s="28"/>
      <c r="L175" s="18"/>
      <c r="M175" s="39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18"/>
      <c r="F176" s="18"/>
      <c r="G176" s="18"/>
      <c r="H176" s="18"/>
      <c r="I176" s="18"/>
      <c r="J176" s="18"/>
      <c r="K176" s="28"/>
      <c r="L176" s="18"/>
      <c r="M176" s="39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18"/>
      <c r="F177" s="18"/>
      <c r="G177" s="18"/>
      <c r="H177" s="18"/>
      <c r="I177" s="18"/>
      <c r="J177" s="18"/>
      <c r="K177" s="28"/>
      <c r="L177" s="18"/>
      <c r="M177" s="39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18"/>
      <c r="F178" s="18"/>
      <c r="G178" s="18"/>
      <c r="H178" s="18"/>
      <c r="I178" s="18"/>
      <c r="J178" s="18"/>
      <c r="K178" s="28"/>
      <c r="L178" s="18"/>
      <c r="M178" s="39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18"/>
      <c r="F179" s="18"/>
      <c r="G179" s="18"/>
      <c r="H179" s="18"/>
      <c r="I179" s="18"/>
      <c r="J179" s="18"/>
      <c r="K179" s="28"/>
      <c r="L179" s="18"/>
      <c r="M179" s="39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18"/>
      <c r="F180" s="18"/>
      <c r="G180" s="18"/>
      <c r="H180" s="18"/>
      <c r="I180" s="18"/>
      <c r="J180" s="18"/>
      <c r="K180" s="28"/>
      <c r="L180" s="18"/>
      <c r="M180" s="39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18"/>
      <c r="F181" s="18"/>
      <c r="G181" s="18"/>
      <c r="H181" s="18"/>
      <c r="I181" s="18"/>
      <c r="J181" s="18"/>
      <c r="K181" s="28"/>
      <c r="L181" s="18"/>
      <c r="M181" s="39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18"/>
      <c r="F182" s="18"/>
      <c r="G182" s="18"/>
      <c r="H182" s="18"/>
      <c r="I182" s="18"/>
      <c r="J182" s="18"/>
      <c r="K182" s="28"/>
      <c r="L182" s="18"/>
      <c r="M182" s="39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18"/>
      <c r="F183" s="18"/>
      <c r="G183" s="18"/>
      <c r="H183" s="18"/>
      <c r="I183" s="18"/>
      <c r="J183" s="18"/>
      <c r="K183" s="28"/>
      <c r="L183" s="18"/>
      <c r="M183" s="39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18"/>
      <c r="F184" s="18"/>
      <c r="G184" s="18"/>
      <c r="H184" s="18"/>
      <c r="I184" s="18"/>
      <c r="J184" s="18"/>
      <c r="K184" s="28"/>
      <c r="L184" s="18"/>
      <c r="M184" s="39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18"/>
      <c r="F185" s="18"/>
      <c r="G185" s="18"/>
      <c r="H185" s="18"/>
      <c r="I185" s="18"/>
      <c r="J185" s="18"/>
      <c r="K185" s="28"/>
      <c r="L185" s="18"/>
      <c r="M185" s="39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18"/>
      <c r="F186" s="18"/>
      <c r="G186" s="18"/>
      <c r="H186" s="18"/>
      <c r="I186" s="18"/>
      <c r="J186" s="18"/>
      <c r="K186" s="28"/>
      <c r="L186" s="18"/>
      <c r="M186" s="39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18"/>
      <c r="F187" s="18"/>
      <c r="G187" s="18"/>
      <c r="H187" s="18"/>
      <c r="I187" s="18"/>
      <c r="J187" s="18"/>
      <c r="K187" s="28"/>
      <c r="L187" s="18"/>
      <c r="M187" s="39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18"/>
      <c r="F188" s="18"/>
      <c r="G188" s="18"/>
      <c r="H188" s="18"/>
      <c r="I188" s="18"/>
      <c r="J188" s="18"/>
      <c r="K188" s="28"/>
      <c r="L188" s="18"/>
      <c r="M188" s="39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18"/>
      <c r="F189" s="18"/>
      <c r="G189" s="18"/>
      <c r="H189" s="18"/>
      <c r="I189" s="18"/>
      <c r="J189" s="18"/>
      <c r="K189" s="28"/>
      <c r="L189" s="18"/>
      <c r="M189" s="39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18"/>
      <c r="F190" s="18"/>
      <c r="G190" s="18"/>
      <c r="H190" s="18"/>
      <c r="I190" s="18"/>
      <c r="J190" s="18"/>
      <c r="K190" s="28"/>
      <c r="L190" s="18"/>
      <c r="M190" s="39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18"/>
      <c r="F191" s="18"/>
      <c r="G191" s="18"/>
      <c r="H191" s="18"/>
      <c r="I191" s="18"/>
      <c r="J191" s="18"/>
      <c r="K191" s="28"/>
      <c r="L191" s="18"/>
      <c r="M191" s="39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18"/>
      <c r="F192" s="18"/>
      <c r="G192" s="18"/>
      <c r="H192" s="18"/>
      <c r="I192" s="18"/>
      <c r="J192" s="18"/>
      <c r="K192" s="28"/>
      <c r="L192" s="18"/>
      <c r="M192" s="39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18"/>
      <c r="F193" s="18"/>
      <c r="G193" s="18"/>
      <c r="H193" s="18"/>
      <c r="I193" s="18"/>
      <c r="J193" s="18"/>
      <c r="K193" s="28"/>
      <c r="L193" s="18"/>
      <c r="M193" s="39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18"/>
      <c r="F194" s="18"/>
      <c r="G194" s="18"/>
      <c r="H194" s="18"/>
      <c r="I194" s="18"/>
      <c r="J194" s="18"/>
      <c r="K194" s="28"/>
      <c r="L194" s="18"/>
      <c r="M194" s="39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18"/>
      <c r="F195" s="18"/>
      <c r="G195" s="18"/>
      <c r="H195" s="18"/>
      <c r="I195" s="18"/>
      <c r="J195" s="18"/>
      <c r="K195" s="28"/>
      <c r="L195" s="18"/>
      <c r="M195" s="39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18"/>
      <c r="F196" s="18"/>
      <c r="G196" s="18"/>
      <c r="H196" s="18"/>
      <c r="I196" s="18"/>
      <c r="J196" s="18"/>
      <c r="K196" s="28"/>
      <c r="L196" s="18"/>
      <c r="M196" s="39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18"/>
      <c r="F197" s="18"/>
      <c r="G197" s="18"/>
      <c r="H197" s="18"/>
      <c r="I197" s="18"/>
      <c r="J197" s="18"/>
      <c r="K197" s="28"/>
      <c r="L197" s="18"/>
      <c r="M197" s="39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18"/>
      <c r="F198" s="18"/>
      <c r="G198" s="18"/>
      <c r="H198" s="18"/>
      <c r="I198" s="18"/>
      <c r="J198" s="18"/>
      <c r="K198" s="28"/>
      <c r="L198" s="18"/>
      <c r="M198" s="39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18"/>
      <c r="F199" s="18"/>
      <c r="G199" s="18"/>
      <c r="H199" s="18"/>
      <c r="I199" s="18"/>
      <c r="J199" s="18"/>
      <c r="K199" s="28"/>
      <c r="L199" s="18"/>
      <c r="M199" s="39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18"/>
      <c r="F200" s="18"/>
      <c r="G200" s="18"/>
      <c r="H200" s="18"/>
      <c r="I200" s="18"/>
      <c r="J200" s="18"/>
      <c r="K200" s="28"/>
      <c r="L200" s="18"/>
      <c r="M200" s="39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18"/>
      <c r="F201" s="18"/>
      <c r="G201" s="18"/>
      <c r="H201" s="18"/>
      <c r="I201" s="18"/>
      <c r="J201" s="18"/>
      <c r="K201" s="28"/>
      <c r="L201" s="18"/>
      <c r="M201" s="39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18"/>
      <c r="F202" s="18"/>
      <c r="G202" s="18"/>
      <c r="H202" s="18"/>
      <c r="I202" s="18"/>
      <c r="J202" s="18"/>
      <c r="K202" s="28"/>
      <c r="L202" s="18"/>
      <c r="M202" s="39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18"/>
      <c r="F203" s="18"/>
      <c r="G203" s="18"/>
      <c r="H203" s="18"/>
      <c r="I203" s="18"/>
      <c r="J203" s="18"/>
      <c r="K203" s="28"/>
      <c r="L203" s="18"/>
      <c r="M203" s="39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18"/>
      <c r="F204" s="18"/>
      <c r="G204" s="18"/>
      <c r="H204" s="18"/>
      <c r="I204" s="18"/>
      <c r="J204" s="18"/>
      <c r="K204" s="28"/>
      <c r="L204" s="18"/>
      <c r="M204" s="39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18"/>
      <c r="F205" s="18"/>
      <c r="G205" s="18"/>
      <c r="H205" s="18"/>
      <c r="I205" s="18"/>
      <c r="J205" s="18"/>
      <c r="K205" s="28"/>
      <c r="L205" s="18"/>
      <c r="M205" s="39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18"/>
      <c r="F206" s="18"/>
      <c r="G206" s="18"/>
      <c r="H206" s="18"/>
      <c r="I206" s="18"/>
      <c r="J206" s="18"/>
      <c r="K206" s="28"/>
      <c r="L206" s="18"/>
      <c r="M206" s="39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18"/>
      <c r="F207" s="18"/>
      <c r="G207" s="18"/>
      <c r="H207" s="18"/>
      <c r="I207" s="18"/>
      <c r="J207" s="18"/>
      <c r="K207" s="28"/>
      <c r="L207" s="18"/>
      <c r="M207" s="39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18"/>
      <c r="F208" s="18"/>
      <c r="G208" s="18"/>
      <c r="H208" s="18"/>
      <c r="I208" s="18"/>
      <c r="J208" s="18"/>
      <c r="K208" s="28"/>
      <c r="L208" s="18"/>
      <c r="M208" s="39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18"/>
      <c r="F209" s="18"/>
      <c r="G209" s="18"/>
      <c r="H209" s="18"/>
      <c r="I209" s="18"/>
      <c r="J209" s="18"/>
      <c r="K209" s="28"/>
      <c r="L209" s="18"/>
      <c r="M209" s="39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18"/>
      <c r="F210" s="18"/>
      <c r="G210" s="18"/>
      <c r="H210" s="18"/>
      <c r="I210" s="18"/>
      <c r="J210" s="18"/>
      <c r="K210" s="28"/>
      <c r="L210" s="18"/>
      <c r="M210" s="39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18"/>
      <c r="F211" s="18"/>
      <c r="G211" s="18"/>
      <c r="H211" s="18"/>
      <c r="I211" s="18"/>
      <c r="J211" s="18"/>
      <c r="K211" s="28"/>
      <c r="L211" s="18"/>
      <c r="M211" s="39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18"/>
      <c r="F212" s="18"/>
      <c r="G212" s="18"/>
      <c r="H212" s="18"/>
      <c r="I212" s="18"/>
      <c r="J212" s="18"/>
      <c r="K212" s="28"/>
      <c r="L212" s="18"/>
      <c r="M212" s="39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18"/>
      <c r="F213" s="18"/>
      <c r="G213" s="18"/>
      <c r="H213" s="18"/>
      <c r="I213" s="18"/>
      <c r="J213" s="18"/>
      <c r="K213" s="28"/>
      <c r="L213" s="18"/>
      <c r="M213" s="39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18"/>
      <c r="F214" s="18"/>
      <c r="G214" s="18"/>
      <c r="H214" s="18"/>
      <c r="I214" s="18"/>
      <c r="J214" s="18"/>
      <c r="K214" s="28"/>
      <c r="L214" s="18"/>
      <c r="M214" s="39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18"/>
      <c r="F215" s="18"/>
      <c r="G215" s="18"/>
      <c r="H215" s="18"/>
      <c r="I215" s="18"/>
      <c r="J215" s="18"/>
      <c r="K215" s="28"/>
      <c r="L215" s="18"/>
      <c r="M215" s="39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18"/>
      <c r="F216" s="18"/>
      <c r="G216" s="18"/>
      <c r="H216" s="18"/>
      <c r="I216" s="18"/>
      <c r="J216" s="18"/>
      <c r="K216" s="28"/>
      <c r="L216" s="18"/>
      <c r="M216" s="3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18"/>
      <c r="F217" s="18"/>
      <c r="G217" s="18"/>
      <c r="H217" s="18"/>
      <c r="I217" s="18"/>
      <c r="J217" s="18"/>
      <c r="K217" s="28"/>
      <c r="L217" s="18"/>
      <c r="M217" s="39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18"/>
      <c r="F218" s="18"/>
      <c r="G218" s="18"/>
      <c r="H218" s="18"/>
      <c r="I218" s="18"/>
      <c r="J218" s="18"/>
      <c r="K218" s="28"/>
      <c r="L218" s="18"/>
      <c r="M218" s="39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18"/>
      <c r="F219" s="18"/>
      <c r="G219" s="18"/>
      <c r="H219" s="18"/>
      <c r="I219" s="18"/>
      <c r="J219" s="18"/>
      <c r="K219" s="28"/>
      <c r="L219" s="18"/>
      <c r="M219" s="39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18"/>
      <c r="F220" s="18"/>
      <c r="G220" s="18"/>
      <c r="H220" s="18"/>
      <c r="I220" s="18"/>
      <c r="J220" s="18"/>
      <c r="K220" s="28"/>
      <c r="L220" s="18"/>
      <c r="M220" s="39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18"/>
      <c r="F221" s="18"/>
      <c r="G221" s="18"/>
      <c r="H221" s="18"/>
      <c r="I221" s="18"/>
      <c r="J221" s="18"/>
      <c r="K221" s="28"/>
      <c r="L221" s="18"/>
      <c r="M221" s="39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18"/>
      <c r="F222" s="18"/>
      <c r="G222" s="18"/>
      <c r="H222" s="18"/>
      <c r="I222" s="18"/>
      <c r="J222" s="18"/>
      <c r="K222" s="28"/>
      <c r="L222" s="18"/>
      <c r="M222" s="39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18"/>
      <c r="F223" s="18"/>
      <c r="G223" s="18"/>
      <c r="H223" s="18"/>
      <c r="I223" s="18"/>
      <c r="J223" s="18"/>
      <c r="K223" s="28"/>
      <c r="L223" s="18"/>
      <c r="M223" s="39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18"/>
      <c r="F224" s="18"/>
      <c r="G224" s="18"/>
      <c r="H224" s="18"/>
      <c r="I224" s="18"/>
      <c r="J224" s="18"/>
      <c r="K224" s="28"/>
      <c r="L224" s="18"/>
      <c r="M224" s="39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18"/>
      <c r="F225" s="18"/>
      <c r="G225" s="18"/>
      <c r="H225" s="18"/>
      <c r="I225" s="18"/>
      <c r="J225" s="18"/>
      <c r="K225" s="28"/>
      <c r="L225" s="18"/>
      <c r="M225" s="39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18"/>
      <c r="F226" s="18"/>
      <c r="G226" s="18"/>
      <c r="H226" s="18"/>
      <c r="I226" s="18"/>
      <c r="J226" s="18"/>
      <c r="K226" s="28"/>
      <c r="L226" s="18"/>
      <c r="M226" s="39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18"/>
      <c r="F227" s="18"/>
      <c r="G227" s="18"/>
      <c r="H227" s="18"/>
      <c r="I227" s="18"/>
      <c r="J227" s="18"/>
      <c r="K227" s="28"/>
      <c r="L227" s="18"/>
      <c r="M227" s="39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18"/>
      <c r="F228" s="18"/>
      <c r="G228" s="18"/>
      <c r="H228" s="18"/>
      <c r="I228" s="18"/>
      <c r="J228" s="18"/>
      <c r="K228" s="28"/>
      <c r="L228" s="18"/>
      <c r="M228" s="39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18"/>
      <c r="F229" s="18"/>
      <c r="G229" s="18"/>
      <c r="H229" s="18"/>
      <c r="I229" s="18"/>
      <c r="J229" s="18"/>
      <c r="K229" s="28"/>
      <c r="L229" s="18"/>
      <c r="M229" s="39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2.5" customHeight="1">
      <c r="A230" s="18"/>
      <c r="B230" s="18"/>
      <c r="C230" s="40"/>
      <c r="D230" s="18"/>
      <c r="E230" s="18"/>
      <c r="F230" s="18"/>
      <c r="G230" s="18"/>
      <c r="H230" s="18"/>
      <c r="I230" s="18"/>
      <c r="J230" s="18"/>
      <c r="K230" s="28"/>
      <c r="L230" s="18"/>
      <c r="M230" s="39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2.5" customHeight="1">
      <c r="A231" s="18"/>
      <c r="B231" s="18"/>
      <c r="C231" s="40"/>
      <c r="D231" s="18"/>
      <c r="E231" s="18"/>
      <c r="F231" s="18"/>
      <c r="G231" s="18"/>
      <c r="H231" s="18"/>
      <c r="I231" s="18"/>
      <c r="J231" s="18"/>
      <c r="K231" s="28"/>
      <c r="L231" s="18"/>
      <c r="M231" s="39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22.5" customHeight="1">
      <c r="A232" s="18"/>
      <c r="B232" s="18"/>
      <c r="C232" s="40"/>
      <c r="D232" s="18"/>
      <c r="E232" s="18"/>
      <c r="F232" s="18"/>
      <c r="G232" s="18"/>
      <c r="H232" s="18"/>
      <c r="I232" s="18"/>
      <c r="J232" s="18"/>
      <c r="K232" s="28"/>
      <c r="L232" s="18"/>
      <c r="M232" s="39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22.5" customHeight="1">
      <c r="A233" s="18"/>
      <c r="B233" s="18"/>
      <c r="C233" s="40"/>
      <c r="D233" s="18"/>
      <c r="E233" s="18"/>
      <c r="F233" s="18"/>
      <c r="G233" s="18"/>
      <c r="H233" s="18"/>
      <c r="I233" s="18"/>
      <c r="J233" s="18"/>
      <c r="K233" s="28"/>
      <c r="L233" s="18"/>
      <c r="M233" s="39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22.5" customHeight="1">
      <c r="A234" s="18"/>
      <c r="B234" s="18"/>
      <c r="C234" s="40"/>
      <c r="D234" s="18"/>
      <c r="E234" s="18"/>
      <c r="F234" s="18"/>
      <c r="G234" s="18"/>
      <c r="H234" s="18"/>
      <c r="I234" s="18"/>
      <c r="J234" s="18"/>
      <c r="K234" s="28"/>
      <c r="L234" s="18"/>
      <c r="M234" s="39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7:E17"/>
    <mergeCell ref="C24:E24"/>
    <mergeCell ref="C29:E29"/>
    <mergeCell ref="C32:E32"/>
    <mergeCell ref="B1:I1"/>
    <mergeCell ref="A3:B3"/>
    <mergeCell ref="C3:D3"/>
    <mergeCell ref="E3:F3"/>
    <mergeCell ref="D8:E8"/>
    <mergeCell ref="C9:E9"/>
    <mergeCell ref="C14:E14"/>
  </mergeCells>
  <dataValidations>
    <dataValidation type="list" allowBlank="1" showErrorMessage="1" sqref="E26">
      <formula1>"São assertivos,São confusos"</formula1>
    </dataValidation>
    <dataValidation type="list" allowBlank="1" showErrorMessage="1" sqref="E19 E21">
      <formula1>"Sim,Parcialmente,Ainda é precisamos fazer ajustes"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20.0"/>
    <col customWidth="1" hidden="1" min="6" max="6" width="4.67"/>
    <col customWidth="1" min="7" max="9" width="9.56"/>
    <col customWidth="1" min="10" max="10" width="0.89"/>
    <col customWidth="1" hidden="1" min="11" max="11" width="1.67"/>
    <col customWidth="1" hidden="1" min="12" max="12" width="11.11"/>
    <col customWidth="1" hidden="1" min="13" max="22" width="10.78"/>
    <col customWidth="1" hidden="1" min="23" max="23" width="15.33"/>
    <col customWidth="1" hidden="1" min="24" max="24" width="4.0"/>
    <col customWidth="1" hidden="1" min="25" max="25" width="10.78"/>
    <col customWidth="1" min="26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0"/>
      <c r="F5" s="20"/>
      <c r="G5" s="20"/>
      <c r="H5" s="20"/>
      <c r="I5" s="20"/>
      <c r="J5" s="20"/>
      <c r="K5" s="28"/>
      <c r="L5" s="18"/>
      <c r="M5" s="4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88%</v>
      </c>
      <c r="D6" s="24"/>
      <c r="E6" s="43">
        <f>COUNTA(C9,E11,E17,E19,E23,E13,E15,E21)/8</f>
        <v>0.875</v>
      </c>
      <c r="F6" s="27"/>
      <c r="G6" s="27"/>
      <c r="H6" s="24"/>
      <c r="I6" s="24"/>
      <c r="J6" s="24"/>
      <c r="K6" s="28"/>
      <c r="L6" s="28"/>
      <c r="M6" s="44"/>
      <c r="N6" s="45"/>
      <c r="O6" s="45"/>
      <c r="P6" s="45"/>
      <c r="Q6" s="45"/>
      <c r="R6" s="45"/>
      <c r="S6" s="45"/>
      <c r="T6" s="45"/>
      <c r="U6" s="45"/>
      <c r="V6" s="45"/>
      <c r="W6" s="46"/>
      <c r="X6" s="28"/>
      <c r="Y6" s="45"/>
      <c r="Z6" s="28"/>
    </row>
    <row r="7" ht="10.5" customHeight="1">
      <c r="A7" s="22"/>
      <c r="B7" s="22"/>
      <c r="C7" s="24"/>
      <c r="D7" s="24" t="s">
        <v>6</v>
      </c>
      <c r="E7" s="24"/>
      <c r="F7" s="27"/>
      <c r="G7" s="24"/>
      <c r="H7" s="24"/>
      <c r="I7" s="24"/>
      <c r="J7" s="24"/>
      <c r="K7" s="28"/>
      <c r="L7" s="28"/>
      <c r="M7" s="44"/>
      <c r="N7" s="45"/>
      <c r="O7" s="45"/>
      <c r="P7" s="45"/>
      <c r="Q7" s="45"/>
      <c r="R7" s="45"/>
      <c r="S7" s="45"/>
      <c r="T7" s="45"/>
      <c r="U7" s="45"/>
      <c r="V7" s="45"/>
      <c r="W7" s="46"/>
      <c r="X7" s="28"/>
      <c r="Y7" s="45"/>
      <c r="Z7" s="28"/>
    </row>
    <row r="8" ht="40.5" customHeight="1">
      <c r="A8" s="22"/>
      <c r="B8" s="22"/>
      <c r="C8" s="29" t="s">
        <v>51</v>
      </c>
      <c r="D8" s="30" t="s">
        <v>52</v>
      </c>
      <c r="E8" s="47"/>
      <c r="F8" s="26"/>
      <c r="G8" s="28"/>
      <c r="H8" s="28"/>
      <c r="I8" s="28"/>
      <c r="J8" s="28"/>
      <c r="K8" s="28"/>
      <c r="L8" s="28"/>
      <c r="M8" s="28" t="str">
        <f>IF(ISERROR(AVERAGE(#REF!)),"",AVERAGE(#REF!))</f>
        <v/>
      </c>
      <c r="N8" s="28"/>
      <c r="O8" s="28"/>
      <c r="P8" s="28"/>
      <c r="Q8" s="28"/>
      <c r="R8" s="28"/>
      <c r="S8" s="28"/>
      <c r="T8" s="28"/>
      <c r="U8" s="28"/>
      <c r="V8" s="28"/>
      <c r="W8" s="28" t="s">
        <v>23</v>
      </c>
      <c r="X8" s="28">
        <v>10.0</v>
      </c>
      <c r="Y8" s="28"/>
      <c r="Z8" s="28"/>
    </row>
    <row r="9" ht="66.0" customHeight="1">
      <c r="A9" s="22"/>
      <c r="B9" s="22"/>
      <c r="C9" s="48"/>
      <c r="D9" s="49"/>
      <c r="E9" s="47"/>
      <c r="F9" s="26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2.75" customHeight="1">
      <c r="A10" s="22"/>
      <c r="B10" s="22"/>
      <c r="C10" s="33"/>
      <c r="D10" s="34"/>
      <c r="E10" s="35"/>
      <c r="F10" s="26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40.5" customHeight="1">
      <c r="A11" s="22"/>
      <c r="B11" s="22"/>
      <c r="C11" s="29" t="s">
        <v>53</v>
      </c>
      <c r="D11" s="30" t="s">
        <v>54</v>
      </c>
      <c r="E11" s="31" t="s">
        <v>29</v>
      </c>
      <c r="F11" s="26">
        <f>IF(E11="",0,IF(E11="Não",10,IF(E11="Parcialmente",5,0)))</f>
        <v>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2.75" customHeight="1">
      <c r="A12" s="22"/>
      <c r="B12" s="22"/>
      <c r="C12" s="33"/>
      <c r="D12" s="34"/>
      <c r="E12" s="35"/>
      <c r="F12" s="26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40.5" customHeight="1">
      <c r="A13" s="22"/>
      <c r="B13" s="22"/>
      <c r="C13" s="29" t="s">
        <v>55</v>
      </c>
      <c r="D13" s="30" t="s">
        <v>56</v>
      </c>
      <c r="E13" s="31" t="s">
        <v>32</v>
      </c>
      <c r="F13" s="26">
        <f>IF(E13="",0,IF(E13="Não",10,IF(E13="Parcialmente",5,0)))</f>
        <v>10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 t="s">
        <v>29</v>
      </c>
      <c r="X13" s="28">
        <v>0.0</v>
      </c>
      <c r="Y13" s="28"/>
      <c r="Z13" s="28"/>
    </row>
    <row r="14" ht="12.75" customHeight="1">
      <c r="A14" s="22"/>
      <c r="B14" s="22"/>
      <c r="C14" s="33"/>
      <c r="D14" s="34"/>
      <c r="E14" s="35"/>
      <c r="F14" s="26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40.5" customHeight="1">
      <c r="A15" s="22"/>
      <c r="B15" s="22"/>
      <c r="C15" s="29" t="s">
        <v>57</v>
      </c>
      <c r="D15" s="30" t="s">
        <v>58</v>
      </c>
      <c r="E15" s="31" t="s">
        <v>37</v>
      </c>
      <c r="F15" s="26">
        <f>IF(E15="",0,IF(E15="Não",10,IF(E15="Parcialmente",5,0)))</f>
        <v>5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 t="s">
        <v>32</v>
      </c>
      <c r="X15" s="28">
        <v>10.0</v>
      </c>
      <c r="Y15" s="28"/>
      <c r="Z15" s="28"/>
    </row>
    <row r="16" ht="12.75" customHeight="1">
      <c r="A16" s="22"/>
      <c r="B16" s="22"/>
      <c r="C16" s="33"/>
      <c r="D16" s="34"/>
      <c r="E16" s="35"/>
      <c r="F16" s="26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40.5" customHeight="1">
      <c r="A17" s="22"/>
      <c r="B17" s="22"/>
      <c r="C17" s="29" t="s">
        <v>59</v>
      </c>
      <c r="D17" s="30" t="s">
        <v>60</v>
      </c>
      <c r="E17" s="31" t="s">
        <v>37</v>
      </c>
      <c r="F17" s="26">
        <f>IF(E17="",0,IF(E17="Não",10,IF(E17="Parcialmente",5,0)))</f>
        <v>5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2.75" customHeight="1">
      <c r="A18" s="22"/>
      <c r="B18" s="22"/>
      <c r="C18" s="33"/>
      <c r="D18" s="34"/>
      <c r="E18" s="35"/>
      <c r="F18" s="26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40.5" customHeight="1">
      <c r="A19" s="22"/>
      <c r="B19" s="22"/>
      <c r="C19" s="29" t="s">
        <v>61</v>
      </c>
      <c r="D19" s="30" t="s">
        <v>62</v>
      </c>
      <c r="E19" s="31" t="s">
        <v>37</v>
      </c>
      <c r="F19" s="26">
        <f>IF(E19="",0,IF(E19="Ainda é precisamos fazer ajustes",0,IF(E19="Parcialmente",5,10)))</f>
        <v>5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2.75" customHeight="1">
      <c r="A20" s="22"/>
      <c r="B20" s="22"/>
      <c r="C20" s="33"/>
      <c r="D20" s="34"/>
      <c r="E20" s="35"/>
      <c r="F20" s="26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40.5" customHeight="1">
      <c r="A21" s="22"/>
      <c r="B21" s="22"/>
      <c r="C21" s="29" t="s">
        <v>63</v>
      </c>
      <c r="D21" s="30" t="s">
        <v>64</v>
      </c>
      <c r="E21" s="31" t="s">
        <v>32</v>
      </c>
      <c r="F21" s="26">
        <f>IF(E21="",0,IF(E21="Sim",10,IF(E21="Parcialmente",5,0)))</f>
        <v>0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2.75" customHeight="1">
      <c r="A22" s="22"/>
      <c r="B22" s="22"/>
      <c r="C22" s="33"/>
      <c r="D22" s="34"/>
      <c r="E22" s="35"/>
      <c r="F22" s="26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40.5" customHeight="1">
      <c r="A23" s="22"/>
      <c r="B23" s="22"/>
      <c r="C23" s="29" t="s">
        <v>65</v>
      </c>
      <c r="D23" s="30" t="s">
        <v>66</v>
      </c>
      <c r="E23" s="31" t="s">
        <v>29</v>
      </c>
      <c r="F23" s="26">
        <f>IF(E23="",0,IF(E23="Sim",0,IF(E23="Parcialmente",5,10)))</f>
        <v>0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18"/>
      <c r="B24" s="18"/>
      <c r="C24" s="40"/>
      <c r="D24" s="18"/>
      <c r="E24" s="18"/>
      <c r="F24" s="18"/>
      <c r="G24" s="18"/>
      <c r="H24" s="18"/>
      <c r="I24" s="18"/>
      <c r="J24" s="18"/>
      <c r="K24" s="28"/>
      <c r="L24" s="18"/>
      <c r="M24" s="39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40.5" customHeight="1">
      <c r="A25" s="18"/>
      <c r="B25" s="18"/>
      <c r="C25" s="38" t="str">
        <f>IF(E6&lt;&gt;100%,"Termine o preenchimento para descobrir sua nota!","Sua nota média em processos é: "&amp;F25)</f>
        <v>Termine o preenchimento para descobrir sua nota!</v>
      </c>
      <c r="D25" s="18"/>
      <c r="E25" s="18"/>
      <c r="F25" s="18">
        <f>ROUND(AVERAGE(F23,F19,F17,F11,F13,F15,F21),1)</f>
        <v>3.6</v>
      </c>
      <c r="G25" s="18"/>
      <c r="H25" s="18"/>
      <c r="I25" s="18"/>
      <c r="J25" s="18"/>
      <c r="K25" s="28"/>
      <c r="L25" s="18"/>
      <c r="M25" s="39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40.5" customHeight="1">
      <c r="A26" s="18"/>
      <c r="B26" s="18"/>
      <c r="C26" s="40"/>
      <c r="D26" s="18"/>
      <c r="E26" s="18"/>
      <c r="F26" s="18"/>
      <c r="G26" s="18"/>
      <c r="H26" s="18"/>
      <c r="I26" s="18"/>
      <c r="J26" s="18"/>
      <c r="K26" s="28"/>
      <c r="L26" s="18"/>
      <c r="M26" s="39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40.5" customHeight="1">
      <c r="A27" s="18"/>
      <c r="B27" s="18"/>
      <c r="C27" s="40"/>
      <c r="D27" s="18"/>
      <c r="E27" s="18"/>
      <c r="F27" s="18"/>
      <c r="G27" s="18"/>
      <c r="H27" s="18"/>
      <c r="I27" s="18"/>
      <c r="J27" s="18"/>
      <c r="K27" s="28"/>
      <c r="L27" s="18"/>
      <c r="M27" s="39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40.5" customHeight="1">
      <c r="A28" s="18"/>
      <c r="B28" s="18"/>
      <c r="C28" s="40"/>
      <c r="D28" s="18"/>
      <c r="E28" s="18"/>
      <c r="F28" s="18"/>
      <c r="G28" s="18"/>
      <c r="H28" s="18"/>
      <c r="I28" s="18"/>
      <c r="J28" s="18"/>
      <c r="K28" s="28"/>
      <c r="L28" s="18"/>
      <c r="M28" s="39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40.5" customHeight="1">
      <c r="A29" s="18"/>
      <c r="B29" s="18"/>
      <c r="C29" s="40"/>
      <c r="D29" s="18"/>
      <c r="E29" s="18"/>
      <c r="F29" s="18"/>
      <c r="G29" s="18"/>
      <c r="H29" s="18"/>
      <c r="I29" s="18"/>
      <c r="J29" s="18"/>
      <c r="K29" s="28"/>
      <c r="L29" s="18"/>
      <c r="M29" s="39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40.5" customHeight="1">
      <c r="A30" s="18"/>
      <c r="B30" s="18"/>
      <c r="C30" s="40"/>
      <c r="D30" s="18"/>
      <c r="E30" s="18"/>
      <c r="F30" s="18"/>
      <c r="G30" s="18"/>
      <c r="H30" s="18"/>
      <c r="I30" s="18"/>
      <c r="J30" s="18"/>
      <c r="K30" s="28"/>
      <c r="L30" s="18"/>
      <c r="M30" s="39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40.5" customHeight="1">
      <c r="A31" s="18"/>
      <c r="B31" s="18"/>
      <c r="C31" s="40"/>
      <c r="D31" s="18"/>
      <c r="E31" s="18"/>
      <c r="F31" s="18"/>
      <c r="G31" s="18"/>
      <c r="H31" s="18"/>
      <c r="I31" s="18"/>
      <c r="J31" s="18"/>
      <c r="K31" s="28"/>
      <c r="L31" s="18"/>
      <c r="M31" s="39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40.5" customHeight="1">
      <c r="A32" s="18"/>
      <c r="B32" s="18"/>
      <c r="C32" s="40"/>
      <c r="D32" s="18"/>
      <c r="E32" s="18"/>
      <c r="F32" s="18"/>
      <c r="G32" s="18"/>
      <c r="H32" s="18"/>
      <c r="I32" s="18"/>
      <c r="J32" s="18"/>
      <c r="K32" s="28"/>
      <c r="L32" s="18"/>
      <c r="M32" s="39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0.5" customHeight="1">
      <c r="A33" s="18"/>
      <c r="B33" s="18"/>
      <c r="C33" s="40"/>
      <c r="D33" s="18"/>
      <c r="E33" s="18"/>
      <c r="F33" s="18"/>
      <c r="G33" s="18"/>
      <c r="H33" s="18"/>
      <c r="I33" s="18"/>
      <c r="J33" s="18"/>
      <c r="K33" s="28"/>
      <c r="L33" s="18"/>
      <c r="M33" s="39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40"/>
      <c r="D34" s="18"/>
      <c r="E34" s="18"/>
      <c r="F34" s="18"/>
      <c r="G34" s="18"/>
      <c r="H34" s="18"/>
      <c r="I34" s="18"/>
      <c r="J34" s="18"/>
      <c r="K34" s="28"/>
      <c r="L34" s="18"/>
      <c r="M34" s="39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18"/>
      <c r="E35" s="18"/>
      <c r="F35" s="18"/>
      <c r="G35" s="18"/>
      <c r="H35" s="18"/>
      <c r="I35" s="18"/>
      <c r="J35" s="18"/>
      <c r="K35" s="28"/>
      <c r="L35" s="18"/>
      <c r="M35" s="39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18"/>
      <c r="E36" s="18"/>
      <c r="F36" s="18"/>
      <c r="G36" s="18"/>
      <c r="H36" s="18"/>
      <c r="I36" s="18"/>
      <c r="J36" s="18"/>
      <c r="K36" s="28"/>
      <c r="L36" s="18"/>
      <c r="M36" s="39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18"/>
      <c r="E37" s="18"/>
      <c r="F37" s="18"/>
      <c r="G37" s="18"/>
      <c r="H37" s="18"/>
      <c r="I37" s="18"/>
      <c r="J37" s="18"/>
      <c r="K37" s="28"/>
      <c r="L37" s="18"/>
      <c r="M37" s="39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18"/>
      <c r="E38" s="18"/>
      <c r="F38" s="18"/>
      <c r="G38" s="18"/>
      <c r="H38" s="18"/>
      <c r="I38" s="18"/>
      <c r="J38" s="18"/>
      <c r="K38" s="28"/>
      <c r="L38" s="18"/>
      <c r="M38" s="39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18"/>
      <c r="F39" s="18"/>
      <c r="G39" s="18"/>
      <c r="H39" s="18"/>
      <c r="I39" s="18"/>
      <c r="J39" s="18"/>
      <c r="K39" s="28"/>
      <c r="L39" s="18"/>
      <c r="M39" s="39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18"/>
      <c r="F40" s="18"/>
      <c r="G40" s="18"/>
      <c r="H40" s="18"/>
      <c r="I40" s="18"/>
      <c r="J40" s="18"/>
      <c r="K40" s="28"/>
      <c r="L40" s="18"/>
      <c r="M40" s="39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18"/>
      <c r="F41" s="18"/>
      <c r="G41" s="18"/>
      <c r="H41" s="18"/>
      <c r="I41" s="18"/>
      <c r="J41" s="18"/>
      <c r="K41" s="28"/>
      <c r="L41" s="18"/>
      <c r="M41" s="39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18"/>
      <c r="F42" s="18"/>
      <c r="G42" s="18"/>
      <c r="H42" s="18"/>
      <c r="I42" s="18"/>
      <c r="J42" s="18"/>
      <c r="K42" s="28"/>
      <c r="L42" s="18"/>
      <c r="M42" s="3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18"/>
      <c r="F43" s="18"/>
      <c r="G43" s="18"/>
      <c r="H43" s="18"/>
      <c r="I43" s="18"/>
      <c r="J43" s="18"/>
      <c r="K43" s="28"/>
      <c r="L43" s="18"/>
      <c r="M43" s="39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18"/>
      <c r="F44" s="18"/>
      <c r="G44" s="18"/>
      <c r="H44" s="18"/>
      <c r="I44" s="18"/>
      <c r="J44" s="18"/>
      <c r="K44" s="28"/>
      <c r="L44" s="18"/>
      <c r="M44" s="39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18"/>
      <c r="F45" s="18"/>
      <c r="G45" s="18"/>
      <c r="H45" s="18"/>
      <c r="I45" s="18"/>
      <c r="J45" s="18"/>
      <c r="K45" s="28"/>
      <c r="L45" s="18"/>
      <c r="M45" s="39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18"/>
      <c r="F46" s="18"/>
      <c r="G46" s="18"/>
      <c r="H46" s="18"/>
      <c r="I46" s="18"/>
      <c r="J46" s="18"/>
      <c r="K46" s="28"/>
      <c r="L46" s="18"/>
      <c r="M46" s="39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18"/>
      <c r="F47" s="18"/>
      <c r="G47" s="18"/>
      <c r="H47" s="18"/>
      <c r="I47" s="18"/>
      <c r="J47" s="18"/>
      <c r="K47" s="28"/>
      <c r="L47" s="18"/>
      <c r="M47" s="39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18"/>
      <c r="F48" s="18"/>
      <c r="G48" s="18"/>
      <c r="H48" s="18"/>
      <c r="I48" s="18"/>
      <c r="J48" s="18"/>
      <c r="K48" s="28"/>
      <c r="L48" s="18"/>
      <c r="M48" s="39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18"/>
      <c r="F49" s="18"/>
      <c r="G49" s="18"/>
      <c r="H49" s="18"/>
      <c r="I49" s="18"/>
      <c r="J49" s="18"/>
      <c r="K49" s="28"/>
      <c r="L49" s="18"/>
      <c r="M49" s="39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18"/>
      <c r="F50" s="18"/>
      <c r="G50" s="18"/>
      <c r="H50" s="18"/>
      <c r="I50" s="18"/>
      <c r="J50" s="18"/>
      <c r="K50" s="28"/>
      <c r="L50" s="18"/>
      <c r="M50" s="39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18"/>
      <c r="F51" s="18"/>
      <c r="G51" s="18"/>
      <c r="H51" s="18"/>
      <c r="I51" s="18"/>
      <c r="J51" s="18"/>
      <c r="K51" s="28"/>
      <c r="L51" s="18"/>
      <c r="M51" s="39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18"/>
      <c r="F52" s="18"/>
      <c r="G52" s="18"/>
      <c r="H52" s="18"/>
      <c r="I52" s="18"/>
      <c r="J52" s="18"/>
      <c r="K52" s="28"/>
      <c r="L52" s="18"/>
      <c r="M52" s="39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18"/>
      <c r="F53" s="18"/>
      <c r="G53" s="18"/>
      <c r="H53" s="18"/>
      <c r="I53" s="18"/>
      <c r="J53" s="18"/>
      <c r="K53" s="28"/>
      <c r="L53" s="18"/>
      <c r="M53" s="39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18"/>
      <c r="F54" s="18"/>
      <c r="G54" s="18"/>
      <c r="H54" s="18"/>
      <c r="I54" s="18"/>
      <c r="J54" s="18"/>
      <c r="K54" s="28"/>
      <c r="L54" s="18"/>
      <c r="M54" s="39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18"/>
      <c r="F55" s="18"/>
      <c r="G55" s="18"/>
      <c r="H55" s="18"/>
      <c r="I55" s="18"/>
      <c r="J55" s="18"/>
      <c r="K55" s="28"/>
      <c r="L55" s="18"/>
      <c r="M55" s="39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18"/>
      <c r="F56" s="18"/>
      <c r="G56" s="18"/>
      <c r="H56" s="18"/>
      <c r="I56" s="18"/>
      <c r="J56" s="18"/>
      <c r="K56" s="28"/>
      <c r="L56" s="18"/>
      <c r="M56" s="39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18"/>
      <c r="F57" s="18"/>
      <c r="G57" s="18"/>
      <c r="H57" s="18"/>
      <c r="I57" s="18"/>
      <c r="J57" s="18"/>
      <c r="K57" s="28"/>
      <c r="L57" s="18"/>
      <c r="M57" s="39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18"/>
      <c r="F58" s="18"/>
      <c r="G58" s="18"/>
      <c r="H58" s="18"/>
      <c r="I58" s="18"/>
      <c r="J58" s="18"/>
      <c r="K58" s="28"/>
      <c r="L58" s="18"/>
      <c r="M58" s="39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18"/>
      <c r="F59" s="18"/>
      <c r="G59" s="18"/>
      <c r="H59" s="18"/>
      <c r="I59" s="18"/>
      <c r="J59" s="18"/>
      <c r="K59" s="28"/>
      <c r="L59" s="18"/>
      <c r="M59" s="39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18"/>
      <c r="F60" s="18"/>
      <c r="G60" s="18"/>
      <c r="H60" s="18"/>
      <c r="I60" s="18"/>
      <c r="J60" s="18"/>
      <c r="K60" s="28"/>
      <c r="L60" s="18"/>
      <c r="M60" s="39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18"/>
      <c r="F61" s="18"/>
      <c r="G61" s="18"/>
      <c r="H61" s="18"/>
      <c r="I61" s="18"/>
      <c r="J61" s="18"/>
      <c r="K61" s="28"/>
      <c r="L61" s="18"/>
      <c r="M61" s="39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18"/>
      <c r="F62" s="18"/>
      <c r="G62" s="18"/>
      <c r="H62" s="18"/>
      <c r="I62" s="18"/>
      <c r="J62" s="18"/>
      <c r="K62" s="28"/>
      <c r="L62" s="18"/>
      <c r="M62" s="39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18"/>
      <c r="F63" s="18"/>
      <c r="G63" s="18"/>
      <c r="H63" s="18"/>
      <c r="I63" s="18"/>
      <c r="J63" s="18"/>
      <c r="K63" s="28"/>
      <c r="L63" s="18"/>
      <c r="M63" s="39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18"/>
      <c r="F64" s="18"/>
      <c r="G64" s="18"/>
      <c r="H64" s="18"/>
      <c r="I64" s="18"/>
      <c r="J64" s="18"/>
      <c r="K64" s="28"/>
      <c r="L64" s="18"/>
      <c r="M64" s="39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18"/>
      <c r="F65" s="18"/>
      <c r="G65" s="18"/>
      <c r="H65" s="18"/>
      <c r="I65" s="18"/>
      <c r="J65" s="18"/>
      <c r="K65" s="28"/>
      <c r="L65" s="18"/>
      <c r="M65" s="39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18"/>
      <c r="F66" s="18"/>
      <c r="G66" s="18"/>
      <c r="H66" s="18"/>
      <c r="I66" s="18"/>
      <c r="J66" s="18"/>
      <c r="K66" s="28"/>
      <c r="L66" s="18"/>
      <c r="M66" s="39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18"/>
      <c r="F67" s="18"/>
      <c r="G67" s="18"/>
      <c r="H67" s="18"/>
      <c r="I67" s="18"/>
      <c r="J67" s="18"/>
      <c r="K67" s="28"/>
      <c r="L67" s="18"/>
      <c r="M67" s="39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18"/>
      <c r="F68" s="18"/>
      <c r="G68" s="18"/>
      <c r="H68" s="18"/>
      <c r="I68" s="18"/>
      <c r="J68" s="18"/>
      <c r="K68" s="28"/>
      <c r="L68" s="18"/>
      <c r="M68" s="39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18"/>
      <c r="F69" s="18"/>
      <c r="G69" s="18"/>
      <c r="H69" s="18"/>
      <c r="I69" s="18"/>
      <c r="J69" s="18"/>
      <c r="K69" s="28"/>
      <c r="L69" s="18"/>
      <c r="M69" s="39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18"/>
      <c r="F70" s="18"/>
      <c r="G70" s="18"/>
      <c r="H70" s="18"/>
      <c r="I70" s="18"/>
      <c r="J70" s="18"/>
      <c r="K70" s="28"/>
      <c r="L70" s="18"/>
      <c r="M70" s="39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18"/>
      <c r="F71" s="18"/>
      <c r="G71" s="18"/>
      <c r="H71" s="18"/>
      <c r="I71" s="18"/>
      <c r="J71" s="18"/>
      <c r="K71" s="28"/>
      <c r="L71" s="18"/>
      <c r="M71" s="39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18"/>
      <c r="F72" s="18"/>
      <c r="G72" s="18"/>
      <c r="H72" s="18"/>
      <c r="I72" s="18"/>
      <c r="J72" s="18"/>
      <c r="K72" s="28"/>
      <c r="L72" s="18"/>
      <c r="M72" s="39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18"/>
      <c r="F73" s="18"/>
      <c r="G73" s="18"/>
      <c r="H73" s="18"/>
      <c r="I73" s="18"/>
      <c r="J73" s="18"/>
      <c r="K73" s="28"/>
      <c r="L73" s="18"/>
      <c r="M73" s="39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18"/>
      <c r="F74" s="18"/>
      <c r="G74" s="18"/>
      <c r="H74" s="18"/>
      <c r="I74" s="18"/>
      <c r="J74" s="18"/>
      <c r="K74" s="28"/>
      <c r="L74" s="18"/>
      <c r="M74" s="39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18"/>
      <c r="F75" s="18"/>
      <c r="G75" s="18"/>
      <c r="H75" s="18"/>
      <c r="I75" s="18"/>
      <c r="J75" s="18"/>
      <c r="K75" s="28"/>
      <c r="L75" s="18"/>
      <c r="M75" s="39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18"/>
      <c r="F76" s="18"/>
      <c r="G76" s="18"/>
      <c r="H76" s="18"/>
      <c r="I76" s="18"/>
      <c r="J76" s="18"/>
      <c r="K76" s="28"/>
      <c r="L76" s="18"/>
      <c r="M76" s="39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18"/>
      <c r="F77" s="18"/>
      <c r="G77" s="18"/>
      <c r="H77" s="18"/>
      <c r="I77" s="18"/>
      <c r="J77" s="18"/>
      <c r="K77" s="28"/>
      <c r="L77" s="18"/>
      <c r="M77" s="39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18"/>
      <c r="F78" s="18"/>
      <c r="G78" s="18"/>
      <c r="H78" s="18"/>
      <c r="I78" s="18"/>
      <c r="J78" s="18"/>
      <c r="K78" s="28"/>
      <c r="L78" s="18"/>
      <c r="M78" s="39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18"/>
      <c r="F79" s="18"/>
      <c r="G79" s="18"/>
      <c r="H79" s="18"/>
      <c r="I79" s="18"/>
      <c r="J79" s="18"/>
      <c r="K79" s="28"/>
      <c r="L79" s="18"/>
      <c r="M79" s="39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18"/>
      <c r="F80" s="18"/>
      <c r="G80" s="18"/>
      <c r="H80" s="18"/>
      <c r="I80" s="18"/>
      <c r="J80" s="18"/>
      <c r="K80" s="28"/>
      <c r="L80" s="18"/>
      <c r="M80" s="39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18"/>
      <c r="F81" s="18"/>
      <c r="G81" s="18"/>
      <c r="H81" s="18"/>
      <c r="I81" s="18"/>
      <c r="J81" s="18"/>
      <c r="K81" s="28"/>
      <c r="L81" s="18"/>
      <c r="M81" s="39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18"/>
      <c r="F82" s="18"/>
      <c r="G82" s="18"/>
      <c r="H82" s="18"/>
      <c r="I82" s="18"/>
      <c r="J82" s="18"/>
      <c r="K82" s="28"/>
      <c r="L82" s="18"/>
      <c r="M82" s="39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18"/>
      <c r="F83" s="18"/>
      <c r="G83" s="18"/>
      <c r="H83" s="18"/>
      <c r="I83" s="18"/>
      <c r="J83" s="18"/>
      <c r="K83" s="28"/>
      <c r="L83" s="18"/>
      <c r="M83" s="39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18"/>
      <c r="F84" s="18"/>
      <c r="G84" s="18"/>
      <c r="H84" s="18"/>
      <c r="I84" s="18"/>
      <c r="J84" s="18"/>
      <c r="K84" s="28"/>
      <c r="L84" s="18"/>
      <c r="M84" s="39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18"/>
      <c r="F85" s="18"/>
      <c r="G85" s="18"/>
      <c r="H85" s="18"/>
      <c r="I85" s="18"/>
      <c r="J85" s="18"/>
      <c r="K85" s="28"/>
      <c r="L85" s="18"/>
      <c r="M85" s="39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18"/>
      <c r="F86" s="18"/>
      <c r="G86" s="18"/>
      <c r="H86" s="18"/>
      <c r="I86" s="18"/>
      <c r="J86" s="18"/>
      <c r="K86" s="28"/>
      <c r="L86" s="18"/>
      <c r="M86" s="39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18"/>
      <c r="F87" s="18"/>
      <c r="G87" s="18"/>
      <c r="H87" s="18"/>
      <c r="I87" s="18"/>
      <c r="J87" s="18"/>
      <c r="K87" s="28"/>
      <c r="L87" s="18"/>
      <c r="M87" s="39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18"/>
      <c r="F88" s="18"/>
      <c r="G88" s="18"/>
      <c r="H88" s="18"/>
      <c r="I88" s="18"/>
      <c r="J88" s="18"/>
      <c r="K88" s="28"/>
      <c r="L88" s="18"/>
      <c r="M88" s="39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18"/>
      <c r="F89" s="18"/>
      <c r="G89" s="18"/>
      <c r="H89" s="18"/>
      <c r="I89" s="18"/>
      <c r="J89" s="18"/>
      <c r="K89" s="28"/>
      <c r="L89" s="18"/>
      <c r="M89" s="39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18"/>
      <c r="F90" s="18"/>
      <c r="G90" s="18"/>
      <c r="H90" s="18"/>
      <c r="I90" s="18"/>
      <c r="J90" s="18"/>
      <c r="K90" s="28"/>
      <c r="L90" s="18"/>
      <c r="M90" s="39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18"/>
      <c r="F91" s="18"/>
      <c r="G91" s="18"/>
      <c r="H91" s="18"/>
      <c r="I91" s="18"/>
      <c r="J91" s="18"/>
      <c r="K91" s="28"/>
      <c r="L91" s="18"/>
      <c r="M91" s="39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18"/>
      <c r="F92" s="18"/>
      <c r="G92" s="18"/>
      <c r="H92" s="18"/>
      <c r="I92" s="18"/>
      <c r="J92" s="18"/>
      <c r="K92" s="28"/>
      <c r="L92" s="18"/>
      <c r="M92" s="39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18"/>
      <c r="F93" s="18"/>
      <c r="G93" s="18"/>
      <c r="H93" s="18"/>
      <c r="I93" s="18"/>
      <c r="J93" s="18"/>
      <c r="K93" s="28"/>
      <c r="L93" s="18"/>
      <c r="M93" s="39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18"/>
      <c r="F94" s="18"/>
      <c r="G94" s="18"/>
      <c r="H94" s="18"/>
      <c r="I94" s="18"/>
      <c r="J94" s="18"/>
      <c r="K94" s="28"/>
      <c r="L94" s="18"/>
      <c r="M94" s="39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18"/>
      <c r="F95" s="18"/>
      <c r="G95" s="18"/>
      <c r="H95" s="18"/>
      <c r="I95" s="18"/>
      <c r="J95" s="18"/>
      <c r="K95" s="28"/>
      <c r="L95" s="18"/>
      <c r="M95" s="39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18"/>
      <c r="F96" s="18"/>
      <c r="G96" s="18"/>
      <c r="H96" s="18"/>
      <c r="I96" s="18"/>
      <c r="J96" s="18"/>
      <c r="K96" s="28"/>
      <c r="L96" s="18"/>
      <c r="M96" s="39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18"/>
      <c r="F97" s="18"/>
      <c r="G97" s="18"/>
      <c r="H97" s="18"/>
      <c r="I97" s="18"/>
      <c r="J97" s="18"/>
      <c r="K97" s="28"/>
      <c r="L97" s="18"/>
      <c r="M97" s="39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18"/>
      <c r="F98" s="18"/>
      <c r="G98" s="18"/>
      <c r="H98" s="18"/>
      <c r="I98" s="18"/>
      <c r="J98" s="18"/>
      <c r="K98" s="28"/>
      <c r="L98" s="18"/>
      <c r="M98" s="39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18"/>
      <c r="F99" s="18"/>
      <c r="G99" s="18"/>
      <c r="H99" s="18"/>
      <c r="I99" s="18"/>
      <c r="J99" s="18"/>
      <c r="K99" s="28"/>
      <c r="L99" s="18"/>
      <c r="M99" s="39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18"/>
      <c r="F100" s="18"/>
      <c r="G100" s="18"/>
      <c r="H100" s="18"/>
      <c r="I100" s="18"/>
      <c r="J100" s="18"/>
      <c r="K100" s="28"/>
      <c r="L100" s="18"/>
      <c r="M100" s="39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18"/>
      <c r="F101" s="18"/>
      <c r="G101" s="18"/>
      <c r="H101" s="18"/>
      <c r="I101" s="18"/>
      <c r="J101" s="18"/>
      <c r="K101" s="28"/>
      <c r="L101" s="18"/>
      <c r="M101" s="39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18"/>
      <c r="F102" s="18"/>
      <c r="G102" s="18"/>
      <c r="H102" s="18"/>
      <c r="I102" s="18"/>
      <c r="J102" s="18"/>
      <c r="K102" s="28"/>
      <c r="L102" s="18"/>
      <c r="M102" s="39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18"/>
      <c r="F103" s="18"/>
      <c r="G103" s="18"/>
      <c r="H103" s="18"/>
      <c r="I103" s="18"/>
      <c r="J103" s="18"/>
      <c r="K103" s="28"/>
      <c r="L103" s="18"/>
      <c r="M103" s="39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18"/>
      <c r="F104" s="18"/>
      <c r="G104" s="18"/>
      <c r="H104" s="18"/>
      <c r="I104" s="18"/>
      <c r="J104" s="18"/>
      <c r="K104" s="28"/>
      <c r="L104" s="18"/>
      <c r="M104" s="39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18"/>
      <c r="F105" s="18"/>
      <c r="G105" s="18"/>
      <c r="H105" s="18"/>
      <c r="I105" s="18"/>
      <c r="J105" s="18"/>
      <c r="K105" s="28"/>
      <c r="L105" s="18"/>
      <c r="M105" s="39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18"/>
      <c r="F106" s="18"/>
      <c r="G106" s="18"/>
      <c r="H106" s="18"/>
      <c r="I106" s="18"/>
      <c r="J106" s="18"/>
      <c r="K106" s="28"/>
      <c r="L106" s="18"/>
      <c r="M106" s="39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18"/>
      <c r="F107" s="18"/>
      <c r="G107" s="18"/>
      <c r="H107" s="18"/>
      <c r="I107" s="18"/>
      <c r="J107" s="18"/>
      <c r="K107" s="28"/>
      <c r="L107" s="18"/>
      <c r="M107" s="39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18"/>
      <c r="F108" s="18"/>
      <c r="G108" s="18"/>
      <c r="H108" s="18"/>
      <c r="I108" s="18"/>
      <c r="J108" s="18"/>
      <c r="K108" s="28"/>
      <c r="L108" s="18"/>
      <c r="M108" s="39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18"/>
      <c r="F109" s="18"/>
      <c r="G109" s="18"/>
      <c r="H109" s="18"/>
      <c r="I109" s="18"/>
      <c r="J109" s="18"/>
      <c r="K109" s="28"/>
      <c r="L109" s="18"/>
      <c r="M109" s="39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18"/>
      <c r="F110" s="18"/>
      <c r="G110" s="18"/>
      <c r="H110" s="18"/>
      <c r="I110" s="18"/>
      <c r="J110" s="18"/>
      <c r="K110" s="28"/>
      <c r="L110" s="18"/>
      <c r="M110" s="39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18"/>
      <c r="F111" s="18"/>
      <c r="G111" s="18"/>
      <c r="H111" s="18"/>
      <c r="I111" s="18"/>
      <c r="J111" s="18"/>
      <c r="K111" s="28"/>
      <c r="L111" s="18"/>
      <c r="M111" s="39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18"/>
      <c r="F112" s="18"/>
      <c r="G112" s="18"/>
      <c r="H112" s="18"/>
      <c r="I112" s="18"/>
      <c r="J112" s="18"/>
      <c r="K112" s="28"/>
      <c r="L112" s="18"/>
      <c r="M112" s="39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18"/>
      <c r="F113" s="18"/>
      <c r="G113" s="18"/>
      <c r="H113" s="18"/>
      <c r="I113" s="18"/>
      <c r="J113" s="18"/>
      <c r="K113" s="28"/>
      <c r="L113" s="18"/>
      <c r="M113" s="39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18"/>
      <c r="F114" s="18"/>
      <c r="G114" s="18"/>
      <c r="H114" s="18"/>
      <c r="I114" s="18"/>
      <c r="J114" s="18"/>
      <c r="K114" s="28"/>
      <c r="L114" s="18"/>
      <c r="M114" s="39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18"/>
      <c r="F115" s="18"/>
      <c r="G115" s="18"/>
      <c r="H115" s="18"/>
      <c r="I115" s="18"/>
      <c r="J115" s="18"/>
      <c r="K115" s="28"/>
      <c r="L115" s="18"/>
      <c r="M115" s="39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18"/>
      <c r="F116" s="18"/>
      <c r="G116" s="18"/>
      <c r="H116" s="18"/>
      <c r="I116" s="18"/>
      <c r="J116" s="18"/>
      <c r="K116" s="28"/>
      <c r="L116" s="18"/>
      <c r="M116" s="39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18"/>
      <c r="F117" s="18"/>
      <c r="G117" s="18"/>
      <c r="H117" s="18"/>
      <c r="I117" s="18"/>
      <c r="J117" s="18"/>
      <c r="K117" s="28"/>
      <c r="L117" s="18"/>
      <c r="M117" s="39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18"/>
      <c r="F118" s="18"/>
      <c r="G118" s="18"/>
      <c r="H118" s="18"/>
      <c r="I118" s="18"/>
      <c r="J118" s="18"/>
      <c r="K118" s="28"/>
      <c r="L118" s="18"/>
      <c r="M118" s="39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18"/>
      <c r="F119" s="18"/>
      <c r="G119" s="18"/>
      <c r="H119" s="18"/>
      <c r="I119" s="18"/>
      <c r="J119" s="18"/>
      <c r="K119" s="28"/>
      <c r="L119" s="18"/>
      <c r="M119" s="39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18"/>
      <c r="F120" s="18"/>
      <c r="G120" s="18"/>
      <c r="H120" s="18"/>
      <c r="I120" s="18"/>
      <c r="J120" s="18"/>
      <c r="K120" s="28"/>
      <c r="L120" s="18"/>
      <c r="M120" s="39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18"/>
      <c r="F121" s="18"/>
      <c r="G121" s="18"/>
      <c r="H121" s="18"/>
      <c r="I121" s="18"/>
      <c r="J121" s="18"/>
      <c r="K121" s="28"/>
      <c r="L121" s="18"/>
      <c r="M121" s="39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18"/>
      <c r="F122" s="18"/>
      <c r="G122" s="18"/>
      <c r="H122" s="18"/>
      <c r="I122" s="18"/>
      <c r="J122" s="18"/>
      <c r="K122" s="28"/>
      <c r="L122" s="18"/>
      <c r="M122" s="39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18"/>
      <c r="F123" s="18"/>
      <c r="G123" s="18"/>
      <c r="H123" s="18"/>
      <c r="I123" s="18"/>
      <c r="J123" s="18"/>
      <c r="K123" s="28"/>
      <c r="L123" s="18"/>
      <c r="M123" s="39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18"/>
      <c r="F124" s="18"/>
      <c r="G124" s="18"/>
      <c r="H124" s="18"/>
      <c r="I124" s="18"/>
      <c r="J124" s="18"/>
      <c r="K124" s="28"/>
      <c r="L124" s="18"/>
      <c r="M124" s="39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18"/>
      <c r="F125" s="18"/>
      <c r="G125" s="18"/>
      <c r="H125" s="18"/>
      <c r="I125" s="18"/>
      <c r="J125" s="18"/>
      <c r="K125" s="28"/>
      <c r="L125" s="18"/>
      <c r="M125" s="39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18"/>
      <c r="F126" s="18"/>
      <c r="G126" s="18"/>
      <c r="H126" s="18"/>
      <c r="I126" s="18"/>
      <c r="J126" s="18"/>
      <c r="K126" s="28"/>
      <c r="L126" s="18"/>
      <c r="M126" s="39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18"/>
      <c r="F127" s="18"/>
      <c r="G127" s="18"/>
      <c r="H127" s="18"/>
      <c r="I127" s="18"/>
      <c r="J127" s="18"/>
      <c r="K127" s="28"/>
      <c r="L127" s="18"/>
      <c r="M127" s="39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18"/>
      <c r="F128" s="18"/>
      <c r="G128" s="18"/>
      <c r="H128" s="18"/>
      <c r="I128" s="18"/>
      <c r="J128" s="18"/>
      <c r="K128" s="28"/>
      <c r="L128" s="18"/>
      <c r="M128" s="39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18"/>
      <c r="F129" s="18"/>
      <c r="G129" s="18"/>
      <c r="H129" s="18"/>
      <c r="I129" s="18"/>
      <c r="J129" s="18"/>
      <c r="K129" s="28"/>
      <c r="L129" s="18"/>
      <c r="M129" s="39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40.5" customHeight="1">
      <c r="A130" s="18"/>
      <c r="B130" s="18"/>
      <c r="C130" s="40"/>
      <c r="D130" s="18"/>
      <c r="E130" s="18"/>
      <c r="F130" s="18"/>
      <c r="G130" s="18"/>
      <c r="H130" s="18"/>
      <c r="I130" s="18"/>
      <c r="J130" s="18"/>
      <c r="K130" s="28"/>
      <c r="L130" s="18"/>
      <c r="M130" s="39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40.5" customHeight="1">
      <c r="A131" s="18"/>
      <c r="B131" s="18"/>
      <c r="C131" s="40"/>
      <c r="D131" s="18"/>
      <c r="E131" s="18"/>
      <c r="F131" s="18"/>
      <c r="G131" s="18"/>
      <c r="H131" s="18"/>
      <c r="I131" s="18"/>
      <c r="J131" s="18"/>
      <c r="K131" s="28"/>
      <c r="L131" s="18"/>
      <c r="M131" s="39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40.5" customHeight="1">
      <c r="A132" s="18"/>
      <c r="B132" s="18"/>
      <c r="C132" s="40"/>
      <c r="D132" s="18"/>
      <c r="E132" s="18"/>
      <c r="F132" s="18"/>
      <c r="G132" s="18"/>
      <c r="H132" s="18"/>
      <c r="I132" s="18"/>
      <c r="J132" s="18"/>
      <c r="K132" s="28"/>
      <c r="L132" s="18"/>
      <c r="M132" s="39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40.5" customHeight="1">
      <c r="A133" s="18"/>
      <c r="B133" s="18"/>
      <c r="C133" s="40"/>
      <c r="D133" s="18"/>
      <c r="E133" s="18"/>
      <c r="F133" s="18"/>
      <c r="G133" s="18"/>
      <c r="H133" s="18"/>
      <c r="I133" s="18"/>
      <c r="J133" s="18"/>
      <c r="K133" s="28"/>
      <c r="L133" s="18"/>
      <c r="M133" s="39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2.5" customHeight="1">
      <c r="A134" s="18"/>
      <c r="B134" s="18"/>
      <c r="C134" s="40"/>
      <c r="D134" s="18"/>
      <c r="E134" s="18"/>
      <c r="F134" s="18"/>
      <c r="G134" s="18"/>
      <c r="H134" s="18"/>
      <c r="I134" s="18"/>
      <c r="J134" s="18"/>
      <c r="K134" s="28"/>
      <c r="L134" s="18"/>
      <c r="M134" s="39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2.5" customHeight="1">
      <c r="A135" s="18"/>
      <c r="B135" s="18"/>
      <c r="C135" s="40"/>
      <c r="D135" s="18"/>
      <c r="E135" s="18"/>
      <c r="F135" s="18"/>
      <c r="G135" s="18"/>
      <c r="H135" s="18"/>
      <c r="I135" s="18"/>
      <c r="J135" s="18"/>
      <c r="K135" s="28"/>
      <c r="L135" s="18"/>
      <c r="M135" s="39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2.5" customHeight="1">
      <c r="A136" s="18"/>
      <c r="B136" s="18"/>
      <c r="C136" s="40"/>
      <c r="D136" s="18"/>
      <c r="E136" s="18"/>
      <c r="F136" s="18"/>
      <c r="G136" s="18"/>
      <c r="H136" s="18"/>
      <c r="I136" s="18"/>
      <c r="J136" s="18"/>
      <c r="K136" s="28"/>
      <c r="L136" s="18"/>
      <c r="M136" s="39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2.5" customHeight="1">
      <c r="A137" s="18"/>
      <c r="B137" s="18"/>
      <c r="C137" s="40"/>
      <c r="D137" s="18"/>
      <c r="E137" s="18"/>
      <c r="F137" s="18"/>
      <c r="G137" s="18"/>
      <c r="H137" s="18"/>
      <c r="I137" s="18"/>
      <c r="J137" s="18"/>
      <c r="K137" s="28"/>
      <c r="L137" s="18"/>
      <c r="M137" s="39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2.5" customHeight="1">
      <c r="A138" s="18"/>
      <c r="B138" s="18"/>
      <c r="C138" s="40"/>
      <c r="D138" s="18"/>
      <c r="E138" s="18"/>
      <c r="F138" s="18"/>
      <c r="G138" s="18"/>
      <c r="H138" s="18"/>
      <c r="I138" s="18"/>
      <c r="J138" s="18"/>
      <c r="K138" s="28"/>
      <c r="L138" s="18"/>
      <c r="M138" s="39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18"/>
      <c r="F139" s="18"/>
      <c r="G139" s="18"/>
      <c r="H139" s="18"/>
      <c r="I139" s="18"/>
      <c r="J139" s="18"/>
      <c r="K139" s="28"/>
      <c r="L139" s="18"/>
      <c r="M139" s="39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18"/>
      <c r="F140" s="18"/>
      <c r="G140" s="18"/>
      <c r="H140" s="18"/>
      <c r="I140" s="18"/>
      <c r="J140" s="18"/>
      <c r="K140" s="28"/>
      <c r="L140" s="18"/>
      <c r="M140" s="39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18"/>
      <c r="F141" s="18"/>
      <c r="G141" s="18"/>
      <c r="H141" s="18"/>
      <c r="I141" s="18"/>
      <c r="J141" s="18"/>
      <c r="K141" s="28"/>
      <c r="L141" s="18"/>
      <c r="M141" s="39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18"/>
      <c r="F142" s="18"/>
      <c r="G142" s="18"/>
      <c r="H142" s="18"/>
      <c r="I142" s="18"/>
      <c r="J142" s="18"/>
      <c r="K142" s="28"/>
      <c r="L142" s="18"/>
      <c r="M142" s="39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18"/>
      <c r="F143" s="18"/>
      <c r="G143" s="18"/>
      <c r="H143" s="18"/>
      <c r="I143" s="18"/>
      <c r="J143" s="18"/>
      <c r="K143" s="28"/>
      <c r="L143" s="18"/>
      <c r="M143" s="39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18"/>
      <c r="F144" s="18"/>
      <c r="G144" s="18"/>
      <c r="H144" s="18"/>
      <c r="I144" s="18"/>
      <c r="J144" s="18"/>
      <c r="K144" s="28"/>
      <c r="L144" s="18"/>
      <c r="M144" s="39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18"/>
      <c r="F145" s="18"/>
      <c r="G145" s="18"/>
      <c r="H145" s="18"/>
      <c r="I145" s="18"/>
      <c r="J145" s="18"/>
      <c r="K145" s="28"/>
      <c r="L145" s="18"/>
      <c r="M145" s="39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18"/>
      <c r="F146" s="18"/>
      <c r="G146" s="18"/>
      <c r="H146" s="18"/>
      <c r="I146" s="18"/>
      <c r="J146" s="18"/>
      <c r="K146" s="28"/>
      <c r="L146" s="18"/>
      <c r="M146" s="39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18"/>
      <c r="F147" s="18"/>
      <c r="G147" s="18"/>
      <c r="H147" s="18"/>
      <c r="I147" s="18"/>
      <c r="J147" s="18"/>
      <c r="K147" s="28"/>
      <c r="L147" s="18"/>
      <c r="M147" s="39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18"/>
      <c r="F148" s="18"/>
      <c r="G148" s="18"/>
      <c r="H148" s="18"/>
      <c r="I148" s="18"/>
      <c r="J148" s="18"/>
      <c r="K148" s="28"/>
      <c r="L148" s="18"/>
      <c r="M148" s="39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18"/>
      <c r="F149" s="18"/>
      <c r="G149" s="18"/>
      <c r="H149" s="18"/>
      <c r="I149" s="18"/>
      <c r="J149" s="18"/>
      <c r="K149" s="28"/>
      <c r="L149" s="18"/>
      <c r="M149" s="39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18"/>
      <c r="F150" s="18"/>
      <c r="G150" s="18"/>
      <c r="H150" s="18"/>
      <c r="I150" s="18"/>
      <c r="J150" s="18"/>
      <c r="K150" s="28"/>
      <c r="L150" s="18"/>
      <c r="M150" s="39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18"/>
      <c r="F151" s="18"/>
      <c r="G151" s="18"/>
      <c r="H151" s="18"/>
      <c r="I151" s="18"/>
      <c r="J151" s="18"/>
      <c r="K151" s="28"/>
      <c r="L151" s="18"/>
      <c r="M151" s="39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18"/>
      <c r="F152" s="18"/>
      <c r="G152" s="18"/>
      <c r="H152" s="18"/>
      <c r="I152" s="18"/>
      <c r="J152" s="18"/>
      <c r="K152" s="28"/>
      <c r="L152" s="18"/>
      <c r="M152" s="39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18"/>
      <c r="F153" s="18"/>
      <c r="G153" s="18"/>
      <c r="H153" s="18"/>
      <c r="I153" s="18"/>
      <c r="J153" s="18"/>
      <c r="K153" s="28"/>
      <c r="L153" s="18"/>
      <c r="M153" s="39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18"/>
      <c r="F154" s="18"/>
      <c r="G154" s="18"/>
      <c r="H154" s="18"/>
      <c r="I154" s="18"/>
      <c r="J154" s="18"/>
      <c r="K154" s="28"/>
      <c r="L154" s="18"/>
      <c r="M154" s="39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18"/>
      <c r="F155" s="18"/>
      <c r="G155" s="18"/>
      <c r="H155" s="18"/>
      <c r="I155" s="18"/>
      <c r="J155" s="18"/>
      <c r="K155" s="28"/>
      <c r="L155" s="18"/>
      <c r="M155" s="39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18"/>
      <c r="F156" s="18"/>
      <c r="G156" s="18"/>
      <c r="H156" s="18"/>
      <c r="I156" s="18"/>
      <c r="J156" s="18"/>
      <c r="K156" s="28"/>
      <c r="L156" s="18"/>
      <c r="M156" s="39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18"/>
      <c r="F157" s="18"/>
      <c r="G157" s="18"/>
      <c r="H157" s="18"/>
      <c r="I157" s="18"/>
      <c r="J157" s="18"/>
      <c r="K157" s="28"/>
      <c r="L157" s="18"/>
      <c r="M157" s="39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18"/>
      <c r="F158" s="18"/>
      <c r="G158" s="18"/>
      <c r="H158" s="18"/>
      <c r="I158" s="18"/>
      <c r="J158" s="18"/>
      <c r="K158" s="28"/>
      <c r="L158" s="18"/>
      <c r="M158" s="39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18"/>
      <c r="F159" s="18"/>
      <c r="G159" s="18"/>
      <c r="H159" s="18"/>
      <c r="I159" s="18"/>
      <c r="J159" s="18"/>
      <c r="K159" s="28"/>
      <c r="L159" s="18"/>
      <c r="M159" s="39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18"/>
      <c r="F160" s="18"/>
      <c r="G160" s="18"/>
      <c r="H160" s="18"/>
      <c r="I160" s="18"/>
      <c r="J160" s="18"/>
      <c r="K160" s="28"/>
      <c r="L160" s="18"/>
      <c r="M160" s="39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18"/>
      <c r="F161" s="18"/>
      <c r="G161" s="18"/>
      <c r="H161" s="18"/>
      <c r="I161" s="18"/>
      <c r="J161" s="18"/>
      <c r="K161" s="28"/>
      <c r="L161" s="18"/>
      <c r="M161" s="39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18"/>
      <c r="F162" s="18"/>
      <c r="G162" s="18"/>
      <c r="H162" s="18"/>
      <c r="I162" s="18"/>
      <c r="J162" s="18"/>
      <c r="K162" s="28"/>
      <c r="L162" s="18"/>
      <c r="M162" s="39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18"/>
      <c r="F163" s="18"/>
      <c r="G163" s="18"/>
      <c r="H163" s="18"/>
      <c r="I163" s="18"/>
      <c r="J163" s="18"/>
      <c r="K163" s="28"/>
      <c r="L163" s="18"/>
      <c r="M163" s="39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18"/>
      <c r="F164" s="18"/>
      <c r="G164" s="18"/>
      <c r="H164" s="18"/>
      <c r="I164" s="18"/>
      <c r="J164" s="18"/>
      <c r="K164" s="28"/>
      <c r="L164" s="18"/>
      <c r="M164" s="39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18"/>
      <c r="F165" s="18"/>
      <c r="G165" s="18"/>
      <c r="H165" s="18"/>
      <c r="I165" s="18"/>
      <c r="J165" s="18"/>
      <c r="K165" s="28"/>
      <c r="L165" s="18"/>
      <c r="M165" s="39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18"/>
      <c r="F166" s="18"/>
      <c r="G166" s="18"/>
      <c r="H166" s="18"/>
      <c r="I166" s="18"/>
      <c r="J166" s="18"/>
      <c r="K166" s="28"/>
      <c r="L166" s="18"/>
      <c r="M166" s="39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18"/>
      <c r="F167" s="18"/>
      <c r="G167" s="18"/>
      <c r="H167" s="18"/>
      <c r="I167" s="18"/>
      <c r="J167" s="18"/>
      <c r="K167" s="28"/>
      <c r="L167" s="18"/>
      <c r="M167" s="39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18"/>
      <c r="F168" s="18"/>
      <c r="G168" s="18"/>
      <c r="H168" s="18"/>
      <c r="I168" s="18"/>
      <c r="J168" s="18"/>
      <c r="K168" s="28"/>
      <c r="L168" s="18"/>
      <c r="M168" s="39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18"/>
      <c r="F169" s="18"/>
      <c r="G169" s="18"/>
      <c r="H169" s="18"/>
      <c r="I169" s="18"/>
      <c r="J169" s="18"/>
      <c r="K169" s="28"/>
      <c r="L169" s="18"/>
      <c r="M169" s="39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18"/>
      <c r="F170" s="18"/>
      <c r="G170" s="18"/>
      <c r="H170" s="18"/>
      <c r="I170" s="18"/>
      <c r="J170" s="18"/>
      <c r="K170" s="28"/>
      <c r="L170" s="18"/>
      <c r="M170" s="39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18"/>
      <c r="F171" s="18"/>
      <c r="G171" s="18"/>
      <c r="H171" s="18"/>
      <c r="I171" s="18"/>
      <c r="J171" s="18"/>
      <c r="K171" s="28"/>
      <c r="L171" s="18"/>
      <c r="M171" s="39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18"/>
      <c r="F172" s="18"/>
      <c r="G172" s="18"/>
      <c r="H172" s="18"/>
      <c r="I172" s="18"/>
      <c r="J172" s="18"/>
      <c r="K172" s="28"/>
      <c r="L172" s="18"/>
      <c r="M172" s="39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18"/>
      <c r="F173" s="18"/>
      <c r="G173" s="18"/>
      <c r="H173" s="18"/>
      <c r="I173" s="18"/>
      <c r="J173" s="18"/>
      <c r="K173" s="28"/>
      <c r="L173" s="18"/>
      <c r="M173" s="39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18"/>
      <c r="F174" s="18"/>
      <c r="G174" s="18"/>
      <c r="H174" s="18"/>
      <c r="I174" s="18"/>
      <c r="J174" s="18"/>
      <c r="K174" s="28"/>
      <c r="L174" s="18"/>
      <c r="M174" s="39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18"/>
      <c r="F175" s="18"/>
      <c r="G175" s="18"/>
      <c r="H175" s="18"/>
      <c r="I175" s="18"/>
      <c r="J175" s="18"/>
      <c r="K175" s="28"/>
      <c r="L175" s="18"/>
      <c r="M175" s="39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18"/>
      <c r="F176" s="18"/>
      <c r="G176" s="18"/>
      <c r="H176" s="18"/>
      <c r="I176" s="18"/>
      <c r="J176" s="18"/>
      <c r="K176" s="28"/>
      <c r="L176" s="18"/>
      <c r="M176" s="39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18"/>
      <c r="F177" s="18"/>
      <c r="G177" s="18"/>
      <c r="H177" s="18"/>
      <c r="I177" s="18"/>
      <c r="J177" s="18"/>
      <c r="K177" s="28"/>
      <c r="L177" s="18"/>
      <c r="M177" s="39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18"/>
      <c r="F178" s="18"/>
      <c r="G178" s="18"/>
      <c r="H178" s="18"/>
      <c r="I178" s="18"/>
      <c r="J178" s="18"/>
      <c r="K178" s="28"/>
      <c r="L178" s="18"/>
      <c r="M178" s="39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18"/>
      <c r="F179" s="18"/>
      <c r="G179" s="18"/>
      <c r="H179" s="18"/>
      <c r="I179" s="18"/>
      <c r="J179" s="18"/>
      <c r="K179" s="28"/>
      <c r="L179" s="18"/>
      <c r="M179" s="39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18"/>
      <c r="F180" s="18"/>
      <c r="G180" s="18"/>
      <c r="H180" s="18"/>
      <c r="I180" s="18"/>
      <c r="J180" s="18"/>
      <c r="K180" s="28"/>
      <c r="L180" s="18"/>
      <c r="M180" s="39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18"/>
      <c r="F181" s="18"/>
      <c r="G181" s="18"/>
      <c r="H181" s="18"/>
      <c r="I181" s="18"/>
      <c r="J181" s="18"/>
      <c r="K181" s="28"/>
      <c r="L181" s="18"/>
      <c r="M181" s="39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18"/>
      <c r="F182" s="18"/>
      <c r="G182" s="18"/>
      <c r="H182" s="18"/>
      <c r="I182" s="18"/>
      <c r="J182" s="18"/>
      <c r="K182" s="28"/>
      <c r="L182" s="18"/>
      <c r="M182" s="39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18"/>
      <c r="F183" s="18"/>
      <c r="G183" s="18"/>
      <c r="H183" s="18"/>
      <c r="I183" s="18"/>
      <c r="J183" s="18"/>
      <c r="K183" s="28"/>
      <c r="L183" s="18"/>
      <c r="M183" s="39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18"/>
      <c r="F184" s="18"/>
      <c r="G184" s="18"/>
      <c r="H184" s="18"/>
      <c r="I184" s="18"/>
      <c r="J184" s="18"/>
      <c r="K184" s="28"/>
      <c r="L184" s="18"/>
      <c r="M184" s="39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18"/>
      <c r="F185" s="18"/>
      <c r="G185" s="18"/>
      <c r="H185" s="18"/>
      <c r="I185" s="18"/>
      <c r="J185" s="18"/>
      <c r="K185" s="28"/>
      <c r="L185" s="18"/>
      <c r="M185" s="39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18"/>
      <c r="F186" s="18"/>
      <c r="G186" s="18"/>
      <c r="H186" s="18"/>
      <c r="I186" s="18"/>
      <c r="J186" s="18"/>
      <c r="K186" s="28"/>
      <c r="L186" s="18"/>
      <c r="M186" s="39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18"/>
      <c r="F187" s="18"/>
      <c r="G187" s="18"/>
      <c r="H187" s="18"/>
      <c r="I187" s="18"/>
      <c r="J187" s="18"/>
      <c r="K187" s="28"/>
      <c r="L187" s="18"/>
      <c r="M187" s="39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18"/>
      <c r="F188" s="18"/>
      <c r="G188" s="18"/>
      <c r="H188" s="18"/>
      <c r="I188" s="18"/>
      <c r="J188" s="18"/>
      <c r="K188" s="28"/>
      <c r="L188" s="18"/>
      <c r="M188" s="39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18"/>
      <c r="F189" s="18"/>
      <c r="G189" s="18"/>
      <c r="H189" s="18"/>
      <c r="I189" s="18"/>
      <c r="J189" s="18"/>
      <c r="K189" s="28"/>
      <c r="L189" s="18"/>
      <c r="M189" s="39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18"/>
      <c r="F190" s="18"/>
      <c r="G190" s="18"/>
      <c r="H190" s="18"/>
      <c r="I190" s="18"/>
      <c r="J190" s="18"/>
      <c r="K190" s="28"/>
      <c r="L190" s="18"/>
      <c r="M190" s="39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18"/>
      <c r="F191" s="18"/>
      <c r="G191" s="18"/>
      <c r="H191" s="18"/>
      <c r="I191" s="18"/>
      <c r="J191" s="18"/>
      <c r="K191" s="28"/>
      <c r="L191" s="18"/>
      <c r="M191" s="39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18"/>
      <c r="F192" s="18"/>
      <c r="G192" s="18"/>
      <c r="H192" s="18"/>
      <c r="I192" s="18"/>
      <c r="J192" s="18"/>
      <c r="K192" s="28"/>
      <c r="L192" s="18"/>
      <c r="M192" s="39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18"/>
      <c r="F193" s="18"/>
      <c r="G193" s="18"/>
      <c r="H193" s="18"/>
      <c r="I193" s="18"/>
      <c r="J193" s="18"/>
      <c r="K193" s="28"/>
      <c r="L193" s="18"/>
      <c r="M193" s="39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18"/>
      <c r="F194" s="18"/>
      <c r="G194" s="18"/>
      <c r="H194" s="18"/>
      <c r="I194" s="18"/>
      <c r="J194" s="18"/>
      <c r="K194" s="28"/>
      <c r="L194" s="18"/>
      <c r="M194" s="39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18"/>
      <c r="F195" s="18"/>
      <c r="G195" s="18"/>
      <c r="H195" s="18"/>
      <c r="I195" s="18"/>
      <c r="J195" s="18"/>
      <c r="K195" s="28"/>
      <c r="L195" s="18"/>
      <c r="M195" s="39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18"/>
      <c r="F196" s="18"/>
      <c r="G196" s="18"/>
      <c r="H196" s="18"/>
      <c r="I196" s="18"/>
      <c r="J196" s="18"/>
      <c r="K196" s="28"/>
      <c r="L196" s="18"/>
      <c r="M196" s="39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18"/>
      <c r="F197" s="18"/>
      <c r="G197" s="18"/>
      <c r="H197" s="18"/>
      <c r="I197" s="18"/>
      <c r="J197" s="18"/>
      <c r="K197" s="28"/>
      <c r="L197" s="18"/>
      <c r="M197" s="39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18"/>
      <c r="F198" s="18"/>
      <c r="G198" s="18"/>
      <c r="H198" s="18"/>
      <c r="I198" s="18"/>
      <c r="J198" s="18"/>
      <c r="K198" s="28"/>
      <c r="L198" s="18"/>
      <c r="M198" s="39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18"/>
      <c r="F199" s="18"/>
      <c r="G199" s="18"/>
      <c r="H199" s="18"/>
      <c r="I199" s="18"/>
      <c r="J199" s="18"/>
      <c r="K199" s="28"/>
      <c r="L199" s="18"/>
      <c r="M199" s="39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18"/>
      <c r="F200" s="18"/>
      <c r="G200" s="18"/>
      <c r="H200" s="18"/>
      <c r="I200" s="18"/>
      <c r="J200" s="18"/>
      <c r="K200" s="28"/>
      <c r="L200" s="18"/>
      <c r="M200" s="39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18"/>
      <c r="F201" s="18"/>
      <c r="G201" s="18"/>
      <c r="H201" s="18"/>
      <c r="I201" s="18"/>
      <c r="J201" s="18"/>
      <c r="K201" s="28"/>
      <c r="L201" s="18"/>
      <c r="M201" s="39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18"/>
      <c r="F202" s="18"/>
      <c r="G202" s="18"/>
      <c r="H202" s="18"/>
      <c r="I202" s="18"/>
      <c r="J202" s="18"/>
      <c r="K202" s="28"/>
      <c r="L202" s="18"/>
      <c r="M202" s="39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18"/>
      <c r="F203" s="18"/>
      <c r="G203" s="18"/>
      <c r="H203" s="18"/>
      <c r="I203" s="18"/>
      <c r="J203" s="18"/>
      <c r="K203" s="28"/>
      <c r="L203" s="18"/>
      <c r="M203" s="39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18"/>
      <c r="F204" s="18"/>
      <c r="G204" s="18"/>
      <c r="H204" s="18"/>
      <c r="I204" s="18"/>
      <c r="J204" s="18"/>
      <c r="K204" s="28"/>
      <c r="L204" s="18"/>
      <c r="M204" s="39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18"/>
      <c r="F205" s="18"/>
      <c r="G205" s="18"/>
      <c r="H205" s="18"/>
      <c r="I205" s="18"/>
      <c r="J205" s="18"/>
      <c r="K205" s="28"/>
      <c r="L205" s="18"/>
      <c r="M205" s="39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18"/>
      <c r="F206" s="18"/>
      <c r="G206" s="18"/>
      <c r="H206" s="18"/>
      <c r="I206" s="18"/>
      <c r="J206" s="18"/>
      <c r="K206" s="28"/>
      <c r="L206" s="18"/>
      <c r="M206" s="39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18"/>
      <c r="F207" s="18"/>
      <c r="G207" s="18"/>
      <c r="H207" s="18"/>
      <c r="I207" s="18"/>
      <c r="J207" s="18"/>
      <c r="K207" s="28"/>
      <c r="L207" s="18"/>
      <c r="M207" s="39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18"/>
      <c r="F208" s="18"/>
      <c r="G208" s="18"/>
      <c r="H208" s="18"/>
      <c r="I208" s="18"/>
      <c r="J208" s="18"/>
      <c r="K208" s="28"/>
      <c r="L208" s="18"/>
      <c r="M208" s="39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18"/>
      <c r="F209" s="18"/>
      <c r="G209" s="18"/>
      <c r="H209" s="18"/>
      <c r="I209" s="18"/>
      <c r="J209" s="18"/>
      <c r="K209" s="28"/>
      <c r="L209" s="18"/>
      <c r="M209" s="39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18"/>
      <c r="F210" s="18"/>
      <c r="G210" s="18"/>
      <c r="H210" s="18"/>
      <c r="I210" s="18"/>
      <c r="J210" s="18"/>
      <c r="K210" s="28"/>
      <c r="L210" s="18"/>
      <c r="M210" s="39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18"/>
      <c r="F211" s="18"/>
      <c r="G211" s="18"/>
      <c r="H211" s="18"/>
      <c r="I211" s="18"/>
      <c r="J211" s="18"/>
      <c r="K211" s="28"/>
      <c r="L211" s="18"/>
      <c r="M211" s="39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18"/>
      <c r="F212" s="18"/>
      <c r="G212" s="18"/>
      <c r="H212" s="18"/>
      <c r="I212" s="18"/>
      <c r="J212" s="18"/>
      <c r="K212" s="28"/>
      <c r="L212" s="18"/>
      <c r="M212" s="39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18"/>
      <c r="F213" s="18"/>
      <c r="G213" s="18"/>
      <c r="H213" s="18"/>
      <c r="I213" s="18"/>
      <c r="J213" s="18"/>
      <c r="K213" s="28"/>
      <c r="L213" s="18"/>
      <c r="M213" s="39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18"/>
      <c r="F214" s="18"/>
      <c r="G214" s="18"/>
      <c r="H214" s="18"/>
      <c r="I214" s="18"/>
      <c r="J214" s="18"/>
      <c r="K214" s="28"/>
      <c r="L214" s="18"/>
      <c r="M214" s="39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18"/>
      <c r="F215" s="18"/>
      <c r="G215" s="18"/>
      <c r="H215" s="18"/>
      <c r="I215" s="18"/>
      <c r="J215" s="18"/>
      <c r="K215" s="28"/>
      <c r="L215" s="18"/>
      <c r="M215" s="39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18"/>
      <c r="F216" s="18"/>
      <c r="G216" s="18"/>
      <c r="H216" s="18"/>
      <c r="I216" s="18"/>
      <c r="J216" s="18"/>
      <c r="K216" s="28"/>
      <c r="L216" s="18"/>
      <c r="M216" s="3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18"/>
      <c r="F217" s="18"/>
      <c r="G217" s="18"/>
      <c r="H217" s="18"/>
      <c r="I217" s="18"/>
      <c r="J217" s="18"/>
      <c r="K217" s="28"/>
      <c r="L217" s="18"/>
      <c r="M217" s="39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18"/>
      <c r="F218" s="18"/>
      <c r="G218" s="18"/>
      <c r="H218" s="18"/>
      <c r="I218" s="18"/>
      <c r="J218" s="18"/>
      <c r="K218" s="28"/>
      <c r="L218" s="18"/>
      <c r="M218" s="39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18"/>
      <c r="F219" s="18"/>
      <c r="G219" s="18"/>
      <c r="H219" s="18"/>
      <c r="I219" s="18"/>
      <c r="J219" s="18"/>
      <c r="K219" s="28"/>
      <c r="L219" s="18"/>
      <c r="M219" s="39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18"/>
      <c r="F220" s="18"/>
      <c r="G220" s="18"/>
      <c r="H220" s="18"/>
      <c r="I220" s="18"/>
      <c r="J220" s="18"/>
      <c r="K220" s="28"/>
      <c r="L220" s="18"/>
      <c r="M220" s="39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18"/>
      <c r="F221" s="18"/>
      <c r="G221" s="18"/>
      <c r="H221" s="18"/>
      <c r="I221" s="18"/>
      <c r="J221" s="18"/>
      <c r="K221" s="28"/>
      <c r="L221" s="18"/>
      <c r="M221" s="39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18"/>
      <c r="F222" s="18"/>
      <c r="G222" s="18"/>
      <c r="H222" s="18"/>
      <c r="I222" s="18"/>
      <c r="J222" s="18"/>
      <c r="K222" s="28"/>
      <c r="L222" s="18"/>
      <c r="M222" s="39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18"/>
      <c r="F223" s="18"/>
      <c r="G223" s="18"/>
      <c r="H223" s="18"/>
      <c r="I223" s="18"/>
      <c r="J223" s="18"/>
      <c r="K223" s="28"/>
      <c r="L223" s="18"/>
      <c r="M223" s="39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18"/>
      <c r="F224" s="18"/>
      <c r="G224" s="18"/>
      <c r="H224" s="18"/>
      <c r="I224" s="18"/>
      <c r="J224" s="18"/>
      <c r="K224" s="28"/>
      <c r="L224" s="18"/>
      <c r="M224" s="39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18"/>
      <c r="F225" s="18"/>
      <c r="G225" s="18"/>
      <c r="H225" s="18"/>
      <c r="I225" s="18"/>
      <c r="J225" s="18"/>
      <c r="K225" s="28"/>
      <c r="L225" s="18"/>
      <c r="M225" s="39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I1"/>
    <mergeCell ref="A3:B3"/>
    <mergeCell ref="C3:D3"/>
    <mergeCell ref="E3:F3"/>
    <mergeCell ref="D8:E8"/>
    <mergeCell ref="C9:E9"/>
  </mergeCells>
  <dataValidations>
    <dataValidation type="list" allowBlank="1" showErrorMessage="1" sqref="E19">
      <formula1>"Sim,Parcialmente,Ainda é precisamos fazer ajustes"</formula1>
    </dataValidation>
    <dataValidation type="list" allowBlank="1" showErrorMessage="1" sqref="E11 E13 E15 E17 E21 E23">
      <formula1>"Sim,Parcialmente,Não"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18.44"/>
    <col customWidth="1" hidden="1" min="6" max="6" width="6.0"/>
    <col customWidth="1" min="7" max="9" width="9.56"/>
    <col customWidth="1" min="10" max="10" width="0.89"/>
    <col customWidth="1" hidden="1" min="11" max="11" width="1.67"/>
    <col customWidth="1" hidden="1" min="12" max="12" width="11.11"/>
    <col customWidth="1" hidden="1" min="13" max="22" width="10.78"/>
    <col customWidth="1" hidden="1" min="23" max="23" width="15.33"/>
    <col customWidth="1" hidden="1" min="24" max="24" width="4.0"/>
    <col customWidth="1" hidden="1" min="25" max="25" width="10.78"/>
    <col customWidth="1" min="26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0"/>
      <c r="F5" s="20"/>
      <c r="G5" s="20"/>
      <c r="H5" s="20"/>
      <c r="I5" s="20"/>
      <c r="J5" s="20"/>
      <c r="K5" s="28"/>
      <c r="L5" s="18"/>
      <c r="M5" s="4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100%</v>
      </c>
      <c r="D6" s="24"/>
      <c r="E6" s="43">
        <f>COUNTA(E8,E10,E12,E14,E16,E18,E20,E22,E24,E26,E28,E31,E32,E33,E34,E35,E36,E37,E38,E40,E42,E44,E46,E48,E50,E52,E54)/27</f>
        <v>1</v>
      </c>
      <c r="F6" s="27"/>
      <c r="G6" s="27"/>
      <c r="H6" s="24"/>
      <c r="I6" s="24"/>
      <c r="J6" s="24"/>
      <c r="K6" s="28"/>
      <c r="L6" s="28"/>
      <c r="M6" s="44"/>
      <c r="N6" s="45"/>
      <c r="O6" s="45"/>
      <c r="P6" s="45"/>
      <c r="Q6" s="45"/>
      <c r="R6" s="45"/>
      <c r="S6" s="45"/>
      <c r="T6" s="45"/>
      <c r="U6" s="45"/>
      <c r="V6" s="45"/>
      <c r="W6" s="46"/>
      <c r="X6" s="28"/>
      <c r="Y6" s="45"/>
      <c r="Z6" s="28"/>
    </row>
    <row r="7" ht="10.5" customHeight="1">
      <c r="A7" s="22"/>
      <c r="B7" s="22"/>
      <c r="C7" s="24"/>
      <c r="D7" s="24" t="s">
        <v>6</v>
      </c>
      <c r="E7" s="24"/>
      <c r="F7" s="27"/>
      <c r="G7" s="24"/>
      <c r="H7" s="24"/>
      <c r="I7" s="24"/>
      <c r="J7" s="24"/>
      <c r="K7" s="28"/>
      <c r="L7" s="28"/>
      <c r="M7" s="44"/>
      <c r="N7" s="45"/>
      <c r="O7" s="45"/>
      <c r="P7" s="45"/>
      <c r="Q7" s="45"/>
      <c r="R7" s="45"/>
      <c r="S7" s="45"/>
      <c r="T7" s="45"/>
      <c r="U7" s="45"/>
      <c r="V7" s="45"/>
      <c r="W7" s="46"/>
      <c r="X7" s="28"/>
      <c r="Y7" s="45"/>
      <c r="Z7" s="28"/>
    </row>
    <row r="8" ht="40.5" customHeight="1">
      <c r="A8" s="22"/>
      <c r="B8" s="22"/>
      <c r="C8" s="29" t="s">
        <v>67</v>
      </c>
      <c r="D8" s="30" t="s">
        <v>68</v>
      </c>
      <c r="E8" s="31" t="s">
        <v>69</v>
      </c>
      <c r="F8" s="26">
        <f>IF(E8="",0,IF(E8="NÃO SEI",0,IF(E8="WIX",5,10)))</f>
        <v>10</v>
      </c>
      <c r="G8" s="53"/>
      <c r="H8" s="28"/>
      <c r="I8" s="28"/>
      <c r="J8" s="28"/>
      <c r="K8" s="28"/>
      <c r="L8" s="28"/>
      <c r="M8" s="28" t="str">
        <f>IF(ISERROR(AVERAGE(#REF!)),"",(AVERAGE(#REF!)))</f>
        <v/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2"/>
      <c r="B9" s="22"/>
      <c r="C9" s="33"/>
      <c r="D9" s="34"/>
      <c r="E9" s="35"/>
      <c r="F9" s="26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0.5" customHeight="1">
      <c r="A10" s="22"/>
      <c r="B10" s="22"/>
      <c r="C10" s="29" t="s">
        <v>70</v>
      </c>
      <c r="D10" s="30" t="s">
        <v>71</v>
      </c>
      <c r="E10" s="31" t="s">
        <v>72</v>
      </c>
      <c r="F10" s="26">
        <f>IF(E10="SIM",10,0)</f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26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73</v>
      </c>
      <c r="D12" s="30" t="s">
        <v>74</v>
      </c>
      <c r="E12" s="31" t="s">
        <v>72</v>
      </c>
      <c r="F12" s="26">
        <f>IF(E12="SIM",10,0)</f>
        <v>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2"/>
      <c r="B13" s="22"/>
      <c r="C13" s="33"/>
      <c r="D13" s="34"/>
      <c r="E13" s="35"/>
      <c r="F13" s="26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75</v>
      </c>
      <c r="D14" s="30" t="s">
        <v>76</v>
      </c>
      <c r="E14" s="31" t="s">
        <v>77</v>
      </c>
      <c r="F14" s="26">
        <f>IF(E14="",0,IF(E14&lt;&gt;"NÃO SEI",10,0))</f>
        <v>10</v>
      </c>
      <c r="G14" s="28"/>
      <c r="H14" s="28"/>
      <c r="I14" s="28"/>
      <c r="J14" s="28"/>
      <c r="K14" s="28"/>
      <c r="L14" s="28"/>
      <c r="M14" s="28"/>
      <c r="N14" s="28"/>
      <c r="O14" s="54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19"/>
      <c r="D15" s="37"/>
      <c r="E15" s="26"/>
      <c r="F15" s="26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78</v>
      </c>
      <c r="D16" s="55" t="s">
        <v>79</v>
      </c>
      <c r="E16" s="56">
        <v>0.0</v>
      </c>
      <c r="F16" s="26">
        <f>IF(E16="",0,IF(E16&lt;300000,10,0))</f>
        <v>10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2"/>
      <c r="B17" s="22"/>
      <c r="C17" s="33"/>
      <c r="D17" s="34"/>
      <c r="E17" s="35"/>
      <c r="F17" s="26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80</v>
      </c>
      <c r="D18" s="30" t="s">
        <v>81</v>
      </c>
      <c r="E18" s="31">
        <v>5.0</v>
      </c>
      <c r="F18" s="26">
        <f>IF(E18&gt;=4,10,IF(E18&gt;=2,5,0))</f>
        <v>10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2"/>
      <c r="B19" s="22"/>
      <c r="C19" s="33"/>
      <c r="D19" s="34"/>
      <c r="E19" s="35"/>
      <c r="F19" s="26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82</v>
      </c>
      <c r="D20" s="30" t="s">
        <v>83</v>
      </c>
      <c r="E20" s="31">
        <v>0.0</v>
      </c>
      <c r="F20" s="26">
        <f>IF(E20&gt;=4,10,IF(E20&gt;=2,5,0))</f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2"/>
      <c r="B21" s="22"/>
      <c r="C21" s="33"/>
      <c r="D21" s="34"/>
      <c r="E21" s="35"/>
      <c r="F21" s="26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40.5" customHeight="1">
      <c r="A22" s="22"/>
      <c r="B22" s="22"/>
      <c r="C22" s="29" t="s">
        <v>84</v>
      </c>
      <c r="D22" s="30" t="s">
        <v>85</v>
      </c>
      <c r="E22" s="31">
        <v>0.0</v>
      </c>
      <c r="F22" s="26">
        <f>IF(E22&gt;=2,10,IF(E22&gt;=1,5,0))</f>
        <v>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75" customHeight="1">
      <c r="A23" s="22"/>
      <c r="B23" s="22"/>
      <c r="C23" s="33"/>
      <c r="D23" s="34"/>
      <c r="E23" s="35"/>
      <c r="F23" s="26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40.5" customHeight="1">
      <c r="A24" s="22"/>
      <c r="B24" s="22"/>
      <c r="C24" s="29" t="s">
        <v>86</v>
      </c>
      <c r="D24" s="30" t="s">
        <v>87</v>
      </c>
      <c r="E24" s="31">
        <v>30.0</v>
      </c>
      <c r="F24" s="26">
        <f>IF(E24&gt;=4,10,IF(E24&gt;=2,5,0))</f>
        <v>10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2"/>
      <c r="B25" s="22"/>
      <c r="C25" s="33"/>
      <c r="D25" s="34"/>
      <c r="E25" s="35"/>
      <c r="F25" s="26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0.5" customHeight="1">
      <c r="A26" s="22"/>
      <c r="B26" s="22"/>
      <c r="C26" s="29" t="s">
        <v>88</v>
      </c>
      <c r="D26" s="30" t="s">
        <v>89</v>
      </c>
      <c r="E26" s="31">
        <v>30.0</v>
      </c>
      <c r="F26" s="26">
        <f>IF(E26&gt;=4,10,IF(E26&gt;=2,5,0))</f>
        <v>10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2"/>
      <c r="B27" s="22"/>
      <c r="C27" s="33"/>
      <c r="D27" s="34"/>
      <c r="E27" s="35"/>
      <c r="F27" s="26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40.5" customHeight="1">
      <c r="A28" s="22"/>
      <c r="B28" s="22"/>
      <c r="C28" s="29" t="s">
        <v>90</v>
      </c>
      <c r="D28" s="30" t="s">
        <v>91</v>
      </c>
      <c r="E28" s="31">
        <v>0.0</v>
      </c>
      <c r="F28" s="26">
        <f>IF(E28&gt;=4,10,IF(E28&gt;=2,5,0))</f>
        <v>0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2.75" customHeight="1">
      <c r="A29" s="22"/>
      <c r="B29" s="22"/>
      <c r="C29" s="19"/>
      <c r="D29" s="37"/>
      <c r="E29" s="26"/>
      <c r="F29" s="26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40.5" customHeight="1">
      <c r="A30" s="57"/>
      <c r="B30" s="57"/>
      <c r="C30" s="29" t="s">
        <v>92</v>
      </c>
      <c r="D30" s="58" t="s">
        <v>93</v>
      </c>
      <c r="E30" s="59" t="s">
        <v>94</v>
      </c>
      <c r="F30" s="60" t="s">
        <v>95</v>
      </c>
      <c r="G30" s="37"/>
      <c r="H30" s="37"/>
      <c r="I30" s="37"/>
      <c r="J30" s="37"/>
      <c r="K30" s="61"/>
      <c r="L30" s="57"/>
      <c r="M30" s="62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18"/>
    </row>
    <row r="31" ht="40.5" customHeight="1">
      <c r="A31" s="57"/>
      <c r="B31" s="57"/>
      <c r="C31" s="29"/>
      <c r="D31" s="58" t="s">
        <v>96</v>
      </c>
      <c r="E31" s="63">
        <v>300.0</v>
      </c>
      <c r="F31" s="64"/>
      <c r="G31" s="65">
        <f>IF(E31&gt;=10000,10,IF(E31&gt;=5000,5,0))</f>
        <v>0</v>
      </c>
      <c r="H31" s="37"/>
      <c r="I31" s="37"/>
      <c r="J31" s="37"/>
      <c r="K31" s="61"/>
      <c r="L31" s="57"/>
      <c r="M31" s="62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18"/>
    </row>
    <row r="32" ht="40.5" customHeight="1">
      <c r="A32" s="57"/>
      <c r="B32" s="57"/>
      <c r="C32" s="29"/>
      <c r="D32" s="58" t="s">
        <v>97</v>
      </c>
      <c r="E32" s="66">
        <v>300.0</v>
      </c>
      <c r="F32" s="67">
        <f t="shared" ref="F32:F34" si="1">IF(ISERROR(E32/E31),0,E32/E31)</f>
        <v>1</v>
      </c>
      <c r="G32" s="68"/>
      <c r="H32" s="37"/>
      <c r="I32" s="37"/>
      <c r="J32" s="37"/>
      <c r="K32" s="61"/>
      <c r="L32" s="57"/>
      <c r="M32" s="62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18"/>
    </row>
    <row r="33" ht="40.5" customHeight="1">
      <c r="A33" s="57"/>
      <c r="B33" s="57"/>
      <c r="C33" s="29"/>
      <c r="D33" s="58" t="s">
        <v>98</v>
      </c>
      <c r="E33" s="63">
        <v>3.0</v>
      </c>
      <c r="F33" s="67">
        <f t="shared" si="1"/>
        <v>0.01</v>
      </c>
      <c r="G33" s="65">
        <f>IF(E33&gt;=500,10,IF(E33&gt;=100,5,0))</f>
        <v>0</v>
      </c>
      <c r="H33" s="37"/>
      <c r="I33" s="37"/>
      <c r="J33" s="37"/>
      <c r="K33" s="61"/>
      <c r="L33" s="57"/>
      <c r="M33" s="62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18"/>
    </row>
    <row r="34" ht="40.5" customHeight="1">
      <c r="A34" s="57"/>
      <c r="B34" s="57"/>
      <c r="C34" s="29"/>
      <c r="D34" s="58" t="s">
        <v>99</v>
      </c>
      <c r="E34" s="63">
        <v>10.0</v>
      </c>
      <c r="F34" s="67">
        <f t="shared" si="1"/>
        <v>3.333333333</v>
      </c>
      <c r="G34" s="68"/>
      <c r="H34" s="37"/>
      <c r="I34" s="37"/>
      <c r="J34" s="37"/>
      <c r="K34" s="61"/>
      <c r="L34" s="57"/>
      <c r="M34" s="62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18"/>
    </row>
    <row r="35" ht="40.5" customHeight="1">
      <c r="A35" s="57"/>
      <c r="B35" s="57"/>
      <c r="C35" s="29"/>
      <c r="D35" s="58" t="s">
        <v>100</v>
      </c>
      <c r="E35" s="63">
        <v>0.0</v>
      </c>
      <c r="F35" s="64">
        <f>IF(ISERROR(E35/E33),0,E35/E33)</f>
        <v>0</v>
      </c>
      <c r="G35" s="68"/>
      <c r="H35" s="37"/>
      <c r="I35" s="37"/>
      <c r="J35" s="37"/>
      <c r="K35" s="61"/>
      <c r="L35" s="57"/>
      <c r="M35" s="62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18"/>
    </row>
    <row r="36" ht="40.5" customHeight="1">
      <c r="A36" s="57"/>
      <c r="B36" s="57"/>
      <c r="C36" s="29"/>
      <c r="D36" s="58" t="s">
        <v>101</v>
      </c>
      <c r="E36" s="63">
        <v>15.0</v>
      </c>
      <c r="F36" s="67">
        <f t="shared" ref="F36:F38" si="2">IF(ISERROR(E36/E35),0,E36/E35)</f>
        <v>0</v>
      </c>
      <c r="G36" s="68"/>
      <c r="H36" s="37"/>
      <c r="I36" s="37"/>
      <c r="J36" s="37"/>
      <c r="K36" s="61"/>
      <c r="L36" s="57"/>
      <c r="M36" s="62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18"/>
    </row>
    <row r="37" ht="40.5" customHeight="1">
      <c r="A37" s="57"/>
      <c r="B37" s="57"/>
      <c r="C37" s="29"/>
      <c r="D37" s="58" t="s">
        <v>102</v>
      </c>
      <c r="E37" s="63">
        <v>5.0</v>
      </c>
      <c r="F37" s="67">
        <f t="shared" si="2"/>
        <v>0.3333333333</v>
      </c>
      <c r="G37" s="68"/>
      <c r="H37" s="37"/>
      <c r="I37" s="37"/>
      <c r="J37" s="37"/>
      <c r="K37" s="61"/>
      <c r="L37" s="57"/>
      <c r="M37" s="62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18"/>
    </row>
    <row r="38" ht="40.5" customHeight="1">
      <c r="A38" s="57"/>
      <c r="B38" s="57"/>
      <c r="C38" s="29"/>
      <c r="D38" s="58" t="s">
        <v>103</v>
      </c>
      <c r="E38" s="63">
        <v>3.0</v>
      </c>
      <c r="F38" s="67">
        <f t="shared" si="2"/>
        <v>0.6</v>
      </c>
      <c r="G38" s="65">
        <f>IF(E38&gt;=5,10,IF(E38&gt;=2,5,0))</f>
        <v>5</v>
      </c>
      <c r="H38" s="37"/>
      <c r="I38" s="37"/>
      <c r="J38" s="37"/>
      <c r="K38" s="61"/>
      <c r="L38" s="57"/>
      <c r="M38" s="62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18"/>
    </row>
    <row r="39" ht="12.75" customHeight="1">
      <c r="A39" s="22"/>
      <c r="B39" s="22"/>
      <c r="C39" s="19"/>
      <c r="D39" s="37"/>
      <c r="E39" s="26"/>
      <c r="F39" s="26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40.5" customHeight="1">
      <c r="A40" s="57"/>
      <c r="B40" s="57"/>
      <c r="C40" s="29" t="s">
        <v>104</v>
      </c>
      <c r="D40" s="30" t="s">
        <v>105</v>
      </c>
      <c r="E40" s="31">
        <v>0.0</v>
      </c>
      <c r="F40" s="26">
        <f>IF(E40&gt;=5,10,IF(E40&gt;=2,5,0))</f>
        <v>0</v>
      </c>
      <c r="G40" s="37"/>
      <c r="H40" s="37"/>
      <c r="I40" s="37"/>
      <c r="J40" s="37"/>
      <c r="K40" s="61"/>
      <c r="L40" s="57"/>
      <c r="M40" s="62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18"/>
    </row>
    <row r="41" ht="12.75" customHeight="1">
      <c r="A41" s="22"/>
      <c r="B41" s="22"/>
      <c r="C41" s="19"/>
      <c r="D41" s="37"/>
      <c r="E41" s="26"/>
      <c r="F41" s="26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40.5" customHeight="1">
      <c r="A42" s="22"/>
      <c r="B42" s="22"/>
      <c r="C42" s="29" t="s">
        <v>106</v>
      </c>
      <c r="D42" s="30" t="s">
        <v>107</v>
      </c>
      <c r="E42" s="31" t="s">
        <v>108</v>
      </c>
      <c r="F42" s="26">
        <f>IF(E42="",0,IF(E42="NÃO SEI",0,10))</f>
        <v>10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2.75" customHeight="1">
      <c r="A43" s="22"/>
      <c r="B43" s="22"/>
      <c r="C43" s="33"/>
      <c r="D43" s="34"/>
      <c r="E43" s="35"/>
      <c r="F43" s="26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40.5" customHeight="1">
      <c r="A44" s="22"/>
      <c r="B44" s="22"/>
      <c r="C44" s="29" t="s">
        <v>109</v>
      </c>
      <c r="D44" s="30" t="s">
        <v>110</v>
      </c>
      <c r="E44" s="36">
        <v>0.0</v>
      </c>
      <c r="F44" s="26">
        <f>IF(E44&gt;=1500,10,IF(E44&gt;=700,5,0))</f>
        <v>0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2.75" customHeight="1">
      <c r="A45" s="22"/>
      <c r="B45" s="22"/>
      <c r="C45" s="33"/>
      <c r="D45" s="34"/>
      <c r="E45" s="35"/>
      <c r="F45" s="26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40.5" customHeight="1">
      <c r="A46" s="22"/>
      <c r="B46" s="22"/>
      <c r="C46" s="29" t="s">
        <v>111</v>
      </c>
      <c r="D46" s="30" t="s">
        <v>112</v>
      </c>
      <c r="E46" s="36">
        <v>100.0</v>
      </c>
      <c r="F46" s="26">
        <f>IF(E46&gt;=750,10,IF(E46&gt;=300,5,0))</f>
        <v>0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2.75" customHeight="1">
      <c r="A47" s="22"/>
      <c r="B47" s="22"/>
      <c r="C47" s="33"/>
      <c r="D47" s="34"/>
      <c r="E47" s="35"/>
      <c r="F47" s="26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40.5" customHeight="1">
      <c r="A48" s="22"/>
      <c r="B48" s="22"/>
      <c r="C48" s="29" t="s">
        <v>113</v>
      </c>
      <c r="D48" s="30" t="s">
        <v>114</v>
      </c>
      <c r="E48" s="36">
        <v>500.0</v>
      </c>
      <c r="F48" s="26">
        <f>IF(E48&gt;=300,10,IF(E48&gt;=150,5,0))</f>
        <v>10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2.75" customHeight="1">
      <c r="A49" s="22"/>
      <c r="B49" s="22"/>
      <c r="C49" s="33"/>
      <c r="D49" s="34"/>
      <c r="E49" s="35"/>
      <c r="F49" s="26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40.5" customHeight="1">
      <c r="A50" s="22"/>
      <c r="B50" s="22"/>
      <c r="C50" s="29" t="s">
        <v>115</v>
      </c>
      <c r="D50" s="30" t="s">
        <v>116</v>
      </c>
      <c r="E50" s="36">
        <v>0.0</v>
      </c>
      <c r="F50" s="26">
        <f>IF(E50&gt;=1000,10,IF(E50&gt;=500,5,0))</f>
        <v>0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2.75" customHeight="1">
      <c r="A51" s="22"/>
      <c r="B51" s="22"/>
      <c r="C51" s="33"/>
      <c r="D51" s="34"/>
      <c r="E51" s="35"/>
      <c r="F51" s="26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40.5" customHeight="1">
      <c r="A52" s="22"/>
      <c r="B52" s="22"/>
      <c r="C52" s="29" t="s">
        <v>117</v>
      </c>
      <c r="D52" s="30" t="s">
        <v>118</v>
      </c>
      <c r="E52" s="31" t="s">
        <v>29</v>
      </c>
      <c r="F52" s="26">
        <f>IF(E52="SIM",10,0)</f>
        <v>10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2.75" customHeight="1">
      <c r="A53" s="22"/>
      <c r="B53" s="22"/>
      <c r="C53" s="33"/>
      <c r="D53" s="34"/>
      <c r="E53" s="35"/>
      <c r="F53" s="26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40.5" customHeight="1">
      <c r="A54" s="22"/>
      <c r="B54" s="22"/>
      <c r="C54" s="29" t="s">
        <v>119</v>
      </c>
      <c r="D54" s="30" t="s">
        <v>120</v>
      </c>
      <c r="E54" s="31" t="s">
        <v>121</v>
      </c>
      <c r="F54" s="26">
        <f>IF(E54="",0,IF(E54="NÃO SEI",0,10))</f>
        <v>10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2.75" customHeight="1">
      <c r="A55" s="22"/>
      <c r="B55" s="22"/>
      <c r="C55" s="19"/>
      <c r="D55" s="37"/>
      <c r="E55" s="26"/>
      <c r="F55" s="26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40.5" customHeight="1">
      <c r="A56" s="18"/>
      <c r="B56" s="18"/>
      <c r="C56" s="38" t="str">
        <f>IF(E6&lt;&gt;100%,"Termine o preenchimento para descobrir sua nota!","Sua nota média em marketing é: "&amp;F56)</f>
        <v>Sua nota média em marketing é: 4,77272727272727</v>
      </c>
      <c r="D56" s="18"/>
      <c r="E56" s="18"/>
      <c r="F56" s="69">
        <f>AVERAGE(F54,F52,F50,F48,F46,F44,F42,F40,G38,G33,G31,F28,F26,F24,F22,F20,F18,F16,F14,F12,F10,F8)</f>
        <v>4.772727273</v>
      </c>
      <c r="G56" s="18"/>
      <c r="H56" s="18"/>
      <c r="I56" s="18"/>
      <c r="J56" s="18"/>
      <c r="K56" s="28"/>
      <c r="L56" s="18"/>
      <c r="M56" s="39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18"/>
      <c r="F57" s="18"/>
      <c r="G57" s="18"/>
      <c r="H57" s="18"/>
      <c r="I57" s="18"/>
      <c r="J57" s="18"/>
      <c r="K57" s="28"/>
      <c r="L57" s="18"/>
      <c r="M57" s="39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22.5" customHeight="1">
      <c r="A58" s="18"/>
      <c r="B58" s="18"/>
      <c r="C58" s="40"/>
      <c r="D58" s="18"/>
      <c r="E58" s="18"/>
      <c r="F58" s="18"/>
      <c r="G58" s="18"/>
      <c r="H58" s="18"/>
      <c r="I58" s="18"/>
      <c r="J58" s="18"/>
      <c r="K58" s="28"/>
      <c r="L58" s="18"/>
      <c r="M58" s="39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22.5" customHeight="1">
      <c r="A59" s="18"/>
      <c r="B59" s="18"/>
      <c r="C59" s="40"/>
      <c r="D59" s="18"/>
      <c r="E59" s="18"/>
      <c r="F59" s="18"/>
      <c r="G59" s="18"/>
      <c r="H59" s="18"/>
      <c r="I59" s="18"/>
      <c r="J59" s="18"/>
      <c r="K59" s="28"/>
      <c r="L59" s="18"/>
      <c r="M59" s="39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22.5" customHeight="1">
      <c r="A60" s="18"/>
      <c r="B60" s="18"/>
      <c r="C60" s="40"/>
      <c r="D60" s="18"/>
      <c r="E60" s="18"/>
      <c r="F60" s="18"/>
      <c r="G60" s="18"/>
      <c r="H60" s="18"/>
      <c r="I60" s="18"/>
      <c r="J60" s="18"/>
      <c r="K60" s="28"/>
      <c r="L60" s="18"/>
      <c r="M60" s="39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22.5" customHeight="1">
      <c r="A61" s="18"/>
      <c r="B61" s="18"/>
      <c r="C61" s="40"/>
      <c r="D61" s="18"/>
      <c r="E61" s="18"/>
      <c r="F61" s="18"/>
      <c r="G61" s="18"/>
      <c r="H61" s="18"/>
      <c r="I61" s="18"/>
      <c r="J61" s="18"/>
      <c r="K61" s="28"/>
      <c r="L61" s="18"/>
      <c r="M61" s="39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22.5" customHeight="1">
      <c r="A62" s="18"/>
      <c r="B62" s="18"/>
      <c r="C62" s="40"/>
      <c r="D62" s="18"/>
      <c r="E62" s="18"/>
      <c r="F62" s="18"/>
      <c r="G62" s="18"/>
      <c r="H62" s="18"/>
      <c r="I62" s="18"/>
      <c r="J62" s="18"/>
      <c r="K62" s="28"/>
      <c r="L62" s="18"/>
      <c r="M62" s="39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22.5" customHeight="1">
      <c r="A63" s="18"/>
      <c r="B63" s="18"/>
      <c r="C63" s="40"/>
      <c r="D63" s="18"/>
      <c r="E63" s="18"/>
      <c r="F63" s="18"/>
      <c r="G63" s="18"/>
      <c r="H63" s="18"/>
      <c r="I63" s="18"/>
      <c r="J63" s="18"/>
      <c r="K63" s="28"/>
      <c r="L63" s="18"/>
      <c r="M63" s="39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22.5" customHeight="1">
      <c r="A64" s="18"/>
      <c r="B64" s="18"/>
      <c r="C64" s="40"/>
      <c r="D64" s="18"/>
      <c r="E64" s="18"/>
      <c r="F64" s="18"/>
      <c r="G64" s="18"/>
      <c r="H64" s="18"/>
      <c r="I64" s="18"/>
      <c r="J64" s="18"/>
      <c r="K64" s="28"/>
      <c r="L64" s="18"/>
      <c r="M64" s="39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22.5" customHeight="1">
      <c r="A65" s="18"/>
      <c r="B65" s="18"/>
      <c r="C65" s="40"/>
      <c r="D65" s="18"/>
      <c r="E65" s="18"/>
      <c r="F65" s="18"/>
      <c r="G65" s="18"/>
      <c r="H65" s="18"/>
      <c r="I65" s="18"/>
      <c r="J65" s="18"/>
      <c r="K65" s="28"/>
      <c r="L65" s="18"/>
      <c r="M65" s="39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22.5" customHeight="1">
      <c r="A66" s="18"/>
      <c r="B66" s="18"/>
      <c r="C66" s="40"/>
      <c r="D66" s="18"/>
      <c r="E66" s="18"/>
      <c r="F66" s="18"/>
      <c r="G66" s="18"/>
      <c r="H66" s="18"/>
      <c r="I66" s="18"/>
      <c r="J66" s="18"/>
      <c r="K66" s="28"/>
      <c r="L66" s="18"/>
      <c r="M66" s="39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22.5" customHeight="1">
      <c r="A67" s="18"/>
      <c r="B67" s="18"/>
      <c r="C67" s="40"/>
      <c r="D67" s="18"/>
      <c r="E67" s="18"/>
      <c r="F67" s="18"/>
      <c r="G67" s="18"/>
      <c r="H67" s="18"/>
      <c r="I67" s="18"/>
      <c r="J67" s="18"/>
      <c r="K67" s="28"/>
      <c r="L67" s="18"/>
      <c r="M67" s="39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22.5" customHeight="1">
      <c r="A68" s="18"/>
      <c r="B68" s="18"/>
      <c r="C68" s="40"/>
      <c r="D68" s="18"/>
      <c r="E68" s="18"/>
      <c r="F68" s="18"/>
      <c r="G68" s="18"/>
      <c r="H68" s="18"/>
      <c r="I68" s="18"/>
      <c r="J68" s="18"/>
      <c r="K68" s="28"/>
      <c r="L68" s="18"/>
      <c r="M68" s="39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22.5" customHeight="1">
      <c r="A69" s="18"/>
      <c r="B69" s="18"/>
      <c r="C69" s="40"/>
      <c r="D69" s="18"/>
      <c r="E69" s="18"/>
      <c r="F69" s="18"/>
      <c r="G69" s="18"/>
      <c r="H69" s="18"/>
      <c r="I69" s="18"/>
      <c r="J69" s="18"/>
      <c r="K69" s="28"/>
      <c r="L69" s="18"/>
      <c r="M69" s="39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22.5" customHeight="1">
      <c r="A70" s="18"/>
      <c r="B70" s="18"/>
      <c r="C70" s="40"/>
      <c r="D70" s="18"/>
      <c r="E70" s="18"/>
      <c r="F70" s="18"/>
      <c r="G70" s="18"/>
      <c r="H70" s="18"/>
      <c r="I70" s="18"/>
      <c r="J70" s="18"/>
      <c r="K70" s="28"/>
      <c r="L70" s="18"/>
      <c r="M70" s="39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22.5" customHeight="1">
      <c r="A71" s="18"/>
      <c r="B71" s="18"/>
      <c r="C71" s="40"/>
      <c r="D71" s="18"/>
      <c r="E71" s="18"/>
      <c r="F71" s="18"/>
      <c r="G71" s="18"/>
      <c r="H71" s="18"/>
      <c r="I71" s="18"/>
      <c r="J71" s="18"/>
      <c r="K71" s="28"/>
      <c r="L71" s="18"/>
      <c r="M71" s="39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22.5" customHeight="1">
      <c r="A72" s="18"/>
      <c r="B72" s="18"/>
      <c r="C72" s="40"/>
      <c r="D72" s="18"/>
      <c r="E72" s="18"/>
      <c r="F72" s="18"/>
      <c r="G72" s="18"/>
      <c r="H72" s="18"/>
      <c r="I72" s="18"/>
      <c r="J72" s="18"/>
      <c r="K72" s="28"/>
      <c r="L72" s="18"/>
      <c r="M72" s="39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22.5" customHeight="1">
      <c r="A73" s="18"/>
      <c r="B73" s="18"/>
      <c r="C73" s="40"/>
      <c r="D73" s="18"/>
      <c r="E73" s="18"/>
      <c r="F73" s="18"/>
      <c r="G73" s="18"/>
      <c r="H73" s="18"/>
      <c r="I73" s="18"/>
      <c r="J73" s="18"/>
      <c r="K73" s="28"/>
      <c r="L73" s="18"/>
      <c r="M73" s="39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22.5" customHeight="1">
      <c r="A74" s="18"/>
      <c r="B74" s="18"/>
      <c r="C74" s="40"/>
      <c r="D74" s="18"/>
      <c r="E74" s="18"/>
      <c r="F74" s="18"/>
      <c r="G74" s="18"/>
      <c r="H74" s="18"/>
      <c r="I74" s="18"/>
      <c r="J74" s="18"/>
      <c r="K74" s="28"/>
      <c r="L74" s="18"/>
      <c r="M74" s="39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22.5" customHeight="1">
      <c r="A75" s="18"/>
      <c r="B75" s="18"/>
      <c r="C75" s="40"/>
      <c r="D75" s="18"/>
      <c r="E75" s="18"/>
      <c r="F75" s="18"/>
      <c r="G75" s="18"/>
      <c r="H75" s="18"/>
      <c r="I75" s="18"/>
      <c r="J75" s="18"/>
      <c r="K75" s="28"/>
      <c r="L75" s="18"/>
      <c r="M75" s="39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22.5" customHeight="1">
      <c r="A76" s="18"/>
      <c r="B76" s="18"/>
      <c r="C76" s="40"/>
      <c r="D76" s="18"/>
      <c r="E76" s="18"/>
      <c r="F76" s="18"/>
      <c r="G76" s="18"/>
      <c r="H76" s="18"/>
      <c r="I76" s="18"/>
      <c r="J76" s="18"/>
      <c r="K76" s="28"/>
      <c r="L76" s="18"/>
      <c r="M76" s="39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22.5" customHeight="1">
      <c r="A77" s="18"/>
      <c r="B77" s="18"/>
      <c r="C77" s="40"/>
      <c r="D77" s="18"/>
      <c r="E77" s="18"/>
      <c r="F77" s="18"/>
      <c r="G77" s="18"/>
      <c r="H77" s="18"/>
      <c r="I77" s="18"/>
      <c r="J77" s="18"/>
      <c r="K77" s="28"/>
      <c r="L77" s="18"/>
      <c r="M77" s="39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22.5" customHeight="1">
      <c r="A78" s="18"/>
      <c r="B78" s="18"/>
      <c r="C78" s="40"/>
      <c r="D78" s="18"/>
      <c r="E78" s="18"/>
      <c r="F78" s="18"/>
      <c r="G78" s="18"/>
      <c r="H78" s="18"/>
      <c r="I78" s="18"/>
      <c r="J78" s="18"/>
      <c r="K78" s="28"/>
      <c r="L78" s="18"/>
      <c r="M78" s="39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22.5" customHeight="1">
      <c r="A79" s="18"/>
      <c r="B79" s="18"/>
      <c r="C79" s="40"/>
      <c r="D79" s="18"/>
      <c r="E79" s="18"/>
      <c r="F79" s="18"/>
      <c r="G79" s="18"/>
      <c r="H79" s="18"/>
      <c r="I79" s="18"/>
      <c r="J79" s="18"/>
      <c r="K79" s="28"/>
      <c r="L79" s="18"/>
      <c r="M79" s="39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22.5" customHeight="1">
      <c r="A80" s="18"/>
      <c r="B80" s="18"/>
      <c r="C80" s="40"/>
      <c r="D80" s="18"/>
      <c r="E80" s="18"/>
      <c r="F80" s="18"/>
      <c r="G80" s="18"/>
      <c r="H80" s="18"/>
      <c r="I80" s="18"/>
      <c r="J80" s="18"/>
      <c r="K80" s="28"/>
      <c r="L80" s="18"/>
      <c r="M80" s="39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22.5" customHeight="1">
      <c r="A81" s="18"/>
      <c r="B81" s="18"/>
      <c r="C81" s="40"/>
      <c r="D81" s="18"/>
      <c r="E81" s="18"/>
      <c r="F81" s="18"/>
      <c r="G81" s="18"/>
      <c r="H81" s="18"/>
      <c r="I81" s="18"/>
      <c r="J81" s="18"/>
      <c r="K81" s="28"/>
      <c r="L81" s="18"/>
      <c r="M81" s="39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22.5" customHeight="1">
      <c r="A82" s="18"/>
      <c r="B82" s="18"/>
      <c r="C82" s="40"/>
      <c r="D82" s="18"/>
      <c r="E82" s="18"/>
      <c r="F82" s="18"/>
      <c r="G82" s="18"/>
      <c r="H82" s="18"/>
      <c r="I82" s="18"/>
      <c r="J82" s="18"/>
      <c r="K82" s="28"/>
      <c r="L82" s="18"/>
      <c r="M82" s="39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22.5" customHeight="1">
      <c r="A83" s="18"/>
      <c r="B83" s="18"/>
      <c r="C83" s="40"/>
      <c r="D83" s="18"/>
      <c r="E83" s="18"/>
      <c r="F83" s="18"/>
      <c r="G83" s="18"/>
      <c r="H83" s="18"/>
      <c r="I83" s="18"/>
      <c r="J83" s="18"/>
      <c r="K83" s="28"/>
      <c r="L83" s="18"/>
      <c r="M83" s="39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22.5" customHeight="1">
      <c r="A84" s="18"/>
      <c r="B84" s="18"/>
      <c r="C84" s="40"/>
      <c r="D84" s="18"/>
      <c r="E84" s="18"/>
      <c r="F84" s="18"/>
      <c r="G84" s="18"/>
      <c r="H84" s="18"/>
      <c r="I84" s="18"/>
      <c r="J84" s="18"/>
      <c r="K84" s="28"/>
      <c r="L84" s="18"/>
      <c r="M84" s="39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22.5" customHeight="1">
      <c r="A85" s="18"/>
      <c r="B85" s="18"/>
      <c r="C85" s="40"/>
      <c r="D85" s="18"/>
      <c r="E85" s="18"/>
      <c r="F85" s="18"/>
      <c r="G85" s="18"/>
      <c r="H85" s="18"/>
      <c r="I85" s="18"/>
      <c r="J85" s="18"/>
      <c r="K85" s="28"/>
      <c r="L85" s="18"/>
      <c r="M85" s="39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22.5" customHeight="1">
      <c r="A86" s="18"/>
      <c r="B86" s="18"/>
      <c r="C86" s="40"/>
      <c r="D86" s="18"/>
      <c r="E86" s="18"/>
      <c r="F86" s="18"/>
      <c r="G86" s="18"/>
      <c r="H86" s="18"/>
      <c r="I86" s="18"/>
      <c r="J86" s="18"/>
      <c r="K86" s="28"/>
      <c r="L86" s="18"/>
      <c r="M86" s="39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22.5" customHeight="1">
      <c r="A87" s="18"/>
      <c r="B87" s="18"/>
      <c r="C87" s="40"/>
      <c r="D87" s="18"/>
      <c r="E87" s="18"/>
      <c r="F87" s="18"/>
      <c r="G87" s="18"/>
      <c r="H87" s="18"/>
      <c r="I87" s="18"/>
      <c r="J87" s="18"/>
      <c r="K87" s="28"/>
      <c r="L87" s="18"/>
      <c r="M87" s="39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22.5" customHeight="1">
      <c r="A88" s="18"/>
      <c r="B88" s="18"/>
      <c r="C88" s="40"/>
      <c r="D88" s="18"/>
      <c r="E88" s="18"/>
      <c r="F88" s="18"/>
      <c r="G88" s="18"/>
      <c r="H88" s="18"/>
      <c r="I88" s="18"/>
      <c r="J88" s="18"/>
      <c r="K88" s="28"/>
      <c r="L88" s="18"/>
      <c r="M88" s="39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22.5" customHeight="1">
      <c r="A89" s="18"/>
      <c r="B89" s="18"/>
      <c r="C89" s="40"/>
      <c r="D89" s="18"/>
      <c r="E89" s="18"/>
      <c r="F89" s="18"/>
      <c r="G89" s="18"/>
      <c r="H89" s="18"/>
      <c r="I89" s="18"/>
      <c r="J89" s="18"/>
      <c r="K89" s="28"/>
      <c r="L89" s="18"/>
      <c r="M89" s="39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22.5" customHeight="1">
      <c r="A90" s="18"/>
      <c r="B90" s="18"/>
      <c r="C90" s="40"/>
      <c r="D90" s="18"/>
      <c r="E90" s="18"/>
      <c r="F90" s="18"/>
      <c r="G90" s="18"/>
      <c r="H90" s="18"/>
      <c r="I90" s="18"/>
      <c r="J90" s="18"/>
      <c r="K90" s="28"/>
      <c r="L90" s="18"/>
      <c r="M90" s="39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22.5" customHeight="1">
      <c r="A91" s="18"/>
      <c r="B91" s="18"/>
      <c r="C91" s="40"/>
      <c r="D91" s="18"/>
      <c r="E91" s="18"/>
      <c r="F91" s="18"/>
      <c r="G91" s="18"/>
      <c r="H91" s="18"/>
      <c r="I91" s="18"/>
      <c r="J91" s="18"/>
      <c r="K91" s="28"/>
      <c r="L91" s="18"/>
      <c r="M91" s="39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22.5" customHeight="1">
      <c r="A92" s="18"/>
      <c r="B92" s="18"/>
      <c r="C92" s="40"/>
      <c r="D92" s="18"/>
      <c r="E92" s="18"/>
      <c r="F92" s="18"/>
      <c r="G92" s="18"/>
      <c r="H92" s="18"/>
      <c r="I92" s="18"/>
      <c r="J92" s="18"/>
      <c r="K92" s="28"/>
      <c r="L92" s="18"/>
      <c r="M92" s="39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22.5" customHeight="1">
      <c r="A93" s="18"/>
      <c r="B93" s="18"/>
      <c r="C93" s="40"/>
      <c r="D93" s="18"/>
      <c r="E93" s="18"/>
      <c r="F93" s="18"/>
      <c r="G93" s="18"/>
      <c r="H93" s="18"/>
      <c r="I93" s="18"/>
      <c r="J93" s="18"/>
      <c r="K93" s="28"/>
      <c r="L93" s="18"/>
      <c r="M93" s="39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22.5" customHeight="1">
      <c r="A94" s="18"/>
      <c r="B94" s="18"/>
      <c r="C94" s="40"/>
      <c r="D94" s="18"/>
      <c r="E94" s="18"/>
      <c r="F94" s="18"/>
      <c r="G94" s="18"/>
      <c r="H94" s="18"/>
      <c r="I94" s="18"/>
      <c r="J94" s="18"/>
      <c r="K94" s="28"/>
      <c r="L94" s="18"/>
      <c r="M94" s="39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22.5" customHeight="1">
      <c r="A95" s="18"/>
      <c r="B95" s="18"/>
      <c r="C95" s="40"/>
      <c r="D95" s="18"/>
      <c r="E95" s="18"/>
      <c r="F95" s="18"/>
      <c r="G95" s="18"/>
      <c r="H95" s="18"/>
      <c r="I95" s="18"/>
      <c r="J95" s="18"/>
      <c r="K95" s="28"/>
      <c r="L95" s="18"/>
      <c r="M95" s="39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22.5" customHeight="1">
      <c r="A96" s="18"/>
      <c r="B96" s="18"/>
      <c r="C96" s="40"/>
      <c r="D96" s="18"/>
      <c r="E96" s="18"/>
      <c r="F96" s="18"/>
      <c r="G96" s="18"/>
      <c r="H96" s="18"/>
      <c r="I96" s="18"/>
      <c r="J96" s="18"/>
      <c r="K96" s="28"/>
      <c r="L96" s="18"/>
      <c r="M96" s="39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22.5" customHeight="1">
      <c r="A97" s="18"/>
      <c r="B97" s="18"/>
      <c r="C97" s="40"/>
      <c r="D97" s="18"/>
      <c r="E97" s="18"/>
      <c r="F97" s="18"/>
      <c r="G97" s="18"/>
      <c r="H97" s="18"/>
      <c r="I97" s="18"/>
      <c r="J97" s="18"/>
      <c r="K97" s="28"/>
      <c r="L97" s="18"/>
      <c r="M97" s="39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22.5" customHeight="1">
      <c r="A98" s="18"/>
      <c r="B98" s="18"/>
      <c r="C98" s="40"/>
      <c r="D98" s="18"/>
      <c r="E98" s="18"/>
      <c r="F98" s="18"/>
      <c r="G98" s="18"/>
      <c r="H98" s="18"/>
      <c r="I98" s="18"/>
      <c r="J98" s="18"/>
      <c r="K98" s="28"/>
      <c r="L98" s="18"/>
      <c r="M98" s="39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22.5" customHeight="1">
      <c r="A99" s="18"/>
      <c r="B99" s="18"/>
      <c r="C99" s="40"/>
      <c r="D99" s="18"/>
      <c r="E99" s="18"/>
      <c r="F99" s="18"/>
      <c r="G99" s="18"/>
      <c r="H99" s="18"/>
      <c r="I99" s="18"/>
      <c r="J99" s="18"/>
      <c r="K99" s="28"/>
      <c r="L99" s="18"/>
      <c r="M99" s="39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22.5" customHeight="1">
      <c r="A100" s="18"/>
      <c r="B100" s="18"/>
      <c r="C100" s="40"/>
      <c r="D100" s="18"/>
      <c r="E100" s="18"/>
      <c r="F100" s="18"/>
      <c r="G100" s="18"/>
      <c r="H100" s="18"/>
      <c r="I100" s="18"/>
      <c r="J100" s="18"/>
      <c r="K100" s="28"/>
      <c r="L100" s="18"/>
      <c r="M100" s="39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22.5" customHeight="1">
      <c r="A101" s="18"/>
      <c r="B101" s="18"/>
      <c r="C101" s="40"/>
      <c r="D101" s="18"/>
      <c r="E101" s="18"/>
      <c r="F101" s="18"/>
      <c r="G101" s="18"/>
      <c r="H101" s="18"/>
      <c r="I101" s="18"/>
      <c r="J101" s="18"/>
      <c r="K101" s="28"/>
      <c r="L101" s="18"/>
      <c r="M101" s="39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22.5" customHeight="1">
      <c r="A102" s="18"/>
      <c r="B102" s="18"/>
      <c r="C102" s="40"/>
      <c r="D102" s="18"/>
      <c r="E102" s="18"/>
      <c r="F102" s="18"/>
      <c r="G102" s="18"/>
      <c r="H102" s="18"/>
      <c r="I102" s="18"/>
      <c r="J102" s="18"/>
      <c r="K102" s="28"/>
      <c r="L102" s="18"/>
      <c r="M102" s="39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22.5" customHeight="1">
      <c r="A103" s="18"/>
      <c r="B103" s="18"/>
      <c r="C103" s="40"/>
      <c r="D103" s="18"/>
      <c r="E103" s="18"/>
      <c r="F103" s="18"/>
      <c r="G103" s="18"/>
      <c r="H103" s="18"/>
      <c r="I103" s="18"/>
      <c r="J103" s="18"/>
      <c r="K103" s="28"/>
      <c r="L103" s="18"/>
      <c r="M103" s="39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22.5" customHeight="1">
      <c r="A104" s="18"/>
      <c r="B104" s="18"/>
      <c r="C104" s="40"/>
      <c r="D104" s="18"/>
      <c r="E104" s="18"/>
      <c r="F104" s="18"/>
      <c r="G104" s="18"/>
      <c r="H104" s="18"/>
      <c r="I104" s="18"/>
      <c r="J104" s="18"/>
      <c r="K104" s="28"/>
      <c r="L104" s="18"/>
      <c r="M104" s="39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22.5" customHeight="1">
      <c r="A105" s="18"/>
      <c r="B105" s="18"/>
      <c r="C105" s="40"/>
      <c r="D105" s="18"/>
      <c r="E105" s="18"/>
      <c r="F105" s="18"/>
      <c r="G105" s="18"/>
      <c r="H105" s="18"/>
      <c r="I105" s="18"/>
      <c r="J105" s="18"/>
      <c r="K105" s="28"/>
      <c r="L105" s="18"/>
      <c r="M105" s="39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22.5" customHeight="1">
      <c r="A106" s="18"/>
      <c r="B106" s="18"/>
      <c r="C106" s="40"/>
      <c r="D106" s="18"/>
      <c r="E106" s="18"/>
      <c r="F106" s="18"/>
      <c r="G106" s="18"/>
      <c r="H106" s="18"/>
      <c r="I106" s="18"/>
      <c r="J106" s="18"/>
      <c r="K106" s="28"/>
      <c r="L106" s="18"/>
      <c r="M106" s="39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22.5" customHeight="1">
      <c r="A107" s="18"/>
      <c r="B107" s="18"/>
      <c r="C107" s="40"/>
      <c r="D107" s="18"/>
      <c r="E107" s="18"/>
      <c r="F107" s="18"/>
      <c r="G107" s="18"/>
      <c r="H107" s="18"/>
      <c r="I107" s="18"/>
      <c r="J107" s="18"/>
      <c r="K107" s="28"/>
      <c r="L107" s="18"/>
      <c r="M107" s="39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22.5" customHeight="1">
      <c r="A108" s="18"/>
      <c r="B108" s="18"/>
      <c r="C108" s="40"/>
      <c r="D108" s="18"/>
      <c r="E108" s="18"/>
      <c r="F108" s="18"/>
      <c r="G108" s="18"/>
      <c r="H108" s="18"/>
      <c r="I108" s="18"/>
      <c r="J108" s="18"/>
      <c r="K108" s="28"/>
      <c r="L108" s="18"/>
      <c r="M108" s="39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22.5" customHeight="1">
      <c r="A109" s="18"/>
      <c r="B109" s="18"/>
      <c r="C109" s="40"/>
      <c r="D109" s="18"/>
      <c r="E109" s="18"/>
      <c r="F109" s="18"/>
      <c r="G109" s="18"/>
      <c r="H109" s="18"/>
      <c r="I109" s="18"/>
      <c r="J109" s="18"/>
      <c r="K109" s="28"/>
      <c r="L109" s="18"/>
      <c r="M109" s="39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22.5" customHeight="1">
      <c r="A110" s="18"/>
      <c r="B110" s="18"/>
      <c r="C110" s="40"/>
      <c r="D110" s="18"/>
      <c r="E110" s="18"/>
      <c r="F110" s="18"/>
      <c r="G110" s="18"/>
      <c r="H110" s="18"/>
      <c r="I110" s="18"/>
      <c r="J110" s="18"/>
      <c r="K110" s="28"/>
      <c r="L110" s="18"/>
      <c r="M110" s="39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22.5" customHeight="1">
      <c r="A111" s="18"/>
      <c r="B111" s="18"/>
      <c r="C111" s="40"/>
      <c r="D111" s="18"/>
      <c r="E111" s="18"/>
      <c r="F111" s="18"/>
      <c r="G111" s="18"/>
      <c r="H111" s="18"/>
      <c r="I111" s="18"/>
      <c r="J111" s="18"/>
      <c r="K111" s="28"/>
      <c r="L111" s="18"/>
      <c r="M111" s="39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22.5" customHeight="1">
      <c r="A112" s="18"/>
      <c r="B112" s="18"/>
      <c r="C112" s="40"/>
      <c r="D112" s="18"/>
      <c r="E112" s="18"/>
      <c r="F112" s="18"/>
      <c r="G112" s="18"/>
      <c r="H112" s="18"/>
      <c r="I112" s="18"/>
      <c r="J112" s="18"/>
      <c r="K112" s="28"/>
      <c r="L112" s="18"/>
      <c r="M112" s="39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22.5" customHeight="1">
      <c r="A113" s="18"/>
      <c r="B113" s="18"/>
      <c r="C113" s="40"/>
      <c r="D113" s="18"/>
      <c r="E113" s="18"/>
      <c r="F113" s="18"/>
      <c r="G113" s="18"/>
      <c r="H113" s="18"/>
      <c r="I113" s="18"/>
      <c r="J113" s="18"/>
      <c r="K113" s="28"/>
      <c r="L113" s="18"/>
      <c r="M113" s="39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22.5" customHeight="1">
      <c r="A114" s="18"/>
      <c r="B114" s="18"/>
      <c r="C114" s="40"/>
      <c r="D114" s="18"/>
      <c r="E114" s="18"/>
      <c r="F114" s="18"/>
      <c r="G114" s="18"/>
      <c r="H114" s="18"/>
      <c r="I114" s="18"/>
      <c r="J114" s="18"/>
      <c r="K114" s="28"/>
      <c r="L114" s="18"/>
      <c r="M114" s="39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22.5" customHeight="1">
      <c r="A115" s="18"/>
      <c r="B115" s="18"/>
      <c r="C115" s="40"/>
      <c r="D115" s="18"/>
      <c r="E115" s="18"/>
      <c r="F115" s="18"/>
      <c r="G115" s="18"/>
      <c r="H115" s="18"/>
      <c r="I115" s="18"/>
      <c r="J115" s="18"/>
      <c r="K115" s="28"/>
      <c r="L115" s="18"/>
      <c r="M115" s="39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22.5" customHeight="1">
      <c r="A116" s="18"/>
      <c r="B116" s="18"/>
      <c r="C116" s="40"/>
      <c r="D116" s="18"/>
      <c r="E116" s="18"/>
      <c r="F116" s="18"/>
      <c r="G116" s="18"/>
      <c r="H116" s="18"/>
      <c r="I116" s="18"/>
      <c r="J116" s="18"/>
      <c r="K116" s="28"/>
      <c r="L116" s="18"/>
      <c r="M116" s="39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22.5" customHeight="1">
      <c r="A117" s="18"/>
      <c r="B117" s="18"/>
      <c r="C117" s="40"/>
      <c r="D117" s="18"/>
      <c r="E117" s="18"/>
      <c r="F117" s="18"/>
      <c r="G117" s="18"/>
      <c r="H117" s="18"/>
      <c r="I117" s="18"/>
      <c r="J117" s="18"/>
      <c r="K117" s="28"/>
      <c r="L117" s="18"/>
      <c r="M117" s="39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22.5" customHeight="1">
      <c r="A118" s="18"/>
      <c r="B118" s="18"/>
      <c r="C118" s="40"/>
      <c r="D118" s="18"/>
      <c r="E118" s="18"/>
      <c r="F118" s="18"/>
      <c r="G118" s="18"/>
      <c r="H118" s="18"/>
      <c r="I118" s="18"/>
      <c r="J118" s="18"/>
      <c r="K118" s="28"/>
      <c r="L118" s="18"/>
      <c r="M118" s="39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22.5" customHeight="1">
      <c r="A119" s="18"/>
      <c r="B119" s="18"/>
      <c r="C119" s="40"/>
      <c r="D119" s="18"/>
      <c r="E119" s="18"/>
      <c r="F119" s="18"/>
      <c r="G119" s="18"/>
      <c r="H119" s="18"/>
      <c r="I119" s="18"/>
      <c r="J119" s="18"/>
      <c r="K119" s="28"/>
      <c r="L119" s="18"/>
      <c r="M119" s="39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22.5" customHeight="1">
      <c r="A120" s="18"/>
      <c r="B120" s="18"/>
      <c r="C120" s="40"/>
      <c r="D120" s="18"/>
      <c r="E120" s="18"/>
      <c r="F120" s="18"/>
      <c r="G120" s="18"/>
      <c r="H120" s="18"/>
      <c r="I120" s="18"/>
      <c r="J120" s="18"/>
      <c r="K120" s="28"/>
      <c r="L120" s="18"/>
      <c r="M120" s="39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22.5" customHeight="1">
      <c r="A121" s="18"/>
      <c r="B121" s="18"/>
      <c r="C121" s="40"/>
      <c r="D121" s="18"/>
      <c r="E121" s="18"/>
      <c r="F121" s="18"/>
      <c r="G121" s="18"/>
      <c r="H121" s="18"/>
      <c r="I121" s="18"/>
      <c r="J121" s="18"/>
      <c r="K121" s="28"/>
      <c r="L121" s="18"/>
      <c r="M121" s="39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22.5" customHeight="1">
      <c r="A122" s="18"/>
      <c r="B122" s="18"/>
      <c r="C122" s="40"/>
      <c r="D122" s="18"/>
      <c r="E122" s="18"/>
      <c r="F122" s="18"/>
      <c r="G122" s="18"/>
      <c r="H122" s="18"/>
      <c r="I122" s="18"/>
      <c r="J122" s="18"/>
      <c r="K122" s="28"/>
      <c r="L122" s="18"/>
      <c r="M122" s="39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22.5" customHeight="1">
      <c r="A123" s="18"/>
      <c r="B123" s="18"/>
      <c r="C123" s="40"/>
      <c r="D123" s="18"/>
      <c r="E123" s="18"/>
      <c r="F123" s="18"/>
      <c r="G123" s="18"/>
      <c r="H123" s="18"/>
      <c r="I123" s="18"/>
      <c r="J123" s="18"/>
      <c r="K123" s="28"/>
      <c r="L123" s="18"/>
      <c r="M123" s="39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22.5" customHeight="1">
      <c r="A124" s="18"/>
      <c r="B124" s="18"/>
      <c r="C124" s="40"/>
      <c r="D124" s="18"/>
      <c r="E124" s="18"/>
      <c r="F124" s="18"/>
      <c r="G124" s="18"/>
      <c r="H124" s="18"/>
      <c r="I124" s="18"/>
      <c r="J124" s="18"/>
      <c r="K124" s="28"/>
      <c r="L124" s="18"/>
      <c r="M124" s="39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22.5" customHeight="1">
      <c r="A125" s="18"/>
      <c r="B125" s="18"/>
      <c r="C125" s="40"/>
      <c r="D125" s="18"/>
      <c r="E125" s="18"/>
      <c r="F125" s="18"/>
      <c r="G125" s="18"/>
      <c r="H125" s="18"/>
      <c r="I125" s="18"/>
      <c r="J125" s="18"/>
      <c r="K125" s="28"/>
      <c r="L125" s="18"/>
      <c r="M125" s="39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22.5" customHeight="1">
      <c r="A126" s="18"/>
      <c r="B126" s="18"/>
      <c r="C126" s="40"/>
      <c r="D126" s="18"/>
      <c r="E126" s="18"/>
      <c r="F126" s="18"/>
      <c r="G126" s="18"/>
      <c r="H126" s="18"/>
      <c r="I126" s="18"/>
      <c r="J126" s="18"/>
      <c r="K126" s="28"/>
      <c r="L126" s="18"/>
      <c r="M126" s="39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22.5" customHeight="1">
      <c r="A127" s="18"/>
      <c r="B127" s="18"/>
      <c r="C127" s="40"/>
      <c r="D127" s="18"/>
      <c r="E127" s="18"/>
      <c r="F127" s="18"/>
      <c r="G127" s="18"/>
      <c r="H127" s="18"/>
      <c r="I127" s="18"/>
      <c r="J127" s="18"/>
      <c r="K127" s="28"/>
      <c r="L127" s="18"/>
      <c r="M127" s="39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22.5" customHeight="1">
      <c r="A128" s="18"/>
      <c r="B128" s="18"/>
      <c r="C128" s="40"/>
      <c r="D128" s="18"/>
      <c r="E128" s="18"/>
      <c r="F128" s="18"/>
      <c r="G128" s="18"/>
      <c r="H128" s="18"/>
      <c r="I128" s="18"/>
      <c r="J128" s="18"/>
      <c r="K128" s="28"/>
      <c r="L128" s="18"/>
      <c r="M128" s="39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22.5" customHeight="1">
      <c r="A129" s="18"/>
      <c r="B129" s="18"/>
      <c r="C129" s="40"/>
      <c r="D129" s="18"/>
      <c r="E129" s="18"/>
      <c r="F129" s="18"/>
      <c r="G129" s="18"/>
      <c r="H129" s="18"/>
      <c r="I129" s="18"/>
      <c r="J129" s="18"/>
      <c r="K129" s="28"/>
      <c r="L129" s="18"/>
      <c r="M129" s="39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22.5" customHeight="1">
      <c r="A130" s="18"/>
      <c r="B130" s="18"/>
      <c r="C130" s="40"/>
      <c r="D130" s="18"/>
      <c r="E130" s="18"/>
      <c r="F130" s="18"/>
      <c r="G130" s="18"/>
      <c r="H130" s="18"/>
      <c r="I130" s="18"/>
      <c r="J130" s="18"/>
      <c r="K130" s="28"/>
      <c r="L130" s="18"/>
      <c r="M130" s="39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22.5" customHeight="1">
      <c r="A131" s="18"/>
      <c r="B131" s="18"/>
      <c r="C131" s="40"/>
      <c r="D131" s="18"/>
      <c r="E131" s="18"/>
      <c r="F131" s="18"/>
      <c r="G131" s="18"/>
      <c r="H131" s="18"/>
      <c r="I131" s="18"/>
      <c r="J131" s="18"/>
      <c r="K131" s="28"/>
      <c r="L131" s="18"/>
      <c r="M131" s="39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22.5" customHeight="1">
      <c r="A132" s="18"/>
      <c r="B132" s="18"/>
      <c r="C132" s="40"/>
      <c r="D132" s="18"/>
      <c r="E132" s="18"/>
      <c r="F132" s="18"/>
      <c r="G132" s="18"/>
      <c r="H132" s="18"/>
      <c r="I132" s="18"/>
      <c r="J132" s="18"/>
      <c r="K132" s="28"/>
      <c r="L132" s="18"/>
      <c r="M132" s="39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22.5" customHeight="1">
      <c r="A133" s="18"/>
      <c r="B133" s="18"/>
      <c r="C133" s="40"/>
      <c r="D133" s="18"/>
      <c r="E133" s="18"/>
      <c r="F133" s="18"/>
      <c r="G133" s="18"/>
      <c r="H133" s="18"/>
      <c r="I133" s="18"/>
      <c r="J133" s="18"/>
      <c r="K133" s="28"/>
      <c r="L133" s="18"/>
      <c r="M133" s="39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2.5" customHeight="1">
      <c r="A134" s="18"/>
      <c r="B134" s="18"/>
      <c r="C134" s="40"/>
      <c r="D134" s="18"/>
      <c r="E134" s="18"/>
      <c r="F134" s="18"/>
      <c r="G134" s="18"/>
      <c r="H134" s="18"/>
      <c r="I134" s="18"/>
      <c r="J134" s="18"/>
      <c r="K134" s="28"/>
      <c r="L134" s="18"/>
      <c r="M134" s="39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2.5" customHeight="1">
      <c r="A135" s="18"/>
      <c r="B135" s="18"/>
      <c r="C135" s="40"/>
      <c r="D135" s="18"/>
      <c r="E135" s="18"/>
      <c r="F135" s="18"/>
      <c r="G135" s="18"/>
      <c r="H135" s="18"/>
      <c r="I135" s="18"/>
      <c r="J135" s="18"/>
      <c r="K135" s="28"/>
      <c r="L135" s="18"/>
      <c r="M135" s="39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2.5" customHeight="1">
      <c r="A136" s="18"/>
      <c r="B136" s="18"/>
      <c r="C136" s="40"/>
      <c r="D136" s="18"/>
      <c r="E136" s="18"/>
      <c r="F136" s="18"/>
      <c r="G136" s="18"/>
      <c r="H136" s="18"/>
      <c r="I136" s="18"/>
      <c r="J136" s="18"/>
      <c r="K136" s="28"/>
      <c r="L136" s="18"/>
      <c r="M136" s="39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2.5" customHeight="1">
      <c r="A137" s="18"/>
      <c r="B137" s="18"/>
      <c r="C137" s="40"/>
      <c r="D137" s="18"/>
      <c r="E137" s="18"/>
      <c r="F137" s="18"/>
      <c r="G137" s="18"/>
      <c r="H137" s="18"/>
      <c r="I137" s="18"/>
      <c r="J137" s="18"/>
      <c r="K137" s="28"/>
      <c r="L137" s="18"/>
      <c r="M137" s="39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2.5" customHeight="1">
      <c r="A138" s="18"/>
      <c r="B138" s="18"/>
      <c r="C138" s="40"/>
      <c r="D138" s="18"/>
      <c r="E138" s="18"/>
      <c r="F138" s="18"/>
      <c r="G138" s="18"/>
      <c r="H138" s="18"/>
      <c r="I138" s="18"/>
      <c r="J138" s="18"/>
      <c r="K138" s="28"/>
      <c r="L138" s="18"/>
      <c r="M138" s="39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18"/>
      <c r="F139" s="18"/>
      <c r="G139" s="18"/>
      <c r="H139" s="18"/>
      <c r="I139" s="18"/>
      <c r="J139" s="18"/>
      <c r="K139" s="28"/>
      <c r="L139" s="18"/>
      <c r="M139" s="39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18"/>
      <c r="F140" s="18"/>
      <c r="G140" s="18"/>
      <c r="H140" s="18"/>
      <c r="I140" s="18"/>
      <c r="J140" s="18"/>
      <c r="K140" s="28"/>
      <c r="L140" s="18"/>
      <c r="M140" s="39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18"/>
      <c r="F141" s="18"/>
      <c r="G141" s="18"/>
      <c r="H141" s="18"/>
      <c r="I141" s="18"/>
      <c r="J141" s="18"/>
      <c r="K141" s="28"/>
      <c r="L141" s="18"/>
      <c r="M141" s="39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18"/>
      <c r="F142" s="18"/>
      <c r="G142" s="18"/>
      <c r="H142" s="18"/>
      <c r="I142" s="18"/>
      <c r="J142" s="18"/>
      <c r="K142" s="28"/>
      <c r="L142" s="18"/>
      <c r="M142" s="39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18"/>
      <c r="F143" s="18"/>
      <c r="G143" s="18"/>
      <c r="H143" s="18"/>
      <c r="I143" s="18"/>
      <c r="J143" s="18"/>
      <c r="K143" s="28"/>
      <c r="L143" s="18"/>
      <c r="M143" s="39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18"/>
      <c r="F144" s="18"/>
      <c r="G144" s="18"/>
      <c r="H144" s="18"/>
      <c r="I144" s="18"/>
      <c r="J144" s="18"/>
      <c r="K144" s="28"/>
      <c r="L144" s="18"/>
      <c r="M144" s="39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18"/>
      <c r="F145" s="18"/>
      <c r="G145" s="18"/>
      <c r="H145" s="18"/>
      <c r="I145" s="18"/>
      <c r="J145" s="18"/>
      <c r="K145" s="28"/>
      <c r="L145" s="18"/>
      <c r="M145" s="39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18"/>
      <c r="F146" s="18"/>
      <c r="G146" s="18"/>
      <c r="H146" s="18"/>
      <c r="I146" s="18"/>
      <c r="J146" s="18"/>
      <c r="K146" s="28"/>
      <c r="L146" s="18"/>
      <c r="M146" s="39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18"/>
      <c r="F147" s="18"/>
      <c r="G147" s="18"/>
      <c r="H147" s="18"/>
      <c r="I147" s="18"/>
      <c r="J147" s="18"/>
      <c r="K147" s="28"/>
      <c r="L147" s="18"/>
      <c r="M147" s="39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18"/>
      <c r="F148" s="18"/>
      <c r="G148" s="18"/>
      <c r="H148" s="18"/>
      <c r="I148" s="18"/>
      <c r="J148" s="18"/>
      <c r="K148" s="28"/>
      <c r="L148" s="18"/>
      <c r="M148" s="39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18"/>
      <c r="F149" s="18"/>
      <c r="G149" s="18"/>
      <c r="H149" s="18"/>
      <c r="I149" s="18"/>
      <c r="J149" s="18"/>
      <c r="K149" s="28"/>
      <c r="L149" s="18"/>
      <c r="M149" s="39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18"/>
      <c r="F150" s="18"/>
      <c r="G150" s="18"/>
      <c r="H150" s="18"/>
      <c r="I150" s="18"/>
      <c r="J150" s="18"/>
      <c r="K150" s="28"/>
      <c r="L150" s="18"/>
      <c r="M150" s="39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18"/>
      <c r="F151" s="18"/>
      <c r="G151" s="18"/>
      <c r="H151" s="18"/>
      <c r="I151" s="18"/>
      <c r="J151" s="18"/>
      <c r="K151" s="28"/>
      <c r="L151" s="18"/>
      <c r="M151" s="39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18"/>
      <c r="F152" s="18"/>
      <c r="G152" s="18"/>
      <c r="H152" s="18"/>
      <c r="I152" s="18"/>
      <c r="J152" s="18"/>
      <c r="K152" s="28"/>
      <c r="L152" s="18"/>
      <c r="M152" s="39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18"/>
      <c r="F153" s="18"/>
      <c r="G153" s="18"/>
      <c r="H153" s="18"/>
      <c r="I153" s="18"/>
      <c r="J153" s="18"/>
      <c r="K153" s="28"/>
      <c r="L153" s="18"/>
      <c r="M153" s="39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18"/>
      <c r="F154" s="18"/>
      <c r="G154" s="18"/>
      <c r="H154" s="18"/>
      <c r="I154" s="18"/>
      <c r="J154" s="18"/>
      <c r="K154" s="28"/>
      <c r="L154" s="18"/>
      <c r="M154" s="39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18"/>
      <c r="F155" s="18"/>
      <c r="G155" s="18"/>
      <c r="H155" s="18"/>
      <c r="I155" s="18"/>
      <c r="J155" s="18"/>
      <c r="K155" s="28"/>
      <c r="L155" s="18"/>
      <c r="M155" s="39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18"/>
      <c r="F156" s="18"/>
      <c r="G156" s="18"/>
      <c r="H156" s="18"/>
      <c r="I156" s="18"/>
      <c r="J156" s="18"/>
      <c r="K156" s="28"/>
      <c r="L156" s="18"/>
      <c r="M156" s="39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18"/>
      <c r="F157" s="18"/>
      <c r="G157" s="18"/>
      <c r="H157" s="18"/>
      <c r="I157" s="18"/>
      <c r="J157" s="18"/>
      <c r="K157" s="28"/>
      <c r="L157" s="18"/>
      <c r="M157" s="39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18"/>
      <c r="F158" s="18"/>
      <c r="G158" s="18"/>
      <c r="H158" s="18"/>
      <c r="I158" s="18"/>
      <c r="J158" s="18"/>
      <c r="K158" s="28"/>
      <c r="L158" s="18"/>
      <c r="M158" s="39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18"/>
      <c r="F159" s="18"/>
      <c r="G159" s="18"/>
      <c r="H159" s="18"/>
      <c r="I159" s="18"/>
      <c r="J159" s="18"/>
      <c r="K159" s="28"/>
      <c r="L159" s="18"/>
      <c r="M159" s="39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18"/>
      <c r="F160" s="18"/>
      <c r="G160" s="18"/>
      <c r="H160" s="18"/>
      <c r="I160" s="18"/>
      <c r="J160" s="18"/>
      <c r="K160" s="28"/>
      <c r="L160" s="18"/>
      <c r="M160" s="39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18"/>
      <c r="F161" s="18"/>
      <c r="G161" s="18"/>
      <c r="H161" s="18"/>
      <c r="I161" s="18"/>
      <c r="J161" s="18"/>
      <c r="K161" s="28"/>
      <c r="L161" s="18"/>
      <c r="M161" s="39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18"/>
      <c r="F162" s="18"/>
      <c r="G162" s="18"/>
      <c r="H162" s="18"/>
      <c r="I162" s="18"/>
      <c r="J162" s="18"/>
      <c r="K162" s="28"/>
      <c r="L162" s="18"/>
      <c r="M162" s="39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18"/>
      <c r="F163" s="18"/>
      <c r="G163" s="18"/>
      <c r="H163" s="18"/>
      <c r="I163" s="18"/>
      <c r="J163" s="18"/>
      <c r="K163" s="28"/>
      <c r="L163" s="18"/>
      <c r="M163" s="39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18"/>
      <c r="F164" s="18"/>
      <c r="G164" s="18"/>
      <c r="H164" s="18"/>
      <c r="I164" s="18"/>
      <c r="J164" s="18"/>
      <c r="K164" s="28"/>
      <c r="L164" s="18"/>
      <c r="M164" s="39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18"/>
      <c r="F165" s="18"/>
      <c r="G165" s="18"/>
      <c r="H165" s="18"/>
      <c r="I165" s="18"/>
      <c r="J165" s="18"/>
      <c r="K165" s="28"/>
      <c r="L165" s="18"/>
      <c r="M165" s="39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18"/>
      <c r="F166" s="18"/>
      <c r="G166" s="18"/>
      <c r="H166" s="18"/>
      <c r="I166" s="18"/>
      <c r="J166" s="18"/>
      <c r="K166" s="28"/>
      <c r="L166" s="18"/>
      <c r="M166" s="39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18"/>
      <c r="F167" s="18"/>
      <c r="G167" s="18"/>
      <c r="H167" s="18"/>
      <c r="I167" s="18"/>
      <c r="J167" s="18"/>
      <c r="K167" s="28"/>
      <c r="L167" s="18"/>
      <c r="M167" s="39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18"/>
      <c r="F168" s="18"/>
      <c r="G168" s="18"/>
      <c r="H168" s="18"/>
      <c r="I168" s="18"/>
      <c r="J168" s="18"/>
      <c r="K168" s="28"/>
      <c r="L168" s="18"/>
      <c r="M168" s="39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18"/>
      <c r="F169" s="18"/>
      <c r="G169" s="18"/>
      <c r="H169" s="18"/>
      <c r="I169" s="18"/>
      <c r="J169" s="18"/>
      <c r="K169" s="28"/>
      <c r="L169" s="18"/>
      <c r="M169" s="39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18"/>
      <c r="F170" s="18"/>
      <c r="G170" s="18"/>
      <c r="H170" s="18"/>
      <c r="I170" s="18"/>
      <c r="J170" s="18"/>
      <c r="K170" s="28"/>
      <c r="L170" s="18"/>
      <c r="M170" s="39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18"/>
      <c r="F171" s="18"/>
      <c r="G171" s="18"/>
      <c r="H171" s="18"/>
      <c r="I171" s="18"/>
      <c r="J171" s="18"/>
      <c r="K171" s="28"/>
      <c r="L171" s="18"/>
      <c r="M171" s="39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18"/>
      <c r="F172" s="18"/>
      <c r="G172" s="18"/>
      <c r="H172" s="18"/>
      <c r="I172" s="18"/>
      <c r="J172" s="18"/>
      <c r="K172" s="28"/>
      <c r="L172" s="18"/>
      <c r="M172" s="39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18"/>
      <c r="F173" s="18"/>
      <c r="G173" s="18"/>
      <c r="H173" s="18"/>
      <c r="I173" s="18"/>
      <c r="J173" s="18"/>
      <c r="K173" s="28"/>
      <c r="L173" s="18"/>
      <c r="M173" s="39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18"/>
      <c r="F174" s="18"/>
      <c r="G174" s="18"/>
      <c r="H174" s="18"/>
      <c r="I174" s="18"/>
      <c r="J174" s="18"/>
      <c r="K174" s="28"/>
      <c r="L174" s="18"/>
      <c r="M174" s="39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18"/>
      <c r="F175" s="18"/>
      <c r="G175" s="18"/>
      <c r="H175" s="18"/>
      <c r="I175" s="18"/>
      <c r="J175" s="18"/>
      <c r="K175" s="28"/>
      <c r="L175" s="18"/>
      <c r="M175" s="39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18"/>
      <c r="F176" s="18"/>
      <c r="G176" s="18"/>
      <c r="H176" s="18"/>
      <c r="I176" s="18"/>
      <c r="J176" s="18"/>
      <c r="K176" s="28"/>
      <c r="L176" s="18"/>
      <c r="M176" s="39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18"/>
      <c r="F177" s="18"/>
      <c r="G177" s="18"/>
      <c r="H177" s="18"/>
      <c r="I177" s="18"/>
      <c r="J177" s="18"/>
      <c r="K177" s="28"/>
      <c r="L177" s="18"/>
      <c r="M177" s="39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18"/>
      <c r="F178" s="18"/>
      <c r="G178" s="18"/>
      <c r="H178" s="18"/>
      <c r="I178" s="18"/>
      <c r="J178" s="18"/>
      <c r="K178" s="28"/>
      <c r="L178" s="18"/>
      <c r="M178" s="39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18"/>
      <c r="F179" s="18"/>
      <c r="G179" s="18"/>
      <c r="H179" s="18"/>
      <c r="I179" s="18"/>
      <c r="J179" s="18"/>
      <c r="K179" s="28"/>
      <c r="L179" s="18"/>
      <c r="M179" s="39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18"/>
      <c r="F180" s="18"/>
      <c r="G180" s="18"/>
      <c r="H180" s="18"/>
      <c r="I180" s="18"/>
      <c r="J180" s="18"/>
      <c r="K180" s="28"/>
      <c r="L180" s="18"/>
      <c r="M180" s="39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18"/>
      <c r="F181" s="18"/>
      <c r="G181" s="18"/>
      <c r="H181" s="18"/>
      <c r="I181" s="18"/>
      <c r="J181" s="18"/>
      <c r="K181" s="28"/>
      <c r="L181" s="18"/>
      <c r="M181" s="39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18"/>
      <c r="F182" s="18"/>
      <c r="G182" s="18"/>
      <c r="H182" s="18"/>
      <c r="I182" s="18"/>
      <c r="J182" s="18"/>
      <c r="K182" s="28"/>
      <c r="L182" s="18"/>
      <c r="M182" s="39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18"/>
      <c r="F183" s="18"/>
      <c r="G183" s="18"/>
      <c r="H183" s="18"/>
      <c r="I183" s="18"/>
      <c r="J183" s="18"/>
      <c r="K183" s="28"/>
      <c r="L183" s="18"/>
      <c r="M183" s="39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18"/>
      <c r="F184" s="18"/>
      <c r="G184" s="18"/>
      <c r="H184" s="18"/>
      <c r="I184" s="18"/>
      <c r="J184" s="18"/>
      <c r="K184" s="28"/>
      <c r="L184" s="18"/>
      <c r="M184" s="39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18"/>
      <c r="F185" s="18"/>
      <c r="G185" s="18"/>
      <c r="H185" s="18"/>
      <c r="I185" s="18"/>
      <c r="J185" s="18"/>
      <c r="K185" s="28"/>
      <c r="L185" s="18"/>
      <c r="M185" s="39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18"/>
      <c r="F186" s="18"/>
      <c r="G186" s="18"/>
      <c r="H186" s="18"/>
      <c r="I186" s="18"/>
      <c r="J186" s="18"/>
      <c r="K186" s="28"/>
      <c r="L186" s="18"/>
      <c r="M186" s="39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18"/>
      <c r="F187" s="18"/>
      <c r="G187" s="18"/>
      <c r="H187" s="18"/>
      <c r="I187" s="18"/>
      <c r="J187" s="18"/>
      <c r="K187" s="28"/>
      <c r="L187" s="18"/>
      <c r="M187" s="39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18"/>
      <c r="F188" s="18"/>
      <c r="G188" s="18"/>
      <c r="H188" s="18"/>
      <c r="I188" s="18"/>
      <c r="J188" s="18"/>
      <c r="K188" s="28"/>
      <c r="L188" s="18"/>
      <c r="M188" s="39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18"/>
      <c r="F189" s="18"/>
      <c r="G189" s="18"/>
      <c r="H189" s="18"/>
      <c r="I189" s="18"/>
      <c r="J189" s="18"/>
      <c r="K189" s="28"/>
      <c r="L189" s="18"/>
      <c r="M189" s="39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18"/>
      <c r="F190" s="18"/>
      <c r="G190" s="18"/>
      <c r="H190" s="18"/>
      <c r="I190" s="18"/>
      <c r="J190" s="18"/>
      <c r="K190" s="28"/>
      <c r="L190" s="18"/>
      <c r="M190" s="39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18"/>
      <c r="F191" s="18"/>
      <c r="G191" s="18"/>
      <c r="H191" s="18"/>
      <c r="I191" s="18"/>
      <c r="J191" s="18"/>
      <c r="K191" s="28"/>
      <c r="L191" s="18"/>
      <c r="M191" s="39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18"/>
      <c r="F192" s="18"/>
      <c r="G192" s="18"/>
      <c r="H192" s="18"/>
      <c r="I192" s="18"/>
      <c r="J192" s="18"/>
      <c r="K192" s="28"/>
      <c r="L192" s="18"/>
      <c r="M192" s="39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18"/>
      <c r="F193" s="18"/>
      <c r="G193" s="18"/>
      <c r="H193" s="18"/>
      <c r="I193" s="18"/>
      <c r="J193" s="18"/>
      <c r="K193" s="28"/>
      <c r="L193" s="18"/>
      <c r="M193" s="39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18"/>
      <c r="F194" s="18"/>
      <c r="G194" s="18"/>
      <c r="H194" s="18"/>
      <c r="I194" s="18"/>
      <c r="J194" s="18"/>
      <c r="K194" s="28"/>
      <c r="L194" s="18"/>
      <c r="M194" s="39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18"/>
      <c r="F195" s="18"/>
      <c r="G195" s="18"/>
      <c r="H195" s="18"/>
      <c r="I195" s="18"/>
      <c r="J195" s="18"/>
      <c r="K195" s="28"/>
      <c r="L195" s="18"/>
      <c r="M195" s="39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18"/>
      <c r="F196" s="18"/>
      <c r="G196" s="18"/>
      <c r="H196" s="18"/>
      <c r="I196" s="18"/>
      <c r="J196" s="18"/>
      <c r="K196" s="28"/>
      <c r="L196" s="18"/>
      <c r="M196" s="39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18"/>
      <c r="F197" s="18"/>
      <c r="G197" s="18"/>
      <c r="H197" s="18"/>
      <c r="I197" s="18"/>
      <c r="J197" s="18"/>
      <c r="K197" s="28"/>
      <c r="L197" s="18"/>
      <c r="M197" s="39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18"/>
      <c r="F198" s="18"/>
      <c r="G198" s="18"/>
      <c r="H198" s="18"/>
      <c r="I198" s="18"/>
      <c r="J198" s="18"/>
      <c r="K198" s="28"/>
      <c r="L198" s="18"/>
      <c r="M198" s="39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18"/>
      <c r="F199" s="18"/>
      <c r="G199" s="18"/>
      <c r="H199" s="18"/>
      <c r="I199" s="18"/>
      <c r="J199" s="18"/>
      <c r="K199" s="28"/>
      <c r="L199" s="18"/>
      <c r="M199" s="39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18"/>
      <c r="F200" s="18"/>
      <c r="G200" s="18"/>
      <c r="H200" s="18"/>
      <c r="I200" s="18"/>
      <c r="J200" s="18"/>
      <c r="K200" s="28"/>
      <c r="L200" s="18"/>
      <c r="M200" s="39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18"/>
      <c r="F201" s="18"/>
      <c r="G201" s="18"/>
      <c r="H201" s="18"/>
      <c r="I201" s="18"/>
      <c r="J201" s="18"/>
      <c r="K201" s="28"/>
      <c r="L201" s="18"/>
      <c r="M201" s="39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18"/>
      <c r="F202" s="18"/>
      <c r="G202" s="18"/>
      <c r="H202" s="18"/>
      <c r="I202" s="18"/>
      <c r="J202" s="18"/>
      <c r="K202" s="28"/>
      <c r="L202" s="18"/>
      <c r="M202" s="39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18"/>
      <c r="F203" s="18"/>
      <c r="G203" s="18"/>
      <c r="H203" s="18"/>
      <c r="I203" s="18"/>
      <c r="J203" s="18"/>
      <c r="K203" s="28"/>
      <c r="L203" s="18"/>
      <c r="M203" s="39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18"/>
      <c r="F204" s="18"/>
      <c r="G204" s="18"/>
      <c r="H204" s="18"/>
      <c r="I204" s="18"/>
      <c r="J204" s="18"/>
      <c r="K204" s="28"/>
      <c r="L204" s="18"/>
      <c r="M204" s="39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18"/>
      <c r="F205" s="18"/>
      <c r="G205" s="18"/>
      <c r="H205" s="18"/>
      <c r="I205" s="18"/>
      <c r="J205" s="18"/>
      <c r="K205" s="28"/>
      <c r="L205" s="18"/>
      <c r="M205" s="39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18"/>
      <c r="F206" s="18"/>
      <c r="G206" s="18"/>
      <c r="H206" s="18"/>
      <c r="I206" s="18"/>
      <c r="J206" s="18"/>
      <c r="K206" s="28"/>
      <c r="L206" s="18"/>
      <c r="M206" s="39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18"/>
      <c r="F207" s="18"/>
      <c r="G207" s="18"/>
      <c r="H207" s="18"/>
      <c r="I207" s="18"/>
      <c r="J207" s="18"/>
      <c r="K207" s="28"/>
      <c r="L207" s="18"/>
      <c r="M207" s="39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18"/>
      <c r="F208" s="18"/>
      <c r="G208" s="18"/>
      <c r="H208" s="18"/>
      <c r="I208" s="18"/>
      <c r="J208" s="18"/>
      <c r="K208" s="28"/>
      <c r="L208" s="18"/>
      <c r="M208" s="39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18"/>
      <c r="F209" s="18"/>
      <c r="G209" s="18"/>
      <c r="H209" s="18"/>
      <c r="I209" s="18"/>
      <c r="J209" s="18"/>
      <c r="K209" s="28"/>
      <c r="L209" s="18"/>
      <c r="M209" s="39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18"/>
      <c r="F210" s="18"/>
      <c r="G210" s="18"/>
      <c r="H210" s="18"/>
      <c r="I210" s="18"/>
      <c r="J210" s="18"/>
      <c r="K210" s="28"/>
      <c r="L210" s="18"/>
      <c r="M210" s="39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18"/>
      <c r="F211" s="18"/>
      <c r="G211" s="18"/>
      <c r="H211" s="18"/>
      <c r="I211" s="18"/>
      <c r="J211" s="18"/>
      <c r="K211" s="28"/>
      <c r="L211" s="18"/>
      <c r="M211" s="39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18"/>
      <c r="F212" s="18"/>
      <c r="G212" s="18"/>
      <c r="H212" s="18"/>
      <c r="I212" s="18"/>
      <c r="J212" s="18"/>
      <c r="K212" s="28"/>
      <c r="L212" s="18"/>
      <c r="M212" s="39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18"/>
      <c r="F213" s="18"/>
      <c r="G213" s="18"/>
      <c r="H213" s="18"/>
      <c r="I213" s="18"/>
      <c r="J213" s="18"/>
      <c r="K213" s="28"/>
      <c r="L213" s="18"/>
      <c r="M213" s="39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18"/>
      <c r="F214" s="18"/>
      <c r="G214" s="18"/>
      <c r="H214" s="18"/>
      <c r="I214" s="18"/>
      <c r="J214" s="18"/>
      <c r="K214" s="28"/>
      <c r="L214" s="18"/>
      <c r="M214" s="39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18"/>
      <c r="F215" s="18"/>
      <c r="G215" s="18"/>
      <c r="H215" s="18"/>
      <c r="I215" s="18"/>
      <c r="J215" s="18"/>
      <c r="K215" s="28"/>
      <c r="L215" s="18"/>
      <c r="M215" s="39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18"/>
      <c r="F216" s="18"/>
      <c r="G216" s="18"/>
      <c r="H216" s="18"/>
      <c r="I216" s="18"/>
      <c r="J216" s="18"/>
      <c r="K216" s="28"/>
      <c r="L216" s="18"/>
      <c r="M216" s="3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18"/>
      <c r="F217" s="18"/>
      <c r="G217" s="18"/>
      <c r="H217" s="18"/>
      <c r="I217" s="18"/>
      <c r="J217" s="18"/>
      <c r="K217" s="28"/>
      <c r="L217" s="18"/>
      <c r="M217" s="39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18"/>
      <c r="F218" s="18"/>
      <c r="G218" s="18"/>
      <c r="H218" s="18"/>
      <c r="I218" s="18"/>
      <c r="J218" s="18"/>
      <c r="K218" s="28"/>
      <c r="L218" s="18"/>
      <c r="M218" s="39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18"/>
      <c r="F219" s="18"/>
      <c r="G219" s="18"/>
      <c r="H219" s="18"/>
      <c r="I219" s="18"/>
      <c r="J219" s="18"/>
      <c r="K219" s="28"/>
      <c r="L219" s="18"/>
      <c r="M219" s="39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18"/>
      <c r="F220" s="18"/>
      <c r="G220" s="18"/>
      <c r="H220" s="18"/>
      <c r="I220" s="18"/>
      <c r="J220" s="18"/>
      <c r="K220" s="28"/>
      <c r="L220" s="18"/>
      <c r="M220" s="39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18"/>
      <c r="F221" s="18"/>
      <c r="G221" s="18"/>
      <c r="H221" s="18"/>
      <c r="I221" s="18"/>
      <c r="J221" s="18"/>
      <c r="K221" s="28"/>
      <c r="L221" s="18"/>
      <c r="M221" s="39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18"/>
      <c r="F222" s="18"/>
      <c r="G222" s="18"/>
      <c r="H222" s="18"/>
      <c r="I222" s="18"/>
      <c r="J222" s="18"/>
      <c r="K222" s="28"/>
      <c r="L222" s="18"/>
      <c r="M222" s="39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18"/>
      <c r="F223" s="18"/>
      <c r="G223" s="18"/>
      <c r="H223" s="18"/>
      <c r="I223" s="18"/>
      <c r="J223" s="18"/>
      <c r="K223" s="28"/>
      <c r="L223" s="18"/>
      <c r="M223" s="39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18"/>
      <c r="F224" s="18"/>
      <c r="G224" s="18"/>
      <c r="H224" s="18"/>
      <c r="I224" s="18"/>
      <c r="J224" s="18"/>
      <c r="K224" s="28"/>
      <c r="L224" s="18"/>
      <c r="M224" s="39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18"/>
      <c r="F225" s="18"/>
      <c r="G225" s="18"/>
      <c r="H225" s="18"/>
      <c r="I225" s="18"/>
      <c r="J225" s="18"/>
      <c r="K225" s="28"/>
      <c r="L225" s="18"/>
      <c r="M225" s="39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18"/>
      <c r="F226" s="18"/>
      <c r="G226" s="18"/>
      <c r="H226" s="18"/>
      <c r="I226" s="18"/>
      <c r="J226" s="18"/>
      <c r="K226" s="28"/>
      <c r="L226" s="18"/>
      <c r="M226" s="39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18"/>
      <c r="F227" s="18"/>
      <c r="G227" s="18"/>
      <c r="H227" s="18"/>
      <c r="I227" s="18"/>
      <c r="J227" s="18"/>
      <c r="K227" s="28"/>
      <c r="L227" s="18"/>
      <c r="M227" s="39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18"/>
      <c r="F228" s="18"/>
      <c r="G228" s="18"/>
      <c r="H228" s="18"/>
      <c r="I228" s="18"/>
      <c r="J228" s="18"/>
      <c r="K228" s="28"/>
      <c r="L228" s="18"/>
      <c r="M228" s="39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18"/>
      <c r="F229" s="18"/>
      <c r="G229" s="18"/>
      <c r="H229" s="18"/>
      <c r="I229" s="18"/>
      <c r="J229" s="18"/>
      <c r="K229" s="28"/>
      <c r="L229" s="18"/>
      <c r="M229" s="39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2.5" customHeight="1">
      <c r="A230" s="18"/>
      <c r="B230" s="18"/>
      <c r="C230" s="40"/>
      <c r="D230" s="18"/>
      <c r="E230" s="18"/>
      <c r="F230" s="18"/>
      <c r="G230" s="18"/>
      <c r="H230" s="18"/>
      <c r="I230" s="18"/>
      <c r="J230" s="18"/>
      <c r="K230" s="28"/>
      <c r="L230" s="18"/>
      <c r="M230" s="39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2.5" customHeight="1">
      <c r="A231" s="18"/>
      <c r="B231" s="18"/>
      <c r="C231" s="40"/>
      <c r="D231" s="18"/>
      <c r="E231" s="18"/>
      <c r="F231" s="18"/>
      <c r="G231" s="18"/>
      <c r="H231" s="18"/>
      <c r="I231" s="18"/>
      <c r="J231" s="18"/>
      <c r="K231" s="28"/>
      <c r="L231" s="18"/>
      <c r="M231" s="39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22.5" customHeight="1">
      <c r="A232" s="18"/>
      <c r="B232" s="18"/>
      <c r="C232" s="40"/>
      <c r="D232" s="18"/>
      <c r="E232" s="18"/>
      <c r="F232" s="18"/>
      <c r="G232" s="18"/>
      <c r="H232" s="18"/>
      <c r="I232" s="18"/>
      <c r="J232" s="18"/>
      <c r="K232" s="28"/>
      <c r="L232" s="18"/>
      <c r="M232" s="39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22.5" customHeight="1">
      <c r="A233" s="18"/>
      <c r="B233" s="18"/>
      <c r="C233" s="40"/>
      <c r="D233" s="18"/>
      <c r="E233" s="18"/>
      <c r="F233" s="18"/>
      <c r="G233" s="18"/>
      <c r="H233" s="18"/>
      <c r="I233" s="18"/>
      <c r="J233" s="18"/>
      <c r="K233" s="28"/>
      <c r="L233" s="18"/>
      <c r="M233" s="39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22.5" customHeight="1">
      <c r="A234" s="18"/>
      <c r="B234" s="18"/>
      <c r="C234" s="40"/>
      <c r="D234" s="18"/>
      <c r="E234" s="18"/>
      <c r="F234" s="18"/>
      <c r="G234" s="18"/>
      <c r="H234" s="18"/>
      <c r="I234" s="18"/>
      <c r="J234" s="18"/>
      <c r="K234" s="28"/>
      <c r="L234" s="18"/>
      <c r="M234" s="39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22.5" customHeight="1">
      <c r="A235" s="18"/>
      <c r="B235" s="18"/>
      <c r="C235" s="40"/>
      <c r="D235" s="18"/>
      <c r="E235" s="18"/>
      <c r="F235" s="18"/>
      <c r="G235" s="18"/>
      <c r="H235" s="18"/>
      <c r="I235" s="18"/>
      <c r="J235" s="18"/>
      <c r="K235" s="28"/>
      <c r="L235" s="18"/>
      <c r="M235" s="39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22.5" customHeight="1">
      <c r="A236" s="18"/>
      <c r="B236" s="18"/>
      <c r="C236" s="40"/>
      <c r="D236" s="18"/>
      <c r="E236" s="18"/>
      <c r="F236" s="18"/>
      <c r="G236" s="18"/>
      <c r="H236" s="18"/>
      <c r="I236" s="18"/>
      <c r="J236" s="18"/>
      <c r="K236" s="28"/>
      <c r="L236" s="18"/>
      <c r="M236" s="39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22.5" customHeight="1">
      <c r="A237" s="18"/>
      <c r="B237" s="18"/>
      <c r="C237" s="40"/>
      <c r="D237" s="18"/>
      <c r="E237" s="18"/>
      <c r="F237" s="18"/>
      <c r="G237" s="18"/>
      <c r="H237" s="18"/>
      <c r="I237" s="18"/>
      <c r="J237" s="18"/>
      <c r="K237" s="28"/>
      <c r="L237" s="18"/>
      <c r="M237" s="39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22.5" customHeight="1">
      <c r="A238" s="18"/>
      <c r="B238" s="18"/>
      <c r="C238" s="40"/>
      <c r="D238" s="18"/>
      <c r="E238" s="18"/>
      <c r="F238" s="18"/>
      <c r="G238" s="18"/>
      <c r="H238" s="18"/>
      <c r="I238" s="18"/>
      <c r="J238" s="18"/>
      <c r="K238" s="28"/>
      <c r="L238" s="18"/>
      <c r="M238" s="39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22.5" customHeight="1">
      <c r="A239" s="18"/>
      <c r="B239" s="18"/>
      <c r="C239" s="40"/>
      <c r="D239" s="18"/>
      <c r="E239" s="18"/>
      <c r="F239" s="18"/>
      <c r="G239" s="18"/>
      <c r="H239" s="18"/>
      <c r="I239" s="18"/>
      <c r="J239" s="18"/>
      <c r="K239" s="28"/>
      <c r="L239" s="18"/>
      <c r="M239" s="39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22.5" customHeight="1">
      <c r="A240" s="18"/>
      <c r="B240" s="18"/>
      <c r="C240" s="40"/>
      <c r="D240" s="18"/>
      <c r="E240" s="18"/>
      <c r="F240" s="18"/>
      <c r="G240" s="18"/>
      <c r="H240" s="18"/>
      <c r="I240" s="18"/>
      <c r="J240" s="18"/>
      <c r="K240" s="28"/>
      <c r="L240" s="18"/>
      <c r="M240" s="39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22.5" customHeight="1">
      <c r="A241" s="18"/>
      <c r="B241" s="18"/>
      <c r="C241" s="40"/>
      <c r="D241" s="18"/>
      <c r="E241" s="18"/>
      <c r="F241" s="18"/>
      <c r="G241" s="18"/>
      <c r="H241" s="18"/>
      <c r="I241" s="18"/>
      <c r="J241" s="18"/>
      <c r="K241" s="28"/>
      <c r="L241" s="18"/>
      <c r="M241" s="39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22.5" customHeight="1">
      <c r="A242" s="18"/>
      <c r="B242" s="18"/>
      <c r="C242" s="40"/>
      <c r="D242" s="18"/>
      <c r="E242" s="18"/>
      <c r="F242" s="18"/>
      <c r="G242" s="18"/>
      <c r="H242" s="18"/>
      <c r="I242" s="18"/>
      <c r="J242" s="18"/>
      <c r="K242" s="28"/>
      <c r="L242" s="18"/>
      <c r="M242" s="39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22.5" customHeight="1">
      <c r="A243" s="18"/>
      <c r="B243" s="18"/>
      <c r="C243" s="40"/>
      <c r="D243" s="18"/>
      <c r="E243" s="18"/>
      <c r="F243" s="18"/>
      <c r="G243" s="18"/>
      <c r="H243" s="18"/>
      <c r="I243" s="18"/>
      <c r="J243" s="18"/>
      <c r="K243" s="28"/>
      <c r="L243" s="18"/>
      <c r="M243" s="39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22.5" customHeight="1">
      <c r="A244" s="18"/>
      <c r="B244" s="18"/>
      <c r="C244" s="40"/>
      <c r="D244" s="18"/>
      <c r="E244" s="18"/>
      <c r="F244" s="18"/>
      <c r="G244" s="18"/>
      <c r="H244" s="18"/>
      <c r="I244" s="18"/>
      <c r="J244" s="18"/>
      <c r="K244" s="28"/>
      <c r="L244" s="18"/>
      <c r="M244" s="39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22.5" customHeight="1">
      <c r="A245" s="18"/>
      <c r="B245" s="18"/>
      <c r="C245" s="40"/>
      <c r="D245" s="18"/>
      <c r="E245" s="18"/>
      <c r="F245" s="18"/>
      <c r="G245" s="18"/>
      <c r="H245" s="18"/>
      <c r="I245" s="18"/>
      <c r="J245" s="18"/>
      <c r="K245" s="28"/>
      <c r="L245" s="18"/>
      <c r="M245" s="39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22.5" customHeight="1">
      <c r="A246" s="18"/>
      <c r="B246" s="18"/>
      <c r="C246" s="40"/>
      <c r="D246" s="18"/>
      <c r="E246" s="18"/>
      <c r="F246" s="18"/>
      <c r="G246" s="18"/>
      <c r="H246" s="18"/>
      <c r="I246" s="18"/>
      <c r="J246" s="18"/>
      <c r="K246" s="28"/>
      <c r="L246" s="18"/>
      <c r="M246" s="39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22.5" customHeight="1">
      <c r="A247" s="18"/>
      <c r="B247" s="18"/>
      <c r="C247" s="40"/>
      <c r="D247" s="18"/>
      <c r="E247" s="18"/>
      <c r="F247" s="18"/>
      <c r="G247" s="18"/>
      <c r="H247" s="18"/>
      <c r="I247" s="18"/>
      <c r="J247" s="18"/>
      <c r="K247" s="28"/>
      <c r="L247" s="18"/>
      <c r="M247" s="39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22.5" customHeight="1">
      <c r="A248" s="18"/>
      <c r="B248" s="18"/>
      <c r="C248" s="40"/>
      <c r="D248" s="18"/>
      <c r="E248" s="18"/>
      <c r="F248" s="18"/>
      <c r="G248" s="18"/>
      <c r="H248" s="18"/>
      <c r="I248" s="18"/>
      <c r="J248" s="18"/>
      <c r="K248" s="28"/>
      <c r="L248" s="18"/>
      <c r="M248" s="39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22.5" customHeight="1">
      <c r="A249" s="18"/>
      <c r="B249" s="18"/>
      <c r="C249" s="40"/>
      <c r="D249" s="18"/>
      <c r="E249" s="18"/>
      <c r="F249" s="18"/>
      <c r="G249" s="18"/>
      <c r="H249" s="18"/>
      <c r="I249" s="18"/>
      <c r="J249" s="18"/>
      <c r="K249" s="28"/>
      <c r="L249" s="18"/>
      <c r="M249" s="39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22.5" customHeight="1">
      <c r="A250" s="18"/>
      <c r="B250" s="18"/>
      <c r="C250" s="40"/>
      <c r="D250" s="18"/>
      <c r="E250" s="18"/>
      <c r="F250" s="18"/>
      <c r="G250" s="18"/>
      <c r="H250" s="18"/>
      <c r="I250" s="18"/>
      <c r="J250" s="18"/>
      <c r="K250" s="28"/>
      <c r="L250" s="18"/>
      <c r="M250" s="39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22.5" customHeight="1">
      <c r="A251" s="18"/>
      <c r="B251" s="18"/>
      <c r="C251" s="40"/>
      <c r="D251" s="18"/>
      <c r="E251" s="18"/>
      <c r="F251" s="18"/>
      <c r="G251" s="18"/>
      <c r="H251" s="18"/>
      <c r="I251" s="18"/>
      <c r="J251" s="18"/>
      <c r="K251" s="28"/>
      <c r="L251" s="18"/>
      <c r="M251" s="39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22.5" customHeight="1">
      <c r="A252" s="18"/>
      <c r="B252" s="18"/>
      <c r="C252" s="40"/>
      <c r="D252" s="18"/>
      <c r="E252" s="18"/>
      <c r="F252" s="18"/>
      <c r="G252" s="18"/>
      <c r="H252" s="18"/>
      <c r="I252" s="18"/>
      <c r="J252" s="18"/>
      <c r="K252" s="28"/>
      <c r="L252" s="18"/>
      <c r="M252" s="39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22.5" customHeight="1">
      <c r="A253" s="18"/>
      <c r="B253" s="18"/>
      <c r="C253" s="40"/>
      <c r="D253" s="18"/>
      <c r="E253" s="18"/>
      <c r="F253" s="18"/>
      <c r="G253" s="18"/>
      <c r="H253" s="18"/>
      <c r="I253" s="18"/>
      <c r="J253" s="18"/>
      <c r="K253" s="28"/>
      <c r="L253" s="18"/>
      <c r="M253" s="39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22.5" customHeight="1">
      <c r="A254" s="18"/>
      <c r="B254" s="18"/>
      <c r="C254" s="40"/>
      <c r="D254" s="18"/>
      <c r="E254" s="18"/>
      <c r="F254" s="18"/>
      <c r="G254" s="18"/>
      <c r="H254" s="18"/>
      <c r="I254" s="18"/>
      <c r="J254" s="18"/>
      <c r="K254" s="28"/>
      <c r="L254" s="18"/>
      <c r="M254" s="39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22.5" customHeight="1">
      <c r="A255" s="18"/>
      <c r="B255" s="18"/>
      <c r="C255" s="40"/>
      <c r="D255" s="18"/>
      <c r="E255" s="18"/>
      <c r="F255" s="18"/>
      <c r="G255" s="18"/>
      <c r="H255" s="18"/>
      <c r="I255" s="18"/>
      <c r="J255" s="18"/>
      <c r="K255" s="28"/>
      <c r="L255" s="18"/>
      <c r="M255" s="39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22.5" customHeight="1">
      <c r="A256" s="18"/>
      <c r="B256" s="18"/>
      <c r="C256" s="40"/>
      <c r="D256" s="18"/>
      <c r="E256" s="18"/>
      <c r="F256" s="18"/>
      <c r="G256" s="18"/>
      <c r="H256" s="18"/>
      <c r="I256" s="18"/>
      <c r="J256" s="18"/>
      <c r="K256" s="28"/>
      <c r="L256" s="18"/>
      <c r="M256" s="39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I1"/>
    <mergeCell ref="A3:B3"/>
    <mergeCell ref="C3:D3"/>
    <mergeCell ref="E3:F3"/>
  </mergeCells>
  <dataValidations>
    <dataValidation type="decimal" allowBlank="1" showErrorMessage="1" sqref="E44 E46 E48 E50">
      <formula1>0.0</formula1>
      <formula2>100000.0</formula2>
    </dataValidation>
    <dataValidation type="list" allowBlank="1" showInputMessage="1" prompt="Clique e digite um valor da lista de itens" sqref="E42">
      <formula1>"Mailchimp,RD,Brevo,NÃO SEI"</formula1>
    </dataValidation>
    <dataValidation type="decimal" allowBlank="1" showInputMessage="1" showErrorMessage="1" prompt="Erro - Digite apenas números inteiros entre 0 e 1000" sqref="E18 E20 E22 E24 E26 E28 E40">
      <formula1>0.0</formula1>
      <formula2>1000.0</formula2>
    </dataValidation>
    <dataValidation type="decimal" allowBlank="1" showInputMessage="1" showErrorMessage="1" prompt="Erro - Digite apenas números inteiros entre" sqref="E16">
      <formula1>0.0</formula1>
      <formula2>1.0E9</formula2>
    </dataValidation>
    <dataValidation type="decimal" allowBlank="1" showInputMessage="1" showErrorMessage="1" prompt="Erro - Digite apenas números inteiros" sqref="E31:E38">
      <formula1>0.0</formula1>
      <formula2>1.0E7</formula2>
    </dataValidation>
    <dataValidation type="list" allowBlank="1" sqref="E10 E12 E52">
      <formula1>"Sim,Não,NÃO SEI"</formula1>
    </dataValidation>
    <dataValidation type="list" allowBlank="1" showInputMessage="1" prompt="Clique e digite um valor da lista de itens" sqref="E54">
      <formula1>"Ramper,Reev,Redrive,NÃO SEI"</formula1>
    </dataValidation>
    <dataValidation type="list" allowBlank="1" showInputMessage="1" prompt="Tecnologia do site - Caso não seja alguma das opções da lista basta digitar a sua" sqref="E8">
      <formula1>"Wordpress,WIX,HTML PURO,NÃO SEI"</formula1>
    </dataValidation>
    <dataValidation type="list" allowBlank="1" showInputMessage="1" prompt="Ferramentas de SEO - Caso não seja alguma das opções da lista basta digitar a sua" sqref="E14">
      <formula1>"MOZ,SemRush,NÃO SEI"</formula1>
    </dataValidation>
  </dataValidations>
  <hyperlinks>
    <hyperlink r:id="rId1" ref="D16"/>
  </hyperlinks>
  <printOptions/>
  <pageMargins bottom="0.75" footer="0.0" header="0.0" left="0.25" right="0.25" top="0.75"/>
  <pageSetup fitToHeight="0"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19.89"/>
    <col customWidth="1" hidden="1" min="6" max="6" width="10.33"/>
    <col customWidth="1" min="7" max="9" width="9.56"/>
    <col customWidth="1" min="10" max="10" width="0.89"/>
    <col customWidth="1" hidden="1" min="11" max="11" width="1.67"/>
    <col customWidth="1" hidden="1" min="12" max="12" width="11.11"/>
    <col customWidth="1" hidden="1" min="13" max="22" width="10.78"/>
    <col customWidth="1" hidden="1" min="23" max="23" width="15.33"/>
    <col customWidth="1" hidden="1" min="24" max="24" width="4.0"/>
    <col customWidth="1" hidden="1" min="25" max="25" width="10.78"/>
    <col customWidth="1" min="26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70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70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0"/>
      <c r="F5" s="71"/>
      <c r="G5" s="20"/>
      <c r="H5" s="20"/>
      <c r="I5" s="20"/>
      <c r="J5" s="20"/>
      <c r="K5" s="28"/>
      <c r="L5" s="18"/>
      <c r="M5" s="41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100%</v>
      </c>
      <c r="D6" s="24"/>
      <c r="E6" s="43">
        <f>COUNTA(E8,E10,E12,E14,E16,E18,E20,E22,E26,E28,E30,E32,E34,E36,E38,E24,E40)/17</f>
        <v>1</v>
      </c>
      <c r="F6" s="72"/>
      <c r="G6" s="27"/>
      <c r="H6" s="24"/>
      <c r="I6" s="24"/>
      <c r="J6" s="24"/>
      <c r="K6" s="28"/>
      <c r="L6" s="28"/>
      <c r="M6" s="44"/>
      <c r="N6" s="45"/>
      <c r="O6" s="45"/>
      <c r="P6" s="45"/>
      <c r="Q6" s="45"/>
      <c r="R6" s="45"/>
      <c r="S6" s="45"/>
      <c r="T6" s="45"/>
      <c r="U6" s="45"/>
      <c r="V6" s="45"/>
      <c r="W6" s="46"/>
      <c r="X6" s="28"/>
      <c r="Y6" s="45"/>
      <c r="Z6" s="28"/>
    </row>
    <row r="7" ht="10.5" customHeight="1">
      <c r="A7" s="22"/>
      <c r="B7" s="22"/>
      <c r="C7" s="24"/>
      <c r="D7" s="24" t="s">
        <v>6</v>
      </c>
      <c r="E7" s="24"/>
      <c r="F7" s="72"/>
      <c r="G7" s="24"/>
      <c r="H7" s="24"/>
      <c r="I7" s="24"/>
      <c r="J7" s="24"/>
      <c r="K7" s="28"/>
      <c r="L7" s="28"/>
      <c r="M7" s="44"/>
      <c r="N7" s="45"/>
      <c r="O7" s="45"/>
      <c r="P7" s="45"/>
      <c r="Q7" s="45"/>
      <c r="R7" s="45"/>
      <c r="S7" s="45"/>
      <c r="T7" s="45"/>
      <c r="U7" s="45"/>
      <c r="V7" s="45"/>
      <c r="W7" s="46"/>
      <c r="X7" s="28"/>
      <c r="Y7" s="45"/>
      <c r="Z7" s="28"/>
    </row>
    <row r="8" ht="40.5" customHeight="1">
      <c r="A8" s="22"/>
      <c r="B8" s="22"/>
      <c r="C8" s="29" t="s">
        <v>122</v>
      </c>
      <c r="D8" s="30" t="s">
        <v>123</v>
      </c>
      <c r="E8" s="31" t="s">
        <v>124</v>
      </c>
      <c r="F8" s="73">
        <f>IF(E8="",0,IF(E8="NÃO SEI",0,IF(E8="Não Uso",0,10)))</f>
        <v>10</v>
      </c>
      <c r="G8" s="28"/>
      <c r="H8" s="28"/>
      <c r="I8" s="28"/>
      <c r="J8" s="28"/>
      <c r="K8" s="28"/>
      <c r="L8" s="28"/>
      <c r="M8" s="28" t="str">
        <f>IF(ISERROR(AVERAGE(#REF!)),"",AVERAGE(#REF!))</f>
        <v/>
      </c>
      <c r="N8" s="28"/>
      <c r="O8" s="28"/>
      <c r="P8" s="28"/>
      <c r="Q8" s="28"/>
      <c r="R8" s="28"/>
      <c r="S8" s="28"/>
      <c r="T8" s="28"/>
      <c r="U8" s="28"/>
      <c r="V8" s="28"/>
      <c r="W8" s="28" t="s">
        <v>23</v>
      </c>
      <c r="X8" s="28">
        <v>10.0</v>
      </c>
      <c r="Y8" s="28"/>
      <c r="Z8" s="28"/>
    </row>
    <row r="9" ht="12.75" customHeight="1">
      <c r="A9" s="22"/>
      <c r="B9" s="22"/>
      <c r="C9" s="33"/>
      <c r="D9" s="34"/>
      <c r="E9" s="35"/>
      <c r="F9" s="73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0.5" customHeight="1">
      <c r="A10" s="22"/>
      <c r="B10" s="22"/>
      <c r="C10" s="29" t="s">
        <v>125</v>
      </c>
      <c r="D10" s="30" t="s">
        <v>126</v>
      </c>
      <c r="E10" s="31" t="s">
        <v>32</v>
      </c>
      <c r="F10" s="73">
        <f>IF(E10="SIM",10,0)</f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73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127</v>
      </c>
      <c r="D12" s="30" t="s">
        <v>128</v>
      </c>
      <c r="E12" s="31">
        <v>0.0</v>
      </c>
      <c r="F12" s="73">
        <f>IF(E12&gt;=4,10,IF(E12&gt;=2,5,0))</f>
        <v>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 t="s">
        <v>29</v>
      </c>
      <c r="X12" s="28">
        <v>0.0</v>
      </c>
      <c r="Y12" s="28"/>
      <c r="Z12" s="28"/>
    </row>
    <row r="13" ht="12.75" customHeight="1">
      <c r="A13" s="22"/>
      <c r="B13" s="22"/>
      <c r="C13" s="33"/>
      <c r="D13" s="34"/>
      <c r="E13" s="35"/>
      <c r="F13" s="73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129</v>
      </c>
      <c r="D14" s="30" t="s">
        <v>130</v>
      </c>
      <c r="E14" s="31">
        <v>0.0</v>
      </c>
      <c r="F14" s="73">
        <f>IF(E14&gt;=2,10,IF(E14&gt;=1,5,0))</f>
        <v>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 t="s">
        <v>32</v>
      </c>
      <c r="X14" s="28">
        <v>10.0</v>
      </c>
      <c r="Y14" s="28"/>
      <c r="Z14" s="28"/>
    </row>
    <row r="15" ht="12.75" customHeight="1">
      <c r="A15" s="22"/>
      <c r="B15" s="22"/>
      <c r="C15" s="33"/>
      <c r="D15" s="34"/>
      <c r="E15" s="35"/>
      <c r="F15" s="73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131</v>
      </c>
      <c r="D16" s="30" t="s">
        <v>132</v>
      </c>
      <c r="E16" s="31" t="s">
        <v>29</v>
      </c>
      <c r="F16" s="73">
        <f>IF(E16="SIM",10,0)</f>
        <v>10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2"/>
      <c r="B17" s="22"/>
      <c r="C17" s="33"/>
      <c r="D17" s="34"/>
      <c r="E17" s="35"/>
      <c r="F17" s="73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133</v>
      </c>
      <c r="D18" s="30" t="s">
        <v>134</v>
      </c>
      <c r="E18" s="31" t="s">
        <v>29</v>
      </c>
      <c r="F18" s="73">
        <f>IF(E18="SIM",10,0)</f>
        <v>10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2"/>
      <c r="B19" s="22"/>
      <c r="C19" s="33"/>
      <c r="D19" s="34"/>
      <c r="E19" s="35"/>
      <c r="F19" s="7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135</v>
      </c>
      <c r="D20" s="30" t="s">
        <v>136</v>
      </c>
      <c r="E20" s="31" t="s">
        <v>29</v>
      </c>
      <c r="F20" s="73">
        <f>IF(E20="SIM",10,0)</f>
        <v>10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2"/>
      <c r="B21" s="22"/>
      <c r="C21" s="33"/>
      <c r="D21" s="34"/>
      <c r="E21" s="35"/>
      <c r="F21" s="73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40.5" customHeight="1">
      <c r="A22" s="22"/>
      <c r="B22" s="22"/>
      <c r="C22" s="29" t="s">
        <v>137</v>
      </c>
      <c r="D22" s="30" t="s">
        <v>138</v>
      </c>
      <c r="E22" s="31" t="s">
        <v>29</v>
      </c>
      <c r="F22" s="73">
        <f>IF(E22="SIM",10,0)</f>
        <v>10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75" customHeight="1">
      <c r="A23" s="22"/>
      <c r="B23" s="22"/>
      <c r="C23" s="33"/>
      <c r="D23" s="34"/>
      <c r="E23" s="35"/>
      <c r="F23" s="73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40.5" customHeight="1">
      <c r="A24" s="22"/>
      <c r="B24" s="22"/>
      <c r="C24" s="29" t="s">
        <v>139</v>
      </c>
      <c r="D24" s="30" t="s">
        <v>140</v>
      </c>
      <c r="E24" s="31" t="s">
        <v>32</v>
      </c>
      <c r="F24" s="73">
        <f>IF(E24="SIM",10,0)</f>
        <v>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2"/>
      <c r="B25" s="22"/>
      <c r="C25" s="33"/>
      <c r="D25" s="34"/>
      <c r="E25" s="35"/>
      <c r="F25" s="73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0.5" customHeight="1">
      <c r="A26" s="22"/>
      <c r="B26" s="22"/>
      <c r="C26" s="29" t="s">
        <v>141</v>
      </c>
      <c r="D26" s="30" t="s">
        <v>142</v>
      </c>
      <c r="E26" s="31" t="s">
        <v>32</v>
      </c>
      <c r="F26" s="73">
        <f>IF(E26="SIM",10,0)</f>
        <v>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2"/>
      <c r="B27" s="22"/>
      <c r="C27" s="33"/>
      <c r="D27" s="34"/>
      <c r="E27" s="35"/>
      <c r="F27" s="73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40.5" customHeight="1">
      <c r="A28" s="22"/>
      <c r="B28" s="22"/>
      <c r="C28" s="29" t="s">
        <v>143</v>
      </c>
      <c r="D28" s="30" t="s">
        <v>144</v>
      </c>
      <c r="E28" s="31" t="s">
        <v>29</v>
      </c>
      <c r="F28" s="73">
        <f>IF(E28="SIM",10,0)</f>
        <v>10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2.75" customHeight="1">
      <c r="A29" s="22"/>
      <c r="B29" s="22"/>
      <c r="C29" s="33"/>
      <c r="D29" s="34"/>
      <c r="E29" s="35"/>
      <c r="F29" s="73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40.5" customHeight="1">
      <c r="A30" s="22"/>
      <c r="B30" s="22"/>
      <c r="C30" s="29" t="s">
        <v>145</v>
      </c>
      <c r="D30" s="30" t="s">
        <v>146</v>
      </c>
      <c r="E30" s="31" t="s">
        <v>32</v>
      </c>
      <c r="F30" s="73">
        <f>IF(E30="SIM",10,0)</f>
        <v>0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 t="s">
        <v>49</v>
      </c>
      <c r="X30" s="28"/>
      <c r="Y30" s="28"/>
      <c r="Z30" s="28"/>
    </row>
    <row r="31" ht="12.75" customHeight="1">
      <c r="A31" s="22"/>
      <c r="B31" s="22"/>
      <c r="C31" s="33"/>
      <c r="D31" s="34"/>
      <c r="E31" s="35"/>
      <c r="F31" s="73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40.5" customHeight="1">
      <c r="A32" s="22"/>
      <c r="B32" s="22"/>
      <c r="C32" s="29" t="s">
        <v>147</v>
      </c>
      <c r="D32" s="30" t="s">
        <v>148</v>
      </c>
      <c r="E32" s="31" t="s">
        <v>149</v>
      </c>
      <c r="F32" s="73">
        <f>IF(E32="",0,IF(E32="NÃO SEI",0,IF(E32="Não Uso",0,10)))</f>
        <v>10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2.75" customHeight="1">
      <c r="A33" s="22"/>
      <c r="B33" s="22"/>
      <c r="C33" s="33"/>
      <c r="D33" s="34"/>
      <c r="E33" s="35"/>
      <c r="F33" s="73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40.5" customHeight="1">
      <c r="A34" s="22"/>
      <c r="B34" s="22"/>
      <c r="C34" s="29" t="s">
        <v>150</v>
      </c>
      <c r="D34" s="30" t="s">
        <v>151</v>
      </c>
      <c r="E34" s="31" t="s">
        <v>152</v>
      </c>
      <c r="F34" s="73">
        <f>IF(E34="",0,IF(E34="NÃO SEI",0,IF(E34="Não Uso",0,10)))</f>
        <v>0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2.75" customHeight="1">
      <c r="A35" s="22"/>
      <c r="B35" s="22"/>
      <c r="C35" s="33"/>
      <c r="D35" s="34"/>
      <c r="E35" s="35"/>
      <c r="F35" s="73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40.5" customHeight="1">
      <c r="A36" s="22"/>
      <c r="B36" s="22"/>
      <c r="C36" s="29" t="s">
        <v>153</v>
      </c>
      <c r="D36" s="30" t="s">
        <v>154</v>
      </c>
      <c r="E36" s="31" t="s">
        <v>32</v>
      </c>
      <c r="F36" s="73">
        <f>IF(E36="SIM",10,0)</f>
        <v>0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2.75" customHeight="1">
      <c r="A37" s="22"/>
      <c r="B37" s="22"/>
      <c r="C37" s="33"/>
      <c r="D37" s="34"/>
      <c r="E37" s="35"/>
      <c r="F37" s="73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40.5" customHeight="1">
      <c r="A38" s="22"/>
      <c r="B38" s="22"/>
      <c r="C38" s="29" t="s">
        <v>155</v>
      </c>
      <c r="D38" s="30" t="s">
        <v>156</v>
      </c>
      <c r="E38" s="31" t="s">
        <v>32</v>
      </c>
      <c r="F38" s="73">
        <f>IF(E38="SIM",10,0)</f>
        <v>0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2.75" customHeight="1">
      <c r="A39" s="22"/>
      <c r="B39" s="22"/>
      <c r="C39" s="33"/>
      <c r="D39" s="34"/>
      <c r="E39" s="35"/>
      <c r="F39" s="73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40.5" customHeight="1">
      <c r="A40" s="22"/>
      <c r="B40" s="22"/>
      <c r="C40" s="29" t="s">
        <v>157</v>
      </c>
      <c r="D40" s="30" t="s">
        <v>158</v>
      </c>
      <c r="E40" s="31" t="s">
        <v>32</v>
      </c>
      <c r="F40" s="73">
        <f>IF(E40="SIM",10,0)</f>
        <v>0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2.75" customHeight="1">
      <c r="A41" s="22"/>
      <c r="B41" s="22"/>
      <c r="C41" s="19"/>
      <c r="D41" s="37"/>
      <c r="E41" s="26"/>
      <c r="F41" s="73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40.5" customHeight="1">
      <c r="A42" s="18"/>
      <c r="B42" s="18"/>
      <c r="C42" s="74" t="str">
        <f>IF(E6&lt;&gt;100%,"Termine o preenchimento para descobrir sua nota!","Sua nota média em vendas é: "&amp;F42)</f>
        <v>Sua nota média em vendas é: 4,1</v>
      </c>
      <c r="E42" s="18"/>
      <c r="F42" s="75">
        <f>ROUND(AVERAGE(F40,F24,F38,F36,F34,F32,F30,F28,F26,F22,F20,F18,F16,F14,F12,F10,F8),1)</f>
        <v>4.1</v>
      </c>
      <c r="G42" s="18"/>
      <c r="H42" s="18"/>
      <c r="I42" s="18"/>
      <c r="J42" s="18"/>
      <c r="K42" s="28"/>
      <c r="L42" s="18"/>
      <c r="M42" s="39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18"/>
      <c r="F43" s="75"/>
      <c r="G43" s="18"/>
      <c r="H43" s="18"/>
      <c r="I43" s="18"/>
      <c r="J43" s="18"/>
      <c r="K43" s="28"/>
      <c r="L43" s="18"/>
      <c r="M43" s="39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18"/>
      <c r="F44" s="75"/>
      <c r="G44" s="18"/>
      <c r="H44" s="18"/>
      <c r="I44" s="18"/>
      <c r="J44" s="18"/>
      <c r="K44" s="28"/>
      <c r="L44" s="18"/>
      <c r="M44" s="39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18"/>
      <c r="F45" s="75"/>
      <c r="G45" s="18"/>
      <c r="H45" s="18"/>
      <c r="I45" s="18"/>
      <c r="J45" s="18"/>
      <c r="K45" s="28"/>
      <c r="L45" s="18"/>
      <c r="M45" s="39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18"/>
      <c r="F46" s="75"/>
      <c r="G46" s="18"/>
      <c r="H46" s="18"/>
      <c r="I46" s="18"/>
      <c r="J46" s="18"/>
      <c r="K46" s="28"/>
      <c r="L46" s="18"/>
      <c r="M46" s="39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18"/>
      <c r="F47" s="75"/>
      <c r="G47" s="18"/>
      <c r="H47" s="18"/>
      <c r="I47" s="18"/>
      <c r="J47" s="18"/>
      <c r="K47" s="28"/>
      <c r="L47" s="18"/>
      <c r="M47" s="39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18"/>
      <c r="F48" s="75"/>
      <c r="G48" s="18"/>
      <c r="H48" s="18"/>
      <c r="I48" s="18"/>
      <c r="J48" s="18"/>
      <c r="K48" s="28"/>
      <c r="L48" s="18"/>
      <c r="M48" s="39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18"/>
      <c r="F49" s="75"/>
      <c r="G49" s="18"/>
      <c r="H49" s="18"/>
      <c r="I49" s="18"/>
      <c r="J49" s="18"/>
      <c r="K49" s="28"/>
      <c r="L49" s="18"/>
      <c r="M49" s="39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18"/>
      <c r="F50" s="75"/>
      <c r="G50" s="18"/>
      <c r="H50" s="18"/>
      <c r="I50" s="18"/>
      <c r="J50" s="18"/>
      <c r="K50" s="28"/>
      <c r="L50" s="18"/>
      <c r="M50" s="39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18"/>
      <c r="F51" s="75"/>
      <c r="G51" s="18"/>
      <c r="H51" s="18"/>
      <c r="I51" s="18"/>
      <c r="J51" s="18"/>
      <c r="K51" s="28"/>
      <c r="L51" s="18"/>
      <c r="M51" s="39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18"/>
      <c r="F52" s="75"/>
      <c r="G52" s="18"/>
      <c r="H52" s="18"/>
      <c r="I52" s="18"/>
      <c r="J52" s="18"/>
      <c r="K52" s="28"/>
      <c r="L52" s="18"/>
      <c r="M52" s="39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18"/>
      <c r="F53" s="75"/>
      <c r="G53" s="18"/>
      <c r="H53" s="18"/>
      <c r="I53" s="18"/>
      <c r="J53" s="18"/>
      <c r="K53" s="28"/>
      <c r="L53" s="18"/>
      <c r="M53" s="39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18"/>
      <c r="F54" s="75"/>
      <c r="G54" s="18"/>
      <c r="H54" s="18"/>
      <c r="I54" s="18"/>
      <c r="J54" s="18"/>
      <c r="K54" s="28"/>
      <c r="L54" s="18"/>
      <c r="M54" s="39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18"/>
      <c r="F55" s="75"/>
      <c r="G55" s="18"/>
      <c r="H55" s="18"/>
      <c r="I55" s="18"/>
      <c r="J55" s="18"/>
      <c r="K55" s="28"/>
      <c r="L55" s="18"/>
      <c r="M55" s="39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18"/>
      <c r="F56" s="75"/>
      <c r="G56" s="18"/>
      <c r="H56" s="18"/>
      <c r="I56" s="18"/>
      <c r="J56" s="18"/>
      <c r="K56" s="28"/>
      <c r="L56" s="18"/>
      <c r="M56" s="39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18"/>
      <c r="F57" s="75"/>
      <c r="G57" s="18"/>
      <c r="H57" s="18"/>
      <c r="I57" s="18"/>
      <c r="J57" s="18"/>
      <c r="K57" s="28"/>
      <c r="L57" s="18"/>
      <c r="M57" s="39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18"/>
      <c r="F58" s="75"/>
      <c r="G58" s="18"/>
      <c r="H58" s="18"/>
      <c r="I58" s="18"/>
      <c r="J58" s="18"/>
      <c r="K58" s="28"/>
      <c r="L58" s="18"/>
      <c r="M58" s="39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18"/>
      <c r="F59" s="75"/>
      <c r="G59" s="18"/>
      <c r="H59" s="18"/>
      <c r="I59" s="18"/>
      <c r="J59" s="18"/>
      <c r="K59" s="28"/>
      <c r="L59" s="18"/>
      <c r="M59" s="39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18"/>
      <c r="F60" s="75"/>
      <c r="G60" s="18"/>
      <c r="H60" s="18"/>
      <c r="I60" s="18"/>
      <c r="J60" s="18"/>
      <c r="K60" s="28"/>
      <c r="L60" s="18"/>
      <c r="M60" s="39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18"/>
      <c r="F61" s="75"/>
      <c r="G61" s="18"/>
      <c r="H61" s="18"/>
      <c r="I61" s="18"/>
      <c r="J61" s="18"/>
      <c r="K61" s="28"/>
      <c r="L61" s="18"/>
      <c r="M61" s="39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18"/>
      <c r="F62" s="75"/>
      <c r="G62" s="18"/>
      <c r="H62" s="18"/>
      <c r="I62" s="18"/>
      <c r="J62" s="18"/>
      <c r="K62" s="28"/>
      <c r="L62" s="18"/>
      <c r="M62" s="39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18"/>
      <c r="F63" s="75"/>
      <c r="G63" s="18"/>
      <c r="H63" s="18"/>
      <c r="I63" s="18"/>
      <c r="J63" s="18"/>
      <c r="K63" s="28"/>
      <c r="L63" s="18"/>
      <c r="M63" s="39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18"/>
      <c r="F64" s="75"/>
      <c r="G64" s="18"/>
      <c r="H64" s="18"/>
      <c r="I64" s="18"/>
      <c r="J64" s="18"/>
      <c r="K64" s="28"/>
      <c r="L64" s="18"/>
      <c r="M64" s="39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18"/>
      <c r="F65" s="75"/>
      <c r="G65" s="18"/>
      <c r="H65" s="18"/>
      <c r="I65" s="18"/>
      <c r="J65" s="18"/>
      <c r="K65" s="28"/>
      <c r="L65" s="18"/>
      <c r="M65" s="39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18"/>
      <c r="F66" s="75"/>
      <c r="G66" s="18"/>
      <c r="H66" s="18"/>
      <c r="I66" s="18"/>
      <c r="J66" s="18"/>
      <c r="K66" s="28"/>
      <c r="L66" s="18"/>
      <c r="M66" s="39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18"/>
      <c r="F67" s="75"/>
      <c r="G67" s="18"/>
      <c r="H67" s="18"/>
      <c r="I67" s="18"/>
      <c r="J67" s="18"/>
      <c r="K67" s="28"/>
      <c r="L67" s="18"/>
      <c r="M67" s="39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18"/>
      <c r="F68" s="75"/>
      <c r="G68" s="18"/>
      <c r="H68" s="18"/>
      <c r="I68" s="18"/>
      <c r="J68" s="18"/>
      <c r="K68" s="28"/>
      <c r="L68" s="18"/>
      <c r="M68" s="39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18"/>
      <c r="F69" s="75"/>
      <c r="G69" s="18"/>
      <c r="H69" s="18"/>
      <c r="I69" s="18"/>
      <c r="J69" s="18"/>
      <c r="K69" s="28"/>
      <c r="L69" s="18"/>
      <c r="M69" s="39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18"/>
      <c r="F70" s="75"/>
      <c r="G70" s="18"/>
      <c r="H70" s="18"/>
      <c r="I70" s="18"/>
      <c r="J70" s="18"/>
      <c r="K70" s="28"/>
      <c r="L70" s="18"/>
      <c r="M70" s="39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18"/>
      <c r="F71" s="75"/>
      <c r="G71" s="18"/>
      <c r="H71" s="18"/>
      <c r="I71" s="18"/>
      <c r="J71" s="18"/>
      <c r="K71" s="28"/>
      <c r="L71" s="18"/>
      <c r="M71" s="39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18"/>
      <c r="F72" s="75"/>
      <c r="G72" s="18"/>
      <c r="H72" s="18"/>
      <c r="I72" s="18"/>
      <c r="J72" s="18"/>
      <c r="K72" s="28"/>
      <c r="L72" s="18"/>
      <c r="M72" s="39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18"/>
      <c r="F73" s="75"/>
      <c r="G73" s="18"/>
      <c r="H73" s="18"/>
      <c r="I73" s="18"/>
      <c r="J73" s="18"/>
      <c r="K73" s="28"/>
      <c r="L73" s="18"/>
      <c r="M73" s="39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18"/>
      <c r="F74" s="75"/>
      <c r="G74" s="18"/>
      <c r="H74" s="18"/>
      <c r="I74" s="18"/>
      <c r="J74" s="18"/>
      <c r="K74" s="28"/>
      <c r="L74" s="18"/>
      <c r="M74" s="39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18"/>
      <c r="F75" s="75"/>
      <c r="G75" s="18"/>
      <c r="H75" s="18"/>
      <c r="I75" s="18"/>
      <c r="J75" s="18"/>
      <c r="K75" s="28"/>
      <c r="L75" s="18"/>
      <c r="M75" s="39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18"/>
      <c r="F76" s="75"/>
      <c r="G76" s="18"/>
      <c r="H76" s="18"/>
      <c r="I76" s="18"/>
      <c r="J76" s="18"/>
      <c r="K76" s="28"/>
      <c r="L76" s="18"/>
      <c r="M76" s="39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18"/>
      <c r="F77" s="75"/>
      <c r="G77" s="18"/>
      <c r="H77" s="18"/>
      <c r="I77" s="18"/>
      <c r="J77" s="18"/>
      <c r="K77" s="28"/>
      <c r="L77" s="18"/>
      <c r="M77" s="39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18"/>
      <c r="F78" s="75"/>
      <c r="G78" s="18"/>
      <c r="H78" s="18"/>
      <c r="I78" s="18"/>
      <c r="J78" s="18"/>
      <c r="K78" s="28"/>
      <c r="L78" s="18"/>
      <c r="M78" s="39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18"/>
      <c r="F79" s="75"/>
      <c r="G79" s="18"/>
      <c r="H79" s="18"/>
      <c r="I79" s="18"/>
      <c r="J79" s="18"/>
      <c r="K79" s="28"/>
      <c r="L79" s="18"/>
      <c r="M79" s="39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18"/>
      <c r="F80" s="75"/>
      <c r="G80" s="18"/>
      <c r="H80" s="18"/>
      <c r="I80" s="18"/>
      <c r="J80" s="18"/>
      <c r="K80" s="28"/>
      <c r="L80" s="18"/>
      <c r="M80" s="39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18"/>
      <c r="F81" s="75"/>
      <c r="G81" s="18"/>
      <c r="H81" s="18"/>
      <c r="I81" s="18"/>
      <c r="J81" s="18"/>
      <c r="K81" s="28"/>
      <c r="L81" s="18"/>
      <c r="M81" s="39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18"/>
      <c r="F82" s="75"/>
      <c r="G82" s="18"/>
      <c r="H82" s="18"/>
      <c r="I82" s="18"/>
      <c r="J82" s="18"/>
      <c r="K82" s="28"/>
      <c r="L82" s="18"/>
      <c r="M82" s="39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18"/>
      <c r="F83" s="75"/>
      <c r="G83" s="18"/>
      <c r="H83" s="18"/>
      <c r="I83" s="18"/>
      <c r="J83" s="18"/>
      <c r="K83" s="28"/>
      <c r="L83" s="18"/>
      <c r="M83" s="39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18"/>
      <c r="F84" s="75"/>
      <c r="G84" s="18"/>
      <c r="H84" s="18"/>
      <c r="I84" s="18"/>
      <c r="J84" s="18"/>
      <c r="K84" s="28"/>
      <c r="L84" s="18"/>
      <c r="M84" s="39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18"/>
      <c r="F85" s="75"/>
      <c r="G85" s="18"/>
      <c r="H85" s="18"/>
      <c r="I85" s="18"/>
      <c r="J85" s="18"/>
      <c r="K85" s="28"/>
      <c r="L85" s="18"/>
      <c r="M85" s="39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18"/>
      <c r="F86" s="75"/>
      <c r="G86" s="18"/>
      <c r="H86" s="18"/>
      <c r="I86" s="18"/>
      <c r="J86" s="18"/>
      <c r="K86" s="28"/>
      <c r="L86" s="18"/>
      <c r="M86" s="39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18"/>
      <c r="F87" s="75"/>
      <c r="G87" s="18"/>
      <c r="H87" s="18"/>
      <c r="I87" s="18"/>
      <c r="J87" s="18"/>
      <c r="K87" s="28"/>
      <c r="L87" s="18"/>
      <c r="M87" s="39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18"/>
      <c r="F88" s="75"/>
      <c r="G88" s="18"/>
      <c r="H88" s="18"/>
      <c r="I88" s="18"/>
      <c r="J88" s="18"/>
      <c r="K88" s="28"/>
      <c r="L88" s="18"/>
      <c r="M88" s="39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18"/>
      <c r="F89" s="75"/>
      <c r="G89" s="18"/>
      <c r="H89" s="18"/>
      <c r="I89" s="18"/>
      <c r="J89" s="18"/>
      <c r="K89" s="28"/>
      <c r="L89" s="18"/>
      <c r="M89" s="39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18"/>
      <c r="F90" s="75"/>
      <c r="G90" s="18"/>
      <c r="H90" s="18"/>
      <c r="I90" s="18"/>
      <c r="J90" s="18"/>
      <c r="K90" s="28"/>
      <c r="L90" s="18"/>
      <c r="M90" s="39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18"/>
      <c r="F91" s="75"/>
      <c r="G91" s="18"/>
      <c r="H91" s="18"/>
      <c r="I91" s="18"/>
      <c r="J91" s="18"/>
      <c r="K91" s="28"/>
      <c r="L91" s="18"/>
      <c r="M91" s="39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18"/>
      <c r="F92" s="75"/>
      <c r="G92" s="18"/>
      <c r="H92" s="18"/>
      <c r="I92" s="18"/>
      <c r="J92" s="18"/>
      <c r="K92" s="28"/>
      <c r="L92" s="18"/>
      <c r="M92" s="39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18"/>
      <c r="F93" s="75"/>
      <c r="G93" s="18"/>
      <c r="H93" s="18"/>
      <c r="I93" s="18"/>
      <c r="J93" s="18"/>
      <c r="K93" s="28"/>
      <c r="L93" s="18"/>
      <c r="M93" s="39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18"/>
      <c r="F94" s="75"/>
      <c r="G94" s="18"/>
      <c r="H94" s="18"/>
      <c r="I94" s="18"/>
      <c r="J94" s="18"/>
      <c r="K94" s="28"/>
      <c r="L94" s="18"/>
      <c r="M94" s="39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18"/>
      <c r="F95" s="75"/>
      <c r="G95" s="18"/>
      <c r="H95" s="18"/>
      <c r="I95" s="18"/>
      <c r="J95" s="18"/>
      <c r="K95" s="28"/>
      <c r="L95" s="18"/>
      <c r="M95" s="39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18"/>
      <c r="F96" s="75"/>
      <c r="G96" s="18"/>
      <c r="H96" s="18"/>
      <c r="I96" s="18"/>
      <c r="J96" s="18"/>
      <c r="K96" s="28"/>
      <c r="L96" s="18"/>
      <c r="M96" s="39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18"/>
      <c r="F97" s="75"/>
      <c r="G97" s="18"/>
      <c r="H97" s="18"/>
      <c r="I97" s="18"/>
      <c r="J97" s="18"/>
      <c r="K97" s="28"/>
      <c r="L97" s="18"/>
      <c r="M97" s="39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18"/>
      <c r="F98" s="75"/>
      <c r="G98" s="18"/>
      <c r="H98" s="18"/>
      <c r="I98" s="18"/>
      <c r="J98" s="18"/>
      <c r="K98" s="28"/>
      <c r="L98" s="18"/>
      <c r="M98" s="39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18"/>
      <c r="F99" s="75"/>
      <c r="G99" s="18"/>
      <c r="H99" s="18"/>
      <c r="I99" s="18"/>
      <c r="J99" s="18"/>
      <c r="K99" s="28"/>
      <c r="L99" s="18"/>
      <c r="M99" s="39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18"/>
      <c r="F100" s="75"/>
      <c r="G100" s="18"/>
      <c r="H100" s="18"/>
      <c r="I100" s="18"/>
      <c r="J100" s="18"/>
      <c r="K100" s="28"/>
      <c r="L100" s="18"/>
      <c r="M100" s="39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18"/>
      <c r="F101" s="75"/>
      <c r="G101" s="18"/>
      <c r="H101" s="18"/>
      <c r="I101" s="18"/>
      <c r="J101" s="18"/>
      <c r="K101" s="28"/>
      <c r="L101" s="18"/>
      <c r="M101" s="39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18"/>
      <c r="F102" s="75"/>
      <c r="G102" s="18"/>
      <c r="H102" s="18"/>
      <c r="I102" s="18"/>
      <c r="J102" s="18"/>
      <c r="K102" s="28"/>
      <c r="L102" s="18"/>
      <c r="M102" s="39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18"/>
      <c r="F103" s="75"/>
      <c r="G103" s="18"/>
      <c r="H103" s="18"/>
      <c r="I103" s="18"/>
      <c r="J103" s="18"/>
      <c r="K103" s="28"/>
      <c r="L103" s="18"/>
      <c r="M103" s="39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18"/>
      <c r="F104" s="75"/>
      <c r="G104" s="18"/>
      <c r="H104" s="18"/>
      <c r="I104" s="18"/>
      <c r="J104" s="18"/>
      <c r="K104" s="28"/>
      <c r="L104" s="18"/>
      <c r="M104" s="39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18"/>
      <c r="F105" s="75"/>
      <c r="G105" s="18"/>
      <c r="H105" s="18"/>
      <c r="I105" s="18"/>
      <c r="J105" s="18"/>
      <c r="K105" s="28"/>
      <c r="L105" s="18"/>
      <c r="M105" s="39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18"/>
      <c r="F106" s="75"/>
      <c r="G106" s="18"/>
      <c r="H106" s="18"/>
      <c r="I106" s="18"/>
      <c r="J106" s="18"/>
      <c r="K106" s="28"/>
      <c r="L106" s="18"/>
      <c r="M106" s="39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18"/>
      <c r="F107" s="75"/>
      <c r="G107" s="18"/>
      <c r="H107" s="18"/>
      <c r="I107" s="18"/>
      <c r="J107" s="18"/>
      <c r="K107" s="28"/>
      <c r="L107" s="18"/>
      <c r="M107" s="39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18"/>
      <c r="F108" s="75"/>
      <c r="G108" s="18"/>
      <c r="H108" s="18"/>
      <c r="I108" s="18"/>
      <c r="J108" s="18"/>
      <c r="K108" s="28"/>
      <c r="L108" s="18"/>
      <c r="M108" s="39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18"/>
      <c r="F109" s="75"/>
      <c r="G109" s="18"/>
      <c r="H109" s="18"/>
      <c r="I109" s="18"/>
      <c r="J109" s="18"/>
      <c r="K109" s="28"/>
      <c r="L109" s="18"/>
      <c r="M109" s="39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18"/>
      <c r="F110" s="75"/>
      <c r="G110" s="18"/>
      <c r="H110" s="18"/>
      <c r="I110" s="18"/>
      <c r="J110" s="18"/>
      <c r="K110" s="28"/>
      <c r="L110" s="18"/>
      <c r="M110" s="39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18"/>
      <c r="F111" s="75"/>
      <c r="G111" s="18"/>
      <c r="H111" s="18"/>
      <c r="I111" s="18"/>
      <c r="J111" s="18"/>
      <c r="K111" s="28"/>
      <c r="L111" s="18"/>
      <c r="M111" s="39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18"/>
      <c r="F112" s="75"/>
      <c r="G112" s="18"/>
      <c r="H112" s="18"/>
      <c r="I112" s="18"/>
      <c r="J112" s="18"/>
      <c r="K112" s="28"/>
      <c r="L112" s="18"/>
      <c r="M112" s="39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18"/>
      <c r="F113" s="75"/>
      <c r="G113" s="18"/>
      <c r="H113" s="18"/>
      <c r="I113" s="18"/>
      <c r="J113" s="18"/>
      <c r="K113" s="28"/>
      <c r="L113" s="18"/>
      <c r="M113" s="39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18"/>
      <c r="F114" s="75"/>
      <c r="G114" s="18"/>
      <c r="H114" s="18"/>
      <c r="I114" s="18"/>
      <c r="J114" s="18"/>
      <c r="K114" s="28"/>
      <c r="L114" s="18"/>
      <c r="M114" s="39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18"/>
      <c r="F115" s="75"/>
      <c r="G115" s="18"/>
      <c r="H115" s="18"/>
      <c r="I115" s="18"/>
      <c r="J115" s="18"/>
      <c r="K115" s="28"/>
      <c r="L115" s="18"/>
      <c r="M115" s="39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18"/>
      <c r="F116" s="75"/>
      <c r="G116" s="18"/>
      <c r="H116" s="18"/>
      <c r="I116" s="18"/>
      <c r="J116" s="18"/>
      <c r="K116" s="28"/>
      <c r="L116" s="18"/>
      <c r="M116" s="39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18"/>
      <c r="F117" s="75"/>
      <c r="G117" s="18"/>
      <c r="H117" s="18"/>
      <c r="I117" s="18"/>
      <c r="J117" s="18"/>
      <c r="K117" s="28"/>
      <c r="L117" s="18"/>
      <c r="M117" s="39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18"/>
      <c r="F118" s="75"/>
      <c r="G118" s="18"/>
      <c r="H118" s="18"/>
      <c r="I118" s="18"/>
      <c r="J118" s="18"/>
      <c r="K118" s="28"/>
      <c r="L118" s="18"/>
      <c r="M118" s="39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18"/>
      <c r="F119" s="75"/>
      <c r="G119" s="18"/>
      <c r="H119" s="18"/>
      <c r="I119" s="18"/>
      <c r="J119" s="18"/>
      <c r="K119" s="28"/>
      <c r="L119" s="18"/>
      <c r="M119" s="39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18"/>
      <c r="F120" s="75"/>
      <c r="G120" s="18"/>
      <c r="H120" s="18"/>
      <c r="I120" s="18"/>
      <c r="J120" s="18"/>
      <c r="K120" s="28"/>
      <c r="L120" s="18"/>
      <c r="M120" s="39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18"/>
      <c r="F121" s="75"/>
      <c r="G121" s="18"/>
      <c r="H121" s="18"/>
      <c r="I121" s="18"/>
      <c r="J121" s="18"/>
      <c r="K121" s="28"/>
      <c r="L121" s="18"/>
      <c r="M121" s="39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18"/>
      <c r="F122" s="75"/>
      <c r="G122" s="18"/>
      <c r="H122" s="18"/>
      <c r="I122" s="18"/>
      <c r="J122" s="18"/>
      <c r="K122" s="28"/>
      <c r="L122" s="18"/>
      <c r="M122" s="39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18"/>
      <c r="F123" s="75"/>
      <c r="G123" s="18"/>
      <c r="H123" s="18"/>
      <c r="I123" s="18"/>
      <c r="J123" s="18"/>
      <c r="K123" s="28"/>
      <c r="L123" s="18"/>
      <c r="M123" s="39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18"/>
      <c r="F124" s="75"/>
      <c r="G124" s="18"/>
      <c r="H124" s="18"/>
      <c r="I124" s="18"/>
      <c r="J124" s="18"/>
      <c r="K124" s="28"/>
      <c r="L124" s="18"/>
      <c r="M124" s="39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18"/>
      <c r="F125" s="75"/>
      <c r="G125" s="18"/>
      <c r="H125" s="18"/>
      <c r="I125" s="18"/>
      <c r="J125" s="18"/>
      <c r="K125" s="28"/>
      <c r="L125" s="18"/>
      <c r="M125" s="39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18"/>
      <c r="F126" s="75"/>
      <c r="G126" s="18"/>
      <c r="H126" s="18"/>
      <c r="I126" s="18"/>
      <c r="J126" s="18"/>
      <c r="K126" s="28"/>
      <c r="L126" s="18"/>
      <c r="M126" s="39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18"/>
      <c r="F127" s="75"/>
      <c r="G127" s="18"/>
      <c r="H127" s="18"/>
      <c r="I127" s="18"/>
      <c r="J127" s="18"/>
      <c r="K127" s="28"/>
      <c r="L127" s="18"/>
      <c r="M127" s="39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18"/>
      <c r="F128" s="75"/>
      <c r="G128" s="18"/>
      <c r="H128" s="18"/>
      <c r="I128" s="18"/>
      <c r="J128" s="18"/>
      <c r="K128" s="28"/>
      <c r="L128" s="18"/>
      <c r="M128" s="39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18"/>
      <c r="F129" s="75"/>
      <c r="G129" s="18"/>
      <c r="H129" s="18"/>
      <c r="I129" s="18"/>
      <c r="J129" s="18"/>
      <c r="K129" s="28"/>
      <c r="L129" s="18"/>
      <c r="M129" s="39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40.5" customHeight="1">
      <c r="A130" s="18"/>
      <c r="B130" s="18"/>
      <c r="C130" s="40"/>
      <c r="D130" s="18"/>
      <c r="E130" s="18"/>
      <c r="F130" s="75"/>
      <c r="G130" s="18"/>
      <c r="H130" s="18"/>
      <c r="I130" s="18"/>
      <c r="J130" s="18"/>
      <c r="K130" s="28"/>
      <c r="L130" s="18"/>
      <c r="M130" s="39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40.5" customHeight="1">
      <c r="A131" s="18"/>
      <c r="B131" s="18"/>
      <c r="C131" s="40"/>
      <c r="D131" s="18"/>
      <c r="E131" s="18"/>
      <c r="F131" s="75"/>
      <c r="G131" s="18"/>
      <c r="H131" s="18"/>
      <c r="I131" s="18"/>
      <c r="J131" s="18"/>
      <c r="K131" s="28"/>
      <c r="L131" s="18"/>
      <c r="M131" s="39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40.5" customHeight="1">
      <c r="A132" s="18"/>
      <c r="B132" s="18"/>
      <c r="C132" s="40"/>
      <c r="D132" s="18"/>
      <c r="E132" s="18"/>
      <c r="F132" s="75"/>
      <c r="G132" s="18"/>
      <c r="H132" s="18"/>
      <c r="I132" s="18"/>
      <c r="J132" s="18"/>
      <c r="K132" s="28"/>
      <c r="L132" s="18"/>
      <c r="M132" s="39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40.5" customHeight="1">
      <c r="A133" s="18"/>
      <c r="B133" s="18"/>
      <c r="C133" s="40"/>
      <c r="D133" s="18"/>
      <c r="E133" s="18"/>
      <c r="F133" s="75"/>
      <c r="G133" s="18"/>
      <c r="H133" s="18"/>
      <c r="I133" s="18"/>
      <c r="J133" s="18"/>
      <c r="K133" s="28"/>
      <c r="L133" s="18"/>
      <c r="M133" s="39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40.5" customHeight="1">
      <c r="A134" s="18"/>
      <c r="B134" s="18"/>
      <c r="C134" s="40"/>
      <c r="D134" s="18"/>
      <c r="E134" s="18"/>
      <c r="F134" s="75"/>
      <c r="G134" s="18"/>
      <c r="H134" s="18"/>
      <c r="I134" s="18"/>
      <c r="J134" s="18"/>
      <c r="K134" s="28"/>
      <c r="L134" s="18"/>
      <c r="M134" s="39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40.5" customHeight="1">
      <c r="A135" s="18"/>
      <c r="B135" s="18"/>
      <c r="C135" s="40"/>
      <c r="D135" s="18"/>
      <c r="E135" s="18"/>
      <c r="F135" s="75"/>
      <c r="G135" s="18"/>
      <c r="H135" s="18"/>
      <c r="I135" s="18"/>
      <c r="J135" s="18"/>
      <c r="K135" s="28"/>
      <c r="L135" s="18"/>
      <c r="M135" s="39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40.5" customHeight="1">
      <c r="A136" s="18"/>
      <c r="B136" s="18"/>
      <c r="C136" s="40"/>
      <c r="D136" s="18"/>
      <c r="E136" s="18"/>
      <c r="F136" s="75"/>
      <c r="G136" s="18"/>
      <c r="H136" s="18"/>
      <c r="I136" s="18"/>
      <c r="J136" s="18"/>
      <c r="K136" s="28"/>
      <c r="L136" s="18"/>
      <c r="M136" s="39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40.5" customHeight="1">
      <c r="A137" s="18"/>
      <c r="B137" s="18"/>
      <c r="C137" s="40"/>
      <c r="D137" s="18"/>
      <c r="E137" s="18"/>
      <c r="F137" s="75"/>
      <c r="G137" s="18"/>
      <c r="H137" s="18"/>
      <c r="I137" s="18"/>
      <c r="J137" s="18"/>
      <c r="K137" s="28"/>
      <c r="L137" s="18"/>
      <c r="M137" s="39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40.5" customHeight="1">
      <c r="A138" s="18"/>
      <c r="B138" s="18"/>
      <c r="C138" s="40"/>
      <c r="D138" s="18"/>
      <c r="E138" s="18"/>
      <c r="F138" s="75"/>
      <c r="G138" s="18"/>
      <c r="H138" s="18"/>
      <c r="I138" s="18"/>
      <c r="J138" s="18"/>
      <c r="K138" s="28"/>
      <c r="L138" s="18"/>
      <c r="M138" s="39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40.5" customHeight="1">
      <c r="A139" s="18"/>
      <c r="B139" s="18"/>
      <c r="C139" s="40"/>
      <c r="D139" s="18"/>
      <c r="E139" s="18"/>
      <c r="F139" s="75"/>
      <c r="G139" s="18"/>
      <c r="H139" s="18"/>
      <c r="I139" s="18"/>
      <c r="J139" s="18"/>
      <c r="K139" s="28"/>
      <c r="L139" s="18"/>
      <c r="M139" s="39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40.5" customHeight="1">
      <c r="A140" s="18"/>
      <c r="B140" s="18"/>
      <c r="C140" s="40"/>
      <c r="D140" s="18"/>
      <c r="E140" s="18"/>
      <c r="F140" s="75"/>
      <c r="G140" s="18"/>
      <c r="H140" s="18"/>
      <c r="I140" s="18"/>
      <c r="J140" s="18"/>
      <c r="K140" s="28"/>
      <c r="L140" s="18"/>
      <c r="M140" s="39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40.5" customHeight="1">
      <c r="A141" s="18"/>
      <c r="B141" s="18"/>
      <c r="C141" s="40"/>
      <c r="D141" s="18"/>
      <c r="E141" s="18"/>
      <c r="F141" s="75"/>
      <c r="G141" s="18"/>
      <c r="H141" s="18"/>
      <c r="I141" s="18"/>
      <c r="J141" s="18"/>
      <c r="K141" s="28"/>
      <c r="L141" s="18"/>
      <c r="M141" s="39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40.5" customHeight="1">
      <c r="A142" s="18"/>
      <c r="B142" s="18"/>
      <c r="C142" s="40"/>
      <c r="D142" s="18"/>
      <c r="E142" s="18"/>
      <c r="F142" s="75"/>
      <c r="G142" s="18"/>
      <c r="H142" s="18"/>
      <c r="I142" s="18"/>
      <c r="J142" s="18"/>
      <c r="K142" s="28"/>
      <c r="L142" s="18"/>
      <c r="M142" s="39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40.5" customHeight="1">
      <c r="A143" s="18"/>
      <c r="B143" s="18"/>
      <c r="C143" s="40"/>
      <c r="D143" s="18"/>
      <c r="E143" s="18"/>
      <c r="F143" s="75"/>
      <c r="G143" s="18"/>
      <c r="H143" s="18"/>
      <c r="I143" s="18"/>
      <c r="J143" s="18"/>
      <c r="K143" s="28"/>
      <c r="L143" s="18"/>
      <c r="M143" s="39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40.5" customHeight="1">
      <c r="A144" s="18"/>
      <c r="B144" s="18"/>
      <c r="C144" s="40"/>
      <c r="D144" s="18"/>
      <c r="E144" s="18"/>
      <c r="F144" s="75"/>
      <c r="G144" s="18"/>
      <c r="H144" s="18"/>
      <c r="I144" s="18"/>
      <c r="J144" s="18"/>
      <c r="K144" s="28"/>
      <c r="L144" s="18"/>
      <c r="M144" s="39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40.5" customHeight="1">
      <c r="A145" s="18"/>
      <c r="B145" s="18"/>
      <c r="C145" s="40"/>
      <c r="D145" s="18"/>
      <c r="E145" s="18"/>
      <c r="F145" s="75"/>
      <c r="G145" s="18"/>
      <c r="H145" s="18"/>
      <c r="I145" s="18"/>
      <c r="J145" s="18"/>
      <c r="K145" s="28"/>
      <c r="L145" s="18"/>
      <c r="M145" s="39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40.5" customHeight="1">
      <c r="A146" s="18"/>
      <c r="B146" s="18"/>
      <c r="C146" s="40"/>
      <c r="D146" s="18"/>
      <c r="E146" s="18"/>
      <c r="F146" s="75"/>
      <c r="G146" s="18"/>
      <c r="H146" s="18"/>
      <c r="I146" s="18"/>
      <c r="J146" s="18"/>
      <c r="K146" s="28"/>
      <c r="L146" s="18"/>
      <c r="M146" s="39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40.5" customHeight="1">
      <c r="A147" s="18"/>
      <c r="B147" s="18"/>
      <c r="C147" s="40"/>
      <c r="D147" s="18"/>
      <c r="E147" s="18"/>
      <c r="F147" s="75"/>
      <c r="G147" s="18"/>
      <c r="H147" s="18"/>
      <c r="I147" s="18"/>
      <c r="J147" s="18"/>
      <c r="K147" s="28"/>
      <c r="L147" s="18"/>
      <c r="M147" s="39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40.5" customHeight="1">
      <c r="A148" s="18"/>
      <c r="B148" s="18"/>
      <c r="C148" s="40"/>
      <c r="D148" s="18"/>
      <c r="E148" s="18"/>
      <c r="F148" s="75"/>
      <c r="G148" s="18"/>
      <c r="H148" s="18"/>
      <c r="I148" s="18"/>
      <c r="J148" s="18"/>
      <c r="K148" s="28"/>
      <c r="L148" s="18"/>
      <c r="M148" s="39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18"/>
      <c r="F149" s="75"/>
      <c r="G149" s="18"/>
      <c r="H149" s="18"/>
      <c r="I149" s="18"/>
      <c r="J149" s="18"/>
      <c r="K149" s="28"/>
      <c r="L149" s="18"/>
      <c r="M149" s="39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18"/>
      <c r="F150" s="75"/>
      <c r="G150" s="18"/>
      <c r="H150" s="18"/>
      <c r="I150" s="18"/>
      <c r="J150" s="18"/>
      <c r="K150" s="28"/>
      <c r="L150" s="18"/>
      <c r="M150" s="39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18"/>
      <c r="F151" s="75"/>
      <c r="G151" s="18"/>
      <c r="H151" s="18"/>
      <c r="I151" s="18"/>
      <c r="J151" s="18"/>
      <c r="K151" s="28"/>
      <c r="L151" s="18"/>
      <c r="M151" s="39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18"/>
      <c r="F152" s="75"/>
      <c r="G152" s="18"/>
      <c r="H152" s="18"/>
      <c r="I152" s="18"/>
      <c r="J152" s="18"/>
      <c r="K152" s="28"/>
      <c r="L152" s="18"/>
      <c r="M152" s="39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18"/>
      <c r="F153" s="75"/>
      <c r="G153" s="18"/>
      <c r="H153" s="18"/>
      <c r="I153" s="18"/>
      <c r="J153" s="18"/>
      <c r="K153" s="28"/>
      <c r="L153" s="18"/>
      <c r="M153" s="39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18"/>
      <c r="F154" s="75"/>
      <c r="G154" s="18"/>
      <c r="H154" s="18"/>
      <c r="I154" s="18"/>
      <c r="J154" s="18"/>
      <c r="K154" s="28"/>
      <c r="L154" s="18"/>
      <c r="M154" s="39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18"/>
      <c r="F155" s="75"/>
      <c r="G155" s="18"/>
      <c r="H155" s="18"/>
      <c r="I155" s="18"/>
      <c r="J155" s="18"/>
      <c r="K155" s="28"/>
      <c r="L155" s="18"/>
      <c r="M155" s="39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18"/>
      <c r="F156" s="75"/>
      <c r="G156" s="18"/>
      <c r="H156" s="18"/>
      <c r="I156" s="18"/>
      <c r="J156" s="18"/>
      <c r="K156" s="28"/>
      <c r="L156" s="18"/>
      <c r="M156" s="39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18"/>
      <c r="F157" s="75"/>
      <c r="G157" s="18"/>
      <c r="H157" s="18"/>
      <c r="I157" s="18"/>
      <c r="J157" s="18"/>
      <c r="K157" s="28"/>
      <c r="L157" s="18"/>
      <c r="M157" s="39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18"/>
      <c r="F158" s="75"/>
      <c r="G158" s="18"/>
      <c r="H158" s="18"/>
      <c r="I158" s="18"/>
      <c r="J158" s="18"/>
      <c r="K158" s="28"/>
      <c r="L158" s="18"/>
      <c r="M158" s="39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18"/>
      <c r="F159" s="75"/>
      <c r="G159" s="18"/>
      <c r="H159" s="18"/>
      <c r="I159" s="18"/>
      <c r="J159" s="18"/>
      <c r="K159" s="28"/>
      <c r="L159" s="18"/>
      <c r="M159" s="39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18"/>
      <c r="F160" s="75"/>
      <c r="G160" s="18"/>
      <c r="H160" s="18"/>
      <c r="I160" s="18"/>
      <c r="J160" s="18"/>
      <c r="K160" s="28"/>
      <c r="L160" s="18"/>
      <c r="M160" s="39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18"/>
      <c r="F161" s="75"/>
      <c r="G161" s="18"/>
      <c r="H161" s="18"/>
      <c r="I161" s="18"/>
      <c r="J161" s="18"/>
      <c r="K161" s="28"/>
      <c r="L161" s="18"/>
      <c r="M161" s="39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18"/>
      <c r="F162" s="75"/>
      <c r="G162" s="18"/>
      <c r="H162" s="18"/>
      <c r="I162" s="18"/>
      <c r="J162" s="18"/>
      <c r="K162" s="28"/>
      <c r="L162" s="18"/>
      <c r="M162" s="39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18"/>
      <c r="F163" s="75"/>
      <c r="G163" s="18"/>
      <c r="H163" s="18"/>
      <c r="I163" s="18"/>
      <c r="J163" s="18"/>
      <c r="K163" s="28"/>
      <c r="L163" s="18"/>
      <c r="M163" s="39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18"/>
      <c r="F164" s="75"/>
      <c r="G164" s="18"/>
      <c r="H164" s="18"/>
      <c r="I164" s="18"/>
      <c r="J164" s="18"/>
      <c r="K164" s="28"/>
      <c r="L164" s="18"/>
      <c r="M164" s="39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18"/>
      <c r="F165" s="75"/>
      <c r="G165" s="18"/>
      <c r="H165" s="18"/>
      <c r="I165" s="18"/>
      <c r="J165" s="18"/>
      <c r="K165" s="28"/>
      <c r="L165" s="18"/>
      <c r="M165" s="39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18"/>
      <c r="F166" s="75"/>
      <c r="G166" s="18"/>
      <c r="H166" s="18"/>
      <c r="I166" s="18"/>
      <c r="J166" s="18"/>
      <c r="K166" s="28"/>
      <c r="L166" s="18"/>
      <c r="M166" s="39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18"/>
      <c r="F167" s="75"/>
      <c r="G167" s="18"/>
      <c r="H167" s="18"/>
      <c r="I167" s="18"/>
      <c r="J167" s="18"/>
      <c r="K167" s="28"/>
      <c r="L167" s="18"/>
      <c r="M167" s="39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18"/>
      <c r="F168" s="75"/>
      <c r="G168" s="18"/>
      <c r="H168" s="18"/>
      <c r="I168" s="18"/>
      <c r="J168" s="18"/>
      <c r="K168" s="28"/>
      <c r="L168" s="18"/>
      <c r="M168" s="39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18"/>
      <c r="F169" s="75"/>
      <c r="G169" s="18"/>
      <c r="H169" s="18"/>
      <c r="I169" s="18"/>
      <c r="J169" s="18"/>
      <c r="K169" s="28"/>
      <c r="L169" s="18"/>
      <c r="M169" s="39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18"/>
      <c r="F170" s="75"/>
      <c r="G170" s="18"/>
      <c r="H170" s="18"/>
      <c r="I170" s="18"/>
      <c r="J170" s="18"/>
      <c r="K170" s="28"/>
      <c r="L170" s="18"/>
      <c r="M170" s="39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18"/>
      <c r="F171" s="75"/>
      <c r="G171" s="18"/>
      <c r="H171" s="18"/>
      <c r="I171" s="18"/>
      <c r="J171" s="18"/>
      <c r="K171" s="28"/>
      <c r="L171" s="18"/>
      <c r="M171" s="39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18"/>
      <c r="F172" s="75"/>
      <c r="G172" s="18"/>
      <c r="H172" s="18"/>
      <c r="I172" s="18"/>
      <c r="J172" s="18"/>
      <c r="K172" s="28"/>
      <c r="L172" s="18"/>
      <c r="M172" s="39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18"/>
      <c r="F173" s="75"/>
      <c r="G173" s="18"/>
      <c r="H173" s="18"/>
      <c r="I173" s="18"/>
      <c r="J173" s="18"/>
      <c r="K173" s="28"/>
      <c r="L173" s="18"/>
      <c r="M173" s="39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18"/>
      <c r="F174" s="75"/>
      <c r="G174" s="18"/>
      <c r="H174" s="18"/>
      <c r="I174" s="18"/>
      <c r="J174" s="18"/>
      <c r="K174" s="28"/>
      <c r="L174" s="18"/>
      <c r="M174" s="39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18"/>
      <c r="F175" s="75"/>
      <c r="G175" s="18"/>
      <c r="H175" s="18"/>
      <c r="I175" s="18"/>
      <c r="J175" s="18"/>
      <c r="K175" s="28"/>
      <c r="L175" s="18"/>
      <c r="M175" s="39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18"/>
      <c r="F176" s="75"/>
      <c r="G176" s="18"/>
      <c r="H176" s="18"/>
      <c r="I176" s="18"/>
      <c r="J176" s="18"/>
      <c r="K176" s="28"/>
      <c r="L176" s="18"/>
      <c r="M176" s="39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18"/>
      <c r="F177" s="75"/>
      <c r="G177" s="18"/>
      <c r="H177" s="18"/>
      <c r="I177" s="18"/>
      <c r="J177" s="18"/>
      <c r="K177" s="28"/>
      <c r="L177" s="18"/>
      <c r="M177" s="39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18"/>
      <c r="F178" s="75"/>
      <c r="G178" s="18"/>
      <c r="H178" s="18"/>
      <c r="I178" s="18"/>
      <c r="J178" s="18"/>
      <c r="K178" s="28"/>
      <c r="L178" s="18"/>
      <c r="M178" s="39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18"/>
      <c r="F179" s="75"/>
      <c r="G179" s="18"/>
      <c r="H179" s="18"/>
      <c r="I179" s="18"/>
      <c r="J179" s="18"/>
      <c r="K179" s="28"/>
      <c r="L179" s="18"/>
      <c r="M179" s="39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18"/>
      <c r="F180" s="75"/>
      <c r="G180" s="18"/>
      <c r="H180" s="18"/>
      <c r="I180" s="18"/>
      <c r="J180" s="18"/>
      <c r="K180" s="28"/>
      <c r="L180" s="18"/>
      <c r="M180" s="39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18"/>
      <c r="F181" s="75"/>
      <c r="G181" s="18"/>
      <c r="H181" s="18"/>
      <c r="I181" s="18"/>
      <c r="J181" s="18"/>
      <c r="K181" s="28"/>
      <c r="L181" s="18"/>
      <c r="M181" s="39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18"/>
      <c r="F182" s="75"/>
      <c r="G182" s="18"/>
      <c r="H182" s="18"/>
      <c r="I182" s="18"/>
      <c r="J182" s="18"/>
      <c r="K182" s="28"/>
      <c r="L182" s="18"/>
      <c r="M182" s="39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18"/>
      <c r="F183" s="75"/>
      <c r="G183" s="18"/>
      <c r="H183" s="18"/>
      <c r="I183" s="18"/>
      <c r="J183" s="18"/>
      <c r="K183" s="28"/>
      <c r="L183" s="18"/>
      <c r="M183" s="39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18"/>
      <c r="F184" s="75"/>
      <c r="G184" s="18"/>
      <c r="H184" s="18"/>
      <c r="I184" s="18"/>
      <c r="J184" s="18"/>
      <c r="K184" s="28"/>
      <c r="L184" s="18"/>
      <c r="M184" s="39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18"/>
      <c r="F185" s="75"/>
      <c r="G185" s="18"/>
      <c r="H185" s="18"/>
      <c r="I185" s="18"/>
      <c r="J185" s="18"/>
      <c r="K185" s="28"/>
      <c r="L185" s="18"/>
      <c r="M185" s="39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18"/>
      <c r="F186" s="75"/>
      <c r="G186" s="18"/>
      <c r="H186" s="18"/>
      <c r="I186" s="18"/>
      <c r="J186" s="18"/>
      <c r="K186" s="28"/>
      <c r="L186" s="18"/>
      <c r="M186" s="39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18"/>
      <c r="F187" s="75"/>
      <c r="G187" s="18"/>
      <c r="H187" s="18"/>
      <c r="I187" s="18"/>
      <c r="J187" s="18"/>
      <c r="K187" s="28"/>
      <c r="L187" s="18"/>
      <c r="M187" s="39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18"/>
      <c r="F188" s="75"/>
      <c r="G188" s="18"/>
      <c r="H188" s="18"/>
      <c r="I188" s="18"/>
      <c r="J188" s="18"/>
      <c r="K188" s="28"/>
      <c r="L188" s="18"/>
      <c r="M188" s="39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18"/>
      <c r="F189" s="75"/>
      <c r="G189" s="18"/>
      <c r="H189" s="18"/>
      <c r="I189" s="18"/>
      <c r="J189" s="18"/>
      <c r="K189" s="28"/>
      <c r="L189" s="18"/>
      <c r="M189" s="39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18"/>
      <c r="F190" s="75"/>
      <c r="G190" s="18"/>
      <c r="H190" s="18"/>
      <c r="I190" s="18"/>
      <c r="J190" s="18"/>
      <c r="K190" s="28"/>
      <c r="L190" s="18"/>
      <c r="M190" s="39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18"/>
      <c r="F191" s="75"/>
      <c r="G191" s="18"/>
      <c r="H191" s="18"/>
      <c r="I191" s="18"/>
      <c r="J191" s="18"/>
      <c r="K191" s="28"/>
      <c r="L191" s="18"/>
      <c r="M191" s="39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18"/>
      <c r="F192" s="75"/>
      <c r="G192" s="18"/>
      <c r="H192" s="18"/>
      <c r="I192" s="18"/>
      <c r="J192" s="18"/>
      <c r="K192" s="28"/>
      <c r="L192" s="18"/>
      <c r="M192" s="39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18"/>
      <c r="F193" s="75"/>
      <c r="G193" s="18"/>
      <c r="H193" s="18"/>
      <c r="I193" s="18"/>
      <c r="J193" s="18"/>
      <c r="K193" s="28"/>
      <c r="L193" s="18"/>
      <c r="M193" s="39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18"/>
      <c r="F194" s="75"/>
      <c r="G194" s="18"/>
      <c r="H194" s="18"/>
      <c r="I194" s="18"/>
      <c r="J194" s="18"/>
      <c r="K194" s="28"/>
      <c r="L194" s="18"/>
      <c r="M194" s="39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18"/>
      <c r="F195" s="75"/>
      <c r="G195" s="18"/>
      <c r="H195" s="18"/>
      <c r="I195" s="18"/>
      <c r="J195" s="18"/>
      <c r="K195" s="28"/>
      <c r="L195" s="18"/>
      <c r="M195" s="39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18"/>
      <c r="F196" s="75"/>
      <c r="G196" s="18"/>
      <c r="H196" s="18"/>
      <c r="I196" s="18"/>
      <c r="J196" s="18"/>
      <c r="K196" s="28"/>
      <c r="L196" s="18"/>
      <c r="M196" s="39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18"/>
      <c r="F197" s="75"/>
      <c r="G197" s="18"/>
      <c r="H197" s="18"/>
      <c r="I197" s="18"/>
      <c r="J197" s="18"/>
      <c r="K197" s="28"/>
      <c r="L197" s="18"/>
      <c r="M197" s="39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18"/>
      <c r="F198" s="75"/>
      <c r="G198" s="18"/>
      <c r="H198" s="18"/>
      <c r="I198" s="18"/>
      <c r="J198" s="18"/>
      <c r="K198" s="28"/>
      <c r="L198" s="18"/>
      <c r="M198" s="39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18"/>
      <c r="F199" s="75"/>
      <c r="G199" s="18"/>
      <c r="H199" s="18"/>
      <c r="I199" s="18"/>
      <c r="J199" s="18"/>
      <c r="K199" s="28"/>
      <c r="L199" s="18"/>
      <c r="M199" s="39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18"/>
      <c r="F200" s="75"/>
      <c r="G200" s="18"/>
      <c r="H200" s="18"/>
      <c r="I200" s="18"/>
      <c r="J200" s="18"/>
      <c r="K200" s="28"/>
      <c r="L200" s="18"/>
      <c r="M200" s="39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18"/>
      <c r="F201" s="75"/>
      <c r="G201" s="18"/>
      <c r="H201" s="18"/>
      <c r="I201" s="18"/>
      <c r="J201" s="18"/>
      <c r="K201" s="28"/>
      <c r="L201" s="18"/>
      <c r="M201" s="39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18"/>
      <c r="F202" s="75"/>
      <c r="G202" s="18"/>
      <c r="H202" s="18"/>
      <c r="I202" s="18"/>
      <c r="J202" s="18"/>
      <c r="K202" s="28"/>
      <c r="L202" s="18"/>
      <c r="M202" s="39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18"/>
      <c r="F203" s="75"/>
      <c r="G203" s="18"/>
      <c r="H203" s="18"/>
      <c r="I203" s="18"/>
      <c r="J203" s="18"/>
      <c r="K203" s="28"/>
      <c r="L203" s="18"/>
      <c r="M203" s="39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18"/>
      <c r="F204" s="75"/>
      <c r="G204" s="18"/>
      <c r="H204" s="18"/>
      <c r="I204" s="18"/>
      <c r="J204" s="18"/>
      <c r="K204" s="28"/>
      <c r="L204" s="18"/>
      <c r="M204" s="39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18"/>
      <c r="F205" s="75"/>
      <c r="G205" s="18"/>
      <c r="H205" s="18"/>
      <c r="I205" s="18"/>
      <c r="J205" s="18"/>
      <c r="K205" s="28"/>
      <c r="L205" s="18"/>
      <c r="M205" s="39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18"/>
      <c r="F206" s="75"/>
      <c r="G206" s="18"/>
      <c r="H206" s="18"/>
      <c r="I206" s="18"/>
      <c r="J206" s="18"/>
      <c r="K206" s="28"/>
      <c r="L206" s="18"/>
      <c r="M206" s="39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18"/>
      <c r="F207" s="75"/>
      <c r="G207" s="18"/>
      <c r="H207" s="18"/>
      <c r="I207" s="18"/>
      <c r="J207" s="18"/>
      <c r="K207" s="28"/>
      <c r="L207" s="18"/>
      <c r="M207" s="39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18"/>
      <c r="F208" s="75"/>
      <c r="G208" s="18"/>
      <c r="H208" s="18"/>
      <c r="I208" s="18"/>
      <c r="J208" s="18"/>
      <c r="K208" s="28"/>
      <c r="L208" s="18"/>
      <c r="M208" s="39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18"/>
      <c r="F209" s="75"/>
      <c r="G209" s="18"/>
      <c r="H209" s="18"/>
      <c r="I209" s="18"/>
      <c r="J209" s="18"/>
      <c r="K209" s="28"/>
      <c r="L209" s="18"/>
      <c r="M209" s="39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18"/>
      <c r="F210" s="75"/>
      <c r="G210" s="18"/>
      <c r="H210" s="18"/>
      <c r="I210" s="18"/>
      <c r="J210" s="18"/>
      <c r="K210" s="28"/>
      <c r="L210" s="18"/>
      <c r="M210" s="39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18"/>
      <c r="F211" s="75"/>
      <c r="G211" s="18"/>
      <c r="H211" s="18"/>
      <c r="I211" s="18"/>
      <c r="J211" s="18"/>
      <c r="K211" s="28"/>
      <c r="L211" s="18"/>
      <c r="M211" s="39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18"/>
      <c r="F212" s="75"/>
      <c r="G212" s="18"/>
      <c r="H212" s="18"/>
      <c r="I212" s="18"/>
      <c r="J212" s="18"/>
      <c r="K212" s="28"/>
      <c r="L212" s="18"/>
      <c r="M212" s="39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18"/>
      <c r="F213" s="75"/>
      <c r="G213" s="18"/>
      <c r="H213" s="18"/>
      <c r="I213" s="18"/>
      <c r="J213" s="18"/>
      <c r="K213" s="28"/>
      <c r="L213" s="18"/>
      <c r="M213" s="39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18"/>
      <c r="F214" s="75"/>
      <c r="G214" s="18"/>
      <c r="H214" s="18"/>
      <c r="I214" s="18"/>
      <c r="J214" s="18"/>
      <c r="K214" s="28"/>
      <c r="L214" s="18"/>
      <c r="M214" s="39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18"/>
      <c r="F215" s="75"/>
      <c r="G215" s="18"/>
      <c r="H215" s="18"/>
      <c r="I215" s="18"/>
      <c r="J215" s="18"/>
      <c r="K215" s="28"/>
      <c r="L215" s="18"/>
      <c r="M215" s="39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18"/>
      <c r="F216" s="75"/>
      <c r="G216" s="18"/>
      <c r="H216" s="18"/>
      <c r="I216" s="18"/>
      <c r="J216" s="18"/>
      <c r="K216" s="28"/>
      <c r="L216" s="18"/>
      <c r="M216" s="39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18"/>
      <c r="F217" s="75"/>
      <c r="G217" s="18"/>
      <c r="H217" s="18"/>
      <c r="I217" s="18"/>
      <c r="J217" s="18"/>
      <c r="K217" s="28"/>
      <c r="L217" s="18"/>
      <c r="M217" s="39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18"/>
      <c r="F218" s="75"/>
      <c r="G218" s="18"/>
      <c r="H218" s="18"/>
      <c r="I218" s="18"/>
      <c r="J218" s="18"/>
      <c r="K218" s="28"/>
      <c r="L218" s="18"/>
      <c r="M218" s="39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18"/>
      <c r="F219" s="75"/>
      <c r="G219" s="18"/>
      <c r="H219" s="18"/>
      <c r="I219" s="18"/>
      <c r="J219" s="18"/>
      <c r="K219" s="28"/>
      <c r="L219" s="18"/>
      <c r="M219" s="39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18"/>
      <c r="F220" s="75"/>
      <c r="G220" s="18"/>
      <c r="H220" s="18"/>
      <c r="I220" s="18"/>
      <c r="J220" s="18"/>
      <c r="K220" s="28"/>
      <c r="L220" s="18"/>
      <c r="M220" s="39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18"/>
      <c r="F221" s="75"/>
      <c r="G221" s="18"/>
      <c r="H221" s="18"/>
      <c r="I221" s="18"/>
      <c r="J221" s="18"/>
      <c r="K221" s="28"/>
      <c r="L221" s="18"/>
      <c r="M221" s="39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18"/>
      <c r="F222" s="75"/>
      <c r="G222" s="18"/>
      <c r="H222" s="18"/>
      <c r="I222" s="18"/>
      <c r="J222" s="18"/>
      <c r="K222" s="28"/>
      <c r="L222" s="18"/>
      <c r="M222" s="39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18"/>
      <c r="F223" s="75"/>
      <c r="G223" s="18"/>
      <c r="H223" s="18"/>
      <c r="I223" s="18"/>
      <c r="J223" s="18"/>
      <c r="K223" s="28"/>
      <c r="L223" s="18"/>
      <c r="M223" s="39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18"/>
      <c r="F224" s="75"/>
      <c r="G224" s="18"/>
      <c r="H224" s="18"/>
      <c r="I224" s="18"/>
      <c r="J224" s="18"/>
      <c r="K224" s="28"/>
      <c r="L224" s="18"/>
      <c r="M224" s="39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18"/>
      <c r="F225" s="75"/>
      <c r="G225" s="18"/>
      <c r="H225" s="18"/>
      <c r="I225" s="18"/>
      <c r="J225" s="18"/>
      <c r="K225" s="28"/>
      <c r="L225" s="18"/>
      <c r="M225" s="39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18"/>
      <c r="F226" s="75"/>
      <c r="G226" s="18"/>
      <c r="H226" s="18"/>
      <c r="I226" s="18"/>
      <c r="J226" s="18"/>
      <c r="K226" s="28"/>
      <c r="L226" s="18"/>
      <c r="M226" s="39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18"/>
      <c r="F227" s="75"/>
      <c r="G227" s="18"/>
      <c r="H227" s="18"/>
      <c r="I227" s="18"/>
      <c r="J227" s="18"/>
      <c r="K227" s="28"/>
      <c r="L227" s="18"/>
      <c r="M227" s="39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18"/>
      <c r="F228" s="75"/>
      <c r="G228" s="18"/>
      <c r="H228" s="18"/>
      <c r="I228" s="18"/>
      <c r="J228" s="18"/>
      <c r="K228" s="28"/>
      <c r="L228" s="18"/>
      <c r="M228" s="39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18"/>
      <c r="F229" s="75"/>
      <c r="G229" s="18"/>
      <c r="H229" s="18"/>
      <c r="I229" s="18"/>
      <c r="J229" s="18"/>
      <c r="K229" s="28"/>
      <c r="L229" s="18"/>
      <c r="M229" s="39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2.5" customHeight="1">
      <c r="A230" s="18"/>
      <c r="B230" s="18"/>
      <c r="C230" s="40"/>
      <c r="D230" s="18"/>
      <c r="E230" s="18"/>
      <c r="F230" s="75"/>
      <c r="G230" s="18"/>
      <c r="H230" s="18"/>
      <c r="I230" s="18"/>
      <c r="J230" s="18"/>
      <c r="K230" s="28"/>
      <c r="L230" s="18"/>
      <c r="M230" s="39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2.5" customHeight="1">
      <c r="A231" s="18"/>
      <c r="B231" s="18"/>
      <c r="C231" s="40"/>
      <c r="D231" s="18"/>
      <c r="E231" s="18"/>
      <c r="F231" s="75"/>
      <c r="G231" s="18"/>
      <c r="H231" s="18"/>
      <c r="I231" s="18"/>
      <c r="J231" s="18"/>
      <c r="K231" s="28"/>
      <c r="L231" s="18"/>
      <c r="M231" s="39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22.5" customHeight="1">
      <c r="A232" s="18"/>
      <c r="B232" s="18"/>
      <c r="C232" s="40"/>
      <c r="D232" s="18"/>
      <c r="E232" s="18"/>
      <c r="F232" s="75"/>
      <c r="G232" s="18"/>
      <c r="H232" s="18"/>
      <c r="I232" s="18"/>
      <c r="J232" s="18"/>
      <c r="K232" s="28"/>
      <c r="L232" s="18"/>
      <c r="M232" s="39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22.5" customHeight="1">
      <c r="A233" s="18"/>
      <c r="B233" s="18"/>
      <c r="C233" s="40"/>
      <c r="D233" s="18"/>
      <c r="E233" s="18"/>
      <c r="F233" s="75"/>
      <c r="G233" s="18"/>
      <c r="H233" s="18"/>
      <c r="I233" s="18"/>
      <c r="J233" s="18"/>
      <c r="K233" s="28"/>
      <c r="L233" s="18"/>
      <c r="M233" s="39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22.5" customHeight="1">
      <c r="A234" s="18"/>
      <c r="B234" s="18"/>
      <c r="C234" s="40"/>
      <c r="D234" s="18"/>
      <c r="E234" s="18"/>
      <c r="F234" s="75"/>
      <c r="G234" s="18"/>
      <c r="H234" s="18"/>
      <c r="I234" s="18"/>
      <c r="J234" s="18"/>
      <c r="K234" s="28"/>
      <c r="L234" s="18"/>
      <c r="M234" s="39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22.5" customHeight="1">
      <c r="A235" s="18"/>
      <c r="B235" s="18"/>
      <c r="C235" s="40"/>
      <c r="D235" s="18"/>
      <c r="E235" s="18"/>
      <c r="F235" s="75"/>
      <c r="G235" s="18"/>
      <c r="H235" s="18"/>
      <c r="I235" s="18"/>
      <c r="J235" s="18"/>
      <c r="K235" s="28"/>
      <c r="L235" s="18"/>
      <c r="M235" s="39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22.5" customHeight="1">
      <c r="A236" s="18"/>
      <c r="B236" s="18"/>
      <c r="C236" s="40"/>
      <c r="D236" s="18"/>
      <c r="E236" s="18"/>
      <c r="F236" s="75"/>
      <c r="G236" s="18"/>
      <c r="H236" s="18"/>
      <c r="I236" s="18"/>
      <c r="J236" s="18"/>
      <c r="K236" s="28"/>
      <c r="L236" s="18"/>
      <c r="M236" s="39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22.5" customHeight="1">
      <c r="A237" s="18"/>
      <c r="B237" s="18"/>
      <c r="C237" s="40"/>
      <c r="D237" s="18"/>
      <c r="E237" s="18"/>
      <c r="F237" s="75"/>
      <c r="G237" s="18"/>
      <c r="H237" s="18"/>
      <c r="I237" s="18"/>
      <c r="J237" s="18"/>
      <c r="K237" s="28"/>
      <c r="L237" s="18"/>
      <c r="M237" s="39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22.5" customHeight="1">
      <c r="A238" s="18"/>
      <c r="B238" s="18"/>
      <c r="C238" s="40"/>
      <c r="D238" s="18"/>
      <c r="E238" s="18"/>
      <c r="F238" s="75"/>
      <c r="G238" s="18"/>
      <c r="H238" s="18"/>
      <c r="I238" s="18"/>
      <c r="J238" s="18"/>
      <c r="K238" s="28"/>
      <c r="L238" s="18"/>
      <c r="M238" s="39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22.5" customHeight="1">
      <c r="A239" s="18"/>
      <c r="B239" s="18"/>
      <c r="C239" s="40"/>
      <c r="D239" s="18"/>
      <c r="E239" s="18"/>
      <c r="F239" s="75"/>
      <c r="G239" s="18"/>
      <c r="H239" s="18"/>
      <c r="I239" s="18"/>
      <c r="J239" s="18"/>
      <c r="K239" s="28"/>
      <c r="L239" s="18"/>
      <c r="M239" s="39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22.5" customHeight="1">
      <c r="A240" s="18"/>
      <c r="B240" s="18"/>
      <c r="C240" s="40"/>
      <c r="D240" s="18"/>
      <c r="E240" s="18"/>
      <c r="F240" s="75"/>
      <c r="G240" s="18"/>
      <c r="H240" s="18"/>
      <c r="I240" s="18"/>
      <c r="J240" s="18"/>
      <c r="K240" s="28"/>
      <c r="L240" s="18"/>
      <c r="M240" s="39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22.5" customHeight="1">
      <c r="A241" s="18"/>
      <c r="B241" s="18"/>
      <c r="C241" s="40"/>
      <c r="D241" s="18"/>
      <c r="E241" s="18"/>
      <c r="F241" s="75"/>
      <c r="G241" s="18"/>
      <c r="H241" s="18"/>
      <c r="I241" s="18"/>
      <c r="J241" s="18"/>
      <c r="K241" s="28"/>
      <c r="L241" s="18"/>
      <c r="M241" s="39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22.5" customHeight="1">
      <c r="A242" s="18"/>
      <c r="B242" s="18"/>
      <c r="C242" s="40"/>
      <c r="D242" s="18"/>
      <c r="E242" s="18"/>
      <c r="F242" s="75"/>
      <c r="G242" s="18"/>
      <c r="H242" s="18"/>
      <c r="I242" s="18"/>
      <c r="J242" s="18"/>
      <c r="K242" s="28"/>
      <c r="L242" s="18"/>
      <c r="M242" s="39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I1"/>
    <mergeCell ref="A3:B3"/>
    <mergeCell ref="C3:D3"/>
    <mergeCell ref="E3:F3"/>
    <mergeCell ref="C42:D42"/>
  </mergeCells>
  <dataValidations>
    <dataValidation type="decimal" allowBlank="1" showInputMessage="1" showErrorMessage="1" prompt="Erro - Digite apenas números inteiros entre 0 e 1000" sqref="E12 E14">
      <formula1>0.0</formula1>
      <formula2>1000.0</formula2>
    </dataValidation>
    <dataValidation type="list" allowBlank="1" showInputMessage="1" prompt="Ferramenta para enviar proposta - Caso não seja alguma das opções da lista basta digitar a sua" sqref="E34">
      <formula1>"Proposeful,Docsales,Pandadoc,Sharepoint,Não Sei,Não Uso"</formula1>
    </dataValidation>
    <dataValidation type="list" allowBlank="1" showInputMessage="1" prompt="Clique e digite um valor da lista de itens" sqref="E8">
      <formula1>"PipeDrive,Agendor,Meetime,Moskit,RD,KOMMO,Não Uso,Não Sei"</formula1>
    </dataValidation>
    <dataValidation type="list" allowBlank="1" sqref="E10 E16 E18 E20 E22 E24 E26 E28 E30 E36 E38 E40">
      <formula1>"Sim,Não"</formula1>
    </dataValidation>
    <dataValidation type="list" allowBlank="1" showInputMessage="1" prompt="Clique e digite um valor da lista de itens" sqref="E32">
      <formula1>"Google Meet,Skype,Zoom,Não Sei,Não Uso"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20.0"/>
    <col customWidth="1" min="6" max="6" width="6.56"/>
    <col customWidth="1" min="7" max="9" width="9.56"/>
    <col customWidth="1" min="10" max="10" width="0.89"/>
    <col customWidth="1" hidden="1" min="11" max="19" width="10.78"/>
    <col customWidth="1" hidden="1" min="20" max="20" width="15.33"/>
    <col customWidth="1" hidden="1" min="21" max="21" width="4.0"/>
    <col customWidth="1" hidden="1" min="22" max="22" width="10.78"/>
    <col customWidth="1" min="23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7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7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1"/>
      <c r="F5" s="77"/>
      <c r="G5" s="21"/>
      <c r="H5" s="28"/>
      <c r="I5" s="18"/>
      <c r="J5" s="41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100%</v>
      </c>
      <c r="D6" s="24"/>
      <c r="E6" s="25">
        <f>COUNTA(E8,E10,E12,E14,E16,E18,E20,E22,C25,E27,E29)/11</f>
        <v>1</v>
      </c>
      <c r="F6" s="78"/>
      <c r="G6" s="79"/>
      <c r="H6" s="24"/>
      <c r="I6" s="24"/>
      <c r="J6" s="24"/>
      <c r="K6" s="45"/>
      <c r="L6" s="45"/>
      <c r="M6" s="45"/>
      <c r="N6" s="45"/>
      <c r="O6" s="45"/>
      <c r="P6" s="45"/>
      <c r="Q6" s="45"/>
      <c r="R6" s="45"/>
      <c r="S6" s="45"/>
      <c r="T6" s="46"/>
      <c r="U6" s="28"/>
      <c r="V6" s="45"/>
      <c r="W6" s="28"/>
      <c r="X6" s="28"/>
      <c r="Y6" s="28"/>
      <c r="Z6" s="28"/>
    </row>
    <row r="7" ht="10.5" customHeight="1">
      <c r="A7" s="22"/>
      <c r="B7" s="22"/>
      <c r="C7" s="24"/>
      <c r="D7" s="24" t="s">
        <v>6</v>
      </c>
      <c r="E7" s="26"/>
      <c r="F7" s="78"/>
      <c r="G7" s="24"/>
      <c r="H7" s="24"/>
      <c r="I7" s="24"/>
      <c r="J7" s="24"/>
      <c r="K7" s="45"/>
      <c r="L7" s="45"/>
      <c r="M7" s="45"/>
      <c r="N7" s="45"/>
      <c r="O7" s="45"/>
      <c r="P7" s="45"/>
      <c r="Q7" s="45"/>
      <c r="R7" s="45"/>
      <c r="S7" s="45"/>
      <c r="T7" s="46"/>
      <c r="U7" s="28"/>
      <c r="V7" s="45"/>
      <c r="W7" s="28"/>
      <c r="X7" s="28"/>
      <c r="Y7" s="28"/>
      <c r="Z7" s="28"/>
    </row>
    <row r="8" ht="40.5" customHeight="1">
      <c r="A8" s="22"/>
      <c r="B8" s="22"/>
      <c r="C8" s="29" t="s">
        <v>159</v>
      </c>
      <c r="D8" s="30" t="s">
        <v>160</v>
      </c>
      <c r="E8" s="31" t="s">
        <v>161</v>
      </c>
      <c r="F8" s="78">
        <f>IF(E8="",0,IF(E8="centralizado",0,10))</f>
        <v>0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2"/>
      <c r="B9" s="22"/>
      <c r="C9" s="33"/>
      <c r="D9" s="34"/>
      <c r="E9" s="35"/>
      <c r="F9" s="7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0.5" customHeight="1">
      <c r="A10" s="22"/>
      <c r="B10" s="22"/>
      <c r="C10" s="29" t="s">
        <v>162</v>
      </c>
      <c r="D10" s="30" t="s">
        <v>163</v>
      </c>
      <c r="E10" s="31">
        <v>4.0</v>
      </c>
      <c r="F10" s="78">
        <f>IF(E10="SIM",10,0)</f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7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164</v>
      </c>
      <c r="D12" s="30" t="s">
        <v>165</v>
      </c>
      <c r="E12" s="31" t="s">
        <v>32</v>
      </c>
      <c r="F12" s="78">
        <f>IF(E12="SIM",10,0)</f>
        <v>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2"/>
      <c r="B13" s="22"/>
      <c r="C13" s="33"/>
      <c r="D13" s="34"/>
      <c r="E13" s="35"/>
      <c r="F13" s="7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166</v>
      </c>
      <c r="D14" s="30" t="s">
        <v>167</v>
      </c>
      <c r="E14" s="31" t="s">
        <v>29</v>
      </c>
      <c r="F14" s="78">
        <f>IF(E14="SIM",10,0)</f>
        <v>10</v>
      </c>
      <c r="G14" s="80"/>
      <c r="H14" s="24"/>
      <c r="I14" s="24"/>
      <c r="J14" s="24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33"/>
      <c r="D15" s="34"/>
      <c r="E15" s="35"/>
      <c r="F15" s="78"/>
      <c r="G15" s="24"/>
      <c r="H15" s="24"/>
      <c r="I15" s="24"/>
      <c r="J15" s="24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168</v>
      </c>
      <c r="D16" s="30" t="s">
        <v>169</v>
      </c>
      <c r="E16" s="31" t="s">
        <v>32</v>
      </c>
      <c r="F16" s="78">
        <f>IF(E16="",0,IF(E16="SIM",0,10))</f>
        <v>10</v>
      </c>
      <c r="G16" s="32"/>
      <c r="H16" s="32"/>
      <c r="I16" s="32"/>
      <c r="J16" s="32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2"/>
      <c r="B17" s="22"/>
      <c r="C17" s="33"/>
      <c r="D17" s="34"/>
      <c r="E17" s="35"/>
      <c r="F17" s="78"/>
      <c r="G17" s="32"/>
      <c r="H17" s="32"/>
      <c r="I17" s="32"/>
      <c r="J17" s="32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170</v>
      </c>
      <c r="D18" s="30" t="s">
        <v>171</v>
      </c>
      <c r="E18" s="31" t="s">
        <v>172</v>
      </c>
      <c r="F18" s="78">
        <f>IF(E18="Não uso",0,10)</f>
        <v>10</v>
      </c>
      <c r="G18" s="32"/>
      <c r="H18" s="32"/>
      <c r="I18" s="32"/>
      <c r="J18" s="32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2"/>
      <c r="B19" s="22"/>
      <c r="C19" s="33"/>
      <c r="D19" s="34"/>
      <c r="E19" s="35"/>
      <c r="F19" s="78"/>
      <c r="G19" s="32"/>
      <c r="H19" s="32"/>
      <c r="I19" s="32"/>
      <c r="J19" s="32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173</v>
      </c>
      <c r="D20" s="30" t="s">
        <v>174</v>
      </c>
      <c r="E20" s="31" t="s">
        <v>29</v>
      </c>
      <c r="F20" s="78">
        <f>IF(E20="SIM",0,10)</f>
        <v>0</v>
      </c>
      <c r="G20" s="32"/>
      <c r="H20" s="32"/>
      <c r="I20" s="32"/>
      <c r="J20" s="32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2"/>
      <c r="B21" s="22"/>
      <c r="C21" s="33"/>
      <c r="D21" s="34"/>
      <c r="E21" s="35"/>
      <c r="F21" s="7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40.5" customHeight="1">
      <c r="A22" s="22"/>
      <c r="B22" s="22"/>
      <c r="C22" s="29" t="s">
        <v>175</v>
      </c>
      <c r="D22" s="30" t="s">
        <v>176</v>
      </c>
      <c r="E22" s="31" t="s">
        <v>29</v>
      </c>
      <c r="F22" s="78">
        <f>IF(E22="SIM",10,0)</f>
        <v>10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0.5" customHeight="1">
      <c r="A23" s="22"/>
      <c r="B23" s="22"/>
      <c r="C23" s="33"/>
      <c r="D23" s="34"/>
      <c r="E23" s="35"/>
      <c r="F23" s="7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 t="s">
        <v>177</v>
      </c>
      <c r="U23" s="28">
        <v>10.0</v>
      </c>
      <c r="V23" s="28"/>
      <c r="W23" s="28"/>
      <c r="X23" s="28"/>
      <c r="Y23" s="28"/>
      <c r="Z23" s="28"/>
    </row>
    <row r="24" ht="40.5" customHeight="1">
      <c r="A24" s="22"/>
      <c r="B24" s="22"/>
      <c r="C24" s="29" t="s">
        <v>178</v>
      </c>
      <c r="D24" s="30" t="s">
        <v>179</v>
      </c>
      <c r="E24" s="51"/>
      <c r="F24" s="7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84.0" customHeight="1">
      <c r="A25" s="22"/>
      <c r="B25" s="22"/>
      <c r="C25" s="48" t="s">
        <v>180</v>
      </c>
      <c r="D25" s="49"/>
      <c r="E25" s="47"/>
      <c r="F25" s="7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0.5" customHeight="1">
      <c r="A26" s="18"/>
      <c r="B26" s="18"/>
      <c r="C26" s="40"/>
      <c r="D26" s="18"/>
      <c r="E26" s="28"/>
      <c r="F26" s="81"/>
      <c r="G26" s="28"/>
      <c r="H26" s="28"/>
      <c r="I26" s="18"/>
      <c r="J26" s="3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40.5" customHeight="1">
      <c r="A27" s="22"/>
      <c r="B27" s="22"/>
      <c r="C27" s="29" t="s">
        <v>181</v>
      </c>
      <c r="D27" s="30" t="s">
        <v>182</v>
      </c>
      <c r="E27" s="31" t="s">
        <v>172</v>
      </c>
      <c r="F27" s="78">
        <f>IF(E27="",0,IF(E27="evolutto",10,IF(E27="NÃO SEI",0,IF(E27="Não Uso",0,5))))</f>
        <v>5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0.5" customHeight="1">
      <c r="A28" s="18"/>
      <c r="B28" s="18"/>
      <c r="C28" s="40"/>
      <c r="D28" s="18"/>
      <c r="E28" s="28"/>
      <c r="F28" s="81"/>
      <c r="G28" s="28"/>
      <c r="H28" s="28"/>
      <c r="I28" s="18"/>
      <c r="J28" s="3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40.5" customHeight="1">
      <c r="A29" s="22"/>
      <c r="B29" s="22"/>
      <c r="C29" s="29" t="s">
        <v>183</v>
      </c>
      <c r="D29" s="30" t="s">
        <v>184</v>
      </c>
      <c r="E29" s="31" t="s">
        <v>32</v>
      </c>
      <c r="F29" s="78">
        <f>IF(E29="SIM",10,0)</f>
        <v>0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2.75" customHeight="1">
      <c r="A30" s="22"/>
      <c r="B30" s="22"/>
      <c r="C30" s="19"/>
      <c r="D30" s="37"/>
      <c r="E30" s="26"/>
      <c r="F30" s="7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40.5" customHeight="1">
      <c r="A31" s="18"/>
      <c r="B31" s="18"/>
      <c r="C31" s="74" t="str">
        <f>IF(E6&lt;&gt;100%,"Termine o preenchimento para descobrir sua nota!","Sua nota média em atendimento é: "&amp;F31)</f>
        <v>Sua nota média em atendimento é: 5</v>
      </c>
      <c r="E31" s="18"/>
      <c r="F31" s="82">
        <f>ROUND(AVERAGE(F29,F27,F22,F20,F18,F16,F14,F12,F8),1)</f>
        <v>5</v>
      </c>
      <c r="G31" s="18"/>
      <c r="H31" s="18"/>
      <c r="I31" s="18"/>
      <c r="J31" s="18"/>
      <c r="K31" s="28"/>
      <c r="L31" s="18"/>
      <c r="M31" s="39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40.5" customHeight="1">
      <c r="A32" s="18"/>
      <c r="B32" s="18"/>
      <c r="C32" s="40"/>
      <c r="D32" s="18"/>
      <c r="E32" s="28"/>
      <c r="F32" s="81"/>
      <c r="G32" s="28"/>
      <c r="H32" s="28"/>
      <c r="I32" s="18"/>
      <c r="J32" s="3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0.5" customHeight="1">
      <c r="A33" s="18"/>
      <c r="B33" s="18"/>
      <c r="C33" s="40"/>
      <c r="D33" s="18"/>
      <c r="E33" s="28"/>
      <c r="F33" s="81"/>
      <c r="G33" s="28"/>
      <c r="H33" s="28"/>
      <c r="I33" s="18"/>
      <c r="J33" s="3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40"/>
      <c r="D34" s="18"/>
      <c r="E34" s="28"/>
      <c r="F34" s="81"/>
      <c r="G34" s="28"/>
      <c r="H34" s="28"/>
      <c r="I34" s="18"/>
      <c r="J34" s="3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18"/>
      <c r="E35" s="28"/>
      <c r="F35" s="81"/>
      <c r="G35" s="28"/>
      <c r="H35" s="28"/>
      <c r="I35" s="18"/>
      <c r="J35" s="3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18"/>
      <c r="E36" s="28"/>
      <c r="F36" s="81"/>
      <c r="G36" s="28"/>
      <c r="H36" s="28"/>
      <c r="I36" s="18"/>
      <c r="J36" s="3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18"/>
      <c r="E37" s="28"/>
      <c r="F37" s="81"/>
      <c r="G37" s="28"/>
      <c r="H37" s="28"/>
      <c r="I37" s="18"/>
      <c r="J37" s="3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18"/>
      <c r="E38" s="28"/>
      <c r="F38" s="81"/>
      <c r="G38" s="28"/>
      <c r="H38" s="28"/>
      <c r="I38" s="18"/>
      <c r="J38" s="3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28"/>
      <c r="F39" s="81"/>
      <c r="G39" s="28"/>
      <c r="H39" s="28"/>
      <c r="I39" s="18"/>
      <c r="J39" s="3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28"/>
      <c r="F40" s="81"/>
      <c r="G40" s="28"/>
      <c r="H40" s="28"/>
      <c r="I40" s="18"/>
      <c r="J40" s="3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28"/>
      <c r="F41" s="81"/>
      <c r="G41" s="28"/>
      <c r="H41" s="28"/>
      <c r="I41" s="18"/>
      <c r="J41" s="3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28"/>
      <c r="F42" s="81"/>
      <c r="G42" s="28"/>
      <c r="H42" s="28"/>
      <c r="I42" s="18"/>
      <c r="J42" s="3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28"/>
      <c r="F43" s="81"/>
      <c r="G43" s="28"/>
      <c r="H43" s="28"/>
      <c r="I43" s="18"/>
      <c r="J43" s="3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28"/>
      <c r="F44" s="81"/>
      <c r="G44" s="28"/>
      <c r="H44" s="28"/>
      <c r="I44" s="18"/>
      <c r="J44" s="3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28"/>
      <c r="F45" s="81"/>
      <c r="G45" s="28"/>
      <c r="H45" s="28"/>
      <c r="I45" s="18"/>
      <c r="J45" s="3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28"/>
      <c r="F46" s="81"/>
      <c r="G46" s="28"/>
      <c r="H46" s="28"/>
      <c r="I46" s="18"/>
      <c r="J46" s="3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28"/>
      <c r="F47" s="81"/>
      <c r="G47" s="28"/>
      <c r="H47" s="28"/>
      <c r="I47" s="18"/>
      <c r="J47" s="3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28"/>
      <c r="F48" s="81"/>
      <c r="G48" s="28"/>
      <c r="H48" s="28"/>
      <c r="I48" s="18"/>
      <c r="J48" s="3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28"/>
      <c r="F49" s="81"/>
      <c r="G49" s="28"/>
      <c r="H49" s="28"/>
      <c r="I49" s="18"/>
      <c r="J49" s="3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28"/>
      <c r="F50" s="81"/>
      <c r="G50" s="28"/>
      <c r="H50" s="28"/>
      <c r="I50" s="18"/>
      <c r="J50" s="3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28"/>
      <c r="F51" s="81"/>
      <c r="G51" s="28"/>
      <c r="H51" s="28"/>
      <c r="I51" s="18"/>
      <c r="J51" s="3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28"/>
      <c r="F52" s="81"/>
      <c r="G52" s="28"/>
      <c r="H52" s="28"/>
      <c r="I52" s="18"/>
      <c r="J52" s="3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28"/>
      <c r="F53" s="81"/>
      <c r="G53" s="28"/>
      <c r="H53" s="28"/>
      <c r="I53" s="18"/>
      <c r="J53" s="3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28"/>
      <c r="F54" s="81"/>
      <c r="G54" s="28"/>
      <c r="H54" s="28"/>
      <c r="I54" s="18"/>
      <c r="J54" s="3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28"/>
      <c r="F55" s="81"/>
      <c r="G55" s="28"/>
      <c r="H55" s="28"/>
      <c r="I55" s="18"/>
      <c r="J55" s="3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28"/>
      <c r="F56" s="81"/>
      <c r="G56" s="28"/>
      <c r="H56" s="28"/>
      <c r="I56" s="18"/>
      <c r="J56" s="3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28"/>
      <c r="F57" s="81"/>
      <c r="G57" s="28"/>
      <c r="H57" s="28"/>
      <c r="I57" s="18"/>
      <c r="J57" s="3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28"/>
      <c r="F58" s="81"/>
      <c r="G58" s="28"/>
      <c r="H58" s="28"/>
      <c r="I58" s="18"/>
      <c r="J58" s="3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28"/>
      <c r="F59" s="81"/>
      <c r="G59" s="28"/>
      <c r="H59" s="28"/>
      <c r="I59" s="18"/>
      <c r="J59" s="3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28"/>
      <c r="F60" s="81"/>
      <c r="G60" s="28"/>
      <c r="H60" s="28"/>
      <c r="I60" s="18"/>
      <c r="J60" s="3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28"/>
      <c r="F61" s="81"/>
      <c r="G61" s="28"/>
      <c r="H61" s="28"/>
      <c r="I61" s="18"/>
      <c r="J61" s="3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28"/>
      <c r="F62" s="81"/>
      <c r="G62" s="28"/>
      <c r="H62" s="28"/>
      <c r="I62" s="18"/>
      <c r="J62" s="3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28"/>
      <c r="F63" s="81"/>
      <c r="G63" s="28"/>
      <c r="H63" s="28"/>
      <c r="I63" s="18"/>
      <c r="J63" s="3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28"/>
      <c r="F64" s="81"/>
      <c r="G64" s="28"/>
      <c r="H64" s="28"/>
      <c r="I64" s="18"/>
      <c r="J64" s="3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28"/>
      <c r="F65" s="81"/>
      <c r="G65" s="28"/>
      <c r="H65" s="28"/>
      <c r="I65" s="18"/>
      <c r="J65" s="3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28"/>
      <c r="F66" s="81"/>
      <c r="G66" s="28"/>
      <c r="H66" s="28"/>
      <c r="I66" s="18"/>
      <c r="J66" s="3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28"/>
      <c r="F67" s="81"/>
      <c r="G67" s="28"/>
      <c r="H67" s="28"/>
      <c r="I67" s="18"/>
      <c r="J67" s="3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28"/>
      <c r="F68" s="81"/>
      <c r="G68" s="28"/>
      <c r="H68" s="28"/>
      <c r="I68" s="18"/>
      <c r="J68" s="3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28"/>
      <c r="F69" s="81"/>
      <c r="G69" s="28"/>
      <c r="H69" s="28"/>
      <c r="I69" s="18"/>
      <c r="J69" s="3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28"/>
      <c r="F70" s="81"/>
      <c r="G70" s="28"/>
      <c r="H70" s="28"/>
      <c r="I70" s="18"/>
      <c r="J70" s="3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28"/>
      <c r="F71" s="81"/>
      <c r="G71" s="28"/>
      <c r="H71" s="28"/>
      <c r="I71" s="18"/>
      <c r="J71" s="3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28"/>
      <c r="F72" s="81"/>
      <c r="G72" s="28"/>
      <c r="H72" s="28"/>
      <c r="I72" s="18"/>
      <c r="J72" s="3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28"/>
      <c r="F73" s="81"/>
      <c r="G73" s="28"/>
      <c r="H73" s="28"/>
      <c r="I73" s="18"/>
      <c r="J73" s="3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28"/>
      <c r="F74" s="81"/>
      <c r="G74" s="28"/>
      <c r="H74" s="28"/>
      <c r="I74" s="18"/>
      <c r="J74" s="3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28"/>
      <c r="F75" s="81"/>
      <c r="G75" s="28"/>
      <c r="H75" s="28"/>
      <c r="I75" s="18"/>
      <c r="J75" s="3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28"/>
      <c r="F76" s="81"/>
      <c r="G76" s="28"/>
      <c r="H76" s="28"/>
      <c r="I76" s="18"/>
      <c r="J76" s="3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28"/>
      <c r="F77" s="81"/>
      <c r="G77" s="28"/>
      <c r="H77" s="28"/>
      <c r="I77" s="18"/>
      <c r="J77" s="3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28"/>
      <c r="F78" s="81"/>
      <c r="G78" s="28"/>
      <c r="H78" s="28"/>
      <c r="I78" s="18"/>
      <c r="J78" s="3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28"/>
      <c r="F79" s="81"/>
      <c r="G79" s="28"/>
      <c r="H79" s="28"/>
      <c r="I79" s="18"/>
      <c r="J79" s="3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28"/>
      <c r="F80" s="81"/>
      <c r="G80" s="28"/>
      <c r="H80" s="28"/>
      <c r="I80" s="18"/>
      <c r="J80" s="3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28"/>
      <c r="F81" s="81"/>
      <c r="G81" s="28"/>
      <c r="H81" s="28"/>
      <c r="I81" s="18"/>
      <c r="J81" s="3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28"/>
      <c r="F82" s="81"/>
      <c r="G82" s="28"/>
      <c r="H82" s="28"/>
      <c r="I82" s="18"/>
      <c r="J82" s="3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28"/>
      <c r="F83" s="81"/>
      <c r="G83" s="28"/>
      <c r="H83" s="28"/>
      <c r="I83" s="18"/>
      <c r="J83" s="3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28"/>
      <c r="F84" s="81"/>
      <c r="G84" s="28"/>
      <c r="H84" s="28"/>
      <c r="I84" s="18"/>
      <c r="J84" s="3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28"/>
      <c r="F85" s="81"/>
      <c r="G85" s="28"/>
      <c r="H85" s="28"/>
      <c r="I85" s="18"/>
      <c r="J85" s="3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28"/>
      <c r="F86" s="81"/>
      <c r="G86" s="28"/>
      <c r="H86" s="28"/>
      <c r="I86" s="18"/>
      <c r="J86" s="3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28"/>
      <c r="F87" s="81"/>
      <c r="G87" s="28"/>
      <c r="H87" s="28"/>
      <c r="I87" s="18"/>
      <c r="J87" s="3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28"/>
      <c r="F88" s="81"/>
      <c r="G88" s="28"/>
      <c r="H88" s="28"/>
      <c r="I88" s="18"/>
      <c r="J88" s="3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28"/>
      <c r="F89" s="81"/>
      <c r="G89" s="28"/>
      <c r="H89" s="28"/>
      <c r="I89" s="18"/>
      <c r="J89" s="3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28"/>
      <c r="F90" s="81"/>
      <c r="G90" s="28"/>
      <c r="H90" s="28"/>
      <c r="I90" s="18"/>
      <c r="J90" s="3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28"/>
      <c r="F91" s="81"/>
      <c r="G91" s="28"/>
      <c r="H91" s="28"/>
      <c r="I91" s="18"/>
      <c r="J91" s="3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28"/>
      <c r="F92" s="81"/>
      <c r="G92" s="28"/>
      <c r="H92" s="28"/>
      <c r="I92" s="18"/>
      <c r="J92" s="3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28"/>
      <c r="F93" s="81"/>
      <c r="G93" s="28"/>
      <c r="H93" s="28"/>
      <c r="I93" s="18"/>
      <c r="J93" s="3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28"/>
      <c r="F94" s="81"/>
      <c r="G94" s="28"/>
      <c r="H94" s="28"/>
      <c r="I94" s="18"/>
      <c r="J94" s="3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28"/>
      <c r="F95" s="81"/>
      <c r="G95" s="28"/>
      <c r="H95" s="28"/>
      <c r="I95" s="18"/>
      <c r="J95" s="3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28"/>
      <c r="F96" s="81"/>
      <c r="G96" s="28"/>
      <c r="H96" s="28"/>
      <c r="I96" s="18"/>
      <c r="J96" s="3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28"/>
      <c r="F97" s="81"/>
      <c r="G97" s="28"/>
      <c r="H97" s="28"/>
      <c r="I97" s="18"/>
      <c r="J97" s="3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28"/>
      <c r="F98" s="81"/>
      <c r="G98" s="28"/>
      <c r="H98" s="28"/>
      <c r="I98" s="18"/>
      <c r="J98" s="3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28"/>
      <c r="F99" s="81"/>
      <c r="G99" s="28"/>
      <c r="H99" s="28"/>
      <c r="I99" s="18"/>
      <c r="J99" s="3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28"/>
      <c r="F100" s="81"/>
      <c r="G100" s="28"/>
      <c r="H100" s="28"/>
      <c r="I100" s="18"/>
      <c r="J100" s="3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28"/>
      <c r="F101" s="81"/>
      <c r="G101" s="28"/>
      <c r="H101" s="28"/>
      <c r="I101" s="18"/>
      <c r="J101" s="3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28"/>
      <c r="F102" s="81"/>
      <c r="G102" s="28"/>
      <c r="H102" s="28"/>
      <c r="I102" s="18"/>
      <c r="J102" s="3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28"/>
      <c r="F103" s="81"/>
      <c r="G103" s="28"/>
      <c r="H103" s="28"/>
      <c r="I103" s="18"/>
      <c r="J103" s="3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28"/>
      <c r="F104" s="81"/>
      <c r="G104" s="28"/>
      <c r="H104" s="28"/>
      <c r="I104" s="18"/>
      <c r="J104" s="3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28"/>
      <c r="F105" s="81"/>
      <c r="G105" s="28"/>
      <c r="H105" s="28"/>
      <c r="I105" s="18"/>
      <c r="J105" s="3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28"/>
      <c r="F106" s="81"/>
      <c r="G106" s="28"/>
      <c r="H106" s="28"/>
      <c r="I106" s="18"/>
      <c r="J106" s="3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28"/>
      <c r="F107" s="81"/>
      <c r="G107" s="28"/>
      <c r="H107" s="28"/>
      <c r="I107" s="18"/>
      <c r="J107" s="3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28"/>
      <c r="F108" s="81"/>
      <c r="G108" s="28"/>
      <c r="H108" s="28"/>
      <c r="I108" s="18"/>
      <c r="J108" s="3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28"/>
      <c r="F109" s="81"/>
      <c r="G109" s="28"/>
      <c r="H109" s="28"/>
      <c r="I109" s="18"/>
      <c r="J109" s="3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28"/>
      <c r="F110" s="81"/>
      <c r="G110" s="28"/>
      <c r="H110" s="28"/>
      <c r="I110" s="18"/>
      <c r="J110" s="3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28"/>
      <c r="F111" s="81"/>
      <c r="G111" s="28"/>
      <c r="H111" s="28"/>
      <c r="I111" s="18"/>
      <c r="J111" s="3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28"/>
      <c r="F112" s="81"/>
      <c r="G112" s="28"/>
      <c r="H112" s="28"/>
      <c r="I112" s="18"/>
      <c r="J112" s="3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28"/>
      <c r="F113" s="81"/>
      <c r="G113" s="28"/>
      <c r="H113" s="28"/>
      <c r="I113" s="18"/>
      <c r="J113" s="3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28"/>
      <c r="F114" s="81"/>
      <c r="G114" s="28"/>
      <c r="H114" s="28"/>
      <c r="I114" s="18"/>
      <c r="J114" s="3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28"/>
      <c r="F115" s="81"/>
      <c r="G115" s="28"/>
      <c r="H115" s="28"/>
      <c r="I115" s="18"/>
      <c r="J115" s="3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28"/>
      <c r="F116" s="81"/>
      <c r="G116" s="28"/>
      <c r="H116" s="28"/>
      <c r="I116" s="18"/>
      <c r="J116" s="3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28"/>
      <c r="F117" s="81"/>
      <c r="G117" s="28"/>
      <c r="H117" s="28"/>
      <c r="I117" s="18"/>
      <c r="J117" s="3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28"/>
      <c r="F118" s="81"/>
      <c r="G118" s="28"/>
      <c r="H118" s="28"/>
      <c r="I118" s="18"/>
      <c r="J118" s="3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28"/>
      <c r="F119" s="81"/>
      <c r="G119" s="28"/>
      <c r="H119" s="28"/>
      <c r="I119" s="18"/>
      <c r="J119" s="3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28"/>
      <c r="F120" s="81"/>
      <c r="G120" s="28"/>
      <c r="H120" s="28"/>
      <c r="I120" s="18"/>
      <c r="J120" s="3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28"/>
      <c r="F121" s="81"/>
      <c r="G121" s="28"/>
      <c r="H121" s="28"/>
      <c r="I121" s="18"/>
      <c r="J121" s="3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28"/>
      <c r="F122" s="81"/>
      <c r="G122" s="28"/>
      <c r="H122" s="28"/>
      <c r="I122" s="18"/>
      <c r="J122" s="3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28"/>
      <c r="F123" s="81"/>
      <c r="G123" s="28"/>
      <c r="H123" s="28"/>
      <c r="I123" s="18"/>
      <c r="J123" s="3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28"/>
      <c r="F124" s="81"/>
      <c r="G124" s="28"/>
      <c r="H124" s="28"/>
      <c r="I124" s="18"/>
      <c r="J124" s="3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28"/>
      <c r="F125" s="81"/>
      <c r="G125" s="28"/>
      <c r="H125" s="28"/>
      <c r="I125" s="18"/>
      <c r="J125" s="3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28"/>
      <c r="F126" s="81"/>
      <c r="G126" s="28"/>
      <c r="H126" s="28"/>
      <c r="I126" s="18"/>
      <c r="J126" s="3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28"/>
      <c r="F127" s="81"/>
      <c r="G127" s="28"/>
      <c r="H127" s="28"/>
      <c r="I127" s="18"/>
      <c r="J127" s="3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28"/>
      <c r="F128" s="81"/>
      <c r="G128" s="28"/>
      <c r="H128" s="28"/>
      <c r="I128" s="18"/>
      <c r="J128" s="3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28"/>
      <c r="F129" s="81"/>
      <c r="G129" s="28"/>
      <c r="H129" s="28"/>
      <c r="I129" s="18"/>
      <c r="J129" s="3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40.5" customHeight="1">
      <c r="A130" s="18"/>
      <c r="B130" s="18"/>
      <c r="C130" s="40"/>
      <c r="D130" s="18"/>
      <c r="E130" s="28"/>
      <c r="F130" s="81"/>
      <c r="G130" s="28"/>
      <c r="H130" s="28"/>
      <c r="I130" s="18"/>
      <c r="J130" s="3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40.5" customHeight="1">
      <c r="A131" s="18"/>
      <c r="B131" s="18"/>
      <c r="C131" s="40"/>
      <c r="D131" s="18"/>
      <c r="E131" s="28"/>
      <c r="F131" s="81"/>
      <c r="G131" s="28"/>
      <c r="H131" s="28"/>
      <c r="I131" s="18"/>
      <c r="J131" s="3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40.5" customHeight="1">
      <c r="A132" s="18"/>
      <c r="B132" s="18"/>
      <c r="C132" s="40"/>
      <c r="D132" s="18"/>
      <c r="E132" s="28"/>
      <c r="F132" s="81"/>
      <c r="G132" s="28"/>
      <c r="H132" s="28"/>
      <c r="I132" s="18"/>
      <c r="J132" s="3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40.5" customHeight="1">
      <c r="A133" s="18"/>
      <c r="B133" s="18"/>
      <c r="C133" s="40"/>
      <c r="D133" s="18"/>
      <c r="E133" s="28"/>
      <c r="F133" s="81"/>
      <c r="G133" s="28"/>
      <c r="H133" s="28"/>
      <c r="I133" s="18"/>
      <c r="J133" s="3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40.5" customHeight="1">
      <c r="A134" s="18"/>
      <c r="B134" s="18"/>
      <c r="C134" s="40"/>
      <c r="D134" s="18"/>
      <c r="E134" s="28"/>
      <c r="F134" s="81"/>
      <c r="G134" s="28"/>
      <c r="H134" s="28"/>
      <c r="I134" s="18"/>
      <c r="J134" s="3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40.5" customHeight="1">
      <c r="A135" s="18"/>
      <c r="B135" s="18"/>
      <c r="C135" s="40"/>
      <c r="D135" s="18"/>
      <c r="E135" s="28"/>
      <c r="F135" s="81"/>
      <c r="G135" s="28"/>
      <c r="H135" s="28"/>
      <c r="I135" s="18"/>
      <c r="J135" s="3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40.5" customHeight="1">
      <c r="A136" s="18"/>
      <c r="B136" s="18"/>
      <c r="C136" s="40"/>
      <c r="D136" s="18"/>
      <c r="E136" s="28"/>
      <c r="F136" s="81"/>
      <c r="G136" s="28"/>
      <c r="H136" s="28"/>
      <c r="I136" s="18"/>
      <c r="J136" s="3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40.5" customHeight="1">
      <c r="A137" s="18"/>
      <c r="B137" s="18"/>
      <c r="C137" s="40"/>
      <c r="D137" s="18"/>
      <c r="E137" s="28"/>
      <c r="F137" s="81"/>
      <c r="G137" s="28"/>
      <c r="H137" s="28"/>
      <c r="I137" s="18"/>
      <c r="J137" s="3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40.5" customHeight="1">
      <c r="A138" s="18"/>
      <c r="B138" s="18"/>
      <c r="C138" s="40"/>
      <c r="D138" s="18"/>
      <c r="E138" s="28"/>
      <c r="F138" s="81"/>
      <c r="G138" s="28"/>
      <c r="H138" s="28"/>
      <c r="I138" s="18"/>
      <c r="J138" s="3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28"/>
      <c r="F139" s="81"/>
      <c r="G139" s="28"/>
      <c r="H139" s="28"/>
      <c r="I139" s="18"/>
      <c r="J139" s="3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28"/>
      <c r="F140" s="81"/>
      <c r="G140" s="28"/>
      <c r="H140" s="28"/>
      <c r="I140" s="18"/>
      <c r="J140" s="3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28"/>
      <c r="F141" s="81"/>
      <c r="G141" s="28"/>
      <c r="H141" s="28"/>
      <c r="I141" s="18"/>
      <c r="J141" s="3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28"/>
      <c r="F142" s="81"/>
      <c r="G142" s="28"/>
      <c r="H142" s="28"/>
      <c r="I142" s="18"/>
      <c r="J142" s="3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28"/>
      <c r="F143" s="81"/>
      <c r="G143" s="28"/>
      <c r="H143" s="28"/>
      <c r="I143" s="18"/>
      <c r="J143" s="3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28"/>
      <c r="F144" s="81"/>
      <c r="G144" s="28"/>
      <c r="H144" s="28"/>
      <c r="I144" s="18"/>
      <c r="J144" s="3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28"/>
      <c r="F145" s="81"/>
      <c r="G145" s="28"/>
      <c r="H145" s="28"/>
      <c r="I145" s="18"/>
      <c r="J145" s="3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28"/>
      <c r="F146" s="81"/>
      <c r="G146" s="28"/>
      <c r="H146" s="28"/>
      <c r="I146" s="18"/>
      <c r="J146" s="3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28"/>
      <c r="F147" s="81"/>
      <c r="G147" s="28"/>
      <c r="H147" s="28"/>
      <c r="I147" s="18"/>
      <c r="J147" s="3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28"/>
      <c r="F148" s="81"/>
      <c r="G148" s="28"/>
      <c r="H148" s="28"/>
      <c r="I148" s="18"/>
      <c r="J148" s="3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28"/>
      <c r="F149" s="81"/>
      <c r="G149" s="28"/>
      <c r="H149" s="28"/>
      <c r="I149" s="18"/>
      <c r="J149" s="3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28"/>
      <c r="F150" s="81"/>
      <c r="G150" s="28"/>
      <c r="H150" s="28"/>
      <c r="I150" s="18"/>
      <c r="J150" s="3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28"/>
      <c r="F151" s="81"/>
      <c r="G151" s="28"/>
      <c r="H151" s="28"/>
      <c r="I151" s="18"/>
      <c r="J151" s="3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28"/>
      <c r="F152" s="81"/>
      <c r="G152" s="28"/>
      <c r="H152" s="28"/>
      <c r="I152" s="18"/>
      <c r="J152" s="3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28"/>
      <c r="F153" s="81"/>
      <c r="G153" s="28"/>
      <c r="H153" s="28"/>
      <c r="I153" s="18"/>
      <c r="J153" s="3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28"/>
      <c r="F154" s="81"/>
      <c r="G154" s="28"/>
      <c r="H154" s="28"/>
      <c r="I154" s="18"/>
      <c r="J154" s="3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28"/>
      <c r="F155" s="81"/>
      <c r="G155" s="28"/>
      <c r="H155" s="28"/>
      <c r="I155" s="18"/>
      <c r="J155" s="3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28"/>
      <c r="F156" s="81"/>
      <c r="G156" s="28"/>
      <c r="H156" s="28"/>
      <c r="I156" s="18"/>
      <c r="J156" s="3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28"/>
      <c r="F157" s="81"/>
      <c r="G157" s="28"/>
      <c r="H157" s="28"/>
      <c r="I157" s="18"/>
      <c r="J157" s="3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28"/>
      <c r="F158" s="81"/>
      <c r="G158" s="28"/>
      <c r="H158" s="28"/>
      <c r="I158" s="18"/>
      <c r="J158" s="3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28"/>
      <c r="F159" s="81"/>
      <c r="G159" s="28"/>
      <c r="H159" s="28"/>
      <c r="I159" s="18"/>
      <c r="J159" s="3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28"/>
      <c r="F160" s="81"/>
      <c r="G160" s="28"/>
      <c r="H160" s="28"/>
      <c r="I160" s="18"/>
      <c r="J160" s="3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28"/>
      <c r="F161" s="81"/>
      <c r="G161" s="28"/>
      <c r="H161" s="28"/>
      <c r="I161" s="18"/>
      <c r="J161" s="3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28"/>
      <c r="F162" s="81"/>
      <c r="G162" s="28"/>
      <c r="H162" s="28"/>
      <c r="I162" s="18"/>
      <c r="J162" s="3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28"/>
      <c r="F163" s="81"/>
      <c r="G163" s="28"/>
      <c r="H163" s="28"/>
      <c r="I163" s="18"/>
      <c r="J163" s="3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28"/>
      <c r="F164" s="81"/>
      <c r="G164" s="28"/>
      <c r="H164" s="28"/>
      <c r="I164" s="18"/>
      <c r="J164" s="3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28"/>
      <c r="F165" s="81"/>
      <c r="G165" s="28"/>
      <c r="H165" s="28"/>
      <c r="I165" s="18"/>
      <c r="J165" s="3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28"/>
      <c r="F166" s="81"/>
      <c r="G166" s="28"/>
      <c r="H166" s="28"/>
      <c r="I166" s="18"/>
      <c r="J166" s="3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28"/>
      <c r="F167" s="81"/>
      <c r="G167" s="28"/>
      <c r="H167" s="28"/>
      <c r="I167" s="18"/>
      <c r="J167" s="3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28"/>
      <c r="F168" s="81"/>
      <c r="G168" s="28"/>
      <c r="H168" s="28"/>
      <c r="I168" s="18"/>
      <c r="J168" s="3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28"/>
      <c r="F169" s="81"/>
      <c r="G169" s="28"/>
      <c r="H169" s="28"/>
      <c r="I169" s="18"/>
      <c r="J169" s="3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28"/>
      <c r="F170" s="81"/>
      <c r="G170" s="28"/>
      <c r="H170" s="28"/>
      <c r="I170" s="18"/>
      <c r="J170" s="3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28"/>
      <c r="F171" s="81"/>
      <c r="G171" s="28"/>
      <c r="H171" s="28"/>
      <c r="I171" s="18"/>
      <c r="J171" s="3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28"/>
      <c r="F172" s="81"/>
      <c r="G172" s="28"/>
      <c r="H172" s="28"/>
      <c r="I172" s="18"/>
      <c r="J172" s="3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28"/>
      <c r="F173" s="81"/>
      <c r="G173" s="28"/>
      <c r="H173" s="28"/>
      <c r="I173" s="18"/>
      <c r="J173" s="3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28"/>
      <c r="F174" s="81"/>
      <c r="G174" s="28"/>
      <c r="H174" s="28"/>
      <c r="I174" s="18"/>
      <c r="J174" s="3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28"/>
      <c r="F175" s="81"/>
      <c r="G175" s="28"/>
      <c r="H175" s="28"/>
      <c r="I175" s="18"/>
      <c r="J175" s="3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28"/>
      <c r="F176" s="81"/>
      <c r="G176" s="28"/>
      <c r="H176" s="28"/>
      <c r="I176" s="18"/>
      <c r="J176" s="3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28"/>
      <c r="F177" s="81"/>
      <c r="G177" s="28"/>
      <c r="H177" s="28"/>
      <c r="I177" s="18"/>
      <c r="J177" s="3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28"/>
      <c r="F178" s="81"/>
      <c r="G178" s="28"/>
      <c r="H178" s="28"/>
      <c r="I178" s="18"/>
      <c r="J178" s="3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28"/>
      <c r="F179" s="81"/>
      <c r="G179" s="28"/>
      <c r="H179" s="28"/>
      <c r="I179" s="18"/>
      <c r="J179" s="3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28"/>
      <c r="F180" s="81"/>
      <c r="G180" s="28"/>
      <c r="H180" s="28"/>
      <c r="I180" s="18"/>
      <c r="J180" s="3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28"/>
      <c r="F181" s="81"/>
      <c r="G181" s="28"/>
      <c r="H181" s="28"/>
      <c r="I181" s="18"/>
      <c r="J181" s="3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28"/>
      <c r="F182" s="81"/>
      <c r="G182" s="28"/>
      <c r="H182" s="28"/>
      <c r="I182" s="18"/>
      <c r="J182" s="3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28"/>
      <c r="F183" s="81"/>
      <c r="G183" s="28"/>
      <c r="H183" s="28"/>
      <c r="I183" s="18"/>
      <c r="J183" s="3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28"/>
      <c r="F184" s="81"/>
      <c r="G184" s="28"/>
      <c r="H184" s="28"/>
      <c r="I184" s="18"/>
      <c r="J184" s="3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28"/>
      <c r="F185" s="81"/>
      <c r="G185" s="28"/>
      <c r="H185" s="28"/>
      <c r="I185" s="18"/>
      <c r="J185" s="3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28"/>
      <c r="F186" s="81"/>
      <c r="G186" s="28"/>
      <c r="H186" s="28"/>
      <c r="I186" s="18"/>
      <c r="J186" s="3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28"/>
      <c r="F187" s="81"/>
      <c r="G187" s="28"/>
      <c r="H187" s="28"/>
      <c r="I187" s="18"/>
      <c r="J187" s="3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28"/>
      <c r="F188" s="81"/>
      <c r="G188" s="28"/>
      <c r="H188" s="28"/>
      <c r="I188" s="18"/>
      <c r="J188" s="3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28"/>
      <c r="F189" s="81"/>
      <c r="G189" s="28"/>
      <c r="H189" s="28"/>
      <c r="I189" s="18"/>
      <c r="J189" s="3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28"/>
      <c r="F190" s="81"/>
      <c r="G190" s="28"/>
      <c r="H190" s="28"/>
      <c r="I190" s="18"/>
      <c r="J190" s="3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28"/>
      <c r="F191" s="81"/>
      <c r="G191" s="28"/>
      <c r="H191" s="28"/>
      <c r="I191" s="18"/>
      <c r="J191" s="3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28"/>
      <c r="F192" s="81"/>
      <c r="G192" s="28"/>
      <c r="H192" s="28"/>
      <c r="I192" s="18"/>
      <c r="J192" s="3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28"/>
      <c r="F193" s="81"/>
      <c r="G193" s="28"/>
      <c r="H193" s="28"/>
      <c r="I193" s="18"/>
      <c r="J193" s="3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28"/>
      <c r="F194" s="81"/>
      <c r="G194" s="28"/>
      <c r="H194" s="28"/>
      <c r="I194" s="18"/>
      <c r="J194" s="3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28"/>
      <c r="F195" s="81"/>
      <c r="G195" s="28"/>
      <c r="H195" s="28"/>
      <c r="I195" s="18"/>
      <c r="J195" s="3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28"/>
      <c r="F196" s="81"/>
      <c r="G196" s="28"/>
      <c r="H196" s="28"/>
      <c r="I196" s="18"/>
      <c r="J196" s="3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28"/>
      <c r="F197" s="81"/>
      <c r="G197" s="28"/>
      <c r="H197" s="28"/>
      <c r="I197" s="18"/>
      <c r="J197" s="3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28"/>
      <c r="F198" s="81"/>
      <c r="G198" s="28"/>
      <c r="H198" s="28"/>
      <c r="I198" s="18"/>
      <c r="J198" s="3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28"/>
      <c r="F199" s="81"/>
      <c r="G199" s="28"/>
      <c r="H199" s="28"/>
      <c r="I199" s="18"/>
      <c r="J199" s="3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28"/>
      <c r="F200" s="81"/>
      <c r="G200" s="28"/>
      <c r="H200" s="28"/>
      <c r="I200" s="18"/>
      <c r="J200" s="3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28"/>
      <c r="F201" s="81"/>
      <c r="G201" s="28"/>
      <c r="H201" s="28"/>
      <c r="I201" s="18"/>
      <c r="J201" s="3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28"/>
      <c r="F202" s="81"/>
      <c r="G202" s="28"/>
      <c r="H202" s="28"/>
      <c r="I202" s="18"/>
      <c r="J202" s="3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28"/>
      <c r="F203" s="81"/>
      <c r="G203" s="28"/>
      <c r="H203" s="28"/>
      <c r="I203" s="18"/>
      <c r="J203" s="3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28"/>
      <c r="F204" s="81"/>
      <c r="G204" s="28"/>
      <c r="H204" s="28"/>
      <c r="I204" s="18"/>
      <c r="J204" s="3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28"/>
      <c r="F205" s="81"/>
      <c r="G205" s="28"/>
      <c r="H205" s="28"/>
      <c r="I205" s="18"/>
      <c r="J205" s="3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28"/>
      <c r="F206" s="81"/>
      <c r="G206" s="28"/>
      <c r="H206" s="28"/>
      <c r="I206" s="18"/>
      <c r="J206" s="3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28"/>
      <c r="F207" s="81"/>
      <c r="G207" s="28"/>
      <c r="H207" s="28"/>
      <c r="I207" s="18"/>
      <c r="J207" s="3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28"/>
      <c r="F208" s="81"/>
      <c r="G208" s="28"/>
      <c r="H208" s="28"/>
      <c r="I208" s="18"/>
      <c r="J208" s="3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28"/>
      <c r="F209" s="81"/>
      <c r="G209" s="28"/>
      <c r="H209" s="28"/>
      <c r="I209" s="18"/>
      <c r="J209" s="3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28"/>
      <c r="F210" s="81"/>
      <c r="G210" s="28"/>
      <c r="H210" s="28"/>
      <c r="I210" s="18"/>
      <c r="J210" s="3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28"/>
      <c r="F211" s="81"/>
      <c r="G211" s="28"/>
      <c r="H211" s="28"/>
      <c r="I211" s="18"/>
      <c r="J211" s="3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28"/>
      <c r="F212" s="81"/>
      <c r="G212" s="28"/>
      <c r="H212" s="28"/>
      <c r="I212" s="18"/>
      <c r="J212" s="3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28"/>
      <c r="F213" s="81"/>
      <c r="G213" s="28"/>
      <c r="H213" s="28"/>
      <c r="I213" s="18"/>
      <c r="J213" s="3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28"/>
      <c r="F214" s="81"/>
      <c r="G214" s="28"/>
      <c r="H214" s="28"/>
      <c r="I214" s="18"/>
      <c r="J214" s="3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28"/>
      <c r="F215" s="81"/>
      <c r="G215" s="28"/>
      <c r="H215" s="28"/>
      <c r="I215" s="18"/>
      <c r="J215" s="3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28"/>
      <c r="F216" s="81"/>
      <c r="G216" s="28"/>
      <c r="H216" s="28"/>
      <c r="I216" s="18"/>
      <c r="J216" s="3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28"/>
      <c r="F217" s="81"/>
      <c r="G217" s="28"/>
      <c r="H217" s="28"/>
      <c r="I217" s="18"/>
      <c r="J217" s="3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28"/>
      <c r="F218" s="81"/>
      <c r="G218" s="28"/>
      <c r="H218" s="28"/>
      <c r="I218" s="18"/>
      <c r="J218" s="3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28"/>
      <c r="F219" s="81"/>
      <c r="G219" s="28"/>
      <c r="H219" s="28"/>
      <c r="I219" s="18"/>
      <c r="J219" s="3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28"/>
      <c r="F220" s="81"/>
      <c r="G220" s="28"/>
      <c r="H220" s="28"/>
      <c r="I220" s="18"/>
      <c r="J220" s="3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28"/>
      <c r="F221" s="81"/>
      <c r="G221" s="28"/>
      <c r="H221" s="28"/>
      <c r="I221" s="18"/>
      <c r="J221" s="3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28"/>
      <c r="F222" s="81"/>
      <c r="G222" s="28"/>
      <c r="H222" s="28"/>
      <c r="I222" s="18"/>
      <c r="J222" s="3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28"/>
      <c r="F223" s="81"/>
      <c r="G223" s="28"/>
      <c r="H223" s="28"/>
      <c r="I223" s="18"/>
      <c r="J223" s="3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28"/>
      <c r="F224" s="81"/>
      <c r="G224" s="28"/>
      <c r="H224" s="28"/>
      <c r="I224" s="18"/>
      <c r="J224" s="3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28"/>
      <c r="F225" s="81"/>
      <c r="G225" s="28"/>
      <c r="H225" s="28"/>
      <c r="I225" s="18"/>
      <c r="J225" s="3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28"/>
      <c r="F226" s="81"/>
      <c r="G226" s="28"/>
      <c r="H226" s="28"/>
      <c r="I226" s="18"/>
      <c r="J226" s="3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28"/>
      <c r="F227" s="81"/>
      <c r="G227" s="28"/>
      <c r="H227" s="28"/>
      <c r="I227" s="18"/>
      <c r="J227" s="3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28"/>
      <c r="F228" s="81"/>
      <c r="G228" s="28"/>
      <c r="H228" s="28"/>
      <c r="I228" s="18"/>
      <c r="J228" s="3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28"/>
      <c r="F229" s="81"/>
      <c r="G229" s="28"/>
      <c r="H229" s="28"/>
      <c r="I229" s="18"/>
      <c r="J229" s="3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22.5" customHeight="1">
      <c r="A230" s="18"/>
      <c r="B230" s="18"/>
      <c r="C230" s="40"/>
      <c r="D230" s="18"/>
      <c r="E230" s="28"/>
      <c r="F230" s="81"/>
      <c r="G230" s="28"/>
      <c r="H230" s="28"/>
      <c r="I230" s="18"/>
      <c r="J230" s="3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22.5" customHeight="1">
      <c r="A231" s="18"/>
      <c r="B231" s="18"/>
      <c r="C231" s="40"/>
      <c r="D231" s="18"/>
      <c r="E231" s="28"/>
      <c r="F231" s="81"/>
      <c r="G231" s="28"/>
      <c r="H231" s="28"/>
      <c r="I231" s="18"/>
      <c r="J231" s="3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I1"/>
    <mergeCell ref="A3:B3"/>
    <mergeCell ref="C3:D3"/>
    <mergeCell ref="E3:F3"/>
    <mergeCell ref="C25:E25"/>
    <mergeCell ref="C31:D31"/>
  </mergeCells>
  <dataValidations>
    <dataValidation type="list" allowBlank="1" showErrorMessage="1" sqref="E8">
      <formula1>"Centralizado,Disseminado"</formula1>
    </dataValidation>
    <dataValidation type="decimal" allowBlank="1" showInputMessage="1" showErrorMessage="1" prompt="Erro - Digite apenas números inteiros entre 0 e 1000" sqref="E10">
      <formula1>0.0</formula1>
      <formula2>1000.0</formula2>
    </dataValidation>
    <dataValidation type="list" allowBlank="1" sqref="E12 E14 E16 E20 E22 E29">
      <formula1>"Sim,Não"</formula1>
    </dataValidation>
    <dataValidation type="list" allowBlank="1" showInputMessage="1" prompt="Clique e digite um valor da lista de itens" sqref="E18">
      <formula1>"Pipefy,SAP,Totvs,Sankhya,Microsiga,Cigam,Monday,Não uso"</formula1>
    </dataValidation>
    <dataValidation type="list" allowBlank="1" showInputMessage="1" prompt="Clique e digite um valor da lista de itens" sqref="E27">
      <formula1>"Evolutto,Pipefy,Excel,Monday,Asana,Não Sei,Não Uso"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23.0"/>
    <col customWidth="1" hidden="1" min="6" max="6" width="3.89"/>
    <col customWidth="1" min="7" max="9" width="9.56"/>
    <col customWidth="1" min="10" max="10" width="0.89"/>
    <col customWidth="1" hidden="1" min="11" max="19" width="10.78"/>
    <col customWidth="1" hidden="1" min="20" max="20" width="15.33"/>
    <col customWidth="1" hidden="1" min="21" max="21" width="4.0"/>
    <col customWidth="1" hidden="1" min="22" max="22" width="10.78"/>
    <col customWidth="1" min="23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70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70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1"/>
      <c r="F5" s="83"/>
      <c r="G5" s="21"/>
      <c r="H5" s="28"/>
      <c r="I5" s="18"/>
      <c r="J5" s="41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42" t="str">
        <f>"Percentual de conclusão: "&amp;ROUND(E6*100,0)&amp;"%"</f>
        <v>Percentual de conclusão: 100%</v>
      </c>
      <c r="D6" s="24"/>
      <c r="E6" s="25">
        <f>COUNTA(E26,E16,E14,E12,E10,E8,E18,E20,E22,E24)/10</f>
        <v>1</v>
      </c>
      <c r="F6" s="73"/>
      <c r="G6" s="79"/>
      <c r="H6" s="24"/>
      <c r="I6" s="24"/>
      <c r="J6" s="24"/>
      <c r="K6" s="45"/>
      <c r="L6" s="45"/>
      <c r="M6" s="45"/>
      <c r="N6" s="45"/>
      <c r="O6" s="45"/>
      <c r="P6" s="45"/>
      <c r="Q6" s="45"/>
      <c r="R6" s="45"/>
      <c r="S6" s="45"/>
      <c r="T6" s="46"/>
      <c r="U6" s="28"/>
      <c r="V6" s="45"/>
      <c r="W6" s="28"/>
      <c r="X6" s="28"/>
      <c r="Y6" s="28"/>
      <c r="Z6" s="28"/>
    </row>
    <row r="7" ht="10.5" customHeight="1">
      <c r="A7" s="22"/>
      <c r="B7" s="22"/>
      <c r="C7" s="24"/>
      <c r="D7" s="24" t="s">
        <v>6</v>
      </c>
      <c r="E7" s="26"/>
      <c r="F7" s="73"/>
      <c r="G7" s="24"/>
      <c r="H7" s="24"/>
      <c r="I7" s="24"/>
      <c r="J7" s="24"/>
      <c r="K7" s="45"/>
      <c r="L7" s="45"/>
      <c r="M7" s="45"/>
      <c r="N7" s="45"/>
      <c r="O7" s="45"/>
      <c r="P7" s="45"/>
      <c r="Q7" s="45"/>
      <c r="R7" s="45"/>
      <c r="S7" s="45"/>
      <c r="T7" s="46"/>
      <c r="U7" s="28"/>
      <c r="V7" s="45"/>
      <c r="W7" s="28"/>
      <c r="X7" s="28"/>
      <c r="Y7" s="28"/>
      <c r="Z7" s="28"/>
    </row>
    <row r="8" ht="40.5" customHeight="1">
      <c r="A8" s="22"/>
      <c r="B8" s="22"/>
      <c r="C8" s="29" t="s">
        <v>185</v>
      </c>
      <c r="D8" s="30" t="s">
        <v>186</v>
      </c>
      <c r="E8" s="31" t="s">
        <v>29</v>
      </c>
      <c r="F8" s="73">
        <f>IF(E8="SIM",10,0)</f>
        <v>10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2"/>
      <c r="B9" s="22"/>
      <c r="C9" s="33"/>
      <c r="D9" s="34"/>
      <c r="E9" s="35"/>
      <c r="F9" s="73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0.5" customHeight="1">
      <c r="A10" s="22"/>
      <c r="B10" s="22"/>
      <c r="C10" s="29" t="s">
        <v>187</v>
      </c>
      <c r="D10" s="30" t="s">
        <v>188</v>
      </c>
      <c r="E10" s="31" t="s">
        <v>29</v>
      </c>
      <c r="F10" s="73">
        <f>IF(E10="SIM",10,0)</f>
        <v>10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73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189</v>
      </c>
      <c r="D12" s="30" t="s">
        <v>190</v>
      </c>
      <c r="E12" s="31" t="s">
        <v>32</v>
      </c>
      <c r="F12" s="73">
        <f>IF(E12="SIM",10,0)</f>
        <v>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2"/>
      <c r="B13" s="22"/>
      <c r="C13" s="33"/>
      <c r="D13" s="34"/>
      <c r="E13" s="35"/>
      <c r="F13" s="73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191</v>
      </c>
      <c r="D14" s="30" t="s">
        <v>192</v>
      </c>
      <c r="E14" s="31" t="s">
        <v>32</v>
      </c>
      <c r="F14" s="73">
        <f>IF(E14="SIM",10,0)</f>
        <v>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33"/>
      <c r="D15" s="34"/>
      <c r="E15" s="35"/>
      <c r="F15" s="73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193</v>
      </c>
      <c r="D16" s="30" t="s">
        <v>194</v>
      </c>
      <c r="E16" s="31" t="s">
        <v>32</v>
      </c>
      <c r="F16" s="73">
        <f>IF(E16="",0,IF(E16="SIM",10,0))</f>
        <v>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0" customHeight="1">
      <c r="A17" s="22"/>
      <c r="B17" s="22"/>
      <c r="C17" s="33"/>
      <c r="D17" s="34"/>
      <c r="E17" s="35"/>
      <c r="F17" s="73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195</v>
      </c>
      <c r="D18" s="30" t="s">
        <v>196</v>
      </c>
      <c r="E18" s="31" t="s">
        <v>29</v>
      </c>
      <c r="F18" s="73">
        <f>IF(E18="",0,IF(E18="SIM",10,0))</f>
        <v>10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0" customHeight="1">
      <c r="A19" s="22"/>
      <c r="B19" s="22"/>
      <c r="C19" s="33"/>
      <c r="D19" s="34"/>
      <c r="E19" s="35"/>
      <c r="F19" s="7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197</v>
      </c>
      <c r="D20" s="30" t="s">
        <v>198</v>
      </c>
      <c r="E20" s="31" t="s">
        <v>32</v>
      </c>
      <c r="F20" s="73">
        <f>IF(E20="",0,IF(E20="SIM",10,0))</f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0" customHeight="1">
      <c r="A21" s="22"/>
      <c r="B21" s="22"/>
      <c r="C21" s="33"/>
      <c r="D21" s="34"/>
      <c r="E21" s="35"/>
      <c r="F21" s="73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40.5" customHeight="1">
      <c r="A22" s="22"/>
      <c r="B22" s="22"/>
      <c r="C22" s="29" t="s">
        <v>199</v>
      </c>
      <c r="D22" s="30" t="s">
        <v>200</v>
      </c>
      <c r="E22" s="31" t="s">
        <v>32</v>
      </c>
      <c r="F22" s="73">
        <f>IF(E22="",0,IF(E22="SIM",10,0))</f>
        <v>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0" customHeight="1">
      <c r="A23" s="22"/>
      <c r="B23" s="22"/>
      <c r="C23" s="33"/>
      <c r="D23" s="34"/>
      <c r="E23" s="35"/>
      <c r="F23" s="73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40.5" customHeight="1">
      <c r="A24" s="22"/>
      <c r="B24" s="22"/>
      <c r="C24" s="29" t="s">
        <v>201</v>
      </c>
      <c r="D24" s="30" t="s">
        <v>202</v>
      </c>
      <c r="E24" s="31" t="s">
        <v>32</v>
      </c>
      <c r="F24" s="73">
        <f>IF(E24="",0,IF(E24="SIM",10,0))</f>
        <v>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0" customHeight="1">
      <c r="A25" s="22"/>
      <c r="B25" s="22"/>
      <c r="C25" s="33"/>
      <c r="D25" s="34"/>
      <c r="E25" s="35"/>
      <c r="F25" s="73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0.5" customHeight="1">
      <c r="A26" s="22"/>
      <c r="B26" s="22"/>
      <c r="C26" s="29" t="s">
        <v>203</v>
      </c>
      <c r="D26" s="30" t="s">
        <v>204</v>
      </c>
      <c r="E26" s="31" t="s">
        <v>29</v>
      </c>
      <c r="F26" s="73">
        <f>IF(E26="SIM",10,0)</f>
        <v>10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2"/>
      <c r="B27" s="22"/>
      <c r="C27" s="19"/>
      <c r="D27" s="37"/>
      <c r="E27" s="26"/>
      <c r="F27" s="73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2.75" customHeight="1">
      <c r="A28" s="22"/>
      <c r="B28" s="22"/>
      <c r="C28" s="19"/>
      <c r="D28" s="37"/>
      <c r="E28" s="26"/>
      <c r="F28" s="73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40.5" customHeight="1">
      <c r="A29" s="18"/>
      <c r="B29" s="18"/>
      <c r="C29" s="74" t="str">
        <f>IF(E6&lt;&gt;100%,"Termine o preenchimento para descobrir sua nota!","Sua nota média em gestão é: "&amp;F29)</f>
        <v>Sua nota média em gestão é: 4</v>
      </c>
      <c r="E29" s="18"/>
      <c r="F29" s="84">
        <f>ROUND(AVERAGE(F8,F10,F12,F14,F16,F26,F18,F20,F22,F24),1)</f>
        <v>4</v>
      </c>
      <c r="G29" s="18"/>
      <c r="H29" s="18"/>
      <c r="I29" s="18"/>
      <c r="J29" s="18"/>
      <c r="K29" s="28"/>
      <c r="L29" s="18"/>
      <c r="M29" s="39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40.5" customHeight="1">
      <c r="A30" s="18"/>
      <c r="B30" s="18"/>
      <c r="C30" s="40"/>
      <c r="D30" s="18"/>
      <c r="E30" s="28"/>
      <c r="F30" s="85"/>
      <c r="G30" s="28"/>
      <c r="H30" s="28"/>
      <c r="I30" s="18"/>
      <c r="J30" s="3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40.5" customHeight="1">
      <c r="A31" s="18"/>
      <c r="B31" s="18"/>
      <c r="C31" s="40"/>
      <c r="D31" s="86"/>
      <c r="E31" s="28"/>
      <c r="F31" s="85"/>
      <c r="G31" s="28"/>
      <c r="H31" s="28"/>
      <c r="I31" s="18"/>
      <c r="J31" s="3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40.5" customHeight="1">
      <c r="A32" s="18"/>
      <c r="B32" s="18"/>
      <c r="C32" s="40"/>
      <c r="D32" s="87"/>
      <c r="E32" s="28"/>
      <c r="F32" s="85"/>
      <c r="G32" s="28"/>
      <c r="H32" s="28"/>
      <c r="I32" s="18"/>
      <c r="J32" s="3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0.5" customHeight="1">
      <c r="A33" s="18"/>
      <c r="B33" s="18"/>
      <c r="C33" s="40"/>
      <c r="D33" s="87"/>
      <c r="E33" s="28"/>
      <c r="F33" s="85"/>
      <c r="G33" s="28"/>
      <c r="H33" s="28"/>
      <c r="I33" s="18"/>
      <c r="J33" s="3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40"/>
      <c r="D34" s="87"/>
      <c r="E34" s="28"/>
      <c r="F34" s="85"/>
      <c r="G34" s="28"/>
      <c r="H34" s="28"/>
      <c r="I34" s="18"/>
      <c r="J34" s="3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87"/>
      <c r="E35" s="28"/>
      <c r="F35" s="85"/>
      <c r="G35" s="28"/>
      <c r="H35" s="28"/>
      <c r="I35" s="18"/>
      <c r="J35" s="3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87"/>
      <c r="E36" s="28"/>
      <c r="F36" s="85"/>
      <c r="G36" s="28"/>
      <c r="H36" s="28"/>
      <c r="I36" s="18"/>
      <c r="J36" s="3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87"/>
      <c r="E37" s="28"/>
      <c r="F37" s="85"/>
      <c r="G37" s="28"/>
      <c r="H37" s="28"/>
      <c r="I37" s="18"/>
      <c r="J37" s="3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87"/>
      <c r="E38" s="28"/>
      <c r="F38" s="85"/>
      <c r="G38" s="28"/>
      <c r="H38" s="28"/>
      <c r="I38" s="18"/>
      <c r="J38" s="3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28"/>
      <c r="F39" s="85"/>
      <c r="G39" s="28"/>
      <c r="H39" s="28"/>
      <c r="I39" s="18"/>
      <c r="J39" s="3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28"/>
      <c r="F40" s="85"/>
      <c r="G40" s="28"/>
      <c r="H40" s="28"/>
      <c r="I40" s="18"/>
      <c r="J40" s="3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28"/>
      <c r="F41" s="85"/>
      <c r="G41" s="28"/>
      <c r="H41" s="28"/>
      <c r="I41" s="18"/>
      <c r="J41" s="3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28"/>
      <c r="F42" s="85"/>
      <c r="G42" s="28"/>
      <c r="H42" s="28"/>
      <c r="I42" s="18"/>
      <c r="J42" s="3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28"/>
      <c r="F43" s="85"/>
      <c r="G43" s="28"/>
      <c r="H43" s="28"/>
      <c r="I43" s="18"/>
      <c r="J43" s="3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28"/>
      <c r="F44" s="85"/>
      <c r="G44" s="28"/>
      <c r="H44" s="28"/>
      <c r="I44" s="18"/>
      <c r="J44" s="3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28"/>
      <c r="F45" s="85"/>
      <c r="G45" s="28"/>
      <c r="H45" s="28"/>
      <c r="I45" s="18"/>
      <c r="J45" s="3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28"/>
      <c r="F46" s="85"/>
      <c r="G46" s="28"/>
      <c r="H46" s="28"/>
      <c r="I46" s="18"/>
      <c r="J46" s="3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28"/>
      <c r="F47" s="85"/>
      <c r="G47" s="28"/>
      <c r="H47" s="28"/>
      <c r="I47" s="18"/>
      <c r="J47" s="3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28"/>
      <c r="F48" s="85"/>
      <c r="G48" s="28"/>
      <c r="H48" s="28"/>
      <c r="I48" s="18"/>
      <c r="J48" s="3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28"/>
      <c r="F49" s="85"/>
      <c r="G49" s="28"/>
      <c r="H49" s="28"/>
      <c r="I49" s="18"/>
      <c r="J49" s="3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28"/>
      <c r="F50" s="85"/>
      <c r="G50" s="28"/>
      <c r="H50" s="28"/>
      <c r="I50" s="18"/>
      <c r="J50" s="3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28"/>
      <c r="F51" s="85"/>
      <c r="G51" s="28"/>
      <c r="H51" s="28"/>
      <c r="I51" s="18"/>
      <c r="J51" s="3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28"/>
      <c r="F52" s="85"/>
      <c r="G52" s="28"/>
      <c r="H52" s="28"/>
      <c r="I52" s="18"/>
      <c r="J52" s="3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28"/>
      <c r="F53" s="85"/>
      <c r="G53" s="28"/>
      <c r="H53" s="28"/>
      <c r="I53" s="18"/>
      <c r="J53" s="3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28"/>
      <c r="F54" s="85"/>
      <c r="G54" s="28"/>
      <c r="H54" s="28"/>
      <c r="I54" s="18"/>
      <c r="J54" s="3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28"/>
      <c r="F55" s="85"/>
      <c r="G55" s="28"/>
      <c r="H55" s="28"/>
      <c r="I55" s="18"/>
      <c r="J55" s="3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28"/>
      <c r="F56" s="85"/>
      <c r="G56" s="28"/>
      <c r="H56" s="28"/>
      <c r="I56" s="18"/>
      <c r="J56" s="3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28"/>
      <c r="F57" s="85"/>
      <c r="G57" s="28"/>
      <c r="H57" s="28"/>
      <c r="I57" s="18"/>
      <c r="J57" s="3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28"/>
      <c r="F58" s="85"/>
      <c r="G58" s="28"/>
      <c r="H58" s="28"/>
      <c r="I58" s="18"/>
      <c r="J58" s="3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28"/>
      <c r="F59" s="85"/>
      <c r="G59" s="28"/>
      <c r="H59" s="28"/>
      <c r="I59" s="18"/>
      <c r="J59" s="3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28"/>
      <c r="F60" s="85"/>
      <c r="G60" s="28"/>
      <c r="H60" s="28"/>
      <c r="I60" s="18"/>
      <c r="J60" s="3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28"/>
      <c r="F61" s="85"/>
      <c r="G61" s="28"/>
      <c r="H61" s="28"/>
      <c r="I61" s="18"/>
      <c r="J61" s="3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28"/>
      <c r="F62" s="85"/>
      <c r="G62" s="28"/>
      <c r="H62" s="28"/>
      <c r="I62" s="18"/>
      <c r="J62" s="3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28"/>
      <c r="F63" s="85"/>
      <c r="G63" s="28"/>
      <c r="H63" s="28"/>
      <c r="I63" s="18"/>
      <c r="J63" s="3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28"/>
      <c r="F64" s="85"/>
      <c r="G64" s="28"/>
      <c r="H64" s="28"/>
      <c r="I64" s="18"/>
      <c r="J64" s="3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28"/>
      <c r="F65" s="85"/>
      <c r="G65" s="28"/>
      <c r="H65" s="28"/>
      <c r="I65" s="18"/>
      <c r="J65" s="3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28"/>
      <c r="F66" s="85"/>
      <c r="G66" s="28"/>
      <c r="H66" s="28"/>
      <c r="I66" s="18"/>
      <c r="J66" s="3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28"/>
      <c r="F67" s="85"/>
      <c r="G67" s="28"/>
      <c r="H67" s="28"/>
      <c r="I67" s="18"/>
      <c r="J67" s="3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28"/>
      <c r="F68" s="85"/>
      <c r="G68" s="28"/>
      <c r="H68" s="28"/>
      <c r="I68" s="18"/>
      <c r="J68" s="3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28"/>
      <c r="F69" s="85"/>
      <c r="G69" s="28"/>
      <c r="H69" s="28"/>
      <c r="I69" s="18"/>
      <c r="J69" s="3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28"/>
      <c r="F70" s="85"/>
      <c r="G70" s="28"/>
      <c r="H70" s="28"/>
      <c r="I70" s="18"/>
      <c r="J70" s="3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28"/>
      <c r="F71" s="85"/>
      <c r="G71" s="28"/>
      <c r="H71" s="28"/>
      <c r="I71" s="18"/>
      <c r="J71" s="3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28"/>
      <c r="F72" s="85"/>
      <c r="G72" s="28"/>
      <c r="H72" s="28"/>
      <c r="I72" s="18"/>
      <c r="J72" s="3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28"/>
      <c r="F73" s="85"/>
      <c r="G73" s="28"/>
      <c r="H73" s="28"/>
      <c r="I73" s="18"/>
      <c r="J73" s="3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28"/>
      <c r="F74" s="85"/>
      <c r="G74" s="28"/>
      <c r="H74" s="28"/>
      <c r="I74" s="18"/>
      <c r="J74" s="3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28"/>
      <c r="F75" s="85"/>
      <c r="G75" s="28"/>
      <c r="H75" s="28"/>
      <c r="I75" s="18"/>
      <c r="J75" s="3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28"/>
      <c r="F76" s="85"/>
      <c r="G76" s="28"/>
      <c r="H76" s="28"/>
      <c r="I76" s="18"/>
      <c r="J76" s="3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28"/>
      <c r="F77" s="85"/>
      <c r="G77" s="28"/>
      <c r="H77" s="28"/>
      <c r="I77" s="18"/>
      <c r="J77" s="3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28"/>
      <c r="F78" s="85"/>
      <c r="G78" s="28"/>
      <c r="H78" s="28"/>
      <c r="I78" s="18"/>
      <c r="J78" s="3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28"/>
      <c r="F79" s="85"/>
      <c r="G79" s="28"/>
      <c r="H79" s="28"/>
      <c r="I79" s="18"/>
      <c r="J79" s="3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28"/>
      <c r="F80" s="85"/>
      <c r="G80" s="28"/>
      <c r="H80" s="28"/>
      <c r="I80" s="18"/>
      <c r="J80" s="3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28"/>
      <c r="F81" s="85"/>
      <c r="G81" s="28"/>
      <c r="H81" s="28"/>
      <c r="I81" s="18"/>
      <c r="J81" s="3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28"/>
      <c r="F82" s="85"/>
      <c r="G82" s="28"/>
      <c r="H82" s="28"/>
      <c r="I82" s="18"/>
      <c r="J82" s="3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28"/>
      <c r="F83" s="85"/>
      <c r="G83" s="28"/>
      <c r="H83" s="28"/>
      <c r="I83" s="18"/>
      <c r="J83" s="3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28"/>
      <c r="F84" s="85"/>
      <c r="G84" s="28"/>
      <c r="H84" s="28"/>
      <c r="I84" s="18"/>
      <c r="J84" s="3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28"/>
      <c r="F85" s="85"/>
      <c r="G85" s="28"/>
      <c r="H85" s="28"/>
      <c r="I85" s="18"/>
      <c r="J85" s="3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28"/>
      <c r="F86" s="85"/>
      <c r="G86" s="28"/>
      <c r="H86" s="28"/>
      <c r="I86" s="18"/>
      <c r="J86" s="3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28"/>
      <c r="F87" s="85"/>
      <c r="G87" s="28"/>
      <c r="H87" s="28"/>
      <c r="I87" s="18"/>
      <c r="J87" s="3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28"/>
      <c r="F88" s="85"/>
      <c r="G88" s="28"/>
      <c r="H88" s="28"/>
      <c r="I88" s="18"/>
      <c r="J88" s="3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28"/>
      <c r="F89" s="85"/>
      <c r="G89" s="28"/>
      <c r="H89" s="28"/>
      <c r="I89" s="18"/>
      <c r="J89" s="3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28"/>
      <c r="F90" s="85"/>
      <c r="G90" s="28"/>
      <c r="H90" s="28"/>
      <c r="I90" s="18"/>
      <c r="J90" s="3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28"/>
      <c r="F91" s="85"/>
      <c r="G91" s="28"/>
      <c r="H91" s="28"/>
      <c r="I91" s="18"/>
      <c r="J91" s="3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28"/>
      <c r="F92" s="85"/>
      <c r="G92" s="28"/>
      <c r="H92" s="28"/>
      <c r="I92" s="18"/>
      <c r="J92" s="3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28"/>
      <c r="F93" s="85"/>
      <c r="G93" s="28"/>
      <c r="H93" s="28"/>
      <c r="I93" s="18"/>
      <c r="J93" s="3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28"/>
      <c r="F94" s="85"/>
      <c r="G94" s="28"/>
      <c r="H94" s="28"/>
      <c r="I94" s="18"/>
      <c r="J94" s="3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28"/>
      <c r="F95" s="85"/>
      <c r="G95" s="28"/>
      <c r="H95" s="28"/>
      <c r="I95" s="18"/>
      <c r="J95" s="3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28"/>
      <c r="F96" s="85"/>
      <c r="G96" s="28"/>
      <c r="H96" s="28"/>
      <c r="I96" s="18"/>
      <c r="J96" s="3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28"/>
      <c r="F97" s="85"/>
      <c r="G97" s="28"/>
      <c r="H97" s="28"/>
      <c r="I97" s="18"/>
      <c r="J97" s="3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28"/>
      <c r="F98" s="85"/>
      <c r="G98" s="28"/>
      <c r="H98" s="28"/>
      <c r="I98" s="18"/>
      <c r="J98" s="3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28"/>
      <c r="F99" s="85"/>
      <c r="G99" s="28"/>
      <c r="H99" s="28"/>
      <c r="I99" s="18"/>
      <c r="J99" s="3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28"/>
      <c r="F100" s="85"/>
      <c r="G100" s="28"/>
      <c r="H100" s="28"/>
      <c r="I100" s="18"/>
      <c r="J100" s="3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28"/>
      <c r="F101" s="85"/>
      <c r="G101" s="28"/>
      <c r="H101" s="28"/>
      <c r="I101" s="18"/>
      <c r="J101" s="3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28"/>
      <c r="F102" s="85"/>
      <c r="G102" s="28"/>
      <c r="H102" s="28"/>
      <c r="I102" s="18"/>
      <c r="J102" s="3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28"/>
      <c r="F103" s="85"/>
      <c r="G103" s="28"/>
      <c r="H103" s="28"/>
      <c r="I103" s="18"/>
      <c r="J103" s="3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28"/>
      <c r="F104" s="85"/>
      <c r="G104" s="28"/>
      <c r="H104" s="28"/>
      <c r="I104" s="18"/>
      <c r="J104" s="3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28"/>
      <c r="F105" s="85"/>
      <c r="G105" s="28"/>
      <c r="H105" s="28"/>
      <c r="I105" s="18"/>
      <c r="J105" s="3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28"/>
      <c r="F106" s="85"/>
      <c r="G106" s="28"/>
      <c r="H106" s="28"/>
      <c r="I106" s="18"/>
      <c r="J106" s="3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28"/>
      <c r="F107" s="85"/>
      <c r="G107" s="28"/>
      <c r="H107" s="28"/>
      <c r="I107" s="18"/>
      <c r="J107" s="3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28"/>
      <c r="F108" s="85"/>
      <c r="G108" s="28"/>
      <c r="H108" s="28"/>
      <c r="I108" s="18"/>
      <c r="J108" s="3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28"/>
      <c r="F109" s="85"/>
      <c r="G109" s="28"/>
      <c r="H109" s="28"/>
      <c r="I109" s="18"/>
      <c r="J109" s="3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28"/>
      <c r="F110" s="85"/>
      <c r="G110" s="28"/>
      <c r="H110" s="28"/>
      <c r="I110" s="18"/>
      <c r="J110" s="3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28"/>
      <c r="F111" s="85"/>
      <c r="G111" s="28"/>
      <c r="H111" s="28"/>
      <c r="I111" s="18"/>
      <c r="J111" s="3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28"/>
      <c r="F112" s="85"/>
      <c r="G112" s="28"/>
      <c r="H112" s="28"/>
      <c r="I112" s="18"/>
      <c r="J112" s="3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28"/>
      <c r="F113" s="85"/>
      <c r="G113" s="28"/>
      <c r="H113" s="28"/>
      <c r="I113" s="18"/>
      <c r="J113" s="3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28"/>
      <c r="F114" s="85"/>
      <c r="G114" s="28"/>
      <c r="H114" s="28"/>
      <c r="I114" s="18"/>
      <c r="J114" s="3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28"/>
      <c r="F115" s="85"/>
      <c r="G115" s="28"/>
      <c r="H115" s="28"/>
      <c r="I115" s="18"/>
      <c r="J115" s="3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28"/>
      <c r="F116" s="85"/>
      <c r="G116" s="28"/>
      <c r="H116" s="28"/>
      <c r="I116" s="18"/>
      <c r="J116" s="3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28"/>
      <c r="F117" s="85"/>
      <c r="G117" s="28"/>
      <c r="H117" s="28"/>
      <c r="I117" s="18"/>
      <c r="J117" s="3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28"/>
      <c r="F118" s="85"/>
      <c r="G118" s="28"/>
      <c r="H118" s="28"/>
      <c r="I118" s="18"/>
      <c r="J118" s="3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28"/>
      <c r="F119" s="85"/>
      <c r="G119" s="28"/>
      <c r="H119" s="28"/>
      <c r="I119" s="18"/>
      <c r="J119" s="3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28"/>
      <c r="F120" s="85"/>
      <c r="G120" s="28"/>
      <c r="H120" s="28"/>
      <c r="I120" s="18"/>
      <c r="J120" s="3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28"/>
      <c r="F121" s="85"/>
      <c r="G121" s="28"/>
      <c r="H121" s="28"/>
      <c r="I121" s="18"/>
      <c r="J121" s="3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28"/>
      <c r="F122" s="85"/>
      <c r="G122" s="28"/>
      <c r="H122" s="28"/>
      <c r="I122" s="18"/>
      <c r="J122" s="3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28"/>
      <c r="F123" s="85"/>
      <c r="G123" s="28"/>
      <c r="H123" s="28"/>
      <c r="I123" s="18"/>
      <c r="J123" s="3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28"/>
      <c r="F124" s="85"/>
      <c r="G124" s="28"/>
      <c r="H124" s="28"/>
      <c r="I124" s="18"/>
      <c r="J124" s="3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28"/>
      <c r="F125" s="85"/>
      <c r="G125" s="28"/>
      <c r="H125" s="28"/>
      <c r="I125" s="18"/>
      <c r="J125" s="3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28"/>
      <c r="F126" s="85"/>
      <c r="G126" s="28"/>
      <c r="H126" s="28"/>
      <c r="I126" s="18"/>
      <c r="J126" s="3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28"/>
      <c r="F127" s="85"/>
      <c r="G127" s="28"/>
      <c r="H127" s="28"/>
      <c r="I127" s="18"/>
      <c r="J127" s="3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28"/>
      <c r="F128" s="85"/>
      <c r="G128" s="28"/>
      <c r="H128" s="28"/>
      <c r="I128" s="18"/>
      <c r="J128" s="3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28"/>
      <c r="F129" s="85"/>
      <c r="G129" s="28"/>
      <c r="H129" s="28"/>
      <c r="I129" s="18"/>
      <c r="J129" s="3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22.5" customHeight="1">
      <c r="A130" s="18"/>
      <c r="B130" s="18"/>
      <c r="C130" s="40"/>
      <c r="D130" s="18"/>
      <c r="E130" s="28"/>
      <c r="F130" s="85"/>
      <c r="G130" s="28"/>
      <c r="H130" s="28"/>
      <c r="I130" s="18"/>
      <c r="J130" s="3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22.5" customHeight="1">
      <c r="A131" s="18"/>
      <c r="B131" s="18"/>
      <c r="C131" s="40"/>
      <c r="D131" s="18"/>
      <c r="E131" s="28"/>
      <c r="F131" s="85"/>
      <c r="G131" s="28"/>
      <c r="H131" s="28"/>
      <c r="I131" s="18"/>
      <c r="J131" s="3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22.5" customHeight="1">
      <c r="A132" s="18"/>
      <c r="B132" s="18"/>
      <c r="C132" s="40"/>
      <c r="D132" s="18"/>
      <c r="E132" s="28"/>
      <c r="F132" s="85"/>
      <c r="G132" s="28"/>
      <c r="H132" s="28"/>
      <c r="I132" s="18"/>
      <c r="J132" s="3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22.5" customHeight="1">
      <c r="A133" s="18"/>
      <c r="B133" s="18"/>
      <c r="C133" s="40"/>
      <c r="D133" s="18"/>
      <c r="E133" s="28"/>
      <c r="F133" s="85"/>
      <c r="G133" s="28"/>
      <c r="H133" s="28"/>
      <c r="I133" s="18"/>
      <c r="J133" s="3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2.5" customHeight="1">
      <c r="A134" s="18"/>
      <c r="B134" s="18"/>
      <c r="C134" s="40"/>
      <c r="D134" s="18"/>
      <c r="E134" s="28"/>
      <c r="F134" s="85"/>
      <c r="G134" s="28"/>
      <c r="H134" s="28"/>
      <c r="I134" s="18"/>
      <c r="J134" s="3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2.5" customHeight="1">
      <c r="A135" s="18"/>
      <c r="B135" s="18"/>
      <c r="C135" s="40"/>
      <c r="D135" s="18"/>
      <c r="E135" s="28"/>
      <c r="F135" s="85"/>
      <c r="G135" s="28"/>
      <c r="H135" s="28"/>
      <c r="I135" s="18"/>
      <c r="J135" s="3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2.5" customHeight="1">
      <c r="A136" s="18"/>
      <c r="B136" s="18"/>
      <c r="C136" s="40"/>
      <c r="D136" s="18"/>
      <c r="E136" s="28"/>
      <c r="F136" s="85"/>
      <c r="G136" s="28"/>
      <c r="H136" s="28"/>
      <c r="I136" s="18"/>
      <c r="J136" s="3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2.5" customHeight="1">
      <c r="A137" s="18"/>
      <c r="B137" s="18"/>
      <c r="C137" s="40"/>
      <c r="D137" s="18"/>
      <c r="E137" s="28"/>
      <c r="F137" s="85"/>
      <c r="G137" s="28"/>
      <c r="H137" s="28"/>
      <c r="I137" s="18"/>
      <c r="J137" s="3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2.5" customHeight="1">
      <c r="A138" s="18"/>
      <c r="B138" s="18"/>
      <c r="C138" s="40"/>
      <c r="D138" s="18"/>
      <c r="E138" s="28"/>
      <c r="F138" s="85"/>
      <c r="G138" s="28"/>
      <c r="H138" s="28"/>
      <c r="I138" s="18"/>
      <c r="J138" s="3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28"/>
      <c r="F139" s="85"/>
      <c r="G139" s="28"/>
      <c r="H139" s="28"/>
      <c r="I139" s="18"/>
      <c r="J139" s="3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28"/>
      <c r="F140" s="85"/>
      <c r="G140" s="28"/>
      <c r="H140" s="28"/>
      <c r="I140" s="18"/>
      <c r="J140" s="3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28"/>
      <c r="F141" s="85"/>
      <c r="G141" s="28"/>
      <c r="H141" s="28"/>
      <c r="I141" s="18"/>
      <c r="J141" s="3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28"/>
      <c r="F142" s="85"/>
      <c r="G142" s="28"/>
      <c r="H142" s="28"/>
      <c r="I142" s="18"/>
      <c r="J142" s="3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28"/>
      <c r="F143" s="85"/>
      <c r="G143" s="28"/>
      <c r="H143" s="28"/>
      <c r="I143" s="18"/>
      <c r="J143" s="3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28"/>
      <c r="F144" s="85"/>
      <c r="G144" s="28"/>
      <c r="H144" s="28"/>
      <c r="I144" s="18"/>
      <c r="J144" s="3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28"/>
      <c r="F145" s="85"/>
      <c r="G145" s="28"/>
      <c r="H145" s="28"/>
      <c r="I145" s="18"/>
      <c r="J145" s="3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28"/>
      <c r="F146" s="85"/>
      <c r="G146" s="28"/>
      <c r="H146" s="28"/>
      <c r="I146" s="18"/>
      <c r="J146" s="3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28"/>
      <c r="F147" s="85"/>
      <c r="G147" s="28"/>
      <c r="H147" s="28"/>
      <c r="I147" s="18"/>
      <c r="J147" s="3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28"/>
      <c r="F148" s="85"/>
      <c r="G148" s="28"/>
      <c r="H148" s="28"/>
      <c r="I148" s="18"/>
      <c r="J148" s="3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28"/>
      <c r="F149" s="85"/>
      <c r="G149" s="28"/>
      <c r="H149" s="28"/>
      <c r="I149" s="18"/>
      <c r="J149" s="3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28"/>
      <c r="F150" s="85"/>
      <c r="G150" s="28"/>
      <c r="H150" s="28"/>
      <c r="I150" s="18"/>
      <c r="J150" s="3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28"/>
      <c r="F151" s="85"/>
      <c r="G151" s="28"/>
      <c r="H151" s="28"/>
      <c r="I151" s="18"/>
      <c r="J151" s="3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28"/>
      <c r="F152" s="85"/>
      <c r="G152" s="28"/>
      <c r="H152" s="28"/>
      <c r="I152" s="18"/>
      <c r="J152" s="3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28"/>
      <c r="F153" s="85"/>
      <c r="G153" s="28"/>
      <c r="H153" s="28"/>
      <c r="I153" s="18"/>
      <c r="J153" s="3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28"/>
      <c r="F154" s="85"/>
      <c r="G154" s="28"/>
      <c r="H154" s="28"/>
      <c r="I154" s="18"/>
      <c r="J154" s="3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28"/>
      <c r="F155" s="85"/>
      <c r="G155" s="28"/>
      <c r="H155" s="28"/>
      <c r="I155" s="18"/>
      <c r="J155" s="3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28"/>
      <c r="F156" s="85"/>
      <c r="G156" s="28"/>
      <c r="H156" s="28"/>
      <c r="I156" s="18"/>
      <c r="J156" s="3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28"/>
      <c r="F157" s="85"/>
      <c r="G157" s="28"/>
      <c r="H157" s="28"/>
      <c r="I157" s="18"/>
      <c r="J157" s="3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28"/>
      <c r="F158" s="85"/>
      <c r="G158" s="28"/>
      <c r="H158" s="28"/>
      <c r="I158" s="18"/>
      <c r="J158" s="3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28"/>
      <c r="F159" s="85"/>
      <c r="G159" s="28"/>
      <c r="H159" s="28"/>
      <c r="I159" s="18"/>
      <c r="J159" s="3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28"/>
      <c r="F160" s="85"/>
      <c r="G160" s="28"/>
      <c r="H160" s="28"/>
      <c r="I160" s="18"/>
      <c r="J160" s="3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28"/>
      <c r="F161" s="85"/>
      <c r="G161" s="28"/>
      <c r="H161" s="28"/>
      <c r="I161" s="18"/>
      <c r="J161" s="3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28"/>
      <c r="F162" s="85"/>
      <c r="G162" s="28"/>
      <c r="H162" s="28"/>
      <c r="I162" s="18"/>
      <c r="J162" s="3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28"/>
      <c r="F163" s="85"/>
      <c r="G163" s="28"/>
      <c r="H163" s="28"/>
      <c r="I163" s="18"/>
      <c r="J163" s="3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28"/>
      <c r="F164" s="85"/>
      <c r="G164" s="28"/>
      <c r="H164" s="28"/>
      <c r="I164" s="18"/>
      <c r="J164" s="3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28"/>
      <c r="F165" s="85"/>
      <c r="G165" s="28"/>
      <c r="H165" s="28"/>
      <c r="I165" s="18"/>
      <c r="J165" s="3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28"/>
      <c r="F166" s="85"/>
      <c r="G166" s="28"/>
      <c r="H166" s="28"/>
      <c r="I166" s="18"/>
      <c r="J166" s="3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28"/>
      <c r="F167" s="85"/>
      <c r="G167" s="28"/>
      <c r="H167" s="28"/>
      <c r="I167" s="18"/>
      <c r="J167" s="3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28"/>
      <c r="F168" s="85"/>
      <c r="G168" s="28"/>
      <c r="H168" s="28"/>
      <c r="I168" s="18"/>
      <c r="J168" s="3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28"/>
      <c r="F169" s="85"/>
      <c r="G169" s="28"/>
      <c r="H169" s="28"/>
      <c r="I169" s="18"/>
      <c r="J169" s="3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28"/>
      <c r="F170" s="85"/>
      <c r="G170" s="28"/>
      <c r="H170" s="28"/>
      <c r="I170" s="18"/>
      <c r="J170" s="3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28"/>
      <c r="F171" s="85"/>
      <c r="G171" s="28"/>
      <c r="H171" s="28"/>
      <c r="I171" s="18"/>
      <c r="J171" s="3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28"/>
      <c r="F172" s="85"/>
      <c r="G172" s="28"/>
      <c r="H172" s="28"/>
      <c r="I172" s="18"/>
      <c r="J172" s="3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28"/>
      <c r="F173" s="85"/>
      <c r="G173" s="28"/>
      <c r="H173" s="28"/>
      <c r="I173" s="18"/>
      <c r="J173" s="3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28"/>
      <c r="F174" s="85"/>
      <c r="G174" s="28"/>
      <c r="H174" s="28"/>
      <c r="I174" s="18"/>
      <c r="J174" s="3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28"/>
      <c r="F175" s="85"/>
      <c r="G175" s="28"/>
      <c r="H175" s="28"/>
      <c r="I175" s="18"/>
      <c r="J175" s="3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28"/>
      <c r="F176" s="85"/>
      <c r="G176" s="28"/>
      <c r="H176" s="28"/>
      <c r="I176" s="18"/>
      <c r="J176" s="3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28"/>
      <c r="F177" s="85"/>
      <c r="G177" s="28"/>
      <c r="H177" s="28"/>
      <c r="I177" s="18"/>
      <c r="J177" s="3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28"/>
      <c r="F178" s="85"/>
      <c r="G178" s="28"/>
      <c r="H178" s="28"/>
      <c r="I178" s="18"/>
      <c r="J178" s="3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28"/>
      <c r="F179" s="85"/>
      <c r="G179" s="28"/>
      <c r="H179" s="28"/>
      <c r="I179" s="18"/>
      <c r="J179" s="3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28"/>
      <c r="F180" s="85"/>
      <c r="G180" s="28"/>
      <c r="H180" s="28"/>
      <c r="I180" s="18"/>
      <c r="J180" s="3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28"/>
      <c r="F181" s="85"/>
      <c r="G181" s="28"/>
      <c r="H181" s="28"/>
      <c r="I181" s="18"/>
      <c r="J181" s="3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28"/>
      <c r="F182" s="85"/>
      <c r="G182" s="28"/>
      <c r="H182" s="28"/>
      <c r="I182" s="18"/>
      <c r="J182" s="3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28"/>
      <c r="F183" s="85"/>
      <c r="G183" s="28"/>
      <c r="H183" s="28"/>
      <c r="I183" s="18"/>
      <c r="J183" s="3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28"/>
      <c r="F184" s="85"/>
      <c r="G184" s="28"/>
      <c r="H184" s="28"/>
      <c r="I184" s="18"/>
      <c r="J184" s="3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28"/>
      <c r="F185" s="85"/>
      <c r="G185" s="28"/>
      <c r="H185" s="28"/>
      <c r="I185" s="18"/>
      <c r="J185" s="3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28"/>
      <c r="F186" s="85"/>
      <c r="G186" s="28"/>
      <c r="H186" s="28"/>
      <c r="I186" s="18"/>
      <c r="J186" s="3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28"/>
      <c r="F187" s="85"/>
      <c r="G187" s="28"/>
      <c r="H187" s="28"/>
      <c r="I187" s="18"/>
      <c r="J187" s="3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28"/>
      <c r="F188" s="85"/>
      <c r="G188" s="28"/>
      <c r="H188" s="28"/>
      <c r="I188" s="18"/>
      <c r="J188" s="3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28"/>
      <c r="F189" s="85"/>
      <c r="G189" s="28"/>
      <c r="H189" s="28"/>
      <c r="I189" s="18"/>
      <c r="J189" s="3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28"/>
      <c r="F190" s="85"/>
      <c r="G190" s="28"/>
      <c r="H190" s="28"/>
      <c r="I190" s="18"/>
      <c r="J190" s="3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28"/>
      <c r="F191" s="85"/>
      <c r="G191" s="28"/>
      <c r="H191" s="28"/>
      <c r="I191" s="18"/>
      <c r="J191" s="3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28"/>
      <c r="F192" s="85"/>
      <c r="G192" s="28"/>
      <c r="H192" s="28"/>
      <c r="I192" s="18"/>
      <c r="J192" s="3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28"/>
      <c r="F193" s="85"/>
      <c r="G193" s="28"/>
      <c r="H193" s="28"/>
      <c r="I193" s="18"/>
      <c r="J193" s="3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28"/>
      <c r="F194" s="85"/>
      <c r="G194" s="28"/>
      <c r="H194" s="28"/>
      <c r="I194" s="18"/>
      <c r="J194" s="3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28"/>
      <c r="F195" s="85"/>
      <c r="G195" s="28"/>
      <c r="H195" s="28"/>
      <c r="I195" s="18"/>
      <c r="J195" s="3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28"/>
      <c r="F196" s="85"/>
      <c r="G196" s="28"/>
      <c r="H196" s="28"/>
      <c r="I196" s="18"/>
      <c r="J196" s="3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28"/>
      <c r="F197" s="85"/>
      <c r="G197" s="28"/>
      <c r="H197" s="28"/>
      <c r="I197" s="18"/>
      <c r="J197" s="3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28"/>
      <c r="F198" s="85"/>
      <c r="G198" s="28"/>
      <c r="H198" s="28"/>
      <c r="I198" s="18"/>
      <c r="J198" s="3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28"/>
      <c r="F199" s="85"/>
      <c r="G199" s="28"/>
      <c r="H199" s="28"/>
      <c r="I199" s="18"/>
      <c r="J199" s="3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28"/>
      <c r="F200" s="85"/>
      <c r="G200" s="28"/>
      <c r="H200" s="28"/>
      <c r="I200" s="18"/>
      <c r="J200" s="3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28"/>
      <c r="F201" s="85"/>
      <c r="G201" s="28"/>
      <c r="H201" s="28"/>
      <c r="I201" s="18"/>
      <c r="J201" s="3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28"/>
      <c r="F202" s="85"/>
      <c r="G202" s="28"/>
      <c r="H202" s="28"/>
      <c r="I202" s="18"/>
      <c r="J202" s="3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28"/>
      <c r="F203" s="85"/>
      <c r="G203" s="28"/>
      <c r="H203" s="28"/>
      <c r="I203" s="18"/>
      <c r="J203" s="3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28"/>
      <c r="F204" s="85"/>
      <c r="G204" s="28"/>
      <c r="H204" s="28"/>
      <c r="I204" s="18"/>
      <c r="J204" s="3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28"/>
      <c r="F205" s="85"/>
      <c r="G205" s="28"/>
      <c r="H205" s="28"/>
      <c r="I205" s="18"/>
      <c r="J205" s="3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28"/>
      <c r="F206" s="85"/>
      <c r="G206" s="28"/>
      <c r="H206" s="28"/>
      <c r="I206" s="18"/>
      <c r="J206" s="3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28"/>
      <c r="F207" s="85"/>
      <c r="G207" s="28"/>
      <c r="H207" s="28"/>
      <c r="I207" s="18"/>
      <c r="J207" s="3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28"/>
      <c r="F208" s="85"/>
      <c r="G208" s="28"/>
      <c r="H208" s="28"/>
      <c r="I208" s="18"/>
      <c r="J208" s="3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28"/>
      <c r="F209" s="85"/>
      <c r="G209" s="28"/>
      <c r="H209" s="28"/>
      <c r="I209" s="18"/>
      <c r="J209" s="3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28"/>
      <c r="F210" s="85"/>
      <c r="G210" s="28"/>
      <c r="H210" s="28"/>
      <c r="I210" s="18"/>
      <c r="J210" s="3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28"/>
      <c r="F211" s="85"/>
      <c r="G211" s="28"/>
      <c r="H211" s="28"/>
      <c r="I211" s="18"/>
      <c r="J211" s="3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28"/>
      <c r="F212" s="85"/>
      <c r="G212" s="28"/>
      <c r="H212" s="28"/>
      <c r="I212" s="18"/>
      <c r="J212" s="3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28"/>
      <c r="F213" s="85"/>
      <c r="G213" s="28"/>
      <c r="H213" s="28"/>
      <c r="I213" s="18"/>
      <c r="J213" s="3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28"/>
      <c r="F214" s="85"/>
      <c r="G214" s="28"/>
      <c r="H214" s="28"/>
      <c r="I214" s="18"/>
      <c r="J214" s="3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28"/>
      <c r="F215" s="85"/>
      <c r="G215" s="28"/>
      <c r="H215" s="28"/>
      <c r="I215" s="18"/>
      <c r="J215" s="3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28"/>
      <c r="F216" s="85"/>
      <c r="G216" s="28"/>
      <c r="H216" s="28"/>
      <c r="I216" s="18"/>
      <c r="J216" s="3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28"/>
      <c r="F217" s="85"/>
      <c r="G217" s="28"/>
      <c r="H217" s="28"/>
      <c r="I217" s="18"/>
      <c r="J217" s="3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28"/>
      <c r="F218" s="85"/>
      <c r="G218" s="28"/>
      <c r="H218" s="28"/>
      <c r="I218" s="18"/>
      <c r="J218" s="3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28"/>
      <c r="F219" s="85"/>
      <c r="G219" s="28"/>
      <c r="H219" s="28"/>
      <c r="I219" s="18"/>
      <c r="J219" s="3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28"/>
      <c r="F220" s="85"/>
      <c r="G220" s="28"/>
      <c r="H220" s="28"/>
      <c r="I220" s="18"/>
      <c r="J220" s="3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28"/>
      <c r="F221" s="85"/>
      <c r="G221" s="28"/>
      <c r="H221" s="28"/>
      <c r="I221" s="18"/>
      <c r="J221" s="3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28"/>
      <c r="F222" s="85"/>
      <c r="G222" s="28"/>
      <c r="H222" s="28"/>
      <c r="I222" s="18"/>
      <c r="J222" s="3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28"/>
      <c r="F223" s="85"/>
      <c r="G223" s="28"/>
      <c r="H223" s="28"/>
      <c r="I223" s="18"/>
      <c r="J223" s="3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28"/>
      <c r="F224" s="85"/>
      <c r="G224" s="28"/>
      <c r="H224" s="28"/>
      <c r="I224" s="18"/>
      <c r="J224" s="3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28"/>
      <c r="F225" s="85"/>
      <c r="G225" s="28"/>
      <c r="H225" s="28"/>
      <c r="I225" s="18"/>
      <c r="J225" s="3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28"/>
      <c r="F226" s="85"/>
      <c r="G226" s="28"/>
      <c r="H226" s="28"/>
      <c r="I226" s="18"/>
      <c r="J226" s="3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28"/>
      <c r="F227" s="85"/>
      <c r="G227" s="28"/>
      <c r="H227" s="28"/>
      <c r="I227" s="18"/>
      <c r="J227" s="3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28"/>
      <c r="F228" s="85"/>
      <c r="G228" s="28"/>
      <c r="H228" s="28"/>
      <c r="I228" s="18"/>
      <c r="J228" s="3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28"/>
      <c r="F229" s="85"/>
      <c r="G229" s="28"/>
      <c r="H229" s="28"/>
      <c r="I229" s="18"/>
      <c r="J229" s="3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I1"/>
    <mergeCell ref="A3:B3"/>
    <mergeCell ref="C3:D3"/>
    <mergeCell ref="E3:F3"/>
    <mergeCell ref="C29:D29"/>
  </mergeCells>
  <dataValidations>
    <dataValidation type="list" allowBlank="1" sqref="E8 E10 E12 E14 E16:E24 E26">
      <formula1>"Sim,Não"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2" width="0.89"/>
    <col customWidth="1" min="3" max="3" width="9.11"/>
    <col customWidth="1" min="4" max="4" width="108.44"/>
    <col customWidth="1" min="5" max="5" width="23.0"/>
    <col customWidth="1" hidden="1" min="6" max="6" width="4.11"/>
    <col customWidth="1" min="7" max="9" width="9.56"/>
    <col customWidth="1" min="10" max="10" width="0.89"/>
    <col customWidth="1" hidden="1" min="11" max="19" width="10.78"/>
    <col customWidth="1" hidden="1" min="20" max="20" width="15.33"/>
    <col customWidth="1" hidden="1" min="21" max="21" width="4.0"/>
    <col customWidth="1" hidden="1" min="22" max="22" width="10.78"/>
    <col customWidth="1" min="23" max="26" width="8.56"/>
  </cols>
  <sheetData>
    <row r="1" ht="54.0" customHeight="1">
      <c r="A1" s="14"/>
      <c r="B1" s="15" t="s">
        <v>5</v>
      </c>
      <c r="C1" s="13"/>
      <c r="D1" s="13"/>
      <c r="E1" s="13"/>
      <c r="F1" s="13"/>
      <c r="G1" s="13"/>
      <c r="H1" s="13"/>
      <c r="I1" s="13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0.5" customHeight="1">
      <c r="A2" s="16"/>
      <c r="B2" s="16"/>
      <c r="C2" s="16"/>
      <c r="D2" s="16"/>
      <c r="E2" s="16"/>
      <c r="F2" s="70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33.0" customHeight="1">
      <c r="A3" s="17"/>
      <c r="B3" s="13"/>
      <c r="C3" s="17"/>
      <c r="D3" s="13"/>
      <c r="E3" s="17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16"/>
      <c r="B4" s="16"/>
      <c r="C4" s="16"/>
      <c r="D4" s="16"/>
      <c r="E4" s="16"/>
      <c r="F4" s="70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18"/>
      <c r="B5" s="18"/>
      <c r="C5" s="19"/>
      <c r="D5" s="20"/>
      <c r="E5" s="21"/>
      <c r="F5" s="83"/>
      <c r="G5" s="21"/>
      <c r="H5" s="28"/>
      <c r="I5" s="18"/>
      <c r="J5" s="41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2"/>
      <c r="B6" s="22"/>
      <c r="C6" s="88" t="str">
        <f>"Percentual de conclusão: "&amp;ROUND(E6*100,0)&amp;"%"</f>
        <v>Percentual de conclusão: 100%</v>
      </c>
      <c r="D6" s="24"/>
      <c r="E6" s="25">
        <f>COUNTA(E26,E16,E14,E12,E10,E8,E18,E20,E22,E24)/10</f>
        <v>1</v>
      </c>
      <c r="F6" s="73"/>
      <c r="G6" s="79"/>
      <c r="H6" s="24"/>
      <c r="I6" s="24"/>
      <c r="J6" s="24"/>
      <c r="K6" s="45"/>
      <c r="L6" s="45"/>
      <c r="M6" s="45"/>
      <c r="N6" s="45"/>
      <c r="O6" s="45"/>
      <c r="P6" s="45"/>
      <c r="Q6" s="45"/>
      <c r="R6" s="45"/>
      <c r="S6" s="45"/>
      <c r="T6" s="46"/>
      <c r="U6" s="28"/>
      <c r="V6" s="45"/>
      <c r="W6" s="28"/>
      <c r="X6" s="28"/>
      <c r="Y6" s="28"/>
      <c r="Z6" s="28"/>
    </row>
    <row r="7" ht="10.5" customHeight="1">
      <c r="A7" s="22"/>
      <c r="B7" s="22"/>
      <c r="C7" s="24"/>
      <c r="D7" s="24" t="s">
        <v>6</v>
      </c>
      <c r="E7" s="26"/>
      <c r="F7" s="73"/>
      <c r="G7" s="24"/>
      <c r="H7" s="24"/>
      <c r="I7" s="24"/>
      <c r="J7" s="24"/>
      <c r="K7" s="45"/>
      <c r="L7" s="45"/>
      <c r="M7" s="45"/>
      <c r="N7" s="45"/>
      <c r="O7" s="45"/>
      <c r="P7" s="45"/>
      <c r="Q7" s="45"/>
      <c r="R7" s="45"/>
      <c r="S7" s="45"/>
      <c r="T7" s="46"/>
      <c r="U7" s="28"/>
      <c r="V7" s="45"/>
      <c r="W7" s="28"/>
      <c r="X7" s="28"/>
      <c r="Y7" s="28"/>
      <c r="Z7" s="28"/>
    </row>
    <row r="8" ht="40.5" customHeight="1">
      <c r="A8" s="22"/>
      <c r="B8" s="22"/>
      <c r="C8" s="29" t="s">
        <v>205</v>
      </c>
      <c r="D8" s="30" t="s">
        <v>206</v>
      </c>
      <c r="E8" s="31">
        <v>1.0</v>
      </c>
      <c r="F8" s="73">
        <f>IF(E8&gt;0,10,0)</f>
        <v>10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2.75" customHeight="1">
      <c r="A9" s="22"/>
      <c r="B9" s="22"/>
      <c r="C9" s="33"/>
      <c r="D9" s="34"/>
      <c r="E9" s="35"/>
      <c r="F9" s="73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40.5" customHeight="1">
      <c r="A10" s="22"/>
      <c r="B10" s="22"/>
      <c r="C10" s="29" t="s">
        <v>207</v>
      </c>
      <c r="D10" s="30" t="s">
        <v>208</v>
      </c>
      <c r="E10" s="31" t="s">
        <v>32</v>
      </c>
      <c r="F10" s="73">
        <f>IF(E10="SIM",10,0)</f>
        <v>0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2.75" customHeight="1">
      <c r="A11" s="22"/>
      <c r="B11" s="22"/>
      <c r="C11" s="33"/>
      <c r="D11" s="34"/>
      <c r="E11" s="35"/>
      <c r="F11" s="73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40.5" customHeight="1">
      <c r="A12" s="22"/>
      <c r="B12" s="22"/>
      <c r="C12" s="29" t="s">
        <v>209</v>
      </c>
      <c r="D12" s="30" t="s">
        <v>210</v>
      </c>
      <c r="E12" s="31" t="s">
        <v>211</v>
      </c>
      <c r="F12" s="73">
        <f>IF(E12="",0,IF(E12="MEI",5,IF(E12="NÃO SEI",0,10)))</f>
        <v>5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2.75" customHeight="1">
      <c r="A13" s="22"/>
      <c r="B13" s="22"/>
      <c r="C13" s="33"/>
      <c r="D13" s="34"/>
      <c r="E13" s="35"/>
      <c r="F13" s="73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40.5" customHeight="1">
      <c r="A14" s="22"/>
      <c r="B14" s="22"/>
      <c r="C14" s="29" t="s">
        <v>212</v>
      </c>
      <c r="D14" s="30" t="s">
        <v>213</v>
      </c>
      <c r="E14" s="31" t="s">
        <v>32</v>
      </c>
      <c r="F14" s="73">
        <f>IF(E14="SIM",10,0)</f>
        <v>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2.75" customHeight="1">
      <c r="A15" s="22"/>
      <c r="B15" s="22"/>
      <c r="C15" s="33"/>
      <c r="D15" s="34"/>
      <c r="E15" s="35"/>
      <c r="F15" s="73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40.5" customHeight="1">
      <c r="A16" s="22"/>
      <c r="B16" s="22"/>
      <c r="C16" s="29" t="s">
        <v>214</v>
      </c>
      <c r="D16" s="30" t="s">
        <v>215</v>
      </c>
      <c r="E16" s="31" t="s">
        <v>32</v>
      </c>
      <c r="F16" s="73">
        <f>IF(E16="",0,IF(E16="SIM",10,0))</f>
        <v>0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2.75" customHeight="1">
      <c r="A17" s="22"/>
      <c r="B17" s="22"/>
      <c r="C17" s="33"/>
      <c r="D17" s="34"/>
      <c r="E17" s="35"/>
      <c r="F17" s="73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0.5" customHeight="1">
      <c r="A18" s="22"/>
      <c r="B18" s="22"/>
      <c r="C18" s="29" t="s">
        <v>216</v>
      </c>
      <c r="D18" s="30" t="s">
        <v>217</v>
      </c>
      <c r="E18" s="31" t="s">
        <v>29</v>
      </c>
      <c r="F18" s="73">
        <f>IF(E18="",0,IF(E18="SIM",10,0))</f>
        <v>10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2.75" customHeight="1">
      <c r="A19" s="22"/>
      <c r="B19" s="22"/>
      <c r="C19" s="33"/>
      <c r="D19" s="34"/>
      <c r="E19" s="35"/>
      <c r="F19" s="73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40.5" customHeight="1">
      <c r="A20" s="22"/>
      <c r="B20" s="22"/>
      <c r="C20" s="29" t="s">
        <v>218</v>
      </c>
      <c r="D20" s="30" t="s">
        <v>219</v>
      </c>
      <c r="E20" s="31" t="s">
        <v>32</v>
      </c>
      <c r="F20" s="73">
        <f>IF(E20="",0,IF(E20="SIM",10,0))</f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2.75" customHeight="1">
      <c r="A21" s="22"/>
      <c r="B21" s="22"/>
      <c r="C21" s="33"/>
      <c r="D21" s="34"/>
      <c r="E21" s="35"/>
      <c r="F21" s="73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40.5" customHeight="1">
      <c r="A22" s="22"/>
      <c r="B22" s="22"/>
      <c r="C22" s="29" t="s">
        <v>220</v>
      </c>
      <c r="D22" s="30" t="s">
        <v>221</v>
      </c>
      <c r="E22" s="31" t="s">
        <v>32</v>
      </c>
      <c r="F22" s="73">
        <f>IF(E22="",0,IF(E22="SIM",10,0))</f>
        <v>0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2.75" customHeight="1">
      <c r="A23" s="22"/>
      <c r="B23" s="22"/>
      <c r="C23" s="33"/>
      <c r="D23" s="34"/>
      <c r="E23" s="35"/>
      <c r="F23" s="73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40.5" customHeight="1">
      <c r="A24" s="22"/>
      <c r="B24" s="22"/>
      <c r="C24" s="29" t="s">
        <v>222</v>
      </c>
      <c r="D24" s="30" t="s">
        <v>223</v>
      </c>
      <c r="E24" s="31" t="s">
        <v>32</v>
      </c>
      <c r="F24" s="73">
        <f>IF(E24="",0,IF(E24="SIM",10,0))</f>
        <v>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2.75" customHeight="1">
      <c r="A25" s="22"/>
      <c r="B25" s="22"/>
      <c r="C25" s="33"/>
      <c r="D25" s="34"/>
      <c r="E25" s="35"/>
      <c r="F25" s="73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40.5" customHeight="1">
      <c r="A26" s="22"/>
      <c r="B26" s="22"/>
      <c r="C26" s="29" t="s">
        <v>224</v>
      </c>
      <c r="D26" s="30" t="s">
        <v>225</v>
      </c>
      <c r="E26" s="31" t="s">
        <v>32</v>
      </c>
      <c r="F26" s="73">
        <f>IF(E26="SIM",10,0)</f>
        <v>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2.75" customHeight="1">
      <c r="A27" s="22"/>
      <c r="B27" s="22"/>
      <c r="C27" s="19"/>
      <c r="D27" s="37"/>
      <c r="E27" s="26"/>
      <c r="F27" s="73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2.75" customHeight="1">
      <c r="A28" s="22"/>
      <c r="B28" s="22"/>
      <c r="C28" s="19"/>
      <c r="D28" s="37"/>
      <c r="E28" s="26"/>
      <c r="F28" s="73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40.5" customHeight="1">
      <c r="A29" s="18"/>
      <c r="B29" s="18"/>
      <c r="C29" s="74" t="str">
        <f>IF(E6&lt;&gt;100%,"Termine o preenchimento para descobrir sua nota!","Sua nota média em gestão é: "&amp;F29)</f>
        <v>Sua nota média em gestão é: 2,5</v>
      </c>
      <c r="E29" s="18"/>
      <c r="F29" s="84">
        <f>ROUND(AVERAGE(F8,F10,F12,F14,F16,F26,F18,F20,F22,F24),1)</f>
        <v>2.5</v>
      </c>
      <c r="G29" s="18"/>
      <c r="H29" s="18"/>
      <c r="I29" s="18"/>
      <c r="J29" s="18"/>
      <c r="K29" s="28"/>
      <c r="L29" s="18"/>
      <c r="M29" s="39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40.5" customHeight="1">
      <c r="A30" s="18"/>
      <c r="B30" s="18"/>
      <c r="C30" s="40"/>
      <c r="D30" s="18"/>
      <c r="E30" s="28"/>
      <c r="F30" s="85"/>
      <c r="G30" s="28"/>
      <c r="H30" s="28"/>
      <c r="I30" s="18"/>
      <c r="J30" s="3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40.5" customHeight="1">
      <c r="A31" s="18"/>
      <c r="B31" s="18"/>
      <c r="C31" s="40"/>
      <c r="D31" s="86"/>
      <c r="E31" s="28"/>
      <c r="F31" s="85"/>
      <c r="G31" s="28"/>
      <c r="H31" s="28"/>
      <c r="I31" s="18"/>
      <c r="J31" s="3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40.5" customHeight="1">
      <c r="A32" s="18"/>
      <c r="B32" s="18"/>
      <c r="C32" s="40"/>
      <c r="D32" s="87"/>
      <c r="E32" s="28"/>
      <c r="F32" s="85"/>
      <c r="G32" s="28"/>
      <c r="H32" s="28"/>
      <c r="I32" s="18"/>
      <c r="J32" s="3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40.5" customHeight="1">
      <c r="A33" s="18"/>
      <c r="B33" s="18"/>
      <c r="C33" s="40"/>
      <c r="D33" s="87"/>
      <c r="E33" s="28"/>
      <c r="F33" s="85"/>
      <c r="G33" s="28"/>
      <c r="H33" s="28"/>
      <c r="I33" s="18"/>
      <c r="J33" s="3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40.5" customHeight="1">
      <c r="A34" s="18"/>
      <c r="B34" s="18"/>
      <c r="C34" s="40"/>
      <c r="D34" s="87"/>
      <c r="E34" s="28"/>
      <c r="F34" s="85"/>
      <c r="G34" s="28"/>
      <c r="H34" s="28"/>
      <c r="I34" s="18"/>
      <c r="J34" s="3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40.5" customHeight="1">
      <c r="A35" s="18"/>
      <c r="B35" s="18"/>
      <c r="C35" s="40"/>
      <c r="D35" s="87"/>
      <c r="E35" s="28"/>
      <c r="F35" s="85"/>
      <c r="G35" s="28"/>
      <c r="H35" s="28"/>
      <c r="I35" s="18"/>
      <c r="J35" s="3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40.5" customHeight="1">
      <c r="A36" s="18"/>
      <c r="B36" s="18"/>
      <c r="C36" s="40"/>
      <c r="D36" s="87"/>
      <c r="E36" s="28"/>
      <c r="F36" s="85"/>
      <c r="G36" s="28"/>
      <c r="H36" s="28"/>
      <c r="I36" s="18"/>
      <c r="J36" s="3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40.5" customHeight="1">
      <c r="A37" s="18"/>
      <c r="B37" s="18"/>
      <c r="C37" s="40"/>
      <c r="D37" s="87"/>
      <c r="E37" s="28"/>
      <c r="F37" s="85"/>
      <c r="G37" s="28"/>
      <c r="H37" s="28"/>
      <c r="I37" s="18"/>
      <c r="J37" s="3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40.5" customHeight="1">
      <c r="A38" s="18"/>
      <c r="B38" s="18"/>
      <c r="C38" s="40"/>
      <c r="D38" s="87"/>
      <c r="E38" s="28"/>
      <c r="F38" s="85"/>
      <c r="G38" s="28"/>
      <c r="H38" s="28"/>
      <c r="I38" s="18"/>
      <c r="J38" s="3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40.5" customHeight="1">
      <c r="A39" s="18"/>
      <c r="B39" s="18"/>
      <c r="C39" s="40"/>
      <c r="D39" s="18"/>
      <c r="E39" s="28"/>
      <c r="F39" s="85"/>
      <c r="G39" s="28"/>
      <c r="H39" s="28"/>
      <c r="I39" s="18"/>
      <c r="J39" s="3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40.5" customHeight="1">
      <c r="A40" s="18"/>
      <c r="B40" s="18"/>
      <c r="C40" s="40"/>
      <c r="D40" s="18"/>
      <c r="E40" s="28"/>
      <c r="F40" s="85"/>
      <c r="G40" s="28"/>
      <c r="H40" s="28"/>
      <c r="I40" s="18"/>
      <c r="J40" s="3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40.5" customHeight="1">
      <c r="A41" s="18"/>
      <c r="B41" s="18"/>
      <c r="C41" s="40"/>
      <c r="D41" s="18"/>
      <c r="E41" s="28"/>
      <c r="F41" s="85"/>
      <c r="G41" s="28"/>
      <c r="H41" s="28"/>
      <c r="I41" s="18"/>
      <c r="J41" s="3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40.5" customHeight="1">
      <c r="A42" s="18"/>
      <c r="B42" s="18"/>
      <c r="C42" s="40"/>
      <c r="D42" s="18"/>
      <c r="E42" s="28"/>
      <c r="F42" s="85"/>
      <c r="G42" s="28"/>
      <c r="H42" s="28"/>
      <c r="I42" s="18"/>
      <c r="J42" s="3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40.5" customHeight="1">
      <c r="A43" s="18"/>
      <c r="B43" s="18"/>
      <c r="C43" s="40"/>
      <c r="D43" s="18"/>
      <c r="E43" s="28"/>
      <c r="F43" s="85"/>
      <c r="G43" s="28"/>
      <c r="H43" s="28"/>
      <c r="I43" s="18"/>
      <c r="J43" s="3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40.5" customHeight="1">
      <c r="A44" s="18"/>
      <c r="B44" s="18"/>
      <c r="C44" s="40"/>
      <c r="D44" s="18"/>
      <c r="E44" s="28"/>
      <c r="F44" s="85"/>
      <c r="G44" s="28"/>
      <c r="H44" s="28"/>
      <c r="I44" s="18"/>
      <c r="J44" s="3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40.5" customHeight="1">
      <c r="A45" s="18"/>
      <c r="B45" s="18"/>
      <c r="C45" s="40"/>
      <c r="D45" s="18"/>
      <c r="E45" s="28"/>
      <c r="F45" s="85"/>
      <c r="G45" s="28"/>
      <c r="H45" s="28"/>
      <c r="I45" s="18"/>
      <c r="J45" s="3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40.5" customHeight="1">
      <c r="A46" s="18"/>
      <c r="B46" s="18"/>
      <c r="C46" s="40"/>
      <c r="D46" s="18"/>
      <c r="E46" s="28"/>
      <c r="F46" s="85"/>
      <c r="G46" s="28"/>
      <c r="H46" s="28"/>
      <c r="I46" s="18"/>
      <c r="J46" s="3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40.5" customHeight="1">
      <c r="A47" s="18"/>
      <c r="B47" s="18"/>
      <c r="C47" s="40"/>
      <c r="D47" s="18"/>
      <c r="E47" s="28"/>
      <c r="F47" s="85"/>
      <c r="G47" s="28"/>
      <c r="H47" s="28"/>
      <c r="I47" s="18"/>
      <c r="J47" s="3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40.5" customHeight="1">
      <c r="A48" s="18"/>
      <c r="B48" s="18"/>
      <c r="C48" s="40"/>
      <c r="D48" s="18"/>
      <c r="E48" s="28"/>
      <c r="F48" s="85"/>
      <c r="G48" s="28"/>
      <c r="H48" s="28"/>
      <c r="I48" s="18"/>
      <c r="J48" s="3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40.5" customHeight="1">
      <c r="A49" s="18"/>
      <c r="B49" s="18"/>
      <c r="C49" s="40"/>
      <c r="D49" s="18"/>
      <c r="E49" s="28"/>
      <c r="F49" s="85"/>
      <c r="G49" s="28"/>
      <c r="H49" s="28"/>
      <c r="I49" s="18"/>
      <c r="J49" s="3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40.5" customHeight="1">
      <c r="A50" s="18"/>
      <c r="B50" s="18"/>
      <c r="C50" s="40"/>
      <c r="D50" s="18"/>
      <c r="E50" s="28"/>
      <c r="F50" s="85"/>
      <c r="G50" s="28"/>
      <c r="H50" s="28"/>
      <c r="I50" s="18"/>
      <c r="J50" s="3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40.5" customHeight="1">
      <c r="A51" s="18"/>
      <c r="B51" s="18"/>
      <c r="C51" s="40"/>
      <c r="D51" s="18"/>
      <c r="E51" s="28"/>
      <c r="F51" s="85"/>
      <c r="G51" s="28"/>
      <c r="H51" s="28"/>
      <c r="I51" s="18"/>
      <c r="J51" s="3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40.5" customHeight="1">
      <c r="A52" s="18"/>
      <c r="B52" s="18"/>
      <c r="C52" s="40"/>
      <c r="D52" s="18"/>
      <c r="E52" s="28"/>
      <c r="F52" s="85"/>
      <c r="G52" s="28"/>
      <c r="H52" s="28"/>
      <c r="I52" s="18"/>
      <c r="J52" s="3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40.5" customHeight="1">
      <c r="A53" s="18"/>
      <c r="B53" s="18"/>
      <c r="C53" s="40"/>
      <c r="D53" s="18"/>
      <c r="E53" s="28"/>
      <c r="F53" s="85"/>
      <c r="G53" s="28"/>
      <c r="H53" s="28"/>
      <c r="I53" s="18"/>
      <c r="J53" s="3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40.5" customHeight="1">
      <c r="A54" s="18"/>
      <c r="B54" s="18"/>
      <c r="C54" s="40"/>
      <c r="D54" s="18"/>
      <c r="E54" s="28"/>
      <c r="F54" s="85"/>
      <c r="G54" s="28"/>
      <c r="H54" s="28"/>
      <c r="I54" s="18"/>
      <c r="J54" s="3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40.5" customHeight="1">
      <c r="A55" s="18"/>
      <c r="B55" s="18"/>
      <c r="C55" s="40"/>
      <c r="D55" s="18"/>
      <c r="E55" s="28"/>
      <c r="F55" s="85"/>
      <c r="G55" s="28"/>
      <c r="H55" s="28"/>
      <c r="I55" s="18"/>
      <c r="J55" s="3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40.5" customHeight="1">
      <c r="A56" s="18"/>
      <c r="B56" s="18"/>
      <c r="C56" s="40"/>
      <c r="D56" s="18"/>
      <c r="E56" s="28"/>
      <c r="F56" s="85"/>
      <c r="G56" s="28"/>
      <c r="H56" s="28"/>
      <c r="I56" s="18"/>
      <c r="J56" s="3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40.5" customHeight="1">
      <c r="A57" s="18"/>
      <c r="B57" s="18"/>
      <c r="C57" s="40"/>
      <c r="D57" s="18"/>
      <c r="E57" s="28"/>
      <c r="F57" s="85"/>
      <c r="G57" s="28"/>
      <c r="H57" s="28"/>
      <c r="I57" s="18"/>
      <c r="J57" s="3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40.5" customHeight="1">
      <c r="A58" s="18"/>
      <c r="B58" s="18"/>
      <c r="C58" s="40"/>
      <c r="D58" s="18"/>
      <c r="E58" s="28"/>
      <c r="F58" s="85"/>
      <c r="G58" s="28"/>
      <c r="H58" s="28"/>
      <c r="I58" s="18"/>
      <c r="J58" s="3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40.5" customHeight="1">
      <c r="A59" s="18"/>
      <c r="B59" s="18"/>
      <c r="C59" s="40"/>
      <c r="D59" s="18"/>
      <c r="E59" s="28"/>
      <c r="F59" s="85"/>
      <c r="G59" s="28"/>
      <c r="H59" s="28"/>
      <c r="I59" s="18"/>
      <c r="J59" s="3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40.5" customHeight="1">
      <c r="A60" s="18"/>
      <c r="B60" s="18"/>
      <c r="C60" s="40"/>
      <c r="D60" s="18"/>
      <c r="E60" s="28"/>
      <c r="F60" s="85"/>
      <c r="G60" s="28"/>
      <c r="H60" s="28"/>
      <c r="I60" s="18"/>
      <c r="J60" s="3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40.5" customHeight="1">
      <c r="A61" s="18"/>
      <c r="B61" s="18"/>
      <c r="C61" s="40"/>
      <c r="D61" s="18"/>
      <c r="E61" s="28"/>
      <c r="F61" s="85"/>
      <c r="G61" s="28"/>
      <c r="H61" s="28"/>
      <c r="I61" s="18"/>
      <c r="J61" s="3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40.5" customHeight="1">
      <c r="A62" s="18"/>
      <c r="B62" s="18"/>
      <c r="C62" s="40"/>
      <c r="D62" s="18"/>
      <c r="E62" s="28"/>
      <c r="F62" s="85"/>
      <c r="G62" s="28"/>
      <c r="H62" s="28"/>
      <c r="I62" s="18"/>
      <c r="J62" s="3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40.5" customHeight="1">
      <c r="A63" s="18"/>
      <c r="B63" s="18"/>
      <c r="C63" s="40"/>
      <c r="D63" s="18"/>
      <c r="E63" s="28"/>
      <c r="F63" s="85"/>
      <c r="G63" s="28"/>
      <c r="H63" s="28"/>
      <c r="I63" s="18"/>
      <c r="J63" s="3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40.5" customHeight="1">
      <c r="A64" s="18"/>
      <c r="B64" s="18"/>
      <c r="C64" s="40"/>
      <c r="D64" s="18"/>
      <c r="E64" s="28"/>
      <c r="F64" s="85"/>
      <c r="G64" s="28"/>
      <c r="H64" s="28"/>
      <c r="I64" s="18"/>
      <c r="J64" s="3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40.5" customHeight="1">
      <c r="A65" s="18"/>
      <c r="B65" s="18"/>
      <c r="C65" s="40"/>
      <c r="D65" s="18"/>
      <c r="E65" s="28"/>
      <c r="F65" s="85"/>
      <c r="G65" s="28"/>
      <c r="H65" s="28"/>
      <c r="I65" s="18"/>
      <c r="J65" s="3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40.5" customHeight="1">
      <c r="A66" s="18"/>
      <c r="B66" s="18"/>
      <c r="C66" s="40"/>
      <c r="D66" s="18"/>
      <c r="E66" s="28"/>
      <c r="F66" s="85"/>
      <c r="G66" s="28"/>
      <c r="H66" s="28"/>
      <c r="I66" s="18"/>
      <c r="J66" s="3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40.5" customHeight="1">
      <c r="A67" s="18"/>
      <c r="B67" s="18"/>
      <c r="C67" s="40"/>
      <c r="D67" s="18"/>
      <c r="E67" s="28"/>
      <c r="F67" s="85"/>
      <c r="G67" s="28"/>
      <c r="H67" s="28"/>
      <c r="I67" s="18"/>
      <c r="J67" s="3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40.5" customHeight="1">
      <c r="A68" s="18"/>
      <c r="B68" s="18"/>
      <c r="C68" s="40"/>
      <c r="D68" s="18"/>
      <c r="E68" s="28"/>
      <c r="F68" s="85"/>
      <c r="G68" s="28"/>
      <c r="H68" s="28"/>
      <c r="I68" s="18"/>
      <c r="J68" s="3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40.5" customHeight="1">
      <c r="A69" s="18"/>
      <c r="B69" s="18"/>
      <c r="C69" s="40"/>
      <c r="D69" s="18"/>
      <c r="E69" s="28"/>
      <c r="F69" s="85"/>
      <c r="G69" s="28"/>
      <c r="H69" s="28"/>
      <c r="I69" s="18"/>
      <c r="J69" s="3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40.5" customHeight="1">
      <c r="A70" s="18"/>
      <c r="B70" s="18"/>
      <c r="C70" s="40"/>
      <c r="D70" s="18"/>
      <c r="E70" s="28"/>
      <c r="F70" s="85"/>
      <c r="G70" s="28"/>
      <c r="H70" s="28"/>
      <c r="I70" s="18"/>
      <c r="J70" s="3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40.5" customHeight="1">
      <c r="A71" s="18"/>
      <c r="B71" s="18"/>
      <c r="C71" s="40"/>
      <c r="D71" s="18"/>
      <c r="E71" s="28"/>
      <c r="F71" s="85"/>
      <c r="G71" s="28"/>
      <c r="H71" s="28"/>
      <c r="I71" s="18"/>
      <c r="J71" s="3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40.5" customHeight="1">
      <c r="A72" s="18"/>
      <c r="B72" s="18"/>
      <c r="C72" s="40"/>
      <c r="D72" s="18"/>
      <c r="E72" s="28"/>
      <c r="F72" s="85"/>
      <c r="G72" s="28"/>
      <c r="H72" s="28"/>
      <c r="I72" s="18"/>
      <c r="J72" s="3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40.5" customHeight="1">
      <c r="A73" s="18"/>
      <c r="B73" s="18"/>
      <c r="C73" s="40"/>
      <c r="D73" s="18"/>
      <c r="E73" s="28"/>
      <c r="F73" s="85"/>
      <c r="G73" s="28"/>
      <c r="H73" s="28"/>
      <c r="I73" s="18"/>
      <c r="J73" s="3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40.5" customHeight="1">
      <c r="A74" s="18"/>
      <c r="B74" s="18"/>
      <c r="C74" s="40"/>
      <c r="D74" s="18"/>
      <c r="E74" s="28"/>
      <c r="F74" s="85"/>
      <c r="G74" s="28"/>
      <c r="H74" s="28"/>
      <c r="I74" s="18"/>
      <c r="J74" s="3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40.5" customHeight="1">
      <c r="A75" s="18"/>
      <c r="B75" s="18"/>
      <c r="C75" s="40"/>
      <c r="D75" s="18"/>
      <c r="E75" s="28"/>
      <c r="F75" s="85"/>
      <c r="G75" s="28"/>
      <c r="H75" s="28"/>
      <c r="I75" s="18"/>
      <c r="J75" s="3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40.5" customHeight="1">
      <c r="A76" s="18"/>
      <c r="B76" s="18"/>
      <c r="C76" s="40"/>
      <c r="D76" s="18"/>
      <c r="E76" s="28"/>
      <c r="F76" s="85"/>
      <c r="G76" s="28"/>
      <c r="H76" s="28"/>
      <c r="I76" s="18"/>
      <c r="J76" s="3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40.5" customHeight="1">
      <c r="A77" s="18"/>
      <c r="B77" s="18"/>
      <c r="C77" s="40"/>
      <c r="D77" s="18"/>
      <c r="E77" s="28"/>
      <c r="F77" s="85"/>
      <c r="G77" s="28"/>
      <c r="H77" s="28"/>
      <c r="I77" s="18"/>
      <c r="J77" s="3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40.5" customHeight="1">
      <c r="A78" s="18"/>
      <c r="B78" s="18"/>
      <c r="C78" s="40"/>
      <c r="D78" s="18"/>
      <c r="E78" s="28"/>
      <c r="F78" s="85"/>
      <c r="G78" s="28"/>
      <c r="H78" s="28"/>
      <c r="I78" s="18"/>
      <c r="J78" s="3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40.5" customHeight="1">
      <c r="A79" s="18"/>
      <c r="B79" s="18"/>
      <c r="C79" s="40"/>
      <c r="D79" s="18"/>
      <c r="E79" s="28"/>
      <c r="F79" s="85"/>
      <c r="G79" s="28"/>
      <c r="H79" s="28"/>
      <c r="I79" s="18"/>
      <c r="J79" s="3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40.5" customHeight="1">
      <c r="A80" s="18"/>
      <c r="B80" s="18"/>
      <c r="C80" s="40"/>
      <c r="D80" s="18"/>
      <c r="E80" s="28"/>
      <c r="F80" s="85"/>
      <c r="G80" s="28"/>
      <c r="H80" s="28"/>
      <c r="I80" s="18"/>
      <c r="J80" s="3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40.5" customHeight="1">
      <c r="A81" s="18"/>
      <c r="B81" s="18"/>
      <c r="C81" s="40"/>
      <c r="D81" s="18"/>
      <c r="E81" s="28"/>
      <c r="F81" s="85"/>
      <c r="G81" s="28"/>
      <c r="H81" s="28"/>
      <c r="I81" s="18"/>
      <c r="J81" s="3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40.5" customHeight="1">
      <c r="A82" s="18"/>
      <c r="B82" s="18"/>
      <c r="C82" s="40"/>
      <c r="D82" s="18"/>
      <c r="E82" s="28"/>
      <c r="F82" s="85"/>
      <c r="G82" s="28"/>
      <c r="H82" s="28"/>
      <c r="I82" s="18"/>
      <c r="J82" s="3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40.5" customHeight="1">
      <c r="A83" s="18"/>
      <c r="B83" s="18"/>
      <c r="C83" s="40"/>
      <c r="D83" s="18"/>
      <c r="E83" s="28"/>
      <c r="F83" s="85"/>
      <c r="G83" s="28"/>
      <c r="H83" s="28"/>
      <c r="I83" s="18"/>
      <c r="J83" s="3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40.5" customHeight="1">
      <c r="A84" s="18"/>
      <c r="B84" s="18"/>
      <c r="C84" s="40"/>
      <c r="D84" s="18"/>
      <c r="E84" s="28"/>
      <c r="F84" s="85"/>
      <c r="G84" s="28"/>
      <c r="H84" s="28"/>
      <c r="I84" s="18"/>
      <c r="J84" s="3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40.5" customHeight="1">
      <c r="A85" s="18"/>
      <c r="B85" s="18"/>
      <c r="C85" s="40"/>
      <c r="D85" s="18"/>
      <c r="E85" s="28"/>
      <c r="F85" s="85"/>
      <c r="G85" s="28"/>
      <c r="H85" s="28"/>
      <c r="I85" s="18"/>
      <c r="J85" s="3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40.5" customHeight="1">
      <c r="A86" s="18"/>
      <c r="B86" s="18"/>
      <c r="C86" s="40"/>
      <c r="D86" s="18"/>
      <c r="E86" s="28"/>
      <c r="F86" s="85"/>
      <c r="G86" s="28"/>
      <c r="H86" s="28"/>
      <c r="I86" s="18"/>
      <c r="J86" s="3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40.5" customHeight="1">
      <c r="A87" s="18"/>
      <c r="B87" s="18"/>
      <c r="C87" s="40"/>
      <c r="D87" s="18"/>
      <c r="E87" s="28"/>
      <c r="F87" s="85"/>
      <c r="G87" s="28"/>
      <c r="H87" s="28"/>
      <c r="I87" s="18"/>
      <c r="J87" s="3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40.5" customHeight="1">
      <c r="A88" s="18"/>
      <c r="B88" s="18"/>
      <c r="C88" s="40"/>
      <c r="D88" s="18"/>
      <c r="E88" s="28"/>
      <c r="F88" s="85"/>
      <c r="G88" s="28"/>
      <c r="H88" s="28"/>
      <c r="I88" s="18"/>
      <c r="J88" s="3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40.5" customHeight="1">
      <c r="A89" s="18"/>
      <c r="B89" s="18"/>
      <c r="C89" s="40"/>
      <c r="D89" s="18"/>
      <c r="E89" s="28"/>
      <c r="F89" s="85"/>
      <c r="G89" s="28"/>
      <c r="H89" s="28"/>
      <c r="I89" s="18"/>
      <c r="J89" s="3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40.5" customHeight="1">
      <c r="A90" s="18"/>
      <c r="B90" s="18"/>
      <c r="C90" s="40"/>
      <c r="D90" s="18"/>
      <c r="E90" s="28"/>
      <c r="F90" s="85"/>
      <c r="G90" s="28"/>
      <c r="H90" s="28"/>
      <c r="I90" s="18"/>
      <c r="J90" s="3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40.5" customHeight="1">
      <c r="A91" s="18"/>
      <c r="B91" s="18"/>
      <c r="C91" s="40"/>
      <c r="D91" s="18"/>
      <c r="E91" s="28"/>
      <c r="F91" s="85"/>
      <c r="G91" s="28"/>
      <c r="H91" s="28"/>
      <c r="I91" s="18"/>
      <c r="J91" s="3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40.5" customHeight="1">
      <c r="A92" s="18"/>
      <c r="B92" s="18"/>
      <c r="C92" s="40"/>
      <c r="D92" s="18"/>
      <c r="E92" s="28"/>
      <c r="F92" s="85"/>
      <c r="G92" s="28"/>
      <c r="H92" s="28"/>
      <c r="I92" s="18"/>
      <c r="J92" s="3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40.5" customHeight="1">
      <c r="A93" s="18"/>
      <c r="B93" s="18"/>
      <c r="C93" s="40"/>
      <c r="D93" s="18"/>
      <c r="E93" s="28"/>
      <c r="F93" s="85"/>
      <c r="G93" s="28"/>
      <c r="H93" s="28"/>
      <c r="I93" s="18"/>
      <c r="J93" s="3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40.5" customHeight="1">
      <c r="A94" s="18"/>
      <c r="B94" s="18"/>
      <c r="C94" s="40"/>
      <c r="D94" s="18"/>
      <c r="E94" s="28"/>
      <c r="F94" s="85"/>
      <c r="G94" s="28"/>
      <c r="H94" s="28"/>
      <c r="I94" s="18"/>
      <c r="J94" s="3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40.5" customHeight="1">
      <c r="A95" s="18"/>
      <c r="B95" s="18"/>
      <c r="C95" s="40"/>
      <c r="D95" s="18"/>
      <c r="E95" s="28"/>
      <c r="F95" s="85"/>
      <c r="G95" s="28"/>
      <c r="H95" s="28"/>
      <c r="I95" s="18"/>
      <c r="J95" s="3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40.5" customHeight="1">
      <c r="A96" s="18"/>
      <c r="B96" s="18"/>
      <c r="C96" s="40"/>
      <c r="D96" s="18"/>
      <c r="E96" s="28"/>
      <c r="F96" s="85"/>
      <c r="G96" s="28"/>
      <c r="H96" s="28"/>
      <c r="I96" s="18"/>
      <c r="J96" s="3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40.5" customHeight="1">
      <c r="A97" s="18"/>
      <c r="B97" s="18"/>
      <c r="C97" s="40"/>
      <c r="D97" s="18"/>
      <c r="E97" s="28"/>
      <c r="F97" s="85"/>
      <c r="G97" s="28"/>
      <c r="H97" s="28"/>
      <c r="I97" s="18"/>
      <c r="J97" s="3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40.5" customHeight="1">
      <c r="A98" s="18"/>
      <c r="B98" s="18"/>
      <c r="C98" s="40"/>
      <c r="D98" s="18"/>
      <c r="E98" s="28"/>
      <c r="F98" s="85"/>
      <c r="G98" s="28"/>
      <c r="H98" s="28"/>
      <c r="I98" s="18"/>
      <c r="J98" s="3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40.5" customHeight="1">
      <c r="A99" s="18"/>
      <c r="B99" s="18"/>
      <c r="C99" s="40"/>
      <c r="D99" s="18"/>
      <c r="E99" s="28"/>
      <c r="F99" s="85"/>
      <c r="G99" s="28"/>
      <c r="H99" s="28"/>
      <c r="I99" s="18"/>
      <c r="J99" s="3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40.5" customHeight="1">
      <c r="A100" s="18"/>
      <c r="B100" s="18"/>
      <c r="C100" s="40"/>
      <c r="D100" s="18"/>
      <c r="E100" s="28"/>
      <c r="F100" s="85"/>
      <c r="G100" s="28"/>
      <c r="H100" s="28"/>
      <c r="I100" s="18"/>
      <c r="J100" s="3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40.5" customHeight="1">
      <c r="A101" s="18"/>
      <c r="B101" s="18"/>
      <c r="C101" s="40"/>
      <c r="D101" s="18"/>
      <c r="E101" s="28"/>
      <c r="F101" s="85"/>
      <c r="G101" s="28"/>
      <c r="H101" s="28"/>
      <c r="I101" s="18"/>
      <c r="J101" s="3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40.5" customHeight="1">
      <c r="A102" s="18"/>
      <c r="B102" s="18"/>
      <c r="C102" s="40"/>
      <c r="D102" s="18"/>
      <c r="E102" s="28"/>
      <c r="F102" s="85"/>
      <c r="G102" s="28"/>
      <c r="H102" s="28"/>
      <c r="I102" s="18"/>
      <c r="J102" s="3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40.5" customHeight="1">
      <c r="A103" s="18"/>
      <c r="B103" s="18"/>
      <c r="C103" s="40"/>
      <c r="D103" s="18"/>
      <c r="E103" s="28"/>
      <c r="F103" s="85"/>
      <c r="G103" s="28"/>
      <c r="H103" s="28"/>
      <c r="I103" s="18"/>
      <c r="J103" s="3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40.5" customHeight="1">
      <c r="A104" s="18"/>
      <c r="B104" s="18"/>
      <c r="C104" s="40"/>
      <c r="D104" s="18"/>
      <c r="E104" s="28"/>
      <c r="F104" s="85"/>
      <c r="G104" s="28"/>
      <c r="H104" s="28"/>
      <c r="I104" s="18"/>
      <c r="J104" s="3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40.5" customHeight="1">
      <c r="A105" s="18"/>
      <c r="B105" s="18"/>
      <c r="C105" s="40"/>
      <c r="D105" s="18"/>
      <c r="E105" s="28"/>
      <c r="F105" s="85"/>
      <c r="G105" s="28"/>
      <c r="H105" s="28"/>
      <c r="I105" s="18"/>
      <c r="J105" s="3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40.5" customHeight="1">
      <c r="A106" s="18"/>
      <c r="B106" s="18"/>
      <c r="C106" s="40"/>
      <c r="D106" s="18"/>
      <c r="E106" s="28"/>
      <c r="F106" s="85"/>
      <c r="G106" s="28"/>
      <c r="H106" s="28"/>
      <c r="I106" s="18"/>
      <c r="J106" s="3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40.5" customHeight="1">
      <c r="A107" s="18"/>
      <c r="B107" s="18"/>
      <c r="C107" s="40"/>
      <c r="D107" s="18"/>
      <c r="E107" s="28"/>
      <c r="F107" s="85"/>
      <c r="G107" s="28"/>
      <c r="H107" s="28"/>
      <c r="I107" s="18"/>
      <c r="J107" s="3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40.5" customHeight="1">
      <c r="A108" s="18"/>
      <c r="B108" s="18"/>
      <c r="C108" s="40"/>
      <c r="D108" s="18"/>
      <c r="E108" s="28"/>
      <c r="F108" s="85"/>
      <c r="G108" s="28"/>
      <c r="H108" s="28"/>
      <c r="I108" s="18"/>
      <c r="J108" s="3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40.5" customHeight="1">
      <c r="A109" s="18"/>
      <c r="B109" s="18"/>
      <c r="C109" s="40"/>
      <c r="D109" s="18"/>
      <c r="E109" s="28"/>
      <c r="F109" s="85"/>
      <c r="G109" s="28"/>
      <c r="H109" s="28"/>
      <c r="I109" s="18"/>
      <c r="J109" s="3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40.5" customHeight="1">
      <c r="A110" s="18"/>
      <c r="B110" s="18"/>
      <c r="C110" s="40"/>
      <c r="D110" s="18"/>
      <c r="E110" s="28"/>
      <c r="F110" s="85"/>
      <c r="G110" s="28"/>
      <c r="H110" s="28"/>
      <c r="I110" s="18"/>
      <c r="J110" s="3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40.5" customHeight="1">
      <c r="A111" s="18"/>
      <c r="B111" s="18"/>
      <c r="C111" s="40"/>
      <c r="D111" s="18"/>
      <c r="E111" s="28"/>
      <c r="F111" s="85"/>
      <c r="G111" s="28"/>
      <c r="H111" s="28"/>
      <c r="I111" s="18"/>
      <c r="J111" s="3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40.5" customHeight="1">
      <c r="A112" s="18"/>
      <c r="B112" s="18"/>
      <c r="C112" s="40"/>
      <c r="D112" s="18"/>
      <c r="E112" s="28"/>
      <c r="F112" s="85"/>
      <c r="G112" s="28"/>
      <c r="H112" s="28"/>
      <c r="I112" s="18"/>
      <c r="J112" s="3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40.5" customHeight="1">
      <c r="A113" s="18"/>
      <c r="B113" s="18"/>
      <c r="C113" s="40"/>
      <c r="D113" s="18"/>
      <c r="E113" s="28"/>
      <c r="F113" s="85"/>
      <c r="G113" s="28"/>
      <c r="H113" s="28"/>
      <c r="I113" s="18"/>
      <c r="J113" s="3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40.5" customHeight="1">
      <c r="A114" s="18"/>
      <c r="B114" s="18"/>
      <c r="C114" s="40"/>
      <c r="D114" s="18"/>
      <c r="E114" s="28"/>
      <c r="F114" s="85"/>
      <c r="G114" s="28"/>
      <c r="H114" s="28"/>
      <c r="I114" s="18"/>
      <c r="J114" s="3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40.5" customHeight="1">
      <c r="A115" s="18"/>
      <c r="B115" s="18"/>
      <c r="C115" s="40"/>
      <c r="D115" s="18"/>
      <c r="E115" s="28"/>
      <c r="F115" s="85"/>
      <c r="G115" s="28"/>
      <c r="H115" s="28"/>
      <c r="I115" s="18"/>
      <c r="J115" s="3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40.5" customHeight="1">
      <c r="A116" s="18"/>
      <c r="B116" s="18"/>
      <c r="C116" s="40"/>
      <c r="D116" s="18"/>
      <c r="E116" s="28"/>
      <c r="F116" s="85"/>
      <c r="G116" s="28"/>
      <c r="H116" s="28"/>
      <c r="I116" s="18"/>
      <c r="J116" s="3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40.5" customHeight="1">
      <c r="A117" s="18"/>
      <c r="B117" s="18"/>
      <c r="C117" s="40"/>
      <c r="D117" s="18"/>
      <c r="E117" s="28"/>
      <c r="F117" s="85"/>
      <c r="G117" s="28"/>
      <c r="H117" s="28"/>
      <c r="I117" s="18"/>
      <c r="J117" s="3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40.5" customHeight="1">
      <c r="A118" s="18"/>
      <c r="B118" s="18"/>
      <c r="C118" s="40"/>
      <c r="D118" s="18"/>
      <c r="E118" s="28"/>
      <c r="F118" s="85"/>
      <c r="G118" s="28"/>
      <c r="H118" s="28"/>
      <c r="I118" s="18"/>
      <c r="J118" s="3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40.5" customHeight="1">
      <c r="A119" s="18"/>
      <c r="B119" s="18"/>
      <c r="C119" s="40"/>
      <c r="D119" s="18"/>
      <c r="E119" s="28"/>
      <c r="F119" s="85"/>
      <c r="G119" s="28"/>
      <c r="H119" s="28"/>
      <c r="I119" s="18"/>
      <c r="J119" s="3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40.5" customHeight="1">
      <c r="A120" s="18"/>
      <c r="B120" s="18"/>
      <c r="C120" s="40"/>
      <c r="D120" s="18"/>
      <c r="E120" s="28"/>
      <c r="F120" s="85"/>
      <c r="G120" s="28"/>
      <c r="H120" s="28"/>
      <c r="I120" s="18"/>
      <c r="J120" s="3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40.5" customHeight="1">
      <c r="A121" s="18"/>
      <c r="B121" s="18"/>
      <c r="C121" s="40"/>
      <c r="D121" s="18"/>
      <c r="E121" s="28"/>
      <c r="F121" s="85"/>
      <c r="G121" s="28"/>
      <c r="H121" s="28"/>
      <c r="I121" s="18"/>
      <c r="J121" s="3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40.5" customHeight="1">
      <c r="A122" s="18"/>
      <c r="B122" s="18"/>
      <c r="C122" s="40"/>
      <c r="D122" s="18"/>
      <c r="E122" s="28"/>
      <c r="F122" s="85"/>
      <c r="G122" s="28"/>
      <c r="H122" s="28"/>
      <c r="I122" s="18"/>
      <c r="J122" s="3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40.5" customHeight="1">
      <c r="A123" s="18"/>
      <c r="B123" s="18"/>
      <c r="C123" s="40"/>
      <c r="D123" s="18"/>
      <c r="E123" s="28"/>
      <c r="F123" s="85"/>
      <c r="G123" s="28"/>
      <c r="H123" s="28"/>
      <c r="I123" s="18"/>
      <c r="J123" s="3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40.5" customHeight="1">
      <c r="A124" s="18"/>
      <c r="B124" s="18"/>
      <c r="C124" s="40"/>
      <c r="D124" s="18"/>
      <c r="E124" s="28"/>
      <c r="F124" s="85"/>
      <c r="G124" s="28"/>
      <c r="H124" s="28"/>
      <c r="I124" s="18"/>
      <c r="J124" s="3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40.5" customHeight="1">
      <c r="A125" s="18"/>
      <c r="B125" s="18"/>
      <c r="C125" s="40"/>
      <c r="D125" s="18"/>
      <c r="E125" s="28"/>
      <c r="F125" s="85"/>
      <c r="G125" s="28"/>
      <c r="H125" s="28"/>
      <c r="I125" s="18"/>
      <c r="J125" s="3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40.5" customHeight="1">
      <c r="A126" s="18"/>
      <c r="B126" s="18"/>
      <c r="C126" s="40"/>
      <c r="D126" s="18"/>
      <c r="E126" s="28"/>
      <c r="F126" s="85"/>
      <c r="G126" s="28"/>
      <c r="H126" s="28"/>
      <c r="I126" s="18"/>
      <c r="J126" s="3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40.5" customHeight="1">
      <c r="A127" s="18"/>
      <c r="B127" s="18"/>
      <c r="C127" s="40"/>
      <c r="D127" s="18"/>
      <c r="E127" s="28"/>
      <c r="F127" s="85"/>
      <c r="G127" s="28"/>
      <c r="H127" s="28"/>
      <c r="I127" s="18"/>
      <c r="J127" s="3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40.5" customHeight="1">
      <c r="A128" s="18"/>
      <c r="B128" s="18"/>
      <c r="C128" s="40"/>
      <c r="D128" s="18"/>
      <c r="E128" s="28"/>
      <c r="F128" s="85"/>
      <c r="G128" s="28"/>
      <c r="H128" s="28"/>
      <c r="I128" s="18"/>
      <c r="J128" s="3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40.5" customHeight="1">
      <c r="A129" s="18"/>
      <c r="B129" s="18"/>
      <c r="C129" s="40"/>
      <c r="D129" s="18"/>
      <c r="E129" s="28"/>
      <c r="F129" s="85"/>
      <c r="G129" s="28"/>
      <c r="H129" s="28"/>
      <c r="I129" s="18"/>
      <c r="J129" s="3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22.5" customHeight="1">
      <c r="A130" s="18"/>
      <c r="B130" s="18"/>
      <c r="C130" s="40"/>
      <c r="D130" s="18"/>
      <c r="E130" s="28"/>
      <c r="F130" s="85"/>
      <c r="G130" s="28"/>
      <c r="H130" s="28"/>
      <c r="I130" s="18"/>
      <c r="J130" s="3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22.5" customHeight="1">
      <c r="A131" s="18"/>
      <c r="B131" s="18"/>
      <c r="C131" s="40"/>
      <c r="D131" s="18"/>
      <c r="E131" s="28"/>
      <c r="F131" s="85"/>
      <c r="G131" s="28"/>
      <c r="H131" s="28"/>
      <c r="I131" s="18"/>
      <c r="J131" s="3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22.5" customHeight="1">
      <c r="A132" s="18"/>
      <c r="B132" s="18"/>
      <c r="C132" s="40"/>
      <c r="D132" s="18"/>
      <c r="E132" s="28"/>
      <c r="F132" s="85"/>
      <c r="G132" s="28"/>
      <c r="H132" s="28"/>
      <c r="I132" s="18"/>
      <c r="J132" s="3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22.5" customHeight="1">
      <c r="A133" s="18"/>
      <c r="B133" s="18"/>
      <c r="C133" s="40"/>
      <c r="D133" s="18"/>
      <c r="E133" s="28"/>
      <c r="F133" s="85"/>
      <c r="G133" s="28"/>
      <c r="H133" s="28"/>
      <c r="I133" s="18"/>
      <c r="J133" s="3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22.5" customHeight="1">
      <c r="A134" s="18"/>
      <c r="B134" s="18"/>
      <c r="C134" s="40"/>
      <c r="D134" s="18"/>
      <c r="E134" s="28"/>
      <c r="F134" s="85"/>
      <c r="G134" s="28"/>
      <c r="H134" s="28"/>
      <c r="I134" s="18"/>
      <c r="J134" s="3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22.5" customHeight="1">
      <c r="A135" s="18"/>
      <c r="B135" s="18"/>
      <c r="C135" s="40"/>
      <c r="D135" s="18"/>
      <c r="E135" s="28"/>
      <c r="F135" s="85"/>
      <c r="G135" s="28"/>
      <c r="H135" s="28"/>
      <c r="I135" s="18"/>
      <c r="J135" s="3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22.5" customHeight="1">
      <c r="A136" s="18"/>
      <c r="B136" s="18"/>
      <c r="C136" s="40"/>
      <c r="D136" s="18"/>
      <c r="E136" s="28"/>
      <c r="F136" s="85"/>
      <c r="G136" s="28"/>
      <c r="H136" s="28"/>
      <c r="I136" s="18"/>
      <c r="J136" s="3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22.5" customHeight="1">
      <c r="A137" s="18"/>
      <c r="B137" s="18"/>
      <c r="C137" s="40"/>
      <c r="D137" s="18"/>
      <c r="E137" s="28"/>
      <c r="F137" s="85"/>
      <c r="G137" s="28"/>
      <c r="H137" s="28"/>
      <c r="I137" s="18"/>
      <c r="J137" s="3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22.5" customHeight="1">
      <c r="A138" s="18"/>
      <c r="B138" s="18"/>
      <c r="C138" s="40"/>
      <c r="D138" s="18"/>
      <c r="E138" s="28"/>
      <c r="F138" s="85"/>
      <c r="G138" s="28"/>
      <c r="H138" s="28"/>
      <c r="I138" s="18"/>
      <c r="J138" s="3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22.5" customHeight="1">
      <c r="A139" s="18"/>
      <c r="B139" s="18"/>
      <c r="C139" s="40"/>
      <c r="D139" s="18"/>
      <c r="E139" s="28"/>
      <c r="F139" s="85"/>
      <c r="G139" s="28"/>
      <c r="H139" s="28"/>
      <c r="I139" s="18"/>
      <c r="J139" s="3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22.5" customHeight="1">
      <c r="A140" s="18"/>
      <c r="B140" s="18"/>
      <c r="C140" s="40"/>
      <c r="D140" s="18"/>
      <c r="E140" s="28"/>
      <c r="F140" s="85"/>
      <c r="G140" s="28"/>
      <c r="H140" s="28"/>
      <c r="I140" s="18"/>
      <c r="J140" s="3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22.5" customHeight="1">
      <c r="A141" s="18"/>
      <c r="B141" s="18"/>
      <c r="C141" s="40"/>
      <c r="D141" s="18"/>
      <c r="E141" s="28"/>
      <c r="F141" s="85"/>
      <c r="G141" s="28"/>
      <c r="H141" s="28"/>
      <c r="I141" s="18"/>
      <c r="J141" s="3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22.5" customHeight="1">
      <c r="A142" s="18"/>
      <c r="B142" s="18"/>
      <c r="C142" s="40"/>
      <c r="D142" s="18"/>
      <c r="E142" s="28"/>
      <c r="F142" s="85"/>
      <c r="G142" s="28"/>
      <c r="H142" s="28"/>
      <c r="I142" s="18"/>
      <c r="J142" s="3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22.5" customHeight="1">
      <c r="A143" s="18"/>
      <c r="B143" s="18"/>
      <c r="C143" s="40"/>
      <c r="D143" s="18"/>
      <c r="E143" s="28"/>
      <c r="F143" s="85"/>
      <c r="G143" s="28"/>
      <c r="H143" s="28"/>
      <c r="I143" s="18"/>
      <c r="J143" s="3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22.5" customHeight="1">
      <c r="A144" s="18"/>
      <c r="B144" s="18"/>
      <c r="C144" s="40"/>
      <c r="D144" s="18"/>
      <c r="E144" s="28"/>
      <c r="F144" s="85"/>
      <c r="G144" s="28"/>
      <c r="H144" s="28"/>
      <c r="I144" s="18"/>
      <c r="J144" s="3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22.5" customHeight="1">
      <c r="A145" s="18"/>
      <c r="B145" s="18"/>
      <c r="C145" s="40"/>
      <c r="D145" s="18"/>
      <c r="E145" s="28"/>
      <c r="F145" s="85"/>
      <c r="G145" s="28"/>
      <c r="H145" s="28"/>
      <c r="I145" s="18"/>
      <c r="J145" s="3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22.5" customHeight="1">
      <c r="A146" s="18"/>
      <c r="B146" s="18"/>
      <c r="C146" s="40"/>
      <c r="D146" s="18"/>
      <c r="E146" s="28"/>
      <c r="F146" s="85"/>
      <c r="G146" s="28"/>
      <c r="H146" s="28"/>
      <c r="I146" s="18"/>
      <c r="J146" s="3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22.5" customHeight="1">
      <c r="A147" s="18"/>
      <c r="B147" s="18"/>
      <c r="C147" s="40"/>
      <c r="D147" s="18"/>
      <c r="E147" s="28"/>
      <c r="F147" s="85"/>
      <c r="G147" s="28"/>
      <c r="H147" s="28"/>
      <c r="I147" s="18"/>
      <c r="J147" s="3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22.5" customHeight="1">
      <c r="A148" s="18"/>
      <c r="B148" s="18"/>
      <c r="C148" s="40"/>
      <c r="D148" s="18"/>
      <c r="E148" s="28"/>
      <c r="F148" s="85"/>
      <c r="G148" s="28"/>
      <c r="H148" s="28"/>
      <c r="I148" s="18"/>
      <c r="J148" s="3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22.5" customHeight="1">
      <c r="A149" s="18"/>
      <c r="B149" s="18"/>
      <c r="C149" s="40"/>
      <c r="D149" s="18"/>
      <c r="E149" s="28"/>
      <c r="F149" s="85"/>
      <c r="G149" s="28"/>
      <c r="H149" s="28"/>
      <c r="I149" s="18"/>
      <c r="J149" s="3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22.5" customHeight="1">
      <c r="A150" s="18"/>
      <c r="B150" s="18"/>
      <c r="C150" s="40"/>
      <c r="D150" s="18"/>
      <c r="E150" s="28"/>
      <c r="F150" s="85"/>
      <c r="G150" s="28"/>
      <c r="H150" s="28"/>
      <c r="I150" s="18"/>
      <c r="J150" s="3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22.5" customHeight="1">
      <c r="A151" s="18"/>
      <c r="B151" s="18"/>
      <c r="C151" s="40"/>
      <c r="D151" s="18"/>
      <c r="E151" s="28"/>
      <c r="F151" s="85"/>
      <c r="G151" s="28"/>
      <c r="H151" s="28"/>
      <c r="I151" s="18"/>
      <c r="J151" s="3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22.5" customHeight="1">
      <c r="A152" s="18"/>
      <c r="B152" s="18"/>
      <c r="C152" s="40"/>
      <c r="D152" s="18"/>
      <c r="E152" s="28"/>
      <c r="F152" s="85"/>
      <c r="G152" s="28"/>
      <c r="H152" s="28"/>
      <c r="I152" s="18"/>
      <c r="J152" s="3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22.5" customHeight="1">
      <c r="A153" s="18"/>
      <c r="B153" s="18"/>
      <c r="C153" s="40"/>
      <c r="D153" s="18"/>
      <c r="E153" s="28"/>
      <c r="F153" s="85"/>
      <c r="G153" s="28"/>
      <c r="H153" s="28"/>
      <c r="I153" s="18"/>
      <c r="J153" s="3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22.5" customHeight="1">
      <c r="A154" s="18"/>
      <c r="B154" s="18"/>
      <c r="C154" s="40"/>
      <c r="D154" s="18"/>
      <c r="E154" s="28"/>
      <c r="F154" s="85"/>
      <c r="G154" s="28"/>
      <c r="H154" s="28"/>
      <c r="I154" s="18"/>
      <c r="J154" s="3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22.5" customHeight="1">
      <c r="A155" s="18"/>
      <c r="B155" s="18"/>
      <c r="C155" s="40"/>
      <c r="D155" s="18"/>
      <c r="E155" s="28"/>
      <c r="F155" s="85"/>
      <c r="G155" s="28"/>
      <c r="H155" s="28"/>
      <c r="I155" s="18"/>
      <c r="J155" s="3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22.5" customHeight="1">
      <c r="A156" s="18"/>
      <c r="B156" s="18"/>
      <c r="C156" s="40"/>
      <c r="D156" s="18"/>
      <c r="E156" s="28"/>
      <c r="F156" s="85"/>
      <c r="G156" s="28"/>
      <c r="H156" s="28"/>
      <c r="I156" s="18"/>
      <c r="J156" s="3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22.5" customHeight="1">
      <c r="A157" s="18"/>
      <c r="B157" s="18"/>
      <c r="C157" s="40"/>
      <c r="D157" s="18"/>
      <c r="E157" s="28"/>
      <c r="F157" s="85"/>
      <c r="G157" s="28"/>
      <c r="H157" s="28"/>
      <c r="I157" s="18"/>
      <c r="J157" s="3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22.5" customHeight="1">
      <c r="A158" s="18"/>
      <c r="B158" s="18"/>
      <c r="C158" s="40"/>
      <c r="D158" s="18"/>
      <c r="E158" s="28"/>
      <c r="F158" s="85"/>
      <c r="G158" s="28"/>
      <c r="H158" s="28"/>
      <c r="I158" s="18"/>
      <c r="J158" s="3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22.5" customHeight="1">
      <c r="A159" s="18"/>
      <c r="B159" s="18"/>
      <c r="C159" s="40"/>
      <c r="D159" s="18"/>
      <c r="E159" s="28"/>
      <c r="F159" s="85"/>
      <c r="G159" s="28"/>
      <c r="H159" s="28"/>
      <c r="I159" s="18"/>
      <c r="J159" s="3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22.5" customHeight="1">
      <c r="A160" s="18"/>
      <c r="B160" s="18"/>
      <c r="C160" s="40"/>
      <c r="D160" s="18"/>
      <c r="E160" s="28"/>
      <c r="F160" s="85"/>
      <c r="G160" s="28"/>
      <c r="H160" s="28"/>
      <c r="I160" s="18"/>
      <c r="J160" s="3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22.5" customHeight="1">
      <c r="A161" s="18"/>
      <c r="B161" s="18"/>
      <c r="C161" s="40"/>
      <c r="D161" s="18"/>
      <c r="E161" s="28"/>
      <c r="F161" s="85"/>
      <c r="G161" s="28"/>
      <c r="H161" s="28"/>
      <c r="I161" s="18"/>
      <c r="J161" s="3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22.5" customHeight="1">
      <c r="A162" s="18"/>
      <c r="B162" s="18"/>
      <c r="C162" s="40"/>
      <c r="D162" s="18"/>
      <c r="E162" s="28"/>
      <c r="F162" s="85"/>
      <c r="G162" s="28"/>
      <c r="H162" s="28"/>
      <c r="I162" s="18"/>
      <c r="J162" s="3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22.5" customHeight="1">
      <c r="A163" s="18"/>
      <c r="B163" s="18"/>
      <c r="C163" s="40"/>
      <c r="D163" s="18"/>
      <c r="E163" s="28"/>
      <c r="F163" s="85"/>
      <c r="G163" s="28"/>
      <c r="H163" s="28"/>
      <c r="I163" s="18"/>
      <c r="J163" s="3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22.5" customHeight="1">
      <c r="A164" s="18"/>
      <c r="B164" s="18"/>
      <c r="C164" s="40"/>
      <c r="D164" s="18"/>
      <c r="E164" s="28"/>
      <c r="F164" s="85"/>
      <c r="G164" s="28"/>
      <c r="H164" s="28"/>
      <c r="I164" s="18"/>
      <c r="J164" s="3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22.5" customHeight="1">
      <c r="A165" s="18"/>
      <c r="B165" s="18"/>
      <c r="C165" s="40"/>
      <c r="D165" s="18"/>
      <c r="E165" s="28"/>
      <c r="F165" s="85"/>
      <c r="G165" s="28"/>
      <c r="H165" s="28"/>
      <c r="I165" s="18"/>
      <c r="J165" s="3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22.5" customHeight="1">
      <c r="A166" s="18"/>
      <c r="B166" s="18"/>
      <c r="C166" s="40"/>
      <c r="D166" s="18"/>
      <c r="E166" s="28"/>
      <c r="F166" s="85"/>
      <c r="G166" s="28"/>
      <c r="H166" s="28"/>
      <c r="I166" s="18"/>
      <c r="J166" s="3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22.5" customHeight="1">
      <c r="A167" s="18"/>
      <c r="B167" s="18"/>
      <c r="C167" s="40"/>
      <c r="D167" s="18"/>
      <c r="E167" s="28"/>
      <c r="F167" s="85"/>
      <c r="G167" s="28"/>
      <c r="H167" s="28"/>
      <c r="I167" s="18"/>
      <c r="J167" s="3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22.5" customHeight="1">
      <c r="A168" s="18"/>
      <c r="B168" s="18"/>
      <c r="C168" s="40"/>
      <c r="D168" s="18"/>
      <c r="E168" s="28"/>
      <c r="F168" s="85"/>
      <c r="G168" s="28"/>
      <c r="H168" s="28"/>
      <c r="I168" s="18"/>
      <c r="J168" s="3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22.5" customHeight="1">
      <c r="A169" s="18"/>
      <c r="B169" s="18"/>
      <c r="C169" s="40"/>
      <c r="D169" s="18"/>
      <c r="E169" s="28"/>
      <c r="F169" s="85"/>
      <c r="G169" s="28"/>
      <c r="H169" s="28"/>
      <c r="I169" s="18"/>
      <c r="J169" s="3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22.5" customHeight="1">
      <c r="A170" s="18"/>
      <c r="B170" s="18"/>
      <c r="C170" s="40"/>
      <c r="D170" s="18"/>
      <c r="E170" s="28"/>
      <c r="F170" s="85"/>
      <c r="G170" s="28"/>
      <c r="H170" s="28"/>
      <c r="I170" s="18"/>
      <c r="J170" s="3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22.5" customHeight="1">
      <c r="A171" s="18"/>
      <c r="B171" s="18"/>
      <c r="C171" s="40"/>
      <c r="D171" s="18"/>
      <c r="E171" s="28"/>
      <c r="F171" s="85"/>
      <c r="G171" s="28"/>
      <c r="H171" s="28"/>
      <c r="I171" s="18"/>
      <c r="J171" s="3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22.5" customHeight="1">
      <c r="A172" s="18"/>
      <c r="B172" s="18"/>
      <c r="C172" s="40"/>
      <c r="D172" s="18"/>
      <c r="E172" s="28"/>
      <c r="F172" s="85"/>
      <c r="G172" s="28"/>
      <c r="H172" s="28"/>
      <c r="I172" s="18"/>
      <c r="J172" s="3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22.5" customHeight="1">
      <c r="A173" s="18"/>
      <c r="B173" s="18"/>
      <c r="C173" s="40"/>
      <c r="D173" s="18"/>
      <c r="E173" s="28"/>
      <c r="F173" s="85"/>
      <c r="G173" s="28"/>
      <c r="H173" s="28"/>
      <c r="I173" s="18"/>
      <c r="J173" s="3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22.5" customHeight="1">
      <c r="A174" s="18"/>
      <c r="B174" s="18"/>
      <c r="C174" s="40"/>
      <c r="D174" s="18"/>
      <c r="E174" s="28"/>
      <c r="F174" s="85"/>
      <c r="G174" s="28"/>
      <c r="H174" s="28"/>
      <c r="I174" s="18"/>
      <c r="J174" s="3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22.5" customHeight="1">
      <c r="A175" s="18"/>
      <c r="B175" s="18"/>
      <c r="C175" s="40"/>
      <c r="D175" s="18"/>
      <c r="E175" s="28"/>
      <c r="F175" s="85"/>
      <c r="G175" s="28"/>
      <c r="H175" s="28"/>
      <c r="I175" s="18"/>
      <c r="J175" s="3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22.5" customHeight="1">
      <c r="A176" s="18"/>
      <c r="B176" s="18"/>
      <c r="C176" s="40"/>
      <c r="D176" s="18"/>
      <c r="E176" s="28"/>
      <c r="F176" s="85"/>
      <c r="G176" s="28"/>
      <c r="H176" s="28"/>
      <c r="I176" s="18"/>
      <c r="J176" s="3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22.5" customHeight="1">
      <c r="A177" s="18"/>
      <c r="B177" s="18"/>
      <c r="C177" s="40"/>
      <c r="D177" s="18"/>
      <c r="E177" s="28"/>
      <c r="F177" s="85"/>
      <c r="G177" s="28"/>
      <c r="H177" s="28"/>
      <c r="I177" s="18"/>
      <c r="J177" s="3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22.5" customHeight="1">
      <c r="A178" s="18"/>
      <c r="B178" s="18"/>
      <c r="C178" s="40"/>
      <c r="D178" s="18"/>
      <c r="E178" s="28"/>
      <c r="F178" s="85"/>
      <c r="G178" s="28"/>
      <c r="H178" s="28"/>
      <c r="I178" s="18"/>
      <c r="J178" s="3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22.5" customHeight="1">
      <c r="A179" s="18"/>
      <c r="B179" s="18"/>
      <c r="C179" s="40"/>
      <c r="D179" s="18"/>
      <c r="E179" s="28"/>
      <c r="F179" s="85"/>
      <c r="G179" s="28"/>
      <c r="H179" s="28"/>
      <c r="I179" s="18"/>
      <c r="J179" s="3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22.5" customHeight="1">
      <c r="A180" s="18"/>
      <c r="B180" s="18"/>
      <c r="C180" s="40"/>
      <c r="D180" s="18"/>
      <c r="E180" s="28"/>
      <c r="F180" s="85"/>
      <c r="G180" s="28"/>
      <c r="H180" s="28"/>
      <c r="I180" s="18"/>
      <c r="J180" s="3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22.5" customHeight="1">
      <c r="A181" s="18"/>
      <c r="B181" s="18"/>
      <c r="C181" s="40"/>
      <c r="D181" s="18"/>
      <c r="E181" s="28"/>
      <c r="F181" s="85"/>
      <c r="G181" s="28"/>
      <c r="H181" s="28"/>
      <c r="I181" s="18"/>
      <c r="J181" s="3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22.5" customHeight="1">
      <c r="A182" s="18"/>
      <c r="B182" s="18"/>
      <c r="C182" s="40"/>
      <c r="D182" s="18"/>
      <c r="E182" s="28"/>
      <c r="F182" s="85"/>
      <c r="G182" s="28"/>
      <c r="H182" s="28"/>
      <c r="I182" s="18"/>
      <c r="J182" s="3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22.5" customHeight="1">
      <c r="A183" s="18"/>
      <c r="B183" s="18"/>
      <c r="C183" s="40"/>
      <c r="D183" s="18"/>
      <c r="E183" s="28"/>
      <c r="F183" s="85"/>
      <c r="G183" s="28"/>
      <c r="H183" s="28"/>
      <c r="I183" s="18"/>
      <c r="J183" s="3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22.5" customHeight="1">
      <c r="A184" s="18"/>
      <c r="B184" s="18"/>
      <c r="C184" s="40"/>
      <c r="D184" s="18"/>
      <c r="E184" s="28"/>
      <c r="F184" s="85"/>
      <c r="G184" s="28"/>
      <c r="H184" s="28"/>
      <c r="I184" s="18"/>
      <c r="J184" s="3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22.5" customHeight="1">
      <c r="A185" s="18"/>
      <c r="B185" s="18"/>
      <c r="C185" s="40"/>
      <c r="D185" s="18"/>
      <c r="E185" s="28"/>
      <c r="F185" s="85"/>
      <c r="G185" s="28"/>
      <c r="H185" s="28"/>
      <c r="I185" s="18"/>
      <c r="J185" s="3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22.5" customHeight="1">
      <c r="A186" s="18"/>
      <c r="B186" s="18"/>
      <c r="C186" s="40"/>
      <c r="D186" s="18"/>
      <c r="E186" s="28"/>
      <c r="F186" s="85"/>
      <c r="G186" s="28"/>
      <c r="H186" s="28"/>
      <c r="I186" s="18"/>
      <c r="J186" s="3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22.5" customHeight="1">
      <c r="A187" s="18"/>
      <c r="B187" s="18"/>
      <c r="C187" s="40"/>
      <c r="D187" s="18"/>
      <c r="E187" s="28"/>
      <c r="F187" s="85"/>
      <c r="G187" s="28"/>
      <c r="H187" s="28"/>
      <c r="I187" s="18"/>
      <c r="J187" s="3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22.5" customHeight="1">
      <c r="A188" s="18"/>
      <c r="B188" s="18"/>
      <c r="C188" s="40"/>
      <c r="D188" s="18"/>
      <c r="E188" s="28"/>
      <c r="F188" s="85"/>
      <c r="G188" s="28"/>
      <c r="H188" s="28"/>
      <c r="I188" s="18"/>
      <c r="J188" s="3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22.5" customHeight="1">
      <c r="A189" s="18"/>
      <c r="B189" s="18"/>
      <c r="C189" s="40"/>
      <c r="D189" s="18"/>
      <c r="E189" s="28"/>
      <c r="F189" s="85"/>
      <c r="G189" s="28"/>
      <c r="H189" s="28"/>
      <c r="I189" s="18"/>
      <c r="J189" s="3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22.5" customHeight="1">
      <c r="A190" s="18"/>
      <c r="B190" s="18"/>
      <c r="C190" s="40"/>
      <c r="D190" s="18"/>
      <c r="E190" s="28"/>
      <c r="F190" s="85"/>
      <c r="G190" s="28"/>
      <c r="H190" s="28"/>
      <c r="I190" s="18"/>
      <c r="J190" s="3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22.5" customHeight="1">
      <c r="A191" s="18"/>
      <c r="B191" s="18"/>
      <c r="C191" s="40"/>
      <c r="D191" s="18"/>
      <c r="E191" s="28"/>
      <c r="F191" s="85"/>
      <c r="G191" s="28"/>
      <c r="H191" s="28"/>
      <c r="I191" s="18"/>
      <c r="J191" s="3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22.5" customHeight="1">
      <c r="A192" s="18"/>
      <c r="B192" s="18"/>
      <c r="C192" s="40"/>
      <c r="D192" s="18"/>
      <c r="E192" s="28"/>
      <c r="F192" s="85"/>
      <c r="G192" s="28"/>
      <c r="H192" s="28"/>
      <c r="I192" s="18"/>
      <c r="J192" s="3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22.5" customHeight="1">
      <c r="A193" s="18"/>
      <c r="B193" s="18"/>
      <c r="C193" s="40"/>
      <c r="D193" s="18"/>
      <c r="E193" s="28"/>
      <c r="F193" s="85"/>
      <c r="G193" s="28"/>
      <c r="H193" s="28"/>
      <c r="I193" s="18"/>
      <c r="J193" s="3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22.5" customHeight="1">
      <c r="A194" s="18"/>
      <c r="B194" s="18"/>
      <c r="C194" s="40"/>
      <c r="D194" s="18"/>
      <c r="E194" s="28"/>
      <c r="F194" s="85"/>
      <c r="G194" s="28"/>
      <c r="H194" s="28"/>
      <c r="I194" s="18"/>
      <c r="J194" s="3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22.5" customHeight="1">
      <c r="A195" s="18"/>
      <c r="B195" s="18"/>
      <c r="C195" s="40"/>
      <c r="D195" s="18"/>
      <c r="E195" s="28"/>
      <c r="F195" s="85"/>
      <c r="G195" s="28"/>
      <c r="H195" s="28"/>
      <c r="I195" s="18"/>
      <c r="J195" s="3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22.5" customHeight="1">
      <c r="A196" s="18"/>
      <c r="B196" s="18"/>
      <c r="C196" s="40"/>
      <c r="D196" s="18"/>
      <c r="E196" s="28"/>
      <c r="F196" s="85"/>
      <c r="G196" s="28"/>
      <c r="H196" s="28"/>
      <c r="I196" s="18"/>
      <c r="J196" s="3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22.5" customHeight="1">
      <c r="A197" s="18"/>
      <c r="B197" s="18"/>
      <c r="C197" s="40"/>
      <c r="D197" s="18"/>
      <c r="E197" s="28"/>
      <c r="F197" s="85"/>
      <c r="G197" s="28"/>
      <c r="H197" s="28"/>
      <c r="I197" s="18"/>
      <c r="J197" s="3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22.5" customHeight="1">
      <c r="A198" s="18"/>
      <c r="B198" s="18"/>
      <c r="C198" s="40"/>
      <c r="D198" s="18"/>
      <c r="E198" s="28"/>
      <c r="F198" s="85"/>
      <c r="G198" s="28"/>
      <c r="H198" s="28"/>
      <c r="I198" s="18"/>
      <c r="J198" s="3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22.5" customHeight="1">
      <c r="A199" s="18"/>
      <c r="B199" s="18"/>
      <c r="C199" s="40"/>
      <c r="D199" s="18"/>
      <c r="E199" s="28"/>
      <c r="F199" s="85"/>
      <c r="G199" s="28"/>
      <c r="H199" s="28"/>
      <c r="I199" s="18"/>
      <c r="J199" s="3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22.5" customHeight="1">
      <c r="A200" s="18"/>
      <c r="B200" s="18"/>
      <c r="C200" s="40"/>
      <c r="D200" s="18"/>
      <c r="E200" s="28"/>
      <c r="F200" s="85"/>
      <c r="G200" s="28"/>
      <c r="H200" s="28"/>
      <c r="I200" s="18"/>
      <c r="J200" s="3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22.5" customHeight="1">
      <c r="A201" s="18"/>
      <c r="B201" s="18"/>
      <c r="C201" s="40"/>
      <c r="D201" s="18"/>
      <c r="E201" s="28"/>
      <c r="F201" s="85"/>
      <c r="G201" s="28"/>
      <c r="H201" s="28"/>
      <c r="I201" s="18"/>
      <c r="J201" s="3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22.5" customHeight="1">
      <c r="A202" s="18"/>
      <c r="B202" s="18"/>
      <c r="C202" s="40"/>
      <c r="D202" s="18"/>
      <c r="E202" s="28"/>
      <c r="F202" s="85"/>
      <c r="G202" s="28"/>
      <c r="H202" s="28"/>
      <c r="I202" s="18"/>
      <c r="J202" s="3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22.5" customHeight="1">
      <c r="A203" s="18"/>
      <c r="B203" s="18"/>
      <c r="C203" s="40"/>
      <c r="D203" s="18"/>
      <c r="E203" s="28"/>
      <c r="F203" s="85"/>
      <c r="G203" s="28"/>
      <c r="H203" s="28"/>
      <c r="I203" s="18"/>
      <c r="J203" s="3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22.5" customHeight="1">
      <c r="A204" s="18"/>
      <c r="B204" s="18"/>
      <c r="C204" s="40"/>
      <c r="D204" s="18"/>
      <c r="E204" s="28"/>
      <c r="F204" s="85"/>
      <c r="G204" s="28"/>
      <c r="H204" s="28"/>
      <c r="I204" s="18"/>
      <c r="J204" s="3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22.5" customHeight="1">
      <c r="A205" s="18"/>
      <c r="B205" s="18"/>
      <c r="C205" s="40"/>
      <c r="D205" s="18"/>
      <c r="E205" s="28"/>
      <c r="F205" s="85"/>
      <c r="G205" s="28"/>
      <c r="H205" s="28"/>
      <c r="I205" s="18"/>
      <c r="J205" s="3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22.5" customHeight="1">
      <c r="A206" s="18"/>
      <c r="B206" s="18"/>
      <c r="C206" s="40"/>
      <c r="D206" s="18"/>
      <c r="E206" s="28"/>
      <c r="F206" s="85"/>
      <c r="G206" s="28"/>
      <c r="H206" s="28"/>
      <c r="I206" s="18"/>
      <c r="J206" s="3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22.5" customHeight="1">
      <c r="A207" s="18"/>
      <c r="B207" s="18"/>
      <c r="C207" s="40"/>
      <c r="D207" s="18"/>
      <c r="E207" s="28"/>
      <c r="F207" s="85"/>
      <c r="G207" s="28"/>
      <c r="H207" s="28"/>
      <c r="I207" s="18"/>
      <c r="J207" s="3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22.5" customHeight="1">
      <c r="A208" s="18"/>
      <c r="B208" s="18"/>
      <c r="C208" s="40"/>
      <c r="D208" s="18"/>
      <c r="E208" s="28"/>
      <c r="F208" s="85"/>
      <c r="G208" s="28"/>
      <c r="H208" s="28"/>
      <c r="I208" s="18"/>
      <c r="J208" s="3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22.5" customHeight="1">
      <c r="A209" s="18"/>
      <c r="B209" s="18"/>
      <c r="C209" s="40"/>
      <c r="D209" s="18"/>
      <c r="E209" s="28"/>
      <c r="F209" s="85"/>
      <c r="G209" s="28"/>
      <c r="H209" s="28"/>
      <c r="I209" s="18"/>
      <c r="J209" s="3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22.5" customHeight="1">
      <c r="A210" s="18"/>
      <c r="B210" s="18"/>
      <c r="C210" s="40"/>
      <c r="D210" s="18"/>
      <c r="E210" s="28"/>
      <c r="F210" s="85"/>
      <c r="G210" s="28"/>
      <c r="H210" s="28"/>
      <c r="I210" s="18"/>
      <c r="J210" s="3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22.5" customHeight="1">
      <c r="A211" s="18"/>
      <c r="B211" s="18"/>
      <c r="C211" s="40"/>
      <c r="D211" s="18"/>
      <c r="E211" s="28"/>
      <c r="F211" s="85"/>
      <c r="G211" s="28"/>
      <c r="H211" s="28"/>
      <c r="I211" s="18"/>
      <c r="J211" s="3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22.5" customHeight="1">
      <c r="A212" s="18"/>
      <c r="B212" s="18"/>
      <c r="C212" s="40"/>
      <c r="D212" s="18"/>
      <c r="E212" s="28"/>
      <c r="F212" s="85"/>
      <c r="G212" s="28"/>
      <c r="H212" s="28"/>
      <c r="I212" s="18"/>
      <c r="J212" s="3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22.5" customHeight="1">
      <c r="A213" s="18"/>
      <c r="B213" s="18"/>
      <c r="C213" s="40"/>
      <c r="D213" s="18"/>
      <c r="E213" s="28"/>
      <c r="F213" s="85"/>
      <c r="G213" s="28"/>
      <c r="H213" s="28"/>
      <c r="I213" s="18"/>
      <c r="J213" s="3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22.5" customHeight="1">
      <c r="A214" s="18"/>
      <c r="B214" s="18"/>
      <c r="C214" s="40"/>
      <c r="D214" s="18"/>
      <c r="E214" s="28"/>
      <c r="F214" s="85"/>
      <c r="G214" s="28"/>
      <c r="H214" s="28"/>
      <c r="I214" s="18"/>
      <c r="J214" s="3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22.5" customHeight="1">
      <c r="A215" s="18"/>
      <c r="B215" s="18"/>
      <c r="C215" s="40"/>
      <c r="D215" s="18"/>
      <c r="E215" s="28"/>
      <c r="F215" s="85"/>
      <c r="G215" s="28"/>
      <c r="H215" s="28"/>
      <c r="I215" s="18"/>
      <c r="J215" s="3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22.5" customHeight="1">
      <c r="A216" s="18"/>
      <c r="B216" s="18"/>
      <c r="C216" s="40"/>
      <c r="D216" s="18"/>
      <c r="E216" s="28"/>
      <c r="F216" s="85"/>
      <c r="G216" s="28"/>
      <c r="H216" s="28"/>
      <c r="I216" s="18"/>
      <c r="J216" s="3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22.5" customHeight="1">
      <c r="A217" s="18"/>
      <c r="B217" s="18"/>
      <c r="C217" s="40"/>
      <c r="D217" s="18"/>
      <c r="E217" s="28"/>
      <c r="F217" s="85"/>
      <c r="G217" s="28"/>
      <c r="H217" s="28"/>
      <c r="I217" s="18"/>
      <c r="J217" s="3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22.5" customHeight="1">
      <c r="A218" s="18"/>
      <c r="B218" s="18"/>
      <c r="C218" s="40"/>
      <c r="D218" s="18"/>
      <c r="E218" s="28"/>
      <c r="F218" s="85"/>
      <c r="G218" s="28"/>
      <c r="H218" s="28"/>
      <c r="I218" s="18"/>
      <c r="J218" s="3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22.5" customHeight="1">
      <c r="A219" s="18"/>
      <c r="B219" s="18"/>
      <c r="C219" s="40"/>
      <c r="D219" s="18"/>
      <c r="E219" s="28"/>
      <c r="F219" s="85"/>
      <c r="G219" s="28"/>
      <c r="H219" s="28"/>
      <c r="I219" s="18"/>
      <c r="J219" s="3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22.5" customHeight="1">
      <c r="A220" s="18"/>
      <c r="B220" s="18"/>
      <c r="C220" s="40"/>
      <c r="D220" s="18"/>
      <c r="E220" s="28"/>
      <c r="F220" s="85"/>
      <c r="G220" s="28"/>
      <c r="H220" s="28"/>
      <c r="I220" s="18"/>
      <c r="J220" s="3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22.5" customHeight="1">
      <c r="A221" s="18"/>
      <c r="B221" s="18"/>
      <c r="C221" s="40"/>
      <c r="D221" s="18"/>
      <c r="E221" s="28"/>
      <c r="F221" s="85"/>
      <c r="G221" s="28"/>
      <c r="H221" s="28"/>
      <c r="I221" s="18"/>
      <c r="J221" s="3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22.5" customHeight="1">
      <c r="A222" s="18"/>
      <c r="B222" s="18"/>
      <c r="C222" s="40"/>
      <c r="D222" s="18"/>
      <c r="E222" s="28"/>
      <c r="F222" s="85"/>
      <c r="G222" s="28"/>
      <c r="H222" s="28"/>
      <c r="I222" s="18"/>
      <c r="J222" s="3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22.5" customHeight="1">
      <c r="A223" s="18"/>
      <c r="B223" s="18"/>
      <c r="C223" s="40"/>
      <c r="D223" s="18"/>
      <c r="E223" s="28"/>
      <c r="F223" s="85"/>
      <c r="G223" s="28"/>
      <c r="H223" s="28"/>
      <c r="I223" s="18"/>
      <c r="J223" s="3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22.5" customHeight="1">
      <c r="A224" s="18"/>
      <c r="B224" s="18"/>
      <c r="C224" s="40"/>
      <c r="D224" s="18"/>
      <c r="E224" s="28"/>
      <c r="F224" s="85"/>
      <c r="G224" s="28"/>
      <c r="H224" s="28"/>
      <c r="I224" s="18"/>
      <c r="J224" s="3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22.5" customHeight="1">
      <c r="A225" s="18"/>
      <c r="B225" s="18"/>
      <c r="C225" s="40"/>
      <c r="D225" s="18"/>
      <c r="E225" s="28"/>
      <c r="F225" s="85"/>
      <c r="G225" s="28"/>
      <c r="H225" s="28"/>
      <c r="I225" s="18"/>
      <c r="J225" s="3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22.5" customHeight="1">
      <c r="A226" s="18"/>
      <c r="B226" s="18"/>
      <c r="C226" s="40"/>
      <c r="D226" s="18"/>
      <c r="E226" s="28"/>
      <c r="F226" s="85"/>
      <c r="G226" s="28"/>
      <c r="H226" s="28"/>
      <c r="I226" s="18"/>
      <c r="J226" s="3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22.5" customHeight="1">
      <c r="A227" s="18"/>
      <c r="B227" s="18"/>
      <c r="C227" s="40"/>
      <c r="D227" s="18"/>
      <c r="E227" s="28"/>
      <c r="F227" s="85"/>
      <c r="G227" s="28"/>
      <c r="H227" s="28"/>
      <c r="I227" s="18"/>
      <c r="J227" s="3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22.5" customHeight="1">
      <c r="A228" s="18"/>
      <c r="B228" s="18"/>
      <c r="C228" s="40"/>
      <c r="D228" s="18"/>
      <c r="E228" s="28"/>
      <c r="F228" s="85"/>
      <c r="G228" s="28"/>
      <c r="H228" s="28"/>
      <c r="I228" s="18"/>
      <c r="J228" s="3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22.5" customHeight="1">
      <c r="A229" s="18"/>
      <c r="B229" s="18"/>
      <c r="C229" s="40"/>
      <c r="D229" s="18"/>
      <c r="E229" s="28"/>
      <c r="F229" s="85"/>
      <c r="G229" s="28"/>
      <c r="H229" s="28"/>
      <c r="I229" s="18"/>
      <c r="J229" s="3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1:I1"/>
    <mergeCell ref="A3:B3"/>
    <mergeCell ref="C3:D3"/>
    <mergeCell ref="E3:F3"/>
    <mergeCell ref="C29:D29"/>
  </mergeCells>
  <dataValidations>
    <dataValidation type="decimal" allowBlank="1" showInputMessage="1" showErrorMessage="1" prompt="Erro - Digite apenas números inteiros entre 0 e 1000" sqref="E8">
      <formula1>0.0</formula1>
      <formula2>1000.0</formula2>
    </dataValidation>
    <dataValidation type="list" allowBlank="1" sqref="E10 E14 E16:E24 E26">
      <formula1>"Sim,Não"</formula1>
    </dataValidation>
    <dataValidation type="list" allowBlank="1" showInputMessage="1" prompt="Regime de impostos - Caso não seja alguma das opções da lista basta digitar a sua" sqref="E12">
      <formula1>"MEI,Simples,Lucro Real,Lucro Presumido,NÃO SEI"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1.0"/>
    <col customWidth="1" min="2" max="12" width="15.11"/>
    <col customWidth="1" min="13" max="14" width="2.67"/>
    <col customWidth="1" min="15" max="21" width="10.78"/>
    <col customWidth="1" min="22" max="22" width="15.33"/>
    <col customWidth="1" min="23" max="23" width="4.0"/>
    <col customWidth="1" min="24" max="25" width="10.78"/>
    <col customWidth="1" min="26" max="26" width="7.78"/>
    <col customWidth="1" min="27" max="28" width="7.11"/>
    <col customWidth="1" min="29" max="42" width="1.67"/>
    <col customWidth="1" min="43" max="44" width="7.11"/>
    <col customWidth="1" min="45" max="52" width="3.56"/>
    <col customWidth="1" min="53" max="53" width="11.0"/>
  </cols>
  <sheetData>
    <row r="1" ht="54.0" customHeight="1">
      <c r="A1" s="89"/>
      <c r="B1" s="90" t="s">
        <v>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91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</row>
    <row r="2" ht="10.5" customHeight="1">
      <c r="A2" s="94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6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</row>
    <row r="3" ht="33.0" customHeight="1">
      <c r="A3" s="94"/>
      <c r="B3" s="97"/>
      <c r="C3" s="13"/>
      <c r="D3" s="13"/>
      <c r="E3" s="97"/>
      <c r="F3" s="13"/>
      <c r="G3" s="97"/>
      <c r="H3" s="13"/>
      <c r="I3" s="95"/>
      <c r="J3" s="95"/>
      <c r="K3" s="95"/>
      <c r="L3" s="95"/>
      <c r="M3" s="95"/>
      <c r="N3" s="96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</row>
    <row r="4" ht="20.25" customHeight="1">
      <c r="A4" s="94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6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</row>
    <row r="5" ht="17.25" customHeight="1">
      <c r="A5" s="98"/>
      <c r="B5" s="99"/>
      <c r="C5" s="99"/>
      <c r="D5" s="99"/>
      <c r="E5" s="100"/>
      <c r="F5" s="101"/>
      <c r="G5" s="102"/>
      <c r="H5" s="102"/>
      <c r="I5" s="102"/>
      <c r="J5" s="103"/>
      <c r="K5" s="99"/>
      <c r="L5" s="104"/>
      <c r="M5" s="99"/>
      <c r="N5" s="105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3"/>
      <c r="AR5" s="93"/>
      <c r="AS5" s="93"/>
      <c r="AT5" s="93"/>
      <c r="AU5" s="93"/>
      <c r="AV5" s="93"/>
      <c r="AW5" s="93"/>
      <c r="AX5" s="93"/>
      <c r="AY5" s="93"/>
      <c r="AZ5" s="93"/>
      <c r="BA5" s="93"/>
    </row>
    <row r="6" ht="17.25" customHeight="1">
      <c r="A6" s="98"/>
      <c r="B6" s="99"/>
      <c r="C6" s="99"/>
      <c r="D6" s="99"/>
      <c r="E6" s="100"/>
      <c r="F6" s="101"/>
      <c r="G6" s="102"/>
      <c r="H6" s="102"/>
      <c r="I6" s="102"/>
      <c r="J6" s="103"/>
      <c r="K6" s="99"/>
      <c r="L6" s="104"/>
      <c r="M6" s="99"/>
      <c r="N6" s="105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</row>
    <row r="7" ht="17.25" customHeight="1">
      <c r="A7" s="98"/>
      <c r="B7" s="106"/>
      <c r="C7" s="99"/>
      <c r="D7" s="99"/>
      <c r="E7" s="100"/>
      <c r="F7" s="101"/>
      <c r="G7" s="102"/>
      <c r="H7" s="102"/>
      <c r="I7" s="102"/>
      <c r="J7" s="103"/>
      <c r="K7" s="99"/>
      <c r="L7" s="104"/>
      <c r="M7" s="99"/>
      <c r="N7" s="105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</row>
    <row r="8" ht="17.25" customHeight="1">
      <c r="A8" s="98"/>
      <c r="B8" s="99"/>
      <c r="C8" s="99"/>
      <c r="D8" s="99"/>
      <c r="E8" s="100"/>
      <c r="F8" s="101"/>
      <c r="G8" s="102"/>
      <c r="H8" s="102"/>
      <c r="I8" s="102"/>
      <c r="J8" s="103"/>
      <c r="K8" s="99"/>
      <c r="L8" s="104"/>
      <c r="M8" s="99"/>
      <c r="N8" s="105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</row>
    <row r="9" ht="17.25" customHeight="1">
      <c r="A9" s="98"/>
      <c r="B9" s="99"/>
      <c r="C9" s="99"/>
      <c r="D9" s="99"/>
      <c r="E9" s="107"/>
      <c r="F9" s="99"/>
      <c r="G9" s="103"/>
      <c r="H9" s="103"/>
      <c r="I9" s="103"/>
      <c r="J9" s="103"/>
      <c r="K9" s="99"/>
      <c r="L9" s="108"/>
      <c r="M9" s="99"/>
      <c r="N9" s="105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</row>
    <row r="10" ht="17.25" customHeight="1">
      <c r="A10" s="98"/>
      <c r="B10" s="99"/>
      <c r="C10" s="99"/>
      <c r="D10" s="99"/>
      <c r="E10" s="107"/>
      <c r="F10" s="99"/>
      <c r="G10" s="103"/>
      <c r="H10" s="103"/>
      <c r="I10" s="103"/>
      <c r="J10" s="103"/>
      <c r="K10" s="99"/>
      <c r="L10" s="108"/>
      <c r="M10" s="99"/>
      <c r="N10" s="105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</row>
    <row r="11" ht="17.25" customHeight="1">
      <c r="A11" s="98"/>
      <c r="B11" s="99"/>
      <c r="C11" s="99"/>
      <c r="D11" s="99"/>
      <c r="E11" s="107"/>
      <c r="F11" s="99"/>
      <c r="G11" s="103"/>
      <c r="H11" s="103"/>
      <c r="I11" s="103"/>
      <c r="J11" s="103"/>
      <c r="K11" s="99"/>
      <c r="L11" s="108"/>
      <c r="M11" s="99"/>
      <c r="N11" s="105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</row>
    <row r="12" ht="40.5" customHeight="1">
      <c r="A12" s="98"/>
      <c r="B12" s="109" t="s">
        <v>226</v>
      </c>
      <c r="C12" s="110"/>
      <c r="D12" s="110"/>
      <c r="E12" s="110"/>
      <c r="F12" s="111"/>
      <c r="G12" s="112"/>
      <c r="H12" s="109" t="s">
        <v>227</v>
      </c>
      <c r="I12" s="110"/>
      <c r="J12" s="110"/>
      <c r="K12" s="110"/>
      <c r="L12" s="111"/>
      <c r="M12" s="99"/>
      <c r="N12" s="105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</row>
    <row r="13" ht="40.5" customHeight="1">
      <c r="A13" s="98"/>
      <c r="B13" s="113"/>
      <c r="C13" s="99"/>
      <c r="D13" s="99"/>
      <c r="E13" s="107"/>
      <c r="F13" s="114"/>
      <c r="G13" s="103"/>
      <c r="H13" s="113"/>
      <c r="I13" s="99"/>
      <c r="J13" s="103"/>
      <c r="K13" s="99"/>
      <c r="L13" s="115"/>
      <c r="M13" s="99"/>
      <c r="N13" s="105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 t="s">
        <v>228</v>
      </c>
      <c r="AF13" s="116">
        <f>'Levantamento inicial'!F23</f>
        <v>0</v>
      </c>
      <c r="AG13" s="92"/>
      <c r="AH13" s="92"/>
      <c r="AI13" s="92"/>
      <c r="AJ13" s="92" t="s">
        <v>229</v>
      </c>
      <c r="AK13" s="117">
        <f>AF22/10</f>
        <v>0.2918019481</v>
      </c>
      <c r="AL13" s="92"/>
      <c r="AM13" s="92" t="s">
        <v>230</v>
      </c>
      <c r="AN13" s="92" t="s">
        <v>231</v>
      </c>
      <c r="AO13" s="92" t="s">
        <v>232</v>
      </c>
      <c r="AP13" s="93"/>
      <c r="AQ13" s="93"/>
      <c r="AR13" s="93"/>
      <c r="AS13" s="93"/>
      <c r="AT13" s="93"/>
      <c r="AU13" s="93"/>
      <c r="AV13" s="93"/>
      <c r="AW13" s="93"/>
      <c r="AX13" s="93"/>
      <c r="AY13" s="93"/>
      <c r="AZ13" s="93"/>
      <c r="BA13" s="93"/>
    </row>
    <row r="14" ht="40.5" customHeight="1">
      <c r="A14" s="98"/>
      <c r="B14" s="113"/>
      <c r="C14" s="99"/>
      <c r="D14" s="99"/>
      <c r="E14" s="107"/>
      <c r="F14" s="114"/>
      <c r="G14" s="103"/>
      <c r="H14" s="113"/>
      <c r="I14" s="99"/>
      <c r="J14" s="103"/>
      <c r="K14" s="99"/>
      <c r="L14" s="115"/>
      <c r="M14" s="99"/>
      <c r="N14" s="105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 t="s">
        <v>233</v>
      </c>
      <c r="AF14" s="116">
        <f>Mercado!F34</f>
        <v>3.8</v>
      </c>
      <c r="AG14" s="92"/>
      <c r="AH14" s="92"/>
      <c r="AI14" s="92"/>
      <c r="AJ14" s="92"/>
      <c r="AK14" s="92"/>
      <c r="AL14" s="92"/>
      <c r="AM14" s="92">
        <v>10.0</v>
      </c>
      <c r="AN14" s="118">
        <v>0.0</v>
      </c>
      <c r="AO14" s="118">
        <v>0.0</v>
      </c>
      <c r="AP14" s="93"/>
      <c r="AQ14" s="93"/>
      <c r="AR14" s="93"/>
      <c r="AS14" s="93"/>
      <c r="AT14" s="93"/>
      <c r="AU14" s="93"/>
      <c r="AV14" s="93"/>
      <c r="AW14" s="93"/>
      <c r="AX14" s="93"/>
      <c r="AY14" s="93"/>
      <c r="AZ14" s="93"/>
      <c r="BA14" s="93"/>
    </row>
    <row r="15" ht="40.5" customHeight="1">
      <c r="A15" s="98"/>
      <c r="B15" s="113"/>
      <c r="C15" s="99"/>
      <c r="D15" s="99"/>
      <c r="E15" s="107"/>
      <c r="F15" s="114"/>
      <c r="G15" s="103"/>
      <c r="H15" s="113"/>
      <c r="I15" s="99"/>
      <c r="J15" s="103"/>
      <c r="K15" s="99"/>
      <c r="L15" s="115"/>
      <c r="M15" s="99"/>
      <c r="N15" s="105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 t="s">
        <v>234</v>
      </c>
      <c r="AF15" s="116">
        <f>Marketing!F56</f>
        <v>4.772727273</v>
      </c>
      <c r="AG15" s="92"/>
      <c r="AH15" s="92"/>
      <c r="AI15" s="92"/>
      <c r="AJ15" s="92"/>
      <c r="AK15" s="92"/>
      <c r="AL15" s="92"/>
      <c r="AM15" s="92">
        <v>10.0</v>
      </c>
      <c r="AN15" s="118">
        <f>-COS(PI()*AK13/AM25*100)</f>
        <v>-0.6084241997</v>
      </c>
      <c r="AO15" s="118">
        <f>SIN(PI()*AK13/AM25*100)</f>
        <v>0.7936119916</v>
      </c>
      <c r="AP15" s="93"/>
      <c r="AQ15" s="93"/>
      <c r="AR15" s="93"/>
      <c r="AS15" s="93"/>
      <c r="AT15" s="93"/>
      <c r="AU15" s="93"/>
      <c r="AV15" s="93"/>
      <c r="AW15" s="93"/>
      <c r="AX15" s="93"/>
      <c r="AY15" s="93"/>
      <c r="AZ15" s="93"/>
      <c r="BA15" s="93"/>
    </row>
    <row r="16" ht="40.5" customHeight="1">
      <c r="A16" s="98"/>
      <c r="B16" s="113"/>
      <c r="C16" s="99"/>
      <c r="D16" s="99"/>
      <c r="E16" s="107"/>
      <c r="F16" s="114"/>
      <c r="G16" s="103"/>
      <c r="H16" s="113"/>
      <c r="I16" s="99"/>
      <c r="J16" s="103"/>
      <c r="K16" s="99"/>
      <c r="L16" s="115"/>
      <c r="M16" s="99"/>
      <c r="N16" s="105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 t="s">
        <v>103</v>
      </c>
      <c r="AF16" s="116">
        <f>Vendas!F42</f>
        <v>4.1</v>
      </c>
      <c r="AG16" s="92"/>
      <c r="AH16" s="92"/>
      <c r="AI16" s="92"/>
      <c r="AJ16" s="92"/>
      <c r="AK16" s="92"/>
      <c r="AL16" s="92"/>
      <c r="AM16" s="92">
        <v>10.0</v>
      </c>
      <c r="AN16" s="118"/>
      <c r="AO16" s="118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</row>
    <row r="17" ht="40.5" customHeight="1">
      <c r="A17" s="98"/>
      <c r="B17" s="113"/>
      <c r="C17" s="99"/>
      <c r="D17" s="99"/>
      <c r="E17" s="107"/>
      <c r="F17" s="114"/>
      <c r="G17" s="103"/>
      <c r="H17" s="113"/>
      <c r="I17" s="99"/>
      <c r="J17" s="103"/>
      <c r="K17" s="99"/>
      <c r="L17" s="115"/>
      <c r="M17" s="99"/>
      <c r="N17" s="105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 t="s">
        <v>235</v>
      </c>
      <c r="AF17" s="116" t="str">
        <f>'Operação'!F30</f>
        <v/>
      </c>
      <c r="AG17" s="92"/>
      <c r="AH17" s="92"/>
      <c r="AI17" s="92"/>
      <c r="AJ17" s="92"/>
      <c r="AK17" s="92"/>
      <c r="AL17" s="92"/>
      <c r="AM17" s="92">
        <v>10.0</v>
      </c>
      <c r="AN17" s="118"/>
      <c r="AO17" s="118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93"/>
    </row>
    <row r="18" ht="40.5" customHeight="1">
      <c r="A18" s="98"/>
      <c r="B18" s="113"/>
      <c r="C18" s="99"/>
      <c r="D18" s="99"/>
      <c r="E18" s="107"/>
      <c r="F18" s="114"/>
      <c r="G18" s="103"/>
      <c r="H18" s="113"/>
      <c r="I18" s="99"/>
      <c r="J18" s="103"/>
      <c r="K18" s="99"/>
      <c r="L18" s="115"/>
      <c r="M18" s="99"/>
      <c r="N18" s="105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 t="s">
        <v>236</v>
      </c>
      <c r="AF18" s="116">
        <f>'Gestão de Pessoas'!F29</f>
        <v>4</v>
      </c>
      <c r="AG18" s="92"/>
      <c r="AH18" s="92"/>
      <c r="AI18" s="92"/>
      <c r="AJ18" s="92"/>
      <c r="AK18" s="92"/>
      <c r="AL18" s="92"/>
      <c r="AM18" s="92">
        <v>10.0</v>
      </c>
      <c r="AN18" s="118"/>
      <c r="AO18" s="118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93"/>
    </row>
    <row r="19" ht="40.5" customHeight="1">
      <c r="A19" s="98"/>
      <c r="B19" s="113"/>
      <c r="C19" s="99"/>
      <c r="D19" s="99"/>
      <c r="E19" s="107"/>
      <c r="F19" s="114"/>
      <c r="G19" s="103"/>
      <c r="H19" s="119"/>
      <c r="I19" s="103"/>
      <c r="J19" s="103"/>
      <c r="K19" s="99"/>
      <c r="L19" s="115"/>
      <c r="M19" s="99"/>
      <c r="N19" s="105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 t="s">
        <v>237</v>
      </c>
      <c r="AF19" s="116">
        <f>'Gestão'!F29</f>
        <v>2.5</v>
      </c>
      <c r="AG19" s="92"/>
      <c r="AH19" s="92"/>
      <c r="AI19" s="92"/>
      <c r="AJ19" s="92"/>
      <c r="AK19" s="92"/>
      <c r="AL19" s="92"/>
      <c r="AM19" s="92">
        <v>10.0</v>
      </c>
      <c r="AN19" s="118"/>
      <c r="AO19" s="118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93"/>
    </row>
    <row r="20" ht="40.5" customHeight="1">
      <c r="A20" s="98"/>
      <c r="B20" s="113"/>
      <c r="C20" s="99"/>
      <c r="D20" s="99"/>
      <c r="E20" s="107"/>
      <c r="F20" s="114"/>
      <c r="G20" s="103"/>
      <c r="H20" s="119"/>
      <c r="I20" s="103"/>
      <c r="J20" s="103"/>
      <c r="K20" s="99"/>
      <c r="L20" s="115"/>
      <c r="M20" s="99"/>
      <c r="N20" s="105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 t="s">
        <v>238</v>
      </c>
      <c r="AF20" s="116">
        <f>AF36</f>
        <v>0.5714285714</v>
      </c>
      <c r="AG20" s="92"/>
      <c r="AH20" s="92"/>
      <c r="AI20" s="92"/>
      <c r="AJ20" s="92"/>
      <c r="AK20" s="92"/>
      <c r="AL20" s="92"/>
      <c r="AM20" s="92"/>
      <c r="AN20" s="118"/>
      <c r="AO20" s="118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93"/>
    </row>
    <row r="21" ht="40.5" customHeight="1">
      <c r="A21" s="98"/>
      <c r="B21" s="120"/>
      <c r="C21" s="121"/>
      <c r="D21" s="121"/>
      <c r="E21" s="122"/>
      <c r="F21" s="123"/>
      <c r="G21" s="103"/>
      <c r="H21" s="124"/>
      <c r="I21" s="125"/>
      <c r="J21" s="125"/>
      <c r="K21" s="121"/>
      <c r="L21" s="126"/>
      <c r="M21" s="99"/>
      <c r="N21" s="105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 t="s">
        <v>239</v>
      </c>
      <c r="AF21" s="116">
        <f>Processos!F25</f>
        <v>3.6</v>
      </c>
      <c r="AG21" s="92"/>
      <c r="AH21" s="92"/>
      <c r="AI21" s="92"/>
      <c r="AJ21" s="92"/>
      <c r="AK21" s="92"/>
      <c r="AL21" s="92"/>
      <c r="AM21" s="92">
        <v>10.0</v>
      </c>
      <c r="AN21" s="118"/>
      <c r="AO21" s="118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93"/>
    </row>
    <row r="22" ht="40.5" customHeight="1">
      <c r="A22" s="98"/>
      <c r="B22" s="99"/>
      <c r="C22" s="99"/>
      <c r="D22" s="99"/>
      <c r="E22" s="107"/>
      <c r="F22" s="99"/>
      <c r="G22" s="103"/>
      <c r="H22" s="103"/>
      <c r="I22" s="103"/>
      <c r="J22" s="103"/>
      <c r="K22" s="99"/>
      <c r="L22" s="108"/>
      <c r="M22" s="99"/>
      <c r="N22" s="105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116">
        <f>AVERAGE(AF13:AF21)</f>
        <v>2.918019481</v>
      </c>
      <c r="AG22" s="92"/>
      <c r="AH22" s="92"/>
      <c r="AI22" s="92"/>
      <c r="AJ22" s="92"/>
      <c r="AK22" s="92"/>
      <c r="AL22" s="92"/>
      <c r="AM22" s="92">
        <v>10.0</v>
      </c>
      <c r="AN22" s="118"/>
      <c r="AO22" s="118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</row>
    <row r="23" ht="40.5" customHeight="1">
      <c r="A23" s="98"/>
      <c r="B23" s="99"/>
      <c r="C23" s="99"/>
      <c r="D23" s="99"/>
      <c r="E23" s="107"/>
      <c r="F23" s="99"/>
      <c r="G23" s="103"/>
      <c r="H23" s="103"/>
      <c r="I23" s="103"/>
      <c r="J23" s="103"/>
      <c r="K23" s="99"/>
      <c r="L23" s="108"/>
      <c r="M23" s="99"/>
      <c r="N23" s="105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>
        <v>10.0</v>
      </c>
      <c r="AN23" s="118"/>
      <c r="AO23" s="118"/>
      <c r="AP23" s="127"/>
      <c r="AQ23" s="127"/>
      <c r="AR23" s="127"/>
      <c r="AS23" s="127"/>
      <c r="AT23" s="127"/>
      <c r="AU23" s="127"/>
      <c r="AV23" s="127"/>
      <c r="AW23" s="127"/>
      <c r="AX23" s="93"/>
      <c r="AY23" s="93"/>
      <c r="AZ23" s="93"/>
      <c r="BA23" s="93"/>
    </row>
    <row r="24" ht="40.5" customHeight="1">
      <c r="A24" s="98"/>
      <c r="B24" s="99"/>
      <c r="C24" s="99"/>
      <c r="D24" s="99"/>
      <c r="E24" s="107"/>
      <c r="F24" s="99"/>
      <c r="G24" s="103"/>
      <c r="H24" s="103"/>
      <c r="I24" s="103"/>
      <c r="J24" s="103"/>
      <c r="K24" s="99"/>
      <c r="L24" s="108"/>
      <c r="M24" s="99"/>
      <c r="N24" s="105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>
        <v>10.0</v>
      </c>
      <c r="AN24" s="128"/>
      <c r="AO24" s="128"/>
      <c r="AP24" s="127"/>
      <c r="AQ24" s="127"/>
      <c r="AR24" s="127"/>
      <c r="AS24" s="127"/>
      <c r="AT24" s="127"/>
      <c r="AU24" s="127"/>
      <c r="AV24" s="127"/>
      <c r="AW24" s="127"/>
      <c r="AX24" s="93"/>
      <c r="AY24" s="93"/>
      <c r="AZ24" s="93"/>
      <c r="BA24" s="93"/>
    </row>
    <row r="25" ht="40.5" customHeight="1">
      <c r="A25" s="98"/>
      <c r="B25" s="99"/>
      <c r="C25" s="99"/>
      <c r="D25" s="99"/>
      <c r="E25" s="109" t="s">
        <v>240</v>
      </c>
      <c r="F25" s="110"/>
      <c r="G25" s="110"/>
      <c r="H25" s="110"/>
      <c r="I25" s="111"/>
      <c r="J25" s="103"/>
      <c r="K25" s="99"/>
      <c r="L25" s="108"/>
      <c r="M25" s="99"/>
      <c r="N25" s="105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128"/>
      <c r="AK25" s="128"/>
      <c r="AL25" s="128"/>
      <c r="AM25" s="92">
        <v>100.0</v>
      </c>
      <c r="AN25" s="128"/>
      <c r="AO25" s="128"/>
      <c r="AP25" s="127"/>
      <c r="AQ25" s="127"/>
      <c r="AR25" s="127"/>
      <c r="AS25" s="127"/>
      <c r="AT25" s="127"/>
      <c r="AU25" s="127"/>
      <c r="AV25" s="127"/>
      <c r="AW25" s="127"/>
      <c r="AX25" s="93"/>
      <c r="AY25" s="93"/>
      <c r="AZ25" s="93"/>
      <c r="BA25" s="93"/>
    </row>
    <row r="26" ht="40.5" customHeight="1">
      <c r="A26" s="98"/>
      <c r="B26" s="99"/>
      <c r="C26" s="99"/>
      <c r="D26" s="99"/>
      <c r="E26" s="129"/>
      <c r="F26" s="99"/>
      <c r="G26" s="103"/>
      <c r="H26" s="103"/>
      <c r="I26" s="130"/>
      <c r="J26" s="103"/>
      <c r="K26" s="99"/>
      <c r="L26" s="108"/>
      <c r="M26" s="99"/>
      <c r="N26" s="105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128"/>
      <c r="AN26" s="128"/>
      <c r="AO26" s="128"/>
      <c r="AP26" s="93"/>
      <c r="AQ26" s="93"/>
      <c r="AR26" s="127"/>
      <c r="AS26" s="93"/>
      <c r="AT26" s="93"/>
      <c r="AU26" s="93"/>
      <c r="AV26" s="93"/>
      <c r="AW26" s="93"/>
      <c r="AX26" s="93"/>
      <c r="AY26" s="93"/>
      <c r="AZ26" s="93"/>
      <c r="BA26" s="93"/>
    </row>
    <row r="27" ht="40.5" customHeight="1">
      <c r="A27" s="98"/>
      <c r="B27" s="99"/>
      <c r="C27" s="99"/>
      <c r="D27" s="99"/>
      <c r="E27" s="129"/>
      <c r="F27" s="99"/>
      <c r="G27" s="103"/>
      <c r="H27" s="103"/>
      <c r="I27" s="130"/>
      <c r="J27" s="103"/>
      <c r="K27" s="99"/>
      <c r="L27" s="108"/>
      <c r="M27" s="99"/>
      <c r="N27" s="105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128"/>
      <c r="AN27" s="128"/>
      <c r="AO27" s="128"/>
      <c r="AP27" s="93"/>
      <c r="AQ27" s="93"/>
      <c r="AR27" s="127"/>
      <c r="AS27" s="93"/>
      <c r="AT27" s="93"/>
      <c r="AU27" s="93"/>
      <c r="AV27" s="93"/>
      <c r="AW27" s="93"/>
      <c r="AX27" s="93"/>
      <c r="AY27" s="93"/>
      <c r="AZ27" s="93"/>
      <c r="BA27" s="93"/>
    </row>
    <row r="28" ht="40.5" customHeight="1">
      <c r="A28" s="98"/>
      <c r="B28" s="99"/>
      <c r="C28" s="99"/>
      <c r="D28" s="99"/>
      <c r="E28" s="129"/>
      <c r="F28" s="99"/>
      <c r="G28" s="103"/>
      <c r="H28" s="103"/>
      <c r="I28" s="130"/>
      <c r="J28" s="103"/>
      <c r="K28" s="99"/>
      <c r="L28" s="108"/>
      <c r="M28" s="99"/>
      <c r="N28" s="105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128"/>
      <c r="AN28" s="128"/>
      <c r="AO28" s="128"/>
      <c r="AP28" s="93"/>
      <c r="AQ28" s="93"/>
      <c r="AR28" s="127"/>
      <c r="AS28" s="93"/>
      <c r="AT28" s="93"/>
      <c r="AU28" s="93"/>
      <c r="AV28" s="93"/>
      <c r="AW28" s="93"/>
      <c r="AX28" s="93"/>
      <c r="AY28" s="93"/>
      <c r="AZ28" s="93"/>
      <c r="BA28" s="93"/>
    </row>
    <row r="29" ht="40.5" customHeight="1">
      <c r="A29" s="98"/>
      <c r="B29" s="99"/>
      <c r="C29" s="99"/>
      <c r="D29" s="99"/>
      <c r="E29" s="129"/>
      <c r="F29" s="99"/>
      <c r="G29" s="103"/>
      <c r="H29" s="103"/>
      <c r="I29" s="130"/>
      <c r="J29" s="103"/>
      <c r="K29" s="99"/>
      <c r="L29" s="108"/>
      <c r="M29" s="99"/>
      <c r="N29" s="105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>
        <f>'Levantamento inicial'!F20</f>
        <v>0</v>
      </c>
      <c r="AG29" s="92"/>
      <c r="AH29" s="92"/>
      <c r="AI29" s="92"/>
      <c r="AJ29" s="92"/>
      <c r="AK29" s="92"/>
      <c r="AL29" s="92"/>
      <c r="AM29" s="128"/>
      <c r="AN29" s="128"/>
      <c r="AO29" s="128"/>
      <c r="AP29" s="93"/>
      <c r="AQ29" s="93"/>
      <c r="AR29" s="127"/>
      <c r="AS29" s="93"/>
      <c r="AT29" s="93"/>
      <c r="AU29" s="93"/>
      <c r="AV29" s="93"/>
      <c r="AW29" s="93"/>
      <c r="AX29" s="93"/>
      <c r="AY29" s="93"/>
      <c r="AZ29" s="93"/>
      <c r="BA29" s="93"/>
    </row>
    <row r="30" ht="40.5" customHeight="1">
      <c r="A30" s="98"/>
      <c r="B30" s="99"/>
      <c r="C30" s="99"/>
      <c r="D30" s="99"/>
      <c r="E30" s="131"/>
      <c r="F30" s="121"/>
      <c r="G30" s="125"/>
      <c r="H30" s="125"/>
      <c r="I30" s="132"/>
      <c r="J30" s="103"/>
      <c r="K30" s="99"/>
      <c r="L30" s="108"/>
      <c r="M30" s="99"/>
      <c r="N30" s="105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>
        <f>Marketing!F8</f>
        <v>10</v>
      </c>
      <c r="AG30" s="92"/>
      <c r="AH30" s="92"/>
      <c r="AI30" s="92"/>
      <c r="AJ30" s="92"/>
      <c r="AK30" s="92"/>
      <c r="AL30" s="92"/>
      <c r="AM30" s="128"/>
      <c r="AN30" s="128"/>
      <c r="AO30" s="128"/>
      <c r="AP30" s="93"/>
      <c r="AQ30" s="93"/>
      <c r="AR30" s="127"/>
      <c r="AS30" s="93"/>
      <c r="AT30" s="93"/>
      <c r="AU30" s="93"/>
      <c r="AV30" s="93"/>
      <c r="AW30" s="93"/>
      <c r="AX30" s="93"/>
      <c r="AY30" s="93"/>
      <c r="AZ30" s="93"/>
      <c r="BA30" s="93"/>
    </row>
    <row r="31" ht="40.5" customHeight="1">
      <c r="A31" s="98"/>
      <c r="B31" s="99"/>
      <c r="C31" s="99"/>
      <c r="D31" s="99"/>
      <c r="E31" s="107"/>
      <c r="F31" s="99"/>
      <c r="G31" s="103"/>
      <c r="H31" s="103"/>
      <c r="I31" s="103"/>
      <c r="J31" s="103"/>
      <c r="K31" s="99"/>
      <c r="L31" s="108"/>
      <c r="M31" s="99"/>
      <c r="N31" s="105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>
        <f>Vendas!F8</f>
        <v>10</v>
      </c>
      <c r="AG31" s="92"/>
      <c r="AH31" s="92"/>
      <c r="AI31" s="92"/>
      <c r="AJ31" s="92"/>
      <c r="AK31" s="92"/>
      <c r="AL31" s="92"/>
      <c r="AM31" s="128"/>
      <c r="AN31" s="128"/>
      <c r="AO31" s="128"/>
      <c r="AP31" s="93"/>
      <c r="AQ31" s="93"/>
      <c r="AR31" s="127"/>
      <c r="AS31" s="93"/>
      <c r="AT31" s="93"/>
      <c r="AU31" s="93"/>
      <c r="AV31" s="93"/>
      <c r="AW31" s="93"/>
      <c r="AX31" s="93"/>
      <c r="AY31" s="93"/>
      <c r="AZ31" s="93"/>
      <c r="BA31" s="93"/>
    </row>
    <row r="32" ht="40.5" customHeight="1">
      <c r="A32" s="98"/>
      <c r="B32" s="99"/>
      <c r="C32" s="99"/>
      <c r="D32" s="99"/>
      <c r="E32" s="107"/>
      <c r="F32" s="99"/>
      <c r="G32" s="103"/>
      <c r="H32" s="103"/>
      <c r="I32" s="103"/>
      <c r="J32" s="103"/>
      <c r="K32" s="99"/>
      <c r="L32" s="108"/>
      <c r="M32" s="99"/>
      <c r="N32" s="105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>
        <f>'Operação'!F18</f>
        <v>10</v>
      </c>
      <c r="AG32" s="92"/>
      <c r="AH32" s="92"/>
      <c r="AI32" s="92"/>
      <c r="AJ32" s="92"/>
      <c r="AK32" s="92"/>
      <c r="AL32" s="92"/>
      <c r="AM32" s="128"/>
      <c r="AN32" s="128"/>
      <c r="AO32" s="128"/>
      <c r="AP32" s="93"/>
      <c r="AQ32" s="93"/>
      <c r="AR32" s="127"/>
      <c r="AS32" s="93"/>
      <c r="AT32" s="93"/>
      <c r="AU32" s="93"/>
      <c r="AV32" s="93"/>
      <c r="AW32" s="93"/>
      <c r="AX32" s="93"/>
      <c r="AY32" s="93"/>
      <c r="AZ32" s="93"/>
      <c r="BA32" s="93"/>
    </row>
    <row r="33" ht="40.5" customHeight="1">
      <c r="A33" s="98"/>
      <c r="B33" s="99"/>
      <c r="C33" s="99"/>
      <c r="D33" s="99"/>
      <c r="E33" s="107"/>
      <c r="F33" s="99"/>
      <c r="G33" s="103"/>
      <c r="H33" s="103"/>
      <c r="I33" s="103"/>
      <c r="J33" s="103"/>
      <c r="K33" s="99"/>
      <c r="L33" s="108"/>
      <c r="M33" s="99"/>
      <c r="N33" s="105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>
        <f>'Operação'!F16</f>
        <v>10</v>
      </c>
      <c r="AG33" s="92"/>
      <c r="AH33" s="92"/>
      <c r="AI33" s="92"/>
      <c r="AJ33" s="92"/>
      <c r="AK33" s="92"/>
      <c r="AL33" s="92"/>
      <c r="AM33" s="128"/>
      <c r="AN33" s="128"/>
      <c r="AO33" s="128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</row>
    <row r="34" ht="40.5" customHeight="1">
      <c r="A34" s="98"/>
      <c r="B34" s="99"/>
      <c r="C34" s="99"/>
      <c r="D34" s="99"/>
      <c r="E34" s="107"/>
      <c r="F34" s="99"/>
      <c r="G34" s="103"/>
      <c r="H34" s="103"/>
      <c r="I34" s="103"/>
      <c r="J34" s="103"/>
      <c r="K34" s="99"/>
      <c r="L34" s="108"/>
      <c r="M34" s="99"/>
      <c r="N34" s="105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>
        <f>'Gestão'!F10</f>
        <v>0</v>
      </c>
      <c r="AG34" s="92"/>
      <c r="AH34" s="92"/>
      <c r="AI34" s="92"/>
      <c r="AJ34" s="92"/>
      <c r="AK34" s="92"/>
      <c r="AL34" s="92"/>
      <c r="AM34" s="128"/>
      <c r="AN34" s="128"/>
      <c r="AO34" s="128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</row>
    <row r="35" ht="40.5" customHeight="1">
      <c r="A35" s="98"/>
      <c r="B35" s="99"/>
      <c r="C35" s="99"/>
      <c r="D35" s="99"/>
      <c r="E35" s="107"/>
      <c r="F35" s="99"/>
      <c r="G35" s="103"/>
      <c r="H35" s="103"/>
      <c r="I35" s="103"/>
      <c r="J35" s="103"/>
      <c r="K35" s="99"/>
      <c r="L35" s="108"/>
      <c r="M35" s="99"/>
      <c r="N35" s="105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>
        <f>'Gestão'!F14</f>
        <v>0</v>
      </c>
      <c r="AG35" s="92"/>
      <c r="AH35" s="92"/>
      <c r="AI35" s="92"/>
      <c r="AJ35" s="92"/>
      <c r="AK35" s="92"/>
      <c r="AL35" s="92"/>
      <c r="AM35" s="128"/>
      <c r="AN35" s="128"/>
      <c r="AO35" s="128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</row>
    <row r="36" ht="40.5" customHeight="1">
      <c r="A36" s="98"/>
      <c r="B36" s="99"/>
      <c r="C36" s="99"/>
      <c r="D36" s="99"/>
      <c r="E36" s="107"/>
      <c r="F36" s="99"/>
      <c r="G36" s="103"/>
      <c r="H36" s="103"/>
      <c r="I36" s="103"/>
      <c r="J36" s="103"/>
      <c r="K36" s="99"/>
      <c r="L36" s="108"/>
      <c r="M36" s="99"/>
      <c r="N36" s="105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133">
        <f>(AF29+AF30+AF31+AF32+AF33+AF34+AF35)/70</f>
        <v>0.5714285714</v>
      </c>
      <c r="AG36" s="92"/>
      <c r="AH36" s="92"/>
      <c r="AI36" s="92"/>
      <c r="AJ36" s="92"/>
      <c r="AK36" s="92"/>
      <c r="AL36" s="92"/>
      <c r="AM36" s="128"/>
      <c r="AN36" s="128"/>
      <c r="AO36" s="128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</row>
    <row r="37" ht="40.5" customHeight="1">
      <c r="A37" s="98"/>
      <c r="B37" s="99"/>
      <c r="C37" s="99"/>
      <c r="D37" s="99"/>
      <c r="E37" s="107"/>
      <c r="F37" s="99"/>
      <c r="G37" s="103"/>
      <c r="H37" s="103"/>
      <c r="I37" s="103"/>
      <c r="J37" s="103"/>
      <c r="K37" s="99"/>
      <c r="L37" s="108"/>
      <c r="M37" s="99"/>
      <c r="N37" s="105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128"/>
      <c r="AN37" s="128"/>
      <c r="AO37" s="128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</row>
    <row r="38" ht="40.5" customHeight="1">
      <c r="A38" s="98"/>
      <c r="B38" s="99"/>
      <c r="C38" s="99"/>
      <c r="D38" s="99"/>
      <c r="E38" s="107"/>
      <c r="F38" s="99"/>
      <c r="G38" s="103"/>
      <c r="H38" s="103"/>
      <c r="I38" s="103"/>
      <c r="J38" s="103"/>
      <c r="K38" s="99"/>
      <c r="L38" s="108"/>
      <c r="M38" s="99"/>
      <c r="N38" s="105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128"/>
      <c r="AN38" s="128"/>
      <c r="AO38" s="128"/>
      <c r="AP38" s="93"/>
      <c r="AQ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</row>
    <row r="39" ht="40.5" hidden="1" customHeight="1">
      <c r="A39" s="98"/>
      <c r="B39" s="99"/>
      <c r="C39" s="99"/>
      <c r="D39" s="99"/>
      <c r="E39" s="107"/>
      <c r="F39" s="99"/>
      <c r="G39" s="103"/>
      <c r="H39" s="103"/>
      <c r="I39" s="103"/>
      <c r="J39" s="103"/>
      <c r="K39" s="99"/>
      <c r="L39" s="108"/>
      <c r="M39" s="99"/>
      <c r="N39" s="105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128"/>
      <c r="AN39" s="128"/>
      <c r="AO39" s="128"/>
      <c r="AP39" s="93"/>
      <c r="AQ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</row>
    <row r="40" ht="40.5" hidden="1" customHeight="1">
      <c r="A40" s="98"/>
      <c r="B40" s="99"/>
      <c r="C40" s="99"/>
      <c r="D40" s="99"/>
      <c r="E40" s="107"/>
      <c r="F40" s="99"/>
      <c r="G40" s="103"/>
      <c r="H40" s="103"/>
      <c r="I40" s="103"/>
      <c r="J40" s="103"/>
      <c r="K40" s="99"/>
      <c r="L40" s="108"/>
      <c r="M40" s="99"/>
      <c r="N40" s="105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128"/>
      <c r="AN40" s="128"/>
      <c r="AO40" s="128"/>
      <c r="AP40" s="93"/>
      <c r="AQ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</row>
    <row r="41" ht="40.5" hidden="1" customHeight="1">
      <c r="A41" s="98"/>
      <c r="B41" s="99"/>
      <c r="C41" s="99"/>
      <c r="D41" s="99"/>
      <c r="E41" s="107"/>
      <c r="F41" s="99"/>
      <c r="G41" s="103"/>
      <c r="H41" s="103"/>
      <c r="I41" s="103"/>
      <c r="J41" s="103"/>
      <c r="K41" s="99"/>
      <c r="L41" s="108"/>
      <c r="M41" s="99"/>
      <c r="N41" s="105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128"/>
      <c r="AN41" s="128"/>
      <c r="AO41" s="128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</row>
    <row r="42" ht="40.5" hidden="1" customHeight="1">
      <c r="A42" s="98"/>
      <c r="B42" s="99"/>
      <c r="C42" s="99"/>
      <c r="D42" s="99"/>
      <c r="E42" s="107"/>
      <c r="F42" s="99"/>
      <c r="G42" s="103"/>
      <c r="H42" s="103"/>
      <c r="I42" s="103"/>
      <c r="J42" s="103"/>
      <c r="K42" s="99"/>
      <c r="L42" s="108"/>
      <c r="M42" s="99"/>
      <c r="N42" s="105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128"/>
      <c r="AN42" s="128"/>
      <c r="AO42" s="128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</row>
    <row r="43" ht="40.5" hidden="1" customHeight="1">
      <c r="A43" s="98"/>
      <c r="B43" s="99"/>
      <c r="C43" s="99"/>
      <c r="D43" s="99"/>
      <c r="E43" s="107"/>
      <c r="F43" s="99"/>
      <c r="G43" s="103"/>
      <c r="H43" s="103"/>
      <c r="I43" s="103"/>
      <c r="J43" s="103"/>
      <c r="K43" s="99"/>
      <c r="L43" s="108"/>
      <c r="M43" s="99"/>
      <c r="N43" s="105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128"/>
      <c r="AN43" s="128"/>
      <c r="AO43" s="128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</row>
    <row r="44" ht="40.5" hidden="1" customHeight="1">
      <c r="A44" s="98"/>
      <c r="B44" s="99"/>
      <c r="C44" s="99"/>
      <c r="D44" s="99"/>
      <c r="E44" s="107"/>
      <c r="F44" s="99"/>
      <c r="G44" s="103"/>
      <c r="H44" s="103"/>
      <c r="I44" s="103"/>
      <c r="J44" s="103"/>
      <c r="K44" s="99"/>
      <c r="L44" s="108"/>
      <c r="M44" s="99"/>
      <c r="N44" s="105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128"/>
      <c r="AN44" s="128"/>
      <c r="AO44" s="128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</row>
    <row r="45" ht="40.5" hidden="1" customHeight="1">
      <c r="A45" s="98"/>
      <c r="B45" s="99"/>
      <c r="C45" s="99"/>
      <c r="D45" s="99"/>
      <c r="E45" s="107"/>
      <c r="F45" s="99"/>
      <c r="G45" s="103"/>
      <c r="H45" s="103"/>
      <c r="I45" s="103"/>
      <c r="J45" s="103"/>
      <c r="K45" s="99"/>
      <c r="L45" s="108"/>
      <c r="M45" s="99"/>
      <c r="N45" s="105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128"/>
      <c r="AN45" s="128"/>
      <c r="AO45" s="128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</row>
    <row r="46" ht="40.5" hidden="1" customHeight="1">
      <c r="A46" s="98"/>
      <c r="B46" s="99"/>
      <c r="C46" s="99"/>
      <c r="D46" s="99"/>
      <c r="E46" s="107"/>
      <c r="F46" s="99"/>
      <c r="G46" s="103"/>
      <c r="H46" s="103"/>
      <c r="I46" s="103"/>
      <c r="J46" s="103"/>
      <c r="K46" s="99"/>
      <c r="L46" s="108"/>
      <c r="M46" s="99"/>
      <c r="N46" s="105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128"/>
      <c r="AN46" s="128"/>
      <c r="AO46" s="128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</row>
    <row r="47" ht="40.5" hidden="1" customHeight="1">
      <c r="A47" s="98"/>
      <c r="B47" s="99"/>
      <c r="C47" s="99"/>
      <c r="D47" s="99"/>
      <c r="E47" s="107"/>
      <c r="F47" s="99"/>
      <c r="G47" s="103"/>
      <c r="H47" s="103"/>
      <c r="I47" s="103"/>
      <c r="J47" s="103"/>
      <c r="K47" s="99"/>
      <c r="L47" s="108"/>
      <c r="M47" s="99"/>
      <c r="N47" s="105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128"/>
      <c r="AN47" s="128"/>
      <c r="AO47" s="128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</row>
    <row r="48" ht="40.5" hidden="1" customHeight="1">
      <c r="A48" s="98"/>
      <c r="B48" s="99"/>
      <c r="C48" s="99"/>
      <c r="D48" s="99"/>
      <c r="E48" s="107"/>
      <c r="F48" s="99"/>
      <c r="G48" s="103"/>
      <c r="H48" s="103"/>
      <c r="I48" s="103"/>
      <c r="J48" s="103"/>
      <c r="K48" s="99"/>
      <c r="L48" s="108"/>
      <c r="M48" s="99"/>
      <c r="N48" s="105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128"/>
      <c r="AN48" s="128"/>
      <c r="AO48" s="128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</row>
    <row r="49" ht="40.5" hidden="1" customHeight="1">
      <c r="A49" s="98"/>
      <c r="B49" s="99"/>
      <c r="C49" s="99"/>
      <c r="D49" s="99"/>
      <c r="E49" s="107"/>
      <c r="F49" s="99"/>
      <c r="G49" s="103"/>
      <c r="H49" s="103"/>
      <c r="I49" s="103"/>
      <c r="J49" s="103"/>
      <c r="K49" s="99"/>
      <c r="L49" s="108"/>
      <c r="M49" s="99"/>
      <c r="N49" s="105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128"/>
      <c r="AN49" s="128"/>
      <c r="AO49" s="128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</row>
    <row r="50" ht="40.5" hidden="1" customHeight="1">
      <c r="A50" s="98"/>
      <c r="B50" s="99"/>
      <c r="C50" s="99"/>
      <c r="D50" s="99"/>
      <c r="E50" s="107"/>
      <c r="F50" s="99"/>
      <c r="G50" s="103"/>
      <c r="H50" s="103"/>
      <c r="I50" s="103"/>
      <c r="J50" s="103"/>
      <c r="K50" s="99"/>
      <c r="L50" s="108"/>
      <c r="M50" s="99"/>
      <c r="N50" s="105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128"/>
      <c r="AN50" s="128"/>
      <c r="AO50" s="128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</row>
    <row r="51" ht="40.5" hidden="1" customHeight="1">
      <c r="A51" s="98"/>
      <c r="B51" s="99"/>
      <c r="C51" s="99"/>
      <c r="D51" s="99"/>
      <c r="E51" s="107"/>
      <c r="F51" s="99"/>
      <c r="G51" s="103"/>
      <c r="H51" s="103"/>
      <c r="I51" s="103"/>
      <c r="J51" s="103"/>
      <c r="K51" s="99"/>
      <c r="L51" s="108"/>
      <c r="M51" s="99"/>
      <c r="N51" s="105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128"/>
      <c r="AN51" s="128"/>
      <c r="AO51" s="128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</row>
    <row r="52" ht="40.5" hidden="1" customHeight="1">
      <c r="A52" s="98"/>
      <c r="B52" s="99"/>
      <c r="C52" s="99"/>
      <c r="D52" s="99"/>
      <c r="E52" s="107"/>
      <c r="F52" s="99"/>
      <c r="G52" s="103"/>
      <c r="H52" s="103"/>
      <c r="I52" s="103"/>
      <c r="J52" s="103"/>
      <c r="K52" s="99"/>
      <c r="L52" s="108"/>
      <c r="M52" s="99"/>
      <c r="N52" s="105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128"/>
      <c r="AN52" s="128"/>
      <c r="AO52" s="128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</row>
    <row r="53" ht="40.5" hidden="1" customHeight="1">
      <c r="A53" s="98"/>
      <c r="B53" s="99"/>
      <c r="C53" s="99"/>
      <c r="D53" s="99"/>
      <c r="E53" s="107"/>
      <c r="F53" s="99"/>
      <c r="G53" s="103"/>
      <c r="H53" s="103"/>
      <c r="I53" s="103"/>
      <c r="J53" s="103"/>
      <c r="K53" s="99"/>
      <c r="L53" s="108"/>
      <c r="M53" s="99"/>
      <c r="N53" s="105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128"/>
      <c r="AN53" s="128"/>
      <c r="AO53" s="128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</row>
    <row r="54" ht="40.5" hidden="1" customHeight="1">
      <c r="A54" s="98"/>
      <c r="B54" s="99"/>
      <c r="C54" s="99"/>
      <c r="D54" s="99"/>
      <c r="E54" s="107"/>
      <c r="F54" s="99"/>
      <c r="G54" s="103"/>
      <c r="H54" s="103"/>
      <c r="I54" s="103"/>
      <c r="J54" s="103"/>
      <c r="K54" s="99"/>
      <c r="L54" s="108"/>
      <c r="M54" s="99"/>
      <c r="N54" s="105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128"/>
      <c r="AN54" s="128"/>
      <c r="AO54" s="128"/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</row>
    <row r="55" ht="40.5" hidden="1" customHeight="1">
      <c r="A55" s="98"/>
      <c r="B55" s="99"/>
      <c r="C55" s="99"/>
      <c r="D55" s="99"/>
      <c r="E55" s="107"/>
      <c r="F55" s="99"/>
      <c r="G55" s="103"/>
      <c r="H55" s="103"/>
      <c r="I55" s="103"/>
      <c r="J55" s="103"/>
      <c r="K55" s="99"/>
      <c r="L55" s="108"/>
      <c r="M55" s="99"/>
      <c r="N55" s="105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128"/>
      <c r="AN55" s="128"/>
      <c r="AO55" s="128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</row>
    <row r="56" ht="40.5" hidden="1" customHeight="1">
      <c r="A56" s="98"/>
      <c r="B56" s="99"/>
      <c r="C56" s="99"/>
      <c r="D56" s="99"/>
      <c r="E56" s="107"/>
      <c r="F56" s="99"/>
      <c r="G56" s="103"/>
      <c r="H56" s="103"/>
      <c r="I56" s="103"/>
      <c r="J56" s="103"/>
      <c r="K56" s="99"/>
      <c r="L56" s="108"/>
      <c r="M56" s="99"/>
      <c r="N56" s="105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128"/>
      <c r="AN56" s="128"/>
      <c r="AO56" s="128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</row>
    <row r="57" ht="40.5" hidden="1" customHeight="1">
      <c r="A57" s="98"/>
      <c r="B57" s="99"/>
      <c r="C57" s="99"/>
      <c r="D57" s="99"/>
      <c r="E57" s="107"/>
      <c r="F57" s="99"/>
      <c r="G57" s="103"/>
      <c r="H57" s="103"/>
      <c r="I57" s="103"/>
      <c r="J57" s="103"/>
      <c r="K57" s="99"/>
      <c r="L57" s="108"/>
      <c r="M57" s="99"/>
      <c r="N57" s="105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128"/>
      <c r="AN57" s="128"/>
      <c r="AO57" s="128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</row>
    <row r="58" ht="40.5" hidden="1" customHeight="1">
      <c r="A58" s="98"/>
      <c r="B58" s="99"/>
      <c r="C58" s="99"/>
      <c r="D58" s="99"/>
      <c r="E58" s="107"/>
      <c r="F58" s="99"/>
      <c r="G58" s="103"/>
      <c r="H58" s="103"/>
      <c r="I58" s="103"/>
      <c r="J58" s="103"/>
      <c r="K58" s="99"/>
      <c r="L58" s="108"/>
      <c r="M58" s="99"/>
      <c r="N58" s="105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128"/>
      <c r="AN58" s="128"/>
      <c r="AO58" s="128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</row>
    <row r="59" ht="40.5" hidden="1" customHeight="1">
      <c r="A59" s="98"/>
      <c r="B59" s="99"/>
      <c r="C59" s="99"/>
      <c r="D59" s="99"/>
      <c r="E59" s="107"/>
      <c r="F59" s="99"/>
      <c r="G59" s="103"/>
      <c r="H59" s="103"/>
      <c r="I59" s="103"/>
      <c r="J59" s="103"/>
      <c r="K59" s="99"/>
      <c r="L59" s="108"/>
      <c r="M59" s="99"/>
      <c r="N59" s="105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128"/>
      <c r="AN59" s="128"/>
      <c r="AO59" s="128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</row>
    <row r="60" ht="40.5" hidden="1" customHeight="1">
      <c r="A60" s="98"/>
      <c r="B60" s="99"/>
      <c r="C60" s="99"/>
      <c r="D60" s="99"/>
      <c r="E60" s="107"/>
      <c r="F60" s="99"/>
      <c r="G60" s="103"/>
      <c r="H60" s="103"/>
      <c r="I60" s="103"/>
      <c r="J60" s="103"/>
      <c r="K60" s="99"/>
      <c r="L60" s="108"/>
      <c r="M60" s="99"/>
      <c r="N60" s="105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</row>
    <row r="61" ht="40.5" hidden="1" customHeight="1">
      <c r="A61" s="98"/>
      <c r="B61" s="99"/>
      <c r="C61" s="99"/>
      <c r="D61" s="99"/>
      <c r="E61" s="107"/>
      <c r="F61" s="99"/>
      <c r="G61" s="103"/>
      <c r="H61" s="103"/>
      <c r="I61" s="103"/>
      <c r="J61" s="103"/>
      <c r="K61" s="99"/>
      <c r="L61" s="108"/>
      <c r="M61" s="99"/>
      <c r="N61" s="105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3"/>
      <c r="AQ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</row>
    <row r="62" ht="40.5" hidden="1" customHeight="1">
      <c r="A62" s="98"/>
      <c r="B62" s="99"/>
      <c r="C62" s="99"/>
      <c r="D62" s="99"/>
      <c r="E62" s="107"/>
      <c r="F62" s="99"/>
      <c r="G62" s="103"/>
      <c r="H62" s="103"/>
      <c r="I62" s="103"/>
      <c r="J62" s="103"/>
      <c r="K62" s="99"/>
      <c r="L62" s="108"/>
      <c r="M62" s="99"/>
      <c r="N62" s="105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3"/>
      <c r="AQ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</row>
    <row r="63" ht="40.5" hidden="1" customHeight="1">
      <c r="A63" s="98"/>
      <c r="B63" s="99"/>
      <c r="C63" s="99"/>
      <c r="D63" s="99"/>
      <c r="E63" s="107"/>
      <c r="F63" s="99"/>
      <c r="G63" s="103"/>
      <c r="H63" s="103"/>
      <c r="I63" s="103"/>
      <c r="J63" s="103"/>
      <c r="K63" s="99"/>
      <c r="L63" s="108"/>
      <c r="M63" s="99"/>
      <c r="N63" s="105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</row>
    <row r="64" ht="40.5" hidden="1" customHeight="1">
      <c r="A64" s="98"/>
      <c r="B64" s="99"/>
      <c r="C64" s="99"/>
      <c r="D64" s="99"/>
      <c r="E64" s="107"/>
      <c r="F64" s="99"/>
      <c r="G64" s="103"/>
      <c r="H64" s="103"/>
      <c r="I64" s="103"/>
      <c r="J64" s="103"/>
      <c r="K64" s="99"/>
      <c r="L64" s="108"/>
      <c r="M64" s="99"/>
      <c r="N64" s="105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</row>
    <row r="65" ht="40.5" hidden="1" customHeight="1">
      <c r="A65" s="98"/>
      <c r="B65" s="99"/>
      <c r="C65" s="99"/>
      <c r="D65" s="99"/>
      <c r="E65" s="107"/>
      <c r="F65" s="99"/>
      <c r="G65" s="103"/>
      <c r="H65" s="103"/>
      <c r="I65" s="103"/>
      <c r="J65" s="103"/>
      <c r="K65" s="99"/>
      <c r="L65" s="108"/>
      <c r="M65" s="99"/>
      <c r="N65" s="105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</row>
    <row r="66" ht="40.5" hidden="1" customHeight="1">
      <c r="A66" s="98"/>
      <c r="B66" s="99"/>
      <c r="C66" s="99"/>
      <c r="D66" s="99"/>
      <c r="E66" s="107"/>
      <c r="F66" s="99"/>
      <c r="G66" s="103"/>
      <c r="H66" s="103"/>
      <c r="I66" s="103"/>
      <c r="J66" s="103"/>
      <c r="K66" s="99"/>
      <c r="L66" s="108"/>
      <c r="M66" s="99"/>
      <c r="N66" s="105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</row>
    <row r="67" ht="40.5" hidden="1" customHeight="1">
      <c r="A67" s="98"/>
      <c r="B67" s="99"/>
      <c r="C67" s="99"/>
      <c r="D67" s="99"/>
      <c r="E67" s="107"/>
      <c r="F67" s="99"/>
      <c r="G67" s="103"/>
      <c r="H67" s="103"/>
      <c r="I67" s="103"/>
      <c r="J67" s="103"/>
      <c r="K67" s="99"/>
      <c r="L67" s="108"/>
      <c r="M67" s="99"/>
      <c r="N67" s="105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</row>
    <row r="68" ht="40.5" hidden="1" customHeight="1">
      <c r="A68" s="98"/>
      <c r="B68" s="99"/>
      <c r="C68" s="99"/>
      <c r="D68" s="99"/>
      <c r="E68" s="107"/>
      <c r="F68" s="99"/>
      <c r="G68" s="103"/>
      <c r="H68" s="103"/>
      <c r="I68" s="103"/>
      <c r="J68" s="103"/>
      <c r="K68" s="99"/>
      <c r="L68" s="108"/>
      <c r="M68" s="99"/>
      <c r="N68" s="105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</row>
    <row r="69" ht="40.5" hidden="1" customHeight="1">
      <c r="A69" s="98"/>
      <c r="B69" s="99"/>
      <c r="C69" s="99"/>
      <c r="D69" s="99"/>
      <c r="E69" s="107"/>
      <c r="F69" s="99"/>
      <c r="G69" s="103"/>
      <c r="H69" s="103"/>
      <c r="I69" s="103"/>
      <c r="J69" s="103"/>
      <c r="K69" s="99"/>
      <c r="L69" s="108"/>
      <c r="M69" s="99"/>
      <c r="N69" s="105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</row>
    <row r="70" ht="40.5" hidden="1" customHeight="1">
      <c r="A70" s="98"/>
      <c r="B70" s="99"/>
      <c r="C70" s="99"/>
      <c r="D70" s="99"/>
      <c r="E70" s="107"/>
      <c r="F70" s="99"/>
      <c r="G70" s="103"/>
      <c r="H70" s="103"/>
      <c r="I70" s="103"/>
      <c r="J70" s="103"/>
      <c r="K70" s="99"/>
      <c r="L70" s="108"/>
      <c r="M70" s="99"/>
      <c r="N70" s="105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3"/>
      <c r="AQ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</row>
    <row r="71" ht="40.5" hidden="1" customHeight="1">
      <c r="A71" s="98"/>
      <c r="B71" s="99"/>
      <c r="C71" s="99"/>
      <c r="D71" s="99"/>
      <c r="E71" s="107"/>
      <c r="F71" s="99"/>
      <c r="G71" s="103"/>
      <c r="H71" s="103"/>
      <c r="I71" s="103"/>
      <c r="J71" s="103"/>
      <c r="K71" s="99"/>
      <c r="L71" s="108"/>
      <c r="M71" s="99"/>
      <c r="N71" s="105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</row>
    <row r="72" ht="40.5" hidden="1" customHeight="1">
      <c r="A72" s="98"/>
      <c r="B72" s="99"/>
      <c r="C72" s="99"/>
      <c r="D72" s="99"/>
      <c r="E72" s="107"/>
      <c r="F72" s="99"/>
      <c r="G72" s="103"/>
      <c r="H72" s="103"/>
      <c r="I72" s="103"/>
      <c r="J72" s="103"/>
      <c r="K72" s="99"/>
      <c r="L72" s="108"/>
      <c r="M72" s="99"/>
      <c r="N72" s="105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3"/>
      <c r="AQ72" s="93"/>
      <c r="AR72" s="93"/>
      <c r="AS72" s="93"/>
      <c r="AT72" s="93"/>
      <c r="AU72" s="93"/>
      <c r="AV72" s="93"/>
      <c r="AW72" s="93"/>
      <c r="AX72" s="93"/>
      <c r="AY72" s="93"/>
      <c r="AZ72" s="93"/>
      <c r="BA72" s="93"/>
    </row>
    <row r="73" ht="40.5" hidden="1" customHeight="1">
      <c r="A73" s="98"/>
      <c r="B73" s="99"/>
      <c r="C73" s="99"/>
      <c r="D73" s="99"/>
      <c r="E73" s="107"/>
      <c r="F73" s="99"/>
      <c r="G73" s="103"/>
      <c r="H73" s="103"/>
      <c r="I73" s="103"/>
      <c r="J73" s="103"/>
      <c r="K73" s="99"/>
      <c r="L73" s="108"/>
      <c r="M73" s="99"/>
      <c r="N73" s="105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</row>
    <row r="74" ht="40.5" hidden="1" customHeight="1">
      <c r="A74" s="98"/>
      <c r="B74" s="99"/>
      <c r="C74" s="99"/>
      <c r="D74" s="99"/>
      <c r="E74" s="107"/>
      <c r="F74" s="99"/>
      <c r="G74" s="103"/>
      <c r="H74" s="103"/>
      <c r="I74" s="103"/>
      <c r="J74" s="103"/>
      <c r="K74" s="99"/>
      <c r="L74" s="108"/>
      <c r="M74" s="99"/>
      <c r="N74" s="105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</row>
    <row r="75" ht="40.5" hidden="1" customHeight="1">
      <c r="A75" s="98"/>
      <c r="B75" s="99"/>
      <c r="C75" s="99"/>
      <c r="D75" s="99"/>
      <c r="E75" s="107"/>
      <c r="F75" s="99"/>
      <c r="G75" s="103"/>
      <c r="H75" s="103"/>
      <c r="I75" s="103"/>
      <c r="J75" s="103"/>
      <c r="K75" s="99"/>
      <c r="L75" s="108"/>
      <c r="M75" s="99"/>
      <c r="N75" s="105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</row>
    <row r="76" ht="40.5" hidden="1" customHeight="1">
      <c r="A76" s="98"/>
      <c r="B76" s="99"/>
      <c r="C76" s="99"/>
      <c r="D76" s="99"/>
      <c r="E76" s="107"/>
      <c r="F76" s="99"/>
      <c r="G76" s="103"/>
      <c r="H76" s="103"/>
      <c r="I76" s="103"/>
      <c r="J76" s="103"/>
      <c r="K76" s="99"/>
      <c r="L76" s="108"/>
      <c r="M76" s="99"/>
      <c r="N76" s="105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</row>
    <row r="77" ht="40.5" hidden="1" customHeight="1">
      <c r="A77" s="98"/>
      <c r="B77" s="99"/>
      <c r="C77" s="99"/>
      <c r="D77" s="99"/>
      <c r="E77" s="107"/>
      <c r="F77" s="99"/>
      <c r="G77" s="103"/>
      <c r="H77" s="103"/>
      <c r="I77" s="103"/>
      <c r="J77" s="103"/>
      <c r="K77" s="99"/>
      <c r="L77" s="108"/>
      <c r="M77" s="99"/>
      <c r="N77" s="105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</row>
    <row r="78" ht="40.5" hidden="1" customHeight="1">
      <c r="A78" s="98"/>
      <c r="B78" s="99"/>
      <c r="C78" s="99"/>
      <c r="D78" s="99"/>
      <c r="E78" s="107"/>
      <c r="F78" s="99"/>
      <c r="G78" s="103"/>
      <c r="H78" s="103"/>
      <c r="I78" s="103"/>
      <c r="J78" s="103"/>
      <c r="K78" s="99"/>
      <c r="L78" s="108"/>
      <c r="M78" s="99"/>
      <c r="N78" s="105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</row>
    <row r="79" ht="40.5" hidden="1" customHeight="1">
      <c r="A79" s="98"/>
      <c r="B79" s="99"/>
      <c r="C79" s="99"/>
      <c r="D79" s="99"/>
      <c r="E79" s="107"/>
      <c r="F79" s="99"/>
      <c r="G79" s="103"/>
      <c r="H79" s="103"/>
      <c r="I79" s="103"/>
      <c r="J79" s="103"/>
      <c r="K79" s="99"/>
      <c r="L79" s="108"/>
      <c r="M79" s="99"/>
      <c r="N79" s="105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</row>
    <row r="80" ht="40.5" hidden="1" customHeight="1">
      <c r="A80" s="98"/>
      <c r="B80" s="99"/>
      <c r="C80" s="99"/>
      <c r="D80" s="99"/>
      <c r="E80" s="107"/>
      <c r="F80" s="99"/>
      <c r="G80" s="103"/>
      <c r="H80" s="103"/>
      <c r="I80" s="103"/>
      <c r="J80" s="103"/>
      <c r="K80" s="99"/>
      <c r="L80" s="108"/>
      <c r="M80" s="99"/>
      <c r="N80" s="105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3"/>
      <c r="AQ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</row>
    <row r="81" ht="40.5" hidden="1" customHeight="1">
      <c r="A81" s="98"/>
      <c r="B81" s="99"/>
      <c r="C81" s="99"/>
      <c r="D81" s="99"/>
      <c r="E81" s="107"/>
      <c r="F81" s="99"/>
      <c r="G81" s="103"/>
      <c r="H81" s="103"/>
      <c r="I81" s="103"/>
      <c r="J81" s="103"/>
      <c r="K81" s="99"/>
      <c r="L81" s="108"/>
      <c r="M81" s="99"/>
      <c r="N81" s="105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3"/>
      <c r="AQ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</row>
    <row r="82" ht="40.5" hidden="1" customHeight="1">
      <c r="A82" s="98"/>
      <c r="B82" s="99"/>
      <c r="C82" s="99"/>
      <c r="D82" s="99"/>
      <c r="E82" s="107"/>
      <c r="F82" s="99"/>
      <c r="G82" s="103"/>
      <c r="H82" s="103"/>
      <c r="I82" s="103"/>
      <c r="J82" s="103"/>
      <c r="K82" s="99"/>
      <c r="L82" s="108"/>
      <c r="M82" s="99"/>
      <c r="N82" s="105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3"/>
      <c r="AQ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</row>
    <row r="83" ht="40.5" hidden="1" customHeight="1">
      <c r="A83" s="98"/>
      <c r="B83" s="99"/>
      <c r="C83" s="99"/>
      <c r="D83" s="99"/>
      <c r="E83" s="107"/>
      <c r="F83" s="99"/>
      <c r="G83" s="103"/>
      <c r="H83" s="103"/>
      <c r="I83" s="103"/>
      <c r="J83" s="103"/>
      <c r="K83" s="99"/>
      <c r="L83" s="108"/>
      <c r="M83" s="99"/>
      <c r="N83" s="105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</row>
    <row r="84" ht="40.5" hidden="1" customHeight="1">
      <c r="A84" s="98"/>
      <c r="B84" s="99"/>
      <c r="C84" s="99"/>
      <c r="D84" s="99"/>
      <c r="E84" s="107"/>
      <c r="F84" s="99"/>
      <c r="G84" s="103"/>
      <c r="H84" s="103"/>
      <c r="I84" s="103"/>
      <c r="J84" s="103"/>
      <c r="K84" s="99"/>
      <c r="L84" s="108"/>
      <c r="M84" s="99"/>
      <c r="N84" s="105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</row>
    <row r="85" ht="40.5" hidden="1" customHeight="1">
      <c r="A85" s="98"/>
      <c r="B85" s="99"/>
      <c r="C85" s="99"/>
      <c r="D85" s="99"/>
      <c r="E85" s="107"/>
      <c r="F85" s="99"/>
      <c r="G85" s="103"/>
      <c r="H85" s="103"/>
      <c r="I85" s="103"/>
      <c r="J85" s="103"/>
      <c r="K85" s="99"/>
      <c r="L85" s="108"/>
      <c r="M85" s="99"/>
      <c r="N85" s="105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3"/>
      <c r="AQ85" s="93"/>
      <c r="AR85" s="93"/>
      <c r="AS85" s="93"/>
      <c r="AT85" s="93"/>
      <c r="AU85" s="93"/>
      <c r="AV85" s="93"/>
      <c r="AW85" s="93"/>
      <c r="AX85" s="93"/>
      <c r="AY85" s="93"/>
      <c r="AZ85" s="93"/>
      <c r="BA85" s="93"/>
    </row>
    <row r="86" ht="40.5" hidden="1" customHeight="1">
      <c r="A86" s="98"/>
      <c r="B86" s="99"/>
      <c r="C86" s="99"/>
      <c r="D86" s="99"/>
      <c r="E86" s="107"/>
      <c r="F86" s="99"/>
      <c r="G86" s="103"/>
      <c r="H86" s="103"/>
      <c r="I86" s="103"/>
      <c r="J86" s="103"/>
      <c r="K86" s="99"/>
      <c r="L86" s="108"/>
      <c r="M86" s="99"/>
      <c r="N86" s="105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</row>
    <row r="87" ht="40.5" hidden="1" customHeight="1">
      <c r="A87" s="98"/>
      <c r="B87" s="99"/>
      <c r="C87" s="99"/>
      <c r="D87" s="99"/>
      <c r="E87" s="107"/>
      <c r="F87" s="99"/>
      <c r="G87" s="103"/>
      <c r="H87" s="103"/>
      <c r="I87" s="103"/>
      <c r="J87" s="103"/>
      <c r="K87" s="99"/>
      <c r="L87" s="108"/>
      <c r="M87" s="99"/>
      <c r="N87" s="105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3"/>
      <c r="AQ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</row>
    <row r="88" ht="40.5" hidden="1" customHeight="1">
      <c r="A88" s="98"/>
      <c r="B88" s="99"/>
      <c r="C88" s="99"/>
      <c r="D88" s="99"/>
      <c r="E88" s="107"/>
      <c r="F88" s="99"/>
      <c r="G88" s="103"/>
      <c r="H88" s="103"/>
      <c r="I88" s="103"/>
      <c r="J88" s="103"/>
      <c r="K88" s="99"/>
      <c r="L88" s="108"/>
      <c r="M88" s="99"/>
      <c r="N88" s="105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3"/>
      <c r="AQ88" s="93"/>
      <c r="AR88" s="93"/>
      <c r="AS88" s="93"/>
      <c r="AT88" s="93"/>
      <c r="AU88" s="93"/>
      <c r="AV88" s="93"/>
      <c r="AW88" s="93"/>
      <c r="AX88" s="93"/>
      <c r="AY88" s="93"/>
      <c r="AZ88" s="93"/>
      <c r="BA88" s="93"/>
    </row>
    <row r="89" ht="40.5" hidden="1" customHeight="1">
      <c r="A89" s="98"/>
      <c r="B89" s="99"/>
      <c r="C89" s="99"/>
      <c r="D89" s="99"/>
      <c r="E89" s="107"/>
      <c r="F89" s="99"/>
      <c r="G89" s="103"/>
      <c r="H89" s="103"/>
      <c r="I89" s="103"/>
      <c r="J89" s="103"/>
      <c r="K89" s="99"/>
      <c r="L89" s="108"/>
      <c r="M89" s="99"/>
      <c r="N89" s="105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3"/>
      <c r="AQ89" s="93"/>
      <c r="AR89" s="93"/>
      <c r="AS89" s="93"/>
      <c r="AT89" s="93"/>
      <c r="AU89" s="93"/>
      <c r="AV89" s="93"/>
      <c r="AW89" s="93"/>
      <c r="AX89" s="93"/>
      <c r="AY89" s="93"/>
      <c r="AZ89" s="93"/>
      <c r="BA89" s="93"/>
    </row>
    <row r="90" ht="40.5" hidden="1" customHeight="1">
      <c r="A90" s="98"/>
      <c r="B90" s="99"/>
      <c r="C90" s="99"/>
      <c r="D90" s="99"/>
      <c r="E90" s="107"/>
      <c r="F90" s="99"/>
      <c r="G90" s="103"/>
      <c r="H90" s="103"/>
      <c r="I90" s="103"/>
      <c r="J90" s="103"/>
      <c r="K90" s="99"/>
      <c r="L90" s="108"/>
      <c r="M90" s="99"/>
      <c r="N90" s="105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3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</row>
    <row r="91" ht="40.5" hidden="1" customHeight="1">
      <c r="A91" s="98"/>
      <c r="B91" s="99"/>
      <c r="C91" s="99"/>
      <c r="D91" s="99"/>
      <c r="E91" s="107"/>
      <c r="F91" s="99"/>
      <c r="G91" s="103"/>
      <c r="H91" s="103"/>
      <c r="I91" s="103"/>
      <c r="J91" s="103"/>
      <c r="K91" s="99"/>
      <c r="L91" s="108"/>
      <c r="M91" s="99"/>
      <c r="N91" s="105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</row>
    <row r="92" ht="40.5" hidden="1" customHeight="1">
      <c r="A92" s="98"/>
      <c r="B92" s="99"/>
      <c r="C92" s="99"/>
      <c r="D92" s="99"/>
      <c r="E92" s="107"/>
      <c r="F92" s="99"/>
      <c r="G92" s="103"/>
      <c r="H92" s="103"/>
      <c r="I92" s="103"/>
      <c r="J92" s="103"/>
      <c r="K92" s="99"/>
      <c r="L92" s="108"/>
      <c r="M92" s="99"/>
      <c r="N92" s="105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3"/>
      <c r="AQ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</row>
    <row r="93" ht="40.5" hidden="1" customHeight="1">
      <c r="A93" s="98"/>
      <c r="B93" s="99"/>
      <c r="C93" s="99"/>
      <c r="D93" s="99"/>
      <c r="E93" s="107"/>
      <c r="F93" s="99"/>
      <c r="G93" s="103"/>
      <c r="H93" s="103"/>
      <c r="I93" s="103"/>
      <c r="J93" s="103"/>
      <c r="K93" s="99"/>
      <c r="L93" s="108"/>
      <c r="M93" s="99"/>
      <c r="N93" s="105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3"/>
      <c r="AQ93" s="93"/>
      <c r="AR93" s="93"/>
      <c r="AS93" s="93"/>
      <c r="AT93" s="93"/>
      <c r="AU93" s="93"/>
      <c r="AV93" s="93"/>
      <c r="AW93" s="93"/>
      <c r="AX93" s="93"/>
      <c r="AY93" s="93"/>
      <c r="AZ93" s="93"/>
      <c r="BA93" s="93"/>
    </row>
    <row r="94" ht="40.5" hidden="1" customHeight="1">
      <c r="A94" s="98"/>
      <c r="B94" s="99"/>
      <c r="C94" s="99"/>
      <c r="D94" s="99"/>
      <c r="E94" s="107"/>
      <c r="F94" s="99"/>
      <c r="G94" s="103"/>
      <c r="H94" s="103"/>
      <c r="I94" s="103"/>
      <c r="J94" s="103"/>
      <c r="K94" s="99"/>
      <c r="L94" s="108"/>
      <c r="M94" s="99"/>
      <c r="N94" s="105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3"/>
      <c r="AQ94" s="93"/>
      <c r="AR94" s="93"/>
      <c r="AS94" s="93"/>
      <c r="AT94" s="93"/>
      <c r="AU94" s="93"/>
      <c r="AV94" s="93"/>
      <c r="AW94" s="93"/>
      <c r="AX94" s="93"/>
      <c r="AY94" s="93"/>
      <c r="AZ94" s="93"/>
      <c r="BA94" s="93"/>
    </row>
    <row r="95" ht="40.5" hidden="1" customHeight="1">
      <c r="A95" s="98"/>
      <c r="B95" s="99"/>
      <c r="C95" s="99"/>
      <c r="D95" s="99"/>
      <c r="E95" s="107"/>
      <c r="F95" s="99"/>
      <c r="G95" s="103"/>
      <c r="H95" s="103"/>
      <c r="I95" s="103"/>
      <c r="J95" s="103"/>
      <c r="K95" s="99"/>
      <c r="L95" s="108"/>
      <c r="M95" s="99"/>
      <c r="N95" s="105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3"/>
      <c r="AQ95" s="93"/>
      <c r="AR95" s="93"/>
      <c r="AS95" s="93"/>
      <c r="AT95" s="93"/>
      <c r="AU95" s="93"/>
      <c r="AV95" s="93"/>
      <c r="AW95" s="93"/>
      <c r="AX95" s="93"/>
      <c r="AY95" s="93"/>
      <c r="AZ95" s="93"/>
      <c r="BA95" s="93"/>
    </row>
    <row r="96" ht="40.5" hidden="1" customHeight="1">
      <c r="A96" s="98"/>
      <c r="B96" s="99"/>
      <c r="C96" s="99"/>
      <c r="D96" s="99"/>
      <c r="E96" s="107"/>
      <c r="F96" s="99"/>
      <c r="G96" s="103"/>
      <c r="H96" s="103"/>
      <c r="I96" s="103"/>
      <c r="J96" s="103"/>
      <c r="K96" s="99"/>
      <c r="L96" s="108"/>
      <c r="M96" s="99"/>
      <c r="N96" s="105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3"/>
      <c r="AQ96" s="93"/>
      <c r="AR96" s="93"/>
      <c r="AS96" s="93"/>
      <c r="AT96" s="93"/>
      <c r="AU96" s="93"/>
      <c r="AV96" s="93"/>
      <c r="AW96" s="93"/>
      <c r="AX96" s="93"/>
      <c r="AY96" s="93"/>
      <c r="AZ96" s="93"/>
      <c r="BA96" s="93"/>
    </row>
    <row r="97" ht="40.5" hidden="1" customHeight="1">
      <c r="A97" s="98"/>
      <c r="B97" s="99"/>
      <c r="C97" s="99"/>
      <c r="D97" s="99"/>
      <c r="E97" s="107"/>
      <c r="F97" s="99"/>
      <c r="G97" s="103"/>
      <c r="H97" s="103"/>
      <c r="I97" s="103"/>
      <c r="J97" s="103"/>
      <c r="K97" s="99"/>
      <c r="L97" s="108"/>
      <c r="M97" s="99"/>
      <c r="N97" s="105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3"/>
      <c r="AQ97" s="93"/>
      <c r="AR97" s="93"/>
      <c r="AS97" s="93"/>
      <c r="AT97" s="93"/>
      <c r="AU97" s="93"/>
      <c r="AV97" s="93"/>
      <c r="AW97" s="93"/>
      <c r="AX97" s="93"/>
      <c r="AY97" s="93"/>
      <c r="AZ97" s="93"/>
      <c r="BA97" s="93"/>
    </row>
    <row r="98" ht="40.5" hidden="1" customHeight="1">
      <c r="A98" s="98"/>
      <c r="B98" s="99"/>
      <c r="C98" s="99"/>
      <c r="D98" s="99"/>
      <c r="E98" s="107"/>
      <c r="F98" s="99"/>
      <c r="G98" s="103"/>
      <c r="H98" s="103"/>
      <c r="I98" s="103"/>
      <c r="J98" s="103"/>
      <c r="K98" s="99"/>
      <c r="L98" s="108"/>
      <c r="M98" s="99"/>
      <c r="N98" s="105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3"/>
      <c r="AQ98" s="93"/>
      <c r="AR98" s="93"/>
      <c r="AS98" s="93"/>
      <c r="AT98" s="93"/>
      <c r="AU98" s="93"/>
      <c r="AV98" s="93"/>
      <c r="AW98" s="93"/>
      <c r="AX98" s="93"/>
      <c r="AY98" s="93"/>
      <c r="AZ98" s="93"/>
      <c r="BA98" s="93"/>
    </row>
    <row r="99" ht="40.5" hidden="1" customHeight="1">
      <c r="A99" s="98"/>
      <c r="B99" s="99"/>
      <c r="C99" s="99"/>
      <c r="D99" s="99"/>
      <c r="E99" s="107"/>
      <c r="F99" s="99"/>
      <c r="G99" s="103"/>
      <c r="H99" s="103"/>
      <c r="I99" s="103"/>
      <c r="J99" s="103"/>
      <c r="K99" s="99"/>
      <c r="L99" s="108"/>
      <c r="M99" s="99"/>
      <c r="N99" s="105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3"/>
      <c r="AQ99" s="93"/>
      <c r="AR99" s="93"/>
      <c r="AS99" s="93"/>
      <c r="AT99" s="93"/>
      <c r="AU99" s="93"/>
      <c r="AV99" s="93"/>
      <c r="AW99" s="93"/>
      <c r="AX99" s="93"/>
      <c r="AY99" s="93"/>
      <c r="AZ99" s="93"/>
      <c r="BA99" s="93"/>
    </row>
    <row r="100" ht="40.5" hidden="1" customHeight="1">
      <c r="A100" s="98"/>
      <c r="B100" s="99"/>
      <c r="C100" s="99"/>
      <c r="D100" s="99"/>
      <c r="E100" s="107"/>
      <c r="F100" s="99"/>
      <c r="G100" s="103"/>
      <c r="H100" s="103"/>
      <c r="I100" s="103"/>
      <c r="J100" s="103"/>
      <c r="K100" s="99"/>
      <c r="L100" s="108"/>
      <c r="M100" s="99"/>
      <c r="N100" s="105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3"/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</row>
    <row r="101" ht="40.5" hidden="1" customHeight="1">
      <c r="A101" s="98"/>
      <c r="B101" s="99"/>
      <c r="C101" s="99"/>
      <c r="D101" s="99"/>
      <c r="E101" s="107"/>
      <c r="F101" s="99"/>
      <c r="G101" s="103"/>
      <c r="H101" s="103"/>
      <c r="I101" s="103"/>
      <c r="J101" s="103"/>
      <c r="K101" s="99"/>
      <c r="L101" s="108"/>
      <c r="M101" s="99"/>
      <c r="N101" s="105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</row>
    <row r="102" ht="40.5" hidden="1" customHeight="1">
      <c r="A102" s="98"/>
      <c r="B102" s="99"/>
      <c r="C102" s="99"/>
      <c r="D102" s="99"/>
      <c r="E102" s="107"/>
      <c r="F102" s="99"/>
      <c r="G102" s="103"/>
      <c r="H102" s="103"/>
      <c r="I102" s="103"/>
      <c r="J102" s="103"/>
      <c r="K102" s="99"/>
      <c r="L102" s="108"/>
      <c r="M102" s="99"/>
      <c r="N102" s="105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3"/>
      <c r="AQ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/>
    </row>
    <row r="103" ht="40.5" hidden="1" customHeight="1">
      <c r="A103" s="98"/>
      <c r="B103" s="99"/>
      <c r="C103" s="99"/>
      <c r="D103" s="99"/>
      <c r="E103" s="107"/>
      <c r="F103" s="99"/>
      <c r="G103" s="103"/>
      <c r="H103" s="103"/>
      <c r="I103" s="103"/>
      <c r="J103" s="103"/>
      <c r="K103" s="99"/>
      <c r="L103" s="108"/>
      <c r="M103" s="99"/>
      <c r="N103" s="105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3"/>
      <c r="AQ103" s="93"/>
      <c r="AR103" s="93"/>
      <c r="AS103" s="93"/>
      <c r="AT103" s="93"/>
      <c r="AU103" s="93"/>
      <c r="AV103" s="93"/>
      <c r="AW103" s="93"/>
      <c r="AX103" s="93"/>
      <c r="AY103" s="93"/>
      <c r="AZ103" s="93"/>
      <c r="BA103" s="93"/>
    </row>
    <row r="104" ht="40.5" hidden="1" customHeight="1">
      <c r="A104" s="98"/>
      <c r="B104" s="99"/>
      <c r="C104" s="99"/>
      <c r="D104" s="99"/>
      <c r="E104" s="107"/>
      <c r="F104" s="99"/>
      <c r="G104" s="103"/>
      <c r="H104" s="103"/>
      <c r="I104" s="103"/>
      <c r="J104" s="103"/>
      <c r="K104" s="99"/>
      <c r="L104" s="108"/>
      <c r="M104" s="99"/>
      <c r="N104" s="105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</row>
    <row r="105" ht="40.5" hidden="1" customHeight="1">
      <c r="A105" s="98"/>
      <c r="B105" s="99"/>
      <c r="C105" s="99"/>
      <c r="D105" s="99"/>
      <c r="E105" s="107"/>
      <c r="F105" s="99"/>
      <c r="G105" s="103"/>
      <c r="H105" s="103"/>
      <c r="I105" s="103"/>
      <c r="J105" s="103"/>
      <c r="K105" s="99"/>
      <c r="L105" s="108"/>
      <c r="M105" s="99"/>
      <c r="N105" s="105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3"/>
      <c r="AQ105" s="93"/>
      <c r="AR105" s="93"/>
      <c r="AS105" s="93"/>
      <c r="AT105" s="93"/>
      <c r="AU105" s="93"/>
      <c r="AV105" s="93"/>
      <c r="AW105" s="93"/>
      <c r="AX105" s="93"/>
      <c r="AY105" s="93"/>
      <c r="AZ105" s="93"/>
      <c r="BA105" s="93"/>
    </row>
    <row r="106" ht="40.5" hidden="1" customHeight="1">
      <c r="A106" s="98"/>
      <c r="B106" s="99"/>
      <c r="C106" s="99"/>
      <c r="D106" s="99"/>
      <c r="E106" s="107"/>
      <c r="F106" s="99"/>
      <c r="G106" s="103"/>
      <c r="H106" s="103"/>
      <c r="I106" s="103"/>
      <c r="J106" s="103"/>
      <c r="K106" s="99"/>
      <c r="L106" s="108"/>
      <c r="M106" s="99"/>
      <c r="N106" s="105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3"/>
      <c r="AQ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</row>
    <row r="107" ht="40.5" hidden="1" customHeight="1">
      <c r="A107" s="98"/>
      <c r="B107" s="99"/>
      <c r="C107" s="99"/>
      <c r="D107" s="99"/>
      <c r="E107" s="107"/>
      <c r="F107" s="99"/>
      <c r="G107" s="103"/>
      <c r="H107" s="103"/>
      <c r="I107" s="103"/>
      <c r="J107" s="103"/>
      <c r="K107" s="99"/>
      <c r="L107" s="108"/>
      <c r="M107" s="99"/>
      <c r="N107" s="105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3"/>
      <c r="AQ107" s="93"/>
      <c r="AR107" s="93"/>
      <c r="AS107" s="93"/>
      <c r="AT107" s="93"/>
      <c r="AU107" s="93"/>
      <c r="AV107" s="93"/>
      <c r="AW107" s="93"/>
      <c r="AX107" s="93"/>
      <c r="AY107" s="93"/>
      <c r="AZ107" s="93"/>
      <c r="BA107" s="93"/>
    </row>
    <row r="108" ht="40.5" hidden="1" customHeight="1">
      <c r="A108" s="98"/>
      <c r="B108" s="99"/>
      <c r="C108" s="99"/>
      <c r="D108" s="99"/>
      <c r="E108" s="107"/>
      <c r="F108" s="99"/>
      <c r="G108" s="103"/>
      <c r="H108" s="103"/>
      <c r="I108" s="103"/>
      <c r="J108" s="103"/>
      <c r="K108" s="99"/>
      <c r="L108" s="108"/>
      <c r="M108" s="99"/>
      <c r="N108" s="105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</row>
    <row r="109" ht="40.5" hidden="1" customHeight="1">
      <c r="A109" s="98"/>
      <c r="B109" s="99"/>
      <c r="C109" s="99"/>
      <c r="D109" s="99"/>
      <c r="E109" s="107"/>
      <c r="F109" s="99"/>
      <c r="G109" s="103"/>
      <c r="H109" s="103"/>
      <c r="I109" s="103"/>
      <c r="J109" s="103"/>
      <c r="K109" s="99"/>
      <c r="L109" s="108"/>
      <c r="M109" s="99"/>
      <c r="N109" s="105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3"/>
      <c r="AQ109" s="93"/>
      <c r="AR109" s="93"/>
      <c r="AS109" s="93"/>
      <c r="AT109" s="93"/>
      <c r="AU109" s="93"/>
      <c r="AV109" s="93"/>
      <c r="AW109" s="93"/>
      <c r="AX109" s="93"/>
      <c r="AY109" s="93"/>
      <c r="AZ109" s="93"/>
      <c r="BA109" s="93"/>
    </row>
    <row r="110" ht="40.5" hidden="1" customHeight="1">
      <c r="A110" s="98"/>
      <c r="B110" s="99"/>
      <c r="C110" s="99"/>
      <c r="D110" s="99"/>
      <c r="E110" s="107"/>
      <c r="F110" s="99"/>
      <c r="G110" s="103"/>
      <c r="H110" s="103"/>
      <c r="I110" s="103"/>
      <c r="J110" s="103"/>
      <c r="K110" s="99"/>
      <c r="L110" s="108"/>
      <c r="M110" s="99"/>
      <c r="N110" s="105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</row>
    <row r="111" ht="40.5" hidden="1" customHeight="1">
      <c r="A111" s="98"/>
      <c r="B111" s="99"/>
      <c r="C111" s="99"/>
      <c r="D111" s="99"/>
      <c r="E111" s="107"/>
      <c r="F111" s="99"/>
      <c r="G111" s="103"/>
      <c r="H111" s="103"/>
      <c r="I111" s="103"/>
      <c r="J111" s="103"/>
      <c r="K111" s="99"/>
      <c r="L111" s="108"/>
      <c r="M111" s="99"/>
      <c r="N111" s="105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</row>
    <row r="112" ht="40.5" hidden="1" customHeight="1">
      <c r="A112" s="98"/>
      <c r="B112" s="99"/>
      <c r="C112" s="99"/>
      <c r="D112" s="99"/>
      <c r="E112" s="107"/>
      <c r="F112" s="99"/>
      <c r="G112" s="103"/>
      <c r="H112" s="103"/>
      <c r="I112" s="103"/>
      <c r="J112" s="103"/>
      <c r="K112" s="99"/>
      <c r="L112" s="108"/>
      <c r="M112" s="99"/>
      <c r="N112" s="105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3"/>
      <c r="AQ112" s="93"/>
      <c r="AR112" s="93"/>
      <c r="AS112" s="93"/>
      <c r="AT112" s="93"/>
      <c r="AU112" s="93"/>
      <c r="AV112" s="93"/>
      <c r="AW112" s="93"/>
      <c r="AX112" s="93"/>
      <c r="AY112" s="93"/>
      <c r="AZ112" s="93"/>
      <c r="BA112" s="93"/>
    </row>
    <row r="113" ht="40.5" hidden="1" customHeight="1">
      <c r="A113" s="98"/>
      <c r="B113" s="99"/>
      <c r="C113" s="99"/>
      <c r="D113" s="99"/>
      <c r="E113" s="107"/>
      <c r="F113" s="99"/>
      <c r="G113" s="103"/>
      <c r="H113" s="103"/>
      <c r="I113" s="103"/>
      <c r="J113" s="103"/>
      <c r="K113" s="99"/>
      <c r="L113" s="108"/>
      <c r="M113" s="99"/>
      <c r="N113" s="105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</row>
    <row r="114" ht="40.5" hidden="1" customHeight="1">
      <c r="A114" s="98"/>
      <c r="B114" s="99"/>
      <c r="C114" s="99"/>
      <c r="D114" s="99"/>
      <c r="E114" s="107"/>
      <c r="F114" s="99"/>
      <c r="G114" s="103"/>
      <c r="H114" s="103"/>
      <c r="I114" s="103"/>
      <c r="J114" s="103"/>
      <c r="K114" s="99"/>
      <c r="L114" s="108"/>
      <c r="M114" s="99"/>
      <c r="N114" s="105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3"/>
      <c r="AQ114" s="93"/>
      <c r="AR114" s="93"/>
      <c r="AS114" s="93"/>
      <c r="AT114" s="93"/>
      <c r="AU114" s="93"/>
      <c r="AV114" s="93"/>
      <c r="AW114" s="93"/>
      <c r="AX114" s="93"/>
      <c r="AY114" s="93"/>
      <c r="AZ114" s="93"/>
      <c r="BA114" s="93"/>
    </row>
    <row r="115" ht="40.5" hidden="1" customHeight="1">
      <c r="A115" s="98"/>
      <c r="B115" s="99"/>
      <c r="C115" s="99"/>
      <c r="D115" s="99"/>
      <c r="E115" s="107"/>
      <c r="F115" s="99"/>
      <c r="G115" s="103"/>
      <c r="H115" s="103"/>
      <c r="I115" s="103"/>
      <c r="J115" s="103"/>
      <c r="K115" s="99"/>
      <c r="L115" s="108"/>
      <c r="M115" s="99"/>
      <c r="N115" s="105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3"/>
      <c r="AQ115" s="93"/>
      <c r="AR115" s="93"/>
      <c r="AS115" s="93"/>
      <c r="AT115" s="93"/>
      <c r="AU115" s="93"/>
      <c r="AV115" s="93"/>
      <c r="AW115" s="93"/>
      <c r="AX115" s="93"/>
      <c r="AY115" s="93"/>
      <c r="AZ115" s="93"/>
      <c r="BA115" s="93"/>
    </row>
    <row r="116" ht="40.5" hidden="1" customHeight="1">
      <c r="A116" s="98"/>
      <c r="B116" s="99"/>
      <c r="C116" s="99"/>
      <c r="D116" s="99"/>
      <c r="E116" s="107"/>
      <c r="F116" s="99"/>
      <c r="G116" s="103"/>
      <c r="H116" s="103"/>
      <c r="I116" s="103"/>
      <c r="J116" s="103"/>
      <c r="K116" s="99"/>
      <c r="L116" s="108"/>
      <c r="M116" s="99"/>
      <c r="N116" s="105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</row>
    <row r="117" ht="40.5" hidden="1" customHeight="1">
      <c r="A117" s="98"/>
      <c r="B117" s="99"/>
      <c r="C117" s="99"/>
      <c r="D117" s="99"/>
      <c r="E117" s="107"/>
      <c r="F117" s="99"/>
      <c r="G117" s="103"/>
      <c r="H117" s="103"/>
      <c r="I117" s="103"/>
      <c r="J117" s="103"/>
      <c r="K117" s="99"/>
      <c r="L117" s="108"/>
      <c r="M117" s="99"/>
      <c r="N117" s="105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</row>
    <row r="118" ht="20.25" customHeight="1">
      <c r="A118" s="98"/>
      <c r="B118" s="99"/>
      <c r="C118" s="99"/>
      <c r="D118" s="99"/>
      <c r="E118" s="107"/>
      <c r="F118" s="99"/>
      <c r="G118" s="103"/>
      <c r="H118" s="103"/>
      <c r="I118" s="103"/>
      <c r="J118" s="103"/>
      <c r="K118" s="99"/>
      <c r="L118" s="108"/>
      <c r="M118" s="99"/>
      <c r="N118" s="105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</row>
    <row r="119" ht="20.25" customHeight="1">
      <c r="A119" s="98"/>
      <c r="B119" s="99"/>
      <c r="C119" s="99"/>
      <c r="D119" s="99"/>
      <c r="E119" s="107"/>
      <c r="F119" s="99"/>
      <c r="G119" s="103"/>
      <c r="H119" s="103"/>
      <c r="I119" s="103"/>
      <c r="J119" s="103"/>
      <c r="K119" s="99"/>
      <c r="L119" s="108"/>
      <c r="M119" s="99"/>
      <c r="N119" s="105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</row>
    <row r="120" ht="20.25" customHeight="1">
      <c r="A120" s="98"/>
      <c r="B120" s="99"/>
      <c r="C120" s="99"/>
      <c r="D120" s="99"/>
      <c r="E120" s="107"/>
      <c r="F120" s="99"/>
      <c r="G120" s="103"/>
      <c r="H120" s="103"/>
      <c r="I120" s="103"/>
      <c r="J120" s="103"/>
      <c r="K120" s="99"/>
      <c r="L120" s="108"/>
      <c r="M120" s="99"/>
      <c r="N120" s="105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</row>
    <row r="121" ht="20.25" customHeight="1">
      <c r="A121" s="98"/>
      <c r="B121" s="99"/>
      <c r="C121" s="99"/>
      <c r="D121" s="99"/>
      <c r="E121" s="107"/>
      <c r="F121" s="99"/>
      <c r="G121" s="103"/>
      <c r="H121" s="103"/>
      <c r="I121" s="103"/>
      <c r="J121" s="103"/>
      <c r="K121" s="99"/>
      <c r="L121" s="108"/>
      <c r="M121" s="99"/>
      <c r="N121" s="105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</row>
    <row r="122" ht="20.25" customHeight="1">
      <c r="A122" s="98"/>
      <c r="B122" s="99"/>
      <c r="C122" s="99"/>
      <c r="D122" s="99"/>
      <c r="E122" s="107"/>
      <c r="F122" s="99"/>
      <c r="G122" s="103"/>
      <c r="H122" s="103"/>
      <c r="I122" s="103"/>
      <c r="J122" s="103"/>
      <c r="K122" s="99"/>
      <c r="L122" s="108"/>
      <c r="M122" s="99"/>
      <c r="N122" s="105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</row>
    <row r="123" ht="20.25" customHeight="1">
      <c r="A123" s="98"/>
      <c r="B123" s="99"/>
      <c r="C123" s="99"/>
      <c r="D123" s="99"/>
      <c r="E123" s="107"/>
      <c r="F123" s="99"/>
      <c r="G123" s="103"/>
      <c r="H123" s="103"/>
      <c r="I123" s="103"/>
      <c r="J123" s="103"/>
      <c r="K123" s="99"/>
      <c r="L123" s="108"/>
      <c r="M123" s="99"/>
      <c r="N123" s="105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</row>
    <row r="124" ht="20.25" customHeight="1">
      <c r="A124" s="98"/>
      <c r="B124" s="99"/>
      <c r="C124" s="99"/>
      <c r="D124" s="99"/>
      <c r="E124" s="107"/>
      <c r="F124" s="99"/>
      <c r="G124" s="103"/>
      <c r="H124" s="103"/>
      <c r="I124" s="103"/>
      <c r="J124" s="103"/>
      <c r="K124" s="99"/>
      <c r="L124" s="108"/>
      <c r="M124" s="99"/>
      <c r="N124" s="105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</row>
    <row r="125" ht="20.25" customHeight="1">
      <c r="A125" s="98"/>
      <c r="B125" s="99"/>
      <c r="C125" s="99"/>
      <c r="D125" s="99"/>
      <c r="E125" s="107"/>
      <c r="F125" s="99"/>
      <c r="G125" s="103"/>
      <c r="H125" s="103"/>
      <c r="I125" s="103"/>
      <c r="J125" s="103"/>
      <c r="K125" s="99"/>
      <c r="L125" s="108"/>
      <c r="M125" s="99"/>
      <c r="N125" s="105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</row>
    <row r="126" ht="20.25" customHeight="1">
      <c r="A126" s="98"/>
      <c r="B126" s="99"/>
      <c r="C126" s="99"/>
      <c r="D126" s="99"/>
      <c r="E126" s="107"/>
      <c r="F126" s="99"/>
      <c r="G126" s="103"/>
      <c r="H126" s="103"/>
      <c r="I126" s="103"/>
      <c r="J126" s="103"/>
      <c r="K126" s="99"/>
      <c r="L126" s="108"/>
      <c r="M126" s="99"/>
      <c r="N126" s="105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3"/>
      <c r="AQ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93"/>
    </row>
    <row r="127" ht="20.25" customHeight="1">
      <c r="A127" s="98"/>
      <c r="B127" s="99"/>
      <c r="C127" s="99"/>
      <c r="D127" s="99"/>
      <c r="E127" s="107"/>
      <c r="F127" s="99"/>
      <c r="G127" s="103"/>
      <c r="H127" s="103"/>
      <c r="I127" s="103"/>
      <c r="J127" s="103"/>
      <c r="K127" s="99"/>
      <c r="L127" s="108"/>
      <c r="M127" s="99"/>
      <c r="N127" s="105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</row>
    <row r="128" ht="20.25" customHeight="1">
      <c r="A128" s="98"/>
      <c r="B128" s="99"/>
      <c r="C128" s="99"/>
      <c r="D128" s="99"/>
      <c r="E128" s="107"/>
      <c r="F128" s="99"/>
      <c r="G128" s="103"/>
      <c r="H128" s="103"/>
      <c r="I128" s="103"/>
      <c r="J128" s="103"/>
      <c r="K128" s="99"/>
      <c r="L128" s="108"/>
      <c r="M128" s="99"/>
      <c r="N128" s="105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</row>
    <row r="129" ht="20.25" customHeight="1">
      <c r="A129" s="98"/>
      <c r="B129" s="99"/>
      <c r="C129" s="99"/>
      <c r="D129" s="99"/>
      <c r="E129" s="107"/>
      <c r="F129" s="99"/>
      <c r="G129" s="103"/>
      <c r="H129" s="103"/>
      <c r="I129" s="103"/>
      <c r="J129" s="103"/>
      <c r="K129" s="99"/>
      <c r="L129" s="108"/>
      <c r="M129" s="99"/>
      <c r="N129" s="105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3"/>
      <c r="AQ129" s="93"/>
      <c r="AR129" s="93"/>
      <c r="AS129" s="93"/>
      <c r="AT129" s="93"/>
      <c r="AU129" s="93"/>
      <c r="AV129" s="93"/>
      <c r="AW129" s="93"/>
      <c r="AX129" s="93"/>
      <c r="AY129" s="93"/>
      <c r="AZ129" s="93"/>
      <c r="BA129" s="93"/>
    </row>
    <row r="130" ht="20.25" customHeight="1">
      <c r="A130" s="98"/>
      <c r="B130" s="99"/>
      <c r="C130" s="99"/>
      <c r="D130" s="99"/>
      <c r="E130" s="107"/>
      <c r="F130" s="99"/>
      <c r="G130" s="103"/>
      <c r="H130" s="103"/>
      <c r="I130" s="103"/>
      <c r="J130" s="103"/>
      <c r="K130" s="99"/>
      <c r="L130" s="108"/>
      <c r="M130" s="99"/>
      <c r="N130" s="105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3"/>
      <c r="AQ130" s="93"/>
      <c r="AR130" s="93"/>
      <c r="AS130" s="93"/>
      <c r="AT130" s="93"/>
      <c r="AU130" s="93"/>
      <c r="AV130" s="93"/>
      <c r="AW130" s="93"/>
      <c r="AX130" s="93"/>
      <c r="AY130" s="93"/>
      <c r="AZ130" s="93"/>
      <c r="BA130" s="93"/>
    </row>
    <row r="131" ht="20.25" customHeight="1">
      <c r="A131" s="98"/>
      <c r="B131" s="99"/>
      <c r="C131" s="99"/>
      <c r="D131" s="99"/>
      <c r="E131" s="107"/>
      <c r="F131" s="99"/>
      <c r="G131" s="103"/>
      <c r="H131" s="103"/>
      <c r="I131" s="103"/>
      <c r="J131" s="103"/>
      <c r="K131" s="99"/>
      <c r="L131" s="108"/>
      <c r="M131" s="99"/>
      <c r="N131" s="105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3"/>
      <c r="AQ131" s="93"/>
      <c r="AR131" s="93"/>
      <c r="AS131" s="93"/>
      <c r="AT131" s="93"/>
      <c r="AU131" s="93"/>
      <c r="AV131" s="93"/>
      <c r="AW131" s="93"/>
      <c r="AX131" s="93"/>
      <c r="AY131" s="93"/>
      <c r="AZ131" s="93"/>
      <c r="BA131" s="93"/>
    </row>
    <row r="132" ht="20.25" customHeight="1">
      <c r="A132" s="98"/>
      <c r="B132" s="99"/>
      <c r="C132" s="99"/>
      <c r="D132" s="99"/>
      <c r="E132" s="107"/>
      <c r="F132" s="99"/>
      <c r="G132" s="103"/>
      <c r="H132" s="103"/>
      <c r="I132" s="103"/>
      <c r="J132" s="103"/>
      <c r="K132" s="99"/>
      <c r="L132" s="108"/>
      <c r="M132" s="99"/>
      <c r="N132" s="105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3"/>
      <c r="AQ132" s="93"/>
      <c r="AR132" s="93"/>
      <c r="AS132" s="93"/>
      <c r="AT132" s="93"/>
      <c r="AU132" s="93"/>
      <c r="AV132" s="93"/>
      <c r="AW132" s="93"/>
      <c r="AX132" s="93"/>
      <c r="AY132" s="93"/>
      <c r="AZ132" s="93"/>
      <c r="BA132" s="93"/>
    </row>
    <row r="133" ht="20.25" customHeight="1">
      <c r="A133" s="98"/>
      <c r="B133" s="99"/>
      <c r="C133" s="99"/>
      <c r="D133" s="99"/>
      <c r="E133" s="107"/>
      <c r="F133" s="99"/>
      <c r="G133" s="103"/>
      <c r="H133" s="103"/>
      <c r="I133" s="103"/>
      <c r="J133" s="103"/>
      <c r="K133" s="99"/>
      <c r="L133" s="108"/>
      <c r="M133" s="99"/>
      <c r="N133" s="105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3"/>
      <c r="AQ133" s="93"/>
      <c r="AR133" s="93"/>
      <c r="AS133" s="93"/>
      <c r="AT133" s="93"/>
      <c r="AU133" s="93"/>
      <c r="AV133" s="93"/>
      <c r="AW133" s="93"/>
      <c r="AX133" s="93"/>
      <c r="AY133" s="93"/>
      <c r="AZ133" s="93"/>
      <c r="BA133" s="93"/>
    </row>
    <row r="134" ht="20.25" customHeight="1">
      <c r="A134" s="98"/>
      <c r="B134" s="99"/>
      <c r="C134" s="99"/>
      <c r="D134" s="99"/>
      <c r="E134" s="107"/>
      <c r="F134" s="99"/>
      <c r="G134" s="103"/>
      <c r="H134" s="103"/>
      <c r="I134" s="103"/>
      <c r="J134" s="103"/>
      <c r="K134" s="99"/>
      <c r="L134" s="108"/>
      <c r="M134" s="99"/>
      <c r="N134" s="105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3"/>
      <c r="AQ134" s="93"/>
      <c r="AR134" s="93"/>
      <c r="AS134" s="93"/>
      <c r="AT134" s="93"/>
      <c r="AU134" s="93"/>
      <c r="AV134" s="93"/>
      <c r="AW134" s="93"/>
      <c r="AX134" s="93"/>
      <c r="AY134" s="93"/>
      <c r="AZ134" s="93"/>
      <c r="BA134" s="93"/>
    </row>
    <row r="135" ht="20.25" customHeight="1">
      <c r="A135" s="98"/>
      <c r="B135" s="99"/>
      <c r="C135" s="99"/>
      <c r="D135" s="99"/>
      <c r="E135" s="107"/>
      <c r="F135" s="99"/>
      <c r="G135" s="103"/>
      <c r="H135" s="103"/>
      <c r="I135" s="103"/>
      <c r="J135" s="103"/>
      <c r="K135" s="99"/>
      <c r="L135" s="108"/>
      <c r="M135" s="99"/>
      <c r="N135" s="105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3"/>
      <c r="AQ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</row>
    <row r="136" ht="20.25" customHeight="1">
      <c r="A136" s="98"/>
      <c r="B136" s="99"/>
      <c r="C136" s="99"/>
      <c r="D136" s="99"/>
      <c r="E136" s="107"/>
      <c r="F136" s="99"/>
      <c r="G136" s="103"/>
      <c r="H136" s="103"/>
      <c r="I136" s="103"/>
      <c r="J136" s="103"/>
      <c r="K136" s="99"/>
      <c r="L136" s="108"/>
      <c r="M136" s="99"/>
      <c r="N136" s="105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3"/>
      <c r="AQ136" s="93"/>
      <c r="AR136" s="93"/>
      <c r="AS136" s="93"/>
      <c r="AT136" s="93"/>
      <c r="AU136" s="93"/>
      <c r="AV136" s="93"/>
      <c r="AW136" s="93"/>
      <c r="AX136" s="93"/>
      <c r="AY136" s="93"/>
      <c r="AZ136" s="93"/>
      <c r="BA136" s="93"/>
    </row>
    <row r="137" ht="20.25" customHeight="1">
      <c r="A137" s="98"/>
      <c r="B137" s="99"/>
      <c r="C137" s="99"/>
      <c r="D137" s="99"/>
      <c r="E137" s="107"/>
      <c r="F137" s="99"/>
      <c r="G137" s="103"/>
      <c r="H137" s="103"/>
      <c r="I137" s="103"/>
      <c r="J137" s="103"/>
      <c r="K137" s="99"/>
      <c r="L137" s="108"/>
      <c r="M137" s="99"/>
      <c r="N137" s="105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3"/>
      <c r="AQ137" s="93"/>
      <c r="AR137" s="93"/>
      <c r="AS137" s="93"/>
      <c r="AT137" s="93"/>
      <c r="AU137" s="93"/>
      <c r="AV137" s="93"/>
      <c r="AW137" s="93"/>
      <c r="AX137" s="93"/>
      <c r="AY137" s="93"/>
      <c r="AZ137" s="93"/>
      <c r="BA137" s="93"/>
    </row>
    <row r="138" ht="20.25" customHeight="1">
      <c r="A138" s="98"/>
      <c r="B138" s="99"/>
      <c r="C138" s="99"/>
      <c r="D138" s="99"/>
      <c r="E138" s="107"/>
      <c r="F138" s="99"/>
      <c r="G138" s="103"/>
      <c r="H138" s="103"/>
      <c r="I138" s="103"/>
      <c r="J138" s="103"/>
      <c r="K138" s="99"/>
      <c r="L138" s="108"/>
      <c r="M138" s="99"/>
      <c r="N138" s="105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3"/>
      <c r="AQ138" s="93"/>
      <c r="AR138" s="93"/>
      <c r="AS138" s="93"/>
      <c r="AT138" s="93"/>
      <c r="AU138" s="93"/>
      <c r="AV138" s="93"/>
      <c r="AW138" s="93"/>
      <c r="AX138" s="93"/>
      <c r="AY138" s="93"/>
      <c r="AZ138" s="93"/>
      <c r="BA138" s="93"/>
    </row>
    <row r="139" ht="20.25" customHeight="1">
      <c r="A139" s="98"/>
      <c r="B139" s="99"/>
      <c r="C139" s="99"/>
      <c r="D139" s="99"/>
      <c r="E139" s="107"/>
      <c r="F139" s="99"/>
      <c r="G139" s="103"/>
      <c r="H139" s="103"/>
      <c r="I139" s="103"/>
      <c r="J139" s="103"/>
      <c r="K139" s="99"/>
      <c r="L139" s="108"/>
      <c r="M139" s="99"/>
      <c r="N139" s="105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3"/>
      <c r="AQ139" s="93"/>
      <c r="AR139" s="93"/>
      <c r="AS139" s="93"/>
      <c r="AT139" s="93"/>
      <c r="AU139" s="93"/>
      <c r="AV139" s="93"/>
      <c r="AW139" s="93"/>
      <c r="AX139" s="93"/>
      <c r="AY139" s="93"/>
      <c r="AZ139" s="93"/>
      <c r="BA139" s="93"/>
    </row>
    <row r="140" ht="20.25" customHeight="1">
      <c r="A140" s="98"/>
      <c r="B140" s="99"/>
      <c r="C140" s="99"/>
      <c r="D140" s="99"/>
      <c r="E140" s="107"/>
      <c r="F140" s="99"/>
      <c r="G140" s="103"/>
      <c r="H140" s="103"/>
      <c r="I140" s="103"/>
      <c r="J140" s="103"/>
      <c r="K140" s="99"/>
      <c r="L140" s="108"/>
      <c r="M140" s="99"/>
      <c r="N140" s="105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3"/>
      <c r="AQ140" s="93"/>
      <c r="AR140" s="93"/>
      <c r="AS140" s="93"/>
      <c r="AT140" s="93"/>
      <c r="AU140" s="93"/>
      <c r="AV140" s="93"/>
      <c r="AW140" s="93"/>
      <c r="AX140" s="93"/>
      <c r="AY140" s="93"/>
      <c r="AZ140" s="93"/>
      <c r="BA140" s="93"/>
    </row>
    <row r="141" ht="20.25" customHeight="1">
      <c r="A141" s="98"/>
      <c r="B141" s="99"/>
      <c r="C141" s="99"/>
      <c r="D141" s="99"/>
      <c r="E141" s="107"/>
      <c r="F141" s="99"/>
      <c r="G141" s="103"/>
      <c r="H141" s="103"/>
      <c r="I141" s="103"/>
      <c r="J141" s="103"/>
      <c r="K141" s="99"/>
      <c r="L141" s="108"/>
      <c r="M141" s="99"/>
      <c r="N141" s="105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3"/>
      <c r="AQ141" s="93"/>
      <c r="AR141" s="93"/>
      <c r="AS141" s="93"/>
      <c r="AT141" s="93"/>
      <c r="AU141" s="93"/>
      <c r="AV141" s="93"/>
      <c r="AW141" s="93"/>
      <c r="AX141" s="93"/>
      <c r="AY141" s="93"/>
      <c r="AZ141" s="93"/>
      <c r="BA141" s="93"/>
    </row>
    <row r="142" ht="20.25" customHeight="1">
      <c r="A142" s="98"/>
      <c r="B142" s="99"/>
      <c r="C142" s="99"/>
      <c r="D142" s="99"/>
      <c r="E142" s="107"/>
      <c r="F142" s="99"/>
      <c r="G142" s="103"/>
      <c r="H142" s="103"/>
      <c r="I142" s="103"/>
      <c r="J142" s="103"/>
      <c r="K142" s="99"/>
      <c r="L142" s="108"/>
      <c r="M142" s="99"/>
      <c r="N142" s="105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3"/>
      <c r="AQ142" s="93"/>
      <c r="AR142" s="93"/>
      <c r="AS142" s="93"/>
      <c r="AT142" s="93"/>
      <c r="AU142" s="93"/>
      <c r="AV142" s="93"/>
      <c r="AW142" s="93"/>
      <c r="AX142" s="93"/>
      <c r="AY142" s="93"/>
      <c r="AZ142" s="93"/>
      <c r="BA142" s="93"/>
    </row>
    <row r="143" ht="20.25" customHeight="1">
      <c r="A143" s="98"/>
      <c r="B143" s="99"/>
      <c r="C143" s="99"/>
      <c r="D143" s="99"/>
      <c r="E143" s="107"/>
      <c r="F143" s="99"/>
      <c r="G143" s="103"/>
      <c r="H143" s="103"/>
      <c r="I143" s="103"/>
      <c r="J143" s="103"/>
      <c r="K143" s="99"/>
      <c r="L143" s="108"/>
      <c r="M143" s="99"/>
      <c r="N143" s="105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</row>
    <row r="144" ht="20.25" customHeight="1">
      <c r="A144" s="98"/>
      <c r="B144" s="99"/>
      <c r="C144" s="99"/>
      <c r="D144" s="99"/>
      <c r="E144" s="107"/>
      <c r="F144" s="99"/>
      <c r="G144" s="103"/>
      <c r="H144" s="103"/>
      <c r="I144" s="103"/>
      <c r="J144" s="103"/>
      <c r="K144" s="99"/>
      <c r="L144" s="108"/>
      <c r="M144" s="99"/>
      <c r="N144" s="105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</row>
    <row r="145" ht="20.25" customHeight="1">
      <c r="A145" s="98"/>
      <c r="B145" s="99"/>
      <c r="C145" s="99"/>
      <c r="D145" s="99"/>
      <c r="E145" s="107"/>
      <c r="F145" s="99"/>
      <c r="G145" s="103"/>
      <c r="H145" s="103"/>
      <c r="I145" s="103"/>
      <c r="J145" s="103"/>
      <c r="K145" s="99"/>
      <c r="L145" s="108"/>
      <c r="M145" s="99"/>
      <c r="N145" s="105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</row>
    <row r="146" ht="20.25" customHeight="1">
      <c r="A146" s="98"/>
      <c r="B146" s="99"/>
      <c r="C146" s="99"/>
      <c r="D146" s="99"/>
      <c r="E146" s="107"/>
      <c r="F146" s="99"/>
      <c r="G146" s="103"/>
      <c r="H146" s="103"/>
      <c r="I146" s="103"/>
      <c r="J146" s="103"/>
      <c r="K146" s="99"/>
      <c r="L146" s="108"/>
      <c r="M146" s="99"/>
      <c r="N146" s="105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  <c r="AF146" s="92"/>
      <c r="AG146" s="92"/>
      <c r="AH146" s="92"/>
      <c r="AI146" s="92"/>
      <c r="AJ146" s="92"/>
      <c r="AK146" s="92"/>
      <c r="AL146" s="92"/>
      <c r="AM146" s="92"/>
      <c r="AN146" s="92"/>
      <c r="AO146" s="92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</row>
    <row r="147" ht="20.25" customHeight="1">
      <c r="A147" s="98"/>
      <c r="B147" s="99"/>
      <c r="C147" s="99"/>
      <c r="D147" s="99"/>
      <c r="E147" s="107"/>
      <c r="F147" s="99"/>
      <c r="G147" s="103"/>
      <c r="H147" s="103"/>
      <c r="I147" s="103"/>
      <c r="J147" s="103"/>
      <c r="K147" s="99"/>
      <c r="L147" s="108"/>
      <c r="M147" s="99"/>
      <c r="N147" s="105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  <c r="AF147" s="92"/>
      <c r="AG147" s="92"/>
      <c r="AH147" s="92"/>
      <c r="AI147" s="92"/>
      <c r="AJ147" s="92"/>
      <c r="AK147" s="92"/>
      <c r="AL147" s="92"/>
      <c r="AM147" s="92"/>
      <c r="AN147" s="92"/>
      <c r="AO147" s="92"/>
      <c r="AP147" s="93"/>
      <c r="AQ147" s="93"/>
      <c r="AR147" s="93"/>
      <c r="AS147" s="93"/>
      <c r="AT147" s="93"/>
      <c r="AU147" s="93"/>
      <c r="AV147" s="93"/>
      <c r="AW147" s="93"/>
      <c r="AX147" s="93"/>
      <c r="AY147" s="93"/>
      <c r="AZ147" s="93"/>
      <c r="BA147" s="93"/>
    </row>
    <row r="148" ht="20.25" customHeight="1">
      <c r="A148" s="98"/>
      <c r="B148" s="99"/>
      <c r="C148" s="99"/>
      <c r="D148" s="99"/>
      <c r="E148" s="107"/>
      <c r="F148" s="99"/>
      <c r="G148" s="103"/>
      <c r="H148" s="103"/>
      <c r="I148" s="103"/>
      <c r="J148" s="103"/>
      <c r="K148" s="99"/>
      <c r="L148" s="108"/>
      <c r="M148" s="99"/>
      <c r="N148" s="105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  <c r="AF148" s="92"/>
      <c r="AG148" s="92"/>
      <c r="AH148" s="92"/>
      <c r="AI148" s="92"/>
      <c r="AJ148" s="92"/>
      <c r="AK148" s="92"/>
      <c r="AL148" s="92"/>
      <c r="AM148" s="92"/>
      <c r="AN148" s="92"/>
      <c r="AO148" s="92"/>
      <c r="AP148" s="93"/>
      <c r="AQ148" s="93"/>
      <c r="AR148" s="93"/>
      <c r="AS148" s="93"/>
      <c r="AT148" s="93"/>
      <c r="AU148" s="93"/>
      <c r="AV148" s="93"/>
      <c r="AW148" s="93"/>
      <c r="AX148" s="93"/>
      <c r="AY148" s="93"/>
      <c r="AZ148" s="93"/>
      <c r="BA148" s="93"/>
    </row>
    <row r="149" ht="20.25" customHeight="1">
      <c r="A149" s="98"/>
      <c r="B149" s="99"/>
      <c r="C149" s="99"/>
      <c r="D149" s="99"/>
      <c r="E149" s="107"/>
      <c r="F149" s="99"/>
      <c r="G149" s="103"/>
      <c r="H149" s="103"/>
      <c r="I149" s="103"/>
      <c r="J149" s="103"/>
      <c r="K149" s="99"/>
      <c r="L149" s="108"/>
      <c r="M149" s="99"/>
      <c r="N149" s="105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  <c r="AF149" s="92"/>
      <c r="AG149" s="92"/>
      <c r="AH149" s="92"/>
      <c r="AI149" s="92"/>
      <c r="AJ149" s="92"/>
      <c r="AK149" s="92"/>
      <c r="AL149" s="92"/>
      <c r="AM149" s="92"/>
      <c r="AN149" s="92"/>
      <c r="AO149" s="92"/>
      <c r="AP149" s="93"/>
      <c r="AQ149" s="93"/>
      <c r="AR149" s="93"/>
      <c r="AS149" s="93"/>
      <c r="AT149" s="93"/>
      <c r="AU149" s="93"/>
      <c r="AV149" s="93"/>
      <c r="AW149" s="93"/>
      <c r="AX149" s="93"/>
      <c r="AY149" s="93"/>
      <c r="AZ149" s="93"/>
      <c r="BA149" s="93"/>
    </row>
    <row r="150" ht="20.25" customHeight="1">
      <c r="A150" s="98"/>
      <c r="B150" s="99"/>
      <c r="C150" s="99"/>
      <c r="D150" s="99"/>
      <c r="E150" s="107"/>
      <c r="F150" s="99"/>
      <c r="G150" s="103"/>
      <c r="H150" s="103"/>
      <c r="I150" s="103"/>
      <c r="J150" s="103"/>
      <c r="K150" s="99"/>
      <c r="L150" s="108"/>
      <c r="M150" s="99"/>
      <c r="N150" s="105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  <c r="AF150" s="92"/>
      <c r="AG150" s="92"/>
      <c r="AH150" s="92"/>
      <c r="AI150" s="92"/>
      <c r="AJ150" s="92"/>
      <c r="AK150" s="92"/>
      <c r="AL150" s="92"/>
      <c r="AM150" s="92"/>
      <c r="AN150" s="92"/>
      <c r="AO150" s="92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</row>
    <row r="151" ht="20.25" customHeight="1">
      <c r="A151" s="98"/>
      <c r="B151" s="99"/>
      <c r="C151" s="99"/>
      <c r="D151" s="99"/>
      <c r="E151" s="107"/>
      <c r="F151" s="99"/>
      <c r="G151" s="103"/>
      <c r="H151" s="103"/>
      <c r="I151" s="103"/>
      <c r="J151" s="103"/>
      <c r="K151" s="99"/>
      <c r="L151" s="108"/>
      <c r="M151" s="99"/>
      <c r="N151" s="105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  <c r="AF151" s="92"/>
      <c r="AG151" s="92"/>
      <c r="AH151" s="92"/>
      <c r="AI151" s="92"/>
      <c r="AJ151" s="92"/>
      <c r="AK151" s="92"/>
      <c r="AL151" s="92"/>
      <c r="AM151" s="92"/>
      <c r="AN151" s="92"/>
      <c r="AO151" s="92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</row>
    <row r="152" ht="20.25" customHeight="1">
      <c r="A152" s="98"/>
      <c r="B152" s="99"/>
      <c r="C152" s="99"/>
      <c r="D152" s="99"/>
      <c r="E152" s="107"/>
      <c r="F152" s="99"/>
      <c r="G152" s="103"/>
      <c r="H152" s="103"/>
      <c r="I152" s="103"/>
      <c r="J152" s="103"/>
      <c r="K152" s="99"/>
      <c r="L152" s="108"/>
      <c r="M152" s="99"/>
      <c r="N152" s="105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  <c r="AF152" s="92"/>
      <c r="AG152" s="92"/>
      <c r="AH152" s="92"/>
      <c r="AI152" s="92"/>
      <c r="AJ152" s="92"/>
      <c r="AK152" s="92"/>
      <c r="AL152" s="92"/>
      <c r="AM152" s="92"/>
      <c r="AN152" s="92"/>
      <c r="AO152" s="92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</row>
    <row r="153" ht="20.25" customHeight="1">
      <c r="A153" s="98"/>
      <c r="B153" s="99"/>
      <c r="C153" s="99"/>
      <c r="D153" s="99"/>
      <c r="E153" s="107"/>
      <c r="F153" s="99"/>
      <c r="G153" s="103"/>
      <c r="H153" s="103"/>
      <c r="I153" s="103"/>
      <c r="J153" s="103"/>
      <c r="K153" s="99"/>
      <c r="L153" s="108"/>
      <c r="M153" s="99"/>
      <c r="N153" s="105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  <c r="AF153" s="92"/>
      <c r="AG153" s="92"/>
      <c r="AH153" s="92"/>
      <c r="AI153" s="92"/>
      <c r="AJ153" s="92"/>
      <c r="AK153" s="92"/>
      <c r="AL153" s="92"/>
      <c r="AM153" s="92"/>
      <c r="AN153" s="92"/>
      <c r="AO153" s="92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</row>
    <row r="154" ht="20.25" customHeight="1">
      <c r="A154" s="98"/>
      <c r="B154" s="99"/>
      <c r="C154" s="99"/>
      <c r="D154" s="99"/>
      <c r="E154" s="107"/>
      <c r="F154" s="99"/>
      <c r="G154" s="103"/>
      <c r="H154" s="103"/>
      <c r="I154" s="103"/>
      <c r="J154" s="103"/>
      <c r="K154" s="99"/>
      <c r="L154" s="108"/>
      <c r="M154" s="99"/>
      <c r="N154" s="105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  <c r="AF154" s="92"/>
      <c r="AG154" s="92"/>
      <c r="AH154" s="92"/>
      <c r="AI154" s="92"/>
      <c r="AJ154" s="92"/>
      <c r="AK154" s="92"/>
      <c r="AL154" s="92"/>
      <c r="AM154" s="92"/>
      <c r="AN154" s="92"/>
      <c r="AO154" s="92"/>
      <c r="AP154" s="93"/>
      <c r="AQ154" s="93"/>
      <c r="AR154" s="93"/>
      <c r="AS154" s="93"/>
      <c r="AT154" s="93"/>
      <c r="AU154" s="93"/>
      <c r="AV154" s="93"/>
      <c r="AW154" s="93"/>
      <c r="AX154" s="93"/>
      <c r="AY154" s="93"/>
      <c r="AZ154" s="93"/>
      <c r="BA154" s="93"/>
    </row>
    <row r="155" ht="20.25" customHeight="1">
      <c r="A155" s="98"/>
      <c r="B155" s="99"/>
      <c r="C155" s="99"/>
      <c r="D155" s="99"/>
      <c r="E155" s="107"/>
      <c r="F155" s="99"/>
      <c r="G155" s="103"/>
      <c r="H155" s="103"/>
      <c r="I155" s="103"/>
      <c r="J155" s="103"/>
      <c r="K155" s="99"/>
      <c r="L155" s="108"/>
      <c r="M155" s="99"/>
      <c r="N155" s="105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92"/>
      <c r="AI155" s="92"/>
      <c r="AJ155" s="92"/>
      <c r="AK155" s="92"/>
      <c r="AL155" s="92"/>
      <c r="AM155" s="92"/>
      <c r="AN155" s="92"/>
      <c r="AO155" s="92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</row>
    <row r="156" ht="20.25" customHeight="1">
      <c r="A156" s="98"/>
      <c r="B156" s="99"/>
      <c r="C156" s="99"/>
      <c r="D156" s="99"/>
      <c r="E156" s="107"/>
      <c r="F156" s="99"/>
      <c r="G156" s="103"/>
      <c r="H156" s="103"/>
      <c r="I156" s="103"/>
      <c r="J156" s="103"/>
      <c r="K156" s="99"/>
      <c r="L156" s="108"/>
      <c r="M156" s="99"/>
      <c r="N156" s="105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  <c r="AF156" s="92"/>
      <c r="AG156" s="92"/>
      <c r="AH156" s="92"/>
      <c r="AI156" s="92"/>
      <c r="AJ156" s="92"/>
      <c r="AK156" s="92"/>
      <c r="AL156" s="92"/>
      <c r="AM156" s="92"/>
      <c r="AN156" s="92"/>
      <c r="AO156" s="92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</row>
    <row r="157" ht="20.25" customHeight="1">
      <c r="A157" s="98"/>
      <c r="B157" s="99"/>
      <c r="C157" s="99"/>
      <c r="D157" s="99"/>
      <c r="E157" s="107"/>
      <c r="F157" s="99"/>
      <c r="G157" s="103"/>
      <c r="H157" s="103"/>
      <c r="I157" s="103"/>
      <c r="J157" s="103"/>
      <c r="K157" s="99"/>
      <c r="L157" s="108"/>
      <c r="M157" s="99"/>
      <c r="N157" s="105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  <c r="AF157" s="92"/>
      <c r="AG157" s="92"/>
      <c r="AH157" s="92"/>
      <c r="AI157" s="92"/>
      <c r="AJ157" s="92"/>
      <c r="AK157" s="92"/>
      <c r="AL157" s="92"/>
      <c r="AM157" s="92"/>
      <c r="AN157" s="92"/>
      <c r="AO157" s="92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3"/>
    </row>
    <row r="158" ht="20.25" customHeight="1">
      <c r="A158" s="98"/>
      <c r="B158" s="99"/>
      <c r="C158" s="99"/>
      <c r="D158" s="99"/>
      <c r="E158" s="107"/>
      <c r="F158" s="99"/>
      <c r="G158" s="103"/>
      <c r="H158" s="103"/>
      <c r="I158" s="103"/>
      <c r="J158" s="103"/>
      <c r="K158" s="99"/>
      <c r="L158" s="108"/>
      <c r="M158" s="99"/>
      <c r="N158" s="105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  <c r="AF158" s="92"/>
      <c r="AG158" s="92"/>
      <c r="AH158" s="92"/>
      <c r="AI158" s="92"/>
      <c r="AJ158" s="92"/>
      <c r="AK158" s="92"/>
      <c r="AL158" s="92"/>
      <c r="AM158" s="92"/>
      <c r="AN158" s="92"/>
      <c r="AO158" s="92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</row>
    <row r="159" ht="20.25" customHeight="1">
      <c r="A159" s="98"/>
      <c r="B159" s="99"/>
      <c r="C159" s="99"/>
      <c r="D159" s="99"/>
      <c r="E159" s="107"/>
      <c r="F159" s="99"/>
      <c r="G159" s="103"/>
      <c r="H159" s="103"/>
      <c r="I159" s="103"/>
      <c r="J159" s="103"/>
      <c r="K159" s="99"/>
      <c r="L159" s="108"/>
      <c r="M159" s="99"/>
      <c r="N159" s="105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  <c r="AF159" s="92"/>
      <c r="AG159" s="92"/>
      <c r="AH159" s="92"/>
      <c r="AI159" s="92"/>
      <c r="AJ159" s="92"/>
      <c r="AK159" s="92"/>
      <c r="AL159" s="92"/>
      <c r="AM159" s="92"/>
      <c r="AN159" s="92"/>
      <c r="AO159" s="92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</row>
    <row r="160" ht="20.25" customHeight="1">
      <c r="A160" s="98"/>
      <c r="B160" s="99"/>
      <c r="C160" s="99"/>
      <c r="D160" s="99"/>
      <c r="E160" s="107"/>
      <c r="F160" s="99"/>
      <c r="G160" s="103"/>
      <c r="H160" s="103"/>
      <c r="I160" s="103"/>
      <c r="J160" s="103"/>
      <c r="K160" s="99"/>
      <c r="L160" s="108"/>
      <c r="M160" s="99"/>
      <c r="N160" s="105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  <c r="AF160" s="92"/>
      <c r="AG160" s="92"/>
      <c r="AH160" s="92"/>
      <c r="AI160" s="92"/>
      <c r="AJ160" s="92"/>
      <c r="AK160" s="92"/>
      <c r="AL160" s="92"/>
      <c r="AM160" s="92"/>
      <c r="AN160" s="92"/>
      <c r="AO160" s="92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</row>
    <row r="161" ht="20.25" customHeight="1">
      <c r="A161" s="98"/>
      <c r="B161" s="99"/>
      <c r="C161" s="99"/>
      <c r="D161" s="99"/>
      <c r="E161" s="107"/>
      <c r="F161" s="99"/>
      <c r="G161" s="103"/>
      <c r="H161" s="103"/>
      <c r="I161" s="103"/>
      <c r="J161" s="103"/>
      <c r="K161" s="99"/>
      <c r="L161" s="108"/>
      <c r="M161" s="99"/>
      <c r="N161" s="105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  <c r="AF161" s="92"/>
      <c r="AG161" s="92"/>
      <c r="AH161" s="92"/>
      <c r="AI161" s="92"/>
      <c r="AJ161" s="92"/>
      <c r="AK161" s="92"/>
      <c r="AL161" s="92"/>
      <c r="AM161" s="92"/>
      <c r="AN161" s="92"/>
      <c r="AO161" s="92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</row>
    <row r="162" ht="20.25" customHeight="1">
      <c r="A162" s="98"/>
      <c r="B162" s="99"/>
      <c r="C162" s="99"/>
      <c r="D162" s="99"/>
      <c r="E162" s="107"/>
      <c r="F162" s="99"/>
      <c r="G162" s="103"/>
      <c r="H162" s="103"/>
      <c r="I162" s="103"/>
      <c r="J162" s="103"/>
      <c r="K162" s="99"/>
      <c r="L162" s="108"/>
      <c r="M162" s="99"/>
      <c r="N162" s="105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</row>
    <row r="163" ht="20.25" customHeight="1">
      <c r="A163" s="98"/>
      <c r="B163" s="99"/>
      <c r="C163" s="99"/>
      <c r="D163" s="99"/>
      <c r="E163" s="107"/>
      <c r="F163" s="99"/>
      <c r="G163" s="103"/>
      <c r="H163" s="103"/>
      <c r="I163" s="103"/>
      <c r="J163" s="103"/>
      <c r="K163" s="99"/>
      <c r="L163" s="108"/>
      <c r="M163" s="99"/>
      <c r="N163" s="105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  <c r="AF163" s="92"/>
      <c r="AG163" s="92"/>
      <c r="AH163" s="92"/>
      <c r="AI163" s="92"/>
      <c r="AJ163" s="92"/>
      <c r="AK163" s="92"/>
      <c r="AL163" s="92"/>
      <c r="AM163" s="92"/>
      <c r="AN163" s="92"/>
      <c r="AO163" s="92"/>
      <c r="AP163" s="93"/>
      <c r="AQ163" s="93"/>
      <c r="AR163" s="93"/>
      <c r="AS163" s="93"/>
      <c r="AT163" s="93"/>
      <c r="AU163" s="93"/>
      <c r="AV163" s="93"/>
      <c r="AW163" s="93"/>
      <c r="AX163" s="93"/>
      <c r="AY163" s="93"/>
      <c r="AZ163" s="93"/>
      <c r="BA163" s="93"/>
    </row>
    <row r="164" ht="20.25" customHeight="1">
      <c r="A164" s="98"/>
      <c r="B164" s="99"/>
      <c r="C164" s="99"/>
      <c r="D164" s="99"/>
      <c r="E164" s="107"/>
      <c r="F164" s="99"/>
      <c r="G164" s="103"/>
      <c r="H164" s="103"/>
      <c r="I164" s="103"/>
      <c r="J164" s="103"/>
      <c r="K164" s="99"/>
      <c r="L164" s="108"/>
      <c r="M164" s="99"/>
      <c r="N164" s="105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  <c r="AF164" s="92"/>
      <c r="AG164" s="92"/>
      <c r="AH164" s="92"/>
      <c r="AI164" s="92"/>
      <c r="AJ164" s="92"/>
      <c r="AK164" s="92"/>
      <c r="AL164" s="92"/>
      <c r="AM164" s="92"/>
      <c r="AN164" s="92"/>
      <c r="AO164" s="92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</row>
    <row r="165" ht="20.25" customHeight="1">
      <c r="A165" s="98"/>
      <c r="B165" s="99"/>
      <c r="C165" s="99"/>
      <c r="D165" s="99"/>
      <c r="E165" s="107"/>
      <c r="F165" s="99"/>
      <c r="G165" s="103"/>
      <c r="H165" s="103"/>
      <c r="I165" s="103"/>
      <c r="J165" s="103"/>
      <c r="K165" s="99"/>
      <c r="L165" s="108"/>
      <c r="M165" s="99"/>
      <c r="N165" s="105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  <c r="AF165" s="92"/>
      <c r="AG165" s="92"/>
      <c r="AH165" s="92"/>
      <c r="AI165" s="92"/>
      <c r="AJ165" s="92"/>
      <c r="AK165" s="92"/>
      <c r="AL165" s="92"/>
      <c r="AM165" s="92"/>
      <c r="AN165" s="92"/>
      <c r="AO165" s="92"/>
      <c r="AP165" s="93"/>
      <c r="AQ165" s="93"/>
      <c r="AR165" s="93"/>
      <c r="AS165" s="93"/>
      <c r="AT165" s="93"/>
      <c r="AU165" s="93"/>
      <c r="AV165" s="93"/>
      <c r="AW165" s="93"/>
      <c r="AX165" s="93"/>
      <c r="AY165" s="93"/>
      <c r="AZ165" s="93"/>
      <c r="BA165" s="93"/>
    </row>
    <row r="166" ht="20.25" customHeight="1">
      <c r="A166" s="98"/>
      <c r="B166" s="99"/>
      <c r="C166" s="99"/>
      <c r="D166" s="99"/>
      <c r="E166" s="107"/>
      <c r="F166" s="99"/>
      <c r="G166" s="103"/>
      <c r="H166" s="103"/>
      <c r="I166" s="103"/>
      <c r="J166" s="103"/>
      <c r="K166" s="99"/>
      <c r="L166" s="108"/>
      <c r="M166" s="99"/>
      <c r="N166" s="105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  <c r="AF166" s="92"/>
      <c r="AG166" s="92"/>
      <c r="AH166" s="92"/>
      <c r="AI166" s="92"/>
      <c r="AJ166" s="92"/>
      <c r="AK166" s="92"/>
      <c r="AL166" s="92"/>
      <c r="AM166" s="92"/>
      <c r="AN166" s="92"/>
      <c r="AO166" s="92"/>
      <c r="AP166" s="93"/>
      <c r="AQ166" s="93"/>
      <c r="AR166" s="93"/>
      <c r="AS166" s="93"/>
      <c r="AT166" s="93"/>
      <c r="AU166" s="93"/>
      <c r="AV166" s="93"/>
      <c r="AW166" s="93"/>
      <c r="AX166" s="93"/>
      <c r="AY166" s="93"/>
      <c r="AZ166" s="93"/>
      <c r="BA166" s="93"/>
    </row>
    <row r="167" ht="20.25" customHeight="1">
      <c r="A167" s="98"/>
      <c r="B167" s="99"/>
      <c r="C167" s="99"/>
      <c r="D167" s="99"/>
      <c r="E167" s="107"/>
      <c r="F167" s="99"/>
      <c r="G167" s="103"/>
      <c r="H167" s="103"/>
      <c r="I167" s="103"/>
      <c r="J167" s="103"/>
      <c r="K167" s="99"/>
      <c r="L167" s="108"/>
      <c r="M167" s="99"/>
      <c r="N167" s="105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  <c r="AF167" s="92"/>
      <c r="AG167" s="92"/>
      <c r="AH167" s="92"/>
      <c r="AI167" s="92"/>
      <c r="AJ167" s="92"/>
      <c r="AK167" s="92"/>
      <c r="AL167" s="92"/>
      <c r="AM167" s="92"/>
      <c r="AN167" s="92"/>
      <c r="AO167" s="92"/>
      <c r="AP167" s="93"/>
      <c r="AQ167" s="93"/>
      <c r="AR167" s="93"/>
      <c r="AS167" s="93"/>
      <c r="AT167" s="93"/>
      <c r="AU167" s="93"/>
      <c r="AV167" s="93"/>
      <c r="AW167" s="93"/>
      <c r="AX167" s="93"/>
      <c r="AY167" s="93"/>
      <c r="AZ167" s="93"/>
      <c r="BA167" s="93"/>
    </row>
    <row r="168" ht="20.25" customHeight="1">
      <c r="A168" s="98"/>
      <c r="B168" s="99"/>
      <c r="C168" s="99"/>
      <c r="D168" s="99"/>
      <c r="E168" s="107"/>
      <c r="F168" s="99"/>
      <c r="G168" s="103"/>
      <c r="H168" s="103"/>
      <c r="I168" s="103"/>
      <c r="J168" s="103"/>
      <c r="K168" s="99"/>
      <c r="L168" s="108"/>
      <c r="M168" s="99"/>
      <c r="N168" s="105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  <c r="AF168" s="92"/>
      <c r="AG168" s="92"/>
      <c r="AH168" s="92"/>
      <c r="AI168" s="92"/>
      <c r="AJ168" s="92"/>
      <c r="AK168" s="92"/>
      <c r="AL168" s="92"/>
      <c r="AM168" s="92"/>
      <c r="AN168" s="92"/>
      <c r="AO168" s="92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</row>
    <row r="169" ht="20.25" customHeight="1">
      <c r="A169" s="98"/>
      <c r="B169" s="99"/>
      <c r="C169" s="99"/>
      <c r="D169" s="99"/>
      <c r="E169" s="107"/>
      <c r="F169" s="99"/>
      <c r="G169" s="103"/>
      <c r="H169" s="103"/>
      <c r="I169" s="103"/>
      <c r="J169" s="103"/>
      <c r="K169" s="99"/>
      <c r="L169" s="108"/>
      <c r="M169" s="99"/>
      <c r="N169" s="105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  <c r="AF169" s="92"/>
      <c r="AG169" s="92"/>
      <c r="AH169" s="92"/>
      <c r="AI169" s="92"/>
      <c r="AJ169" s="92"/>
      <c r="AK169" s="92"/>
      <c r="AL169" s="92"/>
      <c r="AM169" s="92"/>
      <c r="AN169" s="92"/>
      <c r="AO169" s="92"/>
      <c r="AP169" s="93"/>
      <c r="AQ169" s="93"/>
      <c r="AR169" s="93"/>
      <c r="AS169" s="93"/>
      <c r="AT169" s="93"/>
      <c r="AU169" s="93"/>
      <c r="AV169" s="93"/>
      <c r="AW169" s="93"/>
      <c r="AX169" s="93"/>
      <c r="AY169" s="93"/>
      <c r="AZ169" s="93"/>
      <c r="BA169" s="93"/>
    </row>
    <row r="170" ht="20.25" customHeight="1">
      <c r="A170" s="98"/>
      <c r="B170" s="99"/>
      <c r="C170" s="99"/>
      <c r="D170" s="99"/>
      <c r="E170" s="107"/>
      <c r="F170" s="99"/>
      <c r="G170" s="103"/>
      <c r="H170" s="103"/>
      <c r="I170" s="103"/>
      <c r="J170" s="103"/>
      <c r="K170" s="99"/>
      <c r="L170" s="108"/>
      <c r="M170" s="99"/>
      <c r="N170" s="105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  <c r="AF170" s="92"/>
      <c r="AG170" s="92"/>
      <c r="AH170" s="92"/>
      <c r="AI170" s="92"/>
      <c r="AJ170" s="92"/>
      <c r="AK170" s="92"/>
      <c r="AL170" s="92"/>
      <c r="AM170" s="92"/>
      <c r="AN170" s="92"/>
      <c r="AO170" s="92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</row>
    <row r="171" ht="20.25" customHeight="1">
      <c r="A171" s="98"/>
      <c r="B171" s="99"/>
      <c r="C171" s="99"/>
      <c r="D171" s="99"/>
      <c r="E171" s="107"/>
      <c r="F171" s="99"/>
      <c r="G171" s="103"/>
      <c r="H171" s="103"/>
      <c r="I171" s="103"/>
      <c r="J171" s="103"/>
      <c r="K171" s="99"/>
      <c r="L171" s="108"/>
      <c r="M171" s="99"/>
      <c r="N171" s="105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  <c r="AF171" s="92"/>
      <c r="AG171" s="92"/>
      <c r="AH171" s="92"/>
      <c r="AI171" s="92"/>
      <c r="AJ171" s="92"/>
      <c r="AK171" s="92"/>
      <c r="AL171" s="92"/>
      <c r="AM171" s="92"/>
      <c r="AN171" s="92"/>
      <c r="AO171" s="92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</row>
    <row r="172" ht="20.25" customHeight="1">
      <c r="A172" s="98"/>
      <c r="B172" s="99"/>
      <c r="C172" s="99"/>
      <c r="D172" s="99"/>
      <c r="E172" s="107"/>
      <c r="F172" s="99"/>
      <c r="G172" s="103"/>
      <c r="H172" s="103"/>
      <c r="I172" s="103"/>
      <c r="J172" s="103"/>
      <c r="K172" s="99"/>
      <c r="L172" s="108"/>
      <c r="M172" s="99"/>
      <c r="N172" s="105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  <c r="AF172" s="92"/>
      <c r="AG172" s="92"/>
      <c r="AH172" s="92"/>
      <c r="AI172" s="92"/>
      <c r="AJ172" s="92"/>
      <c r="AK172" s="92"/>
      <c r="AL172" s="92"/>
      <c r="AM172" s="92"/>
      <c r="AN172" s="92"/>
      <c r="AO172" s="92"/>
      <c r="AP172" s="93"/>
      <c r="AQ172" s="93"/>
      <c r="AR172" s="93"/>
      <c r="AS172" s="93"/>
      <c r="AT172" s="93"/>
      <c r="AU172" s="93"/>
      <c r="AV172" s="93"/>
      <c r="AW172" s="93"/>
      <c r="AX172" s="93"/>
      <c r="AY172" s="93"/>
      <c r="AZ172" s="93"/>
      <c r="BA172" s="93"/>
    </row>
    <row r="173" ht="20.25" customHeight="1">
      <c r="A173" s="98"/>
      <c r="B173" s="99"/>
      <c r="C173" s="99"/>
      <c r="D173" s="99"/>
      <c r="E173" s="107"/>
      <c r="F173" s="99"/>
      <c r="G173" s="103"/>
      <c r="H173" s="103"/>
      <c r="I173" s="103"/>
      <c r="J173" s="103"/>
      <c r="K173" s="99"/>
      <c r="L173" s="108"/>
      <c r="M173" s="99"/>
      <c r="N173" s="105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  <c r="AF173" s="92"/>
      <c r="AG173" s="92"/>
      <c r="AH173" s="92"/>
      <c r="AI173" s="92"/>
      <c r="AJ173" s="92"/>
      <c r="AK173" s="92"/>
      <c r="AL173" s="92"/>
      <c r="AM173" s="92"/>
      <c r="AN173" s="92"/>
      <c r="AO173" s="92"/>
      <c r="AP173" s="93"/>
      <c r="AQ173" s="93"/>
      <c r="AR173" s="93"/>
      <c r="AS173" s="93"/>
      <c r="AT173" s="93"/>
      <c r="AU173" s="93"/>
      <c r="AV173" s="93"/>
      <c r="AW173" s="93"/>
      <c r="AX173" s="93"/>
      <c r="AY173" s="93"/>
      <c r="AZ173" s="93"/>
      <c r="BA173" s="93"/>
    </row>
    <row r="174" ht="20.25" customHeight="1">
      <c r="A174" s="98"/>
      <c r="B174" s="99"/>
      <c r="C174" s="99"/>
      <c r="D174" s="99"/>
      <c r="E174" s="107"/>
      <c r="F174" s="99"/>
      <c r="G174" s="103"/>
      <c r="H174" s="103"/>
      <c r="I174" s="103"/>
      <c r="J174" s="103"/>
      <c r="K174" s="99"/>
      <c r="L174" s="108"/>
      <c r="M174" s="99"/>
      <c r="N174" s="105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  <c r="AF174" s="92"/>
      <c r="AG174" s="92"/>
      <c r="AH174" s="92"/>
      <c r="AI174" s="92"/>
      <c r="AJ174" s="92"/>
      <c r="AK174" s="92"/>
      <c r="AL174" s="92"/>
      <c r="AM174" s="92"/>
      <c r="AN174" s="92"/>
      <c r="AO174" s="92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</row>
    <row r="175" ht="20.25" customHeight="1">
      <c r="A175" s="98"/>
      <c r="B175" s="99"/>
      <c r="C175" s="99"/>
      <c r="D175" s="99"/>
      <c r="E175" s="107"/>
      <c r="F175" s="99"/>
      <c r="G175" s="103"/>
      <c r="H175" s="103"/>
      <c r="I175" s="103"/>
      <c r="J175" s="103"/>
      <c r="K175" s="99"/>
      <c r="L175" s="108"/>
      <c r="M175" s="99"/>
      <c r="N175" s="105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  <c r="AF175" s="92"/>
      <c r="AG175" s="92"/>
      <c r="AH175" s="92"/>
      <c r="AI175" s="92"/>
      <c r="AJ175" s="92"/>
      <c r="AK175" s="92"/>
      <c r="AL175" s="92"/>
      <c r="AM175" s="92"/>
      <c r="AN175" s="92"/>
      <c r="AO175" s="92"/>
      <c r="AP175" s="93"/>
      <c r="AQ175" s="93"/>
      <c r="AR175" s="93"/>
      <c r="AS175" s="93"/>
      <c r="AT175" s="93"/>
      <c r="AU175" s="93"/>
      <c r="AV175" s="93"/>
      <c r="AW175" s="93"/>
      <c r="AX175" s="93"/>
      <c r="AY175" s="93"/>
      <c r="AZ175" s="93"/>
      <c r="BA175" s="93"/>
    </row>
    <row r="176" ht="20.25" customHeight="1">
      <c r="A176" s="98"/>
      <c r="B176" s="99"/>
      <c r="C176" s="99"/>
      <c r="D176" s="99"/>
      <c r="E176" s="107"/>
      <c r="F176" s="99"/>
      <c r="G176" s="103"/>
      <c r="H176" s="103"/>
      <c r="I176" s="103"/>
      <c r="J176" s="103"/>
      <c r="K176" s="99"/>
      <c r="L176" s="108"/>
      <c r="M176" s="99"/>
      <c r="N176" s="105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  <c r="AF176" s="92"/>
      <c r="AG176" s="92"/>
      <c r="AH176" s="92"/>
      <c r="AI176" s="92"/>
      <c r="AJ176" s="92"/>
      <c r="AK176" s="92"/>
      <c r="AL176" s="92"/>
      <c r="AM176" s="92"/>
      <c r="AN176" s="92"/>
      <c r="AO176" s="92"/>
      <c r="AP176" s="93"/>
      <c r="AQ176" s="93"/>
      <c r="AR176" s="93"/>
      <c r="AS176" s="93"/>
      <c r="AT176" s="93"/>
      <c r="AU176" s="93"/>
      <c r="AV176" s="93"/>
      <c r="AW176" s="93"/>
      <c r="AX176" s="93"/>
      <c r="AY176" s="93"/>
      <c r="AZ176" s="93"/>
      <c r="BA176" s="93"/>
    </row>
    <row r="177" ht="20.25" customHeight="1">
      <c r="A177" s="98"/>
      <c r="B177" s="99"/>
      <c r="C177" s="99"/>
      <c r="D177" s="99"/>
      <c r="E177" s="107"/>
      <c r="F177" s="99"/>
      <c r="G177" s="103"/>
      <c r="H177" s="103"/>
      <c r="I177" s="103"/>
      <c r="J177" s="103"/>
      <c r="K177" s="99"/>
      <c r="L177" s="108"/>
      <c r="M177" s="99"/>
      <c r="N177" s="105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  <c r="AF177" s="92"/>
      <c r="AG177" s="92"/>
      <c r="AH177" s="92"/>
      <c r="AI177" s="92"/>
      <c r="AJ177" s="92"/>
      <c r="AK177" s="92"/>
      <c r="AL177" s="92"/>
      <c r="AM177" s="92"/>
      <c r="AN177" s="92"/>
      <c r="AO177" s="92"/>
      <c r="AP177" s="93"/>
      <c r="AQ177" s="93"/>
      <c r="AR177" s="93"/>
      <c r="AS177" s="93"/>
      <c r="AT177" s="93"/>
      <c r="AU177" s="93"/>
      <c r="AV177" s="93"/>
      <c r="AW177" s="93"/>
      <c r="AX177" s="93"/>
      <c r="AY177" s="93"/>
      <c r="AZ177" s="93"/>
      <c r="BA177" s="93"/>
    </row>
    <row r="178" ht="20.25" customHeight="1">
      <c r="A178" s="98"/>
      <c r="B178" s="99"/>
      <c r="C178" s="99"/>
      <c r="D178" s="99"/>
      <c r="E178" s="107"/>
      <c r="F178" s="99"/>
      <c r="G178" s="103"/>
      <c r="H178" s="103"/>
      <c r="I178" s="103"/>
      <c r="J178" s="103"/>
      <c r="K178" s="99"/>
      <c r="L178" s="108"/>
      <c r="M178" s="99"/>
      <c r="N178" s="105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  <c r="AF178" s="92"/>
      <c r="AG178" s="92"/>
      <c r="AH178" s="92"/>
      <c r="AI178" s="92"/>
      <c r="AJ178" s="92"/>
      <c r="AK178" s="92"/>
      <c r="AL178" s="92"/>
      <c r="AM178" s="92"/>
      <c r="AN178" s="92"/>
      <c r="AO178" s="92"/>
      <c r="AP178" s="93"/>
      <c r="AQ178" s="93"/>
      <c r="AR178" s="93"/>
      <c r="AS178" s="93"/>
      <c r="AT178" s="93"/>
      <c r="AU178" s="93"/>
      <c r="AV178" s="93"/>
      <c r="AW178" s="93"/>
      <c r="AX178" s="93"/>
      <c r="AY178" s="93"/>
      <c r="AZ178" s="93"/>
      <c r="BA178" s="93"/>
    </row>
    <row r="179" ht="20.25" customHeight="1">
      <c r="A179" s="98"/>
      <c r="B179" s="99"/>
      <c r="C179" s="99"/>
      <c r="D179" s="99"/>
      <c r="E179" s="107"/>
      <c r="F179" s="99"/>
      <c r="G179" s="103"/>
      <c r="H179" s="103"/>
      <c r="I179" s="103"/>
      <c r="J179" s="103"/>
      <c r="K179" s="99"/>
      <c r="L179" s="108"/>
      <c r="M179" s="99"/>
      <c r="N179" s="105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  <c r="AF179" s="92"/>
      <c r="AG179" s="92"/>
      <c r="AH179" s="92"/>
      <c r="AI179" s="92"/>
      <c r="AJ179" s="92"/>
      <c r="AK179" s="92"/>
      <c r="AL179" s="92"/>
      <c r="AM179" s="92"/>
      <c r="AN179" s="92"/>
      <c r="AO179" s="92"/>
      <c r="AP179" s="93"/>
      <c r="AQ179" s="93"/>
      <c r="AR179" s="93"/>
      <c r="AS179" s="93"/>
      <c r="AT179" s="93"/>
      <c r="AU179" s="93"/>
      <c r="AV179" s="93"/>
      <c r="AW179" s="93"/>
      <c r="AX179" s="93"/>
      <c r="AY179" s="93"/>
      <c r="AZ179" s="93"/>
      <c r="BA179" s="93"/>
    </row>
    <row r="180" ht="20.25" customHeight="1">
      <c r="A180" s="98"/>
      <c r="B180" s="99"/>
      <c r="C180" s="99"/>
      <c r="D180" s="99"/>
      <c r="E180" s="107"/>
      <c r="F180" s="99"/>
      <c r="G180" s="103"/>
      <c r="H180" s="103"/>
      <c r="I180" s="103"/>
      <c r="J180" s="103"/>
      <c r="K180" s="99"/>
      <c r="L180" s="108"/>
      <c r="M180" s="99"/>
      <c r="N180" s="105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  <c r="AF180" s="92"/>
      <c r="AG180" s="92"/>
      <c r="AH180" s="92"/>
      <c r="AI180" s="92"/>
      <c r="AJ180" s="92"/>
      <c r="AK180" s="92"/>
      <c r="AL180" s="92"/>
      <c r="AM180" s="92"/>
      <c r="AN180" s="92"/>
      <c r="AO180" s="92"/>
      <c r="AP180" s="93"/>
      <c r="AQ180" s="93"/>
      <c r="AR180" s="93"/>
      <c r="AS180" s="93"/>
      <c r="AT180" s="93"/>
      <c r="AU180" s="93"/>
      <c r="AV180" s="93"/>
      <c r="AW180" s="93"/>
      <c r="AX180" s="93"/>
      <c r="AY180" s="93"/>
      <c r="AZ180" s="93"/>
      <c r="BA180" s="93"/>
    </row>
    <row r="181" ht="20.25" customHeight="1">
      <c r="A181" s="98"/>
      <c r="B181" s="99"/>
      <c r="C181" s="99"/>
      <c r="D181" s="99"/>
      <c r="E181" s="107"/>
      <c r="F181" s="99"/>
      <c r="G181" s="103"/>
      <c r="H181" s="103"/>
      <c r="I181" s="103"/>
      <c r="J181" s="103"/>
      <c r="K181" s="99"/>
      <c r="L181" s="108"/>
      <c r="M181" s="99"/>
      <c r="N181" s="105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  <c r="AF181" s="92"/>
      <c r="AG181" s="92"/>
      <c r="AH181" s="92"/>
      <c r="AI181" s="92"/>
      <c r="AJ181" s="92"/>
      <c r="AK181" s="92"/>
      <c r="AL181" s="92"/>
      <c r="AM181" s="92"/>
      <c r="AN181" s="92"/>
      <c r="AO181" s="92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</row>
    <row r="182" ht="20.25" customHeight="1">
      <c r="A182" s="98"/>
      <c r="B182" s="99"/>
      <c r="C182" s="99"/>
      <c r="D182" s="99"/>
      <c r="E182" s="107"/>
      <c r="F182" s="99"/>
      <c r="G182" s="103"/>
      <c r="H182" s="103"/>
      <c r="I182" s="103"/>
      <c r="J182" s="103"/>
      <c r="K182" s="99"/>
      <c r="L182" s="108"/>
      <c r="M182" s="99"/>
      <c r="N182" s="105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  <c r="AF182" s="92"/>
      <c r="AG182" s="92"/>
      <c r="AH182" s="92"/>
      <c r="AI182" s="92"/>
      <c r="AJ182" s="92"/>
      <c r="AK182" s="92"/>
      <c r="AL182" s="92"/>
      <c r="AM182" s="92"/>
      <c r="AN182" s="92"/>
      <c r="AO182" s="92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</row>
    <row r="183" ht="20.25" customHeight="1">
      <c r="A183" s="98"/>
      <c r="B183" s="99"/>
      <c r="C183" s="99"/>
      <c r="D183" s="99"/>
      <c r="E183" s="107"/>
      <c r="F183" s="99"/>
      <c r="G183" s="103"/>
      <c r="H183" s="103"/>
      <c r="I183" s="103"/>
      <c r="J183" s="103"/>
      <c r="K183" s="99"/>
      <c r="L183" s="108"/>
      <c r="M183" s="99"/>
      <c r="N183" s="105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  <c r="AF183" s="92"/>
      <c r="AG183" s="92"/>
      <c r="AH183" s="92"/>
      <c r="AI183" s="92"/>
      <c r="AJ183" s="92"/>
      <c r="AK183" s="92"/>
      <c r="AL183" s="92"/>
      <c r="AM183" s="92"/>
      <c r="AN183" s="92"/>
      <c r="AO183" s="92"/>
      <c r="AP183" s="93"/>
      <c r="AQ183" s="93"/>
      <c r="AR183" s="93"/>
      <c r="AS183" s="93"/>
      <c r="AT183" s="93"/>
      <c r="AU183" s="93"/>
      <c r="AV183" s="93"/>
      <c r="AW183" s="93"/>
      <c r="AX183" s="93"/>
      <c r="AY183" s="93"/>
      <c r="AZ183" s="93"/>
      <c r="BA183" s="93"/>
    </row>
    <row r="184" ht="20.25" customHeight="1">
      <c r="A184" s="98"/>
      <c r="B184" s="99"/>
      <c r="C184" s="99"/>
      <c r="D184" s="99"/>
      <c r="E184" s="107"/>
      <c r="F184" s="99"/>
      <c r="G184" s="103"/>
      <c r="H184" s="103"/>
      <c r="I184" s="103"/>
      <c r="J184" s="103"/>
      <c r="K184" s="99"/>
      <c r="L184" s="108"/>
      <c r="M184" s="99"/>
      <c r="N184" s="105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3"/>
      <c r="AQ184" s="93"/>
      <c r="AR184" s="93"/>
      <c r="AS184" s="93"/>
      <c r="AT184" s="93"/>
      <c r="AU184" s="93"/>
      <c r="AV184" s="93"/>
      <c r="AW184" s="93"/>
      <c r="AX184" s="93"/>
      <c r="AY184" s="93"/>
      <c r="AZ184" s="93"/>
      <c r="BA184" s="93"/>
    </row>
    <row r="185" ht="20.25" customHeight="1">
      <c r="A185" s="98"/>
      <c r="B185" s="99"/>
      <c r="C185" s="99"/>
      <c r="D185" s="99"/>
      <c r="E185" s="107"/>
      <c r="F185" s="99"/>
      <c r="G185" s="103"/>
      <c r="H185" s="103"/>
      <c r="I185" s="103"/>
      <c r="J185" s="103"/>
      <c r="K185" s="99"/>
      <c r="L185" s="108"/>
      <c r="M185" s="99"/>
      <c r="N185" s="105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  <c r="AF185" s="92"/>
      <c r="AG185" s="92"/>
      <c r="AH185" s="92"/>
      <c r="AI185" s="92"/>
      <c r="AJ185" s="92"/>
      <c r="AK185" s="92"/>
      <c r="AL185" s="92"/>
      <c r="AM185" s="92"/>
      <c r="AN185" s="92"/>
      <c r="AO185" s="92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</row>
    <row r="186" ht="20.25" customHeight="1">
      <c r="A186" s="98"/>
      <c r="B186" s="99"/>
      <c r="C186" s="99"/>
      <c r="D186" s="99"/>
      <c r="E186" s="107"/>
      <c r="F186" s="99"/>
      <c r="G186" s="103"/>
      <c r="H186" s="103"/>
      <c r="I186" s="103"/>
      <c r="J186" s="103"/>
      <c r="K186" s="99"/>
      <c r="L186" s="108"/>
      <c r="M186" s="99"/>
      <c r="N186" s="105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  <c r="AF186" s="92"/>
      <c r="AG186" s="92"/>
      <c r="AH186" s="92"/>
      <c r="AI186" s="92"/>
      <c r="AJ186" s="92"/>
      <c r="AK186" s="92"/>
      <c r="AL186" s="92"/>
      <c r="AM186" s="92"/>
      <c r="AN186" s="92"/>
      <c r="AO186" s="92"/>
      <c r="AP186" s="93"/>
      <c r="AQ186" s="93"/>
      <c r="AR186" s="93"/>
      <c r="AS186" s="93"/>
      <c r="AT186" s="93"/>
      <c r="AU186" s="93"/>
      <c r="AV186" s="93"/>
      <c r="AW186" s="93"/>
      <c r="AX186" s="93"/>
      <c r="AY186" s="93"/>
      <c r="AZ186" s="93"/>
      <c r="BA186" s="93"/>
    </row>
    <row r="187" ht="20.25" customHeight="1">
      <c r="A187" s="98"/>
      <c r="B187" s="99"/>
      <c r="C187" s="99"/>
      <c r="D187" s="99"/>
      <c r="E187" s="107"/>
      <c r="F187" s="99"/>
      <c r="G187" s="103"/>
      <c r="H187" s="103"/>
      <c r="I187" s="103"/>
      <c r="J187" s="103"/>
      <c r="K187" s="99"/>
      <c r="L187" s="108"/>
      <c r="M187" s="99"/>
      <c r="N187" s="105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  <c r="AF187" s="92"/>
      <c r="AG187" s="92"/>
      <c r="AH187" s="92"/>
      <c r="AI187" s="92"/>
      <c r="AJ187" s="92"/>
      <c r="AK187" s="92"/>
      <c r="AL187" s="92"/>
      <c r="AM187" s="92"/>
      <c r="AN187" s="92"/>
      <c r="AO187" s="92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</row>
    <row r="188" ht="20.25" customHeight="1">
      <c r="A188" s="98"/>
      <c r="B188" s="99"/>
      <c r="C188" s="99"/>
      <c r="D188" s="99"/>
      <c r="E188" s="107"/>
      <c r="F188" s="99"/>
      <c r="G188" s="103"/>
      <c r="H188" s="103"/>
      <c r="I188" s="103"/>
      <c r="J188" s="103"/>
      <c r="K188" s="99"/>
      <c r="L188" s="108"/>
      <c r="M188" s="99"/>
      <c r="N188" s="105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  <c r="AF188" s="92"/>
      <c r="AG188" s="92"/>
      <c r="AH188" s="92"/>
      <c r="AI188" s="92"/>
      <c r="AJ188" s="92"/>
      <c r="AK188" s="92"/>
      <c r="AL188" s="92"/>
      <c r="AM188" s="92"/>
      <c r="AN188" s="92"/>
      <c r="AO188" s="92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</row>
    <row r="189" ht="20.25" customHeight="1">
      <c r="A189" s="98"/>
      <c r="B189" s="99"/>
      <c r="C189" s="99"/>
      <c r="D189" s="99"/>
      <c r="E189" s="107"/>
      <c r="F189" s="99"/>
      <c r="G189" s="103"/>
      <c r="H189" s="103"/>
      <c r="I189" s="103"/>
      <c r="J189" s="103"/>
      <c r="K189" s="99"/>
      <c r="L189" s="108"/>
      <c r="M189" s="99"/>
      <c r="N189" s="105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  <c r="AF189" s="92"/>
      <c r="AG189" s="92"/>
      <c r="AH189" s="92"/>
      <c r="AI189" s="92"/>
      <c r="AJ189" s="92"/>
      <c r="AK189" s="92"/>
      <c r="AL189" s="92"/>
      <c r="AM189" s="92"/>
      <c r="AN189" s="92"/>
      <c r="AO189" s="92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</row>
    <row r="190" ht="20.25" customHeight="1">
      <c r="A190" s="98"/>
      <c r="B190" s="99"/>
      <c r="C190" s="99"/>
      <c r="D190" s="99"/>
      <c r="E190" s="107"/>
      <c r="F190" s="99"/>
      <c r="G190" s="103"/>
      <c r="H190" s="103"/>
      <c r="I190" s="103"/>
      <c r="J190" s="103"/>
      <c r="K190" s="99"/>
      <c r="L190" s="108"/>
      <c r="M190" s="99"/>
      <c r="N190" s="105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  <c r="AF190" s="92"/>
      <c r="AG190" s="92"/>
      <c r="AH190" s="92"/>
      <c r="AI190" s="92"/>
      <c r="AJ190" s="92"/>
      <c r="AK190" s="92"/>
      <c r="AL190" s="92"/>
      <c r="AM190" s="92"/>
      <c r="AN190" s="92"/>
      <c r="AO190" s="92"/>
      <c r="AP190" s="93"/>
      <c r="AQ190" s="93"/>
      <c r="AR190" s="93"/>
      <c r="AS190" s="93"/>
      <c r="AT190" s="93"/>
      <c r="AU190" s="93"/>
      <c r="AV190" s="93"/>
      <c r="AW190" s="93"/>
      <c r="AX190" s="93"/>
      <c r="AY190" s="93"/>
      <c r="AZ190" s="93"/>
      <c r="BA190" s="93"/>
    </row>
    <row r="191" ht="20.25" customHeight="1">
      <c r="A191" s="98"/>
      <c r="B191" s="99"/>
      <c r="C191" s="99"/>
      <c r="D191" s="99"/>
      <c r="E191" s="107"/>
      <c r="F191" s="99"/>
      <c r="G191" s="103"/>
      <c r="H191" s="103"/>
      <c r="I191" s="103"/>
      <c r="J191" s="103"/>
      <c r="K191" s="99"/>
      <c r="L191" s="108"/>
      <c r="M191" s="99"/>
      <c r="N191" s="105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  <c r="AF191" s="92"/>
      <c r="AG191" s="92"/>
      <c r="AH191" s="92"/>
      <c r="AI191" s="92"/>
      <c r="AJ191" s="92"/>
      <c r="AK191" s="92"/>
      <c r="AL191" s="92"/>
      <c r="AM191" s="92"/>
      <c r="AN191" s="92"/>
      <c r="AO191" s="92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</row>
    <row r="192" ht="20.25" customHeight="1">
      <c r="A192" s="98"/>
      <c r="B192" s="99"/>
      <c r="C192" s="99"/>
      <c r="D192" s="99"/>
      <c r="E192" s="107"/>
      <c r="F192" s="99"/>
      <c r="G192" s="103"/>
      <c r="H192" s="103"/>
      <c r="I192" s="103"/>
      <c r="J192" s="103"/>
      <c r="K192" s="99"/>
      <c r="L192" s="108"/>
      <c r="M192" s="99"/>
      <c r="N192" s="105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  <c r="AF192" s="92"/>
      <c r="AG192" s="92"/>
      <c r="AH192" s="92"/>
      <c r="AI192" s="92"/>
      <c r="AJ192" s="92"/>
      <c r="AK192" s="92"/>
      <c r="AL192" s="92"/>
      <c r="AM192" s="92"/>
      <c r="AN192" s="92"/>
      <c r="AO192" s="92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</row>
    <row r="193" ht="20.25" customHeight="1">
      <c r="A193" s="98"/>
      <c r="B193" s="99"/>
      <c r="C193" s="99"/>
      <c r="D193" s="99"/>
      <c r="E193" s="107"/>
      <c r="F193" s="99"/>
      <c r="G193" s="103"/>
      <c r="H193" s="103"/>
      <c r="I193" s="103"/>
      <c r="J193" s="103"/>
      <c r="K193" s="99"/>
      <c r="L193" s="108"/>
      <c r="M193" s="99"/>
      <c r="N193" s="105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  <c r="AF193" s="92"/>
      <c r="AG193" s="92"/>
      <c r="AH193" s="92"/>
      <c r="AI193" s="92"/>
      <c r="AJ193" s="92"/>
      <c r="AK193" s="92"/>
      <c r="AL193" s="92"/>
      <c r="AM193" s="92"/>
      <c r="AN193" s="92"/>
      <c r="AO193" s="92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</row>
    <row r="194" ht="20.25" customHeight="1">
      <c r="A194" s="98"/>
      <c r="B194" s="99"/>
      <c r="C194" s="99"/>
      <c r="D194" s="99"/>
      <c r="E194" s="107"/>
      <c r="F194" s="99"/>
      <c r="G194" s="103"/>
      <c r="H194" s="103"/>
      <c r="I194" s="103"/>
      <c r="J194" s="103"/>
      <c r="K194" s="99"/>
      <c r="L194" s="108"/>
      <c r="M194" s="99"/>
      <c r="N194" s="105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  <c r="AF194" s="92"/>
      <c r="AG194" s="92"/>
      <c r="AH194" s="92"/>
      <c r="AI194" s="92"/>
      <c r="AJ194" s="92"/>
      <c r="AK194" s="92"/>
      <c r="AL194" s="92"/>
      <c r="AM194" s="92"/>
      <c r="AN194" s="92"/>
      <c r="AO194" s="92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</row>
    <row r="195" ht="20.25" customHeight="1">
      <c r="A195" s="98"/>
      <c r="B195" s="99"/>
      <c r="C195" s="99"/>
      <c r="D195" s="99"/>
      <c r="E195" s="107"/>
      <c r="F195" s="99"/>
      <c r="G195" s="103"/>
      <c r="H195" s="103"/>
      <c r="I195" s="103"/>
      <c r="J195" s="103"/>
      <c r="K195" s="99"/>
      <c r="L195" s="108"/>
      <c r="M195" s="99"/>
      <c r="N195" s="105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</row>
    <row r="196" ht="20.25" customHeight="1">
      <c r="A196" s="98"/>
      <c r="B196" s="99"/>
      <c r="C196" s="99"/>
      <c r="D196" s="99"/>
      <c r="E196" s="107"/>
      <c r="F196" s="99"/>
      <c r="G196" s="103"/>
      <c r="H196" s="103"/>
      <c r="I196" s="103"/>
      <c r="J196" s="103"/>
      <c r="K196" s="99"/>
      <c r="L196" s="108"/>
      <c r="M196" s="99"/>
      <c r="N196" s="105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  <c r="AF196" s="92"/>
      <c r="AG196" s="92"/>
      <c r="AH196" s="92"/>
      <c r="AI196" s="92"/>
      <c r="AJ196" s="92"/>
      <c r="AK196" s="92"/>
      <c r="AL196" s="92"/>
      <c r="AM196" s="92"/>
      <c r="AN196" s="92"/>
      <c r="AO196" s="92"/>
      <c r="AP196" s="93"/>
      <c r="AQ196" s="93"/>
      <c r="AR196" s="93"/>
      <c r="AS196" s="93"/>
      <c r="AT196" s="93"/>
      <c r="AU196" s="93"/>
      <c r="AV196" s="93"/>
      <c r="AW196" s="93"/>
      <c r="AX196" s="93"/>
      <c r="AY196" s="93"/>
      <c r="AZ196" s="93"/>
      <c r="BA196" s="93"/>
    </row>
    <row r="197" ht="20.25" customHeight="1">
      <c r="A197" s="98"/>
      <c r="B197" s="99"/>
      <c r="C197" s="99"/>
      <c r="D197" s="99"/>
      <c r="E197" s="107"/>
      <c r="F197" s="99"/>
      <c r="G197" s="103"/>
      <c r="H197" s="103"/>
      <c r="I197" s="103"/>
      <c r="J197" s="103"/>
      <c r="K197" s="99"/>
      <c r="L197" s="108"/>
      <c r="M197" s="99"/>
      <c r="N197" s="105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  <c r="AF197" s="92"/>
      <c r="AG197" s="92"/>
      <c r="AH197" s="92"/>
      <c r="AI197" s="92"/>
      <c r="AJ197" s="92"/>
      <c r="AK197" s="92"/>
      <c r="AL197" s="92"/>
      <c r="AM197" s="92"/>
      <c r="AN197" s="92"/>
      <c r="AO197" s="92"/>
      <c r="AP197" s="93"/>
      <c r="AQ197" s="93"/>
      <c r="AR197" s="93"/>
      <c r="AS197" s="93"/>
      <c r="AT197" s="93"/>
      <c r="AU197" s="93"/>
      <c r="AV197" s="93"/>
      <c r="AW197" s="93"/>
      <c r="AX197" s="93"/>
      <c r="AY197" s="93"/>
      <c r="AZ197" s="93"/>
      <c r="BA197" s="93"/>
    </row>
    <row r="198" ht="20.25" customHeight="1">
      <c r="A198" s="98"/>
      <c r="B198" s="99"/>
      <c r="C198" s="99"/>
      <c r="D198" s="99"/>
      <c r="E198" s="107"/>
      <c r="F198" s="99"/>
      <c r="G198" s="103"/>
      <c r="H198" s="103"/>
      <c r="I198" s="103"/>
      <c r="J198" s="103"/>
      <c r="K198" s="99"/>
      <c r="L198" s="108"/>
      <c r="M198" s="99"/>
      <c r="N198" s="105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  <c r="AF198" s="92"/>
      <c r="AG198" s="92"/>
      <c r="AH198" s="92"/>
      <c r="AI198" s="92"/>
      <c r="AJ198" s="92"/>
      <c r="AK198" s="92"/>
      <c r="AL198" s="92"/>
      <c r="AM198" s="92"/>
      <c r="AN198" s="92"/>
      <c r="AO198" s="92"/>
      <c r="AP198" s="93"/>
      <c r="AQ198" s="93"/>
      <c r="AR198" s="93"/>
      <c r="AS198" s="93"/>
      <c r="AT198" s="93"/>
      <c r="AU198" s="93"/>
      <c r="AV198" s="93"/>
      <c r="AW198" s="93"/>
      <c r="AX198" s="93"/>
      <c r="AY198" s="93"/>
      <c r="AZ198" s="93"/>
      <c r="BA198" s="93"/>
    </row>
    <row r="199" ht="20.25" customHeight="1">
      <c r="A199" s="98"/>
      <c r="B199" s="99"/>
      <c r="C199" s="99"/>
      <c r="D199" s="99"/>
      <c r="E199" s="107"/>
      <c r="F199" s="99"/>
      <c r="G199" s="103"/>
      <c r="H199" s="103"/>
      <c r="I199" s="103"/>
      <c r="J199" s="103"/>
      <c r="K199" s="99"/>
      <c r="L199" s="108"/>
      <c r="M199" s="99"/>
      <c r="N199" s="105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  <c r="AF199" s="92"/>
      <c r="AG199" s="92"/>
      <c r="AH199" s="92"/>
      <c r="AI199" s="92"/>
      <c r="AJ199" s="92"/>
      <c r="AK199" s="92"/>
      <c r="AL199" s="92"/>
      <c r="AM199" s="92"/>
      <c r="AN199" s="92"/>
      <c r="AO199" s="92"/>
      <c r="AP199" s="93"/>
      <c r="AQ199" s="93"/>
      <c r="AR199" s="93"/>
      <c r="AS199" s="93"/>
      <c r="AT199" s="93"/>
      <c r="AU199" s="93"/>
      <c r="AV199" s="93"/>
      <c r="AW199" s="93"/>
      <c r="AX199" s="93"/>
      <c r="AY199" s="93"/>
      <c r="AZ199" s="93"/>
      <c r="BA199" s="93"/>
    </row>
    <row r="200" ht="20.25" customHeight="1">
      <c r="A200" s="98"/>
      <c r="B200" s="99"/>
      <c r="C200" s="99"/>
      <c r="D200" s="99"/>
      <c r="E200" s="107"/>
      <c r="F200" s="99"/>
      <c r="G200" s="103"/>
      <c r="H200" s="103"/>
      <c r="I200" s="103"/>
      <c r="J200" s="103"/>
      <c r="K200" s="99"/>
      <c r="L200" s="108"/>
      <c r="M200" s="99"/>
      <c r="N200" s="105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  <c r="AF200" s="92"/>
      <c r="AG200" s="92"/>
      <c r="AH200" s="92"/>
      <c r="AI200" s="92"/>
      <c r="AJ200" s="92"/>
      <c r="AK200" s="92"/>
      <c r="AL200" s="92"/>
      <c r="AM200" s="92"/>
      <c r="AN200" s="92"/>
      <c r="AO200" s="92"/>
      <c r="AP200" s="93"/>
      <c r="AQ200" s="93"/>
      <c r="AR200" s="93"/>
      <c r="AS200" s="93"/>
      <c r="AT200" s="93"/>
      <c r="AU200" s="93"/>
      <c r="AV200" s="93"/>
      <c r="AW200" s="93"/>
      <c r="AX200" s="93"/>
      <c r="AY200" s="93"/>
      <c r="AZ200" s="93"/>
      <c r="BA200" s="93"/>
    </row>
    <row r="201" ht="20.25" customHeight="1">
      <c r="A201" s="98"/>
      <c r="B201" s="99"/>
      <c r="C201" s="99"/>
      <c r="D201" s="99"/>
      <c r="E201" s="107"/>
      <c r="F201" s="99"/>
      <c r="G201" s="103"/>
      <c r="H201" s="103"/>
      <c r="I201" s="103"/>
      <c r="J201" s="103"/>
      <c r="K201" s="99"/>
      <c r="L201" s="108"/>
      <c r="M201" s="99"/>
      <c r="N201" s="105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  <c r="AF201" s="92"/>
      <c r="AG201" s="92"/>
      <c r="AH201" s="92"/>
      <c r="AI201" s="92"/>
      <c r="AJ201" s="92"/>
      <c r="AK201" s="92"/>
      <c r="AL201" s="92"/>
      <c r="AM201" s="92"/>
      <c r="AN201" s="92"/>
      <c r="AO201" s="92"/>
      <c r="AP201" s="93"/>
      <c r="AQ201" s="93"/>
      <c r="AR201" s="93"/>
      <c r="AS201" s="93"/>
      <c r="AT201" s="93"/>
      <c r="AU201" s="93"/>
      <c r="AV201" s="93"/>
      <c r="AW201" s="93"/>
      <c r="AX201" s="93"/>
      <c r="AY201" s="93"/>
      <c r="AZ201" s="93"/>
      <c r="BA201" s="93"/>
    </row>
    <row r="202" ht="20.25" customHeight="1">
      <c r="A202" s="98"/>
      <c r="B202" s="99"/>
      <c r="C202" s="99"/>
      <c r="D202" s="99"/>
      <c r="E202" s="107"/>
      <c r="F202" s="99"/>
      <c r="G202" s="103"/>
      <c r="H202" s="103"/>
      <c r="I202" s="103"/>
      <c r="J202" s="103"/>
      <c r="K202" s="99"/>
      <c r="L202" s="108"/>
      <c r="M202" s="99"/>
      <c r="N202" s="105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  <c r="AF202" s="92"/>
      <c r="AG202" s="92"/>
      <c r="AH202" s="92"/>
      <c r="AI202" s="92"/>
      <c r="AJ202" s="92"/>
      <c r="AK202" s="92"/>
      <c r="AL202" s="92"/>
      <c r="AM202" s="92"/>
      <c r="AN202" s="92"/>
      <c r="AO202" s="92"/>
      <c r="AP202" s="93"/>
      <c r="AQ202" s="93"/>
      <c r="AR202" s="93"/>
      <c r="AS202" s="93"/>
      <c r="AT202" s="93"/>
      <c r="AU202" s="93"/>
      <c r="AV202" s="93"/>
      <c r="AW202" s="93"/>
      <c r="AX202" s="93"/>
      <c r="AY202" s="93"/>
      <c r="AZ202" s="93"/>
      <c r="BA202" s="93"/>
    </row>
    <row r="203" ht="20.25" customHeight="1">
      <c r="A203" s="98"/>
      <c r="B203" s="99"/>
      <c r="C203" s="99"/>
      <c r="D203" s="99"/>
      <c r="E203" s="107"/>
      <c r="F203" s="99"/>
      <c r="G203" s="103"/>
      <c r="H203" s="103"/>
      <c r="I203" s="103"/>
      <c r="J203" s="103"/>
      <c r="K203" s="99"/>
      <c r="L203" s="108"/>
      <c r="M203" s="99"/>
      <c r="N203" s="105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  <c r="AF203" s="92"/>
      <c r="AG203" s="92"/>
      <c r="AH203" s="92"/>
      <c r="AI203" s="92"/>
      <c r="AJ203" s="92"/>
      <c r="AK203" s="92"/>
      <c r="AL203" s="92"/>
      <c r="AM203" s="92"/>
      <c r="AN203" s="92"/>
      <c r="AO203" s="92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</row>
    <row r="204" ht="20.25" customHeight="1">
      <c r="A204" s="98"/>
      <c r="B204" s="99"/>
      <c r="C204" s="99"/>
      <c r="D204" s="99"/>
      <c r="E204" s="107"/>
      <c r="F204" s="99"/>
      <c r="G204" s="103"/>
      <c r="H204" s="103"/>
      <c r="I204" s="103"/>
      <c r="J204" s="103"/>
      <c r="K204" s="99"/>
      <c r="L204" s="108"/>
      <c r="M204" s="99"/>
      <c r="N204" s="105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  <c r="AF204" s="92"/>
      <c r="AG204" s="92"/>
      <c r="AH204" s="92"/>
      <c r="AI204" s="92"/>
      <c r="AJ204" s="92"/>
      <c r="AK204" s="92"/>
      <c r="AL204" s="92"/>
      <c r="AM204" s="92"/>
      <c r="AN204" s="92"/>
      <c r="AO204" s="92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</row>
    <row r="205" ht="20.25" customHeight="1">
      <c r="A205" s="98"/>
      <c r="B205" s="99"/>
      <c r="C205" s="99"/>
      <c r="D205" s="99"/>
      <c r="E205" s="107"/>
      <c r="F205" s="99"/>
      <c r="G205" s="103"/>
      <c r="H205" s="103"/>
      <c r="I205" s="103"/>
      <c r="J205" s="103"/>
      <c r="K205" s="99"/>
      <c r="L205" s="108"/>
      <c r="M205" s="99"/>
      <c r="N205" s="105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  <c r="AF205" s="92"/>
      <c r="AG205" s="92"/>
      <c r="AH205" s="92"/>
      <c r="AI205" s="92"/>
      <c r="AJ205" s="92"/>
      <c r="AK205" s="92"/>
      <c r="AL205" s="92"/>
      <c r="AM205" s="92"/>
      <c r="AN205" s="92"/>
      <c r="AO205" s="92"/>
      <c r="AP205" s="93"/>
      <c r="AQ205" s="93"/>
      <c r="AR205" s="93"/>
      <c r="AS205" s="93"/>
      <c r="AT205" s="93"/>
      <c r="AU205" s="93"/>
      <c r="AV205" s="93"/>
      <c r="AW205" s="93"/>
      <c r="AX205" s="93"/>
      <c r="AY205" s="93"/>
      <c r="AZ205" s="93"/>
      <c r="BA205" s="93"/>
    </row>
    <row r="206" ht="20.25" customHeight="1">
      <c r="A206" s="98"/>
      <c r="B206" s="99"/>
      <c r="C206" s="99"/>
      <c r="D206" s="99"/>
      <c r="E206" s="107"/>
      <c r="F206" s="99"/>
      <c r="G206" s="103"/>
      <c r="H206" s="103"/>
      <c r="I206" s="103"/>
      <c r="J206" s="103"/>
      <c r="K206" s="99"/>
      <c r="L206" s="108"/>
      <c r="M206" s="99"/>
      <c r="N206" s="105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  <c r="AF206" s="92"/>
      <c r="AG206" s="92"/>
      <c r="AH206" s="92"/>
      <c r="AI206" s="92"/>
      <c r="AJ206" s="92"/>
      <c r="AK206" s="92"/>
      <c r="AL206" s="92"/>
      <c r="AM206" s="92"/>
      <c r="AN206" s="92"/>
      <c r="AO206" s="92"/>
      <c r="AP206" s="93"/>
      <c r="AQ206" s="93"/>
      <c r="AR206" s="93"/>
      <c r="AS206" s="93"/>
      <c r="AT206" s="93"/>
      <c r="AU206" s="93"/>
      <c r="AV206" s="93"/>
      <c r="AW206" s="93"/>
      <c r="AX206" s="93"/>
      <c r="AY206" s="93"/>
      <c r="AZ206" s="93"/>
      <c r="BA206" s="93"/>
    </row>
    <row r="207" ht="20.25" customHeight="1">
      <c r="A207" s="98"/>
      <c r="B207" s="99"/>
      <c r="C207" s="99"/>
      <c r="D207" s="99"/>
      <c r="E207" s="107"/>
      <c r="F207" s="99"/>
      <c r="G207" s="103"/>
      <c r="H207" s="103"/>
      <c r="I207" s="103"/>
      <c r="J207" s="103"/>
      <c r="K207" s="99"/>
      <c r="L207" s="108"/>
      <c r="M207" s="99"/>
      <c r="N207" s="105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  <c r="AF207" s="92"/>
      <c r="AG207" s="92"/>
      <c r="AH207" s="92"/>
      <c r="AI207" s="92"/>
      <c r="AJ207" s="92"/>
      <c r="AK207" s="92"/>
      <c r="AL207" s="92"/>
      <c r="AM207" s="92"/>
      <c r="AN207" s="92"/>
      <c r="AO207" s="92"/>
      <c r="AP207" s="93"/>
      <c r="AQ207" s="93"/>
      <c r="AR207" s="93"/>
      <c r="AS207" s="93"/>
      <c r="AT207" s="93"/>
      <c r="AU207" s="93"/>
      <c r="AV207" s="93"/>
      <c r="AW207" s="93"/>
      <c r="AX207" s="93"/>
      <c r="AY207" s="93"/>
      <c r="AZ207" s="93"/>
      <c r="BA207" s="93"/>
    </row>
    <row r="208" ht="20.25" customHeight="1">
      <c r="A208" s="98"/>
      <c r="B208" s="99"/>
      <c r="C208" s="99"/>
      <c r="D208" s="99"/>
      <c r="E208" s="107"/>
      <c r="F208" s="99"/>
      <c r="G208" s="103"/>
      <c r="H208" s="103"/>
      <c r="I208" s="103"/>
      <c r="J208" s="103"/>
      <c r="K208" s="99"/>
      <c r="L208" s="108"/>
      <c r="M208" s="99"/>
      <c r="N208" s="105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  <c r="AF208" s="92"/>
      <c r="AG208" s="92"/>
      <c r="AH208" s="92"/>
      <c r="AI208" s="92"/>
      <c r="AJ208" s="92"/>
      <c r="AK208" s="92"/>
      <c r="AL208" s="92"/>
      <c r="AM208" s="92"/>
      <c r="AN208" s="92"/>
      <c r="AO208" s="92"/>
      <c r="AP208" s="93"/>
      <c r="AQ208" s="93"/>
      <c r="AR208" s="93"/>
      <c r="AS208" s="93"/>
      <c r="AT208" s="93"/>
      <c r="AU208" s="93"/>
      <c r="AV208" s="93"/>
      <c r="AW208" s="93"/>
      <c r="AX208" s="93"/>
      <c r="AY208" s="93"/>
      <c r="AZ208" s="93"/>
      <c r="BA208" s="93"/>
    </row>
    <row r="209" ht="20.25" customHeight="1">
      <c r="A209" s="98"/>
      <c r="B209" s="99"/>
      <c r="C209" s="99"/>
      <c r="D209" s="99"/>
      <c r="E209" s="107"/>
      <c r="F209" s="99"/>
      <c r="G209" s="103"/>
      <c r="H209" s="103"/>
      <c r="I209" s="103"/>
      <c r="J209" s="103"/>
      <c r="K209" s="99"/>
      <c r="L209" s="108"/>
      <c r="M209" s="99"/>
      <c r="N209" s="105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  <c r="AF209" s="92"/>
      <c r="AG209" s="92"/>
      <c r="AH209" s="92"/>
      <c r="AI209" s="92"/>
      <c r="AJ209" s="92"/>
      <c r="AK209" s="92"/>
      <c r="AL209" s="92"/>
      <c r="AM209" s="92"/>
      <c r="AN209" s="92"/>
      <c r="AO209" s="92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</row>
    <row r="210" ht="20.25" customHeight="1">
      <c r="A210" s="98"/>
      <c r="B210" s="99"/>
      <c r="C210" s="99"/>
      <c r="D210" s="99"/>
      <c r="E210" s="107"/>
      <c r="F210" s="99"/>
      <c r="G210" s="103"/>
      <c r="H210" s="103"/>
      <c r="I210" s="103"/>
      <c r="J210" s="103"/>
      <c r="K210" s="99"/>
      <c r="L210" s="108"/>
      <c r="M210" s="99"/>
      <c r="N210" s="105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  <c r="AF210" s="92"/>
      <c r="AG210" s="92"/>
      <c r="AH210" s="92"/>
      <c r="AI210" s="92"/>
      <c r="AJ210" s="92"/>
      <c r="AK210" s="92"/>
      <c r="AL210" s="92"/>
      <c r="AM210" s="92"/>
      <c r="AN210" s="92"/>
      <c r="AO210" s="92"/>
      <c r="AP210" s="93"/>
      <c r="AQ210" s="93"/>
      <c r="AR210" s="93"/>
      <c r="AS210" s="93"/>
      <c r="AT210" s="93"/>
      <c r="AU210" s="93"/>
      <c r="AV210" s="93"/>
      <c r="AW210" s="93"/>
      <c r="AX210" s="93"/>
      <c r="AY210" s="93"/>
      <c r="AZ210" s="93"/>
      <c r="BA210" s="93"/>
    </row>
    <row r="211" ht="20.25" customHeight="1">
      <c r="A211" s="98"/>
      <c r="B211" s="99"/>
      <c r="C211" s="99"/>
      <c r="D211" s="99"/>
      <c r="E211" s="107"/>
      <c r="F211" s="99"/>
      <c r="G211" s="103"/>
      <c r="H211" s="103"/>
      <c r="I211" s="103"/>
      <c r="J211" s="103"/>
      <c r="K211" s="99"/>
      <c r="L211" s="108"/>
      <c r="M211" s="99"/>
      <c r="N211" s="105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  <c r="AF211" s="92"/>
      <c r="AG211" s="92"/>
      <c r="AH211" s="92"/>
      <c r="AI211" s="92"/>
      <c r="AJ211" s="92"/>
      <c r="AK211" s="92"/>
      <c r="AL211" s="92"/>
      <c r="AM211" s="92"/>
      <c r="AN211" s="92"/>
      <c r="AO211" s="92"/>
      <c r="AP211" s="93"/>
      <c r="AQ211" s="93"/>
      <c r="AR211" s="93"/>
      <c r="AS211" s="93"/>
      <c r="AT211" s="93"/>
      <c r="AU211" s="93"/>
      <c r="AV211" s="93"/>
      <c r="AW211" s="93"/>
      <c r="AX211" s="93"/>
      <c r="AY211" s="93"/>
      <c r="AZ211" s="93"/>
      <c r="BA211" s="93"/>
    </row>
    <row r="212" ht="20.25" customHeight="1">
      <c r="A212" s="98"/>
      <c r="B212" s="99"/>
      <c r="C212" s="99"/>
      <c r="D212" s="99"/>
      <c r="E212" s="107"/>
      <c r="F212" s="99"/>
      <c r="G212" s="103"/>
      <c r="H212" s="103"/>
      <c r="I212" s="103"/>
      <c r="J212" s="103"/>
      <c r="K212" s="99"/>
      <c r="L212" s="108"/>
      <c r="M212" s="99"/>
      <c r="N212" s="105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  <c r="AF212" s="92"/>
      <c r="AG212" s="92"/>
      <c r="AH212" s="92"/>
      <c r="AI212" s="92"/>
      <c r="AJ212" s="92"/>
      <c r="AK212" s="92"/>
      <c r="AL212" s="92"/>
      <c r="AM212" s="92"/>
      <c r="AN212" s="92"/>
      <c r="AO212" s="92"/>
      <c r="AP212" s="93"/>
      <c r="AQ212" s="93"/>
      <c r="AR212" s="93"/>
      <c r="AS212" s="93"/>
      <c r="AT212" s="93"/>
      <c r="AU212" s="93"/>
      <c r="AV212" s="93"/>
      <c r="AW212" s="93"/>
      <c r="AX212" s="93"/>
      <c r="AY212" s="93"/>
      <c r="AZ212" s="93"/>
      <c r="BA212" s="93"/>
    </row>
    <row r="213" ht="20.25" customHeight="1">
      <c r="A213" s="98"/>
      <c r="B213" s="99"/>
      <c r="C213" s="99"/>
      <c r="D213" s="99"/>
      <c r="E213" s="107"/>
      <c r="F213" s="99"/>
      <c r="G213" s="103"/>
      <c r="H213" s="103"/>
      <c r="I213" s="103"/>
      <c r="J213" s="103"/>
      <c r="K213" s="99"/>
      <c r="L213" s="108"/>
      <c r="M213" s="99"/>
      <c r="N213" s="105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  <c r="AF213" s="92"/>
      <c r="AG213" s="92"/>
      <c r="AH213" s="92"/>
      <c r="AI213" s="92"/>
      <c r="AJ213" s="92"/>
      <c r="AK213" s="92"/>
      <c r="AL213" s="92"/>
      <c r="AM213" s="92"/>
      <c r="AN213" s="92"/>
      <c r="AO213" s="92"/>
      <c r="AP213" s="93"/>
      <c r="AQ213" s="93"/>
      <c r="AR213" s="93"/>
      <c r="AS213" s="93"/>
      <c r="AT213" s="93"/>
      <c r="AU213" s="93"/>
      <c r="AV213" s="93"/>
      <c r="AW213" s="93"/>
      <c r="AX213" s="93"/>
      <c r="AY213" s="93"/>
      <c r="AZ213" s="93"/>
      <c r="BA213" s="93"/>
    </row>
    <row r="214" ht="20.25" customHeight="1">
      <c r="A214" s="98"/>
      <c r="B214" s="99"/>
      <c r="C214" s="99"/>
      <c r="D214" s="99"/>
      <c r="E214" s="107"/>
      <c r="F214" s="99"/>
      <c r="G214" s="103"/>
      <c r="H214" s="103"/>
      <c r="I214" s="103"/>
      <c r="J214" s="103"/>
      <c r="K214" s="99"/>
      <c r="L214" s="108"/>
      <c r="M214" s="99"/>
      <c r="N214" s="105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  <c r="AF214" s="92"/>
      <c r="AG214" s="92"/>
      <c r="AH214" s="92"/>
      <c r="AI214" s="92"/>
      <c r="AJ214" s="92"/>
      <c r="AK214" s="92"/>
      <c r="AL214" s="92"/>
      <c r="AM214" s="92"/>
      <c r="AN214" s="92"/>
      <c r="AO214" s="92"/>
      <c r="AP214" s="93"/>
      <c r="AQ214" s="93"/>
      <c r="AR214" s="93"/>
      <c r="AS214" s="93"/>
      <c r="AT214" s="93"/>
      <c r="AU214" s="93"/>
      <c r="AV214" s="93"/>
      <c r="AW214" s="93"/>
      <c r="AX214" s="93"/>
      <c r="AY214" s="93"/>
      <c r="AZ214" s="93"/>
      <c r="BA214" s="93"/>
    </row>
    <row r="215" ht="20.25" customHeight="1">
      <c r="A215" s="98"/>
      <c r="B215" s="99"/>
      <c r="C215" s="99"/>
      <c r="D215" s="99"/>
      <c r="E215" s="107"/>
      <c r="F215" s="99"/>
      <c r="G215" s="103"/>
      <c r="H215" s="103"/>
      <c r="I215" s="103"/>
      <c r="J215" s="103"/>
      <c r="K215" s="99"/>
      <c r="L215" s="108"/>
      <c r="M215" s="99"/>
      <c r="N215" s="105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  <c r="AF215" s="92"/>
      <c r="AG215" s="92"/>
      <c r="AH215" s="92"/>
      <c r="AI215" s="92"/>
      <c r="AJ215" s="92"/>
      <c r="AK215" s="92"/>
      <c r="AL215" s="92"/>
      <c r="AM215" s="92"/>
      <c r="AN215" s="92"/>
      <c r="AO215" s="92"/>
      <c r="AP215" s="93"/>
      <c r="AQ215" s="93"/>
      <c r="AR215" s="93"/>
      <c r="AS215" s="93"/>
      <c r="AT215" s="93"/>
      <c r="AU215" s="93"/>
      <c r="AV215" s="93"/>
      <c r="AW215" s="93"/>
      <c r="AX215" s="93"/>
      <c r="AY215" s="93"/>
      <c r="AZ215" s="93"/>
      <c r="BA215" s="93"/>
    </row>
    <row r="216" ht="20.25" customHeight="1">
      <c r="A216" s="98"/>
      <c r="B216" s="99"/>
      <c r="C216" s="99"/>
      <c r="D216" s="99"/>
      <c r="E216" s="107"/>
      <c r="F216" s="99"/>
      <c r="G216" s="103"/>
      <c r="H216" s="103"/>
      <c r="I216" s="103"/>
      <c r="J216" s="103"/>
      <c r="K216" s="99"/>
      <c r="L216" s="108"/>
      <c r="M216" s="99"/>
      <c r="N216" s="105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  <c r="AF216" s="92"/>
      <c r="AG216" s="92"/>
      <c r="AH216" s="92"/>
      <c r="AI216" s="92"/>
      <c r="AJ216" s="92"/>
      <c r="AK216" s="92"/>
      <c r="AL216" s="92"/>
      <c r="AM216" s="92"/>
      <c r="AN216" s="92"/>
      <c r="AO216" s="92"/>
      <c r="AP216" s="93"/>
      <c r="AQ216" s="93"/>
      <c r="AR216" s="93"/>
      <c r="AS216" s="93"/>
      <c r="AT216" s="93"/>
      <c r="AU216" s="93"/>
      <c r="AV216" s="93"/>
      <c r="AW216" s="93"/>
      <c r="AX216" s="93"/>
      <c r="AY216" s="93"/>
      <c r="AZ216" s="93"/>
      <c r="BA216" s="93"/>
    </row>
    <row r="217" ht="20.25" customHeight="1">
      <c r="A217" s="98"/>
      <c r="B217" s="99"/>
      <c r="C217" s="99"/>
      <c r="D217" s="99"/>
      <c r="E217" s="107"/>
      <c r="F217" s="99"/>
      <c r="G217" s="103"/>
      <c r="H217" s="103"/>
      <c r="I217" s="103"/>
      <c r="J217" s="103"/>
      <c r="K217" s="99"/>
      <c r="L217" s="108"/>
      <c r="M217" s="99"/>
      <c r="N217" s="105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  <c r="AF217" s="92"/>
      <c r="AG217" s="92"/>
      <c r="AH217" s="92"/>
      <c r="AI217" s="92"/>
      <c r="AJ217" s="92"/>
      <c r="AK217" s="92"/>
      <c r="AL217" s="92"/>
      <c r="AM217" s="92"/>
      <c r="AN217" s="92"/>
      <c r="AO217" s="92"/>
      <c r="AP217" s="93"/>
      <c r="AQ217" s="93"/>
      <c r="AR217" s="93"/>
      <c r="AS217" s="93"/>
      <c r="AT217" s="93"/>
      <c r="AU217" s="93"/>
      <c r="AV217" s="93"/>
      <c r="AW217" s="93"/>
      <c r="AX217" s="93"/>
      <c r="AY217" s="93"/>
      <c r="AZ217" s="93"/>
      <c r="BA217" s="93"/>
    </row>
    <row r="218" ht="20.25" customHeight="1">
      <c r="A218" s="98"/>
      <c r="B218" s="99"/>
      <c r="C218" s="99"/>
      <c r="D218" s="99"/>
      <c r="E218" s="107"/>
      <c r="F218" s="99"/>
      <c r="G218" s="103"/>
      <c r="H218" s="103"/>
      <c r="I218" s="103"/>
      <c r="J218" s="103"/>
      <c r="K218" s="99"/>
      <c r="L218" s="108"/>
      <c r="M218" s="99"/>
      <c r="N218" s="105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  <c r="AF218" s="92"/>
      <c r="AG218" s="92"/>
      <c r="AH218" s="92"/>
      <c r="AI218" s="92"/>
      <c r="AJ218" s="92"/>
      <c r="AK218" s="92"/>
      <c r="AL218" s="92"/>
      <c r="AM218" s="92"/>
      <c r="AN218" s="92"/>
      <c r="AO218" s="92"/>
      <c r="AP218" s="93"/>
      <c r="AQ218" s="93"/>
      <c r="AR218" s="93"/>
      <c r="AS218" s="93"/>
      <c r="AT218" s="93"/>
      <c r="AU218" s="93"/>
      <c r="AV218" s="93"/>
      <c r="AW218" s="93"/>
      <c r="AX218" s="93"/>
      <c r="AY218" s="93"/>
      <c r="AZ218" s="93"/>
      <c r="BA218" s="93"/>
    </row>
    <row r="219" ht="20.25" customHeight="1">
      <c r="A219" s="98"/>
      <c r="B219" s="99"/>
      <c r="C219" s="99"/>
      <c r="D219" s="99"/>
      <c r="E219" s="107"/>
      <c r="F219" s="99"/>
      <c r="G219" s="103"/>
      <c r="H219" s="103"/>
      <c r="I219" s="103"/>
      <c r="J219" s="103"/>
      <c r="K219" s="99"/>
      <c r="L219" s="108"/>
      <c r="M219" s="99"/>
      <c r="N219" s="105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  <c r="AF219" s="92"/>
      <c r="AG219" s="92"/>
      <c r="AH219" s="92"/>
      <c r="AI219" s="92"/>
      <c r="AJ219" s="92"/>
      <c r="AK219" s="92"/>
      <c r="AL219" s="92"/>
      <c r="AM219" s="92"/>
      <c r="AN219" s="92"/>
      <c r="AO219" s="92"/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</row>
    <row r="220" ht="20.25" customHeight="1">
      <c r="A220" s="98"/>
      <c r="B220" s="99"/>
      <c r="C220" s="99"/>
      <c r="D220" s="99"/>
      <c r="E220" s="107"/>
      <c r="F220" s="99"/>
      <c r="G220" s="103"/>
      <c r="H220" s="103"/>
      <c r="I220" s="103"/>
      <c r="J220" s="103"/>
      <c r="K220" s="99"/>
      <c r="L220" s="108"/>
      <c r="M220" s="99"/>
      <c r="N220" s="105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  <c r="AF220" s="92"/>
      <c r="AG220" s="92"/>
      <c r="AH220" s="92"/>
      <c r="AI220" s="92"/>
      <c r="AJ220" s="92"/>
      <c r="AK220" s="92"/>
      <c r="AL220" s="92"/>
      <c r="AM220" s="92"/>
      <c r="AN220" s="92"/>
      <c r="AO220" s="92"/>
      <c r="AP220" s="93"/>
      <c r="AQ220" s="93"/>
      <c r="AR220" s="93"/>
      <c r="AS220" s="93"/>
      <c r="AT220" s="93"/>
      <c r="AU220" s="93"/>
      <c r="AV220" s="93"/>
      <c r="AW220" s="93"/>
      <c r="AX220" s="93"/>
      <c r="AY220" s="93"/>
      <c r="AZ220" s="93"/>
      <c r="BA220" s="93"/>
    </row>
    <row r="221" ht="20.25" customHeight="1">
      <c r="A221" s="98"/>
      <c r="B221" s="99"/>
      <c r="C221" s="99"/>
      <c r="D221" s="99"/>
      <c r="E221" s="107"/>
      <c r="F221" s="99"/>
      <c r="G221" s="103"/>
      <c r="H221" s="103"/>
      <c r="I221" s="103"/>
      <c r="J221" s="103"/>
      <c r="K221" s="99"/>
      <c r="L221" s="108"/>
      <c r="M221" s="99"/>
      <c r="N221" s="105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  <c r="AF221" s="92"/>
      <c r="AG221" s="92"/>
      <c r="AH221" s="92"/>
      <c r="AI221" s="92"/>
      <c r="AJ221" s="92"/>
      <c r="AK221" s="92"/>
      <c r="AL221" s="92"/>
      <c r="AM221" s="92"/>
      <c r="AN221" s="92"/>
      <c r="AO221" s="92"/>
      <c r="AP221" s="93"/>
      <c r="AQ221" s="93"/>
      <c r="AR221" s="93"/>
      <c r="AS221" s="93"/>
      <c r="AT221" s="93"/>
      <c r="AU221" s="93"/>
      <c r="AV221" s="93"/>
      <c r="AW221" s="93"/>
      <c r="AX221" s="93"/>
      <c r="AY221" s="93"/>
      <c r="AZ221" s="93"/>
      <c r="BA221" s="93"/>
    </row>
    <row r="222" ht="20.25" customHeight="1">
      <c r="A222" s="98"/>
      <c r="B222" s="99"/>
      <c r="C222" s="99"/>
      <c r="D222" s="99"/>
      <c r="E222" s="107"/>
      <c r="F222" s="99"/>
      <c r="G222" s="103"/>
      <c r="H222" s="103"/>
      <c r="I222" s="103"/>
      <c r="J222" s="103"/>
      <c r="K222" s="99"/>
      <c r="L222" s="108"/>
      <c r="M222" s="99"/>
      <c r="N222" s="105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  <c r="AF222" s="92"/>
      <c r="AG222" s="92"/>
      <c r="AH222" s="92"/>
      <c r="AI222" s="92"/>
      <c r="AJ222" s="92"/>
      <c r="AK222" s="92"/>
      <c r="AL222" s="92"/>
      <c r="AM222" s="92"/>
      <c r="AN222" s="92"/>
      <c r="AO222" s="92"/>
      <c r="AP222" s="93"/>
      <c r="AQ222" s="93"/>
      <c r="AR222" s="93"/>
      <c r="AS222" s="93"/>
      <c r="AT222" s="93"/>
      <c r="AU222" s="93"/>
      <c r="AV222" s="93"/>
      <c r="AW222" s="93"/>
      <c r="AX222" s="93"/>
      <c r="AY222" s="93"/>
      <c r="AZ222" s="93"/>
      <c r="BA222" s="93"/>
    </row>
    <row r="223" ht="20.25" customHeight="1">
      <c r="A223" s="98"/>
      <c r="B223" s="99"/>
      <c r="C223" s="99"/>
      <c r="D223" s="99"/>
      <c r="E223" s="107"/>
      <c r="F223" s="99"/>
      <c r="G223" s="103"/>
      <c r="H223" s="103"/>
      <c r="I223" s="103"/>
      <c r="J223" s="103"/>
      <c r="K223" s="99"/>
      <c r="L223" s="108"/>
      <c r="M223" s="99"/>
      <c r="N223" s="105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  <c r="AF223" s="92"/>
      <c r="AG223" s="92"/>
      <c r="AH223" s="92"/>
      <c r="AI223" s="92"/>
      <c r="AJ223" s="92"/>
      <c r="AK223" s="92"/>
      <c r="AL223" s="92"/>
      <c r="AM223" s="92"/>
      <c r="AN223" s="92"/>
      <c r="AO223" s="92"/>
      <c r="AP223" s="93"/>
      <c r="AQ223" s="93"/>
      <c r="AR223" s="93"/>
      <c r="AS223" s="93"/>
      <c r="AT223" s="93"/>
      <c r="AU223" s="93"/>
      <c r="AV223" s="93"/>
      <c r="AW223" s="93"/>
      <c r="AX223" s="93"/>
      <c r="AY223" s="93"/>
      <c r="AZ223" s="93"/>
      <c r="BA223" s="93"/>
    </row>
    <row r="224" ht="20.25" customHeight="1">
      <c r="A224" s="98"/>
      <c r="B224" s="99"/>
      <c r="C224" s="99"/>
      <c r="D224" s="99"/>
      <c r="E224" s="107"/>
      <c r="F224" s="99"/>
      <c r="G224" s="103"/>
      <c r="H224" s="103"/>
      <c r="I224" s="103"/>
      <c r="J224" s="103"/>
      <c r="K224" s="99"/>
      <c r="L224" s="108"/>
      <c r="M224" s="99"/>
      <c r="N224" s="105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  <c r="AF224" s="92"/>
      <c r="AG224" s="92"/>
      <c r="AH224" s="92"/>
      <c r="AI224" s="92"/>
      <c r="AJ224" s="92"/>
      <c r="AK224" s="92"/>
      <c r="AL224" s="92"/>
      <c r="AM224" s="92"/>
      <c r="AN224" s="92"/>
      <c r="AO224" s="92"/>
      <c r="AP224" s="93"/>
      <c r="AQ224" s="93"/>
      <c r="AR224" s="93"/>
      <c r="AS224" s="93"/>
      <c r="AT224" s="93"/>
      <c r="AU224" s="93"/>
      <c r="AV224" s="93"/>
      <c r="AW224" s="93"/>
      <c r="AX224" s="93"/>
      <c r="AY224" s="93"/>
      <c r="AZ224" s="93"/>
      <c r="BA224" s="93"/>
    </row>
    <row r="225" ht="20.25" customHeight="1">
      <c r="A225" s="98"/>
      <c r="B225" s="99"/>
      <c r="C225" s="99"/>
      <c r="D225" s="99"/>
      <c r="E225" s="107"/>
      <c r="F225" s="99"/>
      <c r="G225" s="103"/>
      <c r="H225" s="103"/>
      <c r="I225" s="103"/>
      <c r="J225" s="103"/>
      <c r="K225" s="99"/>
      <c r="L225" s="108"/>
      <c r="M225" s="99"/>
      <c r="N225" s="105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  <c r="AF225" s="92"/>
      <c r="AG225" s="92"/>
      <c r="AH225" s="92"/>
      <c r="AI225" s="92"/>
      <c r="AJ225" s="92"/>
      <c r="AK225" s="92"/>
      <c r="AL225" s="92"/>
      <c r="AM225" s="92"/>
      <c r="AN225" s="92"/>
      <c r="AO225" s="92"/>
      <c r="AP225" s="93"/>
      <c r="AQ225" s="93"/>
      <c r="AR225" s="93"/>
      <c r="AS225" s="93"/>
      <c r="AT225" s="93"/>
      <c r="AU225" s="93"/>
      <c r="AV225" s="93"/>
      <c r="AW225" s="93"/>
      <c r="AX225" s="93"/>
      <c r="AY225" s="93"/>
      <c r="AZ225" s="93"/>
      <c r="BA225" s="93"/>
    </row>
    <row r="226" ht="20.25" customHeight="1">
      <c r="A226" s="98"/>
      <c r="B226" s="99"/>
      <c r="C226" s="99"/>
      <c r="D226" s="99"/>
      <c r="E226" s="107"/>
      <c r="F226" s="99"/>
      <c r="G226" s="103"/>
      <c r="H226" s="103"/>
      <c r="I226" s="103"/>
      <c r="J226" s="103"/>
      <c r="K226" s="99"/>
      <c r="L226" s="108"/>
      <c r="M226" s="99"/>
      <c r="N226" s="105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  <c r="AF226" s="92"/>
      <c r="AG226" s="92"/>
      <c r="AH226" s="92"/>
      <c r="AI226" s="92"/>
      <c r="AJ226" s="92"/>
      <c r="AK226" s="92"/>
      <c r="AL226" s="92"/>
      <c r="AM226" s="92"/>
      <c r="AN226" s="92"/>
      <c r="AO226" s="92"/>
      <c r="AP226" s="93"/>
      <c r="AQ226" s="93"/>
      <c r="AR226" s="93"/>
      <c r="AS226" s="93"/>
      <c r="AT226" s="93"/>
      <c r="AU226" s="93"/>
      <c r="AV226" s="93"/>
      <c r="AW226" s="93"/>
      <c r="AX226" s="93"/>
      <c r="AY226" s="93"/>
      <c r="AZ226" s="93"/>
      <c r="BA226" s="93"/>
    </row>
    <row r="227" ht="20.25" customHeight="1">
      <c r="A227" s="98"/>
      <c r="B227" s="99"/>
      <c r="C227" s="99"/>
      <c r="D227" s="99"/>
      <c r="E227" s="107"/>
      <c r="F227" s="99"/>
      <c r="G227" s="103"/>
      <c r="H227" s="103"/>
      <c r="I227" s="103"/>
      <c r="J227" s="103"/>
      <c r="K227" s="99"/>
      <c r="L227" s="108"/>
      <c r="M227" s="99"/>
      <c r="N227" s="105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  <c r="AF227" s="92"/>
      <c r="AG227" s="92"/>
      <c r="AH227" s="92"/>
      <c r="AI227" s="92"/>
      <c r="AJ227" s="92"/>
      <c r="AK227" s="92"/>
      <c r="AL227" s="92"/>
      <c r="AM227" s="92"/>
      <c r="AN227" s="92"/>
      <c r="AO227" s="92"/>
      <c r="AP227" s="93"/>
      <c r="AQ227" s="93"/>
      <c r="AR227" s="93"/>
      <c r="AS227" s="93"/>
      <c r="AT227" s="93"/>
      <c r="AU227" s="93"/>
      <c r="AV227" s="93"/>
      <c r="AW227" s="93"/>
      <c r="AX227" s="93"/>
      <c r="AY227" s="93"/>
      <c r="AZ227" s="93"/>
      <c r="BA227" s="93"/>
    </row>
    <row r="228" ht="20.25" customHeight="1">
      <c r="A228" s="98"/>
      <c r="B228" s="99"/>
      <c r="C228" s="99"/>
      <c r="D228" s="99"/>
      <c r="E228" s="107"/>
      <c r="F228" s="99"/>
      <c r="G228" s="103"/>
      <c r="H228" s="103"/>
      <c r="I228" s="103"/>
      <c r="J228" s="103"/>
      <c r="K228" s="99"/>
      <c r="L228" s="108"/>
      <c r="M228" s="99"/>
      <c r="N228" s="105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  <c r="AF228" s="92"/>
      <c r="AG228" s="92"/>
      <c r="AH228" s="92"/>
      <c r="AI228" s="92"/>
      <c r="AJ228" s="92"/>
      <c r="AK228" s="92"/>
      <c r="AL228" s="92"/>
      <c r="AM228" s="92"/>
      <c r="AN228" s="92"/>
      <c r="AO228" s="92"/>
      <c r="AP228" s="93"/>
      <c r="AQ228" s="93"/>
      <c r="AR228" s="93"/>
      <c r="AS228" s="93"/>
      <c r="AT228" s="93"/>
      <c r="AU228" s="93"/>
      <c r="AV228" s="93"/>
      <c r="AW228" s="93"/>
      <c r="AX228" s="93"/>
      <c r="AY228" s="93"/>
      <c r="AZ228" s="93"/>
      <c r="BA228" s="93"/>
    </row>
    <row r="229" ht="20.25" customHeight="1">
      <c r="A229" s="98"/>
      <c r="B229" s="99"/>
      <c r="C229" s="99"/>
      <c r="D229" s="99"/>
      <c r="E229" s="107"/>
      <c r="F229" s="99"/>
      <c r="G229" s="103"/>
      <c r="H229" s="103"/>
      <c r="I229" s="103"/>
      <c r="J229" s="103"/>
      <c r="K229" s="99"/>
      <c r="L229" s="108"/>
      <c r="M229" s="99"/>
      <c r="N229" s="105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  <c r="AF229" s="92"/>
      <c r="AG229" s="92"/>
      <c r="AH229" s="92"/>
      <c r="AI229" s="92"/>
      <c r="AJ229" s="92"/>
      <c r="AK229" s="92"/>
      <c r="AL229" s="92"/>
      <c r="AM229" s="92"/>
      <c r="AN229" s="92"/>
      <c r="AO229" s="92"/>
      <c r="AP229" s="93"/>
      <c r="AQ229" s="93"/>
      <c r="AR229" s="93"/>
      <c r="AS229" s="93"/>
      <c r="AT229" s="93"/>
      <c r="AU229" s="93"/>
      <c r="AV229" s="93"/>
      <c r="AW229" s="93"/>
      <c r="AX229" s="93"/>
      <c r="AY229" s="93"/>
      <c r="AZ229" s="93"/>
      <c r="BA229" s="93"/>
    </row>
    <row r="230" ht="20.25" customHeight="1">
      <c r="A230" s="98"/>
      <c r="B230" s="99"/>
      <c r="C230" s="99"/>
      <c r="D230" s="99"/>
      <c r="E230" s="107"/>
      <c r="F230" s="99"/>
      <c r="G230" s="103"/>
      <c r="H230" s="103"/>
      <c r="I230" s="103"/>
      <c r="J230" s="103"/>
      <c r="K230" s="99"/>
      <c r="L230" s="108"/>
      <c r="M230" s="99"/>
      <c r="N230" s="105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  <c r="AF230" s="92"/>
      <c r="AG230" s="92"/>
      <c r="AH230" s="92"/>
      <c r="AI230" s="92"/>
      <c r="AJ230" s="92"/>
      <c r="AK230" s="92"/>
      <c r="AL230" s="92"/>
      <c r="AM230" s="92"/>
      <c r="AN230" s="92"/>
      <c r="AO230" s="92"/>
      <c r="AP230" s="93"/>
      <c r="AQ230" s="93"/>
      <c r="AR230" s="93"/>
      <c r="AS230" s="93"/>
      <c r="AT230" s="93"/>
      <c r="AU230" s="93"/>
      <c r="AV230" s="93"/>
      <c r="AW230" s="93"/>
      <c r="AX230" s="93"/>
      <c r="AY230" s="93"/>
      <c r="AZ230" s="93"/>
      <c r="BA230" s="93"/>
    </row>
    <row r="231" ht="20.25" customHeight="1">
      <c r="A231" s="98"/>
      <c r="B231" s="99"/>
      <c r="C231" s="99"/>
      <c r="D231" s="99"/>
      <c r="E231" s="107"/>
      <c r="F231" s="99"/>
      <c r="G231" s="103"/>
      <c r="H231" s="103"/>
      <c r="I231" s="103"/>
      <c r="J231" s="103"/>
      <c r="K231" s="99"/>
      <c r="L231" s="108"/>
      <c r="M231" s="99"/>
      <c r="N231" s="105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  <c r="AF231" s="92"/>
      <c r="AG231" s="92"/>
      <c r="AH231" s="92"/>
      <c r="AI231" s="92"/>
      <c r="AJ231" s="92"/>
      <c r="AK231" s="92"/>
      <c r="AL231" s="92"/>
      <c r="AM231" s="92"/>
      <c r="AN231" s="92"/>
      <c r="AO231" s="92"/>
      <c r="AP231" s="93"/>
      <c r="AQ231" s="93"/>
      <c r="AR231" s="93"/>
      <c r="AS231" s="93"/>
      <c r="AT231" s="93"/>
      <c r="AU231" s="93"/>
      <c r="AV231" s="93"/>
      <c r="AW231" s="93"/>
      <c r="AX231" s="93"/>
      <c r="AY231" s="93"/>
      <c r="AZ231" s="93"/>
      <c r="BA231" s="93"/>
    </row>
    <row r="232" ht="20.25" customHeight="1">
      <c r="A232" s="98"/>
      <c r="B232" s="99"/>
      <c r="C232" s="99"/>
      <c r="D232" s="99"/>
      <c r="E232" s="107"/>
      <c r="F232" s="99"/>
      <c r="G232" s="103"/>
      <c r="H232" s="103"/>
      <c r="I232" s="103"/>
      <c r="J232" s="103"/>
      <c r="K232" s="99"/>
      <c r="L232" s="108"/>
      <c r="M232" s="99"/>
      <c r="N232" s="105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  <c r="AF232" s="92"/>
      <c r="AG232" s="92"/>
      <c r="AH232" s="92"/>
      <c r="AI232" s="92"/>
      <c r="AJ232" s="92"/>
      <c r="AK232" s="92"/>
      <c r="AL232" s="92"/>
      <c r="AM232" s="92"/>
      <c r="AN232" s="92"/>
      <c r="AO232" s="92"/>
      <c r="AP232" s="93"/>
      <c r="AQ232" s="93"/>
      <c r="AR232" s="93"/>
      <c r="AS232" s="93"/>
      <c r="AT232" s="93"/>
      <c r="AU232" s="93"/>
      <c r="AV232" s="93"/>
      <c r="AW232" s="93"/>
      <c r="AX232" s="93"/>
      <c r="AY232" s="93"/>
      <c r="AZ232" s="93"/>
      <c r="BA232" s="93"/>
    </row>
    <row r="233" ht="20.25" customHeight="1">
      <c r="A233" s="98"/>
      <c r="B233" s="99"/>
      <c r="C233" s="99"/>
      <c r="D233" s="99"/>
      <c r="E233" s="107"/>
      <c r="F233" s="99"/>
      <c r="G233" s="103"/>
      <c r="H233" s="103"/>
      <c r="I233" s="103"/>
      <c r="J233" s="103"/>
      <c r="K233" s="99"/>
      <c r="L233" s="108"/>
      <c r="M233" s="99"/>
      <c r="N233" s="105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  <c r="AF233" s="92"/>
      <c r="AG233" s="92"/>
      <c r="AH233" s="92"/>
      <c r="AI233" s="92"/>
      <c r="AJ233" s="92"/>
      <c r="AK233" s="92"/>
      <c r="AL233" s="92"/>
      <c r="AM233" s="92"/>
      <c r="AN233" s="92"/>
      <c r="AO233" s="92"/>
      <c r="AP233" s="93"/>
      <c r="AQ233" s="93"/>
      <c r="AR233" s="93"/>
      <c r="AS233" s="93"/>
      <c r="AT233" s="93"/>
      <c r="AU233" s="93"/>
      <c r="AV233" s="93"/>
      <c r="AW233" s="93"/>
      <c r="AX233" s="93"/>
      <c r="AY233" s="93"/>
      <c r="AZ233" s="93"/>
      <c r="BA233" s="93"/>
    </row>
    <row r="234" ht="20.25" customHeight="1">
      <c r="A234" s="98"/>
      <c r="B234" s="99"/>
      <c r="C234" s="99"/>
      <c r="D234" s="99"/>
      <c r="E234" s="107"/>
      <c r="F234" s="99"/>
      <c r="G234" s="103"/>
      <c r="H234" s="103"/>
      <c r="I234" s="103"/>
      <c r="J234" s="103"/>
      <c r="K234" s="99"/>
      <c r="L234" s="108"/>
      <c r="M234" s="99"/>
      <c r="N234" s="105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  <c r="AF234" s="92"/>
      <c r="AG234" s="92"/>
      <c r="AH234" s="92"/>
      <c r="AI234" s="92"/>
      <c r="AJ234" s="92"/>
      <c r="AK234" s="92"/>
      <c r="AL234" s="92"/>
      <c r="AM234" s="92"/>
      <c r="AN234" s="92"/>
      <c r="AO234" s="92"/>
      <c r="AP234" s="93"/>
      <c r="AQ234" s="93"/>
      <c r="AR234" s="93"/>
      <c r="AS234" s="93"/>
      <c r="AT234" s="93"/>
      <c r="AU234" s="93"/>
      <c r="AV234" s="93"/>
      <c r="AW234" s="93"/>
      <c r="AX234" s="93"/>
      <c r="AY234" s="93"/>
      <c r="AZ234" s="93"/>
      <c r="BA234" s="93"/>
    </row>
    <row r="235" ht="20.25" customHeight="1">
      <c r="A235" s="98"/>
      <c r="B235" s="99"/>
      <c r="C235" s="99"/>
      <c r="D235" s="99"/>
      <c r="E235" s="107"/>
      <c r="F235" s="99"/>
      <c r="G235" s="103"/>
      <c r="H235" s="103"/>
      <c r="I235" s="103"/>
      <c r="J235" s="103"/>
      <c r="K235" s="99"/>
      <c r="L235" s="108"/>
      <c r="M235" s="99"/>
      <c r="N235" s="105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  <c r="AF235" s="92"/>
      <c r="AG235" s="92"/>
      <c r="AH235" s="92"/>
      <c r="AI235" s="92"/>
      <c r="AJ235" s="92"/>
      <c r="AK235" s="92"/>
      <c r="AL235" s="92"/>
      <c r="AM235" s="92"/>
      <c r="AN235" s="92"/>
      <c r="AO235" s="92"/>
      <c r="AP235" s="93"/>
      <c r="AQ235" s="93"/>
      <c r="AR235" s="93"/>
      <c r="AS235" s="93"/>
      <c r="AT235" s="93"/>
      <c r="AU235" s="93"/>
      <c r="AV235" s="93"/>
      <c r="AW235" s="93"/>
      <c r="AX235" s="93"/>
      <c r="AY235" s="93"/>
      <c r="AZ235" s="93"/>
      <c r="BA235" s="93"/>
    </row>
    <row r="236" ht="20.25" customHeight="1">
      <c r="A236" s="98"/>
      <c r="B236" s="99"/>
      <c r="C236" s="99"/>
      <c r="D236" s="99"/>
      <c r="E236" s="107"/>
      <c r="F236" s="99"/>
      <c r="G236" s="103"/>
      <c r="H236" s="103"/>
      <c r="I236" s="103"/>
      <c r="J236" s="103"/>
      <c r="K236" s="99"/>
      <c r="L236" s="108"/>
      <c r="M236" s="99"/>
      <c r="N236" s="105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  <c r="AF236" s="92"/>
      <c r="AG236" s="92"/>
      <c r="AH236" s="92"/>
      <c r="AI236" s="92"/>
      <c r="AJ236" s="92"/>
      <c r="AK236" s="92"/>
      <c r="AL236" s="92"/>
      <c r="AM236" s="92"/>
      <c r="AN236" s="92"/>
      <c r="AO236" s="92"/>
      <c r="AP236" s="93"/>
      <c r="AQ236" s="93"/>
      <c r="AR236" s="93"/>
      <c r="AS236" s="93"/>
      <c r="AT236" s="93"/>
      <c r="AU236" s="93"/>
      <c r="AV236" s="93"/>
      <c r="AW236" s="93"/>
      <c r="AX236" s="93"/>
      <c r="AY236" s="93"/>
      <c r="AZ236" s="93"/>
      <c r="BA236" s="93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M1"/>
    <mergeCell ref="B3:D3"/>
    <mergeCell ref="E3:F3"/>
    <mergeCell ref="G3:H3"/>
    <mergeCell ref="B12:F12"/>
    <mergeCell ref="H12:L12"/>
    <mergeCell ref="E25:I25"/>
  </mergeCells>
  <printOptions/>
  <pageMargins bottom="0.75" footer="0.0" header="0.0" left="0.25" right="0.25" top="0.75"/>
  <pageSetup fitToHeight="0" paperSize="9" orientation="portrait"/>
  <drawing r:id="rId1"/>
</worksheet>
</file>